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-15" windowWidth="19215" windowHeight="7575" firstSheet="1" activeTab="1"/>
  </bookViews>
  <sheets>
    <sheet name="Context" sheetId="3" state="hidden" r:id="rId1"/>
    <sheet name="Contexte" sheetId="9" r:id="rId2"/>
    <sheet name="SAISIE" sheetId="16" r:id="rId3"/>
    <sheet name="SAISIE_DBS" sheetId="6" state="hidden" r:id="rId4"/>
    <sheet name="Ajustements manuels" sheetId="14" state="hidden" r:id="rId5"/>
    <sheet name="Synthèse" sheetId="13" state="hidden" r:id="rId6"/>
  </sheets>
  <definedNames>
    <definedName name="Antenne">Contexte!$E$8</definedName>
    <definedName name="Auto_fit2" localSheetId="4">'Ajustements manuels'!$J$20:$AA$86</definedName>
    <definedName name="Auto_fit2" localSheetId="2">SAISIE!$L$20:$AB$63</definedName>
    <definedName name="Auto_fit2" localSheetId="3">SAISIE_DBS!$L$20:$AB$63</definedName>
    <definedName name="Auto_fit2" localSheetId="5">Synthèse!$J$20:$AB$65</definedName>
    <definedName name="Cube1">Context!$B$11</definedName>
    <definedName name="MAN_A_1">'Ajustements manuels'!$AE$24:$AP$44</definedName>
    <definedName name="MAN_A_2">'Ajustements manuels'!$AE$48:$AP$78</definedName>
    <definedName name="MAN_A_3">'Ajustements manuels'!$AE$90:$AP$143</definedName>
    <definedName name="MAN_A_4">'Ajustements manuels'!$AE$155:$AP$159</definedName>
    <definedName name="MAN_A_5">'Ajustements manuels'!$AE$164:$AP$167</definedName>
    <definedName name="MAN_A_6">'Ajustements manuels'!$AE$175:$AP$181</definedName>
    <definedName name="MAN_A_7">'Ajustements manuels'!$AE$189:$AP$198</definedName>
    <definedName name="MAN_B_1">'Ajustements manuels'!$P$24:$AA$44</definedName>
    <definedName name="MAN_B_2">'Ajustements manuels'!$P$48:$AA$78</definedName>
    <definedName name="MAN_B_3">'Ajustements manuels'!$P$90:$AA$143</definedName>
    <definedName name="MAN_B_4">'Ajustements manuels'!$P$155:$AA$159</definedName>
    <definedName name="MAN_B_5">'Ajustements manuels'!$P$164:$AA$167</definedName>
    <definedName name="MAN_B_6">'Ajustements manuels'!$P$175:$AA$181</definedName>
    <definedName name="MAN_B_7">'Ajustements manuels'!$P$189:$AA$198</definedName>
    <definedName name="Nature_Analytique">Contexte!$E$10</definedName>
    <definedName name="Partenaire">Contexte!$E$9</definedName>
    <definedName name="Periode">Contexte!$E$7</definedName>
    <definedName name="PFC_A_1">SAISIE_DBS!$Q$25:$AB$30</definedName>
    <definedName name="PFC_A_10">SAISIE_DBS!$Q$86:$AB$89</definedName>
    <definedName name="PFC_A_11">SAISIE_DBS!$Q$91:$AB$121</definedName>
    <definedName name="PFC_A_12">SAISIE_DBS!$Q$125:$AB$131</definedName>
    <definedName name="PFC_A_13">SAISIE_DBS!$Q$141:$AB$141</definedName>
    <definedName name="PFC_A_14">SAISIE_DBS!$Q$143:$AB$144</definedName>
    <definedName name="PFC_A_15">SAISIE_DBS!$Q$150:$AB$150</definedName>
    <definedName name="PFC_A_16">SAISIE_DBS!$Q$152:$AB$153</definedName>
    <definedName name="PFC_A_17">SAISIE_DBS!$Q$164:$AB$166</definedName>
    <definedName name="PFC_A_18">SAISIE_DBS!$Q$176:$AB$180</definedName>
    <definedName name="PFC_A_2">SAISIE_DBS!$Q$35:$AB$37</definedName>
    <definedName name="PFC_A_20">SAISIE_DBS!$Q$32:$AB$33</definedName>
    <definedName name="PFC_A_3">SAISIE_DBS!$Q$39:$AB$40</definedName>
    <definedName name="PFC_A_4">SAISIE_DBS!$Q$45:$AB$48</definedName>
    <definedName name="PFC_A_5">SAISIE_DBS!$Q$50:$AB$52</definedName>
    <definedName name="PFC_A_6">SAISIE_DBS!$Q$54:$AB$62</definedName>
    <definedName name="PFC_A_7">SAISIE_DBS!$Q$72:$AB$74</definedName>
    <definedName name="PFC_A_8">SAISIE_DBS!$Q$76:$AB$77</definedName>
    <definedName name="PFC_A_9">SAISIE_DBS!$Q$79:$AB$84</definedName>
    <definedName name="PFC_B_1">SAISIE!$Q$25:$AB$30</definedName>
    <definedName name="PFC_B_10">SAISIE!$Q$86:$AB$89</definedName>
    <definedName name="PFC_B_11">SAISIE!$Q$91:$AB$121</definedName>
    <definedName name="PFC_B_12">SAISIE!$Q$125:$AB$131</definedName>
    <definedName name="PFC_B_13">SAISIE!$Q$141:$AB$141</definedName>
    <definedName name="PFC_B_14">SAISIE!$Q$143:$AB$144</definedName>
    <definedName name="PFC_B_15">SAISIE!$Q$150:$AB$150</definedName>
    <definedName name="PFC_B_16">SAISIE!$Q$152:$AB$153</definedName>
    <definedName name="PFC_B_17">SAISIE!$Q$164:$AB$166</definedName>
    <definedName name="PFC_B_18">SAISIE!$Q$176:$AB$180</definedName>
    <definedName name="PFC_B_2">SAISIE!$Q$35:$AB$37</definedName>
    <definedName name="PFC_B_20">SAISIE!$Q$32:$AB$33</definedName>
    <definedName name="PFC_B_3">SAISIE!$Q$39:$AB$40</definedName>
    <definedName name="PFC_B_4">SAISIE!$Q$45:$AB$48</definedName>
    <definedName name="PFC_B_5">SAISIE!$Q$50:$AB$52</definedName>
    <definedName name="PFC_B_6">SAISIE!$Q$54:$AB$62</definedName>
    <definedName name="PFC_B_7">SAISIE!$Q$72:$AB$74</definedName>
    <definedName name="PFC_B_8">SAISIE!$Q$76:$AB$77</definedName>
    <definedName name="PFC_B_9">SAISIE!$Q$79:$AB$84</definedName>
    <definedName name="Phase">Contexte!$E$11</definedName>
    <definedName name="Print_Area" localSheetId="4">'Ajustements manuels'!$E$7:$AB$199</definedName>
    <definedName name="Print_Area" localSheetId="1">Contexte!$B$2:$G$15</definedName>
    <definedName name="Print_Area" localSheetId="2">SAISIE!$G$7:$AC$139</definedName>
    <definedName name="Print_Area" localSheetId="3">SAISIE_DBS!$G$7:$AC$139</definedName>
    <definedName name="Print_Area" localSheetId="5">Synthèse!$E$7:$BP$144</definedName>
    <definedName name="Server">Context!$B$4</definedName>
    <definedName name="TM1REBUILDOPTION">0</definedName>
    <definedName name="Type_de_formation">Contexte!$E$12</definedName>
    <definedName name="xflag">SAISIE_DBS!$AF$3</definedName>
    <definedName name="xServer">Context!$B$5</definedName>
  </definedNames>
  <calcPr calcId="145621" calcMode="manual" concurrentCalc="0"/>
</workbook>
</file>

<file path=xl/calcChain.xml><?xml version="1.0" encoding="utf-8"?>
<calcChain xmlns="http://schemas.openxmlformats.org/spreadsheetml/2006/main">
  <c r="E8" i="9" l="1"/>
  <c r="J13" i="6"/>
  <c r="E12" i="9"/>
  <c r="J14" i="6"/>
  <c r="E9" i="9"/>
  <c r="J15" i="6"/>
  <c r="E11" i="9"/>
  <c r="J17" i="6"/>
  <c r="E7" i="9"/>
  <c r="I1" i="6"/>
  <c r="I2" i="6"/>
  <c r="AB1" i="6"/>
  <c r="AB22" i="6"/>
  <c r="E10" i="9"/>
  <c r="J16" i="6"/>
  <c r="AB180" i="6"/>
  <c r="AA1" i="6"/>
  <c r="AA22" i="6"/>
  <c r="AA180" i="6"/>
  <c r="Z1" i="6"/>
  <c r="Z22" i="6"/>
  <c r="Z180" i="6"/>
  <c r="Y1" i="6"/>
  <c r="Y22" i="6"/>
  <c r="Y180" i="6"/>
  <c r="X1" i="6"/>
  <c r="X22" i="6"/>
  <c r="X180" i="6"/>
  <c r="W1" i="6"/>
  <c r="W22" i="6"/>
  <c r="W180" i="6"/>
  <c r="V1" i="6"/>
  <c r="V22" i="6"/>
  <c r="V180" i="6"/>
  <c r="U1" i="6"/>
  <c r="U22" i="6"/>
  <c r="U180" i="6"/>
  <c r="T1" i="6"/>
  <c r="T22" i="6"/>
  <c r="T180" i="6"/>
  <c r="S1" i="6"/>
  <c r="S22" i="6"/>
  <c r="S180" i="6"/>
  <c r="R1" i="6"/>
  <c r="R22" i="6"/>
  <c r="R180" i="6"/>
  <c r="Q1" i="6"/>
  <c r="Q22" i="6"/>
  <c r="Q180" i="6"/>
  <c r="AB179" i="6"/>
  <c r="AA179" i="6"/>
  <c r="Z179" i="6"/>
  <c r="Y179" i="6"/>
  <c r="X179" i="6"/>
  <c r="W179" i="6"/>
  <c r="V179" i="6"/>
  <c r="U179" i="6"/>
  <c r="T179" i="6"/>
  <c r="S179" i="6"/>
  <c r="R179" i="6"/>
  <c r="Q179" i="6"/>
  <c r="AB178" i="6"/>
  <c r="AA178" i="6"/>
  <c r="Z178" i="6"/>
  <c r="Y178" i="6"/>
  <c r="X178" i="6"/>
  <c r="W178" i="6"/>
  <c r="V178" i="6"/>
  <c r="U178" i="6"/>
  <c r="T178" i="6"/>
  <c r="S178" i="6"/>
  <c r="R178" i="6"/>
  <c r="Q178" i="6"/>
  <c r="AB177" i="6"/>
  <c r="AA177" i="6"/>
  <c r="Z177" i="6"/>
  <c r="Y177" i="6"/>
  <c r="X177" i="6"/>
  <c r="W177" i="6"/>
  <c r="V177" i="6"/>
  <c r="U177" i="6"/>
  <c r="T177" i="6"/>
  <c r="S177" i="6"/>
  <c r="R177" i="6"/>
  <c r="Q177" i="6"/>
  <c r="AB176" i="6"/>
  <c r="AA176" i="6"/>
  <c r="Z176" i="6"/>
  <c r="Y176" i="6"/>
  <c r="X176" i="6"/>
  <c r="W176" i="6"/>
  <c r="V176" i="6"/>
  <c r="U176" i="6"/>
  <c r="T176" i="6"/>
  <c r="S176" i="6"/>
  <c r="R176" i="6"/>
  <c r="Q176" i="6"/>
  <c r="AB166" i="6"/>
  <c r="AA166" i="6"/>
  <c r="Z166" i="6"/>
  <c r="Y166" i="6"/>
  <c r="X166" i="6"/>
  <c r="W166" i="6"/>
  <c r="V166" i="6"/>
  <c r="U166" i="6"/>
  <c r="T166" i="6"/>
  <c r="S166" i="6"/>
  <c r="R166" i="6"/>
  <c r="Q166" i="6"/>
  <c r="AB165" i="6"/>
  <c r="AA165" i="6"/>
  <c r="Z165" i="6"/>
  <c r="Y165" i="6"/>
  <c r="X165" i="6"/>
  <c r="W165" i="6"/>
  <c r="V165" i="6"/>
  <c r="U165" i="6"/>
  <c r="T165" i="6"/>
  <c r="S165" i="6"/>
  <c r="R165" i="6"/>
  <c r="Q165" i="6"/>
  <c r="AB164" i="6"/>
  <c r="AA164" i="6"/>
  <c r="Z164" i="6"/>
  <c r="Y164" i="6"/>
  <c r="X164" i="6"/>
  <c r="W164" i="6"/>
  <c r="V164" i="6"/>
  <c r="U164" i="6"/>
  <c r="T164" i="6"/>
  <c r="S164" i="6"/>
  <c r="R164" i="6"/>
  <c r="Q164" i="6"/>
  <c r="AB153" i="6"/>
  <c r="AA153" i="6"/>
  <c r="Z153" i="6"/>
  <c r="Y153" i="6"/>
  <c r="X153" i="6"/>
  <c r="W153" i="6"/>
  <c r="V153" i="6"/>
  <c r="U153" i="6"/>
  <c r="T153" i="6"/>
  <c r="S153" i="6"/>
  <c r="R153" i="6"/>
  <c r="Q153" i="6"/>
  <c r="AB152" i="6"/>
  <c r="AA152" i="6"/>
  <c r="Z152" i="6"/>
  <c r="Y152" i="6"/>
  <c r="X152" i="6"/>
  <c r="W152" i="6"/>
  <c r="V152" i="6"/>
  <c r="U152" i="6"/>
  <c r="T152" i="6"/>
  <c r="S152" i="6"/>
  <c r="R152" i="6"/>
  <c r="Q152" i="6"/>
  <c r="AB150" i="6"/>
  <c r="AA150" i="6"/>
  <c r="Z150" i="6"/>
  <c r="Y150" i="6"/>
  <c r="X150" i="6"/>
  <c r="W150" i="6"/>
  <c r="V150" i="6"/>
  <c r="U150" i="6"/>
  <c r="T150" i="6"/>
  <c r="S150" i="6"/>
  <c r="R150" i="6"/>
  <c r="Q150" i="6"/>
  <c r="AB144" i="6"/>
  <c r="AA144" i="6"/>
  <c r="Z144" i="6"/>
  <c r="Y144" i="6"/>
  <c r="X144" i="6"/>
  <c r="W144" i="6"/>
  <c r="V144" i="6"/>
  <c r="U144" i="6"/>
  <c r="T144" i="6"/>
  <c r="S144" i="6"/>
  <c r="R144" i="6"/>
  <c r="Q144" i="6"/>
  <c r="AB143" i="6"/>
  <c r="AA143" i="6"/>
  <c r="Z143" i="6"/>
  <c r="Y143" i="6"/>
  <c r="X143" i="6"/>
  <c r="W143" i="6"/>
  <c r="V143" i="6"/>
  <c r="U143" i="6"/>
  <c r="T143" i="6"/>
  <c r="S143" i="6"/>
  <c r="R143" i="6"/>
  <c r="Q143" i="6"/>
  <c r="AB141" i="6"/>
  <c r="AA141" i="6"/>
  <c r="Z141" i="6"/>
  <c r="Y141" i="6"/>
  <c r="X141" i="6"/>
  <c r="W141" i="6"/>
  <c r="V141" i="6"/>
  <c r="U141" i="6"/>
  <c r="T141" i="6"/>
  <c r="S141" i="6"/>
  <c r="R141" i="6"/>
  <c r="Q141" i="6"/>
  <c r="Q142" i="6"/>
  <c r="Q140" i="6"/>
  <c r="Q146" i="6"/>
  <c r="Q149" i="6"/>
  <c r="Q151" i="6"/>
  <c r="AB130" i="6"/>
  <c r="AA130" i="6"/>
  <c r="Z130" i="6"/>
  <c r="Y130" i="6"/>
  <c r="X130" i="6"/>
  <c r="W130" i="6"/>
  <c r="V130" i="6"/>
  <c r="U130" i="6"/>
  <c r="T130" i="6"/>
  <c r="S130" i="6"/>
  <c r="R130" i="6"/>
  <c r="Q130" i="6"/>
  <c r="AB129" i="6"/>
  <c r="AA129" i="6"/>
  <c r="Z129" i="6"/>
  <c r="Y129" i="6"/>
  <c r="X129" i="6"/>
  <c r="W129" i="6"/>
  <c r="V129" i="6"/>
  <c r="U129" i="6"/>
  <c r="T129" i="6"/>
  <c r="S129" i="6"/>
  <c r="R129" i="6"/>
  <c r="Q129" i="6"/>
  <c r="AB128" i="6"/>
  <c r="AA128" i="6"/>
  <c r="Z128" i="6"/>
  <c r="Y128" i="6"/>
  <c r="X128" i="6"/>
  <c r="W128" i="6"/>
  <c r="V128" i="6"/>
  <c r="U128" i="6"/>
  <c r="T128" i="6"/>
  <c r="S128" i="6"/>
  <c r="R128" i="6"/>
  <c r="Q128" i="6"/>
  <c r="AB127" i="6"/>
  <c r="AA127" i="6"/>
  <c r="Z127" i="6"/>
  <c r="Y127" i="6"/>
  <c r="X127" i="6"/>
  <c r="W127" i="6"/>
  <c r="V127" i="6"/>
  <c r="U127" i="6"/>
  <c r="T127" i="6"/>
  <c r="S127" i="6"/>
  <c r="R127" i="6"/>
  <c r="Q127" i="6"/>
  <c r="AB126" i="6"/>
  <c r="AA126" i="6"/>
  <c r="Z126" i="6"/>
  <c r="Y126" i="6"/>
  <c r="X126" i="6"/>
  <c r="W126" i="6"/>
  <c r="V126" i="6"/>
  <c r="U126" i="6"/>
  <c r="T126" i="6"/>
  <c r="S126" i="6"/>
  <c r="R126" i="6"/>
  <c r="Q126" i="6"/>
  <c r="AB131" i="6"/>
  <c r="AA131" i="6"/>
  <c r="Z131" i="6"/>
  <c r="Y131" i="6"/>
  <c r="X131" i="6"/>
  <c r="W131" i="6"/>
  <c r="V131" i="6"/>
  <c r="U131" i="6"/>
  <c r="T131" i="6"/>
  <c r="S131" i="6"/>
  <c r="R131" i="6"/>
  <c r="Q131" i="6"/>
  <c r="AB125" i="6"/>
  <c r="AA125" i="6"/>
  <c r="Z125" i="6"/>
  <c r="Y125" i="6"/>
  <c r="X125" i="6"/>
  <c r="W125" i="6"/>
  <c r="V125" i="6"/>
  <c r="U125" i="6"/>
  <c r="T125" i="6"/>
  <c r="S125" i="6"/>
  <c r="R125" i="6"/>
  <c r="Q125" i="6"/>
  <c r="AB121" i="6"/>
  <c r="AA121" i="6"/>
  <c r="Z121" i="6"/>
  <c r="Y121" i="6"/>
  <c r="X121" i="6"/>
  <c r="W121" i="6"/>
  <c r="V121" i="6"/>
  <c r="U121" i="6"/>
  <c r="T121" i="6"/>
  <c r="S121" i="6"/>
  <c r="R121" i="6"/>
  <c r="Q121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AB119" i="6"/>
  <c r="AA119" i="6"/>
  <c r="Z119" i="6"/>
  <c r="Y119" i="6"/>
  <c r="X119" i="6"/>
  <c r="W119" i="6"/>
  <c r="V119" i="6"/>
  <c r="U119" i="6"/>
  <c r="T119" i="6"/>
  <c r="S119" i="6"/>
  <c r="R119" i="6"/>
  <c r="Q119" i="6"/>
  <c r="AB118" i="6"/>
  <c r="AA118" i="6"/>
  <c r="Z118" i="6"/>
  <c r="Y118" i="6"/>
  <c r="X118" i="6"/>
  <c r="W118" i="6"/>
  <c r="V118" i="6"/>
  <c r="U118" i="6"/>
  <c r="T118" i="6"/>
  <c r="S118" i="6"/>
  <c r="R118" i="6"/>
  <c r="Q118" i="6"/>
  <c r="AB117" i="6"/>
  <c r="AA117" i="6"/>
  <c r="Z117" i="6"/>
  <c r="Y117" i="6"/>
  <c r="X117" i="6"/>
  <c r="W117" i="6"/>
  <c r="V117" i="6"/>
  <c r="U117" i="6"/>
  <c r="T117" i="6"/>
  <c r="S117" i="6"/>
  <c r="R117" i="6"/>
  <c r="Q117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AB115" i="6"/>
  <c r="AA115" i="6"/>
  <c r="Z115" i="6"/>
  <c r="Y115" i="6"/>
  <c r="X115" i="6"/>
  <c r="W115" i="6"/>
  <c r="V115" i="6"/>
  <c r="U115" i="6"/>
  <c r="T115" i="6"/>
  <c r="S115" i="6"/>
  <c r="R115" i="6"/>
  <c r="Q115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AB112" i="6"/>
  <c r="AA112" i="6"/>
  <c r="Z112" i="6"/>
  <c r="Y112" i="6"/>
  <c r="X112" i="6"/>
  <c r="W112" i="6"/>
  <c r="V112" i="6"/>
  <c r="U112" i="6"/>
  <c r="T112" i="6"/>
  <c r="S112" i="6"/>
  <c r="R112" i="6"/>
  <c r="Q112" i="6"/>
  <c r="AB111" i="6"/>
  <c r="AA111" i="6"/>
  <c r="Z111" i="6"/>
  <c r="Y111" i="6"/>
  <c r="X111" i="6"/>
  <c r="W111" i="6"/>
  <c r="V111" i="6"/>
  <c r="U111" i="6"/>
  <c r="T111" i="6"/>
  <c r="S111" i="6"/>
  <c r="R111" i="6"/>
  <c r="Q111" i="6"/>
  <c r="AB110" i="6"/>
  <c r="AA110" i="6"/>
  <c r="Z110" i="6"/>
  <c r="Y110" i="6"/>
  <c r="X110" i="6"/>
  <c r="W110" i="6"/>
  <c r="V110" i="6"/>
  <c r="U110" i="6"/>
  <c r="T110" i="6"/>
  <c r="S110" i="6"/>
  <c r="R110" i="6"/>
  <c r="Q110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AB102" i="6"/>
  <c r="AA102" i="6"/>
  <c r="Z102" i="6"/>
  <c r="Y102" i="6"/>
  <c r="X102" i="6"/>
  <c r="W102" i="6"/>
  <c r="V102" i="6"/>
  <c r="U102" i="6"/>
  <c r="T102" i="6"/>
  <c r="S102" i="6"/>
  <c r="R102" i="6"/>
  <c r="Q102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AB99" i="6"/>
  <c r="AA99" i="6"/>
  <c r="Z99" i="6"/>
  <c r="Y99" i="6"/>
  <c r="X99" i="6"/>
  <c r="W99" i="6"/>
  <c r="V99" i="6"/>
  <c r="U99" i="6"/>
  <c r="T99" i="6"/>
  <c r="S99" i="6"/>
  <c r="R99" i="6"/>
  <c r="Q99" i="6"/>
  <c r="AB98" i="6"/>
  <c r="AA98" i="6"/>
  <c r="Z98" i="6"/>
  <c r="Y98" i="6"/>
  <c r="X98" i="6"/>
  <c r="W98" i="6"/>
  <c r="V98" i="6"/>
  <c r="U98" i="6"/>
  <c r="T98" i="6"/>
  <c r="S98" i="6"/>
  <c r="R98" i="6"/>
  <c r="Q98" i="6"/>
  <c r="AB97" i="6"/>
  <c r="AA97" i="6"/>
  <c r="Z97" i="6"/>
  <c r="Y97" i="6"/>
  <c r="X97" i="6"/>
  <c r="W97" i="6"/>
  <c r="V97" i="6"/>
  <c r="U97" i="6"/>
  <c r="T97" i="6"/>
  <c r="S97" i="6"/>
  <c r="R97" i="6"/>
  <c r="Q97" i="6"/>
  <c r="AB96" i="6"/>
  <c r="AA96" i="6"/>
  <c r="Z96" i="6"/>
  <c r="Y96" i="6"/>
  <c r="X96" i="6"/>
  <c r="W96" i="6"/>
  <c r="V96" i="6"/>
  <c r="U96" i="6"/>
  <c r="T96" i="6"/>
  <c r="S96" i="6"/>
  <c r="R96" i="6"/>
  <c r="Q96" i="6"/>
  <c r="AB95" i="6"/>
  <c r="AA95" i="6"/>
  <c r="Z95" i="6"/>
  <c r="Y95" i="6"/>
  <c r="X95" i="6"/>
  <c r="W95" i="6"/>
  <c r="V95" i="6"/>
  <c r="U95" i="6"/>
  <c r="T95" i="6"/>
  <c r="S95" i="6"/>
  <c r="R95" i="6"/>
  <c r="Q95" i="6"/>
  <c r="AB94" i="6"/>
  <c r="AA94" i="6"/>
  <c r="Z94" i="6"/>
  <c r="Y94" i="6"/>
  <c r="X94" i="6"/>
  <c r="W94" i="6"/>
  <c r="V94" i="6"/>
  <c r="U94" i="6"/>
  <c r="T94" i="6"/>
  <c r="S94" i="6"/>
  <c r="R94" i="6"/>
  <c r="Q94" i="6"/>
  <c r="AB93" i="6"/>
  <c r="AA93" i="6"/>
  <c r="Z93" i="6"/>
  <c r="Y93" i="6"/>
  <c r="X93" i="6"/>
  <c r="W93" i="6"/>
  <c r="V93" i="6"/>
  <c r="U93" i="6"/>
  <c r="T93" i="6"/>
  <c r="S93" i="6"/>
  <c r="R93" i="6"/>
  <c r="Q93" i="6"/>
  <c r="AB92" i="6"/>
  <c r="AA92" i="6"/>
  <c r="Z92" i="6"/>
  <c r="Y92" i="6"/>
  <c r="X92" i="6"/>
  <c r="W92" i="6"/>
  <c r="V92" i="6"/>
  <c r="U92" i="6"/>
  <c r="T92" i="6"/>
  <c r="S92" i="6"/>
  <c r="R92" i="6"/>
  <c r="Q92" i="6"/>
  <c r="AB91" i="6"/>
  <c r="AA91" i="6"/>
  <c r="Z91" i="6"/>
  <c r="Y91" i="6"/>
  <c r="X91" i="6"/>
  <c r="W91" i="6"/>
  <c r="V91" i="6"/>
  <c r="U91" i="6"/>
  <c r="T91" i="6"/>
  <c r="S91" i="6"/>
  <c r="R91" i="6"/>
  <c r="Q91" i="6"/>
  <c r="AB89" i="6"/>
  <c r="AA89" i="6"/>
  <c r="Z89" i="6"/>
  <c r="Y89" i="6"/>
  <c r="X89" i="6"/>
  <c r="W89" i="6"/>
  <c r="V89" i="6"/>
  <c r="U89" i="6"/>
  <c r="T89" i="6"/>
  <c r="S89" i="6"/>
  <c r="R89" i="6"/>
  <c r="Q89" i="6"/>
  <c r="AB88" i="6"/>
  <c r="AA88" i="6"/>
  <c r="Z88" i="6"/>
  <c r="Y88" i="6"/>
  <c r="X88" i="6"/>
  <c r="W88" i="6"/>
  <c r="V88" i="6"/>
  <c r="U88" i="6"/>
  <c r="T88" i="6"/>
  <c r="S88" i="6"/>
  <c r="R88" i="6"/>
  <c r="Q88" i="6"/>
  <c r="AB87" i="6"/>
  <c r="AA87" i="6"/>
  <c r="Z87" i="6"/>
  <c r="Y87" i="6"/>
  <c r="X87" i="6"/>
  <c r="W87" i="6"/>
  <c r="V87" i="6"/>
  <c r="U87" i="6"/>
  <c r="T87" i="6"/>
  <c r="S87" i="6"/>
  <c r="R87" i="6"/>
  <c r="Q87" i="6"/>
  <c r="AB86" i="6"/>
  <c r="AA86" i="6"/>
  <c r="Z86" i="6"/>
  <c r="Y86" i="6"/>
  <c r="X86" i="6"/>
  <c r="W86" i="6"/>
  <c r="V86" i="6"/>
  <c r="U86" i="6"/>
  <c r="T86" i="6"/>
  <c r="S86" i="6"/>
  <c r="R86" i="6"/>
  <c r="Q86" i="6"/>
  <c r="AB84" i="6"/>
  <c r="AA84" i="6"/>
  <c r="Z84" i="6"/>
  <c r="Y84" i="6"/>
  <c r="X84" i="6"/>
  <c r="W84" i="6"/>
  <c r="V84" i="6"/>
  <c r="U84" i="6"/>
  <c r="T84" i="6"/>
  <c r="S84" i="6"/>
  <c r="R84" i="6"/>
  <c r="Q84" i="6"/>
  <c r="AB83" i="6"/>
  <c r="AA83" i="6"/>
  <c r="Z83" i="6"/>
  <c r="Y83" i="6"/>
  <c r="X83" i="6"/>
  <c r="W83" i="6"/>
  <c r="V83" i="6"/>
  <c r="U83" i="6"/>
  <c r="T83" i="6"/>
  <c r="S83" i="6"/>
  <c r="R83" i="6"/>
  <c r="Q83" i="6"/>
  <c r="AB82" i="6"/>
  <c r="AA82" i="6"/>
  <c r="Z82" i="6"/>
  <c r="Y82" i="6"/>
  <c r="X82" i="6"/>
  <c r="W82" i="6"/>
  <c r="V82" i="6"/>
  <c r="U82" i="6"/>
  <c r="T82" i="6"/>
  <c r="S82" i="6"/>
  <c r="R82" i="6"/>
  <c r="Q82" i="6"/>
  <c r="AB81" i="6"/>
  <c r="AA81" i="6"/>
  <c r="Z81" i="6"/>
  <c r="Y81" i="6"/>
  <c r="X81" i="6"/>
  <c r="W81" i="6"/>
  <c r="V81" i="6"/>
  <c r="U81" i="6"/>
  <c r="T81" i="6"/>
  <c r="S81" i="6"/>
  <c r="R81" i="6"/>
  <c r="Q81" i="6"/>
  <c r="AB80" i="6"/>
  <c r="AA80" i="6"/>
  <c r="Z80" i="6"/>
  <c r="Y80" i="6"/>
  <c r="X80" i="6"/>
  <c r="W80" i="6"/>
  <c r="V80" i="6"/>
  <c r="U80" i="6"/>
  <c r="T80" i="6"/>
  <c r="S80" i="6"/>
  <c r="R80" i="6"/>
  <c r="Q80" i="6"/>
  <c r="AB79" i="6"/>
  <c r="AA79" i="6"/>
  <c r="Z79" i="6"/>
  <c r="Y79" i="6"/>
  <c r="X79" i="6"/>
  <c r="W79" i="6"/>
  <c r="V79" i="6"/>
  <c r="U79" i="6"/>
  <c r="T79" i="6"/>
  <c r="S79" i="6"/>
  <c r="R79" i="6"/>
  <c r="Q79" i="6"/>
  <c r="AB77" i="6"/>
  <c r="AA77" i="6"/>
  <c r="Z77" i="6"/>
  <c r="Y77" i="6"/>
  <c r="X77" i="6"/>
  <c r="W77" i="6"/>
  <c r="V77" i="6"/>
  <c r="U77" i="6"/>
  <c r="T77" i="6"/>
  <c r="S77" i="6"/>
  <c r="R77" i="6"/>
  <c r="Q77" i="6"/>
  <c r="AB76" i="6"/>
  <c r="AA76" i="6"/>
  <c r="Z76" i="6"/>
  <c r="Y76" i="6"/>
  <c r="X76" i="6"/>
  <c r="W76" i="6"/>
  <c r="V76" i="6"/>
  <c r="U76" i="6"/>
  <c r="T76" i="6"/>
  <c r="S76" i="6"/>
  <c r="R76" i="6"/>
  <c r="Q76" i="6"/>
  <c r="AB74" i="6"/>
  <c r="AA74" i="6"/>
  <c r="Z74" i="6"/>
  <c r="Y74" i="6"/>
  <c r="X74" i="6"/>
  <c r="W74" i="6"/>
  <c r="V74" i="6"/>
  <c r="U74" i="6"/>
  <c r="T74" i="6"/>
  <c r="S74" i="6"/>
  <c r="R74" i="6"/>
  <c r="Q74" i="6"/>
  <c r="AB73" i="6"/>
  <c r="AA73" i="6"/>
  <c r="Z73" i="6"/>
  <c r="Y73" i="6"/>
  <c r="X73" i="6"/>
  <c r="W73" i="6"/>
  <c r="V73" i="6"/>
  <c r="U73" i="6"/>
  <c r="T73" i="6"/>
  <c r="S73" i="6"/>
  <c r="R73" i="6"/>
  <c r="Q73" i="6"/>
  <c r="AB72" i="6"/>
  <c r="AA72" i="6"/>
  <c r="Z72" i="6"/>
  <c r="Y72" i="6"/>
  <c r="X72" i="6"/>
  <c r="W72" i="6"/>
  <c r="V72" i="6"/>
  <c r="U72" i="6"/>
  <c r="T72" i="6"/>
  <c r="S72" i="6"/>
  <c r="R72" i="6"/>
  <c r="Q72" i="6"/>
  <c r="AB62" i="6"/>
  <c r="AA62" i="6"/>
  <c r="Z62" i="6"/>
  <c r="Y62" i="6"/>
  <c r="X62" i="6"/>
  <c r="W62" i="6"/>
  <c r="V62" i="6"/>
  <c r="U62" i="6"/>
  <c r="T62" i="6"/>
  <c r="S62" i="6"/>
  <c r="R62" i="6"/>
  <c r="Q62" i="6"/>
  <c r="AB61" i="6"/>
  <c r="AA61" i="6"/>
  <c r="Z61" i="6"/>
  <c r="Y61" i="6"/>
  <c r="X61" i="6"/>
  <c r="W61" i="6"/>
  <c r="V61" i="6"/>
  <c r="U61" i="6"/>
  <c r="T61" i="6"/>
  <c r="S61" i="6"/>
  <c r="R61" i="6"/>
  <c r="Q61" i="6"/>
  <c r="AB60" i="6"/>
  <c r="AA60" i="6"/>
  <c r="Z60" i="6"/>
  <c r="Y60" i="6"/>
  <c r="X60" i="6"/>
  <c r="W60" i="6"/>
  <c r="V60" i="6"/>
  <c r="U60" i="6"/>
  <c r="T60" i="6"/>
  <c r="S60" i="6"/>
  <c r="R60" i="6"/>
  <c r="Q60" i="6"/>
  <c r="AB59" i="6"/>
  <c r="AA59" i="6"/>
  <c r="Z59" i="6"/>
  <c r="Y59" i="6"/>
  <c r="X59" i="6"/>
  <c r="W59" i="6"/>
  <c r="V59" i="6"/>
  <c r="U59" i="6"/>
  <c r="T59" i="6"/>
  <c r="S59" i="6"/>
  <c r="R59" i="6"/>
  <c r="Q59" i="6"/>
  <c r="AB58" i="6"/>
  <c r="AA58" i="6"/>
  <c r="Z58" i="6"/>
  <c r="Y58" i="6"/>
  <c r="X58" i="6"/>
  <c r="W58" i="6"/>
  <c r="V58" i="6"/>
  <c r="U58" i="6"/>
  <c r="T58" i="6"/>
  <c r="S58" i="6"/>
  <c r="R58" i="6"/>
  <c r="Q58" i="6"/>
  <c r="AB57" i="6"/>
  <c r="AA57" i="6"/>
  <c r="Z57" i="6"/>
  <c r="Y57" i="6"/>
  <c r="X57" i="6"/>
  <c r="W57" i="6"/>
  <c r="V57" i="6"/>
  <c r="U57" i="6"/>
  <c r="T57" i="6"/>
  <c r="S57" i="6"/>
  <c r="R57" i="6"/>
  <c r="Q57" i="6"/>
  <c r="AB56" i="6"/>
  <c r="AA56" i="6"/>
  <c r="Z56" i="6"/>
  <c r="Y56" i="6"/>
  <c r="X56" i="6"/>
  <c r="W56" i="6"/>
  <c r="V56" i="6"/>
  <c r="U56" i="6"/>
  <c r="T56" i="6"/>
  <c r="S56" i="6"/>
  <c r="R56" i="6"/>
  <c r="Q56" i="6"/>
  <c r="AB55" i="6"/>
  <c r="AA55" i="6"/>
  <c r="Z55" i="6"/>
  <c r="Y55" i="6"/>
  <c r="X55" i="6"/>
  <c r="W55" i="6"/>
  <c r="V55" i="6"/>
  <c r="U55" i="6"/>
  <c r="T55" i="6"/>
  <c r="S55" i="6"/>
  <c r="R55" i="6"/>
  <c r="Q55" i="6"/>
  <c r="AB54" i="6"/>
  <c r="AA54" i="6"/>
  <c r="Z54" i="6"/>
  <c r="Y54" i="6"/>
  <c r="X54" i="6"/>
  <c r="W54" i="6"/>
  <c r="V54" i="6"/>
  <c r="U54" i="6"/>
  <c r="T54" i="6"/>
  <c r="S54" i="6"/>
  <c r="R54" i="6"/>
  <c r="Q54" i="6"/>
  <c r="AB52" i="6"/>
  <c r="AA52" i="6"/>
  <c r="Z52" i="6"/>
  <c r="Y52" i="6"/>
  <c r="X52" i="6"/>
  <c r="W52" i="6"/>
  <c r="V52" i="6"/>
  <c r="U52" i="6"/>
  <c r="T52" i="6"/>
  <c r="S52" i="6"/>
  <c r="R52" i="6"/>
  <c r="Q52" i="6"/>
  <c r="AB51" i="6"/>
  <c r="AA51" i="6"/>
  <c r="Z51" i="6"/>
  <c r="Y51" i="6"/>
  <c r="X51" i="6"/>
  <c r="W51" i="6"/>
  <c r="V51" i="6"/>
  <c r="U51" i="6"/>
  <c r="T51" i="6"/>
  <c r="S51" i="6"/>
  <c r="R51" i="6"/>
  <c r="Q51" i="6"/>
  <c r="AB50" i="6"/>
  <c r="AA50" i="6"/>
  <c r="Z50" i="6"/>
  <c r="Y50" i="6"/>
  <c r="X50" i="6"/>
  <c r="W50" i="6"/>
  <c r="V50" i="6"/>
  <c r="U50" i="6"/>
  <c r="T50" i="6"/>
  <c r="S50" i="6"/>
  <c r="R50" i="6"/>
  <c r="Q50" i="6"/>
  <c r="AB48" i="6"/>
  <c r="AA48" i="6"/>
  <c r="Z48" i="6"/>
  <c r="Y48" i="6"/>
  <c r="X48" i="6"/>
  <c r="W48" i="6"/>
  <c r="V48" i="6"/>
  <c r="U48" i="6"/>
  <c r="T48" i="6"/>
  <c r="S48" i="6"/>
  <c r="R48" i="6"/>
  <c r="Q48" i="6"/>
  <c r="AB47" i="6"/>
  <c r="AA47" i="6"/>
  <c r="Z47" i="6"/>
  <c r="Y47" i="6"/>
  <c r="X47" i="6"/>
  <c r="W47" i="6"/>
  <c r="V47" i="6"/>
  <c r="U47" i="6"/>
  <c r="T47" i="6"/>
  <c r="S47" i="6"/>
  <c r="R47" i="6"/>
  <c r="Q47" i="6"/>
  <c r="AB46" i="6"/>
  <c r="AA46" i="6"/>
  <c r="Z46" i="6"/>
  <c r="Y46" i="6"/>
  <c r="X46" i="6"/>
  <c r="W46" i="6"/>
  <c r="V46" i="6"/>
  <c r="U46" i="6"/>
  <c r="T46" i="6"/>
  <c r="S46" i="6"/>
  <c r="R46" i="6"/>
  <c r="Q46" i="6"/>
  <c r="AB45" i="6"/>
  <c r="AA45" i="6"/>
  <c r="Z45" i="6"/>
  <c r="Y45" i="6"/>
  <c r="X45" i="6"/>
  <c r="W45" i="6"/>
  <c r="V45" i="6"/>
  <c r="U45" i="6"/>
  <c r="T45" i="6"/>
  <c r="S45" i="6"/>
  <c r="R45" i="6"/>
  <c r="Q45" i="6"/>
  <c r="Q24" i="6"/>
  <c r="Q32" i="6"/>
  <c r="Q33" i="6"/>
  <c r="Q34" i="6"/>
  <c r="Q39" i="6"/>
  <c r="Q40" i="6"/>
  <c r="Q38" i="6"/>
  <c r="Q42" i="6"/>
  <c r="AB34" i="6"/>
  <c r="AA34" i="6"/>
  <c r="Z34" i="6"/>
  <c r="Y34" i="6"/>
  <c r="X34" i="6"/>
  <c r="W34" i="6"/>
  <c r="V34" i="6"/>
  <c r="U34" i="6"/>
  <c r="T34" i="6"/>
  <c r="S34" i="6"/>
  <c r="R34" i="6"/>
  <c r="AB39" i="6"/>
  <c r="AB40" i="6"/>
  <c r="AB38" i="6"/>
  <c r="AA39" i="6"/>
  <c r="AA40" i="6"/>
  <c r="AA38" i="6"/>
  <c r="Z39" i="6"/>
  <c r="Z40" i="6"/>
  <c r="Z38" i="6"/>
  <c r="Y39" i="6"/>
  <c r="Y40" i="6"/>
  <c r="Y38" i="6"/>
  <c r="X39" i="6"/>
  <c r="X40" i="6"/>
  <c r="X38" i="6"/>
  <c r="W39" i="6"/>
  <c r="W40" i="6"/>
  <c r="W38" i="6"/>
  <c r="V39" i="6"/>
  <c r="V40" i="6"/>
  <c r="V38" i="6"/>
  <c r="U39" i="6"/>
  <c r="U40" i="6"/>
  <c r="U38" i="6"/>
  <c r="T39" i="6"/>
  <c r="T40" i="6"/>
  <c r="T38" i="6"/>
  <c r="S39" i="6"/>
  <c r="S40" i="6"/>
  <c r="S38" i="6"/>
  <c r="R39" i="6"/>
  <c r="R40" i="6"/>
  <c r="R38" i="6"/>
  <c r="R33" i="6"/>
  <c r="S33" i="6"/>
  <c r="T33" i="6"/>
  <c r="U33" i="6"/>
  <c r="V33" i="6"/>
  <c r="W33" i="6"/>
  <c r="X33" i="6"/>
  <c r="Y33" i="6"/>
  <c r="Z33" i="6"/>
  <c r="AA33" i="6"/>
  <c r="AB33" i="6"/>
  <c r="Q35" i="6"/>
  <c r="R35" i="6"/>
  <c r="S35" i="6"/>
  <c r="T35" i="6"/>
  <c r="U35" i="6"/>
  <c r="V35" i="6"/>
  <c r="W35" i="6"/>
  <c r="X35" i="6"/>
  <c r="Y35" i="6"/>
  <c r="Z35" i="6"/>
  <c r="AA35" i="6"/>
  <c r="AB35" i="6"/>
  <c r="Q36" i="6"/>
  <c r="R36" i="6"/>
  <c r="S36" i="6"/>
  <c r="T36" i="6"/>
  <c r="U36" i="6"/>
  <c r="V36" i="6"/>
  <c r="W36" i="6"/>
  <c r="X36" i="6"/>
  <c r="Y36" i="6"/>
  <c r="Z36" i="6"/>
  <c r="AA36" i="6"/>
  <c r="AB36" i="6"/>
  <c r="Q37" i="6"/>
  <c r="R37" i="6"/>
  <c r="S37" i="6"/>
  <c r="T37" i="6"/>
  <c r="U37" i="6"/>
  <c r="V37" i="6"/>
  <c r="W37" i="6"/>
  <c r="X37" i="6"/>
  <c r="Y37" i="6"/>
  <c r="Z37" i="6"/>
  <c r="AA37" i="6"/>
  <c r="AB37" i="6"/>
  <c r="S32" i="6"/>
  <c r="T32" i="6"/>
  <c r="U32" i="6"/>
  <c r="V32" i="6"/>
  <c r="W32" i="6"/>
  <c r="X32" i="6"/>
  <c r="Y32" i="6"/>
  <c r="Z32" i="6"/>
  <c r="AA32" i="6"/>
  <c r="AB32" i="6"/>
  <c r="R32" i="6"/>
  <c r="Q26" i="6"/>
  <c r="R26" i="6"/>
  <c r="S26" i="6"/>
  <c r="T26" i="6"/>
  <c r="U26" i="6"/>
  <c r="V26" i="6"/>
  <c r="W26" i="6"/>
  <c r="X26" i="6"/>
  <c r="Y26" i="6"/>
  <c r="Z26" i="6"/>
  <c r="AA26" i="6"/>
  <c r="AB26" i="6"/>
  <c r="Q27" i="6"/>
  <c r="R27" i="6"/>
  <c r="S27" i="6"/>
  <c r="T27" i="6"/>
  <c r="U27" i="6"/>
  <c r="V27" i="6"/>
  <c r="W27" i="6"/>
  <c r="X27" i="6"/>
  <c r="Y27" i="6"/>
  <c r="Z27" i="6"/>
  <c r="AA27" i="6"/>
  <c r="AB27" i="6"/>
  <c r="Q28" i="6"/>
  <c r="R28" i="6"/>
  <c r="S28" i="6"/>
  <c r="T28" i="6"/>
  <c r="U28" i="6"/>
  <c r="V28" i="6"/>
  <c r="W28" i="6"/>
  <c r="X28" i="6"/>
  <c r="Y28" i="6"/>
  <c r="Z28" i="6"/>
  <c r="AA28" i="6"/>
  <c r="AB28" i="6"/>
  <c r="Q29" i="6"/>
  <c r="R29" i="6"/>
  <c r="S29" i="6"/>
  <c r="T29" i="6"/>
  <c r="U29" i="6"/>
  <c r="V29" i="6"/>
  <c r="W29" i="6"/>
  <c r="X29" i="6"/>
  <c r="Y29" i="6"/>
  <c r="Z29" i="6"/>
  <c r="AA29" i="6"/>
  <c r="AB29" i="6"/>
  <c r="Q30" i="6"/>
  <c r="R30" i="6"/>
  <c r="S30" i="6"/>
  <c r="T30" i="6"/>
  <c r="U30" i="6"/>
  <c r="V30" i="6"/>
  <c r="W30" i="6"/>
  <c r="X30" i="6"/>
  <c r="Y30" i="6"/>
  <c r="Z30" i="6"/>
  <c r="AA30" i="6"/>
  <c r="AB30" i="6"/>
  <c r="R25" i="6"/>
  <c r="S25" i="6"/>
  <c r="T25" i="6"/>
  <c r="U25" i="6"/>
  <c r="V25" i="6"/>
  <c r="W25" i="6"/>
  <c r="X25" i="6"/>
  <c r="Y25" i="6"/>
  <c r="Z25" i="6"/>
  <c r="AA25" i="6"/>
  <c r="AB25" i="6"/>
  <c r="Q25" i="6"/>
  <c r="J14" i="16"/>
  <c r="D45" i="6"/>
  <c r="D46" i="6"/>
  <c r="D47" i="6"/>
  <c r="Q44" i="6"/>
  <c r="D48" i="6"/>
  <c r="D50" i="6"/>
  <c r="D51" i="6"/>
  <c r="D52" i="6"/>
  <c r="Q49" i="6"/>
  <c r="D54" i="6"/>
  <c r="D55" i="6"/>
  <c r="D56" i="6"/>
  <c r="D57" i="6"/>
  <c r="D58" i="6"/>
  <c r="D59" i="6"/>
  <c r="D60" i="6"/>
  <c r="D61" i="6"/>
  <c r="D62" i="6"/>
  <c r="Q53" i="6"/>
  <c r="Q64" i="6"/>
  <c r="D24" i="6"/>
  <c r="D32" i="6"/>
  <c r="D33" i="6"/>
  <c r="D34" i="6"/>
  <c r="D180" i="6"/>
  <c r="D179" i="6"/>
  <c r="D178" i="6"/>
  <c r="D177" i="6"/>
  <c r="D176" i="6"/>
  <c r="D166" i="6"/>
  <c r="D165" i="6"/>
  <c r="D164" i="6"/>
  <c r="D153" i="6"/>
  <c r="D152" i="6"/>
  <c r="D150" i="6"/>
  <c r="D144" i="6"/>
  <c r="D143" i="6"/>
  <c r="D141" i="6"/>
  <c r="D131" i="6"/>
  <c r="D130" i="6"/>
  <c r="D129" i="6"/>
  <c r="D128" i="6"/>
  <c r="D127" i="6"/>
  <c r="D126" i="6"/>
  <c r="D125" i="6"/>
  <c r="D121" i="6"/>
  <c r="D120" i="6"/>
  <c r="D119" i="6"/>
  <c r="D118" i="6"/>
  <c r="D117" i="6"/>
  <c r="D116" i="6"/>
  <c r="D115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89" i="6"/>
  <c r="D88" i="6"/>
  <c r="D87" i="6"/>
  <c r="D86" i="6"/>
  <c r="D84" i="6"/>
  <c r="D83" i="6"/>
  <c r="D82" i="6"/>
  <c r="D81" i="6"/>
  <c r="D80" i="6"/>
  <c r="D79" i="6"/>
  <c r="D77" i="6"/>
  <c r="D76" i="6"/>
  <c r="D74" i="6"/>
  <c r="D73" i="6"/>
  <c r="D72" i="6"/>
  <c r="D40" i="6"/>
  <c r="D39" i="6"/>
  <c r="D37" i="6"/>
  <c r="D36" i="6"/>
  <c r="D35" i="6"/>
  <c r="D26" i="6"/>
  <c r="D27" i="6"/>
  <c r="D28" i="6"/>
  <c r="D29" i="6"/>
  <c r="D30" i="6"/>
  <c r="D25" i="6"/>
  <c r="AF1" i="6"/>
  <c r="AF2" i="6"/>
  <c r="AF25" i="6"/>
  <c r="AF26" i="6"/>
  <c r="AF27" i="6"/>
  <c r="AF28" i="6"/>
  <c r="AF29" i="6"/>
  <c r="AF30" i="6"/>
  <c r="AF32" i="6"/>
  <c r="AF33" i="6"/>
  <c r="AF35" i="6"/>
  <c r="AF36" i="6"/>
  <c r="AF37" i="6"/>
  <c r="AF39" i="6"/>
  <c r="AF40" i="6"/>
  <c r="AF45" i="6"/>
  <c r="AF46" i="6"/>
  <c r="AF47" i="6"/>
  <c r="AF48" i="6"/>
  <c r="AF50" i="6"/>
  <c r="AF51" i="6"/>
  <c r="AF52" i="6"/>
  <c r="AF54" i="6"/>
  <c r="AF55" i="6"/>
  <c r="AF56" i="6"/>
  <c r="AF57" i="6"/>
  <c r="AF58" i="6"/>
  <c r="AF59" i="6"/>
  <c r="AF60" i="6"/>
  <c r="AF61" i="6"/>
  <c r="AF62" i="6"/>
  <c r="AF72" i="6"/>
  <c r="AF73" i="6"/>
  <c r="AF74" i="6"/>
  <c r="AF76" i="6"/>
  <c r="AF77" i="6"/>
  <c r="AF79" i="6"/>
  <c r="AF80" i="6"/>
  <c r="AF81" i="6"/>
  <c r="AF82" i="6"/>
  <c r="AF83" i="6"/>
  <c r="AF84" i="6"/>
  <c r="AF86" i="6"/>
  <c r="AF87" i="6"/>
  <c r="AF88" i="6"/>
  <c r="AF89" i="6"/>
  <c r="AF91" i="6"/>
  <c r="AF92" i="6"/>
  <c r="AF93" i="6"/>
  <c r="AF94" i="6"/>
  <c r="AF95" i="6"/>
  <c r="AF96" i="6"/>
  <c r="AF97" i="6"/>
  <c r="AF98" i="6"/>
  <c r="AF99" i="6"/>
  <c r="AF100" i="6"/>
  <c r="AF101" i="6"/>
  <c r="AF102" i="6"/>
  <c r="AF103" i="6"/>
  <c r="AF104" i="6"/>
  <c r="AF105" i="6"/>
  <c r="AF106" i="6"/>
  <c r="AF107" i="6"/>
  <c r="AF108" i="6"/>
  <c r="AF109" i="6"/>
  <c r="AF110" i="6"/>
  <c r="AF111" i="6"/>
  <c r="AF112" i="6"/>
  <c r="AF113" i="6"/>
  <c r="AF114" i="6"/>
  <c r="AF115" i="6"/>
  <c r="AF116" i="6"/>
  <c r="AF117" i="6"/>
  <c r="AF118" i="6"/>
  <c r="AF119" i="6"/>
  <c r="AF120" i="6"/>
  <c r="AF121" i="6"/>
  <c r="AF125" i="6"/>
  <c r="AF126" i="6"/>
  <c r="AF127" i="6"/>
  <c r="AF128" i="6"/>
  <c r="AF129" i="6"/>
  <c r="AF130" i="6"/>
  <c r="AF131" i="6"/>
  <c r="AF141" i="6"/>
  <c r="AF143" i="6"/>
  <c r="AF144" i="6"/>
  <c r="AF150" i="6"/>
  <c r="AF152" i="6"/>
  <c r="AF153" i="6"/>
  <c r="AF164" i="6"/>
  <c r="AF165" i="6"/>
  <c r="AF166" i="6"/>
  <c r="AF176" i="6"/>
  <c r="AF177" i="6"/>
  <c r="AF178" i="6"/>
  <c r="AF179" i="6"/>
  <c r="AF180" i="6"/>
  <c r="J13" i="16"/>
  <c r="J15" i="16"/>
  <c r="AF180" i="16"/>
  <c r="I1" i="16"/>
  <c r="I2" i="16"/>
  <c r="I3" i="16"/>
  <c r="N2" i="16"/>
  <c r="J16" i="16"/>
  <c r="D180" i="16"/>
  <c r="N180" i="16"/>
  <c r="I4" i="16"/>
  <c r="L2" i="16"/>
  <c r="L180" i="16"/>
  <c r="J180" i="16"/>
  <c r="I180" i="16"/>
  <c r="AF179" i="16"/>
  <c r="D179" i="16"/>
  <c r="N179" i="16"/>
  <c r="L179" i="16"/>
  <c r="J179" i="16"/>
  <c r="I179" i="16"/>
  <c r="AF178" i="16"/>
  <c r="D178" i="16"/>
  <c r="N178" i="16"/>
  <c r="L178" i="16"/>
  <c r="J178" i="16"/>
  <c r="I178" i="16"/>
  <c r="AF177" i="16"/>
  <c r="D177" i="16"/>
  <c r="N177" i="16"/>
  <c r="L177" i="16"/>
  <c r="J177" i="16"/>
  <c r="I177" i="16"/>
  <c r="AF176" i="16"/>
  <c r="D176" i="16"/>
  <c r="N176" i="16"/>
  <c r="L176" i="16"/>
  <c r="J176" i="16"/>
  <c r="I176" i="16"/>
  <c r="D125" i="16"/>
  <c r="N125" i="16"/>
  <c r="D126" i="16"/>
  <c r="N126" i="16"/>
  <c r="D127" i="16"/>
  <c r="N127" i="16"/>
  <c r="D128" i="16"/>
  <c r="N128" i="16"/>
  <c r="D129" i="16"/>
  <c r="N129" i="16"/>
  <c r="D130" i="16"/>
  <c r="N130" i="16"/>
  <c r="D131" i="16"/>
  <c r="N131" i="16"/>
  <c r="N133" i="16"/>
  <c r="D72" i="16"/>
  <c r="N72" i="16"/>
  <c r="D73" i="16"/>
  <c r="N73" i="16"/>
  <c r="D74" i="16"/>
  <c r="N74" i="16"/>
  <c r="N71" i="16"/>
  <c r="D76" i="16"/>
  <c r="N76" i="16"/>
  <c r="D77" i="16"/>
  <c r="N77" i="16"/>
  <c r="N75" i="16"/>
  <c r="D79" i="16"/>
  <c r="N79" i="16"/>
  <c r="D80" i="16"/>
  <c r="N80" i="16"/>
  <c r="D81" i="16"/>
  <c r="N81" i="16"/>
  <c r="D82" i="16"/>
  <c r="N82" i="16"/>
  <c r="D83" i="16"/>
  <c r="N83" i="16"/>
  <c r="D84" i="16"/>
  <c r="N84" i="16"/>
  <c r="N78" i="16"/>
  <c r="D85" i="16"/>
  <c r="N85" i="16"/>
  <c r="D91" i="16"/>
  <c r="N91" i="16"/>
  <c r="D92" i="16"/>
  <c r="N92" i="16"/>
  <c r="D93" i="16"/>
  <c r="N93" i="16"/>
  <c r="D94" i="16"/>
  <c r="N94" i="16"/>
  <c r="D95" i="16"/>
  <c r="N95" i="16"/>
  <c r="D96" i="16"/>
  <c r="N96" i="16"/>
  <c r="D97" i="16"/>
  <c r="N97" i="16"/>
  <c r="D98" i="16"/>
  <c r="N98" i="16"/>
  <c r="D99" i="16"/>
  <c r="N99" i="16"/>
  <c r="D100" i="16"/>
  <c r="N100" i="16"/>
  <c r="D101" i="16"/>
  <c r="N101" i="16"/>
  <c r="D102" i="16"/>
  <c r="N102" i="16"/>
  <c r="D103" i="16"/>
  <c r="N103" i="16"/>
  <c r="D104" i="16"/>
  <c r="N104" i="16"/>
  <c r="D105" i="16"/>
  <c r="N105" i="16"/>
  <c r="D106" i="16"/>
  <c r="N106" i="16"/>
  <c r="D107" i="16"/>
  <c r="N107" i="16"/>
  <c r="D108" i="16"/>
  <c r="N108" i="16"/>
  <c r="D109" i="16"/>
  <c r="N109" i="16"/>
  <c r="D110" i="16"/>
  <c r="N110" i="16"/>
  <c r="D111" i="16"/>
  <c r="N111" i="16"/>
  <c r="D112" i="16"/>
  <c r="N112" i="16"/>
  <c r="D113" i="16"/>
  <c r="N113" i="16"/>
  <c r="N114" i="16"/>
  <c r="D115" i="16"/>
  <c r="N115" i="16"/>
  <c r="D116" i="16"/>
  <c r="N116" i="16"/>
  <c r="D117" i="16"/>
  <c r="N117" i="16"/>
  <c r="D118" i="16"/>
  <c r="N118" i="16"/>
  <c r="D119" i="16"/>
  <c r="N119" i="16"/>
  <c r="D120" i="16"/>
  <c r="N120" i="16"/>
  <c r="D121" i="16"/>
  <c r="N121" i="16"/>
  <c r="N90" i="16"/>
  <c r="N123" i="16"/>
  <c r="D24" i="16"/>
  <c r="N24" i="16"/>
  <c r="D32" i="16"/>
  <c r="N32" i="16"/>
  <c r="D33" i="16"/>
  <c r="N33" i="16"/>
  <c r="D35" i="16"/>
  <c r="N35" i="16"/>
  <c r="D36" i="16"/>
  <c r="N36" i="16"/>
  <c r="D37" i="16"/>
  <c r="N37" i="16"/>
  <c r="N34" i="16"/>
  <c r="D39" i="16"/>
  <c r="N39" i="16"/>
  <c r="D40" i="16"/>
  <c r="N40" i="16"/>
  <c r="N38" i="16"/>
  <c r="N42" i="16"/>
  <c r="D45" i="16"/>
  <c r="N45" i="16"/>
  <c r="D46" i="16"/>
  <c r="N46" i="16"/>
  <c r="D47" i="16"/>
  <c r="N47" i="16"/>
  <c r="N44" i="16"/>
  <c r="D48" i="16"/>
  <c r="N48" i="16"/>
  <c r="D50" i="16"/>
  <c r="N50" i="16"/>
  <c r="D51" i="16"/>
  <c r="N51" i="16"/>
  <c r="D52" i="16"/>
  <c r="N52" i="16"/>
  <c r="N49" i="16"/>
  <c r="D54" i="16"/>
  <c r="N54" i="16"/>
  <c r="D55" i="16"/>
  <c r="N55" i="16"/>
  <c r="D56" i="16"/>
  <c r="N56" i="16"/>
  <c r="D57" i="16"/>
  <c r="N57" i="16"/>
  <c r="D58" i="16"/>
  <c r="N58" i="16"/>
  <c r="D59" i="16"/>
  <c r="N59" i="16"/>
  <c r="D60" i="16"/>
  <c r="N60" i="16"/>
  <c r="D61" i="16"/>
  <c r="N61" i="16"/>
  <c r="D62" i="16"/>
  <c r="N62" i="16"/>
  <c r="N53" i="16"/>
  <c r="N64" i="16"/>
  <c r="N67" i="16"/>
  <c r="N136" i="16"/>
  <c r="D141" i="16"/>
  <c r="N141" i="16"/>
  <c r="N140" i="16"/>
  <c r="D143" i="16"/>
  <c r="N143" i="16"/>
  <c r="D144" i="16"/>
  <c r="N144" i="16"/>
  <c r="N142" i="16"/>
  <c r="N146" i="16"/>
  <c r="D150" i="16"/>
  <c r="N150" i="16"/>
  <c r="N149" i="16"/>
  <c r="D152" i="16"/>
  <c r="N152" i="16"/>
  <c r="D153" i="16"/>
  <c r="N153" i="16"/>
  <c r="N151" i="16"/>
  <c r="N155" i="16"/>
  <c r="N159" i="16"/>
  <c r="D164" i="16"/>
  <c r="N164" i="16"/>
  <c r="D165" i="16"/>
  <c r="N165" i="16"/>
  <c r="D166" i="16"/>
  <c r="N166" i="16"/>
  <c r="N163" i="16"/>
  <c r="N170" i="16"/>
  <c r="N171" i="16"/>
  <c r="L125" i="16"/>
  <c r="L126" i="16"/>
  <c r="L127" i="16"/>
  <c r="L128" i="16"/>
  <c r="L129" i="16"/>
  <c r="L130" i="16"/>
  <c r="L131" i="16"/>
  <c r="L133" i="16"/>
  <c r="L72" i="16"/>
  <c r="L73" i="16"/>
  <c r="L74" i="16"/>
  <c r="L71" i="16"/>
  <c r="L76" i="16"/>
  <c r="L77" i="16"/>
  <c r="L75" i="16"/>
  <c r="L79" i="16"/>
  <c r="L80" i="16"/>
  <c r="L81" i="16"/>
  <c r="L82" i="16"/>
  <c r="L83" i="16"/>
  <c r="L84" i="16"/>
  <c r="L78" i="16"/>
  <c r="L85" i="16"/>
  <c r="L91" i="16"/>
  <c r="L92" i="16"/>
  <c r="L93" i="16"/>
  <c r="L94" i="16"/>
  <c r="L95" i="16"/>
  <c r="L96" i="16"/>
  <c r="L97" i="16"/>
  <c r="L98" i="16"/>
  <c r="L99" i="16"/>
  <c r="L100" i="16"/>
  <c r="L101" i="16"/>
  <c r="L102" i="16"/>
  <c r="L103" i="16"/>
  <c r="L104" i="16"/>
  <c r="L105" i="16"/>
  <c r="L106" i="16"/>
  <c r="L107" i="16"/>
  <c r="L108" i="16"/>
  <c r="L109" i="16"/>
  <c r="L110" i="16"/>
  <c r="L111" i="16"/>
  <c r="L112" i="16"/>
  <c r="L113" i="16"/>
  <c r="L114" i="16"/>
  <c r="L115" i="16"/>
  <c r="L116" i="16"/>
  <c r="L117" i="16"/>
  <c r="L118" i="16"/>
  <c r="L119" i="16"/>
  <c r="L120" i="16"/>
  <c r="L121" i="16"/>
  <c r="L90" i="16"/>
  <c r="L123" i="16"/>
  <c r="L24" i="16"/>
  <c r="L32" i="16"/>
  <c r="L33" i="16"/>
  <c r="L35" i="16"/>
  <c r="L36" i="16"/>
  <c r="L37" i="16"/>
  <c r="L34" i="16"/>
  <c r="L39" i="16"/>
  <c r="L40" i="16"/>
  <c r="L38" i="16"/>
  <c r="L42" i="16"/>
  <c r="L45" i="16"/>
  <c r="L46" i="16"/>
  <c r="L47" i="16"/>
  <c r="L44" i="16"/>
  <c r="L48" i="16"/>
  <c r="L50" i="16"/>
  <c r="L51" i="16"/>
  <c r="L52" i="16"/>
  <c r="L49" i="16"/>
  <c r="L54" i="16"/>
  <c r="L55" i="16"/>
  <c r="L56" i="16"/>
  <c r="L57" i="16"/>
  <c r="L58" i="16"/>
  <c r="L59" i="16"/>
  <c r="L60" i="16"/>
  <c r="L61" i="16"/>
  <c r="L62" i="16"/>
  <c r="L53" i="16"/>
  <c r="L64" i="16"/>
  <c r="L67" i="16"/>
  <c r="L136" i="16"/>
  <c r="L141" i="16"/>
  <c r="L140" i="16"/>
  <c r="L143" i="16"/>
  <c r="L144" i="16"/>
  <c r="L142" i="16"/>
  <c r="L146" i="16"/>
  <c r="L150" i="16"/>
  <c r="L149" i="16"/>
  <c r="L152" i="16"/>
  <c r="L153" i="16"/>
  <c r="L151" i="16"/>
  <c r="L155" i="16"/>
  <c r="L159" i="16"/>
  <c r="L164" i="16"/>
  <c r="L165" i="16"/>
  <c r="L166" i="16"/>
  <c r="L163" i="16"/>
  <c r="L170" i="16"/>
  <c r="L171" i="16"/>
  <c r="D171" i="16"/>
  <c r="D170" i="16"/>
  <c r="J170" i="16"/>
  <c r="I170" i="16"/>
  <c r="AF166" i="16"/>
  <c r="J166" i="16"/>
  <c r="I166" i="16"/>
  <c r="AF165" i="16"/>
  <c r="J165" i="16"/>
  <c r="I165" i="16"/>
  <c r="AF164" i="16"/>
  <c r="J164" i="16"/>
  <c r="I164" i="16"/>
  <c r="D163" i="16"/>
  <c r="J163" i="16"/>
  <c r="I163" i="16"/>
  <c r="N160" i="16"/>
  <c r="L160" i="16"/>
  <c r="D160" i="16"/>
  <c r="D159" i="16"/>
  <c r="J159" i="16"/>
  <c r="I159" i="16"/>
  <c r="D155" i="16"/>
  <c r="J155" i="16"/>
  <c r="I155" i="16"/>
  <c r="AF153" i="16"/>
  <c r="J153" i="16"/>
  <c r="I153" i="16"/>
  <c r="AF152" i="16"/>
  <c r="J152" i="16"/>
  <c r="I152" i="16"/>
  <c r="D151" i="16"/>
  <c r="J151" i="16"/>
  <c r="I151" i="16"/>
  <c r="AF150" i="16"/>
  <c r="J150" i="16"/>
  <c r="I150" i="16"/>
  <c r="D149" i="16"/>
  <c r="J149" i="16"/>
  <c r="I149" i="16"/>
  <c r="D146" i="16"/>
  <c r="J146" i="16"/>
  <c r="I146" i="16"/>
  <c r="AF144" i="16"/>
  <c r="J144" i="16"/>
  <c r="I144" i="16"/>
  <c r="AF143" i="16"/>
  <c r="J143" i="16"/>
  <c r="I143" i="16"/>
  <c r="D142" i="16"/>
  <c r="J142" i="16"/>
  <c r="I142" i="16"/>
  <c r="AF141" i="16"/>
  <c r="J141" i="16"/>
  <c r="I141" i="16"/>
  <c r="D140" i="16"/>
  <c r="J140" i="16"/>
  <c r="I140" i="16"/>
  <c r="N137" i="16"/>
  <c r="L137" i="16"/>
  <c r="D137" i="16"/>
  <c r="D136" i="16"/>
  <c r="J136" i="16"/>
  <c r="I136" i="16"/>
  <c r="D133" i="16"/>
  <c r="J133" i="16"/>
  <c r="I133" i="16"/>
  <c r="AF131" i="16"/>
  <c r="J131" i="16"/>
  <c r="I131" i="16"/>
  <c r="AF130" i="16"/>
  <c r="J130" i="16"/>
  <c r="I130" i="16"/>
  <c r="AF129" i="16"/>
  <c r="J129" i="16"/>
  <c r="I129" i="16"/>
  <c r="AF128" i="16"/>
  <c r="J128" i="16"/>
  <c r="I128" i="16"/>
  <c r="AF127" i="16"/>
  <c r="J127" i="16"/>
  <c r="I127" i="16"/>
  <c r="AF126" i="16"/>
  <c r="J126" i="16"/>
  <c r="I126" i="16"/>
  <c r="AF125" i="16"/>
  <c r="J125" i="16"/>
  <c r="I125" i="16"/>
  <c r="D123" i="16"/>
  <c r="J123" i="16"/>
  <c r="I123" i="16"/>
  <c r="N122" i="16"/>
  <c r="L122" i="16"/>
  <c r="H122" i="16"/>
  <c r="AF121" i="16"/>
  <c r="J121" i="16"/>
  <c r="I121" i="16"/>
  <c r="AF120" i="16"/>
  <c r="J120" i="16"/>
  <c r="I120" i="16"/>
  <c r="AF119" i="16"/>
  <c r="J119" i="16"/>
  <c r="I119" i="16"/>
  <c r="AF118" i="16"/>
  <c r="J118" i="16"/>
  <c r="I118" i="16"/>
  <c r="AF117" i="16"/>
  <c r="J117" i="16"/>
  <c r="I117" i="16"/>
  <c r="AF116" i="16"/>
  <c r="J116" i="16"/>
  <c r="I116" i="16"/>
  <c r="AF115" i="16"/>
  <c r="J115" i="16"/>
  <c r="I115" i="16"/>
  <c r="AF114" i="16"/>
  <c r="J114" i="16"/>
  <c r="I114" i="16"/>
  <c r="AF113" i="16"/>
  <c r="J113" i="16"/>
  <c r="I113" i="16"/>
  <c r="AF112" i="16"/>
  <c r="J112" i="16"/>
  <c r="I112" i="16"/>
  <c r="AF111" i="16"/>
  <c r="J111" i="16"/>
  <c r="I111" i="16"/>
  <c r="AF110" i="16"/>
  <c r="J110" i="16"/>
  <c r="I110" i="16"/>
  <c r="AF109" i="16"/>
  <c r="J109" i="16"/>
  <c r="I109" i="16"/>
  <c r="AF108" i="16"/>
  <c r="J108" i="16"/>
  <c r="I108" i="16"/>
  <c r="AF107" i="16"/>
  <c r="J107" i="16"/>
  <c r="I107" i="16"/>
  <c r="AF106" i="16"/>
  <c r="J106" i="16"/>
  <c r="I106" i="16"/>
  <c r="AF105" i="16"/>
  <c r="J105" i="16"/>
  <c r="I105" i="16"/>
  <c r="AF104" i="16"/>
  <c r="J104" i="16"/>
  <c r="I104" i="16"/>
  <c r="AF103" i="16"/>
  <c r="J103" i="16"/>
  <c r="I103" i="16"/>
  <c r="AF102" i="16"/>
  <c r="J102" i="16"/>
  <c r="I102" i="16"/>
  <c r="AF101" i="16"/>
  <c r="J101" i="16"/>
  <c r="I101" i="16"/>
  <c r="AF100" i="16"/>
  <c r="J100" i="16"/>
  <c r="I100" i="16"/>
  <c r="AF99" i="16"/>
  <c r="J99" i="16"/>
  <c r="I99" i="16"/>
  <c r="AF98" i="16"/>
  <c r="J98" i="16"/>
  <c r="I98" i="16"/>
  <c r="AF97" i="16"/>
  <c r="J97" i="16"/>
  <c r="I97" i="16"/>
  <c r="AF96" i="16"/>
  <c r="J96" i="16"/>
  <c r="I96" i="16"/>
  <c r="AF95" i="16"/>
  <c r="AF94" i="16"/>
  <c r="J94" i="16"/>
  <c r="I94" i="16"/>
  <c r="AF93" i="16"/>
  <c r="J93" i="16"/>
  <c r="I93" i="16"/>
  <c r="AF92" i="16"/>
  <c r="H92" i="16"/>
  <c r="AF91" i="16"/>
  <c r="J91" i="16"/>
  <c r="I91" i="16"/>
  <c r="D90" i="16"/>
  <c r="J90" i="16"/>
  <c r="I90" i="16"/>
  <c r="AF89" i="16"/>
  <c r="D89" i="16"/>
  <c r="N89" i="16"/>
  <c r="L89" i="16"/>
  <c r="J89" i="16"/>
  <c r="I89" i="16"/>
  <c r="AF88" i="16"/>
  <c r="D88" i="16"/>
  <c r="N88" i="16"/>
  <c r="L88" i="16"/>
  <c r="J88" i="16"/>
  <c r="I88" i="16"/>
  <c r="AF87" i="16"/>
  <c r="D87" i="16"/>
  <c r="N87" i="16"/>
  <c r="L87" i="16"/>
  <c r="J87" i="16"/>
  <c r="I87" i="16"/>
  <c r="AF86" i="16"/>
  <c r="D86" i="16"/>
  <c r="N86" i="16"/>
  <c r="L86" i="16"/>
  <c r="J85" i="16"/>
  <c r="I85" i="16"/>
  <c r="AF84" i="16"/>
  <c r="J84" i="16"/>
  <c r="I84" i="16"/>
  <c r="AF83" i="16"/>
  <c r="J83" i="16"/>
  <c r="I83" i="16"/>
  <c r="AF82" i="16"/>
  <c r="J82" i="16"/>
  <c r="I82" i="16"/>
  <c r="AF81" i="16"/>
  <c r="J81" i="16"/>
  <c r="I81" i="16"/>
  <c r="AF80" i="16"/>
  <c r="J80" i="16"/>
  <c r="I80" i="16"/>
  <c r="AF79" i="16"/>
  <c r="J79" i="16"/>
  <c r="I79" i="16"/>
  <c r="D78" i="16"/>
  <c r="J78" i="16"/>
  <c r="I78" i="16"/>
  <c r="AF77" i="16"/>
  <c r="J77" i="16"/>
  <c r="I77" i="16"/>
  <c r="AF76" i="16"/>
  <c r="J76" i="16"/>
  <c r="I76" i="16"/>
  <c r="AF74" i="16"/>
  <c r="J74" i="16"/>
  <c r="I74" i="16"/>
  <c r="AF73" i="16"/>
  <c r="J73" i="16"/>
  <c r="I73" i="16"/>
  <c r="AF72" i="16"/>
  <c r="J72" i="16"/>
  <c r="I72" i="16"/>
  <c r="D71" i="16"/>
  <c r="J71" i="16"/>
  <c r="I71" i="16"/>
  <c r="N70" i="16"/>
  <c r="L70" i="16"/>
  <c r="J70" i="16"/>
  <c r="I70" i="16"/>
  <c r="P68" i="16"/>
  <c r="N68" i="16"/>
  <c r="L68" i="16"/>
  <c r="D68" i="16"/>
  <c r="D67" i="16"/>
  <c r="J67" i="16"/>
  <c r="I67" i="16"/>
  <c r="K64" i="16"/>
  <c r="D64" i="16"/>
  <c r="J64" i="16"/>
  <c r="I64" i="16"/>
  <c r="AF62" i="16"/>
  <c r="J62" i="16"/>
  <c r="I62" i="16"/>
  <c r="AF61" i="16"/>
  <c r="J61" i="16"/>
  <c r="I61" i="16"/>
  <c r="AF60" i="16"/>
  <c r="J60" i="16"/>
  <c r="I60" i="16"/>
  <c r="AF59" i="16"/>
  <c r="J59" i="16"/>
  <c r="I59" i="16"/>
  <c r="AF58" i="16"/>
  <c r="J58" i="16"/>
  <c r="I58" i="16"/>
  <c r="AF57" i="16"/>
  <c r="J57" i="16"/>
  <c r="I57" i="16"/>
  <c r="AF56" i="16"/>
  <c r="J56" i="16"/>
  <c r="I56" i="16"/>
  <c r="AF55" i="16"/>
  <c r="J55" i="16"/>
  <c r="I55" i="16"/>
  <c r="AF54" i="16"/>
  <c r="J54" i="16"/>
  <c r="I54" i="16"/>
  <c r="D53" i="16"/>
  <c r="J53" i="16"/>
  <c r="I53" i="16"/>
  <c r="AF52" i="16"/>
  <c r="J52" i="16"/>
  <c r="I52" i="16"/>
  <c r="AF51" i="16"/>
  <c r="J51" i="16"/>
  <c r="I51" i="16"/>
  <c r="AF50" i="16"/>
  <c r="J50" i="16"/>
  <c r="I50" i="16"/>
  <c r="AF48" i="16"/>
  <c r="J48" i="16"/>
  <c r="I48" i="16"/>
  <c r="AF47" i="16"/>
  <c r="AF46" i="16"/>
  <c r="J46" i="16"/>
  <c r="I46" i="16"/>
  <c r="AF45" i="16"/>
  <c r="J45" i="16"/>
  <c r="I45" i="16"/>
  <c r="M44" i="16"/>
  <c r="D44" i="16"/>
  <c r="J44" i="16"/>
  <c r="I44" i="16"/>
  <c r="D42" i="16"/>
  <c r="J42" i="16"/>
  <c r="I42" i="16"/>
  <c r="AF40" i="16"/>
  <c r="J40" i="16"/>
  <c r="I40" i="16"/>
  <c r="AF39" i="16"/>
  <c r="J39" i="16"/>
  <c r="I39" i="16"/>
  <c r="M38" i="16"/>
  <c r="J38" i="16"/>
  <c r="I38" i="16"/>
  <c r="AF37" i="16"/>
  <c r="J37" i="16"/>
  <c r="I37" i="16"/>
  <c r="H37" i="16"/>
  <c r="AF36" i="16"/>
  <c r="J36" i="16"/>
  <c r="I36" i="16"/>
  <c r="AF35" i="16"/>
  <c r="J35" i="16"/>
  <c r="I35" i="16"/>
  <c r="D34" i="16"/>
  <c r="J34" i="16"/>
  <c r="AF33" i="16"/>
  <c r="J33" i="16"/>
  <c r="I33" i="16"/>
  <c r="AF32" i="16"/>
  <c r="J32" i="16"/>
  <c r="I32" i="16"/>
  <c r="AF30" i="16"/>
  <c r="D30" i="16"/>
  <c r="N30" i="16"/>
  <c r="L30" i="16"/>
  <c r="I30" i="16"/>
  <c r="AF29" i="16"/>
  <c r="D29" i="16"/>
  <c r="N29" i="16"/>
  <c r="L29" i="16"/>
  <c r="I29" i="16"/>
  <c r="AF28" i="16"/>
  <c r="D28" i="16"/>
  <c r="N28" i="16"/>
  <c r="L28" i="16"/>
  <c r="I28" i="16"/>
  <c r="AF27" i="16"/>
  <c r="D27" i="16"/>
  <c r="N27" i="16"/>
  <c r="L27" i="16"/>
  <c r="I27" i="16"/>
  <c r="AF26" i="16"/>
  <c r="D26" i="16"/>
  <c r="N26" i="16"/>
  <c r="L26" i="16"/>
  <c r="I26" i="16"/>
  <c r="AF25" i="16"/>
  <c r="D25" i="16"/>
  <c r="N25" i="16"/>
  <c r="L25" i="16"/>
  <c r="I25" i="16"/>
  <c r="J24" i="16"/>
  <c r="I24" i="16"/>
  <c r="AB1" i="16"/>
  <c r="AB22" i="16"/>
  <c r="AA1" i="16"/>
  <c r="AA22" i="16"/>
  <c r="Z1" i="16"/>
  <c r="Z22" i="16"/>
  <c r="Y1" i="16"/>
  <c r="Y22" i="16"/>
  <c r="X1" i="16"/>
  <c r="X22" i="16"/>
  <c r="W1" i="16"/>
  <c r="W22" i="16"/>
  <c r="V1" i="16"/>
  <c r="V22" i="16"/>
  <c r="U1" i="16"/>
  <c r="U22" i="16"/>
  <c r="T1" i="16"/>
  <c r="T22" i="16"/>
  <c r="S1" i="16"/>
  <c r="S22" i="16"/>
  <c r="R1" i="16"/>
  <c r="R22" i="16"/>
  <c r="Q1" i="16"/>
  <c r="Q22" i="16"/>
  <c r="N22" i="16"/>
  <c r="L22" i="16"/>
  <c r="J17" i="16"/>
  <c r="J12" i="16"/>
  <c r="I9" i="16"/>
  <c r="AF2" i="16"/>
  <c r="AF1" i="16"/>
  <c r="B6" i="3"/>
  <c r="I104" i="6"/>
  <c r="I3" i="6"/>
  <c r="N2" i="6"/>
  <c r="N104" i="6"/>
  <c r="I4" i="6"/>
  <c r="L2" i="6"/>
  <c r="L104" i="6"/>
  <c r="J104" i="6"/>
  <c r="I99" i="6"/>
  <c r="N99" i="6"/>
  <c r="L99" i="6"/>
  <c r="J99" i="6"/>
  <c r="N150" i="6"/>
  <c r="N149" i="6"/>
  <c r="N152" i="6"/>
  <c r="N153" i="6"/>
  <c r="N151" i="6"/>
  <c r="N155" i="6"/>
  <c r="L150" i="6"/>
  <c r="L149" i="6"/>
  <c r="L152" i="6"/>
  <c r="L153" i="6"/>
  <c r="L151" i="6"/>
  <c r="L155" i="6"/>
  <c r="AB149" i="6"/>
  <c r="AB151" i="6"/>
  <c r="AB155" i="6"/>
  <c r="AA149" i="6"/>
  <c r="AA151" i="6"/>
  <c r="AA155" i="6"/>
  <c r="Z149" i="6"/>
  <c r="Z151" i="6"/>
  <c r="Z155" i="6"/>
  <c r="Y149" i="6"/>
  <c r="Y151" i="6"/>
  <c r="Y155" i="6"/>
  <c r="X149" i="6"/>
  <c r="X151" i="6"/>
  <c r="X155" i="6"/>
  <c r="W149" i="6"/>
  <c r="W151" i="6"/>
  <c r="W155" i="6"/>
  <c r="V149" i="6"/>
  <c r="V151" i="6"/>
  <c r="V155" i="6"/>
  <c r="U149" i="6"/>
  <c r="U151" i="6"/>
  <c r="U155" i="6"/>
  <c r="T149" i="6"/>
  <c r="T151" i="6"/>
  <c r="T155" i="6"/>
  <c r="S149" i="6"/>
  <c r="S151" i="6"/>
  <c r="S155" i="6"/>
  <c r="R149" i="6"/>
  <c r="R151" i="6"/>
  <c r="R155" i="6"/>
  <c r="Q155" i="6"/>
  <c r="G136" i="14"/>
  <c r="D85" i="6"/>
  <c r="I114" i="6"/>
  <c r="N114" i="6"/>
  <c r="L114" i="6"/>
  <c r="J114" i="6"/>
  <c r="AA133" i="6"/>
  <c r="AA71" i="6"/>
  <c r="AA75" i="6"/>
  <c r="AA78" i="6"/>
  <c r="AA85" i="6"/>
  <c r="AA90" i="6"/>
  <c r="AA123" i="6"/>
  <c r="AA24" i="6"/>
  <c r="AA42" i="6"/>
  <c r="AA44" i="6"/>
  <c r="AA49" i="6"/>
  <c r="AA53" i="6"/>
  <c r="AA64" i="6"/>
  <c r="AA67" i="6"/>
  <c r="AA136" i="6"/>
  <c r="AA140" i="6"/>
  <c r="AA142" i="6"/>
  <c r="AA146" i="6"/>
  <c r="AA159" i="6"/>
  <c r="AA163" i="6"/>
  <c r="AA170" i="6"/>
  <c r="AB133" i="6"/>
  <c r="AB71" i="6"/>
  <c r="AB75" i="6"/>
  <c r="AB78" i="6"/>
  <c r="AB85" i="6"/>
  <c r="AB90" i="6"/>
  <c r="AB123" i="6"/>
  <c r="AB24" i="6"/>
  <c r="AB42" i="6"/>
  <c r="AB44" i="6"/>
  <c r="AB49" i="6"/>
  <c r="AB53" i="6"/>
  <c r="AB64" i="6"/>
  <c r="AB67" i="6"/>
  <c r="AB136" i="6"/>
  <c r="AB140" i="6"/>
  <c r="AB142" i="6"/>
  <c r="AB146" i="6"/>
  <c r="AB159" i="6"/>
  <c r="Z133" i="6"/>
  <c r="Z71" i="6"/>
  <c r="Z75" i="6"/>
  <c r="Z78" i="6"/>
  <c r="Z85" i="6"/>
  <c r="Z90" i="6"/>
  <c r="Z123" i="6"/>
  <c r="Z24" i="6"/>
  <c r="Z42" i="6"/>
  <c r="Z44" i="6"/>
  <c r="Z49" i="6"/>
  <c r="Z53" i="6"/>
  <c r="Z64" i="6"/>
  <c r="Z67" i="6"/>
  <c r="Z136" i="6"/>
  <c r="Z140" i="6"/>
  <c r="Z142" i="6"/>
  <c r="Z146" i="6"/>
  <c r="Z159" i="6"/>
  <c r="Y133" i="6"/>
  <c r="Y71" i="6"/>
  <c r="Y75" i="6"/>
  <c r="Y78" i="6"/>
  <c r="Y85" i="6"/>
  <c r="Y90" i="6"/>
  <c r="Y123" i="6"/>
  <c r="Y24" i="6"/>
  <c r="Y42" i="6"/>
  <c r="Y44" i="6"/>
  <c r="Y49" i="6"/>
  <c r="Y53" i="6"/>
  <c r="Y64" i="6"/>
  <c r="Y67" i="6"/>
  <c r="Y136" i="6"/>
  <c r="Y140" i="6"/>
  <c r="Y142" i="6"/>
  <c r="Y146" i="6"/>
  <c r="Y159" i="6"/>
  <c r="X133" i="6"/>
  <c r="X71" i="6"/>
  <c r="X75" i="6"/>
  <c r="X78" i="6"/>
  <c r="X85" i="6"/>
  <c r="X90" i="6"/>
  <c r="X123" i="6"/>
  <c r="X24" i="6"/>
  <c r="X42" i="6"/>
  <c r="X44" i="6"/>
  <c r="X49" i="6"/>
  <c r="X53" i="6"/>
  <c r="X64" i="6"/>
  <c r="X67" i="6"/>
  <c r="X136" i="6"/>
  <c r="X140" i="6"/>
  <c r="X142" i="6"/>
  <c r="X146" i="6"/>
  <c r="X159" i="6"/>
  <c r="W133" i="6"/>
  <c r="W71" i="6"/>
  <c r="W75" i="6"/>
  <c r="W78" i="6"/>
  <c r="W85" i="6"/>
  <c r="W90" i="6"/>
  <c r="W123" i="6"/>
  <c r="W24" i="6"/>
  <c r="W42" i="6"/>
  <c r="W44" i="6"/>
  <c r="W49" i="6"/>
  <c r="W53" i="6"/>
  <c r="W64" i="6"/>
  <c r="W67" i="6"/>
  <c r="W136" i="6"/>
  <c r="W140" i="6"/>
  <c r="W142" i="6"/>
  <c r="W146" i="6"/>
  <c r="W159" i="6"/>
  <c r="V75" i="6"/>
  <c r="U75" i="6"/>
  <c r="T75" i="6"/>
  <c r="S75" i="6"/>
  <c r="R75" i="6"/>
  <c r="Q75" i="6"/>
  <c r="T133" i="6"/>
  <c r="T71" i="6"/>
  <c r="T78" i="6"/>
  <c r="T85" i="6"/>
  <c r="T90" i="6"/>
  <c r="T123" i="6"/>
  <c r="T24" i="6"/>
  <c r="T42" i="6"/>
  <c r="T44" i="6"/>
  <c r="T49" i="6"/>
  <c r="T53" i="6"/>
  <c r="T64" i="6"/>
  <c r="T67" i="6"/>
  <c r="T136" i="6"/>
  <c r="T140" i="6"/>
  <c r="T142" i="6"/>
  <c r="T146" i="6"/>
  <c r="T159" i="6"/>
  <c r="T163" i="6"/>
  <c r="T170" i="6"/>
  <c r="T171" i="6"/>
  <c r="T160" i="6"/>
  <c r="S142" i="6"/>
  <c r="V140" i="6"/>
  <c r="V142" i="6"/>
  <c r="V146" i="6"/>
  <c r="U140" i="6"/>
  <c r="U142" i="6"/>
  <c r="U146" i="6"/>
  <c r="S140" i="6"/>
  <c r="S146" i="6"/>
  <c r="R140" i="6"/>
  <c r="R142" i="6"/>
  <c r="R146" i="6"/>
  <c r="L141" i="6"/>
  <c r="L140" i="6"/>
  <c r="L143" i="6"/>
  <c r="L144" i="6"/>
  <c r="L142" i="6"/>
  <c r="L146" i="6"/>
  <c r="N141" i="6"/>
  <c r="N140" i="6"/>
  <c r="N143" i="6"/>
  <c r="N144" i="6"/>
  <c r="N142" i="6"/>
  <c r="N146" i="6"/>
  <c r="V24" i="6"/>
  <c r="V42" i="6"/>
  <c r="U24" i="6"/>
  <c r="U42" i="6"/>
  <c r="S24" i="6"/>
  <c r="S42" i="6"/>
  <c r="R24" i="6"/>
  <c r="R42" i="6"/>
  <c r="L24" i="6"/>
  <c r="L32" i="6"/>
  <c r="L33" i="6"/>
  <c r="L35" i="6"/>
  <c r="L36" i="6"/>
  <c r="L37" i="6"/>
  <c r="L34" i="6"/>
  <c r="L39" i="6"/>
  <c r="L40" i="6"/>
  <c r="L38" i="6"/>
  <c r="L42" i="6"/>
  <c r="N24" i="6"/>
  <c r="N32" i="6"/>
  <c r="N33" i="6"/>
  <c r="N35" i="6"/>
  <c r="N36" i="6"/>
  <c r="N37" i="6"/>
  <c r="N34" i="6"/>
  <c r="N39" i="6"/>
  <c r="N40" i="6"/>
  <c r="N38" i="6"/>
  <c r="N42" i="6"/>
  <c r="AB163" i="6"/>
  <c r="Z163" i="6"/>
  <c r="Y163" i="6"/>
  <c r="X163" i="6"/>
  <c r="W163" i="6"/>
  <c r="V163" i="6"/>
  <c r="U163" i="6"/>
  <c r="S163" i="6"/>
  <c r="R163" i="6"/>
  <c r="Q163" i="6"/>
  <c r="N164" i="6"/>
  <c r="N165" i="6"/>
  <c r="N166" i="6"/>
  <c r="N163" i="6"/>
  <c r="L164" i="6"/>
  <c r="L165" i="6"/>
  <c r="L166" i="6"/>
  <c r="L163" i="6"/>
  <c r="L76" i="6"/>
  <c r="L77" i="6"/>
  <c r="L75" i="6"/>
  <c r="N125" i="6"/>
  <c r="N126" i="6"/>
  <c r="N127" i="6"/>
  <c r="N128" i="6"/>
  <c r="N129" i="6"/>
  <c r="N130" i="6"/>
  <c r="N131" i="6"/>
  <c r="N133" i="6"/>
  <c r="V133" i="6"/>
  <c r="U133" i="6"/>
  <c r="S133" i="6"/>
  <c r="R133" i="6"/>
  <c r="Q133" i="6"/>
  <c r="L125" i="6"/>
  <c r="L126" i="6"/>
  <c r="L127" i="6"/>
  <c r="L128" i="6"/>
  <c r="L129" i="6"/>
  <c r="L130" i="6"/>
  <c r="L131" i="6"/>
  <c r="L133" i="6"/>
  <c r="V71" i="6"/>
  <c r="V78" i="6"/>
  <c r="V85" i="6"/>
  <c r="V90" i="6"/>
  <c r="V123" i="6"/>
  <c r="U71" i="6"/>
  <c r="U78" i="6"/>
  <c r="U85" i="6"/>
  <c r="U90" i="6"/>
  <c r="U123" i="6"/>
  <c r="S71" i="6"/>
  <c r="S78" i="6"/>
  <c r="S85" i="6"/>
  <c r="S90" i="6"/>
  <c r="S123" i="6"/>
  <c r="R71" i="6"/>
  <c r="R78" i="6"/>
  <c r="R85" i="6"/>
  <c r="R90" i="6"/>
  <c r="R123" i="6"/>
  <c r="Q71" i="6"/>
  <c r="Q78" i="6"/>
  <c r="Q85" i="6"/>
  <c r="Q90" i="6"/>
  <c r="Q123" i="6"/>
  <c r="L72" i="6"/>
  <c r="L73" i="6"/>
  <c r="L74" i="6"/>
  <c r="L71" i="6"/>
  <c r="N72" i="6"/>
  <c r="N73" i="6"/>
  <c r="N74" i="6"/>
  <c r="N71" i="6"/>
  <c r="N76" i="6"/>
  <c r="N77" i="6"/>
  <c r="N75" i="6"/>
  <c r="N79" i="6"/>
  <c r="N80" i="6"/>
  <c r="N81" i="6"/>
  <c r="N82" i="6"/>
  <c r="N83" i="6"/>
  <c r="N84" i="6"/>
  <c r="N78" i="6"/>
  <c r="N85" i="6"/>
  <c r="N91" i="6"/>
  <c r="N92" i="6"/>
  <c r="N93" i="6"/>
  <c r="N94" i="6"/>
  <c r="N95" i="6"/>
  <c r="N96" i="6"/>
  <c r="N97" i="6"/>
  <c r="N98" i="6"/>
  <c r="N100" i="6"/>
  <c r="N101" i="6"/>
  <c r="N102" i="6"/>
  <c r="N103" i="6"/>
  <c r="N105" i="6"/>
  <c r="N106" i="6"/>
  <c r="N107" i="6"/>
  <c r="N108" i="6"/>
  <c r="N109" i="6"/>
  <c r="N110" i="6"/>
  <c r="N111" i="6"/>
  <c r="N112" i="6"/>
  <c r="N113" i="6"/>
  <c r="N115" i="6"/>
  <c r="N116" i="6"/>
  <c r="N117" i="6"/>
  <c r="N118" i="6"/>
  <c r="N119" i="6"/>
  <c r="N120" i="6"/>
  <c r="N121" i="6"/>
  <c r="N90" i="6"/>
  <c r="N123" i="6"/>
  <c r="L91" i="6"/>
  <c r="L92" i="6"/>
  <c r="L93" i="6"/>
  <c r="L94" i="6"/>
  <c r="L95" i="6"/>
  <c r="L96" i="6"/>
  <c r="L97" i="6"/>
  <c r="L98" i="6"/>
  <c r="L100" i="6"/>
  <c r="L101" i="6"/>
  <c r="L102" i="6"/>
  <c r="L103" i="6"/>
  <c r="L105" i="6"/>
  <c r="L106" i="6"/>
  <c r="L107" i="6"/>
  <c r="L108" i="6"/>
  <c r="L109" i="6"/>
  <c r="L110" i="6"/>
  <c r="L111" i="6"/>
  <c r="L112" i="6"/>
  <c r="L113" i="6"/>
  <c r="L115" i="6"/>
  <c r="L116" i="6"/>
  <c r="L117" i="6"/>
  <c r="L118" i="6"/>
  <c r="L119" i="6"/>
  <c r="L120" i="6"/>
  <c r="L121" i="6"/>
  <c r="L90" i="6"/>
  <c r="L79" i="6"/>
  <c r="L80" i="6"/>
  <c r="L81" i="6"/>
  <c r="L82" i="6"/>
  <c r="L83" i="6"/>
  <c r="L84" i="6"/>
  <c r="L78" i="6"/>
  <c r="V44" i="6"/>
  <c r="V49" i="6"/>
  <c r="V53" i="6"/>
  <c r="V64" i="6"/>
  <c r="V67" i="6"/>
  <c r="U44" i="6"/>
  <c r="U49" i="6"/>
  <c r="U53" i="6"/>
  <c r="U64" i="6"/>
  <c r="U67" i="6"/>
  <c r="S44" i="6"/>
  <c r="S49" i="6"/>
  <c r="S53" i="6"/>
  <c r="S64" i="6"/>
  <c r="S67" i="6"/>
  <c r="R44" i="6"/>
  <c r="R49" i="6"/>
  <c r="R53" i="6"/>
  <c r="R64" i="6"/>
  <c r="R67" i="6"/>
  <c r="Q67" i="6"/>
  <c r="N45" i="6"/>
  <c r="N46" i="6"/>
  <c r="N47" i="6"/>
  <c r="N44" i="6"/>
  <c r="N48" i="6"/>
  <c r="N50" i="6"/>
  <c r="N51" i="6"/>
  <c r="N52" i="6"/>
  <c r="N49" i="6"/>
  <c r="N54" i="6"/>
  <c r="N55" i="6"/>
  <c r="N56" i="6"/>
  <c r="N57" i="6"/>
  <c r="N58" i="6"/>
  <c r="N59" i="6"/>
  <c r="N60" i="6"/>
  <c r="N61" i="6"/>
  <c r="N62" i="6"/>
  <c r="N53" i="6"/>
  <c r="N64" i="6"/>
  <c r="N67" i="6"/>
  <c r="L45" i="6"/>
  <c r="L46" i="6"/>
  <c r="L47" i="6"/>
  <c r="L44" i="6"/>
  <c r="L48" i="6"/>
  <c r="L50" i="6"/>
  <c r="L51" i="6"/>
  <c r="L52" i="6"/>
  <c r="L49" i="6"/>
  <c r="L54" i="6"/>
  <c r="L55" i="6"/>
  <c r="L56" i="6"/>
  <c r="L57" i="6"/>
  <c r="L58" i="6"/>
  <c r="L59" i="6"/>
  <c r="L60" i="6"/>
  <c r="L61" i="6"/>
  <c r="L62" i="6"/>
  <c r="L53" i="6"/>
  <c r="L64" i="6"/>
  <c r="L67" i="6"/>
  <c r="K64" i="6"/>
  <c r="M44" i="6"/>
  <c r="M38" i="6"/>
  <c r="I38" i="6"/>
  <c r="AB137" i="6"/>
  <c r="AA137" i="6"/>
  <c r="Z137" i="6"/>
  <c r="Y137" i="6"/>
  <c r="X137" i="6"/>
  <c r="W137" i="6"/>
  <c r="V136" i="6"/>
  <c r="V137" i="6"/>
  <c r="U136" i="6"/>
  <c r="U137" i="6"/>
  <c r="T137" i="6"/>
  <c r="S136" i="6"/>
  <c r="S137" i="6"/>
  <c r="R136" i="6"/>
  <c r="R137" i="6"/>
  <c r="Q136" i="6"/>
  <c r="Q137" i="6"/>
  <c r="N136" i="6"/>
  <c r="N137" i="6"/>
  <c r="D64" i="6"/>
  <c r="D42" i="6"/>
  <c r="D133" i="6"/>
  <c r="D123" i="6"/>
  <c r="P68" i="6"/>
  <c r="D90" i="6"/>
  <c r="D71" i="6"/>
  <c r="D53" i="6"/>
  <c r="G2" i="13"/>
  <c r="G1" i="14"/>
  <c r="G2" i="14"/>
  <c r="G1" i="13"/>
  <c r="N180" i="6"/>
  <c r="L180" i="6"/>
  <c r="J180" i="6"/>
  <c r="I180" i="6"/>
  <c r="N179" i="6"/>
  <c r="L179" i="6"/>
  <c r="J179" i="6"/>
  <c r="I179" i="6"/>
  <c r="N178" i="6"/>
  <c r="L178" i="6"/>
  <c r="J178" i="6"/>
  <c r="I178" i="6"/>
  <c r="N177" i="6"/>
  <c r="L177" i="6"/>
  <c r="J177" i="6"/>
  <c r="I177" i="6"/>
  <c r="N176" i="6"/>
  <c r="L176" i="6"/>
  <c r="J176" i="6"/>
  <c r="I176" i="6"/>
  <c r="D146" i="6"/>
  <c r="D155" i="6"/>
  <c r="D163" i="6"/>
  <c r="AB170" i="6"/>
  <c r="AB171" i="6"/>
  <c r="AA171" i="6"/>
  <c r="Z170" i="6"/>
  <c r="Z171" i="6"/>
  <c r="Y170" i="6"/>
  <c r="Y171" i="6"/>
  <c r="X170" i="6"/>
  <c r="X171" i="6"/>
  <c r="W170" i="6"/>
  <c r="W171" i="6"/>
  <c r="V159" i="6"/>
  <c r="V170" i="6"/>
  <c r="V171" i="6"/>
  <c r="U159" i="6"/>
  <c r="U170" i="6"/>
  <c r="U171" i="6"/>
  <c r="S159" i="6"/>
  <c r="S170" i="6"/>
  <c r="S171" i="6"/>
  <c r="R159" i="6"/>
  <c r="R170" i="6"/>
  <c r="R171" i="6"/>
  <c r="Q159" i="6"/>
  <c r="Q170" i="6"/>
  <c r="Q171" i="6"/>
  <c r="N159" i="6"/>
  <c r="N170" i="6"/>
  <c r="N171" i="6"/>
  <c r="D170" i="6"/>
  <c r="J170" i="6"/>
  <c r="I170" i="6"/>
  <c r="AB160" i="6"/>
  <c r="AA160" i="6"/>
  <c r="Z160" i="6"/>
  <c r="Y160" i="6"/>
  <c r="X160" i="6"/>
  <c r="W160" i="6"/>
  <c r="V160" i="6"/>
  <c r="U160" i="6"/>
  <c r="S160" i="6"/>
  <c r="R160" i="6"/>
  <c r="Q160" i="6"/>
  <c r="N160" i="6"/>
  <c r="D159" i="6"/>
  <c r="J159" i="6"/>
  <c r="I159" i="6"/>
  <c r="J166" i="6"/>
  <c r="I166" i="6"/>
  <c r="J165" i="6"/>
  <c r="I165" i="6"/>
  <c r="J164" i="6"/>
  <c r="I164" i="6"/>
  <c r="J163" i="6"/>
  <c r="I163" i="6"/>
  <c r="J155" i="6"/>
  <c r="I155" i="6"/>
  <c r="J153" i="6"/>
  <c r="I153" i="6"/>
  <c r="J152" i="6"/>
  <c r="I152" i="6"/>
  <c r="J150" i="6"/>
  <c r="I150" i="6"/>
  <c r="D151" i="6"/>
  <c r="J151" i="6"/>
  <c r="I151" i="6"/>
  <c r="D149" i="6"/>
  <c r="J149" i="6"/>
  <c r="I149" i="6"/>
  <c r="J146" i="6"/>
  <c r="I146" i="6"/>
  <c r="J144" i="6"/>
  <c r="I144" i="6"/>
  <c r="J143" i="6"/>
  <c r="I143" i="6"/>
  <c r="D142" i="6"/>
  <c r="J142" i="6"/>
  <c r="I142" i="6"/>
  <c r="J141" i="6"/>
  <c r="I141" i="6"/>
  <c r="D140" i="6"/>
  <c r="J140" i="6"/>
  <c r="I140" i="6"/>
  <c r="D136" i="6"/>
  <c r="J136" i="6"/>
  <c r="I136" i="6"/>
  <c r="J133" i="6"/>
  <c r="I133" i="6"/>
  <c r="I128" i="6"/>
  <c r="J128" i="6"/>
  <c r="I129" i="6"/>
  <c r="J129" i="6"/>
  <c r="I130" i="6"/>
  <c r="J130" i="6"/>
  <c r="I131" i="6"/>
  <c r="J131" i="6"/>
  <c r="I97" i="6"/>
  <c r="J97" i="6"/>
  <c r="I98" i="6"/>
  <c r="J98" i="6"/>
  <c r="I100" i="6"/>
  <c r="J100" i="6"/>
  <c r="I101" i="6"/>
  <c r="J101" i="6"/>
  <c r="I102" i="6"/>
  <c r="J102" i="6"/>
  <c r="I103" i="6"/>
  <c r="J103" i="6"/>
  <c r="I105" i="6"/>
  <c r="J105" i="6"/>
  <c r="I106" i="6"/>
  <c r="J106" i="6"/>
  <c r="I107" i="6"/>
  <c r="J107" i="6"/>
  <c r="I108" i="6"/>
  <c r="J108" i="6"/>
  <c r="I109" i="6"/>
  <c r="J109" i="6"/>
  <c r="I110" i="6"/>
  <c r="J110" i="6"/>
  <c r="I111" i="6"/>
  <c r="J111" i="6"/>
  <c r="I112" i="6"/>
  <c r="J112" i="6"/>
  <c r="I113" i="6"/>
  <c r="J113" i="6"/>
  <c r="I115" i="6"/>
  <c r="J115" i="6"/>
  <c r="I116" i="6"/>
  <c r="J116" i="6"/>
  <c r="I117" i="6"/>
  <c r="J117" i="6"/>
  <c r="I118" i="6"/>
  <c r="J118" i="6"/>
  <c r="I119" i="6"/>
  <c r="J119" i="6"/>
  <c r="I120" i="6"/>
  <c r="J120" i="6"/>
  <c r="I121" i="6"/>
  <c r="J121" i="6"/>
  <c r="H92" i="6"/>
  <c r="J84" i="6"/>
  <c r="I84" i="6"/>
  <c r="J83" i="6"/>
  <c r="I83" i="6"/>
  <c r="J82" i="6"/>
  <c r="I82" i="6"/>
  <c r="J81" i="6"/>
  <c r="I81" i="6"/>
  <c r="J80" i="6"/>
  <c r="I80" i="6"/>
  <c r="J77" i="6"/>
  <c r="I77" i="6"/>
  <c r="J74" i="6"/>
  <c r="I74" i="6"/>
  <c r="J73" i="6"/>
  <c r="I73" i="6"/>
  <c r="AB68" i="6"/>
  <c r="AA68" i="6"/>
  <c r="Z68" i="6"/>
  <c r="Y68" i="6"/>
  <c r="X68" i="6"/>
  <c r="W68" i="6"/>
  <c r="V68" i="6"/>
  <c r="U68" i="6"/>
  <c r="T68" i="6"/>
  <c r="S68" i="6"/>
  <c r="R68" i="6"/>
  <c r="Q68" i="6"/>
  <c r="N68" i="6"/>
  <c r="L68" i="6"/>
  <c r="J64" i="6"/>
  <c r="I64" i="6"/>
  <c r="I56" i="6"/>
  <c r="J56" i="6"/>
  <c r="I57" i="6"/>
  <c r="J57" i="6"/>
  <c r="I58" i="6"/>
  <c r="J58" i="6"/>
  <c r="I59" i="6"/>
  <c r="J59" i="6"/>
  <c r="I60" i="6"/>
  <c r="J60" i="6"/>
  <c r="I61" i="6"/>
  <c r="J61" i="6"/>
  <c r="I62" i="6"/>
  <c r="J62" i="6"/>
  <c r="J48" i="6"/>
  <c r="I48" i="6"/>
  <c r="D44" i="6"/>
  <c r="J44" i="6"/>
  <c r="I44" i="6"/>
  <c r="J42" i="6"/>
  <c r="I42" i="6"/>
  <c r="I40" i="6"/>
  <c r="J38" i="6"/>
  <c r="I36" i="6"/>
  <c r="J36" i="6"/>
  <c r="I37" i="6"/>
  <c r="J37" i="6"/>
  <c r="D67" i="6"/>
  <c r="D68" i="6"/>
  <c r="D78" i="6"/>
  <c r="D137" i="6"/>
  <c r="D160" i="6"/>
  <c r="D171" i="6"/>
  <c r="I26" i="6"/>
  <c r="I27" i="6"/>
  <c r="I28" i="6"/>
  <c r="I29" i="6"/>
  <c r="I30" i="6"/>
  <c r="I25" i="6"/>
  <c r="I24" i="6"/>
  <c r="L26" i="6"/>
  <c r="N26" i="6"/>
  <c r="G197" i="14"/>
  <c r="G195" i="14"/>
  <c r="G193" i="14"/>
  <c r="G191" i="14"/>
  <c r="G189" i="14"/>
  <c r="H13" i="14"/>
  <c r="H14" i="14"/>
  <c r="H15" i="14"/>
  <c r="AE1" i="14"/>
  <c r="AP2" i="14"/>
  <c r="H16" i="14"/>
  <c r="AP190" i="14"/>
  <c r="AO2" i="14"/>
  <c r="AO190" i="14"/>
  <c r="AN2" i="14"/>
  <c r="AN190" i="14"/>
  <c r="AM2" i="14"/>
  <c r="AM190" i="14"/>
  <c r="AL2" i="14"/>
  <c r="AL190" i="14"/>
  <c r="AK2" i="14"/>
  <c r="AK190" i="14"/>
  <c r="AJ2" i="14"/>
  <c r="AJ190" i="14"/>
  <c r="AI2" i="14"/>
  <c r="AI190" i="14"/>
  <c r="AH2" i="14"/>
  <c r="AH190" i="14"/>
  <c r="AG2" i="14"/>
  <c r="AG190" i="14"/>
  <c r="AF2" i="14"/>
  <c r="AF190" i="14"/>
  <c r="AE2" i="14"/>
  <c r="AE190" i="14"/>
  <c r="N3" i="14"/>
  <c r="N2" i="14"/>
  <c r="N190" i="14"/>
  <c r="H17" i="14"/>
  <c r="AP189" i="14"/>
  <c r="AO189" i="14"/>
  <c r="AN189" i="14"/>
  <c r="AM189" i="14"/>
  <c r="AL189" i="14"/>
  <c r="AK189" i="14"/>
  <c r="AJ189" i="14"/>
  <c r="AI189" i="14"/>
  <c r="AH189" i="14"/>
  <c r="AG189" i="14"/>
  <c r="AF189" i="14"/>
  <c r="AE189" i="14"/>
  <c r="N1" i="14"/>
  <c r="N189" i="14"/>
  <c r="L3" i="14"/>
  <c r="G3" i="14"/>
  <c r="L2" i="14"/>
  <c r="L189" i="14"/>
  <c r="J3" i="14"/>
  <c r="G4" i="14"/>
  <c r="J2" i="14"/>
  <c r="J189" i="14"/>
  <c r="H189" i="14"/>
  <c r="AP192" i="14"/>
  <c r="AO192" i="14"/>
  <c r="AN192" i="14"/>
  <c r="AM192" i="14"/>
  <c r="AL192" i="14"/>
  <c r="AK192" i="14"/>
  <c r="AJ192" i="14"/>
  <c r="AI192" i="14"/>
  <c r="AH192" i="14"/>
  <c r="AG192" i="14"/>
  <c r="AF192" i="14"/>
  <c r="AE192" i="14"/>
  <c r="N192" i="14"/>
  <c r="AP191" i="14"/>
  <c r="AO191" i="14"/>
  <c r="AN191" i="14"/>
  <c r="AM191" i="14"/>
  <c r="AL191" i="14"/>
  <c r="AK191" i="14"/>
  <c r="AJ191" i="14"/>
  <c r="AI191" i="14"/>
  <c r="AH191" i="14"/>
  <c r="AG191" i="14"/>
  <c r="AF191" i="14"/>
  <c r="AE191" i="14"/>
  <c r="N191" i="14"/>
  <c r="L191" i="14"/>
  <c r="J191" i="14"/>
  <c r="H191" i="14"/>
  <c r="AP194" i="14"/>
  <c r="AO194" i="14"/>
  <c r="AN194" i="14"/>
  <c r="AM194" i="14"/>
  <c r="AL194" i="14"/>
  <c r="AK194" i="14"/>
  <c r="AJ194" i="14"/>
  <c r="AI194" i="14"/>
  <c r="AH194" i="14"/>
  <c r="AG194" i="14"/>
  <c r="AF194" i="14"/>
  <c r="AE194" i="14"/>
  <c r="N194" i="14"/>
  <c r="AP193" i="14"/>
  <c r="AO193" i="14"/>
  <c r="AN193" i="14"/>
  <c r="AM193" i="14"/>
  <c r="AL193" i="14"/>
  <c r="AK193" i="14"/>
  <c r="AJ193" i="14"/>
  <c r="AI193" i="14"/>
  <c r="AH193" i="14"/>
  <c r="AG193" i="14"/>
  <c r="AF193" i="14"/>
  <c r="AE193" i="14"/>
  <c r="N193" i="14"/>
  <c r="L193" i="14"/>
  <c r="J193" i="14"/>
  <c r="H193" i="14"/>
  <c r="AP196" i="14"/>
  <c r="AO196" i="14"/>
  <c r="AN196" i="14"/>
  <c r="AM196" i="14"/>
  <c r="AL196" i="14"/>
  <c r="AK196" i="14"/>
  <c r="AJ196" i="14"/>
  <c r="AI196" i="14"/>
  <c r="AH196" i="14"/>
  <c r="AG196" i="14"/>
  <c r="AF196" i="14"/>
  <c r="AE196" i="14"/>
  <c r="N196" i="14"/>
  <c r="AP195" i="14"/>
  <c r="AO195" i="14"/>
  <c r="AN195" i="14"/>
  <c r="AM195" i="14"/>
  <c r="AL195" i="14"/>
  <c r="AK195" i="14"/>
  <c r="AJ195" i="14"/>
  <c r="AI195" i="14"/>
  <c r="AH195" i="14"/>
  <c r="AG195" i="14"/>
  <c r="AF195" i="14"/>
  <c r="AE195" i="14"/>
  <c r="N195" i="14"/>
  <c r="L195" i="14"/>
  <c r="J195" i="14"/>
  <c r="H195" i="14"/>
  <c r="AP198" i="14"/>
  <c r="AO198" i="14"/>
  <c r="AN198" i="14"/>
  <c r="AM198" i="14"/>
  <c r="AL198" i="14"/>
  <c r="AK198" i="14"/>
  <c r="AJ198" i="14"/>
  <c r="AI198" i="14"/>
  <c r="AH198" i="14"/>
  <c r="AG198" i="14"/>
  <c r="AF198" i="14"/>
  <c r="AE198" i="14"/>
  <c r="N198" i="14"/>
  <c r="AP197" i="14"/>
  <c r="AO197" i="14"/>
  <c r="AN197" i="14"/>
  <c r="AM197" i="14"/>
  <c r="AL197" i="14"/>
  <c r="AK197" i="14"/>
  <c r="AJ197" i="14"/>
  <c r="AI197" i="14"/>
  <c r="AH197" i="14"/>
  <c r="AG197" i="14"/>
  <c r="AF197" i="14"/>
  <c r="AE197" i="14"/>
  <c r="N197" i="14"/>
  <c r="L197" i="14"/>
  <c r="J197" i="14"/>
  <c r="H197" i="14"/>
  <c r="AP113" i="14"/>
  <c r="AO113" i="14"/>
  <c r="AN113" i="14"/>
  <c r="AM113" i="14"/>
  <c r="AL113" i="14"/>
  <c r="AK113" i="14"/>
  <c r="AJ113" i="14"/>
  <c r="AI113" i="14"/>
  <c r="AH113" i="14"/>
  <c r="AG113" i="14"/>
  <c r="AF113" i="14"/>
  <c r="AE113" i="14"/>
  <c r="N113" i="14"/>
  <c r="AP112" i="14"/>
  <c r="AO112" i="14"/>
  <c r="AN112" i="14"/>
  <c r="AM112" i="14"/>
  <c r="AL112" i="14"/>
  <c r="AK112" i="14"/>
  <c r="AJ112" i="14"/>
  <c r="AI112" i="14"/>
  <c r="AH112" i="14"/>
  <c r="AG112" i="14"/>
  <c r="AF112" i="14"/>
  <c r="AE112" i="14"/>
  <c r="N112" i="14"/>
  <c r="L112" i="14"/>
  <c r="J112" i="14"/>
  <c r="H112" i="14"/>
  <c r="G112" i="14"/>
  <c r="AP115" i="14"/>
  <c r="AO115" i="14"/>
  <c r="AN115" i="14"/>
  <c r="AM115" i="14"/>
  <c r="AL115" i="14"/>
  <c r="AK115" i="14"/>
  <c r="AJ115" i="14"/>
  <c r="AI115" i="14"/>
  <c r="AH115" i="14"/>
  <c r="AG115" i="14"/>
  <c r="AF115" i="14"/>
  <c r="AE115" i="14"/>
  <c r="N115" i="14"/>
  <c r="AP114" i="14"/>
  <c r="AO114" i="14"/>
  <c r="AN114" i="14"/>
  <c r="AM114" i="14"/>
  <c r="AL114" i="14"/>
  <c r="AK114" i="14"/>
  <c r="AJ114" i="14"/>
  <c r="AI114" i="14"/>
  <c r="AH114" i="14"/>
  <c r="AG114" i="14"/>
  <c r="AF114" i="14"/>
  <c r="AE114" i="14"/>
  <c r="N114" i="14"/>
  <c r="L114" i="14"/>
  <c r="J114" i="14"/>
  <c r="H114" i="14"/>
  <c r="G114" i="14"/>
  <c r="G27" i="14"/>
  <c r="G24" i="14"/>
  <c r="AP28" i="14"/>
  <c r="AO28" i="14"/>
  <c r="AN28" i="14"/>
  <c r="AM28" i="14"/>
  <c r="AL28" i="14"/>
  <c r="AK28" i="14"/>
  <c r="AJ28" i="14"/>
  <c r="AI28" i="14"/>
  <c r="AH28" i="14"/>
  <c r="AG28" i="14"/>
  <c r="AF28" i="14"/>
  <c r="AE28" i="14"/>
  <c r="N28" i="14"/>
  <c r="AP27" i="14"/>
  <c r="AO27" i="14"/>
  <c r="AN27" i="14"/>
  <c r="AM27" i="14"/>
  <c r="AL27" i="14"/>
  <c r="AK27" i="14"/>
  <c r="AJ27" i="14"/>
  <c r="AI27" i="14"/>
  <c r="AH27" i="14"/>
  <c r="AG27" i="14"/>
  <c r="AF27" i="14"/>
  <c r="AE27" i="14"/>
  <c r="N27" i="14"/>
  <c r="L27" i="14"/>
  <c r="J27" i="14"/>
  <c r="H27" i="14"/>
  <c r="G143" i="13"/>
  <c r="G142" i="13"/>
  <c r="G141" i="13"/>
  <c r="G140" i="13"/>
  <c r="G139" i="13"/>
  <c r="H13" i="13"/>
  <c r="H15" i="13"/>
  <c r="H17" i="13"/>
  <c r="BO1" i="13"/>
  <c r="H16" i="13"/>
  <c r="BO140" i="13"/>
  <c r="BN1" i="13"/>
  <c r="BN140" i="13"/>
  <c r="BM1" i="13"/>
  <c r="BM140" i="13"/>
  <c r="BL1" i="13"/>
  <c r="BL140" i="13"/>
  <c r="BK1" i="13"/>
  <c r="BK140" i="13"/>
  <c r="BJ1" i="13"/>
  <c r="BJ140" i="13"/>
  <c r="BI1" i="13"/>
  <c r="BI140" i="13"/>
  <c r="BH1" i="13"/>
  <c r="BH140" i="13"/>
  <c r="BG1" i="13"/>
  <c r="BG140" i="13"/>
  <c r="BF1" i="13"/>
  <c r="BF140" i="13"/>
  <c r="BE1" i="13"/>
  <c r="BE140" i="13"/>
  <c r="BD1" i="13"/>
  <c r="BD140" i="13"/>
  <c r="P1" i="13"/>
  <c r="BC2" i="13"/>
  <c r="BC140" i="13"/>
  <c r="BB1" i="13"/>
  <c r="BB140" i="13"/>
  <c r="BA1" i="13"/>
  <c r="BA140" i="13"/>
  <c r="AZ1" i="13"/>
  <c r="AZ140" i="13"/>
  <c r="AY1" i="13"/>
  <c r="AY140" i="13"/>
  <c r="AX1" i="13"/>
  <c r="AX140" i="13"/>
  <c r="AW1" i="13"/>
  <c r="AW140" i="13"/>
  <c r="AV1" i="13"/>
  <c r="AV140" i="13"/>
  <c r="AU1" i="13"/>
  <c r="AU140" i="13"/>
  <c r="AT1" i="13"/>
  <c r="AT140" i="13"/>
  <c r="AS1" i="13"/>
  <c r="AS140" i="13"/>
  <c r="AR1" i="13"/>
  <c r="AR140" i="13"/>
  <c r="AQ1" i="13"/>
  <c r="AQ140" i="13"/>
  <c r="AP2" i="13"/>
  <c r="AP140" i="13"/>
  <c r="AO1" i="13"/>
  <c r="AO140" i="13"/>
  <c r="AN1" i="13"/>
  <c r="AN140" i="13"/>
  <c r="AM1" i="13"/>
  <c r="AM140" i="13"/>
  <c r="AL1" i="13"/>
  <c r="AL140" i="13"/>
  <c r="AK1" i="13"/>
  <c r="AK140" i="13"/>
  <c r="AJ1" i="13"/>
  <c r="AJ140" i="13"/>
  <c r="AI1" i="13"/>
  <c r="AI140" i="13"/>
  <c r="AH1" i="13"/>
  <c r="AH140" i="13"/>
  <c r="AG1" i="13"/>
  <c r="AG140" i="13"/>
  <c r="AF1" i="13"/>
  <c r="AF140" i="13"/>
  <c r="AE1" i="13"/>
  <c r="AE140" i="13"/>
  <c r="AD1" i="13"/>
  <c r="AD140" i="13"/>
  <c r="AC2" i="13"/>
  <c r="AC140" i="13"/>
  <c r="AB1" i="13"/>
  <c r="AB140" i="13"/>
  <c r="AA1" i="13"/>
  <c r="AA140" i="13"/>
  <c r="Z1" i="13"/>
  <c r="Z140" i="13"/>
  <c r="Y1" i="13"/>
  <c r="Y140" i="13"/>
  <c r="X1" i="13"/>
  <c r="X140" i="13"/>
  <c r="W1" i="13"/>
  <c r="W140" i="13"/>
  <c r="V1" i="13"/>
  <c r="V140" i="13"/>
  <c r="U1" i="13"/>
  <c r="U140" i="13"/>
  <c r="T1" i="13"/>
  <c r="T140" i="13"/>
  <c r="S1" i="13"/>
  <c r="S140" i="13"/>
  <c r="R1" i="13"/>
  <c r="R140" i="13"/>
  <c r="Q1" i="13"/>
  <c r="Q140" i="13"/>
  <c r="P2" i="13"/>
  <c r="P140" i="13"/>
  <c r="H14" i="13"/>
  <c r="N2" i="13"/>
  <c r="N140" i="13"/>
  <c r="G3" i="13"/>
  <c r="L2" i="13"/>
  <c r="L140" i="13"/>
  <c r="G4" i="13"/>
  <c r="J2" i="13"/>
  <c r="J140" i="13"/>
  <c r="H140" i="13"/>
  <c r="BO141" i="13"/>
  <c r="BN141" i="13"/>
  <c r="BM141" i="13"/>
  <c r="BL141" i="13"/>
  <c r="BK141" i="13"/>
  <c r="BJ141" i="13"/>
  <c r="BI141" i="13"/>
  <c r="BH141" i="13"/>
  <c r="BG141" i="13"/>
  <c r="BF141" i="13"/>
  <c r="BE141" i="13"/>
  <c r="BD141" i="13"/>
  <c r="BC141" i="13"/>
  <c r="BB141" i="13"/>
  <c r="BA141" i="13"/>
  <c r="AZ141" i="13"/>
  <c r="AY141" i="13"/>
  <c r="AX141" i="13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N141" i="13"/>
  <c r="L141" i="13"/>
  <c r="J141" i="13"/>
  <c r="H141" i="13"/>
  <c r="BO139" i="13"/>
  <c r="BN139" i="13"/>
  <c r="BM139" i="13"/>
  <c r="BL139" i="13"/>
  <c r="BK139" i="13"/>
  <c r="BJ139" i="13"/>
  <c r="BI139" i="13"/>
  <c r="BH139" i="13"/>
  <c r="BG139" i="13"/>
  <c r="BF139" i="13"/>
  <c r="BE139" i="13"/>
  <c r="BD139" i="13"/>
  <c r="BC139" i="13"/>
  <c r="BB139" i="13"/>
  <c r="BA139" i="13"/>
  <c r="AZ139" i="13"/>
  <c r="AY139" i="13"/>
  <c r="AX139" i="13"/>
  <c r="AW139" i="13"/>
  <c r="AV139" i="13"/>
  <c r="AU139" i="13"/>
  <c r="AT139" i="13"/>
  <c r="AS139" i="13"/>
  <c r="AR139" i="13"/>
  <c r="AQ139" i="13"/>
  <c r="AP139" i="13"/>
  <c r="AO139" i="13"/>
  <c r="AN139" i="13"/>
  <c r="AM139" i="13"/>
  <c r="AL139" i="13"/>
  <c r="AK139" i="13"/>
  <c r="AJ139" i="13"/>
  <c r="AI139" i="13"/>
  <c r="AH139" i="13"/>
  <c r="AG139" i="13"/>
  <c r="AF139" i="13"/>
  <c r="AE139" i="13"/>
  <c r="AD139" i="13"/>
  <c r="AC139" i="13"/>
  <c r="AB139" i="13"/>
  <c r="AA139" i="13"/>
  <c r="Z139" i="13"/>
  <c r="Y139" i="13"/>
  <c r="X139" i="13"/>
  <c r="W139" i="13"/>
  <c r="V139" i="13"/>
  <c r="U139" i="13"/>
  <c r="T139" i="13"/>
  <c r="S139" i="13"/>
  <c r="R139" i="13"/>
  <c r="Q139" i="13"/>
  <c r="P139" i="13"/>
  <c r="N139" i="13"/>
  <c r="L139" i="13"/>
  <c r="J139" i="13"/>
  <c r="H139" i="13"/>
  <c r="BO142" i="13"/>
  <c r="BN142" i="13"/>
  <c r="BM142" i="13"/>
  <c r="BL142" i="13"/>
  <c r="BK142" i="13"/>
  <c r="BJ142" i="13"/>
  <c r="BI142" i="13"/>
  <c r="BH142" i="13"/>
  <c r="BG142" i="13"/>
  <c r="BF142" i="13"/>
  <c r="BE142" i="13"/>
  <c r="BD142" i="13"/>
  <c r="BC142" i="13"/>
  <c r="BB142" i="13"/>
  <c r="BA142" i="13"/>
  <c r="AZ142" i="13"/>
  <c r="AY142" i="13"/>
  <c r="AX142" i="13"/>
  <c r="AW142" i="13"/>
  <c r="AV142" i="13"/>
  <c r="AU142" i="13"/>
  <c r="AT142" i="13"/>
  <c r="AS142" i="13"/>
  <c r="AR142" i="13"/>
  <c r="AQ142" i="13"/>
  <c r="AP142" i="13"/>
  <c r="AO142" i="13"/>
  <c r="AN142" i="13"/>
  <c r="AM142" i="13"/>
  <c r="AL142" i="13"/>
  <c r="AK142" i="13"/>
  <c r="AJ142" i="13"/>
  <c r="AI142" i="13"/>
  <c r="AH142" i="13"/>
  <c r="AG142" i="13"/>
  <c r="AF142" i="13"/>
  <c r="AE142" i="13"/>
  <c r="AD142" i="13"/>
  <c r="AC142" i="13"/>
  <c r="AB142" i="13"/>
  <c r="AA142" i="13"/>
  <c r="Z142" i="13"/>
  <c r="Y142" i="13"/>
  <c r="X142" i="13"/>
  <c r="W142" i="13"/>
  <c r="V142" i="13"/>
  <c r="U142" i="13"/>
  <c r="T142" i="13"/>
  <c r="S142" i="13"/>
  <c r="R142" i="13"/>
  <c r="Q142" i="13"/>
  <c r="P142" i="13"/>
  <c r="N142" i="13"/>
  <c r="L142" i="13"/>
  <c r="J142" i="13"/>
  <c r="H142" i="13"/>
  <c r="BO143" i="13"/>
  <c r="BN143" i="13"/>
  <c r="BM143" i="13"/>
  <c r="BL143" i="13"/>
  <c r="BK143" i="13"/>
  <c r="BJ143" i="13"/>
  <c r="BI143" i="13"/>
  <c r="BH143" i="13"/>
  <c r="BG143" i="13"/>
  <c r="BF143" i="13"/>
  <c r="BE143" i="13"/>
  <c r="BD143" i="13"/>
  <c r="BC143" i="13"/>
  <c r="BB143" i="13"/>
  <c r="BA143" i="13"/>
  <c r="AZ143" i="13"/>
  <c r="AY143" i="13"/>
  <c r="AX143" i="13"/>
  <c r="AW143" i="13"/>
  <c r="AV143" i="13"/>
  <c r="AU143" i="13"/>
  <c r="AT143" i="13"/>
  <c r="AS143" i="13"/>
  <c r="AR143" i="13"/>
  <c r="AQ143" i="13"/>
  <c r="AP143" i="13"/>
  <c r="AO143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AB143" i="13"/>
  <c r="AA143" i="13"/>
  <c r="Z143" i="13"/>
  <c r="Y143" i="13"/>
  <c r="X143" i="13"/>
  <c r="W143" i="13"/>
  <c r="V143" i="13"/>
  <c r="U143" i="13"/>
  <c r="T143" i="13"/>
  <c r="S143" i="13"/>
  <c r="R143" i="13"/>
  <c r="Q143" i="13"/>
  <c r="P143" i="13"/>
  <c r="N143" i="13"/>
  <c r="L143" i="13"/>
  <c r="J143" i="13"/>
  <c r="H143" i="13"/>
  <c r="G86" i="13"/>
  <c r="G84" i="13"/>
  <c r="G83" i="13"/>
  <c r="BO84" i="13"/>
  <c r="BN84" i="13"/>
  <c r="BM84" i="13"/>
  <c r="BL84" i="13"/>
  <c r="BK84" i="13"/>
  <c r="BJ84" i="13"/>
  <c r="BI84" i="13"/>
  <c r="BH84" i="13"/>
  <c r="BG84" i="13"/>
  <c r="BF84" i="13"/>
  <c r="BE84" i="13"/>
  <c r="BD84" i="13"/>
  <c r="BC84" i="13"/>
  <c r="BB84" i="13"/>
  <c r="BA84" i="13"/>
  <c r="AZ84" i="13"/>
  <c r="AY84" i="13"/>
  <c r="AX84" i="13"/>
  <c r="AW84" i="13"/>
  <c r="AV84" i="13"/>
  <c r="AU84" i="13"/>
  <c r="AT84" i="13"/>
  <c r="AS84" i="13"/>
  <c r="AR84" i="13"/>
  <c r="AQ84" i="13"/>
  <c r="AP84" i="13"/>
  <c r="AO84" i="13"/>
  <c r="AN84" i="13"/>
  <c r="AM84" i="13"/>
  <c r="AL84" i="13"/>
  <c r="AK84" i="13"/>
  <c r="AJ84" i="13"/>
  <c r="AI84" i="13"/>
  <c r="AH84" i="13"/>
  <c r="AG84" i="13"/>
  <c r="AF84" i="13"/>
  <c r="AE84" i="13"/>
  <c r="AD84" i="13"/>
  <c r="AC84" i="13"/>
  <c r="AB84" i="13"/>
  <c r="AA84" i="13"/>
  <c r="Z84" i="13"/>
  <c r="Y84" i="13"/>
  <c r="X84" i="13"/>
  <c r="W84" i="13"/>
  <c r="V84" i="13"/>
  <c r="U84" i="13"/>
  <c r="T84" i="13"/>
  <c r="S84" i="13"/>
  <c r="R84" i="13"/>
  <c r="Q84" i="13"/>
  <c r="P84" i="13"/>
  <c r="N84" i="13"/>
  <c r="L84" i="13"/>
  <c r="J84" i="13"/>
  <c r="H84" i="13"/>
  <c r="BO85" i="13"/>
  <c r="BN85" i="13"/>
  <c r="BM85" i="13"/>
  <c r="BL85" i="13"/>
  <c r="BK85" i="13"/>
  <c r="BJ85" i="13"/>
  <c r="BI85" i="13"/>
  <c r="BH85" i="13"/>
  <c r="BG85" i="13"/>
  <c r="BF85" i="13"/>
  <c r="BE85" i="13"/>
  <c r="BD85" i="13"/>
  <c r="BC85" i="13"/>
  <c r="BB85" i="13"/>
  <c r="BA85" i="13"/>
  <c r="AZ85" i="13"/>
  <c r="AY85" i="13"/>
  <c r="AX85" i="13"/>
  <c r="AW85" i="13"/>
  <c r="AV85" i="13"/>
  <c r="AU85" i="13"/>
  <c r="AT85" i="13"/>
  <c r="AS85" i="13"/>
  <c r="AR85" i="13"/>
  <c r="AQ85" i="13"/>
  <c r="AP85" i="13"/>
  <c r="AO85" i="13"/>
  <c r="AN85" i="13"/>
  <c r="AM85" i="13"/>
  <c r="AL85" i="13"/>
  <c r="AK85" i="13"/>
  <c r="AJ85" i="13"/>
  <c r="AI85" i="13"/>
  <c r="AH85" i="13"/>
  <c r="AG85" i="13"/>
  <c r="AF85" i="13"/>
  <c r="AE85" i="13"/>
  <c r="AD85" i="13"/>
  <c r="AC85" i="13"/>
  <c r="AB85" i="13"/>
  <c r="AA85" i="13"/>
  <c r="Z85" i="13"/>
  <c r="Y85" i="13"/>
  <c r="X85" i="13"/>
  <c r="W85" i="13"/>
  <c r="V85" i="13"/>
  <c r="U85" i="13"/>
  <c r="T85" i="13"/>
  <c r="S85" i="13"/>
  <c r="R85" i="13"/>
  <c r="Q85" i="13"/>
  <c r="P85" i="13"/>
  <c r="N85" i="13"/>
  <c r="L85" i="13"/>
  <c r="J85" i="13"/>
  <c r="G25" i="13"/>
  <c r="G24" i="13"/>
  <c r="BO25" i="13"/>
  <c r="BN25" i="13"/>
  <c r="BM25" i="13"/>
  <c r="BL25" i="13"/>
  <c r="BK25" i="13"/>
  <c r="BJ25" i="13"/>
  <c r="BI25" i="13"/>
  <c r="BH25" i="13"/>
  <c r="BG25" i="13"/>
  <c r="BF25" i="13"/>
  <c r="BE25" i="13"/>
  <c r="BD25" i="13"/>
  <c r="BC25" i="13"/>
  <c r="BB25" i="13"/>
  <c r="BA25" i="13"/>
  <c r="AZ25" i="13"/>
  <c r="AY25" i="13"/>
  <c r="AX25" i="13"/>
  <c r="AW25" i="13"/>
  <c r="AV25" i="13"/>
  <c r="AU25" i="13"/>
  <c r="AT25" i="13"/>
  <c r="AS25" i="13"/>
  <c r="AR25" i="13"/>
  <c r="AQ25" i="13"/>
  <c r="AP25" i="13"/>
  <c r="AO25" i="13"/>
  <c r="AN25" i="13"/>
  <c r="AM25" i="13"/>
  <c r="AL25" i="13"/>
  <c r="AK25" i="13"/>
  <c r="AJ25" i="13"/>
  <c r="AI25" i="13"/>
  <c r="AH25" i="13"/>
  <c r="AG25" i="13"/>
  <c r="AF25" i="13"/>
  <c r="AE25" i="13"/>
  <c r="AD25" i="13"/>
  <c r="AC25" i="13"/>
  <c r="AB25" i="13"/>
  <c r="AA25" i="13"/>
  <c r="Z25" i="13"/>
  <c r="Y25" i="13"/>
  <c r="X25" i="13"/>
  <c r="W25" i="13"/>
  <c r="V25" i="13"/>
  <c r="U25" i="13"/>
  <c r="T25" i="13"/>
  <c r="S25" i="13"/>
  <c r="R25" i="13"/>
  <c r="Q25" i="13"/>
  <c r="P25" i="13"/>
  <c r="N25" i="13"/>
  <c r="L25" i="13"/>
  <c r="J25" i="13"/>
  <c r="H25" i="13"/>
  <c r="I96" i="6"/>
  <c r="J96" i="6"/>
  <c r="I78" i="6"/>
  <c r="I79" i="6"/>
  <c r="N25" i="6"/>
  <c r="L25" i="6"/>
  <c r="BO53" i="13"/>
  <c r="BN53" i="13"/>
  <c r="BM53" i="13"/>
  <c r="BL53" i="13"/>
  <c r="BK53" i="13"/>
  <c r="BJ53" i="13"/>
  <c r="BI53" i="13"/>
  <c r="BH53" i="13"/>
  <c r="BG53" i="13"/>
  <c r="BF53" i="13"/>
  <c r="BE53" i="13"/>
  <c r="BD53" i="13"/>
  <c r="BC53" i="13"/>
  <c r="BB53" i="13"/>
  <c r="BA53" i="13"/>
  <c r="AZ53" i="13"/>
  <c r="AY53" i="13"/>
  <c r="AX53" i="13"/>
  <c r="AW53" i="13"/>
  <c r="AV53" i="13"/>
  <c r="AU53" i="13"/>
  <c r="AT53" i="13"/>
  <c r="AS53" i="13"/>
  <c r="AR53" i="13"/>
  <c r="AQ53" i="13"/>
  <c r="AP53" i="13"/>
  <c r="AO53" i="13"/>
  <c r="AN53" i="13"/>
  <c r="AM53" i="13"/>
  <c r="AL53" i="13"/>
  <c r="AK53" i="13"/>
  <c r="AJ53" i="13"/>
  <c r="AI53" i="13"/>
  <c r="AH53" i="13"/>
  <c r="AG53" i="13"/>
  <c r="AF53" i="13"/>
  <c r="AE53" i="13"/>
  <c r="AD53" i="13"/>
  <c r="AC53" i="13"/>
  <c r="AB53" i="13"/>
  <c r="AA53" i="13"/>
  <c r="Z53" i="13"/>
  <c r="Y53" i="13"/>
  <c r="X53" i="13"/>
  <c r="W53" i="13"/>
  <c r="V53" i="13"/>
  <c r="U53" i="13"/>
  <c r="T53" i="13"/>
  <c r="S53" i="13"/>
  <c r="R53" i="13"/>
  <c r="Q53" i="13"/>
  <c r="P53" i="13"/>
  <c r="N53" i="13"/>
  <c r="L53" i="13"/>
  <c r="J53" i="13"/>
  <c r="AP70" i="14"/>
  <c r="AO70" i="14"/>
  <c r="AN70" i="14"/>
  <c r="AM70" i="14"/>
  <c r="AL70" i="14"/>
  <c r="AK70" i="14"/>
  <c r="AJ70" i="14"/>
  <c r="AI70" i="14"/>
  <c r="AH70" i="14"/>
  <c r="AG70" i="14"/>
  <c r="AF70" i="14"/>
  <c r="AE70" i="14"/>
  <c r="N70" i="14"/>
  <c r="AP69" i="14"/>
  <c r="AO69" i="14"/>
  <c r="AN69" i="14"/>
  <c r="AM69" i="14"/>
  <c r="AL69" i="14"/>
  <c r="AK69" i="14"/>
  <c r="AJ69" i="14"/>
  <c r="AI69" i="14"/>
  <c r="AH69" i="14"/>
  <c r="AG69" i="14"/>
  <c r="AF69" i="14"/>
  <c r="AE69" i="14"/>
  <c r="N69" i="14"/>
  <c r="L69" i="14"/>
  <c r="J69" i="14"/>
  <c r="L186" i="14"/>
  <c r="L180" i="14"/>
  <c r="L178" i="14"/>
  <c r="L176" i="14"/>
  <c r="L175" i="14"/>
  <c r="L173" i="14"/>
  <c r="L169" i="14"/>
  <c r="L166" i="14"/>
  <c r="L164" i="14"/>
  <c r="L161" i="14"/>
  <c r="L158" i="14"/>
  <c r="L156" i="14"/>
  <c r="L155" i="14"/>
  <c r="L150" i="14"/>
  <c r="L145" i="14"/>
  <c r="L142" i="14"/>
  <c r="L140" i="14"/>
  <c r="L138" i="14"/>
  <c r="L136" i="14"/>
  <c r="L134" i="14"/>
  <c r="L132" i="14"/>
  <c r="L130" i="14"/>
  <c r="L128" i="14"/>
  <c r="L126" i="14"/>
  <c r="L124" i="14"/>
  <c r="L122" i="14"/>
  <c r="L120" i="14"/>
  <c r="L119" i="14"/>
  <c r="L116" i="14"/>
  <c r="L110" i="14"/>
  <c r="L109" i="14"/>
  <c r="L106" i="14"/>
  <c r="L104" i="14"/>
  <c r="L103" i="14"/>
  <c r="L100" i="14"/>
  <c r="L98" i="14"/>
  <c r="L97" i="14"/>
  <c r="L93" i="14"/>
  <c r="L91" i="14"/>
  <c r="L90" i="14"/>
  <c r="L85" i="14"/>
  <c r="L80" i="14"/>
  <c r="L77" i="14"/>
  <c r="L75" i="14"/>
  <c r="L73" i="14"/>
  <c r="L71" i="14"/>
  <c r="L67" i="14"/>
  <c r="L65" i="14"/>
  <c r="L64" i="14"/>
  <c r="L63" i="14"/>
  <c r="L60" i="14"/>
  <c r="L58" i="14"/>
  <c r="L57" i="14"/>
  <c r="L54" i="14"/>
  <c r="L51" i="14"/>
  <c r="L49" i="14"/>
  <c r="L48" i="14"/>
  <c r="L46" i="14"/>
  <c r="L43" i="14"/>
  <c r="L41" i="14"/>
  <c r="L39" i="14"/>
  <c r="L38" i="14"/>
  <c r="L35" i="14"/>
  <c r="L33" i="14"/>
  <c r="L31" i="14"/>
  <c r="L30" i="14"/>
  <c r="L24" i="14"/>
  <c r="J186" i="14"/>
  <c r="J180" i="14"/>
  <c r="J178" i="14"/>
  <c r="J176" i="14"/>
  <c r="J175" i="14"/>
  <c r="J173" i="14"/>
  <c r="J169" i="14"/>
  <c r="J166" i="14"/>
  <c r="J164" i="14"/>
  <c r="J161" i="14"/>
  <c r="J158" i="14"/>
  <c r="J156" i="14"/>
  <c r="J155" i="14"/>
  <c r="J150" i="14"/>
  <c r="J145" i="14"/>
  <c r="J142" i="14"/>
  <c r="J140" i="14"/>
  <c r="J138" i="14"/>
  <c r="J136" i="14"/>
  <c r="J134" i="14"/>
  <c r="J132" i="14"/>
  <c r="J130" i="14"/>
  <c r="J128" i="14"/>
  <c r="J126" i="14"/>
  <c r="J124" i="14"/>
  <c r="J122" i="14"/>
  <c r="J120" i="14"/>
  <c r="J119" i="14"/>
  <c r="J116" i="14"/>
  <c r="J110" i="14"/>
  <c r="J109" i="14"/>
  <c r="J106" i="14"/>
  <c r="J104" i="14"/>
  <c r="J103" i="14"/>
  <c r="J100" i="14"/>
  <c r="J98" i="14"/>
  <c r="J97" i="14"/>
  <c r="J93" i="14"/>
  <c r="J91" i="14"/>
  <c r="J90" i="14"/>
  <c r="J85" i="14"/>
  <c r="J80" i="14"/>
  <c r="J77" i="14"/>
  <c r="J75" i="14"/>
  <c r="J73" i="14"/>
  <c r="J71" i="14"/>
  <c r="J67" i="14"/>
  <c r="J65" i="14"/>
  <c r="J64" i="14"/>
  <c r="J63" i="14"/>
  <c r="J60" i="14"/>
  <c r="J58" i="14"/>
  <c r="J57" i="14"/>
  <c r="J54" i="14"/>
  <c r="J51" i="14"/>
  <c r="J49" i="14"/>
  <c r="J48" i="14"/>
  <c r="J46" i="14"/>
  <c r="J43" i="14"/>
  <c r="J41" i="14"/>
  <c r="J39" i="14"/>
  <c r="J38" i="14"/>
  <c r="J35" i="14"/>
  <c r="J33" i="14"/>
  <c r="J31" i="14"/>
  <c r="J30" i="14"/>
  <c r="J24" i="14"/>
  <c r="N122" i="6"/>
  <c r="N89" i="6"/>
  <c r="N88" i="6"/>
  <c r="N87" i="6"/>
  <c r="N86" i="6"/>
  <c r="N70" i="6"/>
  <c r="N30" i="6"/>
  <c r="N29" i="6"/>
  <c r="N28" i="6"/>
  <c r="N27" i="6"/>
  <c r="L122" i="6"/>
  <c r="L89" i="6"/>
  <c r="L88" i="6"/>
  <c r="L87" i="6"/>
  <c r="L86" i="6"/>
  <c r="L85" i="6"/>
  <c r="L70" i="6"/>
  <c r="L30" i="6"/>
  <c r="L29" i="6"/>
  <c r="L28" i="6"/>
  <c r="L27" i="6"/>
  <c r="N25" i="14"/>
  <c r="N24" i="14"/>
  <c r="AP180" i="14"/>
  <c r="AO180" i="14"/>
  <c r="AN180" i="14"/>
  <c r="AM180" i="14"/>
  <c r="AL180" i="14"/>
  <c r="AK180" i="14"/>
  <c r="AJ180" i="14"/>
  <c r="AI180" i="14"/>
  <c r="AH180" i="14"/>
  <c r="AG180" i="14"/>
  <c r="AF180" i="14"/>
  <c r="AE180" i="14"/>
  <c r="AP178" i="14"/>
  <c r="AO178" i="14"/>
  <c r="AN178" i="14"/>
  <c r="AM178" i="14"/>
  <c r="AL178" i="14"/>
  <c r="AK178" i="14"/>
  <c r="AJ178" i="14"/>
  <c r="AI178" i="14"/>
  <c r="AH178" i="14"/>
  <c r="AG178" i="14"/>
  <c r="AF178" i="14"/>
  <c r="AE178" i="14"/>
  <c r="AP176" i="14"/>
  <c r="AO176" i="14"/>
  <c r="AN176" i="14"/>
  <c r="AM176" i="14"/>
  <c r="AL176" i="14"/>
  <c r="AK176" i="14"/>
  <c r="AJ176" i="14"/>
  <c r="AI176" i="14"/>
  <c r="AH176" i="14"/>
  <c r="AG176" i="14"/>
  <c r="AF176" i="14"/>
  <c r="AE176" i="14"/>
  <c r="AP175" i="14"/>
  <c r="AO175" i="14"/>
  <c r="AN175" i="14"/>
  <c r="AM175" i="14"/>
  <c r="AL175" i="14"/>
  <c r="AK175" i="14"/>
  <c r="AJ175" i="14"/>
  <c r="AI175" i="14"/>
  <c r="AH175" i="14"/>
  <c r="AG175" i="14"/>
  <c r="AF175" i="14"/>
  <c r="AE175" i="14"/>
  <c r="AP166" i="14"/>
  <c r="AO166" i="14"/>
  <c r="AN166" i="14"/>
  <c r="AM166" i="14"/>
  <c r="AL166" i="14"/>
  <c r="AK166" i="14"/>
  <c r="AJ166" i="14"/>
  <c r="AI166" i="14"/>
  <c r="AH166" i="14"/>
  <c r="AG166" i="14"/>
  <c r="AF166" i="14"/>
  <c r="AE166" i="14"/>
  <c r="AP164" i="14"/>
  <c r="AO164" i="14"/>
  <c r="AN164" i="14"/>
  <c r="AM164" i="14"/>
  <c r="AL164" i="14"/>
  <c r="AK164" i="14"/>
  <c r="AJ164" i="14"/>
  <c r="AI164" i="14"/>
  <c r="AH164" i="14"/>
  <c r="AG164" i="14"/>
  <c r="AF164" i="14"/>
  <c r="AE164" i="14"/>
  <c r="AP158" i="14"/>
  <c r="AO158" i="14"/>
  <c r="AN158" i="14"/>
  <c r="AM158" i="14"/>
  <c r="AL158" i="14"/>
  <c r="AK158" i="14"/>
  <c r="AJ158" i="14"/>
  <c r="AI158" i="14"/>
  <c r="AH158" i="14"/>
  <c r="AG158" i="14"/>
  <c r="AF158" i="14"/>
  <c r="AE158" i="14"/>
  <c r="AP156" i="14"/>
  <c r="AO156" i="14"/>
  <c r="AN156" i="14"/>
  <c r="AM156" i="14"/>
  <c r="AL156" i="14"/>
  <c r="AK156" i="14"/>
  <c r="AJ156" i="14"/>
  <c r="AI156" i="14"/>
  <c r="AH156" i="14"/>
  <c r="AG156" i="14"/>
  <c r="AF156" i="14"/>
  <c r="AE156" i="14"/>
  <c r="AP155" i="14"/>
  <c r="AO155" i="14"/>
  <c r="AN155" i="14"/>
  <c r="AM155" i="14"/>
  <c r="AL155" i="14"/>
  <c r="AK155" i="14"/>
  <c r="AJ155" i="14"/>
  <c r="AI155" i="14"/>
  <c r="AH155" i="14"/>
  <c r="AG155" i="14"/>
  <c r="AF155" i="14"/>
  <c r="AE155" i="14"/>
  <c r="AP142" i="14"/>
  <c r="AO142" i="14"/>
  <c r="AN142" i="14"/>
  <c r="AM142" i="14"/>
  <c r="AL142" i="14"/>
  <c r="AK142" i="14"/>
  <c r="AJ142" i="14"/>
  <c r="AI142" i="14"/>
  <c r="AH142" i="14"/>
  <c r="AG142" i="14"/>
  <c r="AF142" i="14"/>
  <c r="AE142" i="14"/>
  <c r="AP140" i="14"/>
  <c r="AO140" i="14"/>
  <c r="AN140" i="14"/>
  <c r="AM140" i="14"/>
  <c r="AL140" i="14"/>
  <c r="AK140" i="14"/>
  <c r="AJ140" i="14"/>
  <c r="AI140" i="14"/>
  <c r="AH140" i="14"/>
  <c r="AG140" i="14"/>
  <c r="AF140" i="14"/>
  <c r="AE140" i="14"/>
  <c r="AP138" i="14"/>
  <c r="AO138" i="14"/>
  <c r="AN138" i="14"/>
  <c r="AM138" i="14"/>
  <c r="AL138" i="14"/>
  <c r="AK138" i="14"/>
  <c r="AJ138" i="14"/>
  <c r="AI138" i="14"/>
  <c r="AH138" i="14"/>
  <c r="AG138" i="14"/>
  <c r="AF138" i="14"/>
  <c r="AE138" i="14"/>
  <c r="AP136" i="14"/>
  <c r="AO136" i="14"/>
  <c r="AN136" i="14"/>
  <c r="AM136" i="14"/>
  <c r="AL136" i="14"/>
  <c r="AK136" i="14"/>
  <c r="AJ136" i="14"/>
  <c r="AI136" i="14"/>
  <c r="AH136" i="14"/>
  <c r="AG136" i="14"/>
  <c r="AF136" i="14"/>
  <c r="AE136" i="14"/>
  <c r="AP134" i="14"/>
  <c r="AO134" i="14"/>
  <c r="AN134" i="14"/>
  <c r="AM134" i="14"/>
  <c r="AL134" i="14"/>
  <c r="AK134" i="14"/>
  <c r="AJ134" i="14"/>
  <c r="AI134" i="14"/>
  <c r="AH134" i="14"/>
  <c r="AG134" i="14"/>
  <c r="AF134" i="14"/>
  <c r="AE134" i="14"/>
  <c r="AP132" i="14"/>
  <c r="AO132" i="14"/>
  <c r="AN132" i="14"/>
  <c r="AM132" i="14"/>
  <c r="AL132" i="14"/>
  <c r="AK132" i="14"/>
  <c r="AJ132" i="14"/>
  <c r="AI132" i="14"/>
  <c r="AH132" i="14"/>
  <c r="AG132" i="14"/>
  <c r="AF132" i="14"/>
  <c r="AE132" i="14"/>
  <c r="AP130" i="14"/>
  <c r="AO130" i="14"/>
  <c r="AN130" i="14"/>
  <c r="AM130" i="14"/>
  <c r="AL130" i="14"/>
  <c r="AK130" i="14"/>
  <c r="AJ130" i="14"/>
  <c r="AI130" i="14"/>
  <c r="AH130" i="14"/>
  <c r="AG130" i="14"/>
  <c r="AF130" i="14"/>
  <c r="AE130" i="14"/>
  <c r="AP128" i="14"/>
  <c r="AO128" i="14"/>
  <c r="AN128" i="14"/>
  <c r="AM128" i="14"/>
  <c r="AL128" i="14"/>
  <c r="AK128" i="14"/>
  <c r="AJ128" i="14"/>
  <c r="AI128" i="14"/>
  <c r="AH128" i="14"/>
  <c r="AG128" i="14"/>
  <c r="AF128" i="14"/>
  <c r="AE128" i="14"/>
  <c r="AP126" i="14"/>
  <c r="AO126" i="14"/>
  <c r="AN126" i="14"/>
  <c r="AM126" i="14"/>
  <c r="AL126" i="14"/>
  <c r="AK126" i="14"/>
  <c r="AJ126" i="14"/>
  <c r="AI126" i="14"/>
  <c r="AH126" i="14"/>
  <c r="AG126" i="14"/>
  <c r="AF126" i="14"/>
  <c r="AE126" i="14"/>
  <c r="AP124" i="14"/>
  <c r="AO124" i="14"/>
  <c r="AN124" i="14"/>
  <c r="AM124" i="14"/>
  <c r="AL124" i="14"/>
  <c r="AK124" i="14"/>
  <c r="AJ124" i="14"/>
  <c r="AI124" i="14"/>
  <c r="AH124" i="14"/>
  <c r="AG124" i="14"/>
  <c r="AF124" i="14"/>
  <c r="AE124" i="14"/>
  <c r="AP122" i="14"/>
  <c r="AO122" i="14"/>
  <c r="AN122" i="14"/>
  <c r="AM122" i="14"/>
  <c r="AL122" i="14"/>
  <c r="AK122" i="14"/>
  <c r="AJ122" i="14"/>
  <c r="AI122" i="14"/>
  <c r="AH122" i="14"/>
  <c r="AG122" i="14"/>
  <c r="AF122" i="14"/>
  <c r="AE122" i="14"/>
  <c r="AP120" i="14"/>
  <c r="AO120" i="14"/>
  <c r="AN120" i="14"/>
  <c r="AM120" i="14"/>
  <c r="AL120" i="14"/>
  <c r="AK120" i="14"/>
  <c r="AJ120" i="14"/>
  <c r="AI120" i="14"/>
  <c r="AH120" i="14"/>
  <c r="AG120" i="14"/>
  <c r="AF120" i="14"/>
  <c r="AE120" i="14"/>
  <c r="AP119" i="14"/>
  <c r="AO119" i="14"/>
  <c r="AN119" i="14"/>
  <c r="AM119" i="14"/>
  <c r="AL119" i="14"/>
  <c r="AK119" i="14"/>
  <c r="AJ119" i="14"/>
  <c r="AI119" i="14"/>
  <c r="AH119" i="14"/>
  <c r="AG119" i="14"/>
  <c r="AF119" i="14"/>
  <c r="AE119" i="14"/>
  <c r="AP116" i="14"/>
  <c r="AO116" i="14"/>
  <c r="AN116" i="14"/>
  <c r="AM116" i="14"/>
  <c r="AL116" i="14"/>
  <c r="AK116" i="14"/>
  <c r="AJ116" i="14"/>
  <c r="AI116" i="14"/>
  <c r="AH116" i="14"/>
  <c r="AG116" i="14"/>
  <c r="AF116" i="14"/>
  <c r="AE116" i="14"/>
  <c r="AP110" i="14"/>
  <c r="AO110" i="14"/>
  <c r="AN110" i="14"/>
  <c r="AM110" i="14"/>
  <c r="AL110" i="14"/>
  <c r="AK110" i="14"/>
  <c r="AJ110" i="14"/>
  <c r="AI110" i="14"/>
  <c r="AH110" i="14"/>
  <c r="AG110" i="14"/>
  <c r="AF110" i="14"/>
  <c r="AE110" i="14"/>
  <c r="AP109" i="14"/>
  <c r="AO109" i="14"/>
  <c r="AN109" i="14"/>
  <c r="AM109" i="14"/>
  <c r="AL109" i="14"/>
  <c r="AK109" i="14"/>
  <c r="AJ109" i="14"/>
  <c r="AI109" i="14"/>
  <c r="AH109" i="14"/>
  <c r="AG109" i="14"/>
  <c r="AF109" i="14"/>
  <c r="AE109" i="14"/>
  <c r="AP106" i="14"/>
  <c r="AO106" i="14"/>
  <c r="AN106" i="14"/>
  <c r="AM106" i="14"/>
  <c r="AL106" i="14"/>
  <c r="AK106" i="14"/>
  <c r="AJ106" i="14"/>
  <c r="AI106" i="14"/>
  <c r="AH106" i="14"/>
  <c r="AG106" i="14"/>
  <c r="AF106" i="14"/>
  <c r="AE106" i="14"/>
  <c r="AP104" i="14"/>
  <c r="AO104" i="14"/>
  <c r="AN104" i="14"/>
  <c r="AM104" i="14"/>
  <c r="AL104" i="14"/>
  <c r="AK104" i="14"/>
  <c r="AJ104" i="14"/>
  <c r="AI104" i="14"/>
  <c r="AH104" i="14"/>
  <c r="AG104" i="14"/>
  <c r="AF104" i="14"/>
  <c r="AE104" i="14"/>
  <c r="AP103" i="14"/>
  <c r="AO103" i="14"/>
  <c r="AN103" i="14"/>
  <c r="AM103" i="14"/>
  <c r="AL103" i="14"/>
  <c r="AK103" i="14"/>
  <c r="AJ103" i="14"/>
  <c r="AI103" i="14"/>
  <c r="AH103" i="14"/>
  <c r="AG103" i="14"/>
  <c r="AF103" i="14"/>
  <c r="AE103" i="14"/>
  <c r="AP100" i="14"/>
  <c r="AO100" i="14"/>
  <c r="AN100" i="14"/>
  <c r="AM100" i="14"/>
  <c r="AL100" i="14"/>
  <c r="AK100" i="14"/>
  <c r="AJ100" i="14"/>
  <c r="AI100" i="14"/>
  <c r="AH100" i="14"/>
  <c r="AG100" i="14"/>
  <c r="AF100" i="14"/>
  <c r="AE100" i="14"/>
  <c r="AP98" i="14"/>
  <c r="AO98" i="14"/>
  <c r="AN98" i="14"/>
  <c r="AM98" i="14"/>
  <c r="AL98" i="14"/>
  <c r="AK98" i="14"/>
  <c r="AJ98" i="14"/>
  <c r="AI98" i="14"/>
  <c r="AH98" i="14"/>
  <c r="AG98" i="14"/>
  <c r="AF98" i="14"/>
  <c r="AE98" i="14"/>
  <c r="AP97" i="14"/>
  <c r="AO97" i="14"/>
  <c r="AN97" i="14"/>
  <c r="AM97" i="14"/>
  <c r="AL97" i="14"/>
  <c r="AK97" i="14"/>
  <c r="AJ97" i="14"/>
  <c r="AI97" i="14"/>
  <c r="AH97" i="14"/>
  <c r="AG97" i="14"/>
  <c r="AF97" i="14"/>
  <c r="AE97" i="14"/>
  <c r="AP93" i="14"/>
  <c r="AO93" i="14"/>
  <c r="AN93" i="14"/>
  <c r="AM93" i="14"/>
  <c r="AL93" i="14"/>
  <c r="AK93" i="14"/>
  <c r="AJ93" i="14"/>
  <c r="AI93" i="14"/>
  <c r="AH93" i="14"/>
  <c r="AG93" i="14"/>
  <c r="AF93" i="14"/>
  <c r="AE93" i="14"/>
  <c r="AP91" i="14"/>
  <c r="AO91" i="14"/>
  <c r="AN91" i="14"/>
  <c r="AM91" i="14"/>
  <c r="AL91" i="14"/>
  <c r="AK91" i="14"/>
  <c r="AJ91" i="14"/>
  <c r="AI91" i="14"/>
  <c r="AH91" i="14"/>
  <c r="AG91" i="14"/>
  <c r="AF91" i="14"/>
  <c r="AE91" i="14"/>
  <c r="AP90" i="14"/>
  <c r="AO90" i="14"/>
  <c r="AN90" i="14"/>
  <c r="AM90" i="14"/>
  <c r="AL90" i="14"/>
  <c r="AK90" i="14"/>
  <c r="AJ90" i="14"/>
  <c r="AI90" i="14"/>
  <c r="AH90" i="14"/>
  <c r="AG90" i="14"/>
  <c r="AF90" i="14"/>
  <c r="AE90" i="14"/>
  <c r="AP77" i="14"/>
  <c r="AO77" i="14"/>
  <c r="AN77" i="14"/>
  <c r="AM77" i="14"/>
  <c r="AL77" i="14"/>
  <c r="AK77" i="14"/>
  <c r="AJ77" i="14"/>
  <c r="AI77" i="14"/>
  <c r="AH77" i="14"/>
  <c r="AG77" i="14"/>
  <c r="AF77" i="14"/>
  <c r="AE77" i="14"/>
  <c r="AP75" i="14"/>
  <c r="AO75" i="14"/>
  <c r="AN75" i="14"/>
  <c r="AM75" i="14"/>
  <c r="AL75" i="14"/>
  <c r="AK75" i="14"/>
  <c r="AJ75" i="14"/>
  <c r="AI75" i="14"/>
  <c r="AH75" i="14"/>
  <c r="AG75" i="14"/>
  <c r="AF75" i="14"/>
  <c r="AE75" i="14"/>
  <c r="AP73" i="14"/>
  <c r="AO73" i="14"/>
  <c r="AN73" i="14"/>
  <c r="AM73" i="14"/>
  <c r="AL73" i="14"/>
  <c r="AK73" i="14"/>
  <c r="AJ73" i="14"/>
  <c r="AI73" i="14"/>
  <c r="AH73" i="14"/>
  <c r="AG73" i="14"/>
  <c r="AF73" i="14"/>
  <c r="AE73" i="14"/>
  <c r="AP71" i="14"/>
  <c r="AO71" i="14"/>
  <c r="AN71" i="14"/>
  <c r="AM71" i="14"/>
  <c r="AL71" i="14"/>
  <c r="AK71" i="14"/>
  <c r="AJ71" i="14"/>
  <c r="AI71" i="14"/>
  <c r="AH71" i="14"/>
  <c r="AG71" i="14"/>
  <c r="AF71" i="14"/>
  <c r="AE71" i="14"/>
  <c r="AP67" i="14"/>
  <c r="AO67" i="14"/>
  <c r="AN67" i="14"/>
  <c r="AM67" i="14"/>
  <c r="AL67" i="14"/>
  <c r="AK67" i="14"/>
  <c r="AJ67" i="14"/>
  <c r="AI67" i="14"/>
  <c r="AH67" i="14"/>
  <c r="AG67" i="14"/>
  <c r="AF67" i="14"/>
  <c r="AE67" i="14"/>
  <c r="AP65" i="14"/>
  <c r="AO65" i="14"/>
  <c r="AN65" i="14"/>
  <c r="AM65" i="14"/>
  <c r="AL65" i="14"/>
  <c r="AK65" i="14"/>
  <c r="AJ65" i="14"/>
  <c r="AI65" i="14"/>
  <c r="AH65" i="14"/>
  <c r="AG65" i="14"/>
  <c r="AF65" i="14"/>
  <c r="AE65" i="14"/>
  <c r="AP64" i="14"/>
  <c r="AO64" i="14"/>
  <c r="AN64" i="14"/>
  <c r="AM64" i="14"/>
  <c r="AL64" i="14"/>
  <c r="AK64" i="14"/>
  <c r="AJ64" i="14"/>
  <c r="AI64" i="14"/>
  <c r="AH64" i="14"/>
  <c r="AG64" i="14"/>
  <c r="AF64" i="14"/>
  <c r="AE64" i="14"/>
  <c r="AP63" i="14"/>
  <c r="AO63" i="14"/>
  <c r="AN63" i="14"/>
  <c r="AM63" i="14"/>
  <c r="AL63" i="14"/>
  <c r="AK63" i="14"/>
  <c r="AJ63" i="14"/>
  <c r="AI63" i="14"/>
  <c r="AH63" i="14"/>
  <c r="AG63" i="14"/>
  <c r="AF63" i="14"/>
  <c r="AE63" i="14"/>
  <c r="AP60" i="14"/>
  <c r="AO60" i="14"/>
  <c r="AN60" i="14"/>
  <c r="AM60" i="14"/>
  <c r="AL60" i="14"/>
  <c r="AK60" i="14"/>
  <c r="AJ60" i="14"/>
  <c r="AI60" i="14"/>
  <c r="AH60" i="14"/>
  <c r="AG60" i="14"/>
  <c r="AF60" i="14"/>
  <c r="AE60" i="14"/>
  <c r="AP58" i="14"/>
  <c r="AO58" i="14"/>
  <c r="AN58" i="14"/>
  <c r="AM58" i="14"/>
  <c r="AL58" i="14"/>
  <c r="AK58" i="14"/>
  <c r="AJ58" i="14"/>
  <c r="AI58" i="14"/>
  <c r="AH58" i="14"/>
  <c r="AG58" i="14"/>
  <c r="AF58" i="14"/>
  <c r="AE58" i="14"/>
  <c r="AP57" i="14"/>
  <c r="AO57" i="14"/>
  <c r="AN57" i="14"/>
  <c r="AM57" i="14"/>
  <c r="AL57" i="14"/>
  <c r="AK57" i="14"/>
  <c r="AJ57" i="14"/>
  <c r="AI57" i="14"/>
  <c r="AH57" i="14"/>
  <c r="AG57" i="14"/>
  <c r="AF57" i="14"/>
  <c r="AE57" i="14"/>
  <c r="AP54" i="14"/>
  <c r="AO54" i="14"/>
  <c r="AN54" i="14"/>
  <c r="AM54" i="14"/>
  <c r="AL54" i="14"/>
  <c r="AK54" i="14"/>
  <c r="AJ54" i="14"/>
  <c r="AI54" i="14"/>
  <c r="AH54" i="14"/>
  <c r="AG54" i="14"/>
  <c r="AF54" i="14"/>
  <c r="AE54" i="14"/>
  <c r="AP51" i="14"/>
  <c r="AO51" i="14"/>
  <c r="AN51" i="14"/>
  <c r="AM51" i="14"/>
  <c r="AL51" i="14"/>
  <c r="AK51" i="14"/>
  <c r="AJ51" i="14"/>
  <c r="AI51" i="14"/>
  <c r="AH51" i="14"/>
  <c r="AG51" i="14"/>
  <c r="AF51" i="14"/>
  <c r="AE51" i="14"/>
  <c r="AP49" i="14"/>
  <c r="AO49" i="14"/>
  <c r="AN49" i="14"/>
  <c r="AM49" i="14"/>
  <c r="AL49" i="14"/>
  <c r="AK49" i="14"/>
  <c r="AJ49" i="14"/>
  <c r="AI49" i="14"/>
  <c r="AH49" i="14"/>
  <c r="AG49" i="14"/>
  <c r="AF49" i="14"/>
  <c r="AE49" i="14"/>
  <c r="AP48" i="14"/>
  <c r="AO48" i="14"/>
  <c r="AN48" i="14"/>
  <c r="AM48" i="14"/>
  <c r="AL48" i="14"/>
  <c r="AK48" i="14"/>
  <c r="AJ48" i="14"/>
  <c r="AI48" i="14"/>
  <c r="AH48" i="14"/>
  <c r="AG48" i="14"/>
  <c r="AF48" i="14"/>
  <c r="AE48" i="14"/>
  <c r="AP43" i="14"/>
  <c r="AO43" i="14"/>
  <c r="AN43" i="14"/>
  <c r="AM43" i="14"/>
  <c r="AL43" i="14"/>
  <c r="AK43" i="14"/>
  <c r="AJ43" i="14"/>
  <c r="AI43" i="14"/>
  <c r="AH43" i="14"/>
  <c r="AG43" i="14"/>
  <c r="AF43" i="14"/>
  <c r="AE43" i="14"/>
  <c r="AP41" i="14"/>
  <c r="AO41" i="14"/>
  <c r="AN41" i="14"/>
  <c r="AM41" i="14"/>
  <c r="AL41" i="14"/>
  <c r="AK41" i="14"/>
  <c r="AJ41" i="14"/>
  <c r="AI41" i="14"/>
  <c r="AH41" i="14"/>
  <c r="AG41" i="14"/>
  <c r="AF41" i="14"/>
  <c r="AE41" i="14"/>
  <c r="AP39" i="14"/>
  <c r="AO39" i="14"/>
  <c r="AN39" i="14"/>
  <c r="AM39" i="14"/>
  <c r="AL39" i="14"/>
  <c r="AK39" i="14"/>
  <c r="AJ39" i="14"/>
  <c r="AI39" i="14"/>
  <c r="AH39" i="14"/>
  <c r="AG39" i="14"/>
  <c r="AF39" i="14"/>
  <c r="AE39" i="14"/>
  <c r="AP38" i="14"/>
  <c r="AO38" i="14"/>
  <c r="AN38" i="14"/>
  <c r="AM38" i="14"/>
  <c r="AL38" i="14"/>
  <c r="AK38" i="14"/>
  <c r="AJ38" i="14"/>
  <c r="AI38" i="14"/>
  <c r="AH38" i="14"/>
  <c r="AG38" i="14"/>
  <c r="AF38" i="14"/>
  <c r="AE38" i="14"/>
  <c r="AP35" i="14"/>
  <c r="AO35" i="14"/>
  <c r="AN35" i="14"/>
  <c r="AM35" i="14"/>
  <c r="AL35" i="14"/>
  <c r="AK35" i="14"/>
  <c r="AJ35" i="14"/>
  <c r="AI35" i="14"/>
  <c r="AH35" i="14"/>
  <c r="AG35" i="14"/>
  <c r="AF35" i="14"/>
  <c r="AE35" i="14"/>
  <c r="AP33" i="14"/>
  <c r="AO33" i="14"/>
  <c r="AN33" i="14"/>
  <c r="AM33" i="14"/>
  <c r="AL33" i="14"/>
  <c r="AK33" i="14"/>
  <c r="AJ33" i="14"/>
  <c r="AI33" i="14"/>
  <c r="AH33" i="14"/>
  <c r="AG33" i="14"/>
  <c r="AF33" i="14"/>
  <c r="AE33" i="14"/>
  <c r="AP31" i="14"/>
  <c r="AO31" i="14"/>
  <c r="AN31" i="14"/>
  <c r="AM31" i="14"/>
  <c r="AL31" i="14"/>
  <c r="AK31" i="14"/>
  <c r="AJ31" i="14"/>
  <c r="AI31" i="14"/>
  <c r="AH31" i="14"/>
  <c r="AG31" i="14"/>
  <c r="AF31" i="14"/>
  <c r="AE31" i="14"/>
  <c r="AP30" i="14"/>
  <c r="AO30" i="14"/>
  <c r="AN30" i="14"/>
  <c r="AM30" i="14"/>
  <c r="AL30" i="14"/>
  <c r="AK30" i="14"/>
  <c r="AJ30" i="14"/>
  <c r="AI30" i="14"/>
  <c r="AH30" i="14"/>
  <c r="AG30" i="14"/>
  <c r="AF30" i="14"/>
  <c r="AE30" i="14"/>
  <c r="AP24" i="14"/>
  <c r="AO24" i="14"/>
  <c r="AN24" i="14"/>
  <c r="AM24" i="14"/>
  <c r="AL24" i="14"/>
  <c r="AK24" i="14"/>
  <c r="AJ24" i="14"/>
  <c r="AI24" i="14"/>
  <c r="AH24" i="14"/>
  <c r="AG24" i="14"/>
  <c r="AF24" i="14"/>
  <c r="AE24" i="14"/>
  <c r="AP181" i="14"/>
  <c r="AO181" i="14"/>
  <c r="AN181" i="14"/>
  <c r="AM181" i="14"/>
  <c r="AL181" i="14"/>
  <c r="AK181" i="14"/>
  <c r="AJ181" i="14"/>
  <c r="AI181" i="14"/>
  <c r="AH181" i="14"/>
  <c r="AG181" i="14"/>
  <c r="AF181" i="14"/>
  <c r="AE181" i="14"/>
  <c r="AP179" i="14"/>
  <c r="AO179" i="14"/>
  <c r="AN179" i="14"/>
  <c r="AM179" i="14"/>
  <c r="AL179" i="14"/>
  <c r="AK179" i="14"/>
  <c r="AJ179" i="14"/>
  <c r="AI179" i="14"/>
  <c r="AH179" i="14"/>
  <c r="AG179" i="14"/>
  <c r="AF179" i="14"/>
  <c r="AE179" i="14"/>
  <c r="AP177" i="14"/>
  <c r="AO177" i="14"/>
  <c r="AN177" i="14"/>
  <c r="AM177" i="14"/>
  <c r="AL177" i="14"/>
  <c r="AK177" i="14"/>
  <c r="AJ177" i="14"/>
  <c r="AI177" i="14"/>
  <c r="AH177" i="14"/>
  <c r="AG177" i="14"/>
  <c r="AF177" i="14"/>
  <c r="AE177" i="14"/>
  <c r="AP167" i="14"/>
  <c r="AO167" i="14"/>
  <c r="AN167" i="14"/>
  <c r="AM167" i="14"/>
  <c r="AL167" i="14"/>
  <c r="AK167" i="14"/>
  <c r="AJ167" i="14"/>
  <c r="AI167" i="14"/>
  <c r="AH167" i="14"/>
  <c r="AG167" i="14"/>
  <c r="AF167" i="14"/>
  <c r="AE167" i="14"/>
  <c r="AP165" i="14"/>
  <c r="AO165" i="14"/>
  <c r="AN165" i="14"/>
  <c r="AM165" i="14"/>
  <c r="AL165" i="14"/>
  <c r="AK165" i="14"/>
  <c r="AJ165" i="14"/>
  <c r="AI165" i="14"/>
  <c r="AH165" i="14"/>
  <c r="AG165" i="14"/>
  <c r="AF165" i="14"/>
  <c r="AE165" i="14"/>
  <c r="AP159" i="14"/>
  <c r="AO159" i="14"/>
  <c r="AN159" i="14"/>
  <c r="AM159" i="14"/>
  <c r="AL159" i="14"/>
  <c r="AK159" i="14"/>
  <c r="AJ159" i="14"/>
  <c r="AI159" i="14"/>
  <c r="AH159" i="14"/>
  <c r="AG159" i="14"/>
  <c r="AF159" i="14"/>
  <c r="AE159" i="14"/>
  <c r="AP157" i="14"/>
  <c r="AO157" i="14"/>
  <c r="AN157" i="14"/>
  <c r="AM157" i="14"/>
  <c r="AL157" i="14"/>
  <c r="AK157" i="14"/>
  <c r="AJ157" i="14"/>
  <c r="AI157" i="14"/>
  <c r="AH157" i="14"/>
  <c r="AG157" i="14"/>
  <c r="AF157" i="14"/>
  <c r="AE157" i="14"/>
  <c r="AP143" i="14"/>
  <c r="AO143" i="14"/>
  <c r="AN143" i="14"/>
  <c r="AM143" i="14"/>
  <c r="AL143" i="14"/>
  <c r="AK143" i="14"/>
  <c r="AJ143" i="14"/>
  <c r="AI143" i="14"/>
  <c r="AH143" i="14"/>
  <c r="AG143" i="14"/>
  <c r="AF143" i="14"/>
  <c r="AE143" i="14"/>
  <c r="AP141" i="14"/>
  <c r="AO141" i="14"/>
  <c r="AN141" i="14"/>
  <c r="AM141" i="14"/>
  <c r="AL141" i="14"/>
  <c r="AK141" i="14"/>
  <c r="AJ141" i="14"/>
  <c r="AI141" i="14"/>
  <c r="AH141" i="14"/>
  <c r="AG141" i="14"/>
  <c r="AF141" i="14"/>
  <c r="AE141" i="14"/>
  <c r="AP139" i="14"/>
  <c r="AO139" i="14"/>
  <c r="AN139" i="14"/>
  <c r="AM139" i="14"/>
  <c r="AL139" i="14"/>
  <c r="AK139" i="14"/>
  <c r="AJ139" i="14"/>
  <c r="AI139" i="14"/>
  <c r="AH139" i="14"/>
  <c r="AG139" i="14"/>
  <c r="AF139" i="14"/>
  <c r="AE139" i="14"/>
  <c r="AP137" i="14"/>
  <c r="AO137" i="14"/>
  <c r="AN137" i="14"/>
  <c r="AM137" i="14"/>
  <c r="AL137" i="14"/>
  <c r="AK137" i="14"/>
  <c r="AJ137" i="14"/>
  <c r="AI137" i="14"/>
  <c r="AH137" i="14"/>
  <c r="AG137" i="14"/>
  <c r="AF137" i="14"/>
  <c r="AE137" i="14"/>
  <c r="AP135" i="14"/>
  <c r="AO135" i="14"/>
  <c r="AN135" i="14"/>
  <c r="AM135" i="14"/>
  <c r="AL135" i="14"/>
  <c r="AK135" i="14"/>
  <c r="AJ135" i="14"/>
  <c r="AI135" i="14"/>
  <c r="AH135" i="14"/>
  <c r="AG135" i="14"/>
  <c r="AF135" i="14"/>
  <c r="AE135" i="14"/>
  <c r="AP133" i="14"/>
  <c r="AO133" i="14"/>
  <c r="AN133" i="14"/>
  <c r="AM133" i="14"/>
  <c r="AL133" i="14"/>
  <c r="AK133" i="14"/>
  <c r="AJ133" i="14"/>
  <c r="AI133" i="14"/>
  <c r="AH133" i="14"/>
  <c r="AG133" i="14"/>
  <c r="AF133" i="14"/>
  <c r="AE133" i="14"/>
  <c r="AP131" i="14"/>
  <c r="AO131" i="14"/>
  <c r="AN131" i="14"/>
  <c r="AM131" i="14"/>
  <c r="AL131" i="14"/>
  <c r="AK131" i="14"/>
  <c r="AJ131" i="14"/>
  <c r="AI131" i="14"/>
  <c r="AH131" i="14"/>
  <c r="AG131" i="14"/>
  <c r="AF131" i="14"/>
  <c r="AE131" i="14"/>
  <c r="AP129" i="14"/>
  <c r="AO129" i="14"/>
  <c r="AN129" i="14"/>
  <c r="AM129" i="14"/>
  <c r="AL129" i="14"/>
  <c r="AK129" i="14"/>
  <c r="AJ129" i="14"/>
  <c r="AI129" i="14"/>
  <c r="AH129" i="14"/>
  <c r="AG129" i="14"/>
  <c r="AF129" i="14"/>
  <c r="AE129" i="14"/>
  <c r="AP127" i="14"/>
  <c r="AO127" i="14"/>
  <c r="AN127" i="14"/>
  <c r="AM127" i="14"/>
  <c r="AL127" i="14"/>
  <c r="AK127" i="14"/>
  <c r="AJ127" i="14"/>
  <c r="AI127" i="14"/>
  <c r="AH127" i="14"/>
  <c r="AG127" i="14"/>
  <c r="AF127" i="14"/>
  <c r="AE127" i="14"/>
  <c r="AP125" i="14"/>
  <c r="AO125" i="14"/>
  <c r="AN125" i="14"/>
  <c r="AM125" i="14"/>
  <c r="AL125" i="14"/>
  <c r="AK125" i="14"/>
  <c r="AJ125" i="14"/>
  <c r="AI125" i="14"/>
  <c r="AH125" i="14"/>
  <c r="AG125" i="14"/>
  <c r="AF125" i="14"/>
  <c r="AE125" i="14"/>
  <c r="AP123" i="14"/>
  <c r="AO123" i="14"/>
  <c r="AN123" i="14"/>
  <c r="AM123" i="14"/>
  <c r="AL123" i="14"/>
  <c r="AK123" i="14"/>
  <c r="AJ123" i="14"/>
  <c r="AI123" i="14"/>
  <c r="AH123" i="14"/>
  <c r="AG123" i="14"/>
  <c r="AF123" i="14"/>
  <c r="AE123" i="14"/>
  <c r="AP121" i="14"/>
  <c r="AO121" i="14"/>
  <c r="AN121" i="14"/>
  <c r="AM121" i="14"/>
  <c r="AL121" i="14"/>
  <c r="AK121" i="14"/>
  <c r="AJ121" i="14"/>
  <c r="AI121" i="14"/>
  <c r="AH121" i="14"/>
  <c r="AG121" i="14"/>
  <c r="AF121" i="14"/>
  <c r="AE121" i="14"/>
  <c r="AP117" i="14"/>
  <c r="AO117" i="14"/>
  <c r="AN117" i="14"/>
  <c r="AM117" i="14"/>
  <c r="AL117" i="14"/>
  <c r="AK117" i="14"/>
  <c r="AJ117" i="14"/>
  <c r="AI117" i="14"/>
  <c r="AH117" i="14"/>
  <c r="AG117" i="14"/>
  <c r="AF117" i="14"/>
  <c r="AE117" i="14"/>
  <c r="AP111" i="14"/>
  <c r="AO111" i="14"/>
  <c r="AN111" i="14"/>
  <c r="AM111" i="14"/>
  <c r="AL111" i="14"/>
  <c r="AK111" i="14"/>
  <c r="AJ111" i="14"/>
  <c r="AI111" i="14"/>
  <c r="AH111" i="14"/>
  <c r="AG111" i="14"/>
  <c r="AF111" i="14"/>
  <c r="AE111" i="14"/>
  <c r="AP107" i="14"/>
  <c r="AO107" i="14"/>
  <c r="AN107" i="14"/>
  <c r="AM107" i="14"/>
  <c r="AL107" i="14"/>
  <c r="AK107" i="14"/>
  <c r="AJ107" i="14"/>
  <c r="AI107" i="14"/>
  <c r="AH107" i="14"/>
  <c r="AG107" i="14"/>
  <c r="AF107" i="14"/>
  <c r="AE107" i="14"/>
  <c r="AP105" i="14"/>
  <c r="AO105" i="14"/>
  <c r="AN105" i="14"/>
  <c r="AM105" i="14"/>
  <c r="AL105" i="14"/>
  <c r="AK105" i="14"/>
  <c r="AJ105" i="14"/>
  <c r="AI105" i="14"/>
  <c r="AH105" i="14"/>
  <c r="AG105" i="14"/>
  <c r="AF105" i="14"/>
  <c r="AE105" i="14"/>
  <c r="AP101" i="14"/>
  <c r="AO101" i="14"/>
  <c r="AN101" i="14"/>
  <c r="AM101" i="14"/>
  <c r="AL101" i="14"/>
  <c r="AK101" i="14"/>
  <c r="AJ101" i="14"/>
  <c r="AI101" i="14"/>
  <c r="AH101" i="14"/>
  <c r="AG101" i="14"/>
  <c r="AF101" i="14"/>
  <c r="AE101" i="14"/>
  <c r="AP99" i="14"/>
  <c r="AO99" i="14"/>
  <c r="AN99" i="14"/>
  <c r="AM99" i="14"/>
  <c r="AL99" i="14"/>
  <c r="AK99" i="14"/>
  <c r="AJ99" i="14"/>
  <c r="AI99" i="14"/>
  <c r="AH99" i="14"/>
  <c r="AG99" i="14"/>
  <c r="AF99" i="14"/>
  <c r="AE99" i="14"/>
  <c r="AP94" i="14"/>
  <c r="AO94" i="14"/>
  <c r="AN94" i="14"/>
  <c r="AM94" i="14"/>
  <c r="AL94" i="14"/>
  <c r="AK94" i="14"/>
  <c r="AJ94" i="14"/>
  <c r="AI94" i="14"/>
  <c r="AH94" i="14"/>
  <c r="AG94" i="14"/>
  <c r="AF94" i="14"/>
  <c r="AE94" i="14"/>
  <c r="AP92" i="14"/>
  <c r="AO92" i="14"/>
  <c r="AN92" i="14"/>
  <c r="AM92" i="14"/>
  <c r="AL92" i="14"/>
  <c r="AK92" i="14"/>
  <c r="AJ92" i="14"/>
  <c r="AI92" i="14"/>
  <c r="AH92" i="14"/>
  <c r="AG92" i="14"/>
  <c r="AF92" i="14"/>
  <c r="AE92" i="14"/>
  <c r="AP78" i="14"/>
  <c r="AO78" i="14"/>
  <c r="AN78" i="14"/>
  <c r="AM78" i="14"/>
  <c r="AL78" i="14"/>
  <c r="AK78" i="14"/>
  <c r="AJ78" i="14"/>
  <c r="AI78" i="14"/>
  <c r="AH78" i="14"/>
  <c r="AG78" i="14"/>
  <c r="AF78" i="14"/>
  <c r="AE78" i="14"/>
  <c r="AP76" i="14"/>
  <c r="AO76" i="14"/>
  <c r="AN76" i="14"/>
  <c r="AM76" i="14"/>
  <c r="AL76" i="14"/>
  <c r="AK76" i="14"/>
  <c r="AJ76" i="14"/>
  <c r="AI76" i="14"/>
  <c r="AH76" i="14"/>
  <c r="AG76" i="14"/>
  <c r="AF76" i="14"/>
  <c r="AE76" i="14"/>
  <c r="AP74" i="14"/>
  <c r="AO74" i="14"/>
  <c r="AN74" i="14"/>
  <c r="AM74" i="14"/>
  <c r="AL74" i="14"/>
  <c r="AK74" i="14"/>
  <c r="AJ74" i="14"/>
  <c r="AI74" i="14"/>
  <c r="AH74" i="14"/>
  <c r="AG74" i="14"/>
  <c r="AF74" i="14"/>
  <c r="AE74" i="14"/>
  <c r="AP72" i="14"/>
  <c r="AO72" i="14"/>
  <c r="AN72" i="14"/>
  <c r="AM72" i="14"/>
  <c r="AL72" i="14"/>
  <c r="AK72" i="14"/>
  <c r="AJ72" i="14"/>
  <c r="AI72" i="14"/>
  <c r="AH72" i="14"/>
  <c r="AG72" i="14"/>
  <c r="AF72" i="14"/>
  <c r="AE72" i="14"/>
  <c r="AP68" i="14"/>
  <c r="AO68" i="14"/>
  <c r="AN68" i="14"/>
  <c r="AM68" i="14"/>
  <c r="AL68" i="14"/>
  <c r="AK68" i="14"/>
  <c r="AJ68" i="14"/>
  <c r="AI68" i="14"/>
  <c r="AH68" i="14"/>
  <c r="AG68" i="14"/>
  <c r="AF68" i="14"/>
  <c r="AE68" i="14"/>
  <c r="AP66" i="14"/>
  <c r="AO66" i="14"/>
  <c r="AN66" i="14"/>
  <c r="AM66" i="14"/>
  <c r="AL66" i="14"/>
  <c r="AK66" i="14"/>
  <c r="AJ66" i="14"/>
  <c r="AI66" i="14"/>
  <c r="AH66" i="14"/>
  <c r="AG66" i="14"/>
  <c r="AF66" i="14"/>
  <c r="AE66" i="14"/>
  <c r="AP61" i="14"/>
  <c r="AO61" i="14"/>
  <c r="AN61" i="14"/>
  <c r="AM61" i="14"/>
  <c r="AL61" i="14"/>
  <c r="AK61" i="14"/>
  <c r="AJ61" i="14"/>
  <c r="AI61" i="14"/>
  <c r="AH61" i="14"/>
  <c r="AG61" i="14"/>
  <c r="AF61" i="14"/>
  <c r="AE61" i="14"/>
  <c r="AP59" i="14"/>
  <c r="AO59" i="14"/>
  <c r="AN59" i="14"/>
  <c r="AM59" i="14"/>
  <c r="AL59" i="14"/>
  <c r="AK59" i="14"/>
  <c r="AJ59" i="14"/>
  <c r="AI59" i="14"/>
  <c r="AH59" i="14"/>
  <c r="AG59" i="14"/>
  <c r="AF59" i="14"/>
  <c r="AE59" i="14"/>
  <c r="AP55" i="14"/>
  <c r="AO55" i="14"/>
  <c r="AN55" i="14"/>
  <c r="AM55" i="14"/>
  <c r="AL55" i="14"/>
  <c r="AK55" i="14"/>
  <c r="AJ55" i="14"/>
  <c r="AI55" i="14"/>
  <c r="AH55" i="14"/>
  <c r="AG55" i="14"/>
  <c r="AF55" i="14"/>
  <c r="AE55" i="14"/>
  <c r="AP52" i="14"/>
  <c r="AO52" i="14"/>
  <c r="AN52" i="14"/>
  <c r="AM52" i="14"/>
  <c r="AL52" i="14"/>
  <c r="AK52" i="14"/>
  <c r="AJ52" i="14"/>
  <c r="AI52" i="14"/>
  <c r="AH52" i="14"/>
  <c r="AG52" i="14"/>
  <c r="AF52" i="14"/>
  <c r="AE52" i="14"/>
  <c r="AP50" i="14"/>
  <c r="AO50" i="14"/>
  <c r="AN50" i="14"/>
  <c r="AM50" i="14"/>
  <c r="AL50" i="14"/>
  <c r="AK50" i="14"/>
  <c r="AJ50" i="14"/>
  <c r="AI50" i="14"/>
  <c r="AH50" i="14"/>
  <c r="AG50" i="14"/>
  <c r="AF50" i="14"/>
  <c r="AE50" i="14"/>
  <c r="AP44" i="14"/>
  <c r="AO44" i="14"/>
  <c r="AN44" i="14"/>
  <c r="AM44" i="14"/>
  <c r="AL44" i="14"/>
  <c r="AK44" i="14"/>
  <c r="AJ44" i="14"/>
  <c r="AI44" i="14"/>
  <c r="AH44" i="14"/>
  <c r="AG44" i="14"/>
  <c r="AF44" i="14"/>
  <c r="AE44" i="14"/>
  <c r="AP42" i="14"/>
  <c r="AO42" i="14"/>
  <c r="AN42" i="14"/>
  <c r="AM42" i="14"/>
  <c r="AL42" i="14"/>
  <c r="AK42" i="14"/>
  <c r="AJ42" i="14"/>
  <c r="AI42" i="14"/>
  <c r="AH42" i="14"/>
  <c r="AG42" i="14"/>
  <c r="AF42" i="14"/>
  <c r="AE42" i="14"/>
  <c r="AP40" i="14"/>
  <c r="AO40" i="14"/>
  <c r="AN40" i="14"/>
  <c r="AM40" i="14"/>
  <c r="AL40" i="14"/>
  <c r="AK40" i="14"/>
  <c r="AJ40" i="14"/>
  <c r="AI40" i="14"/>
  <c r="AH40" i="14"/>
  <c r="AG40" i="14"/>
  <c r="AF40" i="14"/>
  <c r="AE40" i="14"/>
  <c r="AP36" i="14"/>
  <c r="AO36" i="14"/>
  <c r="AN36" i="14"/>
  <c r="AM36" i="14"/>
  <c r="AL36" i="14"/>
  <c r="AK36" i="14"/>
  <c r="AJ36" i="14"/>
  <c r="AI36" i="14"/>
  <c r="AH36" i="14"/>
  <c r="AG36" i="14"/>
  <c r="AF36" i="14"/>
  <c r="AE36" i="14"/>
  <c r="AP34" i="14"/>
  <c r="AO34" i="14"/>
  <c r="AN34" i="14"/>
  <c r="AM34" i="14"/>
  <c r="AL34" i="14"/>
  <c r="AK34" i="14"/>
  <c r="AJ34" i="14"/>
  <c r="AI34" i="14"/>
  <c r="AH34" i="14"/>
  <c r="AG34" i="14"/>
  <c r="AF34" i="14"/>
  <c r="AE34" i="14"/>
  <c r="AE32" i="14"/>
  <c r="AP32" i="14"/>
  <c r="AO32" i="14"/>
  <c r="AN32" i="14"/>
  <c r="AM32" i="14"/>
  <c r="AL32" i="14"/>
  <c r="AK32" i="14"/>
  <c r="AJ32" i="14"/>
  <c r="AI32" i="14"/>
  <c r="AH32" i="14"/>
  <c r="AG32" i="14"/>
  <c r="AF32" i="14"/>
  <c r="AP25" i="14"/>
  <c r="AO25" i="14"/>
  <c r="AN25" i="14"/>
  <c r="AM25" i="14"/>
  <c r="AL25" i="14"/>
  <c r="AK25" i="14"/>
  <c r="AJ25" i="14"/>
  <c r="AI25" i="14"/>
  <c r="AH25" i="14"/>
  <c r="AG25" i="14"/>
  <c r="AF25" i="14"/>
  <c r="AE25" i="14"/>
  <c r="BO136" i="13"/>
  <c r="BN136" i="13"/>
  <c r="BM136" i="13"/>
  <c r="BL136" i="13"/>
  <c r="BK136" i="13"/>
  <c r="BJ136" i="13"/>
  <c r="BI136" i="13"/>
  <c r="BH136" i="13"/>
  <c r="BG136" i="13"/>
  <c r="BF136" i="13"/>
  <c r="BE136" i="13"/>
  <c r="BD136" i="13"/>
  <c r="BC136" i="13"/>
  <c r="BO131" i="13"/>
  <c r="BN131" i="13"/>
  <c r="BM131" i="13"/>
  <c r="BL131" i="13"/>
  <c r="BK131" i="13"/>
  <c r="BJ131" i="13"/>
  <c r="BI131" i="13"/>
  <c r="BH131" i="13"/>
  <c r="BG131" i="13"/>
  <c r="BF131" i="13"/>
  <c r="BE131" i="13"/>
  <c r="BD131" i="13"/>
  <c r="BC131" i="13"/>
  <c r="BO130" i="13"/>
  <c r="BN130" i="13"/>
  <c r="BM130" i="13"/>
  <c r="BL130" i="13"/>
  <c r="BK130" i="13"/>
  <c r="BJ130" i="13"/>
  <c r="BI130" i="13"/>
  <c r="BH130" i="13"/>
  <c r="BG130" i="13"/>
  <c r="BF130" i="13"/>
  <c r="BE130" i="13"/>
  <c r="BD130" i="13"/>
  <c r="BC130" i="13"/>
  <c r="BO129" i="13"/>
  <c r="BN129" i="13"/>
  <c r="BM129" i="13"/>
  <c r="BL129" i="13"/>
  <c r="BK129" i="13"/>
  <c r="BJ129" i="13"/>
  <c r="BI129" i="13"/>
  <c r="BH129" i="13"/>
  <c r="BG129" i="13"/>
  <c r="BF129" i="13"/>
  <c r="BE129" i="13"/>
  <c r="BD129" i="13"/>
  <c r="BC129" i="13"/>
  <c r="BO128" i="13"/>
  <c r="BN128" i="13"/>
  <c r="BM128" i="13"/>
  <c r="BL128" i="13"/>
  <c r="BK128" i="13"/>
  <c r="BJ128" i="13"/>
  <c r="BI128" i="13"/>
  <c r="BH128" i="13"/>
  <c r="BG128" i="13"/>
  <c r="BF128" i="13"/>
  <c r="BE128" i="13"/>
  <c r="BD128" i="13"/>
  <c r="BC128" i="13"/>
  <c r="BO126" i="13"/>
  <c r="BN126" i="13"/>
  <c r="BM126" i="13"/>
  <c r="BL126" i="13"/>
  <c r="BK126" i="13"/>
  <c r="BJ126" i="13"/>
  <c r="BI126" i="13"/>
  <c r="BH126" i="13"/>
  <c r="BG126" i="13"/>
  <c r="BF126" i="13"/>
  <c r="BE126" i="13"/>
  <c r="BD126" i="13"/>
  <c r="BC126" i="13"/>
  <c r="BO122" i="13"/>
  <c r="BN122" i="13"/>
  <c r="BM122" i="13"/>
  <c r="BL122" i="13"/>
  <c r="BK122" i="13"/>
  <c r="BJ122" i="13"/>
  <c r="BI122" i="13"/>
  <c r="BH122" i="13"/>
  <c r="BG122" i="13"/>
  <c r="BF122" i="13"/>
  <c r="BE122" i="13"/>
  <c r="BD122" i="13"/>
  <c r="BC122" i="13"/>
  <c r="BO120" i="13"/>
  <c r="BN120" i="13"/>
  <c r="BM120" i="13"/>
  <c r="BL120" i="13"/>
  <c r="BK120" i="13"/>
  <c r="BJ120" i="13"/>
  <c r="BI120" i="13"/>
  <c r="BH120" i="13"/>
  <c r="BG120" i="13"/>
  <c r="BF120" i="13"/>
  <c r="BE120" i="13"/>
  <c r="BD120" i="13"/>
  <c r="BC120" i="13"/>
  <c r="BO119" i="13"/>
  <c r="BN119" i="13"/>
  <c r="BM119" i="13"/>
  <c r="BL119" i="13"/>
  <c r="BK119" i="13"/>
  <c r="BJ119" i="13"/>
  <c r="BI119" i="13"/>
  <c r="BH119" i="13"/>
  <c r="BG119" i="13"/>
  <c r="BF119" i="13"/>
  <c r="BE119" i="13"/>
  <c r="BD119" i="13"/>
  <c r="BC119" i="13"/>
  <c r="BO116" i="13"/>
  <c r="BN116" i="13"/>
  <c r="BM116" i="13"/>
  <c r="BL116" i="13"/>
  <c r="BK116" i="13"/>
  <c r="BJ116" i="13"/>
  <c r="BI116" i="13"/>
  <c r="BH116" i="13"/>
  <c r="BG116" i="13"/>
  <c r="BF116" i="13"/>
  <c r="BE116" i="13"/>
  <c r="BD116" i="13"/>
  <c r="BC116" i="13"/>
  <c r="BO114" i="13"/>
  <c r="BN114" i="13"/>
  <c r="BM114" i="13"/>
  <c r="BL114" i="13"/>
  <c r="BK114" i="13"/>
  <c r="BJ114" i="13"/>
  <c r="BI114" i="13"/>
  <c r="BH114" i="13"/>
  <c r="BG114" i="13"/>
  <c r="BF114" i="13"/>
  <c r="BE114" i="13"/>
  <c r="BD114" i="13"/>
  <c r="BC114" i="13"/>
  <c r="BO113" i="13"/>
  <c r="BN113" i="13"/>
  <c r="BM113" i="13"/>
  <c r="BL113" i="13"/>
  <c r="BK113" i="13"/>
  <c r="BJ113" i="13"/>
  <c r="BI113" i="13"/>
  <c r="BH113" i="13"/>
  <c r="BG113" i="13"/>
  <c r="BF113" i="13"/>
  <c r="BE113" i="13"/>
  <c r="BD113" i="13"/>
  <c r="BC113" i="13"/>
  <c r="BO112" i="13"/>
  <c r="BN112" i="13"/>
  <c r="BM112" i="13"/>
  <c r="BL112" i="13"/>
  <c r="BK112" i="13"/>
  <c r="BJ112" i="13"/>
  <c r="BI112" i="13"/>
  <c r="BH112" i="13"/>
  <c r="BG112" i="13"/>
  <c r="BF112" i="13"/>
  <c r="BE112" i="13"/>
  <c r="BD112" i="13"/>
  <c r="BC112" i="13"/>
  <c r="BO107" i="13"/>
  <c r="BN107" i="13"/>
  <c r="BM107" i="13"/>
  <c r="BL107" i="13"/>
  <c r="BK107" i="13"/>
  <c r="BJ107" i="13"/>
  <c r="BI107" i="13"/>
  <c r="BH107" i="13"/>
  <c r="BG107" i="13"/>
  <c r="BF107" i="13"/>
  <c r="BE107" i="13"/>
  <c r="BD107" i="13"/>
  <c r="BC107" i="13"/>
  <c r="BO102" i="13"/>
  <c r="BN102" i="13"/>
  <c r="BM102" i="13"/>
  <c r="BL102" i="13"/>
  <c r="BK102" i="13"/>
  <c r="BJ102" i="13"/>
  <c r="BI102" i="13"/>
  <c r="BH102" i="13"/>
  <c r="BG102" i="13"/>
  <c r="BF102" i="13"/>
  <c r="BE102" i="13"/>
  <c r="BD102" i="13"/>
  <c r="BC102" i="13"/>
  <c r="BO100" i="13"/>
  <c r="BN100" i="13"/>
  <c r="BM100" i="13"/>
  <c r="BL100" i="13"/>
  <c r="BK100" i="13"/>
  <c r="BJ100" i="13"/>
  <c r="BI100" i="13"/>
  <c r="BH100" i="13"/>
  <c r="BG100" i="13"/>
  <c r="BF100" i="13"/>
  <c r="BE100" i="13"/>
  <c r="BD100" i="13"/>
  <c r="BC100" i="13"/>
  <c r="BO99" i="13"/>
  <c r="BN99" i="13"/>
  <c r="BM99" i="13"/>
  <c r="BL99" i="13"/>
  <c r="BK99" i="13"/>
  <c r="BJ99" i="13"/>
  <c r="BI99" i="13"/>
  <c r="BH99" i="13"/>
  <c r="BG99" i="13"/>
  <c r="BF99" i="13"/>
  <c r="BE99" i="13"/>
  <c r="BD99" i="13"/>
  <c r="BC99" i="13"/>
  <c r="BO98" i="13"/>
  <c r="BN98" i="13"/>
  <c r="BM98" i="13"/>
  <c r="BL98" i="13"/>
  <c r="BK98" i="13"/>
  <c r="BJ98" i="13"/>
  <c r="BI98" i="13"/>
  <c r="BH98" i="13"/>
  <c r="BG98" i="13"/>
  <c r="BF98" i="13"/>
  <c r="BE98" i="13"/>
  <c r="BD98" i="13"/>
  <c r="BC98" i="13"/>
  <c r="BO97" i="13"/>
  <c r="BN97" i="13"/>
  <c r="BM97" i="13"/>
  <c r="BL97" i="13"/>
  <c r="BK97" i="13"/>
  <c r="BJ97" i="13"/>
  <c r="BI97" i="13"/>
  <c r="BH97" i="13"/>
  <c r="BG97" i="13"/>
  <c r="BF97" i="13"/>
  <c r="BE97" i="13"/>
  <c r="BD97" i="13"/>
  <c r="BC97" i="13"/>
  <c r="BO96" i="13"/>
  <c r="BN96" i="13"/>
  <c r="BM96" i="13"/>
  <c r="BL96" i="13"/>
  <c r="BK96" i="13"/>
  <c r="BJ96" i="13"/>
  <c r="BI96" i="13"/>
  <c r="BH96" i="13"/>
  <c r="BG96" i="13"/>
  <c r="BF96" i="13"/>
  <c r="BE96" i="13"/>
  <c r="BD96" i="13"/>
  <c r="BC96" i="13"/>
  <c r="BO95" i="13"/>
  <c r="BN95" i="13"/>
  <c r="BM95" i="13"/>
  <c r="BL95" i="13"/>
  <c r="BK95" i="13"/>
  <c r="BJ95" i="13"/>
  <c r="BI95" i="13"/>
  <c r="BH95" i="13"/>
  <c r="BG95" i="13"/>
  <c r="BF95" i="13"/>
  <c r="BE95" i="13"/>
  <c r="BD95" i="13"/>
  <c r="BC95" i="13"/>
  <c r="BO94" i="13"/>
  <c r="BN94" i="13"/>
  <c r="BM94" i="13"/>
  <c r="BL94" i="13"/>
  <c r="BK94" i="13"/>
  <c r="BJ94" i="13"/>
  <c r="BI94" i="13"/>
  <c r="BH94" i="13"/>
  <c r="BG94" i="13"/>
  <c r="BF94" i="13"/>
  <c r="BE94" i="13"/>
  <c r="BD94" i="13"/>
  <c r="BC94" i="13"/>
  <c r="BO93" i="13"/>
  <c r="BN93" i="13"/>
  <c r="BM93" i="13"/>
  <c r="BL93" i="13"/>
  <c r="BK93" i="13"/>
  <c r="BJ93" i="13"/>
  <c r="BI93" i="13"/>
  <c r="BH93" i="13"/>
  <c r="BG93" i="13"/>
  <c r="BF93" i="13"/>
  <c r="BE93" i="13"/>
  <c r="BD93" i="13"/>
  <c r="BC93" i="13"/>
  <c r="BO92" i="13"/>
  <c r="BN92" i="13"/>
  <c r="BM92" i="13"/>
  <c r="BL92" i="13"/>
  <c r="BK92" i="13"/>
  <c r="BJ92" i="13"/>
  <c r="BI92" i="13"/>
  <c r="BH92" i="13"/>
  <c r="BG92" i="13"/>
  <c r="BF92" i="13"/>
  <c r="BE92" i="13"/>
  <c r="BD92" i="13"/>
  <c r="BC92" i="13"/>
  <c r="BO91" i="13"/>
  <c r="BN91" i="13"/>
  <c r="BM91" i="13"/>
  <c r="BL91" i="13"/>
  <c r="BK91" i="13"/>
  <c r="BJ91" i="13"/>
  <c r="BI91" i="13"/>
  <c r="BH91" i="13"/>
  <c r="BG91" i="13"/>
  <c r="BF91" i="13"/>
  <c r="BE91" i="13"/>
  <c r="BD91" i="13"/>
  <c r="BC91" i="13"/>
  <c r="BO90" i="13"/>
  <c r="BN90" i="13"/>
  <c r="BM90" i="13"/>
  <c r="BL90" i="13"/>
  <c r="BK90" i="13"/>
  <c r="BJ90" i="13"/>
  <c r="BI90" i="13"/>
  <c r="BH90" i="13"/>
  <c r="BG90" i="13"/>
  <c r="BF90" i="13"/>
  <c r="BE90" i="13"/>
  <c r="BD90" i="13"/>
  <c r="BC90" i="13"/>
  <c r="BO89" i="13"/>
  <c r="BN89" i="13"/>
  <c r="BM89" i="13"/>
  <c r="BL89" i="13"/>
  <c r="BK89" i="13"/>
  <c r="BJ89" i="13"/>
  <c r="BI89" i="13"/>
  <c r="BH89" i="13"/>
  <c r="BG89" i="13"/>
  <c r="BF89" i="13"/>
  <c r="BE89" i="13"/>
  <c r="BD89" i="13"/>
  <c r="BC89" i="13"/>
  <c r="BO88" i="13"/>
  <c r="BN88" i="13"/>
  <c r="BM88" i="13"/>
  <c r="BL88" i="13"/>
  <c r="BK88" i="13"/>
  <c r="BJ88" i="13"/>
  <c r="BI88" i="13"/>
  <c r="BH88" i="13"/>
  <c r="BG88" i="13"/>
  <c r="BF88" i="13"/>
  <c r="BE88" i="13"/>
  <c r="BD88" i="13"/>
  <c r="BC88" i="13"/>
  <c r="BO86" i="13"/>
  <c r="BN86" i="13"/>
  <c r="BM86" i="13"/>
  <c r="BL86" i="13"/>
  <c r="BK86" i="13"/>
  <c r="BJ86" i="13"/>
  <c r="BI86" i="13"/>
  <c r="BH86" i="13"/>
  <c r="BG86" i="13"/>
  <c r="BF86" i="13"/>
  <c r="BE86" i="13"/>
  <c r="BD86" i="13"/>
  <c r="BC86" i="13"/>
  <c r="BO83" i="13"/>
  <c r="BN83" i="13"/>
  <c r="BM83" i="13"/>
  <c r="BL83" i="13"/>
  <c r="BK83" i="13"/>
  <c r="BJ83" i="13"/>
  <c r="BI83" i="13"/>
  <c r="BH83" i="13"/>
  <c r="BG83" i="13"/>
  <c r="BF83" i="13"/>
  <c r="BE83" i="13"/>
  <c r="BD83" i="13"/>
  <c r="BC83" i="13"/>
  <c r="BO82" i="13"/>
  <c r="BN82" i="13"/>
  <c r="BM82" i="13"/>
  <c r="BL82" i="13"/>
  <c r="BK82" i="13"/>
  <c r="BJ82" i="13"/>
  <c r="BI82" i="13"/>
  <c r="BH82" i="13"/>
  <c r="BG82" i="13"/>
  <c r="BF82" i="13"/>
  <c r="BE82" i="13"/>
  <c r="BD82" i="13"/>
  <c r="BC82" i="13"/>
  <c r="BO80" i="13"/>
  <c r="BN80" i="13"/>
  <c r="BM80" i="13"/>
  <c r="BL80" i="13"/>
  <c r="BK80" i="13"/>
  <c r="BJ80" i="13"/>
  <c r="BI80" i="13"/>
  <c r="BH80" i="13"/>
  <c r="BG80" i="13"/>
  <c r="BF80" i="13"/>
  <c r="BE80" i="13"/>
  <c r="BD80" i="13"/>
  <c r="BC80" i="13"/>
  <c r="BO79" i="13"/>
  <c r="BN79" i="13"/>
  <c r="BM79" i="13"/>
  <c r="BL79" i="13"/>
  <c r="BK79" i="13"/>
  <c r="BJ79" i="13"/>
  <c r="BI79" i="13"/>
  <c r="BH79" i="13"/>
  <c r="BG79" i="13"/>
  <c r="BF79" i="13"/>
  <c r="BE79" i="13"/>
  <c r="BD79" i="13"/>
  <c r="BC79" i="13"/>
  <c r="BO78" i="13"/>
  <c r="BN78" i="13"/>
  <c r="BM78" i="13"/>
  <c r="BL78" i="13"/>
  <c r="BK78" i="13"/>
  <c r="BJ78" i="13"/>
  <c r="BI78" i="13"/>
  <c r="BH78" i="13"/>
  <c r="BG78" i="13"/>
  <c r="BF78" i="13"/>
  <c r="BE78" i="13"/>
  <c r="BD78" i="13"/>
  <c r="BC78" i="13"/>
  <c r="BO76" i="13"/>
  <c r="BN76" i="13"/>
  <c r="BM76" i="13"/>
  <c r="BL76" i="13"/>
  <c r="BK76" i="13"/>
  <c r="BJ76" i="13"/>
  <c r="BI76" i="13"/>
  <c r="BH76" i="13"/>
  <c r="BG76" i="13"/>
  <c r="BF76" i="13"/>
  <c r="BE76" i="13"/>
  <c r="BD76" i="13"/>
  <c r="BC76" i="13"/>
  <c r="BO75" i="13"/>
  <c r="BN75" i="13"/>
  <c r="BM75" i="13"/>
  <c r="BL75" i="13"/>
  <c r="BK75" i="13"/>
  <c r="BJ75" i="13"/>
  <c r="BI75" i="13"/>
  <c r="BH75" i="13"/>
  <c r="BG75" i="13"/>
  <c r="BF75" i="13"/>
  <c r="BE75" i="13"/>
  <c r="BD75" i="13"/>
  <c r="BC75" i="13"/>
  <c r="BO74" i="13"/>
  <c r="BN74" i="13"/>
  <c r="BM74" i="13"/>
  <c r="BL74" i="13"/>
  <c r="BK74" i="13"/>
  <c r="BJ74" i="13"/>
  <c r="BI74" i="13"/>
  <c r="BH74" i="13"/>
  <c r="BG74" i="13"/>
  <c r="BF74" i="13"/>
  <c r="BE74" i="13"/>
  <c r="BD74" i="13"/>
  <c r="BC74" i="13"/>
  <c r="BO71" i="13"/>
  <c r="BN71" i="13"/>
  <c r="BM71" i="13"/>
  <c r="BL71" i="13"/>
  <c r="BK71" i="13"/>
  <c r="BJ71" i="13"/>
  <c r="BI71" i="13"/>
  <c r="BH71" i="13"/>
  <c r="BG71" i="13"/>
  <c r="BF71" i="13"/>
  <c r="BE71" i="13"/>
  <c r="BD71" i="13"/>
  <c r="BC71" i="13"/>
  <c r="BO70" i="13"/>
  <c r="BN70" i="13"/>
  <c r="BM70" i="13"/>
  <c r="BL70" i="13"/>
  <c r="BK70" i="13"/>
  <c r="BJ70" i="13"/>
  <c r="BI70" i="13"/>
  <c r="BH70" i="13"/>
  <c r="BG70" i="13"/>
  <c r="BF70" i="13"/>
  <c r="BE70" i="13"/>
  <c r="BD70" i="13"/>
  <c r="BC70" i="13"/>
  <c r="BO69" i="13"/>
  <c r="BN69" i="13"/>
  <c r="BM69" i="13"/>
  <c r="BL69" i="13"/>
  <c r="BK69" i="13"/>
  <c r="BJ69" i="13"/>
  <c r="BI69" i="13"/>
  <c r="BH69" i="13"/>
  <c r="BG69" i="13"/>
  <c r="BF69" i="13"/>
  <c r="BE69" i="13"/>
  <c r="BD69" i="13"/>
  <c r="BC69" i="13"/>
  <c r="BO64" i="13"/>
  <c r="BN64" i="13"/>
  <c r="BM64" i="13"/>
  <c r="BL64" i="13"/>
  <c r="BK64" i="13"/>
  <c r="BJ64" i="13"/>
  <c r="BI64" i="13"/>
  <c r="BH64" i="13"/>
  <c r="BG64" i="13"/>
  <c r="BF64" i="13"/>
  <c r="BE64" i="13"/>
  <c r="BD64" i="13"/>
  <c r="BC64" i="13"/>
  <c r="BO59" i="13"/>
  <c r="BN59" i="13"/>
  <c r="BM59" i="13"/>
  <c r="BL59" i="13"/>
  <c r="BK59" i="13"/>
  <c r="BJ59" i="13"/>
  <c r="BI59" i="13"/>
  <c r="BH59" i="13"/>
  <c r="BG59" i="13"/>
  <c r="BF59" i="13"/>
  <c r="BE59" i="13"/>
  <c r="BD59" i="13"/>
  <c r="BC59" i="13"/>
  <c r="BO57" i="13"/>
  <c r="BN57" i="13"/>
  <c r="BM57" i="13"/>
  <c r="BL57" i="13"/>
  <c r="BK57" i="13"/>
  <c r="BJ57" i="13"/>
  <c r="BI57" i="13"/>
  <c r="BH57" i="13"/>
  <c r="BG57" i="13"/>
  <c r="BF57" i="13"/>
  <c r="BE57" i="13"/>
  <c r="BD57" i="13"/>
  <c r="BC57" i="13"/>
  <c r="BO56" i="13"/>
  <c r="BN56" i="13"/>
  <c r="BM56" i="13"/>
  <c r="BL56" i="13"/>
  <c r="BK56" i="13"/>
  <c r="BJ56" i="13"/>
  <c r="BI56" i="13"/>
  <c r="BH56" i="13"/>
  <c r="BG56" i="13"/>
  <c r="BF56" i="13"/>
  <c r="BE56" i="13"/>
  <c r="BD56" i="13"/>
  <c r="BC56" i="13"/>
  <c r="BO55" i="13"/>
  <c r="BN55" i="13"/>
  <c r="BM55" i="13"/>
  <c r="BL55" i="13"/>
  <c r="BK55" i="13"/>
  <c r="BJ55" i="13"/>
  <c r="BI55" i="13"/>
  <c r="BH55" i="13"/>
  <c r="BG55" i="13"/>
  <c r="BF55" i="13"/>
  <c r="BE55" i="13"/>
  <c r="BD55" i="13"/>
  <c r="BC55" i="13"/>
  <c r="BO54" i="13"/>
  <c r="BN54" i="13"/>
  <c r="BM54" i="13"/>
  <c r="BL54" i="13"/>
  <c r="BK54" i="13"/>
  <c r="BJ54" i="13"/>
  <c r="BI54" i="13"/>
  <c r="BH54" i="13"/>
  <c r="BG54" i="13"/>
  <c r="BF54" i="13"/>
  <c r="BE54" i="13"/>
  <c r="BD54" i="13"/>
  <c r="BC54" i="13"/>
  <c r="BO52" i="13"/>
  <c r="BN52" i="13"/>
  <c r="BM52" i="13"/>
  <c r="BL52" i="13"/>
  <c r="BK52" i="13"/>
  <c r="BJ52" i="13"/>
  <c r="BI52" i="13"/>
  <c r="BH52" i="13"/>
  <c r="BG52" i="13"/>
  <c r="BF52" i="13"/>
  <c r="BE52" i="13"/>
  <c r="BD52" i="13"/>
  <c r="BC52" i="13"/>
  <c r="BO51" i="13"/>
  <c r="BN51" i="13"/>
  <c r="BM51" i="13"/>
  <c r="BL51" i="13"/>
  <c r="BK51" i="13"/>
  <c r="BJ51" i="13"/>
  <c r="BI51" i="13"/>
  <c r="BH51" i="13"/>
  <c r="BG51" i="13"/>
  <c r="BF51" i="13"/>
  <c r="BE51" i="13"/>
  <c r="BD51" i="13"/>
  <c r="BC51" i="13"/>
  <c r="BO50" i="13"/>
  <c r="BN50" i="13"/>
  <c r="BM50" i="13"/>
  <c r="BL50" i="13"/>
  <c r="BK50" i="13"/>
  <c r="BJ50" i="13"/>
  <c r="BI50" i="13"/>
  <c r="BH50" i="13"/>
  <c r="BG50" i="13"/>
  <c r="BF50" i="13"/>
  <c r="BE50" i="13"/>
  <c r="BD50" i="13"/>
  <c r="BC50" i="13"/>
  <c r="BO49" i="13"/>
  <c r="BN49" i="13"/>
  <c r="BM49" i="13"/>
  <c r="BL49" i="13"/>
  <c r="BK49" i="13"/>
  <c r="BJ49" i="13"/>
  <c r="BI49" i="13"/>
  <c r="BH49" i="13"/>
  <c r="BG49" i="13"/>
  <c r="BF49" i="13"/>
  <c r="BE49" i="13"/>
  <c r="BD49" i="13"/>
  <c r="BC49" i="13"/>
  <c r="BO47" i="13"/>
  <c r="BN47" i="13"/>
  <c r="BM47" i="13"/>
  <c r="BL47" i="13"/>
  <c r="BK47" i="13"/>
  <c r="BJ47" i="13"/>
  <c r="BI47" i="13"/>
  <c r="BH47" i="13"/>
  <c r="BG47" i="13"/>
  <c r="BF47" i="13"/>
  <c r="BE47" i="13"/>
  <c r="BD47" i="13"/>
  <c r="BC47" i="13"/>
  <c r="BO46" i="13"/>
  <c r="BN46" i="13"/>
  <c r="BM46" i="13"/>
  <c r="BL46" i="13"/>
  <c r="BK46" i="13"/>
  <c r="BJ46" i="13"/>
  <c r="BI46" i="13"/>
  <c r="BH46" i="13"/>
  <c r="BG46" i="13"/>
  <c r="BF46" i="13"/>
  <c r="BE46" i="13"/>
  <c r="BD46" i="13"/>
  <c r="BC46" i="13"/>
  <c r="BO45" i="13"/>
  <c r="BN45" i="13"/>
  <c r="BM45" i="13"/>
  <c r="BL45" i="13"/>
  <c r="BK45" i="13"/>
  <c r="BJ45" i="13"/>
  <c r="BI45" i="13"/>
  <c r="BH45" i="13"/>
  <c r="BG45" i="13"/>
  <c r="BF45" i="13"/>
  <c r="BE45" i="13"/>
  <c r="BD45" i="13"/>
  <c r="BC45" i="13"/>
  <c r="BO43" i="13"/>
  <c r="BN43" i="13"/>
  <c r="BM43" i="13"/>
  <c r="BL43" i="13"/>
  <c r="BK43" i="13"/>
  <c r="BJ43" i="13"/>
  <c r="BI43" i="13"/>
  <c r="BH43" i="13"/>
  <c r="BG43" i="13"/>
  <c r="BF43" i="13"/>
  <c r="BE43" i="13"/>
  <c r="BD43" i="13"/>
  <c r="BC43" i="13"/>
  <c r="BO41" i="13"/>
  <c r="BN41" i="13"/>
  <c r="BM41" i="13"/>
  <c r="BL41" i="13"/>
  <c r="BK41" i="13"/>
  <c r="BJ41" i="13"/>
  <c r="BI41" i="13"/>
  <c r="BH41" i="13"/>
  <c r="BG41" i="13"/>
  <c r="BF41" i="13"/>
  <c r="BE41" i="13"/>
  <c r="BD41" i="13"/>
  <c r="BC41" i="13"/>
  <c r="BO40" i="13"/>
  <c r="BN40" i="13"/>
  <c r="BM40" i="13"/>
  <c r="BL40" i="13"/>
  <c r="BK40" i="13"/>
  <c r="BJ40" i="13"/>
  <c r="BI40" i="13"/>
  <c r="BH40" i="13"/>
  <c r="BG40" i="13"/>
  <c r="BF40" i="13"/>
  <c r="BE40" i="13"/>
  <c r="BD40" i="13"/>
  <c r="BC40" i="13"/>
  <c r="BO39" i="13"/>
  <c r="BN39" i="13"/>
  <c r="BM39" i="13"/>
  <c r="BL39" i="13"/>
  <c r="BK39" i="13"/>
  <c r="BJ39" i="13"/>
  <c r="BI39" i="13"/>
  <c r="BH39" i="13"/>
  <c r="BG39" i="13"/>
  <c r="BF39" i="13"/>
  <c r="BE39" i="13"/>
  <c r="BD39" i="13"/>
  <c r="BC39" i="13"/>
  <c r="BO37" i="13"/>
  <c r="BN37" i="13"/>
  <c r="BM37" i="13"/>
  <c r="BL37" i="13"/>
  <c r="BK37" i="13"/>
  <c r="BJ37" i="13"/>
  <c r="BI37" i="13"/>
  <c r="BH37" i="13"/>
  <c r="BG37" i="13"/>
  <c r="BF37" i="13"/>
  <c r="BE37" i="13"/>
  <c r="BD37" i="13"/>
  <c r="BC37" i="13"/>
  <c r="BO35" i="13"/>
  <c r="BN35" i="13"/>
  <c r="BM35" i="13"/>
  <c r="BL35" i="13"/>
  <c r="BK35" i="13"/>
  <c r="BJ35" i="13"/>
  <c r="BI35" i="13"/>
  <c r="BH35" i="13"/>
  <c r="BG35" i="13"/>
  <c r="BF35" i="13"/>
  <c r="BE35" i="13"/>
  <c r="BD35" i="13"/>
  <c r="BC35" i="13"/>
  <c r="BO34" i="13"/>
  <c r="BN34" i="13"/>
  <c r="BM34" i="13"/>
  <c r="BL34" i="13"/>
  <c r="BK34" i="13"/>
  <c r="BJ34" i="13"/>
  <c r="BI34" i="13"/>
  <c r="BH34" i="13"/>
  <c r="BG34" i="13"/>
  <c r="BF34" i="13"/>
  <c r="BE34" i="13"/>
  <c r="BD34" i="13"/>
  <c r="BC34" i="13"/>
  <c r="BO33" i="13"/>
  <c r="BN33" i="13"/>
  <c r="BM33" i="13"/>
  <c r="BL33" i="13"/>
  <c r="BK33" i="13"/>
  <c r="BJ33" i="13"/>
  <c r="BI33" i="13"/>
  <c r="BH33" i="13"/>
  <c r="BG33" i="13"/>
  <c r="BF33" i="13"/>
  <c r="BE33" i="13"/>
  <c r="BD33" i="13"/>
  <c r="BC33" i="13"/>
  <c r="BO32" i="13"/>
  <c r="BN32" i="13"/>
  <c r="BM32" i="13"/>
  <c r="BL32" i="13"/>
  <c r="BK32" i="13"/>
  <c r="BJ32" i="13"/>
  <c r="BI32" i="13"/>
  <c r="BH32" i="13"/>
  <c r="BG32" i="13"/>
  <c r="BF32" i="13"/>
  <c r="BE32" i="13"/>
  <c r="BD32" i="13"/>
  <c r="BC32" i="13"/>
  <c r="BO30" i="13"/>
  <c r="BN30" i="13"/>
  <c r="BM30" i="13"/>
  <c r="BL30" i="13"/>
  <c r="BK30" i="13"/>
  <c r="BJ30" i="13"/>
  <c r="BI30" i="13"/>
  <c r="BH30" i="13"/>
  <c r="BG30" i="13"/>
  <c r="BF30" i="13"/>
  <c r="BE30" i="13"/>
  <c r="BD30" i="13"/>
  <c r="BC30" i="13"/>
  <c r="BO29" i="13"/>
  <c r="BN29" i="13"/>
  <c r="BM29" i="13"/>
  <c r="BL29" i="13"/>
  <c r="BK29" i="13"/>
  <c r="BJ29" i="13"/>
  <c r="BI29" i="13"/>
  <c r="BH29" i="13"/>
  <c r="BG29" i="13"/>
  <c r="BF29" i="13"/>
  <c r="BE29" i="13"/>
  <c r="BD29" i="13"/>
  <c r="BC29" i="13"/>
  <c r="BO28" i="13"/>
  <c r="BN28" i="13"/>
  <c r="BM28" i="13"/>
  <c r="BL28" i="13"/>
  <c r="BK28" i="13"/>
  <c r="BJ28" i="13"/>
  <c r="BI28" i="13"/>
  <c r="BH28" i="13"/>
  <c r="BG28" i="13"/>
  <c r="BF28" i="13"/>
  <c r="BE28" i="13"/>
  <c r="BD28" i="13"/>
  <c r="BC28" i="13"/>
  <c r="BO27" i="13"/>
  <c r="BN27" i="13"/>
  <c r="BM27" i="13"/>
  <c r="BL27" i="13"/>
  <c r="BK27" i="13"/>
  <c r="BJ27" i="13"/>
  <c r="BI27" i="13"/>
  <c r="BH27" i="13"/>
  <c r="BG27" i="13"/>
  <c r="BF27" i="13"/>
  <c r="BE27" i="13"/>
  <c r="BD27" i="13"/>
  <c r="BC27" i="13"/>
  <c r="BO24" i="13"/>
  <c r="BN24" i="13"/>
  <c r="BM24" i="13"/>
  <c r="BL24" i="13"/>
  <c r="BK24" i="13"/>
  <c r="BJ24" i="13"/>
  <c r="BI24" i="13"/>
  <c r="BH24" i="13"/>
  <c r="BG24" i="13"/>
  <c r="BF24" i="13"/>
  <c r="BE24" i="13"/>
  <c r="BD24" i="13"/>
  <c r="BC24" i="13"/>
  <c r="BB136" i="13"/>
  <c r="BA136" i="13"/>
  <c r="AZ136" i="13"/>
  <c r="AY136" i="13"/>
  <c r="AX136" i="13"/>
  <c r="AW136" i="13"/>
  <c r="AV136" i="13"/>
  <c r="AU136" i="13"/>
  <c r="AT136" i="13"/>
  <c r="AS136" i="13"/>
  <c r="AR136" i="13"/>
  <c r="AQ136" i="13"/>
  <c r="AP136" i="13"/>
  <c r="BB131" i="13"/>
  <c r="BA131" i="13"/>
  <c r="AZ131" i="13"/>
  <c r="AY131" i="13"/>
  <c r="AX131" i="13"/>
  <c r="AW131" i="13"/>
  <c r="AV131" i="13"/>
  <c r="AU131" i="13"/>
  <c r="AT131" i="13"/>
  <c r="AS131" i="13"/>
  <c r="AR131" i="13"/>
  <c r="AQ131" i="13"/>
  <c r="AP131" i="13"/>
  <c r="BB130" i="13"/>
  <c r="BA130" i="13"/>
  <c r="AZ130" i="13"/>
  <c r="AY130" i="13"/>
  <c r="AX130" i="13"/>
  <c r="AW130" i="13"/>
  <c r="AV130" i="13"/>
  <c r="AU130" i="13"/>
  <c r="AT130" i="13"/>
  <c r="AS130" i="13"/>
  <c r="AR130" i="13"/>
  <c r="AQ130" i="13"/>
  <c r="AP130" i="13"/>
  <c r="BB129" i="13"/>
  <c r="BA129" i="13"/>
  <c r="AZ129" i="13"/>
  <c r="AY129" i="13"/>
  <c r="AX129" i="13"/>
  <c r="AW129" i="13"/>
  <c r="AV129" i="13"/>
  <c r="AU129" i="13"/>
  <c r="AT129" i="13"/>
  <c r="AS129" i="13"/>
  <c r="AR129" i="13"/>
  <c r="AQ129" i="13"/>
  <c r="AP129" i="13"/>
  <c r="BB128" i="13"/>
  <c r="BA128" i="13"/>
  <c r="AZ128" i="13"/>
  <c r="AY128" i="13"/>
  <c r="AX128" i="13"/>
  <c r="AW128" i="13"/>
  <c r="AV128" i="13"/>
  <c r="AU128" i="13"/>
  <c r="AT128" i="13"/>
  <c r="AS128" i="13"/>
  <c r="AR128" i="13"/>
  <c r="AQ128" i="13"/>
  <c r="AP128" i="13"/>
  <c r="BB126" i="13"/>
  <c r="BA126" i="13"/>
  <c r="AZ126" i="13"/>
  <c r="AY126" i="13"/>
  <c r="AX126" i="13"/>
  <c r="AW126" i="13"/>
  <c r="AV126" i="13"/>
  <c r="AU126" i="13"/>
  <c r="AT126" i="13"/>
  <c r="AS126" i="13"/>
  <c r="AR126" i="13"/>
  <c r="AQ126" i="13"/>
  <c r="AP126" i="13"/>
  <c r="BB122" i="13"/>
  <c r="BA122" i="13"/>
  <c r="AZ122" i="13"/>
  <c r="AY122" i="13"/>
  <c r="AX122" i="13"/>
  <c r="AW122" i="13"/>
  <c r="AV122" i="13"/>
  <c r="AU122" i="13"/>
  <c r="AT122" i="13"/>
  <c r="AS122" i="13"/>
  <c r="AR122" i="13"/>
  <c r="AQ122" i="13"/>
  <c r="AP122" i="13"/>
  <c r="BB120" i="13"/>
  <c r="BA120" i="13"/>
  <c r="AZ120" i="13"/>
  <c r="AY120" i="13"/>
  <c r="AX120" i="13"/>
  <c r="AW120" i="13"/>
  <c r="AV120" i="13"/>
  <c r="AU120" i="13"/>
  <c r="AT120" i="13"/>
  <c r="AS120" i="13"/>
  <c r="AR120" i="13"/>
  <c r="AQ120" i="13"/>
  <c r="AP120" i="13"/>
  <c r="BB119" i="13"/>
  <c r="BA119" i="13"/>
  <c r="AZ119" i="13"/>
  <c r="AY119" i="13"/>
  <c r="AX119" i="13"/>
  <c r="AW119" i="13"/>
  <c r="AV119" i="13"/>
  <c r="AU119" i="13"/>
  <c r="AT119" i="13"/>
  <c r="AS119" i="13"/>
  <c r="AR119" i="13"/>
  <c r="AQ119" i="13"/>
  <c r="AP119" i="13"/>
  <c r="BB116" i="13"/>
  <c r="BA116" i="13"/>
  <c r="AZ116" i="13"/>
  <c r="AY116" i="13"/>
  <c r="AX116" i="13"/>
  <c r="AW116" i="13"/>
  <c r="AV116" i="13"/>
  <c r="AU116" i="13"/>
  <c r="AT116" i="13"/>
  <c r="AS116" i="13"/>
  <c r="AR116" i="13"/>
  <c r="AQ116" i="13"/>
  <c r="AP116" i="13"/>
  <c r="BB114" i="13"/>
  <c r="BA114" i="13"/>
  <c r="AZ114" i="13"/>
  <c r="AY114" i="13"/>
  <c r="AX114" i="13"/>
  <c r="AW114" i="13"/>
  <c r="AV114" i="13"/>
  <c r="AU114" i="13"/>
  <c r="AT114" i="13"/>
  <c r="AS114" i="13"/>
  <c r="AR114" i="13"/>
  <c r="AQ114" i="13"/>
  <c r="AP114" i="13"/>
  <c r="BB113" i="13"/>
  <c r="BA113" i="13"/>
  <c r="AZ113" i="13"/>
  <c r="AY113" i="13"/>
  <c r="AX113" i="13"/>
  <c r="AW113" i="13"/>
  <c r="AV113" i="13"/>
  <c r="AU113" i="13"/>
  <c r="AT113" i="13"/>
  <c r="AS113" i="13"/>
  <c r="AR113" i="13"/>
  <c r="AQ113" i="13"/>
  <c r="AP113" i="13"/>
  <c r="BB112" i="13"/>
  <c r="BA112" i="13"/>
  <c r="AZ112" i="13"/>
  <c r="AY112" i="13"/>
  <c r="AX112" i="13"/>
  <c r="AW112" i="13"/>
  <c r="AV112" i="13"/>
  <c r="AU112" i="13"/>
  <c r="AT112" i="13"/>
  <c r="AS112" i="13"/>
  <c r="AR112" i="13"/>
  <c r="AQ112" i="13"/>
  <c r="AP112" i="13"/>
  <c r="BB107" i="13"/>
  <c r="BA107" i="13"/>
  <c r="AZ107" i="13"/>
  <c r="AY107" i="13"/>
  <c r="AX107" i="13"/>
  <c r="AW107" i="13"/>
  <c r="AV107" i="13"/>
  <c r="AU107" i="13"/>
  <c r="AT107" i="13"/>
  <c r="AS107" i="13"/>
  <c r="AR107" i="13"/>
  <c r="AQ107" i="13"/>
  <c r="AP107" i="13"/>
  <c r="BB102" i="13"/>
  <c r="BA102" i="13"/>
  <c r="AZ102" i="13"/>
  <c r="AY102" i="13"/>
  <c r="AX102" i="13"/>
  <c r="AW102" i="13"/>
  <c r="AV102" i="13"/>
  <c r="AU102" i="13"/>
  <c r="AT102" i="13"/>
  <c r="AS102" i="13"/>
  <c r="AR102" i="13"/>
  <c r="AQ102" i="13"/>
  <c r="AP102" i="13"/>
  <c r="BB100" i="13"/>
  <c r="BA100" i="13"/>
  <c r="AZ100" i="13"/>
  <c r="AY100" i="13"/>
  <c r="AX100" i="13"/>
  <c r="AW100" i="13"/>
  <c r="AV100" i="13"/>
  <c r="AU100" i="13"/>
  <c r="AT100" i="13"/>
  <c r="AS100" i="13"/>
  <c r="AR100" i="13"/>
  <c r="AQ100" i="13"/>
  <c r="AP100" i="13"/>
  <c r="BB99" i="13"/>
  <c r="BA99" i="13"/>
  <c r="AZ99" i="13"/>
  <c r="AY99" i="13"/>
  <c r="AX99" i="13"/>
  <c r="AW99" i="13"/>
  <c r="AV99" i="13"/>
  <c r="AU99" i="13"/>
  <c r="AT99" i="13"/>
  <c r="AS99" i="13"/>
  <c r="AR99" i="13"/>
  <c r="AQ99" i="13"/>
  <c r="AP99" i="13"/>
  <c r="BB98" i="13"/>
  <c r="BA98" i="13"/>
  <c r="AZ98" i="13"/>
  <c r="AY98" i="13"/>
  <c r="AX98" i="13"/>
  <c r="AW98" i="13"/>
  <c r="AV98" i="13"/>
  <c r="AU98" i="13"/>
  <c r="AT98" i="13"/>
  <c r="AS98" i="13"/>
  <c r="AR98" i="13"/>
  <c r="AQ98" i="13"/>
  <c r="AP98" i="13"/>
  <c r="BB97" i="13"/>
  <c r="BA97" i="13"/>
  <c r="AZ97" i="13"/>
  <c r="AY97" i="13"/>
  <c r="AX97" i="13"/>
  <c r="AW97" i="13"/>
  <c r="AV97" i="13"/>
  <c r="AU97" i="13"/>
  <c r="AT97" i="13"/>
  <c r="AS97" i="13"/>
  <c r="AR97" i="13"/>
  <c r="AQ97" i="13"/>
  <c r="AP97" i="13"/>
  <c r="BB96" i="13"/>
  <c r="BA96" i="13"/>
  <c r="AZ96" i="13"/>
  <c r="AY96" i="13"/>
  <c r="AX96" i="13"/>
  <c r="AW96" i="13"/>
  <c r="AV96" i="13"/>
  <c r="AU96" i="13"/>
  <c r="AT96" i="13"/>
  <c r="AS96" i="13"/>
  <c r="AR96" i="13"/>
  <c r="AQ96" i="13"/>
  <c r="AP96" i="13"/>
  <c r="BB95" i="13"/>
  <c r="BA95" i="13"/>
  <c r="AZ95" i="13"/>
  <c r="AY95" i="13"/>
  <c r="AX95" i="13"/>
  <c r="AW95" i="13"/>
  <c r="AV95" i="13"/>
  <c r="AU95" i="13"/>
  <c r="AT95" i="13"/>
  <c r="AS95" i="13"/>
  <c r="AR95" i="13"/>
  <c r="AQ95" i="13"/>
  <c r="AP95" i="13"/>
  <c r="BB94" i="13"/>
  <c r="BA94" i="13"/>
  <c r="AZ94" i="13"/>
  <c r="AY94" i="13"/>
  <c r="AX94" i="13"/>
  <c r="AW94" i="13"/>
  <c r="AV94" i="13"/>
  <c r="AU94" i="13"/>
  <c r="AT94" i="13"/>
  <c r="AS94" i="13"/>
  <c r="AR94" i="13"/>
  <c r="AQ94" i="13"/>
  <c r="AP94" i="13"/>
  <c r="BB93" i="13"/>
  <c r="BA93" i="13"/>
  <c r="AZ93" i="13"/>
  <c r="AY93" i="13"/>
  <c r="AX93" i="13"/>
  <c r="AW93" i="13"/>
  <c r="AV93" i="13"/>
  <c r="AU93" i="13"/>
  <c r="AT93" i="13"/>
  <c r="AS93" i="13"/>
  <c r="AR93" i="13"/>
  <c r="AQ93" i="13"/>
  <c r="AP93" i="13"/>
  <c r="BB92" i="13"/>
  <c r="BA92" i="13"/>
  <c r="AZ92" i="13"/>
  <c r="AY92" i="13"/>
  <c r="AX92" i="13"/>
  <c r="AW92" i="13"/>
  <c r="AV92" i="13"/>
  <c r="AU92" i="13"/>
  <c r="AT92" i="13"/>
  <c r="AS92" i="13"/>
  <c r="AR92" i="13"/>
  <c r="AQ92" i="13"/>
  <c r="AP92" i="13"/>
  <c r="BB91" i="13"/>
  <c r="BA91" i="13"/>
  <c r="AZ91" i="13"/>
  <c r="AY91" i="13"/>
  <c r="AX91" i="13"/>
  <c r="AW91" i="13"/>
  <c r="AV91" i="13"/>
  <c r="AU91" i="13"/>
  <c r="AT91" i="13"/>
  <c r="AS91" i="13"/>
  <c r="AR91" i="13"/>
  <c r="AQ91" i="13"/>
  <c r="AP91" i="13"/>
  <c r="BB90" i="13"/>
  <c r="BA90" i="13"/>
  <c r="AZ90" i="13"/>
  <c r="AY90" i="13"/>
  <c r="AX90" i="13"/>
  <c r="AW90" i="13"/>
  <c r="AV90" i="13"/>
  <c r="AU90" i="13"/>
  <c r="AT90" i="13"/>
  <c r="AS90" i="13"/>
  <c r="AR90" i="13"/>
  <c r="AQ90" i="13"/>
  <c r="AP90" i="13"/>
  <c r="BB89" i="13"/>
  <c r="BA89" i="13"/>
  <c r="AZ89" i="13"/>
  <c r="AY89" i="13"/>
  <c r="AX89" i="13"/>
  <c r="AW89" i="13"/>
  <c r="AV89" i="13"/>
  <c r="AU89" i="13"/>
  <c r="AT89" i="13"/>
  <c r="AS89" i="13"/>
  <c r="AR89" i="13"/>
  <c r="AQ89" i="13"/>
  <c r="AP89" i="13"/>
  <c r="BB88" i="13"/>
  <c r="BA88" i="13"/>
  <c r="AZ88" i="13"/>
  <c r="AY88" i="13"/>
  <c r="AX88" i="13"/>
  <c r="AW88" i="13"/>
  <c r="AV88" i="13"/>
  <c r="AU88" i="13"/>
  <c r="AT88" i="13"/>
  <c r="AS88" i="13"/>
  <c r="AR88" i="13"/>
  <c r="AQ88" i="13"/>
  <c r="AP88" i="13"/>
  <c r="BB86" i="13"/>
  <c r="BA86" i="13"/>
  <c r="AZ86" i="13"/>
  <c r="AY86" i="13"/>
  <c r="AX86" i="13"/>
  <c r="AW86" i="13"/>
  <c r="AV86" i="13"/>
  <c r="AU86" i="13"/>
  <c r="AT86" i="13"/>
  <c r="AS86" i="13"/>
  <c r="AR86" i="13"/>
  <c r="AQ86" i="13"/>
  <c r="AP86" i="13"/>
  <c r="BB83" i="13"/>
  <c r="BA83" i="13"/>
  <c r="AZ83" i="13"/>
  <c r="AY83" i="13"/>
  <c r="AX83" i="13"/>
  <c r="AW83" i="13"/>
  <c r="AV83" i="13"/>
  <c r="AU83" i="13"/>
  <c r="AT83" i="13"/>
  <c r="AS83" i="13"/>
  <c r="AR83" i="13"/>
  <c r="AQ83" i="13"/>
  <c r="AP83" i="13"/>
  <c r="BB82" i="13"/>
  <c r="BA82" i="13"/>
  <c r="AZ82" i="13"/>
  <c r="AY82" i="13"/>
  <c r="AX82" i="13"/>
  <c r="AW82" i="13"/>
  <c r="AV82" i="13"/>
  <c r="AU82" i="13"/>
  <c r="AT82" i="13"/>
  <c r="AS82" i="13"/>
  <c r="AR82" i="13"/>
  <c r="AQ82" i="13"/>
  <c r="AP82" i="13"/>
  <c r="BB80" i="13"/>
  <c r="BA80" i="13"/>
  <c r="AZ80" i="13"/>
  <c r="AY80" i="13"/>
  <c r="AX80" i="13"/>
  <c r="AW80" i="13"/>
  <c r="AV80" i="13"/>
  <c r="AU80" i="13"/>
  <c r="AT80" i="13"/>
  <c r="AS80" i="13"/>
  <c r="AR80" i="13"/>
  <c r="AQ80" i="13"/>
  <c r="AP80" i="13"/>
  <c r="BB79" i="13"/>
  <c r="BA79" i="13"/>
  <c r="AZ79" i="13"/>
  <c r="AY79" i="13"/>
  <c r="AX79" i="13"/>
  <c r="AW79" i="13"/>
  <c r="AV79" i="13"/>
  <c r="AU79" i="13"/>
  <c r="AT79" i="13"/>
  <c r="AS79" i="13"/>
  <c r="AR79" i="13"/>
  <c r="AQ79" i="13"/>
  <c r="AP79" i="13"/>
  <c r="BB78" i="13"/>
  <c r="BA78" i="13"/>
  <c r="AZ78" i="13"/>
  <c r="AY78" i="13"/>
  <c r="AX78" i="13"/>
  <c r="AW78" i="13"/>
  <c r="AV78" i="13"/>
  <c r="AU78" i="13"/>
  <c r="AT78" i="13"/>
  <c r="AS78" i="13"/>
  <c r="AR78" i="13"/>
  <c r="AQ78" i="13"/>
  <c r="AP78" i="13"/>
  <c r="BB76" i="13"/>
  <c r="BA76" i="13"/>
  <c r="AZ76" i="13"/>
  <c r="AY76" i="13"/>
  <c r="AX76" i="13"/>
  <c r="AW76" i="13"/>
  <c r="AV76" i="13"/>
  <c r="AU76" i="13"/>
  <c r="AT76" i="13"/>
  <c r="AS76" i="13"/>
  <c r="AR76" i="13"/>
  <c r="AQ76" i="13"/>
  <c r="AP76" i="13"/>
  <c r="BB75" i="13"/>
  <c r="BA75" i="13"/>
  <c r="AZ75" i="13"/>
  <c r="AY75" i="13"/>
  <c r="AX75" i="13"/>
  <c r="AW75" i="13"/>
  <c r="AV75" i="13"/>
  <c r="AU75" i="13"/>
  <c r="AT75" i="13"/>
  <c r="AS75" i="13"/>
  <c r="AR75" i="13"/>
  <c r="AQ75" i="13"/>
  <c r="AP75" i="13"/>
  <c r="BB74" i="13"/>
  <c r="BA74" i="13"/>
  <c r="AZ74" i="13"/>
  <c r="AY74" i="13"/>
  <c r="AX74" i="13"/>
  <c r="AW74" i="13"/>
  <c r="AV74" i="13"/>
  <c r="AU74" i="13"/>
  <c r="AT74" i="13"/>
  <c r="AS74" i="13"/>
  <c r="AR74" i="13"/>
  <c r="AQ74" i="13"/>
  <c r="AP74" i="13"/>
  <c r="BB71" i="13"/>
  <c r="BA71" i="13"/>
  <c r="AZ71" i="13"/>
  <c r="AY71" i="13"/>
  <c r="AX71" i="13"/>
  <c r="AW71" i="13"/>
  <c r="AV71" i="13"/>
  <c r="AU71" i="13"/>
  <c r="AT71" i="13"/>
  <c r="AS71" i="13"/>
  <c r="AR71" i="13"/>
  <c r="AQ71" i="13"/>
  <c r="AP71" i="13"/>
  <c r="BB70" i="13"/>
  <c r="BA70" i="13"/>
  <c r="AZ70" i="13"/>
  <c r="AY70" i="13"/>
  <c r="AX70" i="13"/>
  <c r="AW70" i="13"/>
  <c r="AV70" i="13"/>
  <c r="AU70" i="13"/>
  <c r="AT70" i="13"/>
  <c r="AS70" i="13"/>
  <c r="AR70" i="13"/>
  <c r="AQ70" i="13"/>
  <c r="AP70" i="13"/>
  <c r="BB69" i="13"/>
  <c r="BA69" i="13"/>
  <c r="AZ69" i="13"/>
  <c r="AY69" i="13"/>
  <c r="AX69" i="13"/>
  <c r="AW69" i="13"/>
  <c r="AV69" i="13"/>
  <c r="AU69" i="13"/>
  <c r="AT69" i="13"/>
  <c r="AS69" i="13"/>
  <c r="AR69" i="13"/>
  <c r="AQ69" i="13"/>
  <c r="AP69" i="13"/>
  <c r="BB64" i="13"/>
  <c r="BA64" i="13"/>
  <c r="AZ64" i="13"/>
  <c r="AY64" i="13"/>
  <c r="AX64" i="13"/>
  <c r="AW64" i="13"/>
  <c r="AV64" i="13"/>
  <c r="AU64" i="13"/>
  <c r="AT64" i="13"/>
  <c r="AS64" i="13"/>
  <c r="AR64" i="13"/>
  <c r="AQ64" i="13"/>
  <c r="AP64" i="13"/>
  <c r="BB59" i="13"/>
  <c r="BA59" i="13"/>
  <c r="AZ59" i="13"/>
  <c r="AY59" i="13"/>
  <c r="AX59" i="13"/>
  <c r="AW59" i="13"/>
  <c r="AV59" i="13"/>
  <c r="AU59" i="13"/>
  <c r="AT59" i="13"/>
  <c r="AS59" i="13"/>
  <c r="AR59" i="13"/>
  <c r="AQ59" i="13"/>
  <c r="AP59" i="13"/>
  <c r="BB57" i="13"/>
  <c r="BA57" i="13"/>
  <c r="AZ57" i="13"/>
  <c r="AY57" i="13"/>
  <c r="AX57" i="13"/>
  <c r="AW57" i="13"/>
  <c r="AV57" i="13"/>
  <c r="AU57" i="13"/>
  <c r="AT57" i="13"/>
  <c r="AS57" i="13"/>
  <c r="AR57" i="13"/>
  <c r="AQ57" i="13"/>
  <c r="AP57" i="13"/>
  <c r="BB56" i="13"/>
  <c r="BA56" i="13"/>
  <c r="AZ56" i="13"/>
  <c r="AY56" i="13"/>
  <c r="AX56" i="13"/>
  <c r="AW56" i="13"/>
  <c r="AV56" i="13"/>
  <c r="AU56" i="13"/>
  <c r="AT56" i="13"/>
  <c r="AS56" i="13"/>
  <c r="AR56" i="13"/>
  <c r="AQ56" i="13"/>
  <c r="AP56" i="13"/>
  <c r="BB55" i="13"/>
  <c r="BA55" i="13"/>
  <c r="AZ55" i="13"/>
  <c r="AY55" i="13"/>
  <c r="AX55" i="13"/>
  <c r="AW55" i="13"/>
  <c r="AV55" i="13"/>
  <c r="AU55" i="13"/>
  <c r="AT55" i="13"/>
  <c r="AS55" i="13"/>
  <c r="AR55" i="13"/>
  <c r="AQ55" i="13"/>
  <c r="AP55" i="13"/>
  <c r="BB54" i="13"/>
  <c r="BA54" i="13"/>
  <c r="AZ54" i="13"/>
  <c r="AY54" i="13"/>
  <c r="AX54" i="13"/>
  <c r="AW54" i="13"/>
  <c r="AV54" i="13"/>
  <c r="AU54" i="13"/>
  <c r="AT54" i="13"/>
  <c r="AS54" i="13"/>
  <c r="AR54" i="13"/>
  <c r="AQ54" i="13"/>
  <c r="AP54" i="13"/>
  <c r="BB52" i="13"/>
  <c r="BA52" i="13"/>
  <c r="AZ52" i="13"/>
  <c r="AY52" i="13"/>
  <c r="AX52" i="13"/>
  <c r="AW52" i="13"/>
  <c r="AV52" i="13"/>
  <c r="AU52" i="13"/>
  <c r="AT52" i="13"/>
  <c r="AS52" i="13"/>
  <c r="AR52" i="13"/>
  <c r="AQ52" i="13"/>
  <c r="AP52" i="13"/>
  <c r="BB51" i="13"/>
  <c r="BA51" i="13"/>
  <c r="AZ51" i="13"/>
  <c r="AY51" i="13"/>
  <c r="AX51" i="13"/>
  <c r="AW51" i="13"/>
  <c r="AV51" i="13"/>
  <c r="AU51" i="13"/>
  <c r="AT51" i="13"/>
  <c r="AS51" i="13"/>
  <c r="AR51" i="13"/>
  <c r="AQ51" i="13"/>
  <c r="AP51" i="13"/>
  <c r="BB50" i="13"/>
  <c r="BA50" i="13"/>
  <c r="AZ50" i="13"/>
  <c r="AY50" i="13"/>
  <c r="AX50" i="13"/>
  <c r="AW50" i="13"/>
  <c r="AV50" i="13"/>
  <c r="AU50" i="13"/>
  <c r="AT50" i="13"/>
  <c r="AS50" i="13"/>
  <c r="AR50" i="13"/>
  <c r="AQ50" i="13"/>
  <c r="AP50" i="13"/>
  <c r="BB49" i="13"/>
  <c r="BA49" i="13"/>
  <c r="AZ49" i="13"/>
  <c r="AY49" i="13"/>
  <c r="AX49" i="13"/>
  <c r="AW49" i="13"/>
  <c r="AV49" i="13"/>
  <c r="AU49" i="13"/>
  <c r="AT49" i="13"/>
  <c r="AS49" i="13"/>
  <c r="AR49" i="13"/>
  <c r="AQ49" i="13"/>
  <c r="AP49" i="13"/>
  <c r="BB47" i="13"/>
  <c r="BA47" i="13"/>
  <c r="AZ47" i="13"/>
  <c r="AY47" i="13"/>
  <c r="AX47" i="13"/>
  <c r="AW47" i="13"/>
  <c r="AV47" i="13"/>
  <c r="AU47" i="13"/>
  <c r="AT47" i="13"/>
  <c r="AS47" i="13"/>
  <c r="AR47" i="13"/>
  <c r="AQ47" i="13"/>
  <c r="AP47" i="13"/>
  <c r="BB46" i="13"/>
  <c r="BA46" i="13"/>
  <c r="AZ46" i="13"/>
  <c r="AY46" i="13"/>
  <c r="AX46" i="13"/>
  <c r="AW46" i="13"/>
  <c r="AV46" i="13"/>
  <c r="AU46" i="13"/>
  <c r="AT46" i="13"/>
  <c r="AS46" i="13"/>
  <c r="AR46" i="13"/>
  <c r="AQ46" i="13"/>
  <c r="AP46" i="13"/>
  <c r="BB45" i="13"/>
  <c r="BA45" i="13"/>
  <c r="AZ45" i="13"/>
  <c r="AY45" i="13"/>
  <c r="AX45" i="13"/>
  <c r="AW45" i="13"/>
  <c r="AV45" i="13"/>
  <c r="AU45" i="13"/>
  <c r="AT45" i="13"/>
  <c r="AS45" i="13"/>
  <c r="AR45" i="13"/>
  <c r="AQ45" i="13"/>
  <c r="AP45" i="13"/>
  <c r="BB43" i="13"/>
  <c r="BA43" i="13"/>
  <c r="AZ43" i="13"/>
  <c r="AY43" i="13"/>
  <c r="AX43" i="13"/>
  <c r="AW43" i="13"/>
  <c r="AV43" i="13"/>
  <c r="AU43" i="13"/>
  <c r="AT43" i="13"/>
  <c r="AS43" i="13"/>
  <c r="AR43" i="13"/>
  <c r="AQ43" i="13"/>
  <c r="AP43" i="13"/>
  <c r="BB41" i="13"/>
  <c r="BA41" i="13"/>
  <c r="AZ41" i="13"/>
  <c r="AY41" i="13"/>
  <c r="AX41" i="13"/>
  <c r="AW41" i="13"/>
  <c r="AV41" i="13"/>
  <c r="AU41" i="13"/>
  <c r="AT41" i="13"/>
  <c r="AS41" i="13"/>
  <c r="AR41" i="13"/>
  <c r="AQ41" i="13"/>
  <c r="AP41" i="13"/>
  <c r="BB40" i="13"/>
  <c r="BA40" i="13"/>
  <c r="AZ40" i="13"/>
  <c r="AY40" i="13"/>
  <c r="AX40" i="13"/>
  <c r="AW40" i="13"/>
  <c r="AV40" i="13"/>
  <c r="AU40" i="13"/>
  <c r="AT40" i="13"/>
  <c r="AS40" i="13"/>
  <c r="AR40" i="13"/>
  <c r="AQ40" i="13"/>
  <c r="AP40" i="13"/>
  <c r="BB39" i="13"/>
  <c r="BA39" i="13"/>
  <c r="AZ39" i="13"/>
  <c r="AY39" i="13"/>
  <c r="AX39" i="13"/>
  <c r="AW39" i="13"/>
  <c r="AV39" i="13"/>
  <c r="AU39" i="13"/>
  <c r="AT39" i="13"/>
  <c r="AS39" i="13"/>
  <c r="AR39" i="13"/>
  <c r="AQ39" i="13"/>
  <c r="AP39" i="13"/>
  <c r="BB37" i="13"/>
  <c r="BA37" i="13"/>
  <c r="AZ37" i="13"/>
  <c r="AY37" i="13"/>
  <c r="AX37" i="13"/>
  <c r="AW37" i="13"/>
  <c r="AV37" i="13"/>
  <c r="AU37" i="13"/>
  <c r="AT37" i="13"/>
  <c r="AS37" i="13"/>
  <c r="AR37" i="13"/>
  <c r="AQ37" i="13"/>
  <c r="AP37" i="13"/>
  <c r="BB35" i="13"/>
  <c r="BA35" i="13"/>
  <c r="AZ35" i="13"/>
  <c r="AY35" i="13"/>
  <c r="AX35" i="13"/>
  <c r="AW35" i="13"/>
  <c r="AV35" i="13"/>
  <c r="AU35" i="13"/>
  <c r="AT35" i="13"/>
  <c r="AS35" i="13"/>
  <c r="AR35" i="13"/>
  <c r="AQ35" i="13"/>
  <c r="AP35" i="13"/>
  <c r="BB34" i="13"/>
  <c r="BA34" i="13"/>
  <c r="AZ34" i="13"/>
  <c r="AY34" i="13"/>
  <c r="AX34" i="13"/>
  <c r="AW34" i="13"/>
  <c r="AV34" i="13"/>
  <c r="AU34" i="13"/>
  <c r="AT34" i="13"/>
  <c r="AS34" i="13"/>
  <c r="AR34" i="13"/>
  <c r="AQ34" i="13"/>
  <c r="AP34" i="13"/>
  <c r="BB33" i="13"/>
  <c r="BA33" i="13"/>
  <c r="AZ33" i="13"/>
  <c r="AY33" i="13"/>
  <c r="AX33" i="13"/>
  <c r="AW33" i="13"/>
  <c r="AV33" i="13"/>
  <c r="AU33" i="13"/>
  <c r="AT33" i="13"/>
  <c r="AS33" i="13"/>
  <c r="AR33" i="13"/>
  <c r="AQ33" i="13"/>
  <c r="AP33" i="13"/>
  <c r="BB32" i="13"/>
  <c r="BA32" i="13"/>
  <c r="AZ32" i="13"/>
  <c r="AY32" i="13"/>
  <c r="AX32" i="13"/>
  <c r="AW32" i="13"/>
  <c r="AV32" i="13"/>
  <c r="AU32" i="13"/>
  <c r="AT32" i="13"/>
  <c r="AS32" i="13"/>
  <c r="AR32" i="13"/>
  <c r="AQ32" i="13"/>
  <c r="AP32" i="13"/>
  <c r="BB30" i="13"/>
  <c r="BA30" i="13"/>
  <c r="AZ30" i="13"/>
  <c r="AY30" i="13"/>
  <c r="AX30" i="13"/>
  <c r="AW30" i="13"/>
  <c r="AV30" i="13"/>
  <c r="AU30" i="13"/>
  <c r="AT30" i="13"/>
  <c r="AS30" i="13"/>
  <c r="AR30" i="13"/>
  <c r="AQ30" i="13"/>
  <c r="AP30" i="13"/>
  <c r="BB29" i="13"/>
  <c r="BA29" i="13"/>
  <c r="AZ29" i="13"/>
  <c r="AY29" i="13"/>
  <c r="AX29" i="13"/>
  <c r="AW29" i="13"/>
  <c r="AV29" i="13"/>
  <c r="AU29" i="13"/>
  <c r="AT29" i="13"/>
  <c r="AS29" i="13"/>
  <c r="AR29" i="13"/>
  <c r="AQ29" i="13"/>
  <c r="AP29" i="13"/>
  <c r="BB28" i="13"/>
  <c r="BA28" i="13"/>
  <c r="AZ28" i="13"/>
  <c r="AY28" i="13"/>
  <c r="AX28" i="13"/>
  <c r="AW28" i="13"/>
  <c r="AV28" i="13"/>
  <c r="AU28" i="13"/>
  <c r="AT28" i="13"/>
  <c r="AS28" i="13"/>
  <c r="AR28" i="13"/>
  <c r="AQ28" i="13"/>
  <c r="AP28" i="13"/>
  <c r="BB27" i="13"/>
  <c r="BA27" i="13"/>
  <c r="AZ27" i="13"/>
  <c r="AY27" i="13"/>
  <c r="AX27" i="13"/>
  <c r="AW27" i="13"/>
  <c r="AV27" i="13"/>
  <c r="AU27" i="13"/>
  <c r="AT27" i="13"/>
  <c r="AS27" i="13"/>
  <c r="AR27" i="13"/>
  <c r="AQ27" i="13"/>
  <c r="AP27" i="13"/>
  <c r="BB24" i="13"/>
  <c r="BA24" i="13"/>
  <c r="AZ24" i="13"/>
  <c r="AY24" i="13"/>
  <c r="AX24" i="13"/>
  <c r="AW24" i="13"/>
  <c r="AV24" i="13"/>
  <c r="AU24" i="13"/>
  <c r="AT24" i="13"/>
  <c r="AS24" i="13"/>
  <c r="AR24" i="13"/>
  <c r="AQ24" i="13"/>
  <c r="AP24" i="13"/>
  <c r="AO136" i="13"/>
  <c r="AN136" i="13"/>
  <c r="AM136" i="13"/>
  <c r="AL136" i="13"/>
  <c r="AK136" i="13"/>
  <c r="AJ136" i="13"/>
  <c r="AI136" i="13"/>
  <c r="AH136" i="13"/>
  <c r="AG136" i="13"/>
  <c r="AF136" i="13"/>
  <c r="AE136" i="13"/>
  <c r="AD136" i="13"/>
  <c r="AC136" i="13"/>
  <c r="AO131" i="13"/>
  <c r="AN131" i="13"/>
  <c r="AM131" i="13"/>
  <c r="AL131" i="13"/>
  <c r="AK131" i="13"/>
  <c r="AJ131" i="13"/>
  <c r="AI131" i="13"/>
  <c r="AH131" i="13"/>
  <c r="AG131" i="13"/>
  <c r="AF131" i="13"/>
  <c r="AE131" i="13"/>
  <c r="AD131" i="13"/>
  <c r="AC131" i="13"/>
  <c r="AO130" i="13"/>
  <c r="AN130" i="13"/>
  <c r="AM130" i="13"/>
  <c r="AL130" i="13"/>
  <c r="AK130" i="13"/>
  <c r="AJ130" i="13"/>
  <c r="AI130" i="13"/>
  <c r="AH130" i="13"/>
  <c r="AG130" i="13"/>
  <c r="AF130" i="13"/>
  <c r="AE130" i="13"/>
  <c r="AD130" i="13"/>
  <c r="AC130" i="13"/>
  <c r="AO129" i="13"/>
  <c r="AN129" i="13"/>
  <c r="AM129" i="13"/>
  <c r="AL129" i="13"/>
  <c r="AK129" i="13"/>
  <c r="AJ129" i="13"/>
  <c r="AI129" i="13"/>
  <c r="AH129" i="13"/>
  <c r="AG129" i="13"/>
  <c r="AF129" i="13"/>
  <c r="AE129" i="13"/>
  <c r="AD129" i="13"/>
  <c r="AC129" i="13"/>
  <c r="AO128" i="13"/>
  <c r="AN128" i="13"/>
  <c r="AM128" i="13"/>
  <c r="AL128" i="13"/>
  <c r="AK128" i="13"/>
  <c r="AJ128" i="13"/>
  <c r="AI128" i="13"/>
  <c r="AH128" i="13"/>
  <c r="AG128" i="13"/>
  <c r="AF128" i="13"/>
  <c r="AE128" i="13"/>
  <c r="AD128" i="13"/>
  <c r="AC128" i="13"/>
  <c r="AO126" i="13"/>
  <c r="AN126" i="13"/>
  <c r="AM126" i="13"/>
  <c r="AL126" i="13"/>
  <c r="AK126" i="13"/>
  <c r="AJ126" i="13"/>
  <c r="AI126" i="13"/>
  <c r="AH126" i="13"/>
  <c r="AG126" i="13"/>
  <c r="AF126" i="13"/>
  <c r="AE126" i="13"/>
  <c r="AD126" i="13"/>
  <c r="AC126" i="13"/>
  <c r="AO122" i="13"/>
  <c r="AN122" i="13"/>
  <c r="AM122" i="13"/>
  <c r="AL122" i="13"/>
  <c r="AK122" i="13"/>
  <c r="AJ122" i="13"/>
  <c r="AI122" i="13"/>
  <c r="AH122" i="13"/>
  <c r="AG122" i="13"/>
  <c r="AF122" i="13"/>
  <c r="AE122" i="13"/>
  <c r="AD122" i="13"/>
  <c r="AC122" i="13"/>
  <c r="AO120" i="13"/>
  <c r="AN120" i="13"/>
  <c r="AM120" i="13"/>
  <c r="AL120" i="13"/>
  <c r="AK120" i="13"/>
  <c r="AJ120" i="13"/>
  <c r="AI120" i="13"/>
  <c r="AH120" i="13"/>
  <c r="AG120" i="13"/>
  <c r="AF120" i="13"/>
  <c r="AE120" i="13"/>
  <c r="AD120" i="13"/>
  <c r="AC120" i="13"/>
  <c r="AO119" i="13"/>
  <c r="AN119" i="13"/>
  <c r="AM119" i="13"/>
  <c r="AL119" i="13"/>
  <c r="AK119" i="13"/>
  <c r="AJ119" i="13"/>
  <c r="AI119" i="13"/>
  <c r="AH119" i="13"/>
  <c r="AG119" i="13"/>
  <c r="AF119" i="13"/>
  <c r="AE119" i="13"/>
  <c r="AD119" i="13"/>
  <c r="AC119" i="13"/>
  <c r="AO116" i="13"/>
  <c r="AN116" i="13"/>
  <c r="AM116" i="13"/>
  <c r="AL116" i="13"/>
  <c r="AK116" i="13"/>
  <c r="AJ116" i="13"/>
  <c r="AI116" i="13"/>
  <c r="AH116" i="13"/>
  <c r="AG116" i="13"/>
  <c r="AF116" i="13"/>
  <c r="AE116" i="13"/>
  <c r="AD116" i="13"/>
  <c r="AC116" i="13"/>
  <c r="AO114" i="13"/>
  <c r="AN114" i="13"/>
  <c r="AM114" i="13"/>
  <c r="AL114" i="13"/>
  <c r="AK114" i="13"/>
  <c r="AJ114" i="13"/>
  <c r="AI114" i="13"/>
  <c r="AH114" i="13"/>
  <c r="AG114" i="13"/>
  <c r="AF114" i="13"/>
  <c r="AE114" i="13"/>
  <c r="AD114" i="13"/>
  <c r="AC114" i="13"/>
  <c r="AO113" i="13"/>
  <c r="AN113" i="13"/>
  <c r="AM113" i="13"/>
  <c r="AL113" i="13"/>
  <c r="AK113" i="13"/>
  <c r="AJ113" i="13"/>
  <c r="AI113" i="13"/>
  <c r="AH113" i="13"/>
  <c r="AG113" i="13"/>
  <c r="AF113" i="13"/>
  <c r="AE113" i="13"/>
  <c r="AD113" i="13"/>
  <c r="AC113" i="13"/>
  <c r="AO112" i="13"/>
  <c r="AN112" i="13"/>
  <c r="AM112" i="13"/>
  <c r="AL112" i="13"/>
  <c r="AK112" i="13"/>
  <c r="AJ112" i="13"/>
  <c r="AI112" i="13"/>
  <c r="AH112" i="13"/>
  <c r="AG112" i="13"/>
  <c r="AF112" i="13"/>
  <c r="AE112" i="13"/>
  <c r="AD112" i="13"/>
  <c r="AC112" i="13"/>
  <c r="AO107" i="13"/>
  <c r="AN107" i="13"/>
  <c r="AM107" i="13"/>
  <c r="AL107" i="13"/>
  <c r="AK107" i="13"/>
  <c r="AJ107" i="13"/>
  <c r="AI107" i="13"/>
  <c r="AH107" i="13"/>
  <c r="AG107" i="13"/>
  <c r="AF107" i="13"/>
  <c r="AE107" i="13"/>
  <c r="AD107" i="13"/>
  <c r="AC107" i="13"/>
  <c r="AO102" i="13"/>
  <c r="AN102" i="13"/>
  <c r="AM102" i="13"/>
  <c r="AL102" i="13"/>
  <c r="AK102" i="13"/>
  <c r="AJ102" i="13"/>
  <c r="AI102" i="13"/>
  <c r="AH102" i="13"/>
  <c r="AG102" i="13"/>
  <c r="AF102" i="13"/>
  <c r="AE102" i="13"/>
  <c r="AD102" i="13"/>
  <c r="AC102" i="13"/>
  <c r="AO100" i="13"/>
  <c r="AN100" i="13"/>
  <c r="AM100" i="13"/>
  <c r="AL100" i="13"/>
  <c r="AK100" i="13"/>
  <c r="AJ100" i="13"/>
  <c r="AI100" i="13"/>
  <c r="AH100" i="13"/>
  <c r="AG100" i="13"/>
  <c r="AF100" i="13"/>
  <c r="AE100" i="13"/>
  <c r="AD100" i="13"/>
  <c r="AC100" i="13"/>
  <c r="AO99" i="13"/>
  <c r="AN99" i="13"/>
  <c r="AM99" i="13"/>
  <c r="AL99" i="13"/>
  <c r="AK99" i="13"/>
  <c r="AJ99" i="13"/>
  <c r="AI99" i="13"/>
  <c r="AH99" i="13"/>
  <c r="AG99" i="13"/>
  <c r="AF99" i="13"/>
  <c r="AE99" i="13"/>
  <c r="AD99" i="13"/>
  <c r="AC99" i="13"/>
  <c r="AO98" i="13"/>
  <c r="AN98" i="13"/>
  <c r="AM98" i="13"/>
  <c r="AL98" i="13"/>
  <c r="AK98" i="13"/>
  <c r="AJ98" i="13"/>
  <c r="AI98" i="13"/>
  <c r="AH98" i="13"/>
  <c r="AG98" i="13"/>
  <c r="AF98" i="13"/>
  <c r="AE98" i="13"/>
  <c r="AD98" i="13"/>
  <c r="AC98" i="13"/>
  <c r="AO97" i="13"/>
  <c r="AN97" i="13"/>
  <c r="AM97" i="13"/>
  <c r="AL97" i="13"/>
  <c r="AK97" i="13"/>
  <c r="AJ97" i="13"/>
  <c r="AI97" i="13"/>
  <c r="AH97" i="13"/>
  <c r="AG97" i="13"/>
  <c r="AF97" i="13"/>
  <c r="AE97" i="13"/>
  <c r="AD97" i="13"/>
  <c r="AC97" i="13"/>
  <c r="AO96" i="13"/>
  <c r="AN96" i="13"/>
  <c r="AM96" i="13"/>
  <c r="AL96" i="13"/>
  <c r="AK96" i="13"/>
  <c r="AJ96" i="13"/>
  <c r="AI96" i="13"/>
  <c r="AH96" i="13"/>
  <c r="AG96" i="13"/>
  <c r="AF96" i="13"/>
  <c r="AE96" i="13"/>
  <c r="AD96" i="13"/>
  <c r="AC96" i="13"/>
  <c r="AO95" i="13"/>
  <c r="AN95" i="13"/>
  <c r="AM95" i="13"/>
  <c r="AL95" i="13"/>
  <c r="AK95" i="13"/>
  <c r="AJ95" i="13"/>
  <c r="AI95" i="13"/>
  <c r="AH95" i="13"/>
  <c r="AG95" i="13"/>
  <c r="AF95" i="13"/>
  <c r="AE95" i="13"/>
  <c r="AD95" i="13"/>
  <c r="AC95" i="13"/>
  <c r="AO94" i="13"/>
  <c r="AN94" i="13"/>
  <c r="AM94" i="13"/>
  <c r="AL94" i="13"/>
  <c r="AK94" i="13"/>
  <c r="AJ94" i="13"/>
  <c r="AI94" i="13"/>
  <c r="AH94" i="13"/>
  <c r="AG94" i="13"/>
  <c r="AF94" i="13"/>
  <c r="AE94" i="13"/>
  <c r="AD94" i="13"/>
  <c r="AC94" i="13"/>
  <c r="AO93" i="13"/>
  <c r="AN93" i="13"/>
  <c r="AM93" i="13"/>
  <c r="AL93" i="13"/>
  <c r="AK93" i="13"/>
  <c r="AJ93" i="13"/>
  <c r="AI93" i="13"/>
  <c r="AH93" i="13"/>
  <c r="AG93" i="13"/>
  <c r="AF93" i="13"/>
  <c r="AE93" i="13"/>
  <c r="AD93" i="13"/>
  <c r="AC93" i="13"/>
  <c r="AO92" i="13"/>
  <c r="AN92" i="13"/>
  <c r="AM92" i="13"/>
  <c r="AL92" i="13"/>
  <c r="AK92" i="13"/>
  <c r="AJ92" i="13"/>
  <c r="AI92" i="13"/>
  <c r="AH92" i="13"/>
  <c r="AG92" i="13"/>
  <c r="AF92" i="13"/>
  <c r="AE92" i="13"/>
  <c r="AD92" i="13"/>
  <c r="AC92" i="13"/>
  <c r="AO91" i="13"/>
  <c r="AN91" i="13"/>
  <c r="AM91" i="13"/>
  <c r="AL91" i="13"/>
  <c r="AK91" i="13"/>
  <c r="AJ91" i="13"/>
  <c r="AI91" i="13"/>
  <c r="AH91" i="13"/>
  <c r="AG91" i="13"/>
  <c r="AF91" i="13"/>
  <c r="AE91" i="13"/>
  <c r="AD91" i="13"/>
  <c r="AC91" i="13"/>
  <c r="AO90" i="13"/>
  <c r="AN90" i="13"/>
  <c r="AM90" i="13"/>
  <c r="AL90" i="13"/>
  <c r="AK90" i="13"/>
  <c r="AJ90" i="13"/>
  <c r="AI90" i="13"/>
  <c r="AH90" i="13"/>
  <c r="AG90" i="13"/>
  <c r="AF90" i="13"/>
  <c r="AE90" i="13"/>
  <c r="AD90" i="13"/>
  <c r="AC90" i="13"/>
  <c r="AO89" i="13"/>
  <c r="AN89" i="13"/>
  <c r="AM89" i="13"/>
  <c r="AL89" i="13"/>
  <c r="AK89" i="13"/>
  <c r="AJ89" i="13"/>
  <c r="AI89" i="13"/>
  <c r="AH89" i="13"/>
  <c r="AG89" i="13"/>
  <c r="AF89" i="13"/>
  <c r="AE89" i="13"/>
  <c r="AD89" i="13"/>
  <c r="AC89" i="13"/>
  <c r="AO88" i="13"/>
  <c r="AN88" i="13"/>
  <c r="AM88" i="13"/>
  <c r="AL88" i="13"/>
  <c r="AK88" i="13"/>
  <c r="AJ88" i="13"/>
  <c r="AI88" i="13"/>
  <c r="AH88" i="13"/>
  <c r="AG88" i="13"/>
  <c r="AF88" i="13"/>
  <c r="AE88" i="13"/>
  <c r="AD88" i="13"/>
  <c r="AC88" i="13"/>
  <c r="AO86" i="13"/>
  <c r="AN86" i="13"/>
  <c r="AM86" i="13"/>
  <c r="AL86" i="13"/>
  <c r="AK86" i="13"/>
  <c r="AJ86" i="13"/>
  <c r="AI86" i="13"/>
  <c r="AH86" i="13"/>
  <c r="AG86" i="13"/>
  <c r="AF86" i="13"/>
  <c r="AE86" i="13"/>
  <c r="AD86" i="13"/>
  <c r="AC86" i="13"/>
  <c r="AO83" i="13"/>
  <c r="AN83" i="13"/>
  <c r="AM83" i="13"/>
  <c r="AL83" i="13"/>
  <c r="AK83" i="13"/>
  <c r="AJ83" i="13"/>
  <c r="AI83" i="13"/>
  <c r="AH83" i="13"/>
  <c r="AG83" i="13"/>
  <c r="AF83" i="13"/>
  <c r="AE83" i="13"/>
  <c r="AD83" i="13"/>
  <c r="AC83" i="13"/>
  <c r="AO82" i="13"/>
  <c r="AN82" i="13"/>
  <c r="AM82" i="13"/>
  <c r="AL82" i="13"/>
  <c r="AK82" i="13"/>
  <c r="AJ82" i="13"/>
  <c r="AI82" i="13"/>
  <c r="AH82" i="13"/>
  <c r="AG82" i="13"/>
  <c r="AF82" i="13"/>
  <c r="AE82" i="13"/>
  <c r="AD82" i="13"/>
  <c r="AC82" i="13"/>
  <c r="AO80" i="13"/>
  <c r="AN80" i="13"/>
  <c r="AM80" i="13"/>
  <c r="AL80" i="13"/>
  <c r="AK80" i="13"/>
  <c r="AJ80" i="13"/>
  <c r="AI80" i="13"/>
  <c r="AH80" i="13"/>
  <c r="AG80" i="13"/>
  <c r="AF80" i="13"/>
  <c r="AE80" i="13"/>
  <c r="AD80" i="13"/>
  <c r="AC80" i="13"/>
  <c r="AO79" i="13"/>
  <c r="AN79" i="13"/>
  <c r="AM79" i="13"/>
  <c r="AL79" i="13"/>
  <c r="AK79" i="13"/>
  <c r="AJ79" i="13"/>
  <c r="AI79" i="13"/>
  <c r="AH79" i="13"/>
  <c r="AG79" i="13"/>
  <c r="AF79" i="13"/>
  <c r="AE79" i="13"/>
  <c r="AD79" i="13"/>
  <c r="AC79" i="13"/>
  <c r="AO78" i="13"/>
  <c r="AN78" i="13"/>
  <c r="AM78" i="13"/>
  <c r="AL78" i="13"/>
  <c r="AK78" i="13"/>
  <c r="AJ78" i="13"/>
  <c r="AI78" i="13"/>
  <c r="AH78" i="13"/>
  <c r="AG78" i="13"/>
  <c r="AF78" i="13"/>
  <c r="AE78" i="13"/>
  <c r="AD78" i="13"/>
  <c r="AC78" i="13"/>
  <c r="AO76" i="13"/>
  <c r="AN76" i="13"/>
  <c r="AM76" i="13"/>
  <c r="AL76" i="13"/>
  <c r="AK76" i="13"/>
  <c r="AJ76" i="13"/>
  <c r="AI76" i="13"/>
  <c r="AH76" i="13"/>
  <c r="AG76" i="13"/>
  <c r="AF76" i="13"/>
  <c r="AE76" i="13"/>
  <c r="AD76" i="13"/>
  <c r="AC76" i="13"/>
  <c r="AO75" i="13"/>
  <c r="AN75" i="13"/>
  <c r="AM75" i="13"/>
  <c r="AL75" i="13"/>
  <c r="AK75" i="13"/>
  <c r="AJ75" i="13"/>
  <c r="AI75" i="13"/>
  <c r="AH75" i="13"/>
  <c r="AG75" i="13"/>
  <c r="AF75" i="13"/>
  <c r="AE75" i="13"/>
  <c r="AD75" i="13"/>
  <c r="AC75" i="13"/>
  <c r="AO74" i="13"/>
  <c r="AN74" i="13"/>
  <c r="AM74" i="13"/>
  <c r="AL74" i="13"/>
  <c r="AK74" i="13"/>
  <c r="AJ74" i="13"/>
  <c r="AI74" i="13"/>
  <c r="AH74" i="13"/>
  <c r="AG74" i="13"/>
  <c r="AF74" i="13"/>
  <c r="AE74" i="13"/>
  <c r="AD74" i="13"/>
  <c r="AC74" i="13"/>
  <c r="AO71" i="13"/>
  <c r="AN71" i="13"/>
  <c r="AM71" i="13"/>
  <c r="AL71" i="13"/>
  <c r="AK71" i="13"/>
  <c r="AJ71" i="13"/>
  <c r="AI71" i="13"/>
  <c r="AH71" i="13"/>
  <c r="AG71" i="13"/>
  <c r="AF71" i="13"/>
  <c r="AE71" i="13"/>
  <c r="AD71" i="13"/>
  <c r="AC71" i="13"/>
  <c r="AO70" i="13"/>
  <c r="AN70" i="13"/>
  <c r="AM70" i="13"/>
  <c r="AL70" i="13"/>
  <c r="AK70" i="13"/>
  <c r="AJ70" i="13"/>
  <c r="AI70" i="13"/>
  <c r="AH70" i="13"/>
  <c r="AG70" i="13"/>
  <c r="AF70" i="13"/>
  <c r="AE70" i="13"/>
  <c r="AD70" i="13"/>
  <c r="AC70" i="13"/>
  <c r="AO69" i="13"/>
  <c r="AN69" i="13"/>
  <c r="AM69" i="13"/>
  <c r="AL69" i="13"/>
  <c r="AK69" i="13"/>
  <c r="AJ69" i="13"/>
  <c r="AI69" i="13"/>
  <c r="AH69" i="13"/>
  <c r="AG69" i="13"/>
  <c r="AF69" i="13"/>
  <c r="AE69" i="13"/>
  <c r="AD69" i="13"/>
  <c r="AC69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O59" i="13"/>
  <c r="AN59" i="13"/>
  <c r="AM59" i="13"/>
  <c r="AL59" i="13"/>
  <c r="AK59" i="13"/>
  <c r="AJ59" i="13"/>
  <c r="AI59" i="13"/>
  <c r="AH59" i="13"/>
  <c r="AG59" i="13"/>
  <c r="AF59" i="13"/>
  <c r="AE59" i="13"/>
  <c r="AD59" i="13"/>
  <c r="AC59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O56" i="13"/>
  <c r="AN56" i="13"/>
  <c r="AM56" i="13"/>
  <c r="AL56" i="13"/>
  <c r="AK56" i="13"/>
  <c r="AJ56" i="13"/>
  <c r="AI56" i="13"/>
  <c r="AH56" i="13"/>
  <c r="AG56" i="13"/>
  <c r="AF56" i="13"/>
  <c r="AE56" i="13"/>
  <c r="AD56" i="13"/>
  <c r="AC56" i="13"/>
  <c r="AO55" i="13"/>
  <c r="AN55" i="13"/>
  <c r="AM55" i="13"/>
  <c r="AL55" i="13"/>
  <c r="AK55" i="13"/>
  <c r="AJ55" i="13"/>
  <c r="AI55" i="13"/>
  <c r="AH55" i="13"/>
  <c r="AG55" i="13"/>
  <c r="AF55" i="13"/>
  <c r="AE55" i="13"/>
  <c r="AD55" i="13"/>
  <c r="AC55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O52" i="13"/>
  <c r="AN52" i="13"/>
  <c r="AM52" i="13"/>
  <c r="AL52" i="13"/>
  <c r="AK52" i="13"/>
  <c r="AJ52" i="13"/>
  <c r="AI52" i="13"/>
  <c r="AH52" i="13"/>
  <c r="AG52" i="13"/>
  <c r="AF52" i="13"/>
  <c r="AE52" i="13"/>
  <c r="AD52" i="13"/>
  <c r="AC52" i="13"/>
  <c r="AO51" i="13"/>
  <c r="AN51" i="13"/>
  <c r="AM51" i="13"/>
  <c r="AL51" i="13"/>
  <c r="AK51" i="13"/>
  <c r="AJ51" i="13"/>
  <c r="AI51" i="13"/>
  <c r="AH51" i="13"/>
  <c r="AG51" i="13"/>
  <c r="AF51" i="13"/>
  <c r="AE51" i="13"/>
  <c r="AD51" i="13"/>
  <c r="AC51" i="13"/>
  <c r="AO50" i="13"/>
  <c r="AN50" i="13"/>
  <c r="AM50" i="13"/>
  <c r="AL50" i="13"/>
  <c r="AK50" i="13"/>
  <c r="AJ50" i="13"/>
  <c r="AI50" i="13"/>
  <c r="AH50" i="13"/>
  <c r="AG50" i="13"/>
  <c r="AF50" i="13"/>
  <c r="AE50" i="13"/>
  <c r="AD50" i="13"/>
  <c r="AC50" i="13"/>
  <c r="AO49" i="13"/>
  <c r="AN49" i="13"/>
  <c r="AM49" i="13"/>
  <c r="AL49" i="13"/>
  <c r="AK49" i="13"/>
  <c r="AJ49" i="13"/>
  <c r="AI49" i="13"/>
  <c r="AH49" i="13"/>
  <c r="AG49" i="13"/>
  <c r="AF49" i="13"/>
  <c r="AE49" i="13"/>
  <c r="AD49" i="13"/>
  <c r="AC49" i="13"/>
  <c r="AO47" i="13"/>
  <c r="AN47" i="13"/>
  <c r="AM47" i="13"/>
  <c r="AL47" i="13"/>
  <c r="AK47" i="13"/>
  <c r="AJ47" i="13"/>
  <c r="AI47" i="13"/>
  <c r="AH47" i="13"/>
  <c r="AG47" i="13"/>
  <c r="AF47" i="13"/>
  <c r="AE47" i="13"/>
  <c r="AD47" i="13"/>
  <c r="AC47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O45" i="13"/>
  <c r="AN45" i="13"/>
  <c r="AM45" i="13"/>
  <c r="AL45" i="13"/>
  <c r="AK45" i="13"/>
  <c r="AJ45" i="13"/>
  <c r="AI45" i="13"/>
  <c r="AH45" i="13"/>
  <c r="AG45" i="13"/>
  <c r="AF45" i="13"/>
  <c r="AE45" i="13"/>
  <c r="AD45" i="13"/>
  <c r="AC45" i="13"/>
  <c r="AO43" i="13"/>
  <c r="AN43" i="13"/>
  <c r="AM43" i="13"/>
  <c r="AL43" i="13"/>
  <c r="AK43" i="13"/>
  <c r="AJ43" i="13"/>
  <c r="AI43" i="13"/>
  <c r="AH43" i="13"/>
  <c r="AG43" i="13"/>
  <c r="AF43" i="13"/>
  <c r="AE43" i="13"/>
  <c r="AD43" i="13"/>
  <c r="AC43" i="13"/>
  <c r="AO41" i="13"/>
  <c r="AN41" i="13"/>
  <c r="AM41" i="13"/>
  <c r="AL41" i="13"/>
  <c r="AK41" i="13"/>
  <c r="AJ41" i="13"/>
  <c r="AI41" i="13"/>
  <c r="AH41" i="13"/>
  <c r="AG41" i="13"/>
  <c r="AF41" i="13"/>
  <c r="AE41" i="13"/>
  <c r="AD41" i="13"/>
  <c r="AC41" i="13"/>
  <c r="AO40" i="13"/>
  <c r="AN40" i="13"/>
  <c r="AM40" i="13"/>
  <c r="AL40" i="13"/>
  <c r="AK40" i="13"/>
  <c r="AJ40" i="13"/>
  <c r="AI40" i="13"/>
  <c r="AH40" i="13"/>
  <c r="AG40" i="13"/>
  <c r="AF40" i="13"/>
  <c r="AE40" i="13"/>
  <c r="AD40" i="13"/>
  <c r="AC40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O37" i="13"/>
  <c r="AN37" i="13"/>
  <c r="AM37" i="13"/>
  <c r="AL37" i="13"/>
  <c r="AK37" i="13"/>
  <c r="AJ37" i="13"/>
  <c r="AI37" i="13"/>
  <c r="AH37" i="13"/>
  <c r="AG37" i="13"/>
  <c r="AF37" i="13"/>
  <c r="AE37" i="13"/>
  <c r="AD37" i="13"/>
  <c r="AC37" i="13"/>
  <c r="AO35" i="13"/>
  <c r="AN35" i="13"/>
  <c r="AM35" i="13"/>
  <c r="AL35" i="13"/>
  <c r="AK35" i="13"/>
  <c r="AJ35" i="13"/>
  <c r="AI35" i="13"/>
  <c r="AH35" i="13"/>
  <c r="AG35" i="13"/>
  <c r="AF35" i="13"/>
  <c r="AE35" i="13"/>
  <c r="AD35" i="13"/>
  <c r="AC35" i="13"/>
  <c r="AO34" i="13"/>
  <c r="AN34" i="13"/>
  <c r="AM34" i="13"/>
  <c r="AL34" i="13"/>
  <c r="AK34" i="13"/>
  <c r="AJ34" i="13"/>
  <c r="AI34" i="13"/>
  <c r="AH34" i="13"/>
  <c r="AG34" i="13"/>
  <c r="AF34" i="13"/>
  <c r="AE34" i="13"/>
  <c r="AD34" i="13"/>
  <c r="AC34" i="13"/>
  <c r="AO33" i="13"/>
  <c r="AN33" i="13"/>
  <c r="AM33" i="13"/>
  <c r="AL33" i="13"/>
  <c r="AK33" i="13"/>
  <c r="AJ33" i="13"/>
  <c r="AI33" i="13"/>
  <c r="AH33" i="13"/>
  <c r="AG33" i="13"/>
  <c r="AF33" i="13"/>
  <c r="AE33" i="13"/>
  <c r="AD33" i="13"/>
  <c r="AC33" i="13"/>
  <c r="AO32" i="13"/>
  <c r="AN32" i="13"/>
  <c r="AM32" i="13"/>
  <c r="AL32" i="13"/>
  <c r="AK32" i="13"/>
  <c r="AJ32" i="13"/>
  <c r="AI32" i="13"/>
  <c r="AH32" i="13"/>
  <c r="AG32" i="13"/>
  <c r="AF32" i="13"/>
  <c r="AE32" i="13"/>
  <c r="AD32" i="13"/>
  <c r="AC32" i="13"/>
  <c r="AO30" i="13"/>
  <c r="AN30" i="13"/>
  <c r="AM30" i="13"/>
  <c r="AL30" i="13"/>
  <c r="AK30" i="13"/>
  <c r="AJ30" i="13"/>
  <c r="AI30" i="13"/>
  <c r="AH30" i="13"/>
  <c r="AG30" i="13"/>
  <c r="AF30" i="13"/>
  <c r="AE30" i="13"/>
  <c r="AD30" i="13"/>
  <c r="AC30" i="13"/>
  <c r="AO29" i="13"/>
  <c r="AN29" i="13"/>
  <c r="AM29" i="13"/>
  <c r="AL29" i="13"/>
  <c r="AK29" i="13"/>
  <c r="AJ29" i="13"/>
  <c r="AI29" i="13"/>
  <c r="AH29" i="13"/>
  <c r="AG29" i="13"/>
  <c r="AF29" i="13"/>
  <c r="AE29" i="13"/>
  <c r="AD29" i="13"/>
  <c r="AC29" i="13"/>
  <c r="AO28" i="13"/>
  <c r="AN28" i="13"/>
  <c r="AM28" i="13"/>
  <c r="AL28" i="13"/>
  <c r="AK28" i="13"/>
  <c r="AJ28" i="13"/>
  <c r="AI28" i="13"/>
  <c r="AH28" i="13"/>
  <c r="AG28" i="13"/>
  <c r="AF28" i="13"/>
  <c r="AE28" i="13"/>
  <c r="AD28" i="13"/>
  <c r="AC28" i="13"/>
  <c r="AO27" i="13"/>
  <c r="AN27" i="13"/>
  <c r="AM27" i="13"/>
  <c r="AL27" i="13"/>
  <c r="AK27" i="13"/>
  <c r="AJ27" i="13"/>
  <c r="AI27" i="13"/>
  <c r="AH27" i="13"/>
  <c r="AG27" i="13"/>
  <c r="AF27" i="13"/>
  <c r="AE27" i="13"/>
  <c r="AD27" i="13"/>
  <c r="AC27" i="13"/>
  <c r="AO24" i="13"/>
  <c r="AN24" i="13"/>
  <c r="AM24" i="13"/>
  <c r="AL24" i="13"/>
  <c r="AK24" i="13"/>
  <c r="AJ24" i="13"/>
  <c r="AI24" i="13"/>
  <c r="AH24" i="13"/>
  <c r="AG24" i="13"/>
  <c r="AF24" i="13"/>
  <c r="AE24" i="13"/>
  <c r="AD24" i="13"/>
  <c r="AC24" i="13"/>
  <c r="AB136" i="13"/>
  <c r="AA136" i="13"/>
  <c r="Z136" i="13"/>
  <c r="Y136" i="13"/>
  <c r="X136" i="13"/>
  <c r="W136" i="13"/>
  <c r="V136" i="13"/>
  <c r="U136" i="13"/>
  <c r="T136" i="13"/>
  <c r="S136" i="13"/>
  <c r="R136" i="13"/>
  <c r="Q136" i="13"/>
  <c r="P136" i="13"/>
  <c r="AB131" i="13"/>
  <c r="AA131" i="13"/>
  <c r="Z131" i="13"/>
  <c r="Y131" i="13"/>
  <c r="X131" i="13"/>
  <c r="W131" i="13"/>
  <c r="V131" i="13"/>
  <c r="U131" i="13"/>
  <c r="T131" i="13"/>
  <c r="S131" i="13"/>
  <c r="R131" i="13"/>
  <c r="Q131" i="13"/>
  <c r="P131" i="13"/>
  <c r="AB130" i="13"/>
  <c r="AA130" i="13"/>
  <c r="Z130" i="13"/>
  <c r="Y130" i="13"/>
  <c r="X130" i="13"/>
  <c r="W130" i="13"/>
  <c r="V130" i="13"/>
  <c r="U130" i="13"/>
  <c r="T130" i="13"/>
  <c r="S130" i="13"/>
  <c r="R130" i="13"/>
  <c r="Q130" i="13"/>
  <c r="P130" i="13"/>
  <c r="AB129" i="13"/>
  <c r="AA129" i="13"/>
  <c r="Z129" i="13"/>
  <c r="Y129" i="13"/>
  <c r="X129" i="13"/>
  <c r="W129" i="13"/>
  <c r="V129" i="13"/>
  <c r="U129" i="13"/>
  <c r="T129" i="13"/>
  <c r="S129" i="13"/>
  <c r="R129" i="13"/>
  <c r="Q129" i="13"/>
  <c r="P129" i="13"/>
  <c r="AB128" i="13"/>
  <c r="AA128" i="13"/>
  <c r="Z128" i="13"/>
  <c r="Y128" i="13"/>
  <c r="X128" i="13"/>
  <c r="W128" i="13"/>
  <c r="V128" i="13"/>
  <c r="U128" i="13"/>
  <c r="T128" i="13"/>
  <c r="S128" i="13"/>
  <c r="R128" i="13"/>
  <c r="Q128" i="13"/>
  <c r="P128" i="13"/>
  <c r="AB126" i="13"/>
  <c r="AA126" i="13"/>
  <c r="Z126" i="13"/>
  <c r="Y126" i="13"/>
  <c r="X126" i="13"/>
  <c r="W126" i="13"/>
  <c r="V126" i="13"/>
  <c r="U126" i="13"/>
  <c r="T126" i="13"/>
  <c r="S126" i="13"/>
  <c r="R126" i="13"/>
  <c r="Q126" i="13"/>
  <c r="P126" i="13"/>
  <c r="AB122" i="13"/>
  <c r="AA122" i="13"/>
  <c r="Z122" i="13"/>
  <c r="Y122" i="13"/>
  <c r="X122" i="13"/>
  <c r="W122" i="13"/>
  <c r="V122" i="13"/>
  <c r="U122" i="13"/>
  <c r="T122" i="13"/>
  <c r="S122" i="13"/>
  <c r="R122" i="13"/>
  <c r="Q122" i="13"/>
  <c r="P122" i="13"/>
  <c r="AB120" i="13"/>
  <c r="AA120" i="13"/>
  <c r="Z120" i="13"/>
  <c r="Y120" i="13"/>
  <c r="X120" i="13"/>
  <c r="W120" i="13"/>
  <c r="V120" i="13"/>
  <c r="U120" i="13"/>
  <c r="T120" i="13"/>
  <c r="S120" i="13"/>
  <c r="R120" i="13"/>
  <c r="Q120" i="13"/>
  <c r="P120" i="13"/>
  <c r="AB119" i="13"/>
  <c r="AA119" i="13"/>
  <c r="Z119" i="13"/>
  <c r="Y119" i="13"/>
  <c r="X119" i="13"/>
  <c r="W119" i="13"/>
  <c r="V119" i="13"/>
  <c r="U119" i="13"/>
  <c r="T119" i="13"/>
  <c r="S119" i="13"/>
  <c r="R119" i="13"/>
  <c r="Q119" i="13"/>
  <c r="P119" i="13"/>
  <c r="AB116" i="13"/>
  <c r="AA116" i="13"/>
  <c r="Z116" i="13"/>
  <c r="Y116" i="13"/>
  <c r="X116" i="13"/>
  <c r="W116" i="13"/>
  <c r="V116" i="13"/>
  <c r="U116" i="13"/>
  <c r="T116" i="13"/>
  <c r="S116" i="13"/>
  <c r="R116" i="13"/>
  <c r="Q116" i="13"/>
  <c r="P116" i="13"/>
  <c r="AB114" i="13"/>
  <c r="AA114" i="13"/>
  <c r="Z114" i="13"/>
  <c r="Y114" i="13"/>
  <c r="X114" i="13"/>
  <c r="W114" i="13"/>
  <c r="V114" i="13"/>
  <c r="U114" i="13"/>
  <c r="T114" i="13"/>
  <c r="S114" i="13"/>
  <c r="R114" i="13"/>
  <c r="Q114" i="13"/>
  <c r="P114" i="13"/>
  <c r="AB113" i="13"/>
  <c r="AA113" i="13"/>
  <c r="Z113" i="13"/>
  <c r="Y113" i="13"/>
  <c r="X113" i="13"/>
  <c r="W113" i="13"/>
  <c r="V113" i="13"/>
  <c r="U113" i="13"/>
  <c r="T113" i="13"/>
  <c r="S113" i="13"/>
  <c r="R113" i="13"/>
  <c r="Q113" i="13"/>
  <c r="P113" i="13"/>
  <c r="AB112" i="13"/>
  <c r="AA112" i="13"/>
  <c r="Z112" i="13"/>
  <c r="Y112" i="13"/>
  <c r="X112" i="13"/>
  <c r="W112" i="13"/>
  <c r="V112" i="13"/>
  <c r="U112" i="13"/>
  <c r="T112" i="13"/>
  <c r="S112" i="13"/>
  <c r="R112" i="13"/>
  <c r="Q112" i="13"/>
  <c r="P112" i="13"/>
  <c r="AB107" i="13"/>
  <c r="AA107" i="13"/>
  <c r="Z107" i="13"/>
  <c r="Y107" i="13"/>
  <c r="X107" i="13"/>
  <c r="W107" i="13"/>
  <c r="V107" i="13"/>
  <c r="U107" i="13"/>
  <c r="T107" i="13"/>
  <c r="S107" i="13"/>
  <c r="R107" i="13"/>
  <c r="Q107" i="13"/>
  <c r="P107" i="13"/>
  <c r="AB102" i="13"/>
  <c r="AA102" i="13"/>
  <c r="Z102" i="13"/>
  <c r="Y102" i="13"/>
  <c r="X102" i="13"/>
  <c r="W102" i="13"/>
  <c r="V102" i="13"/>
  <c r="U102" i="13"/>
  <c r="T102" i="13"/>
  <c r="S102" i="13"/>
  <c r="R102" i="13"/>
  <c r="Q102" i="13"/>
  <c r="P102" i="13"/>
  <c r="AB100" i="13"/>
  <c r="AA100" i="13"/>
  <c r="Z100" i="13"/>
  <c r="Y100" i="13"/>
  <c r="X100" i="13"/>
  <c r="W100" i="13"/>
  <c r="V100" i="13"/>
  <c r="U100" i="13"/>
  <c r="T100" i="13"/>
  <c r="S100" i="13"/>
  <c r="R100" i="13"/>
  <c r="Q100" i="13"/>
  <c r="P100" i="13"/>
  <c r="AB99" i="13"/>
  <c r="AA99" i="13"/>
  <c r="Z99" i="13"/>
  <c r="Y99" i="13"/>
  <c r="X99" i="13"/>
  <c r="W99" i="13"/>
  <c r="V99" i="13"/>
  <c r="U99" i="13"/>
  <c r="T99" i="13"/>
  <c r="S99" i="13"/>
  <c r="R99" i="13"/>
  <c r="Q99" i="13"/>
  <c r="P99" i="13"/>
  <c r="AB98" i="13"/>
  <c r="AA98" i="13"/>
  <c r="Z98" i="13"/>
  <c r="Y98" i="13"/>
  <c r="X98" i="13"/>
  <c r="W98" i="13"/>
  <c r="V98" i="13"/>
  <c r="U98" i="13"/>
  <c r="T98" i="13"/>
  <c r="S98" i="13"/>
  <c r="R98" i="13"/>
  <c r="Q98" i="13"/>
  <c r="P98" i="13"/>
  <c r="AB97" i="13"/>
  <c r="AA97" i="13"/>
  <c r="Z97" i="13"/>
  <c r="Y97" i="13"/>
  <c r="X97" i="13"/>
  <c r="W97" i="13"/>
  <c r="V97" i="13"/>
  <c r="U97" i="13"/>
  <c r="T97" i="13"/>
  <c r="S97" i="13"/>
  <c r="R97" i="13"/>
  <c r="Q97" i="13"/>
  <c r="P97" i="13"/>
  <c r="AB96" i="13"/>
  <c r="AA96" i="13"/>
  <c r="Z96" i="13"/>
  <c r="Y96" i="13"/>
  <c r="X96" i="13"/>
  <c r="W96" i="13"/>
  <c r="V96" i="13"/>
  <c r="U96" i="13"/>
  <c r="T96" i="13"/>
  <c r="S96" i="13"/>
  <c r="R96" i="13"/>
  <c r="Q96" i="13"/>
  <c r="P96" i="13"/>
  <c r="AB95" i="13"/>
  <c r="AA95" i="13"/>
  <c r="Z95" i="13"/>
  <c r="Y95" i="13"/>
  <c r="X95" i="13"/>
  <c r="W95" i="13"/>
  <c r="V95" i="13"/>
  <c r="U95" i="13"/>
  <c r="T95" i="13"/>
  <c r="S95" i="13"/>
  <c r="R95" i="13"/>
  <c r="Q95" i="13"/>
  <c r="P95" i="13"/>
  <c r="AB94" i="13"/>
  <c r="AA94" i="13"/>
  <c r="Z94" i="13"/>
  <c r="Y94" i="13"/>
  <c r="X94" i="13"/>
  <c r="W94" i="13"/>
  <c r="V94" i="13"/>
  <c r="U94" i="13"/>
  <c r="T94" i="13"/>
  <c r="S94" i="13"/>
  <c r="R94" i="13"/>
  <c r="Q94" i="13"/>
  <c r="P94" i="13"/>
  <c r="AB93" i="13"/>
  <c r="AA93" i="13"/>
  <c r="Z93" i="13"/>
  <c r="Y93" i="13"/>
  <c r="X93" i="13"/>
  <c r="W93" i="13"/>
  <c r="V93" i="13"/>
  <c r="U93" i="13"/>
  <c r="T93" i="13"/>
  <c r="S93" i="13"/>
  <c r="R93" i="13"/>
  <c r="Q93" i="13"/>
  <c r="P93" i="13"/>
  <c r="AB92" i="13"/>
  <c r="AA92" i="13"/>
  <c r="Z92" i="13"/>
  <c r="Y92" i="13"/>
  <c r="X92" i="13"/>
  <c r="W92" i="13"/>
  <c r="V92" i="13"/>
  <c r="U92" i="13"/>
  <c r="T92" i="13"/>
  <c r="S92" i="13"/>
  <c r="R92" i="13"/>
  <c r="Q92" i="13"/>
  <c r="P92" i="13"/>
  <c r="AB91" i="13"/>
  <c r="AA91" i="13"/>
  <c r="Z91" i="13"/>
  <c r="Y91" i="13"/>
  <c r="X91" i="13"/>
  <c r="W91" i="13"/>
  <c r="V91" i="13"/>
  <c r="U91" i="13"/>
  <c r="T91" i="13"/>
  <c r="S91" i="13"/>
  <c r="R91" i="13"/>
  <c r="Q91" i="13"/>
  <c r="P91" i="13"/>
  <c r="AB90" i="13"/>
  <c r="AA90" i="13"/>
  <c r="Z90" i="13"/>
  <c r="Y90" i="13"/>
  <c r="X90" i="13"/>
  <c r="W90" i="13"/>
  <c r="V90" i="13"/>
  <c r="U90" i="13"/>
  <c r="T90" i="13"/>
  <c r="S90" i="13"/>
  <c r="R90" i="13"/>
  <c r="Q90" i="13"/>
  <c r="P90" i="13"/>
  <c r="AB89" i="13"/>
  <c r="AA89" i="13"/>
  <c r="Z89" i="13"/>
  <c r="Y89" i="13"/>
  <c r="X89" i="13"/>
  <c r="W89" i="13"/>
  <c r="V89" i="13"/>
  <c r="U89" i="13"/>
  <c r="T89" i="13"/>
  <c r="S89" i="13"/>
  <c r="R89" i="13"/>
  <c r="Q89" i="13"/>
  <c r="P89" i="13"/>
  <c r="AB88" i="13"/>
  <c r="AA88" i="13"/>
  <c r="Z88" i="13"/>
  <c r="Y88" i="13"/>
  <c r="X88" i="13"/>
  <c r="W88" i="13"/>
  <c r="V88" i="13"/>
  <c r="U88" i="13"/>
  <c r="T88" i="13"/>
  <c r="S88" i="13"/>
  <c r="R88" i="13"/>
  <c r="Q88" i="13"/>
  <c r="P88" i="13"/>
  <c r="AB86" i="13"/>
  <c r="AA86" i="13"/>
  <c r="Z86" i="13"/>
  <c r="Y86" i="13"/>
  <c r="X86" i="13"/>
  <c r="W86" i="13"/>
  <c r="V86" i="13"/>
  <c r="U86" i="13"/>
  <c r="T86" i="13"/>
  <c r="S86" i="13"/>
  <c r="R86" i="13"/>
  <c r="Q86" i="13"/>
  <c r="P86" i="13"/>
  <c r="AB83" i="13"/>
  <c r="AA83" i="13"/>
  <c r="Z83" i="13"/>
  <c r="Y83" i="13"/>
  <c r="X83" i="13"/>
  <c r="W83" i="13"/>
  <c r="V83" i="13"/>
  <c r="U83" i="13"/>
  <c r="T83" i="13"/>
  <c r="S83" i="13"/>
  <c r="R83" i="13"/>
  <c r="Q83" i="13"/>
  <c r="P83" i="13"/>
  <c r="AB82" i="13"/>
  <c r="AA82" i="13"/>
  <c r="Z82" i="13"/>
  <c r="Y82" i="13"/>
  <c r="X82" i="13"/>
  <c r="W82" i="13"/>
  <c r="V82" i="13"/>
  <c r="U82" i="13"/>
  <c r="T82" i="13"/>
  <c r="S82" i="13"/>
  <c r="R82" i="13"/>
  <c r="Q82" i="13"/>
  <c r="P82" i="13"/>
  <c r="AB80" i="13"/>
  <c r="AA80" i="13"/>
  <c r="Z80" i="13"/>
  <c r="Y80" i="13"/>
  <c r="X80" i="13"/>
  <c r="W80" i="13"/>
  <c r="V80" i="13"/>
  <c r="U80" i="13"/>
  <c r="T80" i="13"/>
  <c r="S80" i="13"/>
  <c r="R80" i="13"/>
  <c r="Q80" i="13"/>
  <c r="P80" i="13"/>
  <c r="AB79" i="13"/>
  <c r="AA79" i="13"/>
  <c r="Z79" i="13"/>
  <c r="Y79" i="13"/>
  <c r="X79" i="13"/>
  <c r="W79" i="13"/>
  <c r="V79" i="13"/>
  <c r="U79" i="13"/>
  <c r="T79" i="13"/>
  <c r="S79" i="13"/>
  <c r="R79" i="13"/>
  <c r="Q79" i="13"/>
  <c r="P79" i="13"/>
  <c r="AB78" i="13"/>
  <c r="AA78" i="13"/>
  <c r="Z78" i="13"/>
  <c r="Y78" i="13"/>
  <c r="X78" i="13"/>
  <c r="W78" i="13"/>
  <c r="V78" i="13"/>
  <c r="U78" i="13"/>
  <c r="T78" i="13"/>
  <c r="S78" i="13"/>
  <c r="R78" i="13"/>
  <c r="Q78" i="13"/>
  <c r="P78" i="13"/>
  <c r="AB76" i="13"/>
  <c r="AA76" i="13"/>
  <c r="Z76" i="13"/>
  <c r="Y76" i="13"/>
  <c r="X76" i="13"/>
  <c r="W76" i="13"/>
  <c r="V76" i="13"/>
  <c r="U76" i="13"/>
  <c r="T76" i="13"/>
  <c r="S76" i="13"/>
  <c r="R76" i="13"/>
  <c r="Q76" i="13"/>
  <c r="P76" i="13"/>
  <c r="AB75" i="13"/>
  <c r="AA75" i="13"/>
  <c r="Z75" i="13"/>
  <c r="Y75" i="13"/>
  <c r="X75" i="13"/>
  <c r="W75" i="13"/>
  <c r="V75" i="13"/>
  <c r="U75" i="13"/>
  <c r="T75" i="13"/>
  <c r="S75" i="13"/>
  <c r="R75" i="13"/>
  <c r="Q75" i="13"/>
  <c r="P75" i="13"/>
  <c r="AB74" i="13"/>
  <c r="AA74" i="13"/>
  <c r="Z74" i="13"/>
  <c r="Y74" i="13"/>
  <c r="X74" i="13"/>
  <c r="W74" i="13"/>
  <c r="V74" i="13"/>
  <c r="U74" i="13"/>
  <c r="T74" i="13"/>
  <c r="S74" i="13"/>
  <c r="R74" i="13"/>
  <c r="Q74" i="13"/>
  <c r="P74" i="13"/>
  <c r="AB71" i="13"/>
  <c r="AA71" i="13"/>
  <c r="Z71" i="13"/>
  <c r="Y71" i="13"/>
  <c r="X71" i="13"/>
  <c r="W71" i="13"/>
  <c r="V71" i="13"/>
  <c r="U71" i="13"/>
  <c r="T71" i="13"/>
  <c r="S71" i="13"/>
  <c r="R71" i="13"/>
  <c r="Q71" i="13"/>
  <c r="P71" i="13"/>
  <c r="AB70" i="13"/>
  <c r="AA70" i="13"/>
  <c r="Z70" i="13"/>
  <c r="Y70" i="13"/>
  <c r="X70" i="13"/>
  <c r="W70" i="13"/>
  <c r="V70" i="13"/>
  <c r="U70" i="13"/>
  <c r="T70" i="13"/>
  <c r="S70" i="13"/>
  <c r="R70" i="13"/>
  <c r="Q70" i="13"/>
  <c r="P70" i="13"/>
  <c r="AB69" i="13"/>
  <c r="AA69" i="13"/>
  <c r="Z69" i="13"/>
  <c r="Y69" i="13"/>
  <c r="X69" i="13"/>
  <c r="W69" i="13"/>
  <c r="V69" i="13"/>
  <c r="U69" i="13"/>
  <c r="T69" i="13"/>
  <c r="S69" i="13"/>
  <c r="R69" i="13"/>
  <c r="Q69" i="13"/>
  <c r="P69" i="13"/>
  <c r="AB64" i="13"/>
  <c r="AA64" i="13"/>
  <c r="Z64" i="13"/>
  <c r="Y64" i="13"/>
  <c r="X64" i="13"/>
  <c r="W64" i="13"/>
  <c r="V64" i="13"/>
  <c r="U64" i="13"/>
  <c r="T64" i="13"/>
  <c r="S64" i="13"/>
  <c r="R64" i="13"/>
  <c r="Q64" i="13"/>
  <c r="P64" i="13"/>
  <c r="AB59" i="13"/>
  <c r="AA59" i="13"/>
  <c r="Z59" i="13"/>
  <c r="Y59" i="13"/>
  <c r="X59" i="13"/>
  <c r="W59" i="13"/>
  <c r="V59" i="13"/>
  <c r="U59" i="13"/>
  <c r="T59" i="13"/>
  <c r="S59" i="13"/>
  <c r="R59" i="13"/>
  <c r="Q59" i="13"/>
  <c r="P59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AB56" i="13"/>
  <c r="AA56" i="13"/>
  <c r="Z56" i="13"/>
  <c r="Y56" i="13"/>
  <c r="X56" i="13"/>
  <c r="W56" i="13"/>
  <c r="V56" i="13"/>
  <c r="U56" i="13"/>
  <c r="T56" i="13"/>
  <c r="S56" i="13"/>
  <c r="R56" i="13"/>
  <c r="Q56" i="13"/>
  <c r="P56" i="13"/>
  <c r="AB55" i="13"/>
  <c r="AA55" i="13"/>
  <c r="Z55" i="13"/>
  <c r="Y55" i="13"/>
  <c r="X55" i="13"/>
  <c r="W55" i="13"/>
  <c r="V55" i="13"/>
  <c r="U55" i="13"/>
  <c r="T55" i="13"/>
  <c r="S55" i="13"/>
  <c r="R55" i="13"/>
  <c r="Q55" i="13"/>
  <c r="P55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AB52" i="13"/>
  <c r="AA52" i="13"/>
  <c r="Z52" i="13"/>
  <c r="Y52" i="13"/>
  <c r="X52" i="13"/>
  <c r="W52" i="13"/>
  <c r="V52" i="13"/>
  <c r="U52" i="13"/>
  <c r="T52" i="13"/>
  <c r="S52" i="13"/>
  <c r="R52" i="13"/>
  <c r="Q52" i="13"/>
  <c r="P52" i="13"/>
  <c r="AB51" i="13"/>
  <c r="AA51" i="13"/>
  <c r="Z51" i="13"/>
  <c r="Y51" i="13"/>
  <c r="X51" i="13"/>
  <c r="W51" i="13"/>
  <c r="V51" i="13"/>
  <c r="U51" i="13"/>
  <c r="T51" i="13"/>
  <c r="S51" i="13"/>
  <c r="R51" i="13"/>
  <c r="Q51" i="13"/>
  <c r="P51" i="13"/>
  <c r="AB50" i="13"/>
  <c r="AA50" i="13"/>
  <c r="Z50" i="13"/>
  <c r="Y50" i="13"/>
  <c r="X50" i="13"/>
  <c r="W50" i="13"/>
  <c r="V50" i="13"/>
  <c r="U50" i="13"/>
  <c r="T50" i="13"/>
  <c r="S50" i="13"/>
  <c r="R50" i="13"/>
  <c r="Q50" i="13"/>
  <c r="P50" i="13"/>
  <c r="AB49" i="13"/>
  <c r="AA49" i="13"/>
  <c r="Z49" i="13"/>
  <c r="Y49" i="13"/>
  <c r="X49" i="13"/>
  <c r="W49" i="13"/>
  <c r="V49" i="13"/>
  <c r="U49" i="13"/>
  <c r="T49" i="13"/>
  <c r="S49" i="13"/>
  <c r="R49" i="13"/>
  <c r="Q49" i="13"/>
  <c r="P49" i="13"/>
  <c r="AB47" i="13"/>
  <c r="AA47" i="13"/>
  <c r="Z47" i="13"/>
  <c r="Y47" i="13"/>
  <c r="X47" i="13"/>
  <c r="W47" i="13"/>
  <c r="V47" i="13"/>
  <c r="U47" i="13"/>
  <c r="T47" i="13"/>
  <c r="S47" i="13"/>
  <c r="R47" i="13"/>
  <c r="Q47" i="13"/>
  <c r="P47" i="13"/>
  <c r="AB46" i="13"/>
  <c r="AA46" i="13"/>
  <c r="Z46" i="13"/>
  <c r="Y46" i="13"/>
  <c r="X46" i="13"/>
  <c r="W46" i="13"/>
  <c r="V46" i="13"/>
  <c r="U46" i="13"/>
  <c r="T46" i="13"/>
  <c r="S46" i="13"/>
  <c r="R46" i="13"/>
  <c r="Q46" i="13"/>
  <c r="P46" i="13"/>
  <c r="AB45" i="13"/>
  <c r="AA45" i="13"/>
  <c r="Z45" i="13"/>
  <c r="Y45" i="13"/>
  <c r="X45" i="13"/>
  <c r="W45" i="13"/>
  <c r="V45" i="13"/>
  <c r="U45" i="13"/>
  <c r="T45" i="13"/>
  <c r="S45" i="13"/>
  <c r="R45" i="13"/>
  <c r="Q45" i="13"/>
  <c r="P45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AB41" i="13"/>
  <c r="AA41" i="13"/>
  <c r="Z41" i="13"/>
  <c r="Y41" i="13"/>
  <c r="X41" i="13"/>
  <c r="W41" i="13"/>
  <c r="V41" i="13"/>
  <c r="U41" i="13"/>
  <c r="T41" i="13"/>
  <c r="S41" i="13"/>
  <c r="R41" i="13"/>
  <c r="Q41" i="13"/>
  <c r="P41" i="13"/>
  <c r="AB40" i="13"/>
  <c r="AA40" i="13"/>
  <c r="Z40" i="13"/>
  <c r="Y40" i="13"/>
  <c r="X40" i="13"/>
  <c r="W40" i="13"/>
  <c r="V40" i="13"/>
  <c r="U40" i="13"/>
  <c r="T40" i="13"/>
  <c r="S40" i="13"/>
  <c r="R40" i="13"/>
  <c r="Q40" i="13"/>
  <c r="P40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AB37" i="13"/>
  <c r="AA37" i="13"/>
  <c r="Z37" i="13"/>
  <c r="Y37" i="13"/>
  <c r="X37" i="13"/>
  <c r="W37" i="13"/>
  <c r="V37" i="13"/>
  <c r="U37" i="13"/>
  <c r="T37" i="13"/>
  <c r="S37" i="13"/>
  <c r="R37" i="13"/>
  <c r="Q37" i="13"/>
  <c r="P37" i="13"/>
  <c r="AB35" i="13"/>
  <c r="AA35" i="13"/>
  <c r="Z35" i="13"/>
  <c r="Y35" i="13"/>
  <c r="X35" i="13"/>
  <c r="W35" i="13"/>
  <c r="V35" i="13"/>
  <c r="U35" i="13"/>
  <c r="T35" i="13"/>
  <c r="S35" i="13"/>
  <c r="R35" i="13"/>
  <c r="Q35" i="13"/>
  <c r="P35" i="13"/>
  <c r="AB34" i="13"/>
  <c r="AA34" i="13"/>
  <c r="Z34" i="13"/>
  <c r="Y34" i="13"/>
  <c r="X34" i="13"/>
  <c r="W34" i="13"/>
  <c r="V34" i="13"/>
  <c r="U34" i="13"/>
  <c r="T34" i="13"/>
  <c r="S34" i="13"/>
  <c r="R34" i="13"/>
  <c r="Q34" i="13"/>
  <c r="P34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AB32" i="13"/>
  <c r="AA32" i="13"/>
  <c r="Z32" i="13"/>
  <c r="Y32" i="13"/>
  <c r="X32" i="13"/>
  <c r="W32" i="13"/>
  <c r="V32" i="13"/>
  <c r="U32" i="13"/>
  <c r="T32" i="13"/>
  <c r="S32" i="13"/>
  <c r="R32" i="13"/>
  <c r="Q32" i="13"/>
  <c r="P32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AB29" i="13"/>
  <c r="AA29" i="13"/>
  <c r="Z29" i="13"/>
  <c r="Y29" i="13"/>
  <c r="X29" i="13"/>
  <c r="W29" i="13"/>
  <c r="V29" i="13"/>
  <c r="U29" i="13"/>
  <c r="T29" i="13"/>
  <c r="S29" i="13"/>
  <c r="R29" i="13"/>
  <c r="Q29" i="13"/>
  <c r="P29" i="13"/>
  <c r="AB28" i="13"/>
  <c r="AA28" i="13"/>
  <c r="Z28" i="13"/>
  <c r="Y28" i="13"/>
  <c r="X28" i="13"/>
  <c r="W28" i="13"/>
  <c r="V28" i="13"/>
  <c r="U28" i="13"/>
  <c r="T28" i="13"/>
  <c r="S28" i="13"/>
  <c r="R28" i="13"/>
  <c r="Q28" i="13"/>
  <c r="P28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AB24" i="13"/>
  <c r="AA24" i="13"/>
  <c r="Z24" i="13"/>
  <c r="Y24" i="13"/>
  <c r="X24" i="13"/>
  <c r="W24" i="13"/>
  <c r="V24" i="13"/>
  <c r="U24" i="13"/>
  <c r="T24" i="13"/>
  <c r="S24" i="13"/>
  <c r="R24" i="13"/>
  <c r="Q24" i="13"/>
  <c r="P24" i="13"/>
  <c r="BO137" i="13"/>
  <c r="BN137" i="13"/>
  <c r="BM137" i="13"/>
  <c r="BL137" i="13"/>
  <c r="BK137" i="13"/>
  <c r="BJ137" i="13"/>
  <c r="BI137" i="13"/>
  <c r="BH137" i="13"/>
  <c r="BG137" i="13"/>
  <c r="BF137" i="13"/>
  <c r="BE137" i="13"/>
  <c r="BD137" i="13"/>
  <c r="BC137" i="13"/>
  <c r="BO108" i="13"/>
  <c r="BN108" i="13"/>
  <c r="BM108" i="13"/>
  <c r="BL108" i="13"/>
  <c r="BK108" i="13"/>
  <c r="BJ108" i="13"/>
  <c r="BI108" i="13"/>
  <c r="BH108" i="13"/>
  <c r="BG108" i="13"/>
  <c r="BF108" i="13"/>
  <c r="BE108" i="13"/>
  <c r="BD108" i="13"/>
  <c r="BC108" i="13"/>
  <c r="BO65" i="13"/>
  <c r="BN65" i="13"/>
  <c r="BM65" i="13"/>
  <c r="BL65" i="13"/>
  <c r="BK65" i="13"/>
  <c r="BJ65" i="13"/>
  <c r="BI65" i="13"/>
  <c r="BH65" i="13"/>
  <c r="BG65" i="13"/>
  <c r="BF65" i="13"/>
  <c r="BE65" i="13"/>
  <c r="BD65" i="13"/>
  <c r="BC65" i="13"/>
  <c r="BO22" i="13"/>
  <c r="BN22" i="13"/>
  <c r="BM22" i="13"/>
  <c r="BL22" i="13"/>
  <c r="BK22" i="13"/>
  <c r="BJ22" i="13"/>
  <c r="BI22" i="13"/>
  <c r="BH22" i="13"/>
  <c r="BG22" i="13"/>
  <c r="BF22" i="13"/>
  <c r="BE22" i="13"/>
  <c r="BD22" i="13"/>
  <c r="BC21" i="13"/>
  <c r="BC1" i="13"/>
  <c r="AP21" i="13"/>
  <c r="AC21" i="13"/>
  <c r="P21" i="13"/>
  <c r="N21" i="13"/>
  <c r="N20" i="13"/>
  <c r="N136" i="13"/>
  <c r="N37" i="13"/>
  <c r="N137" i="13"/>
  <c r="N131" i="13"/>
  <c r="N130" i="13"/>
  <c r="N129" i="13"/>
  <c r="N128" i="13"/>
  <c r="N126" i="13"/>
  <c r="N122" i="13"/>
  <c r="N120" i="13"/>
  <c r="N119" i="13"/>
  <c r="N116" i="13"/>
  <c r="N114" i="13"/>
  <c r="N113" i="13"/>
  <c r="N112" i="13"/>
  <c r="N107" i="13"/>
  <c r="N108" i="13"/>
  <c r="N102" i="13"/>
  <c r="N100" i="13"/>
  <c r="N99" i="13"/>
  <c r="N98" i="13"/>
  <c r="N97" i="13"/>
  <c r="N96" i="13"/>
  <c r="N95" i="13"/>
  <c r="N94" i="13"/>
  <c r="N93" i="13"/>
  <c r="N92" i="13"/>
  <c r="N91" i="13"/>
  <c r="N90" i="13"/>
  <c r="N89" i="13"/>
  <c r="N88" i="13"/>
  <c r="N86" i="13"/>
  <c r="N83" i="13"/>
  <c r="N82" i="13"/>
  <c r="N80" i="13"/>
  <c r="N79" i="13"/>
  <c r="N78" i="13"/>
  <c r="N76" i="13"/>
  <c r="N75" i="13"/>
  <c r="N74" i="13"/>
  <c r="N71" i="13"/>
  <c r="N70" i="13"/>
  <c r="N69" i="13"/>
  <c r="N64" i="13"/>
  <c r="N65" i="13"/>
  <c r="N59" i="13"/>
  <c r="N57" i="13"/>
  <c r="N56" i="13"/>
  <c r="N55" i="13"/>
  <c r="N54" i="13"/>
  <c r="N52" i="13"/>
  <c r="N51" i="13"/>
  <c r="N50" i="13"/>
  <c r="N49" i="13"/>
  <c r="N47" i="13"/>
  <c r="N46" i="13"/>
  <c r="N45" i="13"/>
  <c r="N43" i="13"/>
  <c r="N41" i="13"/>
  <c r="N40" i="13"/>
  <c r="N39" i="13"/>
  <c r="N35" i="13"/>
  <c r="N34" i="13"/>
  <c r="N33" i="13"/>
  <c r="N32" i="13"/>
  <c r="N30" i="13"/>
  <c r="N29" i="13"/>
  <c r="N28" i="13"/>
  <c r="N27" i="13"/>
  <c r="N24" i="13"/>
  <c r="N1" i="13"/>
  <c r="BB137" i="13"/>
  <c r="BA137" i="13"/>
  <c r="AZ137" i="13"/>
  <c r="AY137" i="13"/>
  <c r="AX137" i="13"/>
  <c r="AW137" i="13"/>
  <c r="AV137" i="13"/>
  <c r="AU137" i="13"/>
  <c r="AT137" i="13"/>
  <c r="AS137" i="13"/>
  <c r="AR137" i="13"/>
  <c r="AQ137" i="13"/>
  <c r="AP137" i="13"/>
  <c r="BB108" i="13"/>
  <c r="BA108" i="13"/>
  <c r="AZ108" i="13"/>
  <c r="AY108" i="13"/>
  <c r="AX108" i="13"/>
  <c r="AW108" i="13"/>
  <c r="AV108" i="13"/>
  <c r="AU108" i="13"/>
  <c r="AT108" i="13"/>
  <c r="AS108" i="13"/>
  <c r="AR108" i="13"/>
  <c r="AQ108" i="13"/>
  <c r="AP108" i="13"/>
  <c r="BB65" i="13"/>
  <c r="BA65" i="13"/>
  <c r="AZ65" i="13"/>
  <c r="AY65" i="13"/>
  <c r="AX65" i="13"/>
  <c r="AW65" i="13"/>
  <c r="AV65" i="13"/>
  <c r="AU65" i="13"/>
  <c r="AT65" i="13"/>
  <c r="AS65" i="13"/>
  <c r="AR65" i="13"/>
  <c r="AQ65" i="13"/>
  <c r="AP65" i="13"/>
  <c r="BB22" i="13"/>
  <c r="BA22" i="13"/>
  <c r="AZ22" i="13"/>
  <c r="AY22" i="13"/>
  <c r="AX22" i="13"/>
  <c r="AW22" i="13"/>
  <c r="AV22" i="13"/>
  <c r="AU22" i="13"/>
  <c r="AT22" i="13"/>
  <c r="AS22" i="13"/>
  <c r="AR22" i="13"/>
  <c r="AQ22" i="13"/>
  <c r="AP1" i="13"/>
  <c r="AO137" i="13"/>
  <c r="AN137" i="13"/>
  <c r="AM137" i="13"/>
  <c r="AL137" i="13"/>
  <c r="AK137" i="13"/>
  <c r="AJ137" i="13"/>
  <c r="AI137" i="13"/>
  <c r="AH137" i="13"/>
  <c r="AG137" i="13"/>
  <c r="AF137" i="13"/>
  <c r="AE137" i="13"/>
  <c r="AD137" i="13"/>
  <c r="AC137" i="13"/>
  <c r="AO108" i="13"/>
  <c r="AN108" i="13"/>
  <c r="AM108" i="13"/>
  <c r="AL108" i="13"/>
  <c r="AK108" i="13"/>
  <c r="AJ108" i="13"/>
  <c r="AI108" i="13"/>
  <c r="AH108" i="13"/>
  <c r="AG108" i="13"/>
  <c r="AF108" i="13"/>
  <c r="AE108" i="13"/>
  <c r="AD108" i="13"/>
  <c r="AC108" i="13"/>
  <c r="AO65" i="13"/>
  <c r="AN65" i="13"/>
  <c r="AM65" i="13"/>
  <c r="AL65" i="13"/>
  <c r="AK65" i="13"/>
  <c r="AJ65" i="13"/>
  <c r="AI65" i="13"/>
  <c r="AH65" i="13"/>
  <c r="AG65" i="13"/>
  <c r="AF65" i="13"/>
  <c r="AE65" i="13"/>
  <c r="AD65" i="13"/>
  <c r="AC65" i="13"/>
  <c r="AO22" i="13"/>
  <c r="AN22" i="13"/>
  <c r="AM22" i="13"/>
  <c r="AL22" i="13"/>
  <c r="AK22" i="13"/>
  <c r="AJ22" i="13"/>
  <c r="AI22" i="13"/>
  <c r="AH22" i="13"/>
  <c r="AG22" i="13"/>
  <c r="AF22" i="13"/>
  <c r="AE22" i="13"/>
  <c r="AD22" i="13"/>
  <c r="AC1" i="13"/>
  <c r="G9" i="13"/>
  <c r="N20" i="14"/>
  <c r="G9" i="14"/>
  <c r="N180" i="14"/>
  <c r="N178" i="14"/>
  <c r="N176" i="14"/>
  <c r="N175" i="14"/>
  <c r="N166" i="14"/>
  <c r="N164" i="14"/>
  <c r="N158" i="14"/>
  <c r="N155" i="14"/>
  <c r="N156" i="14"/>
  <c r="N142" i="14"/>
  <c r="N140" i="14"/>
  <c r="N138" i="14"/>
  <c r="N136" i="14"/>
  <c r="N134" i="14"/>
  <c r="N132" i="14"/>
  <c r="N130" i="14"/>
  <c r="N128" i="14"/>
  <c r="N126" i="14"/>
  <c r="N124" i="14"/>
  <c r="N122" i="14"/>
  <c r="N120" i="14"/>
  <c r="N119" i="14"/>
  <c r="N116" i="14"/>
  <c r="N110" i="14"/>
  <c r="N106" i="14"/>
  <c r="N104" i="14"/>
  <c r="N103" i="14"/>
  <c r="N100" i="14"/>
  <c r="N98" i="14"/>
  <c r="N97" i="14"/>
  <c r="N93" i="14"/>
  <c r="N91" i="14"/>
  <c r="N90" i="14"/>
  <c r="N77" i="14"/>
  <c r="N75" i="14"/>
  <c r="N73" i="14"/>
  <c r="N71" i="14"/>
  <c r="N67" i="14"/>
  <c r="N65" i="14"/>
  <c r="N64" i="14"/>
  <c r="N63" i="14"/>
  <c r="N60" i="14"/>
  <c r="N58" i="14"/>
  <c r="N57" i="14"/>
  <c r="N54" i="14"/>
  <c r="N51" i="14"/>
  <c r="N49" i="14"/>
  <c r="N48" i="14"/>
  <c r="N43" i="14"/>
  <c r="N41" i="14"/>
  <c r="N39" i="14"/>
  <c r="N38" i="14"/>
  <c r="N35" i="14"/>
  <c r="N33" i="14"/>
  <c r="N31" i="14"/>
  <c r="N30" i="14"/>
  <c r="N94" i="14"/>
  <c r="AA1" i="14"/>
  <c r="Z1" i="14"/>
  <c r="Y1" i="14"/>
  <c r="X1" i="14"/>
  <c r="W1" i="14"/>
  <c r="V1" i="14"/>
  <c r="U1" i="14"/>
  <c r="T1" i="14"/>
  <c r="S1" i="14"/>
  <c r="R1" i="14"/>
  <c r="Q1" i="14"/>
  <c r="P1" i="14"/>
  <c r="N181" i="14"/>
  <c r="N179" i="14"/>
  <c r="N177" i="14"/>
  <c r="N167" i="14"/>
  <c r="N165" i="14"/>
  <c r="N159" i="14"/>
  <c r="N157" i="14"/>
  <c r="N143" i="14"/>
  <c r="N141" i="14"/>
  <c r="N139" i="14"/>
  <c r="N137" i="14"/>
  <c r="N135" i="14"/>
  <c r="N133" i="14"/>
  <c r="N131" i="14"/>
  <c r="N129" i="14"/>
  <c r="N127" i="14"/>
  <c r="N125" i="14"/>
  <c r="N123" i="14"/>
  <c r="N121" i="14"/>
  <c r="N117" i="14"/>
  <c r="N111" i="14"/>
  <c r="N107" i="14"/>
  <c r="N105" i="14"/>
  <c r="N101" i="14"/>
  <c r="N99" i="14"/>
  <c r="N92" i="14"/>
  <c r="N78" i="14"/>
  <c r="N76" i="14"/>
  <c r="N74" i="14"/>
  <c r="N72" i="14"/>
  <c r="N68" i="14"/>
  <c r="N66" i="14"/>
  <c r="N61" i="14"/>
  <c r="N59" i="14"/>
  <c r="N55" i="14"/>
  <c r="N52" i="14"/>
  <c r="N50" i="14"/>
  <c r="N44" i="14"/>
  <c r="N42" i="14"/>
  <c r="N40" i="14"/>
  <c r="N36" i="14"/>
  <c r="N34" i="14"/>
  <c r="N32" i="14"/>
  <c r="AA186" i="14"/>
  <c r="AA46" i="14"/>
  <c r="AA187" i="14"/>
  <c r="Z186" i="14"/>
  <c r="Z46" i="14"/>
  <c r="Z187" i="14"/>
  <c r="Y186" i="14"/>
  <c r="Y46" i="14"/>
  <c r="Y187" i="14"/>
  <c r="X186" i="14"/>
  <c r="X46" i="14"/>
  <c r="X187" i="14"/>
  <c r="W186" i="14"/>
  <c r="W46" i="14"/>
  <c r="W187" i="14"/>
  <c r="V186" i="14"/>
  <c r="V46" i="14"/>
  <c r="V187" i="14"/>
  <c r="U186" i="14"/>
  <c r="U46" i="14"/>
  <c r="U187" i="14"/>
  <c r="T186" i="14"/>
  <c r="T46" i="14"/>
  <c r="T187" i="14"/>
  <c r="S186" i="14"/>
  <c r="S46" i="14"/>
  <c r="S187" i="14"/>
  <c r="R186" i="14"/>
  <c r="R46" i="14"/>
  <c r="R187" i="14"/>
  <c r="Q186" i="14"/>
  <c r="Q46" i="14"/>
  <c r="Q187" i="14"/>
  <c r="P186" i="14"/>
  <c r="P46" i="14"/>
  <c r="P187" i="14"/>
  <c r="N186" i="14"/>
  <c r="N46" i="14"/>
  <c r="N187" i="14"/>
  <c r="L187" i="14"/>
  <c r="J187" i="14"/>
  <c r="F186" i="14"/>
  <c r="H180" i="14"/>
  <c r="G180" i="14"/>
  <c r="H178" i="14"/>
  <c r="G178" i="14"/>
  <c r="H176" i="14"/>
  <c r="G176" i="14"/>
  <c r="H175" i="14"/>
  <c r="G175" i="14"/>
  <c r="AA173" i="14"/>
  <c r="Z173" i="14"/>
  <c r="Y173" i="14"/>
  <c r="X173" i="14"/>
  <c r="W173" i="14"/>
  <c r="V173" i="14"/>
  <c r="U173" i="14"/>
  <c r="T173" i="14"/>
  <c r="S173" i="14"/>
  <c r="R173" i="14"/>
  <c r="Q173" i="14"/>
  <c r="P173" i="14"/>
  <c r="N173" i="14"/>
  <c r="F173" i="14"/>
  <c r="AA169" i="14"/>
  <c r="Z169" i="14"/>
  <c r="Y169" i="14"/>
  <c r="X169" i="14"/>
  <c r="W169" i="14"/>
  <c r="V169" i="14"/>
  <c r="U169" i="14"/>
  <c r="T169" i="14"/>
  <c r="S169" i="14"/>
  <c r="R169" i="14"/>
  <c r="Q169" i="14"/>
  <c r="P169" i="14"/>
  <c r="N169" i="14"/>
  <c r="G169" i="14"/>
  <c r="H166" i="14"/>
  <c r="G166" i="14"/>
  <c r="H164" i="14"/>
  <c r="G164" i="14"/>
  <c r="AA161" i="14"/>
  <c r="Z161" i="14"/>
  <c r="Y161" i="14"/>
  <c r="X161" i="14"/>
  <c r="W161" i="14"/>
  <c r="V161" i="14"/>
  <c r="U161" i="14"/>
  <c r="T161" i="14"/>
  <c r="S161" i="14"/>
  <c r="R161" i="14"/>
  <c r="Q161" i="14"/>
  <c r="P161" i="14"/>
  <c r="N161" i="14"/>
  <c r="G161" i="14"/>
  <c r="H158" i="14"/>
  <c r="G158" i="14"/>
  <c r="H156" i="14"/>
  <c r="G156" i="14"/>
  <c r="H155" i="14"/>
  <c r="G155" i="14"/>
  <c r="AA150" i="14"/>
  <c r="AA151" i="14"/>
  <c r="Z150" i="14"/>
  <c r="Z151" i="14"/>
  <c r="Y150" i="14"/>
  <c r="Y151" i="14"/>
  <c r="X150" i="14"/>
  <c r="X151" i="14"/>
  <c r="W150" i="14"/>
  <c r="W151" i="14"/>
  <c r="V150" i="14"/>
  <c r="V151" i="14"/>
  <c r="U150" i="14"/>
  <c r="U151" i="14"/>
  <c r="T150" i="14"/>
  <c r="T151" i="14"/>
  <c r="S150" i="14"/>
  <c r="S151" i="14"/>
  <c r="R150" i="14"/>
  <c r="R151" i="14"/>
  <c r="Q150" i="14"/>
  <c r="Q151" i="14"/>
  <c r="P150" i="14"/>
  <c r="P151" i="14"/>
  <c r="N150" i="14"/>
  <c r="N151" i="14"/>
  <c r="L151" i="14"/>
  <c r="J151" i="14"/>
  <c r="F150" i="14"/>
  <c r="AA145" i="14"/>
  <c r="Z145" i="14"/>
  <c r="Y145" i="14"/>
  <c r="X145" i="14"/>
  <c r="W145" i="14"/>
  <c r="V145" i="14"/>
  <c r="U145" i="14"/>
  <c r="T145" i="14"/>
  <c r="S145" i="14"/>
  <c r="R145" i="14"/>
  <c r="Q145" i="14"/>
  <c r="P145" i="14"/>
  <c r="N145" i="14"/>
  <c r="F145" i="14"/>
  <c r="H138" i="14"/>
  <c r="G138" i="14"/>
  <c r="H136" i="14"/>
  <c r="H134" i="14"/>
  <c r="G134" i="14"/>
  <c r="H132" i="14"/>
  <c r="G132" i="14"/>
  <c r="H130" i="14"/>
  <c r="G130" i="14"/>
  <c r="H128" i="14"/>
  <c r="G128" i="14"/>
  <c r="H126" i="14"/>
  <c r="G126" i="14"/>
  <c r="H124" i="14"/>
  <c r="G124" i="14"/>
  <c r="H120" i="14"/>
  <c r="G120" i="14"/>
  <c r="H119" i="14"/>
  <c r="G119" i="14"/>
  <c r="H116" i="14"/>
  <c r="G116" i="14"/>
  <c r="H110" i="14"/>
  <c r="G110" i="14"/>
  <c r="N109" i="14"/>
  <c r="H109" i="14"/>
  <c r="G109" i="14"/>
  <c r="H106" i="14"/>
  <c r="G106" i="14"/>
  <c r="H103" i="14"/>
  <c r="G103" i="14"/>
  <c r="H100" i="14"/>
  <c r="G100" i="14"/>
  <c r="H98" i="14"/>
  <c r="G98" i="14"/>
  <c r="H97" i="14"/>
  <c r="G97" i="14"/>
  <c r="H93" i="14"/>
  <c r="G93" i="14"/>
  <c r="H91" i="14"/>
  <c r="G91" i="14"/>
  <c r="H90" i="14"/>
  <c r="G90" i="14"/>
  <c r="AA85" i="14"/>
  <c r="AA86" i="14"/>
  <c r="Z85" i="14"/>
  <c r="Z86" i="14"/>
  <c r="Y85" i="14"/>
  <c r="Y86" i="14"/>
  <c r="X85" i="14"/>
  <c r="X86" i="14"/>
  <c r="W85" i="14"/>
  <c r="W86" i="14"/>
  <c r="V85" i="14"/>
  <c r="V86" i="14"/>
  <c r="U85" i="14"/>
  <c r="U86" i="14"/>
  <c r="T85" i="14"/>
  <c r="T86" i="14"/>
  <c r="S85" i="14"/>
  <c r="S86" i="14"/>
  <c r="R85" i="14"/>
  <c r="R86" i="14"/>
  <c r="Q85" i="14"/>
  <c r="Q86" i="14"/>
  <c r="P85" i="14"/>
  <c r="P86" i="14"/>
  <c r="N85" i="14"/>
  <c r="N86" i="14"/>
  <c r="L86" i="14"/>
  <c r="J86" i="14"/>
  <c r="F85" i="14"/>
  <c r="AA80" i="14"/>
  <c r="Z80" i="14"/>
  <c r="Y80" i="14"/>
  <c r="X80" i="14"/>
  <c r="W80" i="14"/>
  <c r="V80" i="14"/>
  <c r="U80" i="14"/>
  <c r="T80" i="14"/>
  <c r="S80" i="14"/>
  <c r="R80" i="14"/>
  <c r="Q80" i="14"/>
  <c r="P80" i="14"/>
  <c r="N80" i="14"/>
  <c r="F80" i="14"/>
  <c r="H77" i="14"/>
  <c r="G77" i="14"/>
  <c r="H75" i="14"/>
  <c r="G75" i="14"/>
  <c r="H73" i="14"/>
  <c r="G73" i="14"/>
  <c r="H71" i="14"/>
  <c r="G71" i="14"/>
  <c r="H67" i="14"/>
  <c r="G67" i="14"/>
  <c r="H65" i="14"/>
  <c r="G65" i="14"/>
  <c r="H64" i="14"/>
  <c r="G64" i="14"/>
  <c r="H63" i="14"/>
  <c r="G63" i="14"/>
  <c r="H58" i="14"/>
  <c r="G58" i="14"/>
  <c r="H57" i="14"/>
  <c r="G57" i="14"/>
  <c r="H54" i="14"/>
  <c r="G54" i="14"/>
  <c r="H51" i="14"/>
  <c r="G51" i="14"/>
  <c r="H49" i="14"/>
  <c r="G49" i="14"/>
  <c r="H48" i="14"/>
  <c r="G48" i="14"/>
  <c r="F46" i="14"/>
  <c r="H43" i="14"/>
  <c r="G43" i="14"/>
  <c r="H41" i="14"/>
  <c r="G41" i="14"/>
  <c r="H39" i="14"/>
  <c r="G39" i="14"/>
  <c r="H38" i="14"/>
  <c r="G38" i="14"/>
  <c r="H35" i="14"/>
  <c r="G35" i="14"/>
  <c r="H31" i="14"/>
  <c r="G31" i="14"/>
  <c r="H30" i="14"/>
  <c r="G30" i="14"/>
  <c r="H24" i="14"/>
  <c r="AA22" i="14"/>
  <c r="Z22" i="14"/>
  <c r="Y22" i="14"/>
  <c r="X22" i="14"/>
  <c r="W22" i="14"/>
  <c r="V22" i="14"/>
  <c r="U22" i="14"/>
  <c r="T22" i="14"/>
  <c r="S22" i="14"/>
  <c r="R22" i="14"/>
  <c r="Q22" i="14"/>
  <c r="P22" i="14"/>
  <c r="L22" i="14"/>
  <c r="J22" i="14"/>
  <c r="N21" i="14"/>
  <c r="H12" i="14"/>
  <c r="AB137" i="13"/>
  <c r="AA137" i="13"/>
  <c r="Z137" i="13"/>
  <c r="Y137" i="13"/>
  <c r="X137" i="13"/>
  <c r="W137" i="13"/>
  <c r="V137" i="13"/>
  <c r="U137" i="13"/>
  <c r="T137" i="13"/>
  <c r="S137" i="13"/>
  <c r="R137" i="13"/>
  <c r="Q137" i="13"/>
  <c r="P137" i="13"/>
  <c r="L136" i="13"/>
  <c r="L37" i="13"/>
  <c r="L137" i="13"/>
  <c r="J136" i="13"/>
  <c r="J37" i="13"/>
  <c r="J137" i="13"/>
  <c r="F136" i="13"/>
  <c r="L131" i="13"/>
  <c r="J131" i="13"/>
  <c r="H131" i="13"/>
  <c r="G131" i="13"/>
  <c r="L130" i="13"/>
  <c r="J130" i="13"/>
  <c r="H130" i="13"/>
  <c r="G130" i="13"/>
  <c r="L129" i="13"/>
  <c r="J129" i="13"/>
  <c r="H129" i="13"/>
  <c r="G129" i="13"/>
  <c r="L128" i="13"/>
  <c r="J128" i="13"/>
  <c r="H128" i="13"/>
  <c r="G128" i="13"/>
  <c r="L126" i="13"/>
  <c r="J126" i="13"/>
  <c r="F126" i="13"/>
  <c r="L122" i="13"/>
  <c r="J122" i="13"/>
  <c r="G122" i="13"/>
  <c r="L120" i="13"/>
  <c r="J120" i="13"/>
  <c r="H120" i="13"/>
  <c r="G120" i="13"/>
  <c r="L119" i="13"/>
  <c r="J119" i="13"/>
  <c r="H119" i="13"/>
  <c r="G119" i="13"/>
  <c r="L116" i="13"/>
  <c r="J116" i="13"/>
  <c r="G116" i="13"/>
  <c r="L114" i="13"/>
  <c r="J114" i="13"/>
  <c r="H114" i="13"/>
  <c r="G114" i="13"/>
  <c r="L113" i="13"/>
  <c r="J113" i="13"/>
  <c r="H113" i="13"/>
  <c r="G113" i="13"/>
  <c r="L112" i="13"/>
  <c r="J112" i="13"/>
  <c r="H112" i="13"/>
  <c r="G112" i="13"/>
  <c r="AB108" i="13"/>
  <c r="AA108" i="13"/>
  <c r="Z108" i="13"/>
  <c r="Y108" i="13"/>
  <c r="X108" i="13"/>
  <c r="W108" i="13"/>
  <c r="V108" i="13"/>
  <c r="U108" i="13"/>
  <c r="T108" i="13"/>
  <c r="S108" i="13"/>
  <c r="R108" i="13"/>
  <c r="Q108" i="13"/>
  <c r="P108" i="13"/>
  <c r="L107" i="13"/>
  <c r="L108" i="13"/>
  <c r="J107" i="13"/>
  <c r="J108" i="13"/>
  <c r="F107" i="13"/>
  <c r="L102" i="13"/>
  <c r="J102" i="13"/>
  <c r="F102" i="13"/>
  <c r="L100" i="13"/>
  <c r="J100" i="13"/>
  <c r="L99" i="13"/>
  <c r="J99" i="13"/>
  <c r="L98" i="13"/>
  <c r="J98" i="13"/>
  <c r="H98" i="13"/>
  <c r="G98" i="13"/>
  <c r="L97" i="13"/>
  <c r="J97" i="13"/>
  <c r="H97" i="13"/>
  <c r="G97" i="13"/>
  <c r="L96" i="13"/>
  <c r="J96" i="13"/>
  <c r="H96" i="13"/>
  <c r="G96" i="13"/>
  <c r="L95" i="13"/>
  <c r="J95" i="13"/>
  <c r="H95" i="13"/>
  <c r="G95" i="13"/>
  <c r="L94" i="13"/>
  <c r="J94" i="13"/>
  <c r="H94" i="13"/>
  <c r="G94" i="13"/>
  <c r="L93" i="13"/>
  <c r="J93" i="13"/>
  <c r="H93" i="13"/>
  <c r="G93" i="13"/>
  <c r="L92" i="13"/>
  <c r="J92" i="13"/>
  <c r="H92" i="13"/>
  <c r="G92" i="13"/>
  <c r="L91" i="13"/>
  <c r="J91" i="13"/>
  <c r="H91" i="13"/>
  <c r="G91" i="13"/>
  <c r="L90" i="13"/>
  <c r="J90" i="13"/>
  <c r="L89" i="13"/>
  <c r="J89" i="13"/>
  <c r="H89" i="13"/>
  <c r="G89" i="13"/>
  <c r="L88" i="13"/>
  <c r="J88" i="13"/>
  <c r="H88" i="13"/>
  <c r="G88" i="13"/>
  <c r="L86" i="13"/>
  <c r="J86" i="13"/>
  <c r="H86" i="13"/>
  <c r="L83" i="13"/>
  <c r="J83" i="13"/>
  <c r="H83" i="13"/>
  <c r="L82" i="13"/>
  <c r="J82" i="13"/>
  <c r="H82" i="13"/>
  <c r="G82" i="13"/>
  <c r="L80" i="13"/>
  <c r="J80" i="13"/>
  <c r="H80" i="13"/>
  <c r="G80" i="13"/>
  <c r="L79" i="13"/>
  <c r="J79" i="13"/>
  <c r="L78" i="13"/>
  <c r="J78" i="13"/>
  <c r="H78" i="13"/>
  <c r="G78" i="13"/>
  <c r="L76" i="13"/>
  <c r="J76" i="13"/>
  <c r="H76" i="13"/>
  <c r="G76" i="13"/>
  <c r="L75" i="13"/>
  <c r="J75" i="13"/>
  <c r="H75" i="13"/>
  <c r="G75" i="13"/>
  <c r="L74" i="13"/>
  <c r="J74" i="13"/>
  <c r="H74" i="13"/>
  <c r="G74" i="13"/>
  <c r="L71" i="13"/>
  <c r="J71" i="13"/>
  <c r="H71" i="13"/>
  <c r="G71" i="13"/>
  <c r="L70" i="13"/>
  <c r="J70" i="13"/>
  <c r="H70" i="13"/>
  <c r="G70" i="13"/>
  <c r="L69" i="13"/>
  <c r="J69" i="13"/>
  <c r="H69" i="13"/>
  <c r="G69" i="13"/>
  <c r="AB65" i="13"/>
  <c r="AA65" i="13"/>
  <c r="Z65" i="13"/>
  <c r="Y65" i="13"/>
  <c r="X65" i="13"/>
  <c r="W65" i="13"/>
  <c r="V65" i="13"/>
  <c r="U65" i="13"/>
  <c r="T65" i="13"/>
  <c r="S65" i="13"/>
  <c r="R65" i="13"/>
  <c r="Q65" i="13"/>
  <c r="P65" i="13"/>
  <c r="L64" i="13"/>
  <c r="L65" i="13"/>
  <c r="J64" i="13"/>
  <c r="J65" i="13"/>
  <c r="F64" i="13"/>
  <c r="L59" i="13"/>
  <c r="J59" i="13"/>
  <c r="F59" i="13"/>
  <c r="L57" i="13"/>
  <c r="J57" i="13"/>
  <c r="H57" i="13"/>
  <c r="G57" i="13"/>
  <c r="L56" i="13"/>
  <c r="J56" i="13"/>
  <c r="H56" i="13"/>
  <c r="G56" i="13"/>
  <c r="L55" i="13"/>
  <c r="J55" i="13"/>
  <c r="H55" i="13"/>
  <c r="G55" i="13"/>
  <c r="L54" i="13"/>
  <c r="J54" i="13"/>
  <c r="H54" i="13"/>
  <c r="G54" i="13"/>
  <c r="L52" i="13"/>
  <c r="J52" i="13"/>
  <c r="H52" i="13"/>
  <c r="G52" i="13"/>
  <c r="L51" i="13"/>
  <c r="J51" i="13"/>
  <c r="H51" i="13"/>
  <c r="G51" i="13"/>
  <c r="L50" i="13"/>
  <c r="J50" i="13"/>
  <c r="H50" i="13"/>
  <c r="G50" i="13"/>
  <c r="L49" i="13"/>
  <c r="J49" i="13"/>
  <c r="H49" i="13"/>
  <c r="G49" i="13"/>
  <c r="L47" i="13"/>
  <c r="J47" i="13"/>
  <c r="L46" i="13"/>
  <c r="J46" i="13"/>
  <c r="H46" i="13"/>
  <c r="G46" i="13"/>
  <c r="L45" i="13"/>
  <c r="J45" i="13"/>
  <c r="H45" i="13"/>
  <c r="G45" i="13"/>
  <c r="L43" i="13"/>
  <c r="J43" i="13"/>
  <c r="H43" i="13"/>
  <c r="G43" i="13"/>
  <c r="L41" i="13"/>
  <c r="J41" i="13"/>
  <c r="H41" i="13"/>
  <c r="G41" i="13"/>
  <c r="L40" i="13"/>
  <c r="J40" i="13"/>
  <c r="H40" i="13"/>
  <c r="G40" i="13"/>
  <c r="L39" i="13"/>
  <c r="J39" i="13"/>
  <c r="H39" i="13"/>
  <c r="G39" i="13"/>
  <c r="F37" i="13"/>
  <c r="L35" i="13"/>
  <c r="J35" i="13"/>
  <c r="H35" i="13"/>
  <c r="G35" i="13"/>
  <c r="L34" i="13"/>
  <c r="J34" i="13"/>
  <c r="H34" i="13"/>
  <c r="G34" i="13"/>
  <c r="L33" i="13"/>
  <c r="J33" i="13"/>
  <c r="H33" i="13"/>
  <c r="G33" i="13"/>
  <c r="L32" i="13"/>
  <c r="J32" i="13"/>
  <c r="H32" i="13"/>
  <c r="G32" i="13"/>
  <c r="L30" i="13"/>
  <c r="J30" i="13"/>
  <c r="H30" i="13"/>
  <c r="G30" i="13"/>
  <c r="L29" i="13"/>
  <c r="J29" i="13"/>
  <c r="L28" i="13"/>
  <c r="J28" i="13"/>
  <c r="H28" i="13"/>
  <c r="G28" i="13"/>
  <c r="L27" i="13"/>
  <c r="J27" i="13"/>
  <c r="H27" i="13"/>
  <c r="G27" i="13"/>
  <c r="L24" i="13"/>
  <c r="J24" i="13"/>
  <c r="H24" i="13"/>
  <c r="AB22" i="13"/>
  <c r="AA22" i="13"/>
  <c r="Z22" i="13"/>
  <c r="Y22" i="13"/>
  <c r="X22" i="13"/>
  <c r="W22" i="13"/>
  <c r="V22" i="13"/>
  <c r="U22" i="13"/>
  <c r="T22" i="13"/>
  <c r="S22" i="13"/>
  <c r="R22" i="13"/>
  <c r="Q22" i="13"/>
  <c r="L22" i="13"/>
  <c r="J22" i="13"/>
  <c r="H12" i="13"/>
  <c r="I93" i="6"/>
  <c r="I9" i="6"/>
  <c r="J12" i="6"/>
  <c r="I35" i="6"/>
  <c r="I33" i="6"/>
  <c r="J127" i="6"/>
  <c r="I127" i="6"/>
  <c r="J126" i="6"/>
  <c r="I126" i="6"/>
  <c r="J125" i="6"/>
  <c r="I125" i="6"/>
  <c r="J123" i="6"/>
  <c r="I123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H122" i="6"/>
  <c r="J94" i="6"/>
  <c r="I94" i="6"/>
  <c r="J93" i="6"/>
  <c r="J91" i="6"/>
  <c r="I91" i="6"/>
  <c r="J90" i="6"/>
  <c r="I90" i="6"/>
  <c r="J89" i="6"/>
  <c r="I89" i="6"/>
  <c r="J88" i="6"/>
  <c r="I88" i="6"/>
  <c r="J87" i="6"/>
  <c r="I87" i="6"/>
  <c r="J85" i="6"/>
  <c r="I85" i="6"/>
  <c r="J79" i="6"/>
  <c r="J78" i="6"/>
  <c r="J76" i="6"/>
  <c r="I76" i="6"/>
  <c r="J72" i="6"/>
  <c r="I72" i="6"/>
  <c r="J71" i="6"/>
  <c r="I71" i="6"/>
  <c r="AB70" i="6"/>
  <c r="AA70" i="6"/>
  <c r="Z70" i="6"/>
  <c r="Y70" i="6"/>
  <c r="X70" i="6"/>
  <c r="W70" i="6"/>
  <c r="V70" i="6"/>
  <c r="U70" i="6"/>
  <c r="T70" i="6"/>
  <c r="S70" i="6"/>
  <c r="R70" i="6"/>
  <c r="Q70" i="6"/>
  <c r="J70" i="6"/>
  <c r="I70" i="6"/>
  <c r="J67" i="6"/>
  <c r="I67" i="6"/>
  <c r="J55" i="6"/>
  <c r="I55" i="6"/>
  <c r="J54" i="6"/>
  <c r="I54" i="6"/>
  <c r="J53" i="6"/>
  <c r="I53" i="6"/>
  <c r="J52" i="6"/>
  <c r="I52" i="6"/>
  <c r="J51" i="6"/>
  <c r="I51" i="6"/>
  <c r="J50" i="6"/>
  <c r="I50" i="6"/>
  <c r="J46" i="6"/>
  <c r="I46" i="6"/>
  <c r="J45" i="6"/>
  <c r="I45" i="6"/>
  <c r="J40" i="6"/>
  <c r="J39" i="6"/>
  <c r="I39" i="6"/>
  <c r="J35" i="6"/>
  <c r="J34" i="6"/>
  <c r="J33" i="6"/>
  <c r="J32" i="6"/>
  <c r="I32" i="6"/>
  <c r="J24" i="6"/>
  <c r="H37" i="6"/>
  <c r="N22" i="6"/>
  <c r="L22" i="6"/>
  <c r="B5" i="3"/>
  <c r="L123" i="6"/>
  <c r="L136" i="6"/>
  <c r="L137" i="6"/>
  <c r="L159" i="6"/>
  <c r="L170" i="6"/>
  <c r="L171" i="6"/>
  <c r="L160" i="6"/>
</calcChain>
</file>

<file path=xl/sharedStrings.xml><?xml version="1.0" encoding="utf-8"?>
<sst xmlns="http://schemas.openxmlformats.org/spreadsheetml/2006/main" count="893" uniqueCount="302">
  <si>
    <t>Antennes</t>
  </si>
  <si>
    <t>GIE_Nat_Analytique</t>
  </si>
  <si>
    <t>Phase</t>
  </si>
  <si>
    <t>Administration Generic Context :</t>
  </si>
  <si>
    <t>Server Name :</t>
  </si>
  <si>
    <t>xServer</t>
  </si>
  <si>
    <t>Host Server :</t>
  </si>
  <si>
    <t>Flag Send Data :</t>
  </si>
  <si>
    <t>Flag Send Comment :</t>
  </si>
  <si>
    <t>Excel Report Context :</t>
  </si>
  <si>
    <t>Cube n°1 :</t>
  </si>
  <si>
    <t>Sheets Context Legend :</t>
  </si>
  <si>
    <t>Technical Named Cell for VBA process :</t>
  </si>
  <si>
    <t>Fixed Dimension Context</t>
  </si>
  <si>
    <t>z_Admin_Param Dimension Context</t>
  </si>
  <si>
    <t>Name of the dimension concerning report translation</t>
  </si>
  <si>
    <t>GIE_TD_P&amp;L_Saisie_Budget</t>
  </si>
  <si>
    <t>Resultat_net</t>
  </si>
  <si>
    <t>Resultat_avt_imp_taxes</t>
  </si>
  <si>
    <t>Resultat_exploitation</t>
  </si>
  <si>
    <t>Marge_Cout_direct_formation</t>
  </si>
  <si>
    <t>Tot_Produits</t>
  </si>
  <si>
    <t>Tot_Produits_Subventions</t>
  </si>
  <si>
    <t>778000</t>
  </si>
  <si>
    <t>709600</t>
  </si>
  <si>
    <t>Cout_direct_formation</t>
  </si>
  <si>
    <t>617000</t>
  </si>
  <si>
    <t>613000</t>
  </si>
  <si>
    <t>613200a</t>
  </si>
  <si>
    <t>Cout_direct_formation_autres</t>
  </si>
  <si>
    <t>623600</t>
  </si>
  <si>
    <t>618500</t>
  </si>
  <si>
    <t>613580</t>
  </si>
  <si>
    <t>Cout_structure</t>
  </si>
  <si>
    <t>Cout_structure_salaires</t>
  </si>
  <si>
    <t>621100</t>
  </si>
  <si>
    <t>621400</t>
  </si>
  <si>
    <t>681120</t>
  </si>
  <si>
    <t>613200b</t>
  </si>
  <si>
    <t>Cout_structure_Maint_Info</t>
  </si>
  <si>
    <t>615600</t>
  </si>
  <si>
    <t>615650</t>
  </si>
  <si>
    <t>Cout_structure_VH_Telephonie</t>
  </si>
  <si>
    <t>626210</t>
  </si>
  <si>
    <t>Cout_structure_honoraires</t>
  </si>
  <si>
    <t>622700</t>
  </si>
  <si>
    <t>Cout_structure_autres</t>
  </si>
  <si>
    <t>626100</t>
  </si>
  <si>
    <t>606450</t>
  </si>
  <si>
    <t>606460</t>
  </si>
  <si>
    <t>606470</t>
  </si>
  <si>
    <t>625600</t>
  </si>
  <si>
    <t>625700</t>
  </si>
  <si>
    <t>Charges_financieres</t>
  </si>
  <si>
    <t>658000</t>
  </si>
  <si>
    <t>627700</t>
  </si>
  <si>
    <t>Resultat_exceptionnel</t>
  </si>
  <si>
    <t>Produits_exceptionnels</t>
  </si>
  <si>
    <t>Charges_exceptionnelles</t>
  </si>
  <si>
    <t>Impots_Taxes</t>
  </si>
  <si>
    <t>635115</t>
  </si>
  <si>
    <t>637100</t>
  </si>
  <si>
    <t>635140</t>
  </si>
  <si>
    <t>Period</t>
  </si>
  <si>
    <t>ACT_TOT</t>
  </si>
  <si>
    <t>Type de formation</t>
  </si>
  <si>
    <t>Nature Analytique</t>
  </si>
  <si>
    <t>Resultat_financier</t>
  </si>
  <si>
    <t>GIE_Indicator</t>
  </si>
  <si>
    <t>Subvention OPCALIA OME</t>
  </si>
  <si>
    <t>708800a</t>
  </si>
  <si>
    <t>708800b</t>
  </si>
  <si>
    <t>708800c</t>
  </si>
  <si>
    <t>621880a</t>
  </si>
  <si>
    <t>621880b</t>
  </si>
  <si>
    <t>618880a</t>
  </si>
  <si>
    <t>618880b</t>
  </si>
  <si>
    <t>% du Total Produits</t>
  </si>
  <si>
    <t>Divers</t>
  </si>
  <si>
    <t>Periode saisie</t>
  </si>
  <si>
    <t>N-1</t>
  </si>
  <si>
    <t>N-2</t>
  </si>
  <si>
    <t>FC_2_TOT</t>
  </si>
  <si>
    <t>Retrieve (0) / Send (1)</t>
  </si>
  <si>
    <t>624100a</t>
  </si>
  <si>
    <t>TBD_X1</t>
  </si>
  <si>
    <t>618880_Tot</t>
  </si>
  <si>
    <t>708800_Tot</t>
  </si>
  <si>
    <t>621880_Tot</t>
  </si>
  <si>
    <t>Location matériel divers et véhicule de formation</t>
  </si>
  <si>
    <t>Frais de Véhicule de Fonction (Antennes)</t>
  </si>
  <si>
    <t>624100b</t>
  </si>
  <si>
    <t>GIE Transdev Formation</t>
  </si>
  <si>
    <t xml:space="preserve">1 - </t>
  </si>
  <si>
    <t>Sélection du contexte</t>
  </si>
  <si>
    <t>Rafraîchissement des données</t>
  </si>
  <si>
    <t xml:space="preserve">2 - </t>
  </si>
  <si>
    <t>Saisie du budget</t>
  </si>
  <si>
    <t>Periode</t>
  </si>
  <si>
    <t>Antenne</t>
  </si>
  <si>
    <t>Partenaire</t>
  </si>
  <si>
    <t>GIE Transdev Formation - Saisie du budget</t>
  </si>
  <si>
    <t>Ajustements manuels</t>
  </si>
  <si>
    <t>All_PFC</t>
  </si>
  <si>
    <t>All_PFS</t>
  </si>
  <si>
    <t>All_PFI</t>
  </si>
  <si>
    <t>All_PST</t>
  </si>
  <si>
    <t>Tot_Formation</t>
  </si>
  <si>
    <t>RP_GIE_Transdev_Formation</t>
  </si>
  <si>
    <t>GIE_Partenaires</t>
  </si>
  <si>
    <t>GIE_Antennes</t>
  </si>
  <si>
    <t>GIE_Type_ Formation</t>
  </si>
  <si>
    <t>ALL_PFC</t>
  </si>
  <si>
    <t>Reprographie (documentation)</t>
  </si>
  <si>
    <t>Pub Marketing</t>
  </si>
  <si>
    <t>706025b</t>
  </si>
  <si>
    <t>706025a</t>
  </si>
  <si>
    <t>622600a</t>
  </si>
  <si>
    <t>622600b</t>
  </si>
  <si>
    <t>Auto-entrepreneurs</t>
  </si>
  <si>
    <t>Indicateurs opérationnels</t>
  </si>
  <si>
    <t>Nb_Stagiaire</t>
  </si>
  <si>
    <t>Nb_Session</t>
  </si>
  <si>
    <t>Nb_hr_Formation</t>
  </si>
  <si>
    <t>Nb_jr_Formateur_Moniteur</t>
  </si>
  <si>
    <t>Nb_jr_production</t>
  </si>
  <si>
    <t>Formation</t>
  </si>
  <si>
    <t>Calc excel</t>
  </si>
  <si>
    <t>Produits_financiers</t>
  </si>
  <si>
    <t>781740</t>
  </si>
  <si>
    <t>613510</t>
  </si>
  <si>
    <t>613530</t>
  </si>
  <si>
    <t>622610</t>
  </si>
  <si>
    <t>606400</t>
  </si>
  <si>
    <t>625500</t>
  </si>
  <si>
    <t>623400</t>
  </si>
  <si>
    <t>681110</t>
  </si>
  <si>
    <t>681740</t>
  </si>
  <si>
    <t>768000</t>
  </si>
  <si>
    <t>668000</t>
  </si>
  <si>
    <t>758000</t>
  </si>
  <si>
    <t>758500</t>
  </si>
  <si>
    <t>758810</t>
  </si>
  <si>
    <t>Produit_structure</t>
  </si>
  <si>
    <t>706025c</t>
  </si>
  <si>
    <t>706025d</t>
  </si>
  <si>
    <t>706025e</t>
  </si>
  <si>
    <t>706025f</t>
  </si>
  <si>
    <t>706025g</t>
  </si>
  <si>
    <t>628880</t>
  </si>
  <si>
    <t>772888</t>
  </si>
  <si>
    <t>671200</t>
  </si>
  <si>
    <t>672888</t>
  </si>
  <si>
    <t xml:space="preserve">613580b </t>
  </si>
  <si>
    <t>615600a</t>
  </si>
  <si>
    <t>615600b</t>
  </si>
  <si>
    <t>615580b</t>
  </si>
  <si>
    <t>625130a</t>
  </si>
  <si>
    <t>625130b</t>
  </si>
  <si>
    <t>625130c</t>
  </si>
  <si>
    <t xml:space="preserve">623100a  </t>
  </si>
  <si>
    <t>623100b</t>
  </si>
  <si>
    <t>Produits exceptionnels</t>
  </si>
  <si>
    <t>626200</t>
  </si>
  <si>
    <t>626600</t>
  </si>
  <si>
    <t>740100</t>
  </si>
  <si>
    <t>706025h</t>
  </si>
  <si>
    <t>706025i</t>
  </si>
  <si>
    <t>758870</t>
  </si>
  <si>
    <t>618100a</t>
  </si>
  <si>
    <t>618100b</t>
  </si>
  <si>
    <t>621400a</t>
  </si>
  <si>
    <t>621400b</t>
  </si>
  <si>
    <t>625200</t>
  </si>
  <si>
    <t>651100</t>
  </si>
  <si>
    <t>604300</t>
  </si>
  <si>
    <t>751100</t>
  </si>
  <si>
    <t>616000</t>
  </si>
  <si>
    <t>606120</t>
  </si>
  <si>
    <t>618880</t>
  </si>
  <si>
    <t>615580a</t>
  </si>
  <si>
    <t>Accés formation à distance</t>
  </si>
  <si>
    <t xml:space="preserve">Fournitures de bureau </t>
  </si>
  <si>
    <t>Electricité et gaz</t>
  </si>
  <si>
    <t>Prestations pédagogiques</t>
  </si>
  <si>
    <t>Prestations Formations continues</t>
  </si>
  <si>
    <t>Prestations FCO Simples</t>
  </si>
  <si>
    <t>Prestations FCO Complètes</t>
  </si>
  <si>
    <t>Prestations Formations initiales</t>
  </si>
  <si>
    <t>Ajustement Véhicules</t>
  </si>
  <si>
    <t>Ajustement Formateurs</t>
  </si>
  <si>
    <t>Frais de déplacement formateurs / jour</t>
  </si>
  <si>
    <t>Frais de déplacement stagiaires / jour</t>
  </si>
  <si>
    <t>Subventions</t>
  </si>
  <si>
    <t>R.R.R. sur prest. de service</t>
  </si>
  <si>
    <t>Droit d'utilisation de produits pédagogiques</t>
  </si>
  <si>
    <t>Dédit formation</t>
  </si>
  <si>
    <t>Cartes CQC (produit)</t>
  </si>
  <si>
    <t>Autres</t>
  </si>
  <si>
    <t>Formateurs et autres frais de personnel directs (interne groupe)</t>
  </si>
  <si>
    <t>MAD formateurs</t>
  </si>
  <si>
    <t>Frais du formateur</t>
  </si>
  <si>
    <t>Frais de stagiaires</t>
  </si>
  <si>
    <t>Honoraires conseil et formation</t>
  </si>
  <si>
    <t>MAD et location de matériel et de salle</t>
  </si>
  <si>
    <t>Location et MAD salle de formation</t>
  </si>
  <si>
    <t>Location et MAD véhicule de formation</t>
  </si>
  <si>
    <t>Location et MAD matériel divers</t>
  </si>
  <si>
    <t>Autres coûts directs</t>
  </si>
  <si>
    <t>Accés formation à distance (coûts directs)</t>
  </si>
  <si>
    <t>Bonbonne de gaz (coûts directs)</t>
  </si>
  <si>
    <t>Maintenance Informatique</t>
  </si>
  <si>
    <t>Documentation technique et reprographie (coûts directs)</t>
  </si>
  <si>
    <t>Documentation Livrets,DVD et Autres (coûts directs)</t>
  </si>
  <si>
    <t>Cartes CQC (charge)</t>
  </si>
  <si>
    <t>Publicité et Marketing (coûts directs)</t>
  </si>
  <si>
    <t>Cadeaux Stagiaires (coûts directs)</t>
  </si>
  <si>
    <t>Transport sur achat (coûts directs)</t>
  </si>
  <si>
    <t>MARGE sur coûts directs de formation</t>
  </si>
  <si>
    <t>Salaires</t>
  </si>
  <si>
    <t>Personnel intérimaire</t>
  </si>
  <si>
    <t>PMAD - Resp. administrative et personnel GIE</t>
  </si>
  <si>
    <t>PMAD - Contributions projets pédagogiques</t>
  </si>
  <si>
    <t>Maintenance Informatique Pack Finance</t>
  </si>
  <si>
    <t>Location VH et Télephonie</t>
  </si>
  <si>
    <t>Véhicule de fonction - Entretiens et réparations</t>
  </si>
  <si>
    <t>Véhicule de Fonction - Prime d'assurance</t>
  </si>
  <si>
    <t>Véhicule de Fonction - Frais de location</t>
  </si>
  <si>
    <t>Véhicule de Fonction - Frais de péage</t>
  </si>
  <si>
    <t>Véhicule de Fonction - Frais de carburant</t>
  </si>
  <si>
    <t>Téléphone mobile</t>
  </si>
  <si>
    <t>Honoraires</t>
  </si>
  <si>
    <t>Assistance comptable et financière</t>
  </si>
  <si>
    <t>Honoraires CAC</t>
  </si>
  <si>
    <t>Honoraires - Conseils</t>
  </si>
  <si>
    <t>Frais d'actes et de contentieux publications et divers</t>
  </si>
  <si>
    <t>Autres frais</t>
  </si>
  <si>
    <t>Achat petit mobilier</t>
  </si>
  <si>
    <t>Achats imprimés de bureau/Imprimerie</t>
  </si>
  <si>
    <t>Achats fournitures informatiques</t>
  </si>
  <si>
    <t>Location bureau structure</t>
  </si>
  <si>
    <t>Location mobilière diverse</t>
  </si>
  <si>
    <t>Entretiens et réparations divers</t>
  </si>
  <si>
    <t>Reprographie et documentation technique</t>
  </si>
  <si>
    <t>Documentation technique</t>
  </si>
  <si>
    <t>Frais de publicité et marketing</t>
  </si>
  <si>
    <t>Catalogue "Siège"</t>
  </si>
  <si>
    <t>Autre transport sur achat</t>
  </si>
  <si>
    <t>Frais de colloques, séminaires, conférences</t>
  </si>
  <si>
    <t>Frais de déménagements</t>
  </si>
  <si>
    <t>Frais de missions</t>
  </si>
  <si>
    <t>Frais de réceptions</t>
  </si>
  <si>
    <t>Frais d'affranchissements</t>
  </si>
  <si>
    <t>Webconférence</t>
  </si>
  <si>
    <t>Télécom &amp; internet</t>
  </si>
  <si>
    <t>Projets pédagogiques</t>
  </si>
  <si>
    <t>Licences</t>
  </si>
  <si>
    <t>Dot.Amort. Immob. Incorporelles</t>
  </si>
  <si>
    <t>Dot.Amort. Immob. Corporelles</t>
  </si>
  <si>
    <t>Dot. Aux dépréciations créances</t>
  </si>
  <si>
    <t>Divers (Autres frais)</t>
  </si>
  <si>
    <t>Charges diverses de gestion courante</t>
  </si>
  <si>
    <t>Produits structures</t>
  </si>
  <si>
    <t>Subvention OPCA Transport</t>
  </si>
  <si>
    <t>Produits divers de gestion courante</t>
  </si>
  <si>
    <t>Ports et frais accessoires facturés</t>
  </si>
  <si>
    <t>Remise forfaitaire annuelle</t>
  </si>
  <si>
    <t>Refacturation Personnel MAD</t>
  </si>
  <si>
    <t>Reprise sur provision d'exploitation (Douteux)</t>
  </si>
  <si>
    <t>RESULTAT d'exploitation</t>
  </si>
  <si>
    <t>Produits financiers</t>
  </si>
  <si>
    <t>Produits financiers divers</t>
  </si>
  <si>
    <t>Charges financières</t>
  </si>
  <si>
    <t>Frais de tenue de compte</t>
  </si>
  <si>
    <t>Autres charges financières</t>
  </si>
  <si>
    <t>Autres produits exceptionnels</t>
  </si>
  <si>
    <t>Charges exceptionnelles</t>
  </si>
  <si>
    <t>Pénalités amendes fiscales et pénales</t>
  </si>
  <si>
    <t>Charges exceptionnelles sur exe. ant.</t>
  </si>
  <si>
    <t>RESULTAT avant Impôts et Taxes</t>
  </si>
  <si>
    <t>Impôts et Taxes</t>
  </si>
  <si>
    <t>CET (CFE ET CVAE)</t>
  </si>
  <si>
    <t>Taxe sur les véhicules de sociétés</t>
  </si>
  <si>
    <t>Organic</t>
  </si>
  <si>
    <t>RESULTAT NET</t>
  </si>
  <si>
    <t>Nombre de stagiaires</t>
  </si>
  <si>
    <t>Nombre de sessions</t>
  </si>
  <si>
    <t>Heures de formation</t>
  </si>
  <si>
    <t>Total journées formateurs</t>
  </si>
  <si>
    <t>Jours de production</t>
  </si>
  <si>
    <t>INDICATEURS OPERATIONNELS</t>
  </si>
  <si>
    <t>Autres produits</t>
  </si>
  <si>
    <t>708800d</t>
  </si>
  <si>
    <t>Location et MAD de matériel et de salle</t>
  </si>
  <si>
    <t>613000d</t>
  </si>
  <si>
    <t>615600d</t>
  </si>
  <si>
    <t>Maintenance logiciel informatique</t>
  </si>
  <si>
    <t xml:space="preserve">Maintenance logiciel informatique </t>
  </si>
  <si>
    <t>Tango_Core_Model:</t>
  </si>
  <si>
    <t>628500</t>
  </si>
  <si>
    <t>615200</t>
  </si>
  <si>
    <t xml:space="preserve">Cadeaux formateurs - stagiaires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</si>
</sst>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"/>
    <numFmt numFmtId="165" formatCode="0.0%"/>
  </numFmts>
  <fonts count="5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3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i/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4"/>
      <color rgb="FF222222"/>
      <name val="Arial"/>
      <family val="2"/>
    </font>
    <font>
      <b/>
      <sz val="12"/>
      <name val="Calibri"/>
      <family val="2"/>
    </font>
    <font>
      <b/>
      <sz val="14"/>
      <color indexed="9"/>
      <name val="Calibri"/>
      <family val="2"/>
    </font>
    <font>
      <sz val="12"/>
      <color theme="1" tint="0.249977111117893"/>
      <name val="Calibri"/>
      <family val="2"/>
    </font>
    <font>
      <b/>
      <sz val="12"/>
      <color theme="1" tint="0.249977111117893"/>
      <name val="Calibri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b/>
      <sz val="14"/>
      <color theme="1" tint="0.249977111117893"/>
      <name val="Calibri"/>
      <family val="2"/>
    </font>
    <font>
      <sz val="11"/>
      <name val="Calibri"/>
      <family val="2"/>
    </font>
    <font>
      <b/>
      <sz val="11"/>
      <color theme="0"/>
      <name val="Calibri"/>
      <family val="2"/>
    </font>
    <font>
      <b/>
      <sz val="11"/>
      <color theme="1" tint="0.249977111117893"/>
      <name val="Calibri"/>
      <family val="2"/>
    </font>
    <font>
      <sz val="11"/>
      <color theme="1" tint="0.249977111117893"/>
      <name val="Calibri"/>
      <family val="2"/>
    </font>
    <font>
      <sz val="14"/>
      <color theme="1"/>
      <name val="Calibri"/>
      <family val="2"/>
      <scheme val="minor"/>
    </font>
    <font>
      <b/>
      <sz val="18"/>
      <color indexed="9"/>
      <name val="Calibri"/>
      <family val="2"/>
    </font>
    <font>
      <b/>
      <sz val="14"/>
      <color theme="0"/>
      <name val="Calibri"/>
      <family val="2"/>
    </font>
    <font>
      <b/>
      <i/>
      <sz val="20"/>
      <color indexed="9"/>
      <name val="Calibri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0.499984740745262"/>
      <name val="Calibri"/>
      <family val="2"/>
    </font>
    <font>
      <i/>
      <sz val="11"/>
      <color theme="1" tint="0.499984740745262"/>
      <name val="Calibri"/>
      <family val="2"/>
    </font>
    <font>
      <sz val="12"/>
      <color theme="1" tint="0.499984740745262"/>
      <name val="Calibri"/>
      <family val="2"/>
    </font>
    <font>
      <b/>
      <sz val="18"/>
      <color theme="1" tint="0.499984740745262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4"/>
      <color theme="4"/>
      <name val="Calibri"/>
      <family val="2"/>
    </font>
    <font>
      <b/>
      <sz val="14"/>
      <color theme="4"/>
      <name val="Calibri"/>
      <family val="2"/>
      <scheme val="minor"/>
    </font>
    <font>
      <sz val="10"/>
      <color theme="1"/>
      <name val="Arial"/>
      <family val="2"/>
    </font>
    <font>
      <b/>
      <sz val="12"/>
      <color indexed="9"/>
      <name val="Calibri"/>
      <family val="2"/>
    </font>
    <font>
      <b/>
      <sz val="12"/>
      <color theme="1" tint="0.34998626667073579"/>
      <name val="Calibri"/>
      <family val="2"/>
    </font>
    <font>
      <b/>
      <sz val="16"/>
      <color theme="0"/>
      <name val="Calibri"/>
      <family val="2"/>
    </font>
    <font>
      <b/>
      <sz val="16"/>
      <color theme="1" tint="0.249977111117893"/>
      <name val="Calibri"/>
      <family val="2"/>
    </font>
    <font>
      <b/>
      <sz val="14"/>
      <name val="Calibri"/>
      <family val="2"/>
    </font>
    <font>
      <i/>
      <sz val="11"/>
      <color theme="1" tint="0.249977111117893"/>
      <name val="Calibri"/>
      <family val="2"/>
    </font>
    <font>
      <b/>
      <sz val="12"/>
      <color theme="1" tint="0.34998626667073579"/>
      <name val="Calibri"/>
      <family val="2"/>
      <scheme val="minor"/>
    </font>
    <font>
      <b/>
      <sz val="22"/>
      <color indexed="9"/>
      <name val="Calibri"/>
      <family val="2"/>
    </font>
    <font>
      <b/>
      <sz val="16"/>
      <color indexed="23"/>
      <name val="Calibri"/>
      <family val="2"/>
    </font>
    <font>
      <sz val="10"/>
      <name val="Calibri"/>
      <family val="2"/>
    </font>
    <font>
      <sz val="10"/>
      <color indexed="23"/>
      <name val="Calibri"/>
      <family val="2"/>
    </font>
    <font>
      <b/>
      <sz val="12"/>
      <color indexed="10"/>
      <name val="Arial"/>
      <family val="2"/>
    </font>
    <font>
      <sz val="10"/>
      <color indexed="53"/>
      <name val="Calibri"/>
      <family val="2"/>
    </font>
    <font>
      <sz val="11"/>
      <color indexed="63"/>
      <name val="Calibri"/>
      <family val="2"/>
    </font>
    <font>
      <b/>
      <sz val="22"/>
      <name val="Calibri"/>
      <family val="2"/>
    </font>
    <font>
      <b/>
      <sz val="10"/>
      <name val="Calibri"/>
      <family val="2"/>
    </font>
    <font>
      <i/>
      <sz val="11"/>
      <color theme="1" tint="0.34998626667073579"/>
      <name val="Calibri"/>
      <family val="2"/>
    </font>
    <font>
      <i/>
      <sz val="12"/>
      <color rgb="FF6C6C6C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DDDDD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patternFill patternType="solid">
        <fgColor theme="0"/>
        <bgColor indexed="64"/>
      </patternFill>
    </fill>
    <fill>
      <gradientFill degree="90">
        <stop position="0">
          <color theme="0" tint="-0.34900967436750391"/>
        </stop>
        <stop position="1">
          <color theme="0" tint="-0.49803155613879818"/>
        </stop>
      </gradientFill>
    </fill>
    <fill>
      <patternFill patternType="solid">
        <fgColor rgb="FFEAEAEA"/>
        <bgColor indexed="64"/>
      </patternFill>
    </fill>
    <fill>
      <gradientFill degree="90">
        <stop position="0">
          <color rgb="FFABAFB5"/>
        </stop>
        <stop position="1">
          <color theme="0" tint="-0.25098422193060094"/>
        </stop>
      </gradientFill>
    </fill>
    <fill>
      <patternFill patternType="solid">
        <fgColor rgb="FFD9D9D9"/>
        <bgColor indexed="64"/>
      </patternFill>
    </fill>
    <fill>
      <gradientFill degree="90">
        <stop position="0">
          <color rgb="FF959AA3"/>
        </stop>
        <stop position="1">
          <color theme="0" tint="-0.25098422193060094"/>
        </stop>
      </gradientFill>
    </fill>
    <fill>
      <patternFill patternType="solid">
        <fgColor theme="0"/>
        <bgColor auto="1"/>
      </patternFill>
    </fill>
    <fill>
      <patternFill patternType="solid">
        <fgColor rgb="FFFFFFCC"/>
        <bgColor indexed="64"/>
      </patternFill>
    </fill>
    <fill>
      <patternFill patternType="solid">
        <fgColor rgb="FFEDEDED"/>
        <bgColor indexed="64"/>
      </patternFill>
    </fill>
    <fill>
      <gradientFill degree="270">
        <stop position="0">
          <color rgb="FFC5C5C5"/>
        </stop>
        <stop position="1">
          <color theme="0" tint="-0.1490218817712943"/>
        </stop>
      </gradientFill>
    </fill>
    <fill>
      <patternFill patternType="solid">
        <fgColor rgb="FFF3F3F3"/>
        <bgColor indexed="64"/>
      </patternFill>
    </fill>
    <fill>
      <gradientFill degree="270">
        <stop position="0">
          <color theme="0" tint="-0.34900967436750391"/>
        </stop>
        <stop position="1">
          <color theme="0" tint="-0.49803155613879818"/>
        </stop>
      </gradientFill>
    </fill>
    <fill>
      <gradientFill degree="180">
        <stop position="0">
          <color theme="0"/>
        </stop>
        <stop position="1">
          <color rgb="FFFF0000"/>
        </stop>
      </gradientFill>
    </fill>
    <fill>
      <patternFill patternType="gray0625">
        <fgColor theme="1" tint="0.499984740745262"/>
        <bgColor rgb="FFD9D9D9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C0DA"/>
        <bgColor indexed="64"/>
      </patternFill>
    </fill>
    <fill>
      <gradientFill degree="270">
        <stop position="0">
          <color theme="4" tint="0.40000610370189521"/>
        </stop>
        <stop position="1">
          <color theme="4" tint="-0.25098422193060094"/>
        </stop>
      </gradient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</fills>
  <borders count="72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0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thin">
        <color theme="0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/>
      <top style="hair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0"/>
      </bottom>
      <diagonal/>
    </border>
    <border>
      <left/>
      <right/>
      <top/>
      <bottom style="thin">
        <color theme="1" tint="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theme="1" tint="0.499984740745262"/>
      </bottom>
      <diagonal/>
    </border>
    <border>
      <left style="thin">
        <color theme="0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/>
      <diagonal/>
    </border>
    <border>
      <left style="thick">
        <color theme="0"/>
      </left>
      <right style="thin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ck">
        <color theme="0"/>
      </left>
      <right/>
      <top/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 style="thin">
        <color theme="0"/>
      </bottom>
      <diagonal/>
    </border>
    <border>
      <left/>
      <right/>
      <top style="thin">
        <color theme="0"/>
      </top>
      <bottom style="thick">
        <color theme="0"/>
      </bottom>
      <diagonal/>
    </border>
    <border>
      <left/>
      <right/>
      <top style="hair">
        <color rgb="FFFF0000"/>
      </top>
      <bottom/>
      <diagonal/>
    </border>
    <border>
      <left/>
      <right/>
      <top/>
      <bottom style="hair">
        <color rgb="FFFF000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/>
      <top/>
      <bottom style="thin">
        <color theme="0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0"/>
      </top>
      <bottom/>
      <diagonal/>
    </border>
    <border>
      <left style="hair">
        <color rgb="FFFF0000"/>
      </left>
      <right/>
      <top style="hair">
        <color rgb="FFFF0000"/>
      </top>
      <bottom/>
      <diagonal/>
    </border>
    <border>
      <left/>
      <right style="hair">
        <color rgb="FFFF0000"/>
      </right>
      <top style="hair">
        <color rgb="FFFF0000"/>
      </top>
      <bottom/>
      <diagonal/>
    </border>
    <border>
      <left style="hair">
        <color rgb="FFFF0000"/>
      </left>
      <right/>
      <top/>
      <bottom/>
      <diagonal/>
    </border>
    <border>
      <left/>
      <right style="hair">
        <color rgb="FFFF0000"/>
      </right>
      <top/>
      <bottom/>
      <diagonal/>
    </border>
    <border>
      <left style="hair">
        <color rgb="FFFF0000"/>
      </left>
      <right/>
      <top/>
      <bottom style="hair">
        <color rgb="FFFF0000"/>
      </bottom>
      <diagonal/>
    </border>
    <border>
      <left/>
      <right style="hair">
        <color rgb="FFFF0000"/>
      </right>
      <top/>
      <bottom style="hair">
        <color rgb="FFFF0000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/>
      <top style="thin">
        <color theme="0"/>
      </top>
      <bottom style="hair">
        <color rgb="FFFF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23" fillId="0" borderId="0" applyFont="0" applyFill="0" applyBorder="0" applyAlignment="0" applyProtection="0"/>
    <xf numFmtId="0" fontId="23" fillId="25" borderId="71" applyNumberFormat="0" applyFont="0" applyAlignment="0" applyProtection="0"/>
  </cellStyleXfs>
  <cellXfs count="355">
    <xf numFmtId="0" fontId="0" fillId="0" borderId="0" xfId="0"/>
    <xf numFmtId="0" fontId="2" fillId="0" borderId="0" xfId="1" applyFont="1" applyFill="1" applyAlignment="1" applyProtection="1">
      <alignment horizontal="center"/>
      <protection locked="0"/>
    </xf>
    <xf numFmtId="0" fontId="1" fillId="0" borderId="0" xfId="1" applyFont="1" applyProtection="1">
      <protection locked="0"/>
    </xf>
    <xf numFmtId="0" fontId="3" fillId="2" borderId="1" xfId="1" applyFont="1" applyFill="1" applyBorder="1" applyAlignment="1" applyProtection="1">
      <alignment horizontal="left"/>
      <protection locked="0"/>
    </xf>
    <xf numFmtId="0" fontId="4" fillId="3" borderId="2" xfId="1" applyFont="1" applyFill="1" applyBorder="1" applyProtection="1">
      <protection locked="0"/>
    </xf>
    <xf numFmtId="0" fontId="4" fillId="4" borderId="3" xfId="1" applyFont="1" applyFill="1" applyBorder="1" applyAlignment="1" applyProtection="1">
      <alignment horizontal="center"/>
      <protection locked="0"/>
    </xf>
    <xf numFmtId="0" fontId="4" fillId="0" borderId="3" xfId="1" applyFont="1" applyBorder="1" applyAlignment="1" applyProtection="1">
      <alignment horizontal="center"/>
    </xf>
    <xf numFmtId="0" fontId="4" fillId="0" borderId="3" xfId="1" applyFont="1" applyBorder="1" applyAlignment="1" applyProtection="1">
      <alignment horizontal="center"/>
      <protection locked="0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0" fillId="0" borderId="0" xfId="0" applyFont="1" applyAlignment="1">
      <alignment horizontal="left" indent="3"/>
    </xf>
    <xf numFmtId="0" fontId="0" fillId="0" borderId="0" xfId="0" applyFont="1" applyAlignment="1">
      <alignment horizontal="left" indent="4"/>
    </xf>
    <xf numFmtId="0" fontId="0" fillId="0" borderId="0" xfId="0" applyFont="1" applyAlignment="1">
      <alignment horizontal="left" indent="5"/>
    </xf>
    <xf numFmtId="0" fontId="12" fillId="0" borderId="0" xfId="1" applyFont="1" applyFill="1" applyBorder="1" applyAlignment="1">
      <alignment horizontal="left" indent="1"/>
    </xf>
    <xf numFmtId="0" fontId="12" fillId="7" borderId="0" xfId="1" applyFont="1" applyFill="1" applyBorder="1" applyAlignment="1" applyProtection="1">
      <alignment horizontal="left" vertical="center" indent="1"/>
    </xf>
    <xf numFmtId="0" fontId="14" fillId="0" borderId="0" xfId="2" applyFont="1" applyFill="1" applyBorder="1" applyAlignment="1" applyProtection="1">
      <alignment horizontal="left" vertical="center"/>
    </xf>
    <xf numFmtId="0" fontId="0" fillId="7" borderId="0" xfId="0" applyFill="1"/>
    <xf numFmtId="0" fontId="9" fillId="13" borderId="0" xfId="1" applyFont="1" applyFill="1" applyBorder="1" applyAlignment="1">
      <alignment vertical="center" wrapText="1"/>
    </xf>
    <xf numFmtId="0" fontId="0" fillId="2" borderId="0" xfId="0" applyFill="1"/>
    <xf numFmtId="0" fontId="0" fillId="2" borderId="0" xfId="0" applyFont="1" applyFill="1" applyAlignment="1">
      <alignment horizontal="left" indent="3"/>
    </xf>
    <xf numFmtId="0" fontId="0" fillId="2" borderId="0" xfId="0" applyFont="1" applyFill="1" applyAlignment="1">
      <alignment horizontal="left" indent="4"/>
    </xf>
    <xf numFmtId="0" fontId="0" fillId="2" borderId="0" xfId="0" applyFont="1" applyFill="1" applyAlignment="1">
      <alignment horizontal="left" indent="5"/>
    </xf>
    <xf numFmtId="0" fontId="0" fillId="0" borderId="0" xfId="0" applyBorder="1"/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7" borderId="0" xfId="0" applyNumberFormat="1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6" fillId="2" borderId="0" xfId="0" applyFont="1" applyFill="1"/>
    <xf numFmtId="0" fontId="0" fillId="2" borderId="3" xfId="0" applyFill="1" applyBorder="1"/>
    <xf numFmtId="0" fontId="10" fillId="7" borderId="13" xfId="4" applyFont="1" applyFill="1" applyBorder="1" applyAlignment="1">
      <alignment horizontal="left" vertical="center" wrapText="1" indent="2"/>
    </xf>
    <xf numFmtId="0" fontId="13" fillId="13" borderId="12" xfId="1" applyFont="1" applyFill="1" applyBorder="1" applyAlignment="1">
      <alignment horizontal="left" vertical="center" indent="1"/>
    </xf>
    <xf numFmtId="0" fontId="11" fillId="7" borderId="13" xfId="4" applyFont="1" applyFill="1" applyBorder="1" applyAlignment="1">
      <alignment horizontal="left" vertical="center" wrapText="1" indent="3"/>
    </xf>
    <xf numFmtId="0" fontId="8" fillId="5" borderId="12" xfId="1" applyFont="1" applyFill="1" applyBorder="1" applyAlignment="1">
      <alignment horizontal="left" vertical="center"/>
    </xf>
    <xf numFmtId="0" fontId="8" fillId="5" borderId="13" xfId="1" applyFont="1" applyFill="1" applyBorder="1" applyAlignment="1">
      <alignment horizontal="left" vertical="center"/>
    </xf>
    <xf numFmtId="0" fontId="8" fillId="5" borderId="14" xfId="1" applyFont="1" applyFill="1" applyBorder="1" applyAlignment="1">
      <alignment horizontal="left" vertical="center"/>
    </xf>
    <xf numFmtId="0" fontId="16" fillId="13" borderId="12" xfId="1" applyFont="1" applyFill="1" applyBorder="1" applyAlignment="1">
      <alignment horizontal="left" vertical="center" indent="1"/>
    </xf>
    <xf numFmtId="0" fontId="9" fillId="13" borderId="15" xfId="1" applyFont="1" applyFill="1" applyBorder="1" applyAlignment="1">
      <alignment vertical="center" wrapText="1"/>
    </xf>
    <xf numFmtId="0" fontId="9" fillId="13" borderId="16" xfId="1" applyFont="1" applyFill="1" applyBorder="1" applyAlignment="1">
      <alignment vertical="center" wrapText="1"/>
    </xf>
    <xf numFmtId="0" fontId="9" fillId="13" borderId="17" xfId="1" applyFont="1" applyFill="1" applyBorder="1" applyAlignment="1">
      <alignment vertical="center" wrapText="1"/>
    </xf>
    <xf numFmtId="2" fontId="19" fillId="0" borderId="0" xfId="0" applyNumberFormat="1" applyFont="1" applyBorder="1"/>
    <xf numFmtId="0" fontId="14" fillId="16" borderId="15" xfId="1" applyFont="1" applyFill="1" applyBorder="1" applyAlignment="1">
      <alignment horizontal="center" vertical="center" wrapText="1"/>
    </xf>
    <xf numFmtId="164" fontId="13" fillId="12" borderId="25" xfId="1" applyNumberFormat="1" applyFont="1" applyFill="1" applyBorder="1" applyAlignment="1">
      <alignment horizontal="right" vertical="center" wrapText="1" indent="1"/>
    </xf>
    <xf numFmtId="164" fontId="13" fillId="12" borderId="26" xfId="1" applyNumberFormat="1" applyFont="1" applyFill="1" applyBorder="1" applyAlignment="1">
      <alignment horizontal="right" vertical="center" wrapText="1" indent="1"/>
    </xf>
    <xf numFmtId="164" fontId="13" fillId="12" borderId="28" xfId="1" applyNumberFormat="1" applyFont="1" applyFill="1" applyBorder="1" applyAlignment="1">
      <alignment horizontal="right" vertical="center" wrapText="1" indent="1"/>
    </xf>
    <xf numFmtId="0" fontId="13" fillId="10" borderId="27" xfId="1" applyFont="1" applyFill="1" applyBorder="1" applyAlignment="1">
      <alignment vertical="center"/>
    </xf>
    <xf numFmtId="164" fontId="13" fillId="12" borderId="29" xfId="1" applyNumberFormat="1" applyFont="1" applyFill="1" applyBorder="1" applyAlignment="1">
      <alignment horizontal="right" vertical="center" wrapText="1" indent="1"/>
    </xf>
    <xf numFmtId="164" fontId="15" fillId="15" borderId="21" xfId="4" applyNumberFormat="1" applyFont="1" applyFill="1" applyBorder="1" applyAlignment="1">
      <alignment vertical="center" wrapText="1"/>
    </xf>
    <xf numFmtId="164" fontId="10" fillId="7" borderId="13" xfId="4" applyNumberFormat="1" applyFont="1" applyFill="1" applyBorder="1" applyAlignment="1">
      <alignment horizontal="left" vertical="center" wrapText="1" indent="2"/>
    </xf>
    <xf numFmtId="164" fontId="15" fillId="14" borderId="13" xfId="4" applyNumberFormat="1" applyFont="1" applyFill="1" applyBorder="1" applyAlignment="1">
      <alignment vertical="center" wrapText="1"/>
    </xf>
    <xf numFmtId="164" fontId="15" fillId="7" borderId="13" xfId="4" applyNumberFormat="1" applyFont="1" applyFill="1" applyBorder="1" applyAlignment="1">
      <alignment vertical="center" wrapText="1"/>
    </xf>
    <xf numFmtId="164" fontId="15" fillId="15" borderId="22" xfId="4" applyNumberFormat="1" applyFont="1" applyFill="1" applyBorder="1" applyAlignment="1">
      <alignment vertical="center" wrapText="1"/>
    </xf>
    <xf numFmtId="164" fontId="15" fillId="15" borderId="23" xfId="4" applyNumberFormat="1" applyFont="1" applyFill="1" applyBorder="1" applyAlignment="1">
      <alignment vertical="center" wrapText="1"/>
    </xf>
    <xf numFmtId="164" fontId="11" fillId="7" borderId="13" xfId="4" applyNumberFormat="1" applyFont="1" applyFill="1" applyBorder="1" applyAlignment="1">
      <alignment horizontal="left" vertical="center" wrapText="1" indent="3"/>
    </xf>
    <xf numFmtId="164" fontId="17" fillId="7" borderId="13" xfId="4" applyNumberFormat="1" applyFont="1" applyFill="1" applyBorder="1" applyAlignment="1">
      <alignment vertical="center" wrapText="1"/>
    </xf>
    <xf numFmtId="164" fontId="16" fillId="13" borderId="18" xfId="1" applyNumberFormat="1" applyFont="1" applyFill="1" applyBorder="1" applyAlignment="1">
      <alignment vertical="center" wrapText="1"/>
    </xf>
    <xf numFmtId="164" fontId="13" fillId="13" borderId="12" xfId="1" applyNumberFormat="1" applyFont="1" applyFill="1" applyBorder="1" applyAlignment="1">
      <alignment horizontal="left" vertical="center" indent="1"/>
    </xf>
    <xf numFmtId="164" fontId="16" fillId="13" borderId="12" xfId="1" applyNumberFormat="1" applyFont="1" applyFill="1" applyBorder="1" applyAlignment="1">
      <alignment vertical="center" wrapText="1"/>
    </xf>
    <xf numFmtId="164" fontId="16" fillId="13" borderId="19" xfId="1" applyNumberFormat="1" applyFont="1" applyFill="1" applyBorder="1" applyAlignment="1">
      <alignment vertical="center" wrapText="1"/>
    </xf>
    <xf numFmtId="164" fontId="16" fillId="13" borderId="20" xfId="1" applyNumberFormat="1" applyFont="1" applyFill="1" applyBorder="1" applyAlignment="1">
      <alignment vertical="center" wrapText="1"/>
    </xf>
    <xf numFmtId="164" fontId="18" fillId="11" borderId="21" xfId="4" applyNumberFormat="1" applyFont="1" applyFill="1" applyBorder="1" applyAlignment="1">
      <alignment vertical="center" wrapText="1"/>
    </xf>
    <xf numFmtId="164" fontId="10" fillId="7" borderId="13" xfId="4" applyNumberFormat="1" applyFont="1" applyFill="1" applyBorder="1" applyAlignment="1">
      <alignment horizontal="left" vertical="center" wrapText="1" indent="3"/>
    </xf>
    <xf numFmtId="164" fontId="18" fillId="7" borderId="13" xfId="4" applyNumberFormat="1" applyFont="1" applyFill="1" applyBorder="1" applyAlignment="1">
      <alignment vertical="center" wrapText="1"/>
    </xf>
    <xf numFmtId="164" fontId="18" fillId="11" borderId="22" xfId="4" applyNumberFormat="1" applyFont="1" applyFill="1" applyBorder="1" applyAlignment="1">
      <alignment vertical="center" wrapText="1"/>
    </xf>
    <xf numFmtId="164" fontId="18" fillId="11" borderId="23" xfId="4" applyNumberFormat="1" applyFont="1" applyFill="1" applyBorder="1" applyAlignment="1">
      <alignment vertical="center" wrapText="1"/>
    </xf>
    <xf numFmtId="0" fontId="10" fillId="7" borderId="12" xfId="4" applyFont="1" applyFill="1" applyBorder="1" applyAlignment="1">
      <alignment horizontal="left" vertical="center" wrapText="1" indent="2"/>
    </xf>
    <xf numFmtId="164" fontId="15" fillId="17" borderId="21" xfId="4" applyNumberFormat="1" applyFont="1" applyFill="1" applyBorder="1" applyAlignment="1">
      <alignment vertical="center" wrapText="1"/>
    </xf>
    <xf numFmtId="164" fontId="15" fillId="17" borderId="22" xfId="4" applyNumberFormat="1" applyFont="1" applyFill="1" applyBorder="1" applyAlignment="1">
      <alignment vertical="center" wrapText="1"/>
    </xf>
    <xf numFmtId="164" fontId="15" fillId="17" borderId="23" xfId="4" applyNumberFormat="1" applyFont="1" applyFill="1" applyBorder="1" applyAlignment="1">
      <alignment vertical="center" wrapText="1"/>
    </xf>
    <xf numFmtId="0" fontId="26" fillId="13" borderId="12" xfId="1" applyFont="1" applyFill="1" applyBorder="1" applyAlignment="1">
      <alignment horizontal="right" vertical="center" indent="1"/>
    </xf>
    <xf numFmtId="164" fontId="27" fillId="13" borderId="12" xfId="1" applyNumberFormat="1" applyFont="1" applyFill="1" applyBorder="1" applyAlignment="1">
      <alignment horizontal="left" vertical="center" indent="1"/>
    </xf>
    <xf numFmtId="164" fontId="25" fillId="13" borderId="12" xfId="1" applyNumberFormat="1" applyFont="1" applyFill="1" applyBorder="1" applyAlignment="1">
      <alignment vertical="center" wrapText="1"/>
    </xf>
    <xf numFmtId="9" fontId="25" fillId="13" borderId="18" xfId="5" applyFont="1" applyFill="1" applyBorder="1" applyAlignment="1">
      <alignment horizontal="center" vertical="center" wrapText="1"/>
    </xf>
    <xf numFmtId="0" fontId="16" fillId="13" borderId="0" xfId="1" applyFont="1" applyFill="1" applyBorder="1" applyAlignment="1">
      <alignment horizontal="left" vertical="center" indent="1"/>
    </xf>
    <xf numFmtId="0" fontId="26" fillId="13" borderId="0" xfId="1" applyFont="1" applyFill="1" applyBorder="1" applyAlignment="1">
      <alignment horizontal="right" vertical="center" indent="1"/>
    </xf>
    <xf numFmtId="0" fontId="13" fillId="13" borderId="0" xfId="1" applyFont="1" applyFill="1" applyBorder="1" applyAlignment="1">
      <alignment horizontal="left" vertical="center" indent="1"/>
    </xf>
    <xf numFmtId="9" fontId="25" fillId="13" borderId="0" xfId="5" applyFont="1" applyFill="1" applyBorder="1" applyAlignment="1">
      <alignment horizontal="center" vertical="center" wrapText="1"/>
    </xf>
    <xf numFmtId="164" fontId="27" fillId="13" borderId="0" xfId="1" applyNumberFormat="1" applyFont="1" applyFill="1" applyBorder="1" applyAlignment="1">
      <alignment horizontal="left" vertical="center" indent="1"/>
    </xf>
    <xf numFmtId="164" fontId="25" fillId="13" borderId="0" xfId="1" applyNumberFormat="1" applyFont="1" applyFill="1" applyBorder="1" applyAlignment="1">
      <alignment vertical="center" wrapText="1"/>
    </xf>
    <xf numFmtId="0" fontId="24" fillId="0" borderId="0" xfId="0" applyFont="1" applyFill="1" applyAlignment="1">
      <alignment horizontal="left" vertical="center" indent="5"/>
    </xf>
    <xf numFmtId="0" fontId="28" fillId="0" borderId="0" xfId="0" applyFont="1" applyBorder="1" applyAlignment="1">
      <alignment vertical="center"/>
    </xf>
    <xf numFmtId="2" fontId="31" fillId="0" borderId="0" xfId="0" applyNumberFormat="1" applyFont="1" applyFill="1" applyBorder="1" applyAlignment="1">
      <alignment horizontal="center"/>
    </xf>
    <xf numFmtId="0" fontId="30" fillId="0" borderId="0" xfId="1" applyFont="1" applyFill="1" applyBorder="1" applyAlignment="1">
      <alignment horizontal="right"/>
    </xf>
    <xf numFmtId="164" fontId="15" fillId="14" borderId="13" xfId="4" applyNumberFormat="1" applyFont="1" applyFill="1" applyBorder="1" applyAlignment="1" applyProtection="1">
      <alignment vertical="center" wrapText="1"/>
      <protection locked="0"/>
    </xf>
    <xf numFmtId="0" fontId="29" fillId="2" borderId="0" xfId="0" applyFont="1" applyFill="1" applyAlignment="1" applyProtection="1">
      <alignment horizontal="center"/>
      <protection locked="0"/>
    </xf>
    <xf numFmtId="0" fontId="8" fillId="9" borderId="12" xfId="1" applyFont="1" applyFill="1" applyBorder="1" applyAlignment="1" applyProtection="1">
      <alignment horizontal="left" vertical="center" indent="1"/>
      <protection locked="0"/>
    </xf>
    <xf numFmtId="0" fontId="8" fillId="9" borderId="13" xfId="1" applyFont="1" applyFill="1" applyBorder="1" applyAlignment="1" applyProtection="1">
      <alignment horizontal="left" vertical="center" indent="1"/>
      <protection locked="0"/>
    </xf>
    <xf numFmtId="0" fontId="8" fillId="9" borderId="14" xfId="1" applyFont="1" applyFill="1" applyBorder="1" applyAlignment="1" applyProtection="1">
      <alignment horizontal="left" vertical="center" indent="1"/>
      <protection locked="0"/>
    </xf>
    <xf numFmtId="0" fontId="34" fillId="5" borderId="30" xfId="1" applyFont="1" applyFill="1" applyBorder="1" applyAlignment="1">
      <alignment horizontal="left" vertical="center" indent="1"/>
    </xf>
    <xf numFmtId="0" fontId="34" fillId="14" borderId="31" xfId="1" applyFont="1" applyFill="1" applyBorder="1" applyAlignment="1" applyProtection="1">
      <alignment horizontal="left" vertical="center" indent="1"/>
      <protection locked="0"/>
    </xf>
    <xf numFmtId="0" fontId="34" fillId="5" borderId="32" xfId="1" applyFont="1" applyFill="1" applyBorder="1" applyAlignment="1">
      <alignment horizontal="left" vertical="center" indent="1"/>
    </xf>
    <xf numFmtId="0" fontId="34" fillId="14" borderId="33" xfId="1" applyFont="1" applyFill="1" applyBorder="1" applyAlignment="1" applyProtection="1">
      <alignment horizontal="left" vertical="center" indent="1"/>
      <protection locked="0"/>
    </xf>
    <xf numFmtId="0" fontId="34" fillId="5" borderId="34" xfId="1" applyFont="1" applyFill="1" applyBorder="1" applyAlignment="1">
      <alignment horizontal="left" vertical="center" indent="1"/>
    </xf>
    <xf numFmtId="164" fontId="16" fillId="13" borderId="0" xfId="1" applyNumberFormat="1" applyFont="1" applyFill="1" applyBorder="1" applyAlignment="1">
      <alignment vertical="center" wrapText="1"/>
    </xf>
    <xf numFmtId="164" fontId="16" fillId="13" borderId="15" xfId="1" applyNumberFormat="1" applyFont="1" applyFill="1" applyBorder="1" applyAlignment="1">
      <alignment vertical="center" wrapText="1"/>
    </xf>
    <xf numFmtId="164" fontId="16" fillId="13" borderId="16" xfId="1" applyNumberFormat="1" applyFont="1" applyFill="1" applyBorder="1" applyAlignment="1">
      <alignment vertical="center" wrapText="1"/>
    </xf>
    <xf numFmtId="164" fontId="16" fillId="13" borderId="17" xfId="1" applyNumberFormat="1" applyFont="1" applyFill="1" applyBorder="1" applyAlignment="1">
      <alignment vertical="center" wrapText="1"/>
    </xf>
    <xf numFmtId="0" fontId="0" fillId="7" borderId="0" xfId="0" applyFill="1" applyBorder="1"/>
    <xf numFmtId="0" fontId="0" fillId="0" borderId="0" xfId="0" applyFont="1" applyBorder="1" applyAlignment="1">
      <alignment horizontal="left" indent="4"/>
    </xf>
    <xf numFmtId="0" fontId="0" fillId="0" borderId="0" xfId="0" applyFont="1" applyBorder="1" applyAlignment="1">
      <alignment horizontal="left" indent="3"/>
    </xf>
    <xf numFmtId="0" fontId="0" fillId="0" borderId="0" xfId="0" applyFont="1" applyBorder="1" applyAlignment="1">
      <alignment horizontal="left" indent="5"/>
    </xf>
    <xf numFmtId="164" fontId="18" fillId="11" borderId="37" xfId="4" applyNumberFormat="1" applyFont="1" applyFill="1" applyBorder="1" applyAlignment="1">
      <alignment vertical="center" wrapText="1"/>
    </xf>
    <xf numFmtId="164" fontId="15" fillId="14" borderId="37" xfId="4" applyNumberFormat="1" applyFont="1" applyFill="1" applyBorder="1" applyAlignment="1" applyProtection="1">
      <alignment vertical="center" wrapText="1"/>
      <protection locked="0"/>
    </xf>
    <xf numFmtId="164" fontId="18" fillId="11" borderId="38" xfId="4" applyNumberFormat="1" applyFont="1" applyFill="1" applyBorder="1" applyAlignment="1">
      <alignment vertical="center" wrapText="1"/>
    </xf>
    <xf numFmtId="164" fontId="15" fillId="14" borderId="39" xfId="4" applyNumberFormat="1" applyFont="1" applyFill="1" applyBorder="1" applyAlignment="1" applyProtection="1">
      <alignment vertical="center" wrapText="1"/>
      <protection locked="0"/>
    </xf>
    <xf numFmtId="164" fontId="16" fillId="13" borderId="38" xfId="1" applyNumberFormat="1" applyFont="1" applyFill="1" applyBorder="1" applyAlignment="1">
      <alignment vertical="center" wrapText="1"/>
    </xf>
    <xf numFmtId="164" fontId="16" fillId="13" borderId="40" xfId="1" applyNumberFormat="1" applyFont="1" applyFill="1" applyBorder="1" applyAlignment="1">
      <alignment vertical="center" wrapText="1"/>
    </xf>
    <xf numFmtId="164" fontId="18" fillId="11" borderId="41" xfId="4" applyNumberFormat="1" applyFont="1" applyFill="1" applyBorder="1" applyAlignment="1">
      <alignment vertical="center" wrapText="1"/>
    </xf>
    <xf numFmtId="164" fontId="15" fillId="15" borderId="37" xfId="4" applyNumberFormat="1" applyFont="1" applyFill="1" applyBorder="1" applyAlignment="1">
      <alignment vertical="center" wrapText="1"/>
    </xf>
    <xf numFmtId="164" fontId="15" fillId="14" borderId="41" xfId="4" applyNumberFormat="1" applyFont="1" applyFill="1" applyBorder="1" applyAlignment="1" applyProtection="1">
      <alignment vertical="center" wrapText="1"/>
      <protection locked="0"/>
    </xf>
    <xf numFmtId="0" fontId="36" fillId="7" borderId="13" xfId="4" applyFont="1" applyFill="1" applyBorder="1" applyAlignment="1">
      <alignment horizontal="left" vertical="center" wrapText="1" indent="3"/>
    </xf>
    <xf numFmtId="164" fontId="35" fillId="12" borderId="28" xfId="1" applyNumberFormat="1" applyFont="1" applyFill="1" applyBorder="1" applyAlignment="1">
      <alignment horizontal="right" vertical="center" wrapText="1" indent="1"/>
    </xf>
    <xf numFmtId="164" fontId="36" fillId="7" borderId="13" xfId="4" applyNumberFormat="1" applyFont="1" applyFill="1" applyBorder="1" applyAlignment="1">
      <alignment horizontal="left" vertical="center" wrapText="1" indent="3"/>
    </xf>
    <xf numFmtId="164" fontId="36" fillId="7" borderId="13" xfId="4" applyNumberFormat="1" applyFont="1" applyFill="1" applyBorder="1" applyAlignment="1">
      <alignment vertical="center" wrapText="1"/>
    </xf>
    <xf numFmtId="164" fontId="35" fillId="12" borderId="25" xfId="1" applyNumberFormat="1" applyFont="1" applyFill="1" applyBorder="1" applyAlignment="1">
      <alignment horizontal="right" vertical="center" wrapText="1" indent="1"/>
    </xf>
    <xf numFmtId="164" fontId="35" fillId="12" borderId="26" xfId="1" applyNumberFormat="1" applyFont="1" applyFill="1" applyBorder="1" applyAlignment="1">
      <alignment horizontal="right" vertical="center" wrapText="1" indent="1"/>
    </xf>
    <xf numFmtId="164" fontId="35" fillId="12" borderId="29" xfId="1" applyNumberFormat="1" applyFont="1" applyFill="1" applyBorder="1" applyAlignment="1">
      <alignment horizontal="right" vertical="center" wrapText="1" indent="1"/>
    </xf>
    <xf numFmtId="164" fontId="13" fillId="13" borderId="0" xfId="1" applyNumberFormat="1" applyFont="1" applyFill="1" applyBorder="1" applyAlignment="1">
      <alignment horizontal="left" vertical="center" indent="1"/>
    </xf>
    <xf numFmtId="0" fontId="0" fillId="0" borderId="42" xfId="0" applyFont="1" applyBorder="1" applyAlignment="1">
      <alignment horizontal="left" indent="3"/>
    </xf>
    <xf numFmtId="0" fontId="16" fillId="13" borderId="42" xfId="1" applyFont="1" applyFill="1" applyBorder="1" applyAlignment="1">
      <alignment horizontal="left" vertical="center" indent="1"/>
    </xf>
    <xf numFmtId="0" fontId="11" fillId="7" borderId="12" xfId="4" applyFont="1" applyFill="1" applyBorder="1" applyAlignment="1">
      <alignment horizontal="left" vertical="center" wrapText="1" indent="3"/>
    </xf>
    <xf numFmtId="0" fontId="0" fillId="7" borderId="43" xfId="0" applyFill="1" applyBorder="1"/>
    <xf numFmtId="0" fontId="9" fillId="7" borderId="19" xfId="1" applyFont="1" applyFill="1" applyBorder="1" applyAlignment="1">
      <alignment horizontal="center" vertical="center" wrapText="1"/>
    </xf>
    <xf numFmtId="0" fontId="0" fillId="0" borderId="14" xfId="0" applyBorder="1"/>
    <xf numFmtId="0" fontId="32" fillId="0" borderId="0" xfId="0" applyFont="1" applyBorder="1"/>
    <xf numFmtId="0" fontId="37" fillId="14" borderId="13" xfId="1" applyFont="1" applyFill="1" applyBorder="1" applyAlignment="1" applyProtection="1">
      <alignment horizontal="left" vertical="center" indent="1"/>
      <protection locked="0"/>
    </xf>
    <xf numFmtId="0" fontId="37" fillId="5" borderId="13" xfId="1" applyFont="1" applyFill="1" applyBorder="1" applyAlignment="1">
      <alignment horizontal="left" vertical="center" indent="1"/>
    </xf>
    <xf numFmtId="164" fontId="10" fillId="7" borderId="12" xfId="4" applyNumberFormat="1" applyFont="1" applyFill="1" applyBorder="1" applyAlignment="1">
      <alignment horizontal="left" vertical="center" wrapText="1" indent="3"/>
    </xf>
    <xf numFmtId="164" fontId="18" fillId="7" borderId="12" xfId="4" applyNumberFormat="1" applyFont="1" applyFill="1" applyBorder="1" applyAlignment="1">
      <alignment vertical="center" wrapText="1"/>
    </xf>
    <xf numFmtId="164" fontId="15" fillId="11" borderId="36" xfId="4" applyNumberFormat="1" applyFont="1" applyFill="1" applyBorder="1" applyAlignment="1" applyProtection="1">
      <alignment vertical="center" wrapText="1"/>
      <protection locked="0"/>
    </xf>
    <xf numFmtId="164" fontId="18" fillId="20" borderId="18" xfId="4" applyNumberFormat="1" applyFont="1" applyFill="1" applyBorder="1" applyAlignment="1">
      <alignment vertical="center" wrapText="1"/>
    </xf>
    <xf numFmtId="0" fontId="0" fillId="21" borderId="0" xfId="0" applyFont="1" applyFill="1" applyAlignment="1">
      <alignment horizontal="left" indent="4"/>
    </xf>
    <xf numFmtId="164" fontId="18" fillId="15" borderId="37" xfId="4" applyNumberFormat="1" applyFont="1" applyFill="1" applyBorder="1" applyAlignment="1">
      <alignment vertical="center" wrapText="1"/>
    </xf>
    <xf numFmtId="164" fontId="18" fillId="11" borderId="39" xfId="4" applyNumberFormat="1" applyFont="1" applyFill="1" applyBorder="1" applyAlignment="1">
      <alignment vertical="center" wrapText="1"/>
    </xf>
    <xf numFmtId="164" fontId="18" fillId="17" borderId="37" xfId="4" applyNumberFormat="1" applyFont="1" applyFill="1" applyBorder="1" applyAlignment="1">
      <alignment vertical="center" wrapText="1"/>
    </xf>
    <xf numFmtId="164" fontId="18" fillId="15" borderId="41" xfId="4" applyNumberFormat="1" applyFont="1" applyFill="1" applyBorder="1" applyAlignment="1">
      <alignment vertical="center" wrapText="1"/>
    </xf>
    <xf numFmtId="0" fontId="0" fillId="22" borderId="0" xfId="0" applyFont="1" applyFill="1" applyAlignment="1">
      <alignment horizontal="left" indent="4"/>
    </xf>
    <xf numFmtId="0" fontId="0" fillId="22" borderId="0" xfId="0" applyFont="1" applyFill="1" applyAlignment="1">
      <alignment horizontal="left" indent="5"/>
    </xf>
    <xf numFmtId="0" fontId="0" fillId="0" borderId="0" xfId="0" applyAlignment="1">
      <alignment horizontal="center" vertical="center"/>
    </xf>
    <xf numFmtId="0" fontId="0" fillId="7" borderId="44" xfId="0" applyFill="1" applyBorder="1"/>
    <xf numFmtId="0" fontId="9" fillId="7" borderId="18" xfId="1" applyFont="1" applyFill="1" applyBorder="1" applyAlignment="1">
      <alignment horizontal="center" vertical="center" wrapText="1"/>
    </xf>
    <xf numFmtId="164" fontId="18" fillId="11" borderId="21" xfId="4" applyNumberFormat="1" applyFont="1" applyFill="1" applyBorder="1" applyAlignment="1" applyProtection="1">
      <alignment vertical="center" wrapText="1"/>
      <protection locked="0"/>
    </xf>
    <xf numFmtId="164" fontId="18" fillId="11" borderId="22" xfId="4" applyNumberFormat="1" applyFont="1" applyFill="1" applyBorder="1" applyAlignment="1" applyProtection="1">
      <alignment vertical="center" wrapText="1"/>
      <protection locked="0"/>
    </xf>
    <xf numFmtId="164" fontId="18" fillId="11" borderId="23" xfId="4" applyNumberFormat="1" applyFont="1" applyFill="1" applyBorder="1" applyAlignment="1" applyProtection="1">
      <alignment vertical="center" wrapText="1"/>
      <protection locked="0"/>
    </xf>
    <xf numFmtId="164" fontId="18" fillId="14" borderId="18" xfId="4" applyNumberFormat="1" applyFont="1" applyFill="1" applyBorder="1" applyAlignment="1" applyProtection="1">
      <alignment vertical="center" wrapText="1"/>
      <protection locked="0"/>
    </xf>
    <xf numFmtId="164" fontId="18" fillId="14" borderId="19" xfId="4" applyNumberFormat="1" applyFont="1" applyFill="1" applyBorder="1" applyAlignment="1" applyProtection="1">
      <alignment vertical="center" wrapText="1"/>
      <protection locked="0"/>
    </xf>
    <xf numFmtId="164" fontId="16" fillId="13" borderId="18" xfId="1" applyNumberFormat="1" applyFont="1" applyFill="1" applyBorder="1" applyAlignment="1" applyProtection="1">
      <alignment vertical="center" wrapText="1"/>
      <protection locked="0"/>
    </xf>
    <xf numFmtId="164" fontId="16" fillId="13" borderId="19" xfId="1" applyNumberFormat="1" applyFont="1" applyFill="1" applyBorder="1" applyAlignment="1" applyProtection="1">
      <alignment vertical="center" wrapText="1"/>
      <protection locked="0"/>
    </xf>
    <xf numFmtId="164" fontId="16" fillId="13" borderId="20" xfId="1" applyNumberFormat="1" applyFont="1" applyFill="1" applyBorder="1" applyAlignment="1" applyProtection="1">
      <alignment vertical="center" wrapText="1"/>
      <protection locked="0"/>
    </xf>
    <xf numFmtId="164" fontId="15" fillId="15" borderId="21" xfId="4" applyNumberFormat="1" applyFont="1" applyFill="1" applyBorder="1" applyAlignment="1" applyProtection="1">
      <alignment vertical="center" wrapText="1"/>
      <protection locked="0"/>
    </xf>
    <xf numFmtId="164" fontId="15" fillId="15" borderId="22" xfId="4" applyNumberFormat="1" applyFont="1" applyFill="1" applyBorder="1" applyAlignment="1" applyProtection="1">
      <alignment vertical="center" wrapText="1"/>
      <protection locked="0"/>
    </xf>
    <xf numFmtId="164" fontId="15" fillId="15" borderId="23" xfId="4" applyNumberFormat="1" applyFont="1" applyFill="1" applyBorder="1" applyAlignment="1" applyProtection="1">
      <alignment vertical="center" wrapText="1"/>
      <protection locked="0"/>
    </xf>
    <xf numFmtId="164" fontId="18" fillId="14" borderId="20" xfId="4" applyNumberFormat="1" applyFont="1" applyFill="1" applyBorder="1" applyAlignment="1" applyProtection="1">
      <alignment vertical="center" wrapText="1"/>
      <protection locked="0"/>
    </xf>
    <xf numFmtId="164" fontId="15" fillId="17" borderId="21" xfId="4" applyNumberFormat="1" applyFont="1" applyFill="1" applyBorder="1" applyAlignment="1" applyProtection="1">
      <alignment vertical="center" wrapText="1"/>
      <protection locked="0"/>
    </xf>
    <xf numFmtId="164" fontId="15" fillId="17" borderId="22" xfId="4" applyNumberFormat="1" applyFont="1" applyFill="1" applyBorder="1" applyAlignment="1" applyProtection="1">
      <alignment vertical="center" wrapText="1"/>
      <protection locked="0"/>
    </xf>
    <xf numFmtId="164" fontId="15" fillId="17" borderId="23" xfId="4" applyNumberFormat="1" applyFont="1" applyFill="1" applyBorder="1" applyAlignment="1" applyProtection="1">
      <alignment vertical="center" wrapText="1"/>
      <protection locked="0"/>
    </xf>
    <xf numFmtId="164" fontId="16" fillId="13" borderId="38" xfId="1" applyNumberFormat="1" applyFont="1" applyFill="1" applyBorder="1" applyAlignment="1" applyProtection="1">
      <alignment vertical="center" wrapText="1"/>
      <protection locked="0"/>
    </xf>
    <xf numFmtId="0" fontId="21" fillId="10" borderId="24" xfId="1" applyFont="1" applyFill="1" applyBorder="1" applyAlignment="1">
      <alignment horizontal="left" vertical="center" indent="1"/>
    </xf>
    <xf numFmtId="0" fontId="39" fillId="0" borderId="0" xfId="0" applyFont="1" applyBorder="1" applyAlignment="1">
      <alignment horizontal="right" vertical="center"/>
    </xf>
    <xf numFmtId="0" fontId="34" fillId="0" borderId="0" xfId="2" applyFont="1" applyFill="1" applyBorder="1" applyAlignment="1" applyProtection="1">
      <alignment horizontal="left" vertical="center"/>
    </xf>
    <xf numFmtId="0" fontId="0" fillId="7" borderId="7" xfId="0" applyFill="1" applyBorder="1"/>
    <xf numFmtId="0" fontId="0" fillId="7" borderId="8" xfId="0" applyFill="1" applyBorder="1"/>
    <xf numFmtId="0" fontId="0" fillId="0" borderId="7" xfId="0" applyFont="1" applyBorder="1" applyAlignment="1">
      <alignment horizontal="left" indent="4"/>
    </xf>
    <xf numFmtId="0" fontId="0" fillId="0" borderId="7" xfId="0" applyFont="1" applyBorder="1" applyAlignment="1">
      <alignment horizontal="left" indent="3"/>
    </xf>
    <xf numFmtId="0" fontId="0" fillId="0" borderId="7" xfId="0" applyFont="1" applyBorder="1" applyAlignment="1">
      <alignment horizontal="left" indent="5"/>
    </xf>
    <xf numFmtId="0" fontId="0" fillId="2" borderId="0" xfId="0" applyFill="1" applyAlignment="1">
      <alignment horizontal="center" vertical="center"/>
    </xf>
    <xf numFmtId="0" fontId="21" fillId="10" borderId="24" xfId="1" applyFont="1" applyFill="1" applyBorder="1" applyAlignment="1">
      <alignment horizontal="left" vertical="center" indent="1"/>
    </xf>
    <xf numFmtId="0" fontId="0" fillId="0" borderId="45" xfId="0" applyFont="1" applyBorder="1" applyAlignment="1">
      <alignment horizontal="left" indent="3"/>
    </xf>
    <xf numFmtId="0" fontId="16" fillId="13" borderId="45" xfId="1" applyFont="1" applyFill="1" applyBorder="1" applyAlignment="1">
      <alignment horizontal="left" vertical="center" indent="1"/>
    </xf>
    <xf numFmtId="0" fontId="16" fillId="13" borderId="13" xfId="1" applyFont="1" applyFill="1" applyBorder="1" applyAlignment="1">
      <alignment horizontal="left" vertical="center" indent="1"/>
    </xf>
    <xf numFmtId="0" fontId="13" fillId="13" borderId="13" xfId="1" applyFont="1" applyFill="1" applyBorder="1" applyAlignment="1">
      <alignment horizontal="left" vertical="center" indent="1"/>
    </xf>
    <xf numFmtId="164" fontId="16" fillId="13" borderId="13" xfId="1" applyNumberFormat="1" applyFont="1" applyFill="1" applyBorder="1" applyAlignment="1">
      <alignment vertical="center" wrapText="1"/>
    </xf>
    <xf numFmtId="164" fontId="13" fillId="13" borderId="13" xfId="1" applyNumberFormat="1" applyFont="1" applyFill="1" applyBorder="1" applyAlignment="1">
      <alignment horizontal="left" vertical="center" indent="1"/>
    </xf>
    <xf numFmtId="0" fontId="41" fillId="0" borderId="0" xfId="4" applyFont="1" applyFill="1" applyBorder="1" applyAlignment="1" applyProtection="1">
      <alignment horizontal="left" vertical="center"/>
    </xf>
    <xf numFmtId="0" fontId="42" fillId="2" borderId="0" xfId="2" applyFont="1" applyFill="1" applyBorder="1" applyAlignment="1" applyProtection="1">
      <alignment horizontal="left" vertical="center"/>
    </xf>
    <xf numFmtId="0" fontId="14" fillId="16" borderId="0" xfId="1" applyFont="1" applyFill="1" applyBorder="1" applyAlignment="1">
      <alignment horizontal="center" vertical="center" wrapText="1"/>
    </xf>
    <xf numFmtId="164" fontId="13" fillId="12" borderId="46" xfId="1" applyNumberFormat="1" applyFont="1" applyFill="1" applyBorder="1" applyAlignment="1">
      <alignment horizontal="right" vertical="center" wrapText="1" indent="1"/>
    </xf>
    <xf numFmtId="0" fontId="9" fillId="13" borderId="49" xfId="1" applyFont="1" applyFill="1" applyBorder="1" applyAlignment="1">
      <alignment vertical="center" wrapText="1"/>
    </xf>
    <xf numFmtId="164" fontId="18" fillId="11" borderId="50" xfId="4" applyNumberFormat="1" applyFont="1" applyFill="1" applyBorder="1" applyAlignment="1">
      <alignment vertical="center" wrapText="1"/>
    </xf>
    <xf numFmtId="164" fontId="16" fillId="13" borderId="51" xfId="1" applyNumberFormat="1" applyFont="1" applyFill="1" applyBorder="1" applyAlignment="1">
      <alignment vertical="center" wrapText="1"/>
    </xf>
    <xf numFmtId="164" fontId="15" fillId="15" borderId="50" xfId="4" applyNumberFormat="1" applyFont="1" applyFill="1" applyBorder="1" applyAlignment="1">
      <alignment vertical="center" wrapText="1"/>
    </xf>
    <xf numFmtId="164" fontId="13" fillId="12" borderId="52" xfId="1" applyNumberFormat="1" applyFont="1" applyFill="1" applyBorder="1" applyAlignment="1">
      <alignment horizontal="right" vertical="center" wrapText="1" indent="1"/>
    </xf>
    <xf numFmtId="164" fontId="16" fillId="13" borderId="49" xfId="1" applyNumberFormat="1" applyFont="1" applyFill="1" applyBorder="1" applyAlignment="1">
      <alignment vertical="center" wrapText="1"/>
    </xf>
    <xf numFmtId="164" fontId="15" fillId="17" borderId="50" xfId="4" applyNumberFormat="1" applyFont="1" applyFill="1" applyBorder="1" applyAlignment="1">
      <alignment vertical="center" wrapText="1"/>
    </xf>
    <xf numFmtId="164" fontId="35" fillId="12" borderId="46" xfId="1" applyNumberFormat="1" applyFont="1" applyFill="1" applyBorder="1" applyAlignment="1">
      <alignment horizontal="right" vertical="center" wrapText="1" indent="1"/>
    </xf>
    <xf numFmtId="164" fontId="35" fillId="12" borderId="52" xfId="1" applyNumberFormat="1" applyFont="1" applyFill="1" applyBorder="1" applyAlignment="1">
      <alignment horizontal="right" vertical="center" wrapText="1" indent="1"/>
    </xf>
    <xf numFmtId="9" fontId="25" fillId="13" borderId="12" xfId="5" applyFont="1" applyFill="1" applyBorder="1" applyAlignment="1">
      <alignment horizontal="center" vertical="center" wrapText="1"/>
    </xf>
    <xf numFmtId="164" fontId="16" fillId="13" borderId="53" xfId="1" applyNumberFormat="1" applyFont="1" applyFill="1" applyBorder="1" applyAlignment="1">
      <alignment vertical="center" wrapText="1"/>
    </xf>
    <xf numFmtId="9" fontId="25" fillId="13" borderId="51" xfId="5" applyFont="1" applyFill="1" applyBorder="1" applyAlignment="1">
      <alignment horizontal="center" vertical="center" wrapText="1"/>
    </xf>
    <xf numFmtId="9" fontId="25" fillId="13" borderId="49" xfId="5" applyFont="1" applyFill="1" applyBorder="1" applyAlignment="1">
      <alignment horizontal="center" vertical="center" wrapText="1"/>
    </xf>
    <xf numFmtId="164" fontId="15" fillId="11" borderId="38" xfId="4" applyNumberFormat="1" applyFont="1" applyFill="1" applyBorder="1" applyAlignment="1" applyProtection="1">
      <alignment vertical="center" wrapText="1"/>
      <protection locked="0"/>
    </xf>
    <xf numFmtId="49" fontId="42" fillId="2" borderId="0" xfId="4" quotePrefix="1" applyNumberFormat="1" applyFont="1" applyFill="1" applyBorder="1" applyAlignment="1" applyProtection="1">
      <alignment horizontal="left" vertical="center"/>
    </xf>
    <xf numFmtId="0" fontId="41" fillId="2" borderId="0" xfId="4" applyFont="1" applyFill="1" applyBorder="1" applyAlignment="1" applyProtection="1">
      <alignment horizontal="center" vertical="center" textRotation="90"/>
    </xf>
    <xf numFmtId="49" fontId="42" fillId="2" borderId="0" xfId="4" applyNumberFormat="1" applyFont="1" applyFill="1" applyBorder="1" applyAlignment="1" applyProtection="1">
      <alignment horizontal="left" vertical="center"/>
    </xf>
    <xf numFmtId="49" fontId="42" fillId="2" borderId="0" xfId="2" quotePrefix="1" applyNumberFormat="1" applyFont="1" applyFill="1" applyBorder="1" applyAlignment="1" applyProtection="1">
      <alignment horizontal="left" vertical="center"/>
    </xf>
    <xf numFmtId="49" fontId="43" fillId="2" borderId="0" xfId="4" applyNumberFormat="1" applyFont="1" applyFill="1" applyBorder="1" applyAlignment="1" applyProtection="1">
      <alignment horizontal="left" vertical="center" textRotation="90"/>
    </xf>
    <xf numFmtId="49" fontId="12" fillId="2" borderId="0" xfId="4" applyNumberFormat="1" applyFont="1" applyFill="1" applyBorder="1" applyAlignment="1" applyProtection="1">
      <alignment horizontal="left" vertical="center"/>
    </xf>
    <xf numFmtId="49" fontId="42" fillId="2" borderId="0" xfId="2" applyNumberFormat="1" applyFont="1" applyFill="1" applyBorder="1" applyAlignment="1" applyProtection="1">
      <alignment horizontal="left" vertical="center"/>
    </xf>
    <xf numFmtId="49" fontId="43" fillId="24" borderId="0" xfId="4" applyNumberFormat="1" applyFont="1" applyFill="1" applyBorder="1" applyAlignment="1" applyProtection="1">
      <alignment horizontal="left" vertical="center"/>
    </xf>
    <xf numFmtId="0" fontId="46" fillId="15" borderId="12" xfId="4" applyFont="1" applyFill="1" applyBorder="1" applyAlignment="1">
      <alignment horizontal="left" vertical="center" indent="1"/>
    </xf>
    <xf numFmtId="0" fontId="44" fillId="0" borderId="0" xfId="1" applyFont="1" applyFill="1" applyBorder="1" applyAlignment="1" applyProtection="1">
      <alignment horizontal="left"/>
    </xf>
    <xf numFmtId="0" fontId="47" fillId="0" borderId="0" xfId="4" applyFont="1" applyFill="1" applyBorder="1" applyAlignment="1" applyProtection="1">
      <alignment horizontal="center" vertical="center"/>
    </xf>
    <xf numFmtId="0" fontId="48" fillId="0" borderId="0" xfId="4" applyFont="1" applyFill="1" applyBorder="1" applyAlignment="1" applyProtection="1">
      <alignment horizontal="left" vertical="center"/>
    </xf>
    <xf numFmtId="0" fontId="48" fillId="2" borderId="57" xfId="4" applyFont="1" applyFill="1" applyBorder="1" applyAlignment="1" applyProtection="1">
      <alignment horizontal="left" vertical="center"/>
    </xf>
    <xf numFmtId="0" fontId="41" fillId="2" borderId="0" xfId="4" applyFont="1" applyFill="1" applyBorder="1" applyAlignment="1" applyProtection="1">
      <alignment horizontal="center" textRotation="90"/>
    </xf>
    <xf numFmtId="0" fontId="41" fillId="2" borderId="58" xfId="4" applyFont="1" applyFill="1" applyBorder="1" applyAlignment="1" applyProtection="1">
      <alignment horizontal="center" vertical="center" textRotation="90"/>
    </xf>
    <xf numFmtId="0" fontId="46" fillId="15" borderId="56" xfId="4" applyFont="1" applyFill="1" applyBorder="1" applyAlignment="1">
      <alignment horizontal="left" vertical="center"/>
    </xf>
    <xf numFmtId="0" fontId="46" fillId="15" borderId="12" xfId="4" applyFont="1" applyFill="1" applyBorder="1" applyAlignment="1">
      <alignment horizontal="left" vertical="center"/>
    </xf>
    <xf numFmtId="0" fontId="41" fillId="0" borderId="0" xfId="4" applyFont="1" applyFill="1" applyBorder="1" applyAlignment="1" applyProtection="1">
      <alignment horizontal="center" vertical="center" textRotation="90"/>
    </xf>
    <xf numFmtId="0" fontId="11" fillId="11" borderId="54" xfId="4" applyFont="1" applyFill="1" applyBorder="1" applyAlignment="1">
      <alignment horizontal="left" vertical="center" wrapText="1" indent="1"/>
    </xf>
    <xf numFmtId="0" fontId="46" fillId="15" borderId="55" xfId="4" applyFont="1" applyFill="1" applyBorder="1" applyAlignment="1">
      <alignment horizontal="left" vertical="center" indent="1"/>
    </xf>
    <xf numFmtId="0" fontId="46" fillId="15" borderId="13" xfId="4" applyFont="1" applyFill="1" applyBorder="1" applyAlignment="1">
      <alignment horizontal="left" vertical="center" indent="1"/>
    </xf>
    <xf numFmtId="0" fontId="11" fillId="11" borderId="55" xfId="4" applyFont="1" applyFill="1" applyBorder="1" applyAlignment="1">
      <alignment horizontal="left" vertical="center" wrapText="1" indent="1"/>
    </xf>
    <xf numFmtId="0" fontId="46" fillId="15" borderId="56" xfId="4" applyFont="1" applyFill="1" applyBorder="1" applyAlignment="1">
      <alignment horizontal="left" vertical="center" indent="1"/>
    </xf>
    <xf numFmtId="0" fontId="13" fillId="10" borderId="35" xfId="1" applyFont="1" applyFill="1" applyBorder="1" applyAlignment="1">
      <alignment horizontal="left" vertical="center" indent="1"/>
    </xf>
    <xf numFmtId="0" fontId="13" fillId="10" borderId="24" xfId="1" applyFont="1" applyFill="1" applyBorder="1" applyAlignment="1">
      <alignment horizontal="left" vertical="center" indent="1"/>
    </xf>
    <xf numFmtId="0" fontId="46" fillId="17" borderId="59" xfId="4" applyFont="1" applyFill="1" applyBorder="1" applyAlignment="1">
      <alignment horizontal="left" vertical="center" indent="2"/>
    </xf>
    <xf numFmtId="0" fontId="46" fillId="17" borderId="60" xfId="4" applyFont="1" applyFill="1" applyBorder="1" applyAlignment="1">
      <alignment horizontal="left" vertical="center" indent="2"/>
    </xf>
    <xf numFmtId="0" fontId="46" fillId="17" borderId="61" xfId="4" applyFont="1" applyFill="1" applyBorder="1" applyAlignment="1">
      <alignment horizontal="left" vertical="center" indent="2"/>
    </xf>
    <xf numFmtId="49" fontId="0" fillId="0" borderId="0" xfId="0" applyNumberFormat="1" applyFont="1" applyAlignment="1">
      <alignment horizontal="left" indent="4"/>
    </xf>
    <xf numFmtId="164" fontId="15" fillId="14" borderId="62" xfId="4" applyNumberFormat="1" applyFont="1" applyFill="1" applyBorder="1" applyAlignment="1" applyProtection="1">
      <alignment vertical="center" wrapText="1"/>
      <protection locked="0"/>
    </xf>
    <xf numFmtId="0" fontId="0" fillId="0" borderId="0" xfId="0" applyFill="1"/>
    <xf numFmtId="49" fontId="42" fillId="0" borderId="0" xfId="4" applyNumberFormat="1" applyFont="1" applyFill="1" applyBorder="1" applyAlignment="1" applyProtection="1">
      <alignment horizontal="left" vertical="center"/>
    </xf>
    <xf numFmtId="49" fontId="0" fillId="0" borderId="0" xfId="0" applyNumberFormat="1" applyFont="1" applyFill="1" applyAlignment="1">
      <alignment horizontal="left" indent="4"/>
    </xf>
    <xf numFmtId="0" fontId="0" fillId="0" borderId="8" xfId="0" applyFill="1" applyBorder="1"/>
    <xf numFmtId="0" fontId="48" fillId="0" borderId="57" xfId="4" applyFont="1" applyFill="1" applyBorder="1" applyAlignment="1" applyProtection="1">
      <alignment horizontal="left" vertical="center"/>
    </xf>
    <xf numFmtId="0" fontId="0" fillId="0" borderId="7" xfId="0" applyFont="1" applyFill="1" applyBorder="1" applyAlignment="1">
      <alignment horizontal="left" indent="4"/>
    </xf>
    <xf numFmtId="0" fontId="0" fillId="0" borderId="0" xfId="0" applyFont="1" applyFill="1" applyBorder="1" applyAlignment="1">
      <alignment horizontal="left" indent="4"/>
    </xf>
    <xf numFmtId="0" fontId="49" fillId="0" borderId="0" xfId="4" applyFont="1" applyFill="1" applyBorder="1" applyAlignment="1" applyProtection="1">
      <alignment horizontal="right" vertical="center"/>
    </xf>
    <xf numFmtId="0" fontId="44" fillId="0" borderId="0" xfId="1" applyFont="1" applyFill="1" applyBorder="1" applyAlignment="1" applyProtection="1"/>
    <xf numFmtId="9" fontId="25" fillId="13" borderId="15" xfId="5" applyFont="1" applyFill="1" applyBorder="1" applyAlignment="1">
      <alignment horizontal="center" vertical="center" wrapText="1"/>
    </xf>
    <xf numFmtId="49" fontId="12" fillId="0" borderId="0" xfId="4" applyNumberFormat="1" applyFont="1" applyFill="1" applyBorder="1" applyAlignment="1" applyProtection="1">
      <alignment horizontal="left" vertical="center"/>
    </xf>
    <xf numFmtId="0" fontId="13" fillId="0" borderId="0" xfId="1" applyFont="1" applyFill="1" applyBorder="1" applyAlignment="1">
      <alignment horizontal="left" vertical="center" indent="1"/>
    </xf>
    <xf numFmtId="0" fontId="0" fillId="0" borderId="7" xfId="0" applyFont="1" applyFill="1" applyBorder="1" applyAlignment="1">
      <alignment horizontal="left" indent="3"/>
    </xf>
    <xf numFmtId="0" fontId="0" fillId="0" borderId="0" xfId="0" applyFont="1" applyFill="1" applyBorder="1" applyAlignment="1">
      <alignment horizontal="left" indent="3"/>
    </xf>
    <xf numFmtId="0" fontId="17" fillId="0" borderId="14" xfId="4" applyFont="1" applyFill="1" applyBorder="1" applyAlignment="1">
      <alignment horizontal="left" vertical="center" wrapText="1" indent="1"/>
    </xf>
    <xf numFmtId="164" fontId="10" fillId="0" borderId="14" xfId="4" applyNumberFormat="1" applyFont="1" applyFill="1" applyBorder="1" applyAlignment="1">
      <alignment horizontal="left" vertical="center" wrapText="1" indent="3"/>
    </xf>
    <xf numFmtId="164" fontId="18" fillId="0" borderId="14" xfId="4" applyNumberFormat="1" applyFont="1" applyFill="1" applyBorder="1" applyAlignment="1">
      <alignment vertical="center" wrapText="1"/>
    </xf>
    <xf numFmtId="0" fontId="11" fillId="0" borderId="12" xfId="4" applyFont="1" applyFill="1" applyBorder="1" applyAlignment="1">
      <alignment horizontal="left" vertical="center" wrapText="1" indent="3"/>
    </xf>
    <xf numFmtId="164" fontId="10" fillId="0" borderId="12" xfId="4" applyNumberFormat="1" applyFont="1" applyFill="1" applyBorder="1" applyAlignment="1">
      <alignment horizontal="left" vertical="center" wrapText="1" indent="3"/>
    </xf>
    <xf numFmtId="164" fontId="18" fillId="0" borderId="12" xfId="4" applyNumberFormat="1" applyFont="1" applyFill="1" applyBorder="1" applyAlignment="1">
      <alignment vertical="center" wrapText="1"/>
    </xf>
    <xf numFmtId="0" fontId="0" fillId="0" borderId="63" xfId="0" applyFont="1" applyFill="1" applyBorder="1" applyAlignment="1">
      <alignment horizontal="left" indent="4"/>
    </xf>
    <xf numFmtId="0" fontId="11" fillId="0" borderId="57" xfId="4" applyFont="1" applyFill="1" applyBorder="1" applyAlignment="1">
      <alignment horizontal="left" vertical="center" wrapText="1" indent="3"/>
    </xf>
    <xf numFmtId="164" fontId="18" fillId="0" borderId="57" xfId="4" applyNumberFormat="1" applyFont="1" applyFill="1" applyBorder="1" applyAlignment="1">
      <alignment vertical="center" wrapText="1"/>
    </xf>
    <xf numFmtId="164" fontId="10" fillId="0" borderId="57" xfId="4" applyNumberFormat="1" applyFont="1" applyFill="1" applyBorder="1" applyAlignment="1">
      <alignment horizontal="left" vertical="center" wrapText="1" indent="3"/>
    </xf>
    <xf numFmtId="0" fontId="0" fillId="0" borderId="64" xfId="0" applyFill="1" applyBorder="1"/>
    <xf numFmtId="0" fontId="0" fillId="0" borderId="65" xfId="0" applyFont="1" applyBorder="1" applyAlignment="1">
      <alignment horizontal="left" indent="5"/>
    </xf>
    <xf numFmtId="0" fontId="10" fillId="7" borderId="0" xfId="4" applyFont="1" applyFill="1" applyBorder="1" applyAlignment="1">
      <alignment horizontal="left" vertical="center" wrapText="1" indent="2"/>
    </xf>
    <xf numFmtId="164" fontId="15" fillId="15" borderId="0" xfId="4" applyNumberFormat="1" applyFont="1" applyFill="1" applyBorder="1" applyAlignment="1">
      <alignment vertical="center" wrapText="1"/>
    </xf>
    <xf numFmtId="164" fontId="10" fillId="7" borderId="0" xfId="4" applyNumberFormat="1" applyFont="1" applyFill="1" applyBorder="1" applyAlignment="1">
      <alignment horizontal="left" vertical="center" wrapText="1" indent="2"/>
    </xf>
    <xf numFmtId="164" fontId="15" fillId="7" borderId="0" xfId="4" applyNumberFormat="1" applyFont="1" applyFill="1" applyBorder="1" applyAlignment="1">
      <alignment vertical="center" wrapText="1"/>
    </xf>
    <xf numFmtId="0" fontId="0" fillId="0" borderId="66" xfId="0" applyBorder="1"/>
    <xf numFmtId="0" fontId="0" fillId="0" borderId="0" xfId="0" applyFill="1" applyBorder="1"/>
    <xf numFmtId="0" fontId="10" fillId="0" borderId="0" xfId="4" applyFont="1" applyFill="1" applyBorder="1" applyAlignment="1">
      <alignment horizontal="left" vertical="center" wrapText="1" indent="2"/>
    </xf>
    <xf numFmtId="164" fontId="10" fillId="0" borderId="0" xfId="4" applyNumberFormat="1" applyFont="1" applyFill="1" applyBorder="1" applyAlignment="1">
      <alignment horizontal="left" vertical="center" wrapText="1" indent="2"/>
    </xf>
    <xf numFmtId="0" fontId="0" fillId="0" borderId="67" xfId="0" applyFont="1" applyFill="1" applyBorder="1" applyAlignment="1">
      <alignment horizontal="left" indent="4"/>
    </xf>
    <xf numFmtId="0" fontId="11" fillId="0" borderId="58" xfId="4" applyFont="1" applyFill="1" applyBorder="1" applyAlignment="1">
      <alignment horizontal="left" vertical="center" wrapText="1" indent="3"/>
    </xf>
    <xf numFmtId="164" fontId="18" fillId="0" borderId="58" xfId="4" applyNumberFormat="1" applyFont="1" applyFill="1" applyBorder="1" applyAlignment="1">
      <alignment vertical="center" wrapText="1"/>
    </xf>
    <xf numFmtId="164" fontId="10" fillId="0" borderId="58" xfId="4" applyNumberFormat="1" applyFont="1" applyFill="1" applyBorder="1" applyAlignment="1">
      <alignment horizontal="left" vertical="center" wrapText="1" indent="3"/>
    </xf>
    <xf numFmtId="0" fontId="0" fillId="0" borderId="68" xfId="0" applyFill="1" applyBorder="1"/>
    <xf numFmtId="49" fontId="0" fillId="0" borderId="0" xfId="0" applyNumberFormat="1" applyFont="1" applyFill="1" applyBorder="1" applyAlignment="1">
      <alignment horizontal="left" indent="4"/>
    </xf>
    <xf numFmtId="164" fontId="18" fillId="0" borderId="0" xfId="4" applyNumberFormat="1" applyFont="1" applyFill="1" applyBorder="1" applyAlignment="1">
      <alignment vertical="center" wrapText="1"/>
    </xf>
    <xf numFmtId="164" fontId="18" fillId="11" borderId="28" xfId="4" applyNumberFormat="1" applyFont="1" applyFill="1" applyBorder="1" applyAlignment="1">
      <alignment vertical="center" wrapText="1"/>
    </xf>
    <xf numFmtId="0" fontId="0" fillId="0" borderId="0" xfId="0" applyFill="1" applyBorder="1" applyAlignment="1">
      <alignment horizontal="right"/>
    </xf>
    <xf numFmtId="0" fontId="0" fillId="0" borderId="0" xfId="0" applyFont="1" applyFill="1" applyBorder="1" applyAlignment="1">
      <alignment horizontal="left" indent="5"/>
    </xf>
    <xf numFmtId="49" fontId="43" fillId="0" borderId="0" xfId="4" applyNumberFormat="1" applyFont="1" applyFill="1" applyBorder="1" applyAlignment="1" applyProtection="1">
      <alignment horizontal="left" vertical="center" textRotation="90"/>
    </xf>
    <xf numFmtId="0" fontId="46" fillId="15" borderId="0" xfId="4" applyFont="1" applyFill="1" applyBorder="1" applyAlignment="1">
      <alignment horizontal="left" vertical="center"/>
    </xf>
    <xf numFmtId="0" fontId="10" fillId="7" borderId="14" xfId="4" applyFont="1" applyFill="1" applyBorder="1" applyAlignment="1">
      <alignment horizontal="left" vertical="center" wrapText="1" indent="2"/>
    </xf>
    <xf numFmtId="164" fontId="15" fillId="15" borderId="44" xfId="4" applyNumberFormat="1" applyFont="1" applyFill="1" applyBorder="1" applyAlignment="1">
      <alignment vertical="center" wrapText="1"/>
    </xf>
    <xf numFmtId="164" fontId="10" fillId="7" borderId="14" xfId="4" applyNumberFormat="1" applyFont="1" applyFill="1" applyBorder="1" applyAlignment="1">
      <alignment horizontal="left" vertical="center" wrapText="1" indent="2"/>
    </xf>
    <xf numFmtId="164" fontId="15" fillId="7" borderId="14" xfId="4" applyNumberFormat="1" applyFont="1" applyFill="1" applyBorder="1" applyAlignment="1">
      <alignment vertical="center" wrapText="1"/>
    </xf>
    <xf numFmtId="0" fontId="35" fillId="0" borderId="0" xfId="1" applyFont="1" applyFill="1" applyBorder="1" applyAlignment="1">
      <alignment horizontal="left" vertical="center" indent="1"/>
    </xf>
    <xf numFmtId="0" fontId="11" fillId="0" borderId="0" xfId="4" applyFont="1" applyFill="1" applyBorder="1" applyAlignment="1">
      <alignment horizontal="left" vertical="center" wrapText="1" indent="3"/>
    </xf>
    <xf numFmtId="164" fontId="13" fillId="0" borderId="0" xfId="1" applyNumberFormat="1" applyFont="1" applyFill="1" applyBorder="1" applyAlignment="1">
      <alignment horizontal="right" vertical="center" wrapText="1" indent="1"/>
    </xf>
    <xf numFmtId="164" fontId="11" fillId="0" borderId="0" xfId="4" applyNumberFormat="1" applyFont="1" applyFill="1" applyBorder="1" applyAlignment="1">
      <alignment horizontal="left" vertical="center" wrapText="1" indent="3"/>
    </xf>
    <xf numFmtId="164" fontId="17" fillId="0" borderId="0" xfId="4" applyNumberFormat="1" applyFont="1" applyFill="1" applyBorder="1" applyAlignment="1">
      <alignment vertical="center" wrapText="1"/>
    </xf>
    <xf numFmtId="164" fontId="15" fillId="14" borderId="69" xfId="4" applyNumberFormat="1" applyFont="1" applyFill="1" applyBorder="1" applyAlignment="1" applyProtection="1">
      <alignment vertical="center" wrapText="1"/>
      <protection locked="0"/>
    </xf>
    <xf numFmtId="164" fontId="15" fillId="14" borderId="40" xfId="4" applyNumberFormat="1" applyFont="1" applyFill="1" applyBorder="1" applyAlignment="1" applyProtection="1">
      <alignment vertical="center" wrapText="1"/>
      <protection locked="0"/>
    </xf>
    <xf numFmtId="0" fontId="0" fillId="0" borderId="7" xfId="0" applyFont="1" applyFill="1" applyBorder="1" applyAlignment="1">
      <alignment horizontal="left" indent="5"/>
    </xf>
    <xf numFmtId="49" fontId="45" fillId="0" borderId="0" xfId="4" applyNumberFormat="1" applyFont="1" applyFill="1" applyBorder="1" applyAlignment="1" applyProtection="1">
      <alignment horizontal="left" vertical="center"/>
    </xf>
    <xf numFmtId="165" fontId="50" fillId="0" borderId="0" xfId="5" applyNumberFormat="1" applyFont="1" applyFill="1" applyBorder="1" applyAlignment="1" applyProtection="1">
      <alignment horizontal="right" vertical="center" indent="1"/>
    </xf>
    <xf numFmtId="164" fontId="18" fillId="11" borderId="44" xfId="4" applyNumberFormat="1" applyFont="1" applyFill="1" applyBorder="1" applyAlignment="1">
      <alignment vertical="center" wrapText="1"/>
    </xf>
    <xf numFmtId="164" fontId="15" fillId="14" borderId="36" xfId="4" applyNumberFormat="1" applyFont="1" applyFill="1" applyBorder="1" applyAlignment="1" applyProtection="1">
      <alignment vertical="center" wrapText="1"/>
      <protection locked="0"/>
    </xf>
    <xf numFmtId="164" fontId="18" fillId="11" borderId="15" xfId="4" applyNumberFormat="1" applyFont="1" applyFill="1" applyBorder="1" applyAlignment="1">
      <alignment vertical="center" wrapText="1"/>
    </xf>
    <xf numFmtId="164" fontId="15" fillId="14" borderId="28" xfId="4" applyNumberFormat="1" applyFont="1" applyFill="1" applyBorder="1" applyAlignment="1" applyProtection="1">
      <alignment vertical="center" wrapText="1"/>
      <protection locked="0"/>
    </xf>
    <xf numFmtId="9" fontId="0" fillId="0" borderId="0" xfId="5" applyFont="1" applyFill="1" applyBorder="1" applyAlignment="1">
      <alignment horizontal="right"/>
    </xf>
    <xf numFmtId="164" fontId="18" fillId="0" borderId="70" xfId="4" applyNumberFormat="1" applyFont="1" applyFill="1" applyBorder="1" applyAlignment="1">
      <alignment vertical="center" wrapText="1"/>
    </xf>
    <xf numFmtId="0" fontId="49" fillId="0" borderId="0" xfId="4" applyFont="1" applyFill="1" applyBorder="1" applyAlignment="1" applyProtection="1">
      <alignment horizontal="right" vertical="center"/>
    </xf>
    <xf numFmtId="164" fontId="15" fillId="2" borderId="37" xfId="4" applyNumberFormat="1" applyFont="1" applyFill="1" applyBorder="1" applyAlignment="1" applyProtection="1">
      <alignment vertical="center" wrapText="1"/>
      <protection locked="0"/>
    </xf>
    <xf numFmtId="164" fontId="15" fillId="2" borderId="62" xfId="4" applyNumberFormat="1" applyFont="1" applyFill="1" applyBorder="1" applyAlignment="1" applyProtection="1">
      <alignment vertical="center" wrapText="1"/>
      <protection locked="0"/>
    </xf>
    <xf numFmtId="164" fontId="15" fillId="2" borderId="39" xfId="4" applyNumberFormat="1" applyFont="1" applyFill="1" applyBorder="1" applyAlignment="1" applyProtection="1">
      <alignment vertical="center" wrapText="1"/>
      <protection locked="0"/>
    </xf>
    <xf numFmtId="164" fontId="15" fillId="2" borderId="41" xfId="4" applyNumberFormat="1" applyFont="1" applyFill="1" applyBorder="1" applyAlignment="1" applyProtection="1">
      <alignment vertical="center" wrapText="1"/>
      <protection locked="0"/>
    </xf>
    <xf numFmtId="164" fontId="15" fillId="2" borderId="40" xfId="4" applyNumberFormat="1" applyFont="1" applyFill="1" applyBorder="1" applyAlignment="1" applyProtection="1">
      <alignment vertical="center" wrapText="1"/>
      <protection locked="0"/>
    </xf>
    <xf numFmtId="164" fontId="15" fillId="2" borderId="69" xfId="4" applyNumberFormat="1" applyFont="1" applyFill="1" applyBorder="1" applyAlignment="1" applyProtection="1">
      <alignment vertical="center" wrapText="1"/>
      <protection locked="0"/>
    </xf>
    <xf numFmtId="164" fontId="15" fillId="2" borderId="28" xfId="4" applyNumberFormat="1" applyFont="1" applyFill="1" applyBorder="1" applyAlignment="1" applyProtection="1">
      <alignment vertical="center" wrapText="1"/>
      <protection locked="0"/>
    </xf>
    <xf numFmtId="164" fontId="15" fillId="2" borderId="36" xfId="4" applyNumberFormat="1" applyFont="1" applyFill="1" applyBorder="1" applyAlignment="1" applyProtection="1">
      <alignment vertical="center" wrapText="1"/>
      <protection locked="0"/>
    </xf>
    <xf numFmtId="0" fontId="9" fillId="6" borderId="0" xfId="1" applyFont="1" applyFill="1" applyBorder="1" applyAlignment="1">
      <alignment horizontal="center" vertical="center"/>
    </xf>
    <xf numFmtId="0" fontId="33" fillId="6" borderId="0" xfId="1" applyFont="1" applyFill="1" applyBorder="1" applyAlignment="1">
      <alignment horizontal="center" vertical="center"/>
    </xf>
    <xf numFmtId="0" fontId="18" fillId="9" borderId="13" xfId="4" applyFont="1" applyFill="1" applyBorder="1" applyAlignment="1">
      <alignment horizontal="left" vertical="center" wrapText="1" indent="2"/>
    </xf>
    <xf numFmtId="0" fontId="18" fillId="11" borderId="13" xfId="4" applyFont="1" applyFill="1" applyBorder="1" applyAlignment="1">
      <alignment horizontal="left" vertical="center" wrapText="1" indent="1"/>
    </xf>
    <xf numFmtId="0" fontId="40" fillId="6" borderId="0" xfId="1" applyFont="1" applyFill="1" applyBorder="1" applyAlignment="1">
      <alignment horizontal="center" vertical="center"/>
    </xf>
    <xf numFmtId="0" fontId="22" fillId="6" borderId="0" xfId="1" applyFont="1" applyFill="1" applyBorder="1" applyAlignment="1">
      <alignment horizontal="center" vertical="center"/>
    </xf>
    <xf numFmtId="0" fontId="20" fillId="8" borderId="0" xfId="1" applyFont="1" applyFill="1" applyBorder="1" applyAlignment="1">
      <alignment horizontal="center" vertical="center" wrapText="1"/>
    </xf>
    <xf numFmtId="0" fontId="17" fillId="11" borderId="13" xfId="4" applyFont="1" applyFill="1" applyBorder="1" applyAlignment="1">
      <alignment horizontal="left" vertical="center" wrapText="1" indent="1"/>
    </xf>
    <xf numFmtId="0" fontId="18" fillId="9" borderId="0" xfId="4" applyFont="1" applyFill="1" applyBorder="1" applyAlignment="1">
      <alignment horizontal="left" vertical="center" wrapText="1" indent="2"/>
    </xf>
    <xf numFmtId="0" fontId="18" fillId="0" borderId="58" xfId="4" applyFont="1" applyFill="1" applyBorder="1" applyAlignment="1">
      <alignment horizontal="left" vertical="center" wrapText="1" indent="2"/>
    </xf>
    <xf numFmtId="0" fontId="18" fillId="0" borderId="12" xfId="4" applyFont="1" applyFill="1" applyBorder="1" applyAlignment="1">
      <alignment horizontal="left" vertical="center" wrapText="1" indent="2"/>
    </xf>
    <xf numFmtId="0" fontId="18" fillId="0" borderId="57" xfId="4" applyFont="1" applyFill="1" applyBorder="1" applyAlignment="1">
      <alignment horizontal="left" vertical="center" wrapText="1" indent="2"/>
    </xf>
    <xf numFmtId="0" fontId="18" fillId="11" borderId="13" xfId="4" applyFont="1" applyFill="1" applyBorder="1" applyAlignment="1">
      <alignment horizontal="left" vertical="center" wrapText="1" indent="2"/>
    </xf>
    <xf numFmtId="0" fontId="18" fillId="9" borderId="14" xfId="4" applyFont="1" applyFill="1" applyBorder="1" applyAlignment="1">
      <alignment horizontal="left" vertical="center" wrapText="1" indent="2"/>
    </xf>
    <xf numFmtId="0" fontId="17" fillId="11" borderId="13" xfId="4" applyFont="1" applyFill="1" applyBorder="1" applyAlignment="1">
      <alignment horizontal="left" vertical="center" wrapText="1" indent="2"/>
    </xf>
    <xf numFmtId="0" fontId="49" fillId="0" borderId="0" xfId="4" applyFont="1" applyFill="1" applyBorder="1" applyAlignment="1" applyProtection="1">
      <alignment horizontal="right" vertical="center"/>
    </xf>
    <xf numFmtId="0" fontId="38" fillId="0" borderId="13" xfId="4" applyFont="1" applyFill="1" applyBorder="1" applyAlignment="1">
      <alignment horizontal="right" vertical="center" wrapText="1" indent="1"/>
    </xf>
    <xf numFmtId="0" fontId="9" fillId="18" borderId="0" xfId="1" applyFont="1" applyFill="1" applyBorder="1" applyAlignment="1">
      <alignment horizontal="center" vertical="center" wrapText="1"/>
    </xf>
    <xf numFmtId="0" fontId="18" fillId="17" borderId="13" xfId="4" applyFont="1" applyFill="1" applyBorder="1" applyAlignment="1">
      <alignment horizontal="left" vertical="center" wrapText="1" indent="4"/>
    </xf>
    <xf numFmtId="0" fontId="21" fillId="10" borderId="24" xfId="1" applyFont="1" applyFill="1" applyBorder="1" applyAlignment="1">
      <alignment horizontal="left" vertical="center" indent="1"/>
    </xf>
    <xf numFmtId="0" fontId="21" fillId="10" borderId="35" xfId="1" applyFont="1" applyFill="1" applyBorder="1" applyAlignment="1">
      <alignment horizontal="left" vertical="center" indent="1"/>
    </xf>
    <xf numFmtId="0" fontId="21" fillId="10" borderId="27" xfId="1" applyFont="1" applyFill="1" applyBorder="1" applyAlignment="1">
      <alignment horizontal="left" vertical="center" indent="1"/>
    </xf>
    <xf numFmtId="0" fontId="22" fillId="19" borderId="23" xfId="1" applyFont="1" applyFill="1" applyBorder="1" applyAlignment="1">
      <alignment horizontal="center" vertical="center"/>
    </xf>
    <xf numFmtId="0" fontId="22" fillId="19" borderId="13" xfId="1" applyFont="1" applyFill="1" applyBorder="1" applyAlignment="1">
      <alignment horizontal="center" vertical="center"/>
    </xf>
    <xf numFmtId="0" fontId="22" fillId="19" borderId="21" xfId="1" applyFont="1" applyFill="1" applyBorder="1" applyAlignment="1">
      <alignment horizontal="center" vertical="center"/>
    </xf>
    <xf numFmtId="0" fontId="35" fillId="10" borderId="24" xfId="1" applyFont="1" applyFill="1" applyBorder="1" applyAlignment="1">
      <alignment horizontal="left" vertical="center" indent="1"/>
    </xf>
    <xf numFmtId="0" fontId="35" fillId="10" borderId="35" xfId="1" applyFont="1" applyFill="1" applyBorder="1" applyAlignment="1">
      <alignment horizontal="left" vertical="center" indent="1"/>
    </xf>
    <xf numFmtId="0" fontId="35" fillId="10" borderId="27" xfId="1" applyFont="1" applyFill="1" applyBorder="1" applyAlignment="1">
      <alignment horizontal="left" vertical="center" indent="1"/>
    </xf>
    <xf numFmtId="0" fontId="20" fillId="8" borderId="12" xfId="1" applyFont="1" applyFill="1" applyBorder="1" applyAlignment="1">
      <alignment horizontal="center" vertical="center" wrapText="1"/>
    </xf>
    <xf numFmtId="0" fontId="22" fillId="19" borderId="20" xfId="1" applyFont="1" applyFill="1" applyBorder="1" applyAlignment="1">
      <alignment horizontal="center" vertical="center"/>
    </xf>
    <xf numFmtId="0" fontId="22" fillId="19" borderId="12" xfId="1" applyFont="1" applyFill="1" applyBorder="1" applyAlignment="1">
      <alignment horizontal="center" vertical="center"/>
    </xf>
    <xf numFmtId="0" fontId="9" fillId="23" borderId="43" xfId="1" applyFont="1" applyFill="1" applyBorder="1" applyAlignment="1">
      <alignment horizontal="center" vertical="center" wrapText="1"/>
    </xf>
    <xf numFmtId="0" fontId="9" fillId="23" borderId="16" xfId="1" applyFont="1" applyFill="1" applyBorder="1" applyAlignment="1">
      <alignment horizontal="center" vertical="center" wrapText="1"/>
    </xf>
    <xf numFmtId="0" fontId="9" fillId="23" borderId="47" xfId="1" applyFont="1" applyFill="1" applyBorder="1" applyAlignment="1">
      <alignment horizontal="center" vertical="center" wrapText="1"/>
    </xf>
    <xf numFmtId="0" fontId="9" fillId="23" borderId="48" xfId="1" applyFont="1" applyFill="1" applyBorder="1" applyAlignment="1">
      <alignment horizontal="center" vertical="center" wrapText="1"/>
    </xf>
    <xf numFmtId="164" fontId="15" fillId="0" borderId="37" xfId="4" applyNumberFormat="1" applyFont="1" applyFill="1" applyBorder="1" applyAlignment="1" applyProtection="1">
      <alignment vertical="center" wrapText="1"/>
      <protection locked="0"/>
    </xf>
    <xf numFmtId="164" fontId="16" fillId="0" borderId="40" xfId="1" applyNumberFormat="1" applyFont="1" applyFill="1" applyBorder="1" applyAlignment="1">
      <alignment vertical="center" wrapText="1"/>
    </xf>
    <xf numFmtId="164" fontId="18" fillId="0" borderId="38" xfId="4" applyNumberFormat="1" applyFont="1" applyFill="1" applyBorder="1" applyAlignment="1">
      <alignment vertical="center" wrapText="1"/>
    </xf>
    <xf numFmtId="164" fontId="15" fillId="0" borderId="62" xfId="4" applyNumberFormat="1" applyFont="1" applyFill="1" applyBorder="1" applyAlignment="1" applyProtection="1">
      <alignment vertical="center" wrapText="1"/>
      <protection locked="0"/>
    </xf>
    <xf numFmtId="164" fontId="16" fillId="0" borderId="38" xfId="1" applyNumberFormat="1" applyFont="1" applyFill="1" applyBorder="1" applyAlignment="1" applyProtection="1">
      <alignment vertical="center" wrapText="1"/>
      <protection locked="0"/>
    </xf>
    <xf numFmtId="164" fontId="18" fillId="0" borderId="37" xfId="4" applyNumberFormat="1" applyFont="1" applyFill="1" applyBorder="1" applyAlignment="1">
      <alignment vertical="center" wrapText="1"/>
    </xf>
    <xf numFmtId="164" fontId="15" fillId="0" borderId="39" xfId="4" applyNumberFormat="1" applyFont="1" applyFill="1" applyBorder="1" applyAlignment="1" applyProtection="1">
      <alignment vertical="center" wrapText="1"/>
      <protection locked="0"/>
    </xf>
    <xf numFmtId="9" fontId="25" fillId="0" borderId="15" xfId="5" applyFont="1" applyFill="1" applyBorder="1" applyAlignment="1">
      <alignment horizontal="center" vertical="center" wrapText="1"/>
    </xf>
    <xf numFmtId="164" fontId="18" fillId="0" borderId="28" xfId="4" applyNumberFormat="1" applyFont="1" applyFill="1" applyBorder="1" applyAlignment="1">
      <alignment vertical="center" wrapText="1"/>
    </xf>
    <xf numFmtId="164" fontId="15" fillId="0" borderId="0" xfId="4" applyNumberFormat="1" applyFont="1" applyFill="1" applyBorder="1" applyAlignment="1">
      <alignment vertical="center" wrapText="1"/>
    </xf>
    <xf numFmtId="164" fontId="15" fillId="0" borderId="41" xfId="4" applyNumberFormat="1" applyFont="1" applyFill="1" applyBorder="1" applyAlignment="1" applyProtection="1">
      <alignment vertical="center" wrapText="1"/>
      <protection locked="0"/>
    </xf>
    <xf numFmtId="164" fontId="15" fillId="0" borderId="40" xfId="4" applyNumberFormat="1" applyFont="1" applyFill="1" applyBorder="1" applyAlignment="1" applyProtection="1">
      <alignment vertical="center" wrapText="1"/>
      <protection locked="0"/>
    </xf>
    <xf numFmtId="164" fontId="15" fillId="0" borderId="69" xfId="4" applyNumberFormat="1" applyFont="1" applyFill="1" applyBorder="1" applyAlignment="1" applyProtection="1">
      <alignment vertical="center" wrapText="1"/>
      <protection locked="0"/>
    </xf>
    <xf numFmtId="164" fontId="18" fillId="0" borderId="44" xfId="4" applyNumberFormat="1" applyFont="1" applyFill="1" applyBorder="1" applyAlignment="1">
      <alignment vertical="center" wrapText="1"/>
    </xf>
    <xf numFmtId="164" fontId="15" fillId="0" borderId="28" xfId="4" applyNumberFormat="1" applyFont="1" applyFill="1" applyBorder="1" applyAlignment="1" applyProtection="1">
      <alignment vertical="center" wrapText="1"/>
      <protection locked="0"/>
    </xf>
    <xf numFmtId="164" fontId="18" fillId="0" borderId="15" xfId="4" applyNumberFormat="1" applyFont="1" applyFill="1" applyBorder="1" applyAlignment="1">
      <alignment vertical="center" wrapText="1"/>
    </xf>
    <xf numFmtId="164" fontId="15" fillId="0" borderId="36" xfId="4" applyNumberFormat="1" applyFont="1" applyFill="1" applyBorder="1" applyAlignment="1" applyProtection="1">
      <alignment vertical="center" wrapText="1"/>
      <protection locked="0"/>
    </xf>
  </cellXfs>
  <cellStyles count="7">
    <cellStyle name="Normal" xfId="0" builtinId="0"/>
    <cellStyle name="Normal 10" xfId="3"/>
    <cellStyle name="Normal 2" xfId="1"/>
    <cellStyle name="Normal 3 2" xfId="2"/>
    <cellStyle name="Normal_Copie de CRD_CRC_domaine TER_ergo" xfId="4"/>
    <cellStyle name="Note" xfId="6"/>
    <cellStyle name="Pourcentage" xfId="5" builtinId="5"/>
  </cellStyles>
  <dxfs count="0"/>
  <tableStyles count="0" defaultTableStyle="TableStyleMedium2" defaultPivotStyle="PivotStyleLight16"/>
  <colors>
    <mruColors>
      <color rgb="FFFFFFCC"/>
      <color rgb="FFDE105E"/>
      <color rgb="FFF35390"/>
      <color rgb="FFCCC0DA"/>
      <color rgb="FFF3F3F3"/>
      <color rgb="FFEDEDED"/>
      <color rgb="FFD9D9D9"/>
      <color rgb="FFFF4747"/>
      <color rgb="FFFDE3ED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microsoft.com/office/2007/relationships/hdphoto" Target="../media/hdphoto1.wdp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5.png"/><Relationship Id="rId4" Type="http://schemas.openxmlformats.org/officeDocument/2006/relationships/image" Target="../media/image7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5.png"/><Relationship Id="rId4" Type="http://schemas.openxmlformats.org/officeDocument/2006/relationships/image" Target="../media/image7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5.png"/><Relationship Id="rId4" Type="http://schemas.openxmlformats.org/officeDocument/2006/relationships/image" Target="../media/image7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113897</xdr:colOff>
      <xdr:row>2</xdr:row>
      <xdr:rowOff>6905</xdr:rowOff>
    </xdr:from>
    <xdr:ext cx="790495" cy="270607"/>
    <xdr:pic>
      <xdr:nvPicPr>
        <xdr:cNvPr id="3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272" y="1130855"/>
          <a:ext cx="790495" cy="2706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3076158</xdr:colOff>
      <xdr:row>2</xdr:row>
      <xdr:rowOff>65687</xdr:rowOff>
    </xdr:from>
    <xdr:ext cx="340475" cy="252855"/>
    <xdr:grpSp>
      <xdr:nvGrpSpPr>
        <xdr:cNvPr id="4" name="Group 3"/>
        <xdr:cNvGrpSpPr>
          <a:grpSpLocks/>
        </xdr:cNvGrpSpPr>
      </xdr:nvGrpSpPr>
      <xdr:grpSpPr bwMode="auto">
        <a:xfrm>
          <a:off x="6094850" y="805706"/>
          <a:ext cx="340475" cy="252855"/>
          <a:chOff x="1741" y="124"/>
          <a:chExt cx="105" cy="74"/>
        </a:xfrm>
      </xdr:grpSpPr>
      <xdr:pic>
        <xdr:nvPicPr>
          <xdr:cNvPr id="5" name="Picture 3" descr="doc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41" y="124"/>
            <a:ext cx="105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6" name="Picture 16" descr="stylo_2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-2300034">
            <a:off x="1752" y="143"/>
            <a:ext cx="9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oneCellAnchor>
  <xdr:twoCellAnchor editAs="oneCell">
    <xdr:from>
      <xdr:col>4</xdr:col>
      <xdr:colOff>616055</xdr:colOff>
      <xdr:row>13</xdr:row>
      <xdr:rowOff>54148</xdr:rowOff>
    </xdr:from>
    <xdr:to>
      <xdr:col>4</xdr:col>
      <xdr:colOff>867129</xdr:colOff>
      <xdr:row>13</xdr:row>
      <xdr:rowOff>307981</xdr:rowOff>
    </xdr:to>
    <xdr:pic macro="[0]!Feuil6.RETRIEVE_ALL">
      <xdr:nvPicPr>
        <xdr:cNvPr id="19" name="Image 18" descr="https://encrypted-tbn0.gstatic.com/images?q=tbn:ANd9GcTxgS58yOjB6lOGGmLB1DHoUwsxi7gUgB9m9IqJsSBaSPvizChNz1HUshQ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400000"/>
                  </a14:imgEffect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9207" y="2853670"/>
          <a:ext cx="251074" cy="253833"/>
        </a:xfrm>
        <a:prstGeom prst="rect">
          <a:avLst/>
        </a:prstGeom>
        <a:noFill/>
        <a:effectLst>
          <a:reflection blurRad="6350" stA="52000" endA="300" endPos="35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106097</xdr:colOff>
      <xdr:row>6</xdr:row>
      <xdr:rowOff>80022</xdr:rowOff>
    </xdr:from>
    <xdr:ext cx="1052149" cy="360179"/>
    <xdr:pic>
      <xdr:nvPicPr>
        <xdr:cNvPr id="2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9447" y="80022"/>
          <a:ext cx="1052149" cy="36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27</xdr:col>
      <xdr:colOff>110485</xdr:colOff>
      <xdr:row>7</xdr:row>
      <xdr:rowOff>202183</xdr:rowOff>
    </xdr:from>
    <xdr:ext cx="663490" cy="447949"/>
    <xdr:grpSp>
      <xdr:nvGrpSpPr>
        <xdr:cNvPr id="3" name="Group 3"/>
        <xdr:cNvGrpSpPr>
          <a:grpSpLocks/>
        </xdr:cNvGrpSpPr>
      </xdr:nvGrpSpPr>
      <xdr:grpSpPr bwMode="auto">
        <a:xfrm>
          <a:off x="18248806" y="760076"/>
          <a:ext cx="663490" cy="447949"/>
          <a:chOff x="1741" y="124"/>
          <a:chExt cx="105" cy="74"/>
        </a:xfrm>
      </xdr:grpSpPr>
      <xdr:pic>
        <xdr:nvPicPr>
          <xdr:cNvPr id="4" name="Picture 3" descr="doc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41" y="124"/>
            <a:ext cx="105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5" name="Picture 16" descr="stylo_2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-2300034">
            <a:off x="1752" y="143"/>
            <a:ext cx="9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oneCellAnchor>
  <xdr:twoCellAnchor editAs="oneCell">
    <xdr:from>
      <xdr:col>7</xdr:col>
      <xdr:colOff>0</xdr:colOff>
      <xdr:row>19</xdr:row>
      <xdr:rowOff>68038</xdr:rowOff>
    </xdr:from>
    <xdr:to>
      <xdr:col>8</xdr:col>
      <xdr:colOff>234662</xdr:colOff>
      <xdr:row>21</xdr:row>
      <xdr:rowOff>144374</xdr:rowOff>
    </xdr:to>
    <xdr:pic macro="[0]!Feuil5.SEND_PFC">
      <xdr:nvPicPr>
        <xdr:cNvPr id="6" name="Image 5" descr="https://encrypted-tbn1.gstatic.com/images?q=tbn:ANd9GcQrWu3aORmJxZeEUOkrFCVtDz1jLhYOvwquwDn9W0UgXE5ooGoREFIaEt_s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76250" y="3477988"/>
          <a:ext cx="434687" cy="438286"/>
        </a:xfrm>
        <a:prstGeom prst="rect">
          <a:avLst/>
        </a:prstGeom>
        <a:noFill/>
        <a:effectLst>
          <a:reflection blurRad="6350" stA="52000" endA="300" endPos="35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8</xdr:col>
      <xdr:colOff>273787</xdr:colOff>
      <xdr:row>19</xdr:row>
      <xdr:rowOff>124926</xdr:rowOff>
    </xdr:from>
    <xdr:to>
      <xdr:col>9</xdr:col>
      <xdr:colOff>1642258</xdr:colOff>
      <xdr:row>21</xdr:row>
      <xdr:rowOff>179355</xdr:rowOff>
    </xdr:to>
    <xdr:sp macro="" textlink="">
      <xdr:nvSpPr>
        <xdr:cNvPr id="7" name="Rectangle 6"/>
        <xdr:cNvSpPr/>
      </xdr:nvSpPr>
      <xdr:spPr>
        <a:xfrm>
          <a:off x="950062" y="3534876"/>
          <a:ext cx="3578271" cy="41637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rgbClr val="DE105E"/>
              </a:solidFill>
            </a:rPr>
            <a:t>Envoyer les données dans</a:t>
          </a:r>
          <a:r>
            <a:rPr lang="en-US" sz="1600" b="1" baseline="0">
              <a:solidFill>
                <a:srgbClr val="DE105E"/>
              </a:solidFill>
            </a:rPr>
            <a:t> l'application</a:t>
          </a:r>
          <a:endParaRPr lang="en-US" sz="1600" b="1">
            <a:solidFill>
              <a:srgbClr val="DE105E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106097</xdr:colOff>
      <xdr:row>6</xdr:row>
      <xdr:rowOff>80022</xdr:rowOff>
    </xdr:from>
    <xdr:ext cx="1052149" cy="360179"/>
    <xdr:pic>
      <xdr:nvPicPr>
        <xdr:cNvPr id="3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168" y="188879"/>
          <a:ext cx="1052149" cy="36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27</xdr:col>
      <xdr:colOff>110485</xdr:colOff>
      <xdr:row>7</xdr:row>
      <xdr:rowOff>202183</xdr:rowOff>
    </xdr:from>
    <xdr:ext cx="663490" cy="447949"/>
    <xdr:grpSp>
      <xdr:nvGrpSpPr>
        <xdr:cNvPr id="4" name="Group 3"/>
        <xdr:cNvGrpSpPr>
          <a:grpSpLocks/>
        </xdr:cNvGrpSpPr>
      </xdr:nvGrpSpPr>
      <xdr:grpSpPr bwMode="auto">
        <a:xfrm>
          <a:off x="18248806" y="1916683"/>
          <a:ext cx="663490" cy="447949"/>
          <a:chOff x="1741" y="124"/>
          <a:chExt cx="105" cy="74"/>
        </a:xfrm>
      </xdr:grpSpPr>
      <xdr:pic>
        <xdr:nvPicPr>
          <xdr:cNvPr id="5" name="Picture 3" descr="doc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41" y="124"/>
            <a:ext cx="105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6" name="Picture 16" descr="stylo_2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-2300034">
            <a:off x="1752" y="143"/>
            <a:ext cx="9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oneCellAnchor>
  <xdr:twoCellAnchor editAs="oneCell">
    <xdr:from>
      <xdr:col>7</xdr:col>
      <xdr:colOff>0</xdr:colOff>
      <xdr:row>19</xdr:row>
      <xdr:rowOff>68038</xdr:rowOff>
    </xdr:from>
    <xdr:to>
      <xdr:col>8</xdr:col>
      <xdr:colOff>234662</xdr:colOff>
      <xdr:row>21</xdr:row>
      <xdr:rowOff>144374</xdr:rowOff>
    </xdr:to>
    <xdr:pic macro="[0]!Feuil4.SEND_PFC">
      <xdr:nvPicPr>
        <xdr:cNvPr id="21" name="Image 20" descr="https://encrypted-tbn1.gstatic.com/images?q=tbn:ANd9GcQrWu3aORmJxZeEUOkrFCVtDz1jLhYOvwquwDn9W0UgXE5ooGoREFIaEt_s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76250" y="2354038"/>
          <a:ext cx="438769" cy="443729"/>
        </a:xfrm>
        <a:prstGeom prst="rect">
          <a:avLst/>
        </a:prstGeom>
        <a:noFill/>
        <a:effectLst>
          <a:reflection blurRad="6350" stA="52000" endA="300" endPos="35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8</xdr:col>
      <xdr:colOff>273787</xdr:colOff>
      <xdr:row>19</xdr:row>
      <xdr:rowOff>124926</xdr:rowOff>
    </xdr:from>
    <xdr:to>
      <xdr:col>9</xdr:col>
      <xdr:colOff>1642258</xdr:colOff>
      <xdr:row>21</xdr:row>
      <xdr:rowOff>179355</xdr:rowOff>
    </xdr:to>
    <xdr:sp macro="" textlink="">
      <xdr:nvSpPr>
        <xdr:cNvPr id="22" name="Rectangle 21"/>
        <xdr:cNvSpPr/>
      </xdr:nvSpPr>
      <xdr:spPr>
        <a:xfrm>
          <a:off x="954144" y="2410926"/>
          <a:ext cx="3572828" cy="42182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rgbClr val="DE105E"/>
              </a:solidFill>
            </a:rPr>
            <a:t>Envoyer les données dans</a:t>
          </a:r>
          <a:r>
            <a:rPr lang="en-US" sz="1600" b="1" baseline="0">
              <a:solidFill>
                <a:srgbClr val="DE105E"/>
              </a:solidFill>
            </a:rPr>
            <a:t> l'application</a:t>
          </a:r>
          <a:endParaRPr lang="en-US" sz="1600" b="1">
            <a:solidFill>
              <a:srgbClr val="DE105E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106097</xdr:colOff>
      <xdr:row>6</xdr:row>
      <xdr:rowOff>80022</xdr:rowOff>
    </xdr:from>
    <xdr:ext cx="1052149" cy="360179"/>
    <xdr:pic>
      <xdr:nvPicPr>
        <xdr:cNvPr id="2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9447" y="184797"/>
          <a:ext cx="1052149" cy="36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26</xdr:col>
      <xdr:colOff>110485</xdr:colOff>
      <xdr:row>7</xdr:row>
      <xdr:rowOff>202183</xdr:rowOff>
    </xdr:from>
    <xdr:ext cx="663490" cy="447949"/>
    <xdr:grpSp>
      <xdr:nvGrpSpPr>
        <xdr:cNvPr id="3" name="Group 3"/>
        <xdr:cNvGrpSpPr>
          <a:grpSpLocks/>
        </xdr:cNvGrpSpPr>
      </xdr:nvGrpSpPr>
      <xdr:grpSpPr bwMode="auto">
        <a:xfrm>
          <a:off x="19500664" y="1916683"/>
          <a:ext cx="663490" cy="447949"/>
          <a:chOff x="1741" y="124"/>
          <a:chExt cx="105" cy="74"/>
        </a:xfrm>
      </xdr:grpSpPr>
      <xdr:pic>
        <xdr:nvPicPr>
          <xdr:cNvPr id="4" name="Picture 3" descr="doc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41" y="124"/>
            <a:ext cx="105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5" name="Picture 16" descr="stylo_2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-2300034">
            <a:off x="1752" y="143"/>
            <a:ext cx="9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oneCellAnchor>
  <xdr:twoCellAnchor editAs="oneCell">
    <xdr:from>
      <xdr:col>5</xdr:col>
      <xdr:colOff>0</xdr:colOff>
      <xdr:row>19</xdr:row>
      <xdr:rowOff>272147</xdr:rowOff>
    </xdr:from>
    <xdr:to>
      <xdr:col>6</xdr:col>
      <xdr:colOff>234662</xdr:colOff>
      <xdr:row>21</xdr:row>
      <xdr:rowOff>348484</xdr:rowOff>
    </xdr:to>
    <xdr:pic macro="[0]!Feuil10.SEND_MAN">
      <xdr:nvPicPr>
        <xdr:cNvPr id="8" name="Image 7" descr="https://encrypted-tbn1.gstatic.com/images?q=tbn:ANd9GcQrWu3aORmJxZeEUOkrFCVtDz1jLhYOvwquwDn9W0UgXE5ooGoREFIaEt_s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76250" y="2857504"/>
          <a:ext cx="438769" cy="443729"/>
        </a:xfrm>
        <a:prstGeom prst="rect">
          <a:avLst/>
        </a:prstGeom>
        <a:noFill/>
        <a:effectLst>
          <a:reflection blurRad="6350" stA="52000" endA="300" endPos="35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273787</xdr:colOff>
      <xdr:row>20</xdr:row>
      <xdr:rowOff>2463</xdr:rowOff>
    </xdr:from>
    <xdr:to>
      <xdr:col>7</xdr:col>
      <xdr:colOff>1642258</xdr:colOff>
      <xdr:row>21</xdr:row>
      <xdr:rowOff>383464</xdr:rowOff>
    </xdr:to>
    <xdr:sp macro="" textlink="">
      <xdr:nvSpPr>
        <xdr:cNvPr id="9" name="Rectangle 8"/>
        <xdr:cNvSpPr/>
      </xdr:nvSpPr>
      <xdr:spPr>
        <a:xfrm>
          <a:off x="954144" y="2914392"/>
          <a:ext cx="3572828" cy="42182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rgbClr val="DE105E"/>
              </a:solidFill>
            </a:rPr>
            <a:t>Envoyer les données dans</a:t>
          </a:r>
          <a:r>
            <a:rPr lang="en-US" sz="1600" b="1" baseline="0">
              <a:solidFill>
                <a:srgbClr val="DE105E"/>
              </a:solidFill>
            </a:rPr>
            <a:t> l'application</a:t>
          </a:r>
          <a:endParaRPr lang="en-US" sz="1600" b="1">
            <a:solidFill>
              <a:srgbClr val="DE105E"/>
            </a:solidFill>
          </a:endParaRPr>
        </a:p>
      </xdr:txBody>
    </xdr:sp>
    <xdr:clientData/>
  </xdr:twoCellAnchor>
  <xdr:twoCellAnchor editAs="oneCell">
    <xdr:from>
      <xdr:col>5</xdr:col>
      <xdr:colOff>0</xdr:colOff>
      <xdr:row>18</xdr:row>
      <xdr:rowOff>204109</xdr:rowOff>
    </xdr:from>
    <xdr:to>
      <xdr:col>6</xdr:col>
      <xdr:colOff>234662</xdr:colOff>
      <xdr:row>19</xdr:row>
      <xdr:rowOff>253230</xdr:rowOff>
    </xdr:to>
    <xdr:pic macro="[0]!Feuil10.RETRIEVE_MAN">
      <xdr:nvPicPr>
        <xdr:cNvPr id="10" name="Image 9" descr="https://encrypted-tbn1.gstatic.com/images?q=tbn:ANd9GcQrWu3aORmJxZeEUOkrFCVtDz1jLhYOvwquwDn9W0UgXE5ooGoREFIaEt_s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2394859"/>
          <a:ext cx="438769" cy="443729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273787</xdr:colOff>
      <xdr:row>18</xdr:row>
      <xdr:rowOff>274605</xdr:rowOff>
    </xdr:from>
    <xdr:to>
      <xdr:col>7</xdr:col>
      <xdr:colOff>1642258</xdr:colOff>
      <xdr:row>19</xdr:row>
      <xdr:rowOff>301820</xdr:rowOff>
    </xdr:to>
    <xdr:sp macro="" textlink="">
      <xdr:nvSpPr>
        <xdr:cNvPr id="11" name="Rectangle 10"/>
        <xdr:cNvSpPr/>
      </xdr:nvSpPr>
      <xdr:spPr>
        <a:xfrm>
          <a:off x="954144" y="2465355"/>
          <a:ext cx="3572828" cy="42182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chemeClr val="accent3">
                  <a:lumMod val="75000"/>
                </a:schemeClr>
              </a:solidFill>
            </a:rPr>
            <a:t>Rafraîchir les données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106097</xdr:colOff>
      <xdr:row>6</xdr:row>
      <xdr:rowOff>80022</xdr:rowOff>
    </xdr:from>
    <xdr:ext cx="1052149" cy="360179"/>
    <xdr:pic>
      <xdr:nvPicPr>
        <xdr:cNvPr id="2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9447" y="184797"/>
          <a:ext cx="1052149" cy="36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0</xdr:colOff>
      <xdr:row>19</xdr:row>
      <xdr:rowOff>217714</xdr:rowOff>
    </xdr:from>
    <xdr:to>
      <xdr:col>6</xdr:col>
      <xdr:colOff>234662</xdr:colOff>
      <xdr:row>21</xdr:row>
      <xdr:rowOff>294050</xdr:rowOff>
    </xdr:to>
    <xdr:pic macro="[0]!Feuil9.RETRIEVE_SYNTH">
      <xdr:nvPicPr>
        <xdr:cNvPr id="10" name="Image 9" descr="https://encrypted-tbn1.gstatic.com/images?q=tbn:ANd9GcQrWu3aORmJxZeEUOkrFCVtDz1jLhYOvwquwDn9W0UgXE5ooGoREFIaEt_s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2503714"/>
          <a:ext cx="438769" cy="443729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273787</xdr:colOff>
      <xdr:row>19</xdr:row>
      <xdr:rowOff>288210</xdr:rowOff>
    </xdr:from>
    <xdr:to>
      <xdr:col>7</xdr:col>
      <xdr:colOff>1642258</xdr:colOff>
      <xdr:row>21</xdr:row>
      <xdr:rowOff>342639</xdr:rowOff>
    </xdr:to>
    <xdr:sp macro="" textlink="">
      <xdr:nvSpPr>
        <xdr:cNvPr id="11" name="Rectangle 10"/>
        <xdr:cNvSpPr/>
      </xdr:nvSpPr>
      <xdr:spPr>
        <a:xfrm>
          <a:off x="954144" y="2574210"/>
          <a:ext cx="3572828" cy="42182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chemeClr val="accent3">
                  <a:lumMod val="75000"/>
                </a:schemeClr>
              </a:solidFill>
            </a:rPr>
            <a:t>Rafraîchir les données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5" tint="0.79998168889431442"/>
  </sheetPr>
  <dimension ref="A1:B25"/>
  <sheetViews>
    <sheetView showGridLines="0" workbookViewId="0">
      <selection activeCell="B8" sqref="B8"/>
    </sheetView>
  </sheetViews>
  <sheetFormatPr baseColWidth="10" defaultColWidth="11.42578125" defaultRowHeight="15" x14ac:dyDescent="0.25"/>
  <cols>
    <col min="1" max="1" width="48.140625" style="9" customWidth="1"/>
    <col min="2" max="2" width="35.85546875" customWidth="1"/>
    <col min="3" max="3" width="33.85546875" bestFit="1" customWidth="1"/>
    <col min="4" max="4" width="35.85546875" customWidth="1"/>
  </cols>
  <sheetData>
    <row r="1" spans="1:2" ht="18" x14ac:dyDescent="0.25">
      <c r="A1" s="1" t="s">
        <v>16</v>
      </c>
    </row>
    <row r="2" spans="1:2" x14ac:dyDescent="0.25">
      <c r="A2" s="2"/>
    </row>
    <row r="3" spans="1:2" ht="15.75" x14ac:dyDescent="0.25">
      <c r="A3" s="3" t="s">
        <v>3</v>
      </c>
    </row>
    <row r="4" spans="1:2" x14ac:dyDescent="0.25">
      <c r="A4" s="4" t="s">
        <v>4</v>
      </c>
      <c r="B4" s="5" t="s">
        <v>298</v>
      </c>
    </row>
    <row r="5" spans="1:2" x14ac:dyDescent="0.25">
      <c r="A5" s="4" t="s">
        <v>5</v>
      </c>
      <c r="B5" s="6" t="str">
        <f>LEFT(Server,LEN(Server)-1)</f>
        <v>Tango_Core_Model</v>
      </c>
    </row>
    <row r="6" spans="1:2" x14ac:dyDescent="0.25">
      <c r="A6" s="4" t="s">
        <v>6</v>
      </c>
      <c r="B6" s="7" t="str">
        <f ca="1">_xll.DBRW(Server&amp;"z_admin_param","SERVER_NAME","STR_VAR1")</f>
        <v>FRSAPP021269</v>
      </c>
    </row>
    <row r="7" spans="1:2" x14ac:dyDescent="0.25">
      <c r="A7" s="4" t="s">
        <v>7</v>
      </c>
      <c r="B7" s="7">
        <v>0</v>
      </c>
    </row>
    <row r="8" spans="1:2" x14ac:dyDescent="0.25">
      <c r="A8" s="4" t="s">
        <v>8</v>
      </c>
      <c r="B8" s="7">
        <v>0</v>
      </c>
    </row>
    <row r="9" spans="1:2" ht="15.75" x14ac:dyDescent="0.25">
      <c r="A9" s="3" t="s">
        <v>9</v>
      </c>
    </row>
    <row r="11" spans="1:2" x14ac:dyDescent="0.25">
      <c r="A11" s="4" t="s">
        <v>10</v>
      </c>
      <c r="B11" s="7" t="s">
        <v>108</v>
      </c>
    </row>
    <row r="12" spans="1:2" x14ac:dyDescent="0.25">
      <c r="A12" s="2"/>
    </row>
    <row r="13" spans="1:2" ht="15.75" x14ac:dyDescent="0.25">
      <c r="A13" s="3" t="s">
        <v>11</v>
      </c>
    </row>
    <row r="14" spans="1:2" x14ac:dyDescent="0.25">
      <c r="A14" s="2" t="s">
        <v>12</v>
      </c>
    </row>
    <row r="15" spans="1:2" x14ac:dyDescent="0.25">
      <c r="A15" s="2" t="s">
        <v>13</v>
      </c>
    </row>
    <row r="16" spans="1:2" x14ac:dyDescent="0.25">
      <c r="A16" s="2" t="s">
        <v>14</v>
      </c>
    </row>
    <row r="17" spans="1:1" x14ac:dyDescent="0.25">
      <c r="A17" s="2" t="s">
        <v>15</v>
      </c>
    </row>
    <row r="18" spans="1:1" x14ac:dyDescent="0.25">
      <c r="A18" s="8"/>
    </row>
    <row r="25" spans="1:1" ht="18" x14ac:dyDescent="0.25">
      <c r="A25" s="10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FF0000"/>
    <pageSetUpPr fitToPage="1"/>
  </sheetPr>
  <dimension ref="B1:G15"/>
  <sheetViews>
    <sheetView tabSelected="1" zoomScale="130" zoomScaleNormal="130" workbookViewId="0">
      <selection activeCell="F11" sqref="F11"/>
    </sheetView>
  </sheetViews>
  <sheetFormatPr baseColWidth="10" defaultRowHeight="15" x14ac:dyDescent="0.25"/>
  <cols>
    <col min="1" max="1" width="9.7109375" style="19" customWidth="1"/>
    <col min="2" max="2" width="2.5703125" style="19" customWidth="1"/>
    <col min="3" max="3" width="6.42578125" style="19" customWidth="1"/>
    <col min="4" max="4" width="26.5703125" style="19" customWidth="1"/>
    <col min="5" max="5" width="49.5703125" style="19" customWidth="1"/>
    <col min="6" max="6" width="2" style="19" customWidth="1"/>
    <col min="7" max="7" width="2.5703125" style="19" customWidth="1"/>
    <col min="8" max="16384" width="11.42578125" style="19"/>
  </cols>
  <sheetData>
    <row r="1" spans="2:7" ht="38.25" customHeight="1" x14ac:dyDescent="0.25"/>
    <row r="2" spans="2:7" ht="20.25" customHeight="1" x14ac:dyDescent="0.25">
      <c r="B2" s="27"/>
      <c r="C2" s="28"/>
      <c r="D2" s="28"/>
      <c r="E2" s="28"/>
      <c r="F2" s="28"/>
      <c r="G2" s="29"/>
    </row>
    <row r="3" spans="2:7" ht="15.75" customHeight="1" x14ac:dyDescent="0.25">
      <c r="B3" s="30"/>
      <c r="C3" s="303" t="s">
        <v>92</v>
      </c>
      <c r="D3" s="303"/>
      <c r="E3" s="303"/>
      <c r="F3" s="303"/>
      <c r="G3" s="31"/>
    </row>
    <row r="4" spans="2:7" ht="15.75" customHeight="1" x14ac:dyDescent="0.25">
      <c r="B4" s="30"/>
      <c r="C4" s="304" t="s">
        <v>97</v>
      </c>
      <c r="D4" s="304"/>
      <c r="E4" s="304"/>
      <c r="F4" s="304"/>
      <c r="G4" s="31"/>
    </row>
    <row r="5" spans="2:7" ht="38.25" customHeight="1" x14ac:dyDescent="0.25">
      <c r="B5" s="30"/>
      <c r="C5" s="23"/>
      <c r="D5" s="23"/>
      <c r="E5" s="23"/>
      <c r="F5" s="23"/>
      <c r="G5" s="31"/>
    </row>
    <row r="6" spans="2:7" ht="27.75" customHeight="1" x14ac:dyDescent="0.25">
      <c r="B6" s="30"/>
      <c r="C6" s="165" t="s">
        <v>93</v>
      </c>
      <c r="D6" s="166" t="s">
        <v>94</v>
      </c>
      <c r="E6" s="14"/>
      <c r="F6" s="14"/>
      <c r="G6" s="31"/>
    </row>
    <row r="7" spans="2:7" ht="15.75" x14ac:dyDescent="0.25">
      <c r="B7" s="30"/>
      <c r="C7" s="23"/>
      <c r="D7" s="95" t="s">
        <v>98</v>
      </c>
      <c r="E7" s="96" t="str">
        <f ca="1">_xll.SUBNM(Server&amp;"Period_YTD","","Total_2020")</f>
        <v>Total_2020</v>
      </c>
      <c r="F7" s="15"/>
      <c r="G7" s="31"/>
    </row>
    <row r="8" spans="2:7" ht="15.75" x14ac:dyDescent="0.25">
      <c r="B8" s="30"/>
      <c r="C8" s="23"/>
      <c r="D8" s="97" t="s">
        <v>99</v>
      </c>
      <c r="E8" s="98" t="str">
        <f ca="1">_xll.SUBNM(Server&amp;"GIE_Antennes","","Tot_GIE")</f>
        <v>Tot_GIE</v>
      </c>
      <c r="F8" s="15"/>
      <c r="G8" s="31"/>
    </row>
    <row r="9" spans="2:7" ht="15.75" x14ac:dyDescent="0.25">
      <c r="B9" s="30"/>
      <c r="C9" s="23"/>
      <c r="D9" s="97" t="s">
        <v>100</v>
      </c>
      <c r="E9" s="98" t="str">
        <f ca="1">_xll.SUBNM(Server&amp;"GIE_Partenaires","","Tot_Part")</f>
        <v>Tot_Part</v>
      </c>
      <c r="F9" s="15"/>
      <c r="G9" s="31"/>
    </row>
    <row r="10" spans="2:7" ht="15.75" x14ac:dyDescent="0.25">
      <c r="B10" s="30"/>
      <c r="C10" s="23"/>
      <c r="D10" s="97" t="s">
        <v>66</v>
      </c>
      <c r="E10" s="98" t="str">
        <f ca="1">_xll.SUBNM(Server&amp;"GIE_Nat_Analytique","","Tot_nat_ana")</f>
        <v>Tot_nat_ana</v>
      </c>
      <c r="F10" s="15"/>
      <c r="G10" s="31"/>
    </row>
    <row r="11" spans="2:7" ht="15.75" x14ac:dyDescent="0.25">
      <c r="B11" s="30"/>
      <c r="C11" s="23"/>
      <c r="D11" s="97" t="s">
        <v>2</v>
      </c>
      <c r="E11" s="98" t="str">
        <f ca="1">_xll.SUBNM(Server&amp;"Phase","","FC_2")</f>
        <v>FC_2</v>
      </c>
      <c r="F11" s="15"/>
      <c r="G11" s="31"/>
    </row>
    <row r="12" spans="2:7" ht="15.75" x14ac:dyDescent="0.25">
      <c r="B12" s="30"/>
      <c r="C12" s="23"/>
      <c r="D12" s="99" t="s">
        <v>126</v>
      </c>
      <c r="E12" s="98" t="str">
        <f ca="1">_xll.SUBNM(Server&amp;"GIE_Type_Formation","","Tot_Formation")</f>
        <v>Tot_Formation</v>
      </c>
      <c r="F12" s="15"/>
      <c r="G12" s="31"/>
    </row>
    <row r="13" spans="2:7" ht="17.25" customHeight="1" x14ac:dyDescent="0.25">
      <c r="B13" s="30"/>
      <c r="C13" s="23"/>
      <c r="D13"/>
      <c r="E13" s="17"/>
      <c r="F13" s="23"/>
      <c r="G13" s="31"/>
    </row>
    <row r="14" spans="2:7" ht="27.75" customHeight="1" x14ac:dyDescent="0.25">
      <c r="B14" s="30"/>
      <c r="C14" s="165" t="s">
        <v>96</v>
      </c>
      <c r="D14" s="166" t="s">
        <v>95</v>
      </c>
      <c r="E14" s="14"/>
      <c r="F14" s="14"/>
      <c r="G14" s="31"/>
    </row>
    <row r="15" spans="2:7" ht="22.5" customHeight="1" x14ac:dyDescent="0.25">
      <c r="B15" s="32"/>
      <c r="C15" s="33"/>
      <c r="D15" s="33"/>
      <c r="E15" s="33"/>
      <c r="F15" s="33"/>
      <c r="G15" s="34"/>
    </row>
  </sheetData>
  <sheetProtection formatColumns="0" formatRows="0"/>
  <mergeCells count="2">
    <mergeCell ref="C3:F3"/>
    <mergeCell ref="C4:F4"/>
  </mergeCells>
  <printOptions horizontalCentered="1"/>
  <pageMargins left="0.70866141732283472" right="0.70866141732283472" top="0.74803149606299213" bottom="0.74803149606299213" header="0.31496062992125984" footer="0.31496062992125984"/>
  <pageSetup paperSize="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4" tint="-0.249977111117893"/>
    <pageSetUpPr fitToPage="1"/>
  </sheetPr>
  <dimension ref="A1:AI568"/>
  <sheetViews>
    <sheetView showGridLines="0" topLeftCell="F7" zoomScale="70" zoomScaleNormal="70" workbookViewId="0">
      <selection activeCell="Q25" sqref="Q25"/>
    </sheetView>
  </sheetViews>
  <sheetFormatPr baseColWidth="10" defaultRowHeight="15" x14ac:dyDescent="0.25"/>
  <cols>
    <col min="1" max="2" width="25.28515625" style="259" hidden="1" customWidth="1"/>
    <col min="3" max="3" width="55.42578125" style="259" hidden="1" customWidth="1"/>
    <col min="4" max="4" width="34.5703125" style="259" hidden="1" customWidth="1"/>
    <col min="5" max="5" width="13.42578125" style="259" hidden="1" customWidth="1"/>
    <col min="6" max="6" width="2" style="259" customWidth="1"/>
    <col min="7" max="7" width="5.140625" style="259" customWidth="1"/>
    <col min="8" max="8" width="3" style="259" customWidth="1"/>
    <col min="9" max="10" width="33.140625" style="259" customWidth="1"/>
    <col min="11" max="11" width="2" style="259" customWidth="1"/>
    <col min="12" max="12" width="18.7109375" style="259" customWidth="1"/>
    <col min="13" max="13" width="0.5703125" style="259" customWidth="1"/>
    <col min="14" max="14" width="18.7109375" style="259" customWidth="1"/>
    <col min="15" max="15" width="2" style="259" customWidth="1"/>
    <col min="16" max="16" width="0.85546875" style="259" customWidth="1"/>
    <col min="17" max="28" width="13.85546875" style="259" customWidth="1"/>
    <col min="29" max="29" width="5.85546875" style="259" customWidth="1"/>
    <col min="30" max="30" width="11.42578125" style="259" customWidth="1"/>
    <col min="31" max="31" width="20.5703125" style="259" customWidth="1"/>
    <col min="32" max="32" width="16" style="259" customWidth="1"/>
    <col min="33" max="16384" width="11.42578125" style="259"/>
  </cols>
  <sheetData>
    <row r="1" spans="1:32" s="19" customFormat="1" hidden="1" x14ac:dyDescent="0.25">
      <c r="I1" s="35" t="str">
        <f ca="1">Contexte!$E$7</f>
        <v>Total_2020</v>
      </c>
      <c r="K1" s="35"/>
      <c r="L1" s="35" t="s">
        <v>64</v>
      </c>
      <c r="M1" s="35" t="s">
        <v>64</v>
      </c>
      <c r="N1" s="35" t="s">
        <v>64</v>
      </c>
      <c r="O1" s="35"/>
      <c r="P1" s="36"/>
      <c r="Q1" s="36" t="str">
        <f ca="1">$I$2&amp;".01"</f>
        <v>2020.01</v>
      </c>
      <c r="R1" s="36" t="str">
        <f ca="1">$I$2&amp;".02"</f>
        <v>2020.02</v>
      </c>
      <c r="S1" s="36" t="str">
        <f ca="1">$I$2&amp;".03"</f>
        <v>2020.03</v>
      </c>
      <c r="T1" s="36" t="str">
        <f ca="1">$I$2&amp;".04"</f>
        <v>2020.04</v>
      </c>
      <c r="U1" s="36" t="str">
        <f ca="1">$I$2&amp;".05"</f>
        <v>2020.05</v>
      </c>
      <c r="V1" s="36" t="str">
        <f ca="1">$I$2&amp;".06"</f>
        <v>2020.06</v>
      </c>
      <c r="W1" s="36" t="str">
        <f ca="1">$I$2&amp;".07"</f>
        <v>2020.07</v>
      </c>
      <c r="X1" s="36" t="str">
        <f ca="1">$I$2&amp;".08"</f>
        <v>2020.08</v>
      </c>
      <c r="Y1" s="36" t="str">
        <f ca="1">$I$2&amp;".09"</f>
        <v>2020.09</v>
      </c>
      <c r="Z1" s="36" t="str">
        <f ca="1">$I$2&amp;".10"</f>
        <v>2020.10</v>
      </c>
      <c r="AA1" s="36" t="str">
        <f ca="1">$I$2&amp;".11"</f>
        <v>2020.11</v>
      </c>
      <c r="AB1" s="36" t="str">
        <f ca="1">$I$2&amp;".12"</f>
        <v>2020.12</v>
      </c>
      <c r="AF1" s="19" t="str">
        <f ca="1">$J$17</f>
        <v>FC_2</v>
      </c>
    </row>
    <row r="2" spans="1:32" s="19" customFormat="1" hidden="1" x14ac:dyDescent="0.25">
      <c r="E2" s="19" t="s">
        <v>79</v>
      </c>
      <c r="I2" s="19" t="str">
        <f ca="1">RIGHT(I1,4)</f>
        <v>2020</v>
      </c>
      <c r="L2" s="19" t="str">
        <f ca="1">$I$4</f>
        <v>2018</v>
      </c>
      <c r="N2" s="19" t="str">
        <f ca="1">$I$3</f>
        <v>2019</v>
      </c>
      <c r="AF2" s="36" t="str">
        <f ca="1">"F_Year_"&amp;$I$2</f>
        <v>F_Year_2020</v>
      </c>
    </row>
    <row r="3" spans="1:32" s="19" customFormat="1" ht="23.25" hidden="1" x14ac:dyDescent="0.35">
      <c r="E3" s="19" t="s">
        <v>80</v>
      </c>
      <c r="I3" s="19" t="str">
        <f ca="1">_xll.DBRA(Server&amp;$D$12,$I$2,"Prior Year")</f>
        <v>2019</v>
      </c>
      <c r="L3" s="19" t="s">
        <v>112</v>
      </c>
      <c r="N3" s="19" t="s">
        <v>112</v>
      </c>
      <c r="AD3" s="19">
        <v>0</v>
      </c>
      <c r="AE3" s="19">
        <v>0</v>
      </c>
      <c r="AF3" s="91">
        <v>0</v>
      </c>
    </row>
    <row r="4" spans="1:32" s="19" customFormat="1" hidden="1" x14ac:dyDescent="0.25">
      <c r="E4" s="19" t="s">
        <v>81</v>
      </c>
      <c r="I4" s="19" t="str">
        <f ca="1">_xll.DBRA(Server&amp;$D$12,$I$3,"Prior Year")</f>
        <v>2018</v>
      </c>
    </row>
    <row r="5" spans="1:32" s="19" customFormat="1" ht="14.25" hidden="1" customHeight="1" x14ac:dyDescent="0.25"/>
    <row r="6" spans="1:32" s="19" customFormat="1" ht="8.25" hidden="1" customHeight="1" x14ac:dyDescent="0.25"/>
    <row r="7" spans="1:32" s="19" customFormat="1" ht="44.25" customHeight="1" x14ac:dyDescent="0.25">
      <c r="A7"/>
      <c r="B7"/>
      <c r="C7"/>
      <c r="D7"/>
      <c r="E7"/>
      <c r="F7" s="228"/>
      <c r="G7" s="27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9"/>
    </row>
    <row r="8" spans="1:32" s="19" customFormat="1" ht="39" customHeight="1" x14ac:dyDescent="0.25">
      <c r="A8"/>
      <c r="B8"/>
      <c r="C8"/>
      <c r="D8"/>
      <c r="E8"/>
      <c r="F8" s="228"/>
      <c r="G8" s="30"/>
      <c r="H8" s="23"/>
      <c r="I8" s="307" t="s">
        <v>101</v>
      </c>
      <c r="J8" s="307"/>
      <c r="K8" s="307"/>
      <c r="L8" s="307"/>
      <c r="M8" s="307"/>
      <c r="N8" s="307"/>
      <c r="O8" s="307"/>
      <c r="P8" s="307"/>
      <c r="Q8" s="307"/>
      <c r="R8" s="307"/>
      <c r="S8" s="307"/>
      <c r="T8" s="307"/>
      <c r="U8" s="307"/>
      <c r="V8" s="307"/>
      <c r="W8" s="307"/>
      <c r="X8" s="307"/>
      <c r="Y8" s="307"/>
      <c r="Z8" s="307"/>
      <c r="AA8" s="307"/>
      <c r="AB8" s="307"/>
      <c r="AC8" s="31"/>
    </row>
    <row r="9" spans="1:32" s="19" customFormat="1" ht="23.25" customHeight="1" x14ac:dyDescent="0.25">
      <c r="A9"/>
      <c r="B9"/>
      <c r="C9"/>
      <c r="D9"/>
      <c r="E9"/>
      <c r="F9" s="228"/>
      <c r="G9" s="30"/>
      <c r="H9" s="23"/>
      <c r="I9" s="308" t="str">
        <f ca="1">_xll.DBRA(Server&amp;$D$14,$J14,"French")</f>
        <v>Total Formations</v>
      </c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1">
        <v>0</v>
      </c>
    </row>
    <row r="10" spans="1:32" s="19" customFormat="1" x14ac:dyDescent="0.25">
      <c r="A10"/>
      <c r="B10"/>
      <c r="C10"/>
      <c r="D10"/>
      <c r="E10"/>
      <c r="F10" s="228"/>
      <c r="G10" s="30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31"/>
    </row>
    <row r="11" spans="1:32" s="19" customFormat="1" ht="18.75" x14ac:dyDescent="0.25">
      <c r="A11"/>
      <c r="B11"/>
      <c r="C11"/>
      <c r="D11"/>
      <c r="E11"/>
      <c r="F11" s="228"/>
      <c r="G11" s="30"/>
      <c r="H11" s="23"/>
      <c r="I11" s="16"/>
      <c r="J11" s="14"/>
      <c r="K11" s="14"/>
      <c r="L11" s="14"/>
      <c r="M11" s="14"/>
      <c r="N11" s="14"/>
      <c r="O11" s="14"/>
      <c r="P11" s="24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31"/>
    </row>
    <row r="12" spans="1:32" s="19" customFormat="1" ht="15.75" x14ac:dyDescent="0.25">
      <c r="A12"/>
      <c r="B12"/>
      <c r="C12"/>
      <c r="D12" t="s">
        <v>63</v>
      </c>
      <c r="E12"/>
      <c r="F12" s="228"/>
      <c r="G12" s="30"/>
      <c r="H12" s="23"/>
      <c r="I12" s="40" t="s">
        <v>98</v>
      </c>
      <c r="J12" s="92" t="str">
        <f ca="1">Periode</f>
        <v>Total_2020</v>
      </c>
      <c r="K12" s="15"/>
      <c r="L12" s="15"/>
      <c r="M12" s="15"/>
      <c r="N12" s="15"/>
      <c r="O12" s="15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31"/>
    </row>
    <row r="13" spans="1:32" s="19" customFormat="1" ht="15.75" x14ac:dyDescent="0.25">
      <c r="A13"/>
      <c r="B13"/>
      <c r="C13"/>
      <c r="D13" t="s">
        <v>110</v>
      </c>
      <c r="E13"/>
      <c r="F13" s="228"/>
      <c r="G13" s="30"/>
      <c r="H13" s="23"/>
      <c r="I13" s="41" t="s">
        <v>99</v>
      </c>
      <c r="J13" s="93" t="str">
        <f ca="1">Antenne</f>
        <v>Tot_GIE</v>
      </c>
      <c r="K13" s="15"/>
      <c r="L13" s="15"/>
      <c r="M13" s="15"/>
      <c r="N13" s="15"/>
      <c r="O13" s="15"/>
      <c r="P13" s="24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31"/>
    </row>
    <row r="14" spans="1:32" s="19" customFormat="1" ht="15.75" x14ac:dyDescent="0.25">
      <c r="A14"/>
      <c r="B14"/>
      <c r="C14"/>
      <c r="D14" t="s">
        <v>111</v>
      </c>
      <c r="E14"/>
      <c r="F14" s="228"/>
      <c r="G14" s="30"/>
      <c r="H14" s="23"/>
      <c r="I14" s="41" t="s">
        <v>65</v>
      </c>
      <c r="J14" s="93" t="str">
        <f ca="1">Type_de_formation</f>
        <v>Tot_Formation</v>
      </c>
      <c r="K14" s="15"/>
      <c r="L14" s="15"/>
      <c r="M14" s="15"/>
      <c r="N14" s="15"/>
      <c r="O14" s="15"/>
      <c r="P14" s="24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31"/>
    </row>
    <row r="15" spans="1:32" s="19" customFormat="1" ht="15.75" x14ac:dyDescent="0.25">
      <c r="A15"/>
      <c r="B15"/>
      <c r="C15"/>
      <c r="D15" t="s">
        <v>109</v>
      </c>
      <c r="E15"/>
      <c r="F15" s="228"/>
      <c r="G15" s="30"/>
      <c r="H15" s="23"/>
      <c r="I15" s="41" t="s">
        <v>100</v>
      </c>
      <c r="J15" s="93" t="str">
        <f ca="1">Partenaire</f>
        <v>Tot_Part</v>
      </c>
      <c r="K15" s="15"/>
      <c r="L15" s="15"/>
      <c r="M15" s="15"/>
      <c r="N15" s="15"/>
      <c r="O15" s="15"/>
      <c r="P15" s="24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31"/>
    </row>
    <row r="16" spans="1:32" s="19" customFormat="1" ht="15.75" x14ac:dyDescent="0.25">
      <c r="A16"/>
      <c r="B16"/>
      <c r="C16"/>
      <c r="D16" t="s">
        <v>1</v>
      </c>
      <c r="E16"/>
      <c r="F16" s="228"/>
      <c r="G16" s="30"/>
      <c r="H16" s="23"/>
      <c r="I16" s="41" t="s">
        <v>66</v>
      </c>
      <c r="J16" s="93" t="str">
        <f ca="1">Nature_Analytique</f>
        <v>Tot_nat_ana</v>
      </c>
      <c r="K16" s="15"/>
      <c r="L16" s="15"/>
      <c r="M16" s="15"/>
      <c r="N16" s="15"/>
      <c r="O16" s="15"/>
      <c r="P16" s="24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31"/>
    </row>
    <row r="17" spans="1:35" s="19" customFormat="1" ht="15.75" x14ac:dyDescent="0.25">
      <c r="A17"/>
      <c r="B17"/>
      <c r="C17"/>
      <c r="D17" t="s">
        <v>2</v>
      </c>
      <c r="E17"/>
      <c r="F17" s="228"/>
      <c r="G17" s="30"/>
      <c r="H17" s="23"/>
      <c r="I17" s="42" t="s">
        <v>2</v>
      </c>
      <c r="J17" s="94" t="str">
        <f ca="1">Phase</f>
        <v>FC_2</v>
      </c>
      <c r="K17" s="15"/>
      <c r="L17" s="15"/>
      <c r="M17" s="15"/>
      <c r="N17" s="15"/>
      <c r="O17" s="15"/>
      <c r="P17" s="24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31"/>
    </row>
    <row r="18" spans="1:35" s="19" customFormat="1" ht="3" customHeight="1" x14ac:dyDescent="0.25">
      <c r="A18"/>
      <c r="B18"/>
      <c r="C18"/>
      <c r="D18"/>
      <c r="E18"/>
      <c r="F18" s="228"/>
      <c r="G18" s="30"/>
      <c r="H18" s="23"/>
      <c r="I18" s="23"/>
      <c r="J18" s="104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31"/>
    </row>
    <row r="19" spans="1:35" s="19" customFormat="1" ht="30.75" customHeight="1" x14ac:dyDescent="0.3">
      <c r="A19"/>
      <c r="B19"/>
      <c r="C19"/>
      <c r="D19"/>
      <c r="E19"/>
      <c r="F19" s="228"/>
      <c r="G19" s="30"/>
      <c r="H19" s="23"/>
      <c r="I19" s="89"/>
      <c r="J19" s="88"/>
      <c r="K19" s="23"/>
      <c r="L19" s="131"/>
      <c r="M19" s="23"/>
      <c r="N19" s="23"/>
      <c r="O19" s="23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31"/>
    </row>
    <row r="20" spans="1:35" s="19" customFormat="1" ht="25.5" customHeight="1" x14ac:dyDescent="0.25">
      <c r="A20"/>
      <c r="B20"/>
      <c r="C20"/>
      <c r="D20"/>
      <c r="E20"/>
      <c r="F20" s="228"/>
      <c r="G20" s="30"/>
      <c r="H20" s="23"/>
      <c r="I20" s="23"/>
      <c r="J20" s="23"/>
      <c r="K20" s="104"/>
      <c r="L20" s="104"/>
      <c r="M20" s="104"/>
      <c r="N20" s="104"/>
      <c r="O20" s="104"/>
      <c r="P20" s="309"/>
      <c r="Q20" s="309"/>
      <c r="R20" s="309"/>
      <c r="S20" s="309"/>
      <c r="T20" s="309"/>
      <c r="U20" s="309"/>
      <c r="V20" s="309"/>
      <c r="W20" s="309"/>
      <c r="X20" s="309"/>
      <c r="Y20" s="309"/>
      <c r="Z20" s="309"/>
      <c r="AA20" s="309"/>
      <c r="AB20" s="309"/>
      <c r="AC20" s="31"/>
    </row>
    <row r="21" spans="1:35" s="19" customFormat="1" ht="3" customHeight="1" x14ac:dyDescent="0.25">
      <c r="A21"/>
      <c r="B21"/>
      <c r="C21"/>
      <c r="D21"/>
      <c r="E21"/>
      <c r="F21" s="228"/>
      <c r="G21" s="30"/>
      <c r="H21" s="23"/>
      <c r="I21" s="23"/>
      <c r="J21" s="104"/>
      <c r="K21" s="23"/>
      <c r="L21" s="23"/>
      <c r="M21" s="23"/>
      <c r="N21" s="23"/>
      <c r="O21" s="23"/>
      <c r="P21" s="128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31"/>
    </row>
    <row r="22" spans="1:35" s="19" customFormat="1" ht="39" customHeight="1" x14ac:dyDescent="0.3">
      <c r="A22"/>
      <c r="B22"/>
      <c r="C22"/>
      <c r="D22" t="s">
        <v>68</v>
      </c>
      <c r="E22"/>
      <c r="F22" s="228"/>
      <c r="G22" s="30"/>
      <c r="H22" s="23"/>
      <c r="I22" s="23"/>
      <c r="J22" s="25"/>
      <c r="K22" s="25"/>
      <c r="L22" s="48" t="str">
        <f ca="1">_xll.DBRA(Server&amp;$D$17,L$1,"French")&amp;" - "&amp;$L$2</f>
        <v>Réalisé - 2018</v>
      </c>
      <c r="M22" s="25"/>
      <c r="N22" s="48" t="str">
        <f ca="1">_xll.DBRA(Server&amp;$D$17,N$1,"French")&amp;" - "&amp;$N$2</f>
        <v>Réalisé - 2019</v>
      </c>
      <c r="O22" s="47"/>
      <c r="P22" s="129"/>
      <c r="Q22" s="48" t="str">
        <f ca="1">_xll.DBRA(Server&amp;$D$12,Q$1,"French")</f>
        <v>janv-20</v>
      </c>
      <c r="R22" s="48" t="str">
        <f ca="1">_xll.DBRA(Server&amp;$D$12,R$1,"French")</f>
        <v>févr-20</v>
      </c>
      <c r="S22" s="48" t="str">
        <f ca="1">_xll.DBRA(Server&amp;$D$12,S$1,"French")</f>
        <v>mars-20</v>
      </c>
      <c r="T22" s="48" t="str">
        <f ca="1">_xll.DBRA(Server&amp;$D$12,T$1,"French")</f>
        <v>avr-20</v>
      </c>
      <c r="U22" s="48" t="str">
        <f ca="1">_xll.DBRA(Server&amp;$D$12,U$1,"French")</f>
        <v>mai-20</v>
      </c>
      <c r="V22" s="48" t="str">
        <f ca="1">_xll.DBRA(Server&amp;$D$12,V$1,"French")</f>
        <v>juin-20</v>
      </c>
      <c r="W22" s="48" t="str">
        <f ca="1">_xll.DBRA(Server&amp;$D$12,W$1,"French")</f>
        <v>juil-20</v>
      </c>
      <c r="X22" s="48" t="str">
        <f ca="1">_xll.DBRA(Server&amp;$D$12,X$1,"French")</f>
        <v>août-20</v>
      </c>
      <c r="Y22" s="48" t="str">
        <f ca="1">_xll.DBRA(Server&amp;$D$12,Y$1,"French")</f>
        <v>sept-20</v>
      </c>
      <c r="Z22" s="48" t="str">
        <f ca="1">_xll.DBRA(Server&amp;$D$12,Z$1,"French")</f>
        <v>oct-20</v>
      </c>
      <c r="AA22" s="48" t="str">
        <f ca="1">_xll.DBRA(Server&amp;$D$12,AA$1,"French")</f>
        <v>nov-20</v>
      </c>
      <c r="AB22" s="48" t="str">
        <f ca="1">_xll.DBRA(Server&amp;$D$12,AB$1,"French")</f>
        <v>déc-20</v>
      </c>
      <c r="AC22" s="31"/>
    </row>
    <row r="23" spans="1:35" s="19" customFormat="1" ht="11.25" customHeight="1" x14ac:dyDescent="0.25">
      <c r="A23" s="17"/>
      <c r="B23" s="17"/>
      <c r="C23" s="17"/>
      <c r="D23" s="17"/>
      <c r="E23"/>
      <c r="F23" s="228"/>
      <c r="G23" s="167"/>
      <c r="H23" s="104"/>
      <c r="I23" s="26"/>
      <c r="J23" s="26"/>
      <c r="K23" s="26"/>
      <c r="L23" s="44"/>
      <c r="M23" s="26"/>
      <c r="N23" s="44"/>
      <c r="O23" s="26"/>
      <c r="P23" s="18"/>
      <c r="Q23" s="44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6"/>
      <c r="AC23" s="168"/>
    </row>
    <row r="24" spans="1:35" s="19" customFormat="1" ht="16.5" thickBot="1" x14ac:dyDescent="0.3">
      <c r="A24"/>
      <c r="B24" s="198" t="s">
        <v>115</v>
      </c>
      <c r="C24" s="216" t="s">
        <v>184</v>
      </c>
      <c r="D24" s="226" t="str">
        <f>B24</f>
        <v>706025b</v>
      </c>
      <c r="E24"/>
      <c r="F24" s="228"/>
      <c r="G24" s="169"/>
      <c r="H24" s="105"/>
      <c r="I24" s="306" t="str">
        <f ca="1">_xll.DBRA(Server&amp;$D$22,$B24,"French")</f>
        <v>Prestations pédagogiques</v>
      </c>
      <c r="J24" s="306" t="str">
        <f ca="1">_xll.DBRA(Server&amp;$D$22,$D24,"French")</f>
        <v>Prestations pédagogiques</v>
      </c>
      <c r="K24" s="39"/>
      <c r="L24" s="67">
        <f ca="1">_xll.DBRW(Server&amp;Cube1,$J$13,$L$3,$J$15,$L$1,$L$2,$J$16,$D24)</f>
        <v>2459192.34</v>
      </c>
      <c r="M24" s="39"/>
      <c r="N24" s="67">
        <f ca="1">_xll.DBRW(Server&amp;Cube1,$J$13,$N$3,$J$15,$N$1,$N$2,$J$16,$D24)</f>
        <v>2403644.4200000004</v>
      </c>
      <c r="O24" s="68"/>
      <c r="P24" s="69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31"/>
    </row>
    <row r="25" spans="1:35" s="19" customFormat="1" ht="16.5" thickTop="1" x14ac:dyDescent="0.25">
      <c r="A25"/>
      <c r="B25" s="198" t="s">
        <v>144</v>
      </c>
      <c r="C25" s="217" t="s">
        <v>185</v>
      </c>
      <c r="D25" s="226" t="str">
        <f t="shared" ref="D25:D88" si="0">B25</f>
        <v>706025c</v>
      </c>
      <c r="E25"/>
      <c r="F25" s="228"/>
      <c r="G25" s="169"/>
      <c r="H25" s="105"/>
      <c r="I25" s="305" t="str">
        <f ca="1">_xll.DBRA(Server&amp;$D$22,$B25,"French")</f>
        <v>Prestations Formations continues</v>
      </c>
      <c r="J25" s="305"/>
      <c r="K25" s="37"/>
      <c r="L25" s="54">
        <f ca="1">_xll.DBRW(Server&amp;Cube1,$J$13,$L$3,$J$15,$L$1,$L$2,$J$16,$D25)</f>
        <v>2459192.34</v>
      </c>
      <c r="M25" s="37"/>
      <c r="N25" s="54">
        <f ca="1">_xll.DBRW(Server&amp;Cube1,$J$13,$N$3,$J$15,$N$1,$N$2,$J$16,$D25)</f>
        <v>2403644.4200000004</v>
      </c>
      <c r="O25" s="55"/>
      <c r="P25" s="57"/>
      <c r="Q25" s="295">
        <v>0</v>
      </c>
      <c r="R25" s="295">
        <v>0</v>
      </c>
      <c r="S25" s="338">
        <v>0</v>
      </c>
      <c r="T25" s="338">
        <v>0</v>
      </c>
      <c r="U25" s="338">
        <v>0</v>
      </c>
      <c r="V25" s="338">
        <v>0</v>
      </c>
      <c r="W25" s="109">
        <v>0</v>
      </c>
      <c r="X25" s="109">
        <v>0</v>
      </c>
      <c r="Y25" s="109">
        <v>0</v>
      </c>
      <c r="Z25" s="109">
        <v>0</v>
      </c>
      <c r="AA25" s="109">
        <v>0</v>
      </c>
      <c r="AB25" s="109">
        <v>0</v>
      </c>
      <c r="AC25" s="31"/>
      <c r="AF25" s="90" t="str">
        <f ca="1">IF(xflag=1,_xll.DBSW(#REF!,Server&amp;Cube1,$J$13,$J$14,$J$15,#REF!,AF$2,$J$16,$D25),_xll.DBRW(Server&amp;Cube1,$J$13,$J$14,$J$15,#REF!,AF$2,$J$16,$D25))</f>
        <v>*KEY_ERR</v>
      </c>
    </row>
    <row r="26" spans="1:35" s="19" customFormat="1" ht="15.75" x14ac:dyDescent="0.25">
      <c r="A26"/>
      <c r="B26" s="198" t="s">
        <v>145</v>
      </c>
      <c r="C26" s="218" t="s">
        <v>186</v>
      </c>
      <c r="D26" s="226" t="str">
        <f t="shared" si="0"/>
        <v>706025d</v>
      </c>
      <c r="E26"/>
      <c r="F26" s="228"/>
      <c r="G26" s="170"/>
      <c r="H26" s="106"/>
      <c r="I26" s="305" t="str">
        <f ca="1">_xll.DBRA(Server&amp;$D$22,$B26,"French")</f>
        <v>Prestations FCO Simples</v>
      </c>
      <c r="J26" s="305"/>
      <c r="K26" s="37"/>
      <c r="L26" s="54">
        <f ca="1">_xll.DBRW(Server&amp;Cube1,$J$13,$L$3,$J$15,$L$1,$L$2,$J$16,$D26)</f>
        <v>0</v>
      </c>
      <c r="M26" s="37"/>
      <c r="N26" s="54">
        <f ca="1">_xll.DBRW(Server&amp;Cube1,$J$13,$N$3,$J$15,$N$1,$N$2,$J$16,$D26)</f>
        <v>0</v>
      </c>
      <c r="O26" s="55"/>
      <c r="P26" s="57"/>
      <c r="Q26" s="295">
        <v>0</v>
      </c>
      <c r="R26" s="295">
        <v>0</v>
      </c>
      <c r="S26" s="338">
        <v>0</v>
      </c>
      <c r="T26" s="338">
        <v>6</v>
      </c>
      <c r="U26" s="338">
        <v>0</v>
      </c>
      <c r="V26" s="338">
        <v>0</v>
      </c>
      <c r="W26" s="109">
        <v>0</v>
      </c>
      <c r="X26" s="109">
        <v>0</v>
      </c>
      <c r="Y26" s="109">
        <v>0</v>
      </c>
      <c r="Z26" s="109">
        <v>0</v>
      </c>
      <c r="AA26" s="109">
        <v>0</v>
      </c>
      <c r="AB26" s="109">
        <v>0</v>
      </c>
      <c r="AC26" s="31"/>
      <c r="AF26" s="90" t="str">
        <f ca="1">IF(xflag=1,_xll.DBSW(#REF!,Server&amp;Cube1,$J$13,$J$14,$J$15,#REF!,AF$2,$J$16,$D26),_xll.DBRW(Server&amp;Cube1,$J$13,$J$14,$J$15,#REF!,AF$2,$J$16,$D26))</f>
        <v>*KEY_ERR</v>
      </c>
    </row>
    <row r="27" spans="1:35" s="19" customFormat="1" ht="15.75" x14ac:dyDescent="0.25">
      <c r="A27"/>
      <c r="B27" s="198" t="s">
        <v>146</v>
      </c>
      <c r="C27" s="218" t="s">
        <v>187</v>
      </c>
      <c r="D27" s="226" t="str">
        <f t="shared" si="0"/>
        <v>706025e</v>
      </c>
      <c r="E27"/>
      <c r="F27" s="228"/>
      <c r="G27" s="169"/>
      <c r="H27" s="105"/>
      <c r="I27" s="305" t="str">
        <f ca="1">_xll.DBRA(Server&amp;$D$22,$B27,"French")</f>
        <v>Prestations FCO Complètes</v>
      </c>
      <c r="J27" s="305"/>
      <c r="K27" s="37"/>
      <c r="L27" s="54">
        <f ca="1">_xll.DBRW(Server&amp;Cube1,$J$13,$L$3,$J$15,$L$1,$L$2,$J$16,$D27)</f>
        <v>0</v>
      </c>
      <c r="M27" s="37"/>
      <c r="N27" s="54">
        <f ca="1">_xll.DBRW(Server&amp;Cube1,$J$13,$N$3,$J$15,$N$1,$N$2,$J$16,$D27)</f>
        <v>0</v>
      </c>
      <c r="O27" s="55"/>
      <c r="P27" s="57"/>
      <c r="Q27" s="295">
        <v>0</v>
      </c>
      <c r="R27" s="295">
        <v>0</v>
      </c>
      <c r="S27" s="338">
        <v>0</v>
      </c>
      <c r="T27" s="338">
        <v>0</v>
      </c>
      <c r="U27" s="338">
        <v>0</v>
      </c>
      <c r="V27" s="338">
        <v>0</v>
      </c>
      <c r="W27" s="109">
        <v>0</v>
      </c>
      <c r="X27" s="109">
        <v>0</v>
      </c>
      <c r="Y27" s="109">
        <v>0</v>
      </c>
      <c r="Z27" s="109">
        <v>0</v>
      </c>
      <c r="AA27" s="109">
        <v>0</v>
      </c>
      <c r="AB27" s="109">
        <v>0</v>
      </c>
      <c r="AC27" s="31"/>
      <c r="AF27" s="90" t="str">
        <f ca="1">IF(xflag=1,_xll.DBSW(#REF!,Server&amp;Cube1,$J$13,$J$14,$J$15,#REF!,AF$2,$J$16,$D27),_xll.DBRW(Server&amp;Cube1,$J$13,$J$14,$J$15,#REF!,AF$2,$J$16,$D27))</f>
        <v>*KEY_ERR</v>
      </c>
    </row>
    <row r="28" spans="1:35" s="19" customFormat="1" ht="15.75" x14ac:dyDescent="0.25">
      <c r="A28"/>
      <c r="B28" s="198" t="s">
        <v>166</v>
      </c>
      <c r="C28" s="218" t="s">
        <v>188</v>
      </c>
      <c r="D28" s="226" t="str">
        <f t="shared" si="0"/>
        <v>706025h</v>
      </c>
      <c r="E28"/>
      <c r="F28" s="228"/>
      <c r="G28" s="171"/>
      <c r="H28" s="107"/>
      <c r="I28" s="305" t="str">
        <f ca="1">_xll.DBRA(Server&amp;$D$22,$B28,"French")</f>
        <v>Prestations Formations initiales</v>
      </c>
      <c r="J28" s="305"/>
      <c r="K28" s="37"/>
      <c r="L28" s="54">
        <f ca="1">_xll.DBRW(Server&amp;Cube1,$J$13,$L$3,$J$15,$L$1,$L$2,$J$16,$D28)</f>
        <v>0</v>
      </c>
      <c r="M28" s="37"/>
      <c r="N28" s="54">
        <f ca="1">_xll.DBRW(Server&amp;Cube1,$J$13,$N$3,$J$15,$N$1,$N$2,$J$16,$D28)</f>
        <v>0</v>
      </c>
      <c r="O28" s="55"/>
      <c r="P28" s="57"/>
      <c r="Q28" s="295">
        <v>0</v>
      </c>
      <c r="R28" s="295">
        <v>0</v>
      </c>
      <c r="S28" s="338">
        <v>18</v>
      </c>
      <c r="T28" s="338">
        <v>0</v>
      </c>
      <c r="U28" s="338">
        <v>0</v>
      </c>
      <c r="V28" s="338">
        <v>0</v>
      </c>
      <c r="W28" s="109">
        <v>0</v>
      </c>
      <c r="X28" s="109">
        <v>0</v>
      </c>
      <c r="Y28" s="109">
        <v>0</v>
      </c>
      <c r="Z28" s="109">
        <v>0</v>
      </c>
      <c r="AA28" s="109">
        <v>0</v>
      </c>
      <c r="AB28" s="109">
        <v>0</v>
      </c>
      <c r="AC28" s="31"/>
      <c r="AF28" s="90" t="str">
        <f ca="1">IF(xflag=1,_xll.DBSW(#REF!,Server&amp;Cube1,$J$13,$J$14,$J$15,#REF!,AF$2,$J$16,$D28),_xll.DBRW(Server&amp;Cube1,$J$13,$J$14,$J$15,#REF!,AF$2,$J$16,$D28))</f>
        <v>*KEY_ERR</v>
      </c>
      <c r="AI28" s="19">
        <v>1</v>
      </c>
    </row>
    <row r="29" spans="1:35" s="19" customFormat="1" ht="15.75" x14ac:dyDescent="0.25">
      <c r="A29" t="s">
        <v>69</v>
      </c>
      <c r="B29" s="198" t="s">
        <v>147</v>
      </c>
      <c r="C29" s="218" t="s">
        <v>189</v>
      </c>
      <c r="D29" s="226" t="str">
        <f t="shared" si="0"/>
        <v>706025f</v>
      </c>
      <c r="E29"/>
      <c r="F29" s="228"/>
      <c r="G29" s="171"/>
      <c r="H29" s="107"/>
      <c r="I29" s="305" t="str">
        <f ca="1">_xll.DBRA(Server&amp;$D$22,$B29,"French")</f>
        <v>Ajustement Véhicules</v>
      </c>
      <c r="J29" s="305"/>
      <c r="K29" s="37"/>
      <c r="L29" s="54">
        <f ca="1">_xll.DBRW(Server&amp;Cube1,$J$13,$L$3,$J$15,$L$1,$L$2,$J$16,$D29)</f>
        <v>0</v>
      </c>
      <c r="M29" s="37"/>
      <c r="N29" s="54">
        <f ca="1">_xll.DBRW(Server&amp;Cube1,$J$13,$N$3,$J$15,$N$1,$N$2,$J$16,$D29)</f>
        <v>0</v>
      </c>
      <c r="O29" s="55"/>
      <c r="P29" s="57"/>
      <c r="Q29" s="295">
        <v>0</v>
      </c>
      <c r="R29" s="295">
        <v>0</v>
      </c>
      <c r="S29" s="338">
        <v>0</v>
      </c>
      <c r="T29" s="338">
        <v>0</v>
      </c>
      <c r="U29" s="338">
        <v>0</v>
      </c>
      <c r="V29" s="338">
        <v>0</v>
      </c>
      <c r="W29" s="109">
        <v>0</v>
      </c>
      <c r="X29" s="109">
        <v>0</v>
      </c>
      <c r="Y29" s="109">
        <v>0</v>
      </c>
      <c r="Z29" s="109">
        <v>0</v>
      </c>
      <c r="AA29" s="109">
        <v>0</v>
      </c>
      <c r="AB29" s="109">
        <v>0</v>
      </c>
      <c r="AC29" s="31"/>
      <c r="AF29" s="90" t="str">
        <f ca="1">IF(xflag=1,_xll.DBSW(#REF!,Server&amp;Cube1,$J$13,$J$14,$J$15,#REF!,AF$2,$J$16,$D29),_xll.DBRW(Server&amp;Cube1,$J$13,$J$14,$J$15,#REF!,AF$2,$J$16,$D29))</f>
        <v>*KEY_ERR</v>
      </c>
    </row>
    <row r="30" spans="1:35" s="19" customFormat="1" ht="15.75" x14ac:dyDescent="0.25">
      <c r="A30"/>
      <c r="B30" s="198" t="s">
        <v>148</v>
      </c>
      <c r="C30" s="218" t="s">
        <v>190</v>
      </c>
      <c r="D30" s="226" t="str">
        <f t="shared" si="0"/>
        <v>706025g</v>
      </c>
      <c r="E30"/>
      <c r="F30" s="228"/>
      <c r="G30" s="171"/>
      <c r="H30" s="107"/>
      <c r="I30" s="305" t="str">
        <f ca="1">_xll.DBRA(Server&amp;$D$22,$B30,"French")</f>
        <v>Ajustement Formateurs</v>
      </c>
      <c r="J30" s="305"/>
      <c r="K30" s="37"/>
      <c r="L30" s="54">
        <f ca="1">_xll.DBRW(Server&amp;Cube1,$J$13,$L$3,$J$15,$L$1,$L$2,$J$16,$D30)</f>
        <v>0</v>
      </c>
      <c r="M30" s="37"/>
      <c r="N30" s="54">
        <f ca="1">_xll.DBRW(Server&amp;Cube1,$J$13,$N$3,$J$15,$N$1,$N$2,$J$16,$D30)</f>
        <v>0</v>
      </c>
      <c r="O30" s="55"/>
      <c r="P30" s="57"/>
      <c r="Q30" s="295">
        <v>0</v>
      </c>
      <c r="R30" s="295">
        <v>0</v>
      </c>
      <c r="S30" s="338">
        <v>0</v>
      </c>
      <c r="T30" s="338">
        <v>0</v>
      </c>
      <c r="U30" s="338">
        <v>0</v>
      </c>
      <c r="V30" s="338">
        <v>0</v>
      </c>
      <c r="W30" s="109">
        <v>0</v>
      </c>
      <c r="X30" s="109">
        <v>0</v>
      </c>
      <c r="Y30" s="109">
        <v>0</v>
      </c>
      <c r="Z30" s="109">
        <v>0</v>
      </c>
      <c r="AA30" s="109">
        <v>0</v>
      </c>
      <c r="AB30" s="109">
        <v>0</v>
      </c>
      <c r="AC30" s="31"/>
      <c r="AF30" s="90" t="str">
        <f ca="1">IF(xflag=1,_xll.DBSW(#REF!,Server&amp;Cube1,$J$13,$J$14,$J$15,#REF!,AF$2,$J$16,$D30),_xll.DBRW(Server&amp;Cube1,$J$13,$J$14,$J$15,#REF!,AF$2,$J$16,$D30))</f>
        <v>*KEY_ERR</v>
      </c>
    </row>
    <row r="31" spans="1:35" s="19" customFormat="1" ht="15.75" x14ac:dyDescent="0.25">
      <c r="A31"/>
      <c r="B31" s="199"/>
      <c r="C31" s="207"/>
      <c r="D31" s="226"/>
      <c r="E31"/>
      <c r="F31" s="228"/>
      <c r="G31" s="170"/>
      <c r="H31" s="106"/>
      <c r="I31" s="43"/>
      <c r="J31" s="43"/>
      <c r="K31" s="38"/>
      <c r="L31" s="62"/>
      <c r="M31" s="38"/>
      <c r="N31" s="62"/>
      <c r="O31" s="63"/>
      <c r="P31" s="64"/>
      <c r="Q31" s="113"/>
      <c r="R31" s="113"/>
      <c r="S31" s="339"/>
      <c r="T31" s="339"/>
      <c r="U31" s="339"/>
      <c r="V31" s="339"/>
      <c r="W31" s="113"/>
      <c r="X31" s="113"/>
      <c r="Y31" s="113"/>
      <c r="Z31" s="113"/>
      <c r="AA31" s="113"/>
      <c r="AB31" s="113"/>
      <c r="AC31" s="31"/>
    </row>
    <row r="32" spans="1:35" s="19" customFormat="1" ht="16.5" thickBot="1" x14ac:dyDescent="0.3">
      <c r="A32"/>
      <c r="B32" s="198" t="s">
        <v>116</v>
      </c>
      <c r="C32" s="216" t="s">
        <v>191</v>
      </c>
      <c r="D32" s="226" t="str">
        <f t="shared" si="0"/>
        <v>706025a</v>
      </c>
      <c r="E32"/>
      <c r="F32" s="228"/>
      <c r="G32" s="169"/>
      <c r="H32" s="105"/>
      <c r="I32" s="306" t="str">
        <f ca="1">_xll.DBRA(Server&amp;$D$22,$D32,"French")</f>
        <v>Frais de déplacement formateurs / jour</v>
      </c>
      <c r="J32" s="306" t="str">
        <f ca="1">_xll.DBRA(Server&amp;$D$22,$D32,"French")</f>
        <v>Frais de déplacement formateurs / jour</v>
      </c>
      <c r="K32" s="39"/>
      <c r="L32" s="67">
        <f ca="1">_xll.DBRW(Server&amp;Cube1,$J$13,$L$3,$J$15,$L$1,$L$2,$J$16,$D32)</f>
        <v>21981.65</v>
      </c>
      <c r="M32" s="39"/>
      <c r="N32" s="67">
        <f ca="1">_xll.DBRW(Server&amp;Cube1,$J$13,$N$3,$J$15,$N$1,$N$2,$J$16,$D32)</f>
        <v>7203</v>
      </c>
      <c r="O32" s="68"/>
      <c r="P32" s="69"/>
      <c r="Q32" s="295">
        <v>0</v>
      </c>
      <c r="R32" s="295">
        <v>0</v>
      </c>
      <c r="S32" s="338">
        <v>0</v>
      </c>
      <c r="T32" s="338">
        <v>0</v>
      </c>
      <c r="U32" s="338">
        <v>0</v>
      </c>
      <c r="V32" s="338">
        <v>0</v>
      </c>
      <c r="W32" s="109">
        <v>0</v>
      </c>
      <c r="X32" s="109">
        <v>0</v>
      </c>
      <c r="Y32" s="109">
        <v>0</v>
      </c>
      <c r="Z32" s="109">
        <v>0</v>
      </c>
      <c r="AA32" s="109">
        <v>0</v>
      </c>
      <c r="AB32" s="109">
        <v>0</v>
      </c>
      <c r="AC32" s="31"/>
      <c r="AF32" s="90" t="str">
        <f ca="1">IF(xflag=1,_xll.DBSW(#REF!,Server&amp;Cube1,$J$13,$J$14,$J$15,#REF!,AF$2,$J$16,$D32),_xll.DBRW(Server&amp;Cube1,$J$13,$J$14,$J$15,#REF!,AF$2,$J$16,$D32))</f>
        <v>*KEY_ERR</v>
      </c>
    </row>
    <row r="33" spans="1:35" s="19" customFormat="1" ht="17.25" customHeight="1" thickTop="1" thickBot="1" x14ac:dyDescent="0.3">
      <c r="A33"/>
      <c r="B33" s="198" t="s">
        <v>71</v>
      </c>
      <c r="C33" s="216" t="s">
        <v>192</v>
      </c>
      <c r="D33" s="226" t="str">
        <f t="shared" si="0"/>
        <v>708800b</v>
      </c>
      <c r="E33"/>
      <c r="F33" s="228"/>
      <c r="G33" s="171"/>
      <c r="H33" s="107"/>
      <c r="I33" s="306" t="str">
        <f ca="1">_xll.DBRA(Server&amp;$D$22,$D33,"French")</f>
        <v>Frais de déplacement stagiaires / jour</v>
      </c>
      <c r="J33" s="306" t="str">
        <f ca="1">_xll.DBRA(Server&amp;$D$22,$D33,"French")</f>
        <v>Frais de déplacement stagiaires / jour</v>
      </c>
      <c r="K33" s="39"/>
      <c r="L33" s="67">
        <f ca="1">_xll.DBRW(Server&amp;Cube1,$J$13,$L$3,$J$15,$L$1,$L$2,$J$16,$D33)</f>
        <v>107564</v>
      </c>
      <c r="M33" s="39"/>
      <c r="N33" s="67">
        <f ca="1">_xll.DBRW(Server&amp;Cube1,$J$13,$N$3,$J$15,$N$1,$N$2,$J$16,$D33)</f>
        <v>95368</v>
      </c>
      <c r="O33" s="68"/>
      <c r="P33" s="69"/>
      <c r="Q33" s="295">
        <v>0</v>
      </c>
      <c r="R33" s="295">
        <v>0</v>
      </c>
      <c r="S33" s="338">
        <v>0</v>
      </c>
      <c r="T33" s="338">
        <v>0</v>
      </c>
      <c r="U33" s="338">
        <v>0</v>
      </c>
      <c r="V33" s="338">
        <v>0</v>
      </c>
      <c r="W33" s="109">
        <v>0</v>
      </c>
      <c r="X33" s="109">
        <v>0</v>
      </c>
      <c r="Y33" s="109">
        <v>0</v>
      </c>
      <c r="Z33" s="109">
        <v>0</v>
      </c>
      <c r="AA33" s="109">
        <v>0</v>
      </c>
      <c r="AB33" s="109">
        <v>0</v>
      </c>
      <c r="AC33" s="31"/>
      <c r="AF33" s="90" t="str">
        <f ca="1">IF(xflag=1,_xll.DBSW(#REF!,Server&amp;Cube1,$J$13,$J$14,$J$15,#REF!,AF$2,$J$16,$D33),_xll.DBRW(Server&amp;Cube1,$J$13,$J$14,$J$15,#REF!,AF$2,$J$16,$D33))</f>
        <v>*KEY_ERR</v>
      </c>
    </row>
    <row r="34" spans="1:35" s="19" customFormat="1" ht="16.5" thickTop="1" x14ac:dyDescent="0.25">
      <c r="A34"/>
      <c r="B34" s="200" t="s">
        <v>22</v>
      </c>
      <c r="C34" s="219" t="s">
        <v>193</v>
      </c>
      <c r="D34" s="226" t="str">
        <f t="shared" si="0"/>
        <v>Tot_Produits_Subventions</v>
      </c>
      <c r="E34"/>
      <c r="F34" s="228"/>
      <c r="G34" s="171"/>
      <c r="H34" s="107"/>
      <c r="I34" s="306" t="s">
        <v>193</v>
      </c>
      <c r="J34" s="306" t="str">
        <f ca="1">_xll.DBRA(Server&amp;$D$22,$D34,"French")</f>
        <v>Subventions</v>
      </c>
      <c r="K34" s="72"/>
      <c r="L34" s="67">
        <f ca="1">SUM(L35:L37)</f>
        <v>33761.5</v>
      </c>
      <c r="M34" s="39"/>
      <c r="N34" s="67">
        <f ca="1">SUM(N35:N37)</f>
        <v>47480.200000000004</v>
      </c>
      <c r="O34" s="68"/>
      <c r="P34" s="69"/>
      <c r="Q34" s="110"/>
      <c r="R34" s="110"/>
      <c r="S34" s="340"/>
      <c r="T34" s="340"/>
      <c r="U34" s="340"/>
      <c r="V34" s="340"/>
      <c r="W34" s="110"/>
      <c r="X34" s="110"/>
      <c r="Y34" s="110"/>
      <c r="Z34" s="110"/>
      <c r="AA34" s="110"/>
      <c r="AB34" s="110"/>
      <c r="AC34" s="31"/>
    </row>
    <row r="35" spans="1:35" s="19" customFormat="1" ht="16.5" thickBot="1" x14ac:dyDescent="0.3">
      <c r="A35"/>
      <c r="B35" s="201" t="s">
        <v>24</v>
      </c>
      <c r="C35" s="220" t="s">
        <v>194</v>
      </c>
      <c r="D35" s="226" t="str">
        <f t="shared" si="0"/>
        <v>709600</v>
      </c>
      <c r="E35"/>
      <c r="F35" s="228"/>
      <c r="G35" s="171"/>
      <c r="H35" s="107"/>
      <c r="I35" s="305" t="str">
        <f ca="1">_xll.DBRA(Server&amp;$D$22,$D35,"French")</f>
        <v>R.R.R. sur prest. de service</v>
      </c>
      <c r="J35" s="305" t="str">
        <f ca="1">_xll.DBRA(Server&amp;$D$22,$D35,"French")</f>
        <v>R.R.R. sur prest. de service</v>
      </c>
      <c r="K35" s="72"/>
      <c r="L35" s="54">
        <f ca="1">_xll.DBRW(Server&amp;Cube1,$J$13,$L$3,$J$15,$L$1,$L$2,$J$16,$D35)</f>
        <v>0</v>
      </c>
      <c r="M35" s="37"/>
      <c r="N35" s="54">
        <f ca="1">_xll.DBRW(Server&amp;Cube1,$J$13,$N$3,$J$15,$N$1,$N$2,$J$16,$D35)</f>
        <v>0</v>
      </c>
      <c r="O35" s="55"/>
      <c r="P35" s="57"/>
      <c r="Q35" s="295">
        <v>0</v>
      </c>
      <c r="R35" s="295">
        <v>0</v>
      </c>
      <c r="S35" s="338">
        <v>0</v>
      </c>
      <c r="T35" s="338">
        <v>0</v>
      </c>
      <c r="U35" s="338">
        <v>0</v>
      </c>
      <c r="V35" s="338">
        <v>0</v>
      </c>
      <c r="W35" s="109">
        <v>0</v>
      </c>
      <c r="X35" s="109">
        <v>0</v>
      </c>
      <c r="Y35" s="109">
        <v>0</v>
      </c>
      <c r="Z35" s="109">
        <v>0</v>
      </c>
      <c r="AA35" s="109">
        <v>0</v>
      </c>
      <c r="AB35" s="109">
        <v>0</v>
      </c>
      <c r="AC35" s="31"/>
      <c r="AF35" s="90" t="str">
        <f ca="1">IF(xflag=1,_xll.DBSW(#REF!,Server&amp;Cube1,$J$13,$J$14,$J$15,#REF!,AF$2,$J$16,$D35),_xll.DBRW(Server&amp;Cube1,$J$13,$J$14,$J$15,#REF!,AF$2,$J$16,$D35))</f>
        <v>*KEY_ERR</v>
      </c>
      <c r="AI35" s="19">
        <v>2</v>
      </c>
    </row>
    <row r="36" spans="1:35" s="19" customFormat="1" ht="17.25" thickTop="1" thickBot="1" x14ac:dyDescent="0.3">
      <c r="A36"/>
      <c r="B36" s="201" t="s">
        <v>176</v>
      </c>
      <c r="C36" s="220" t="s">
        <v>195</v>
      </c>
      <c r="D36" s="226" t="str">
        <f t="shared" si="0"/>
        <v>751100</v>
      </c>
      <c r="E36"/>
      <c r="F36" s="228"/>
      <c r="G36" s="171"/>
      <c r="H36" s="107"/>
      <c r="I36" s="305" t="str">
        <f ca="1">_xll.DBRA(Server&amp;$D$22,$D36,"French")</f>
        <v>Droit d'utilisation de produits pédagogiques</v>
      </c>
      <c r="J36" s="305" t="str">
        <f ca="1">_xll.DBRA(Server&amp;$D$22,$D36,"French")</f>
        <v>Droit d'utilisation de produits pédagogiques</v>
      </c>
      <c r="K36" s="72"/>
      <c r="L36" s="54">
        <f ca="1">_xll.DBRW(Server&amp;Cube1,$J$13,$L$3,$J$15,$L$1,$L$2,$J$16,$D36)</f>
        <v>0</v>
      </c>
      <c r="M36" s="37"/>
      <c r="N36" s="54">
        <f ca="1">_xll.DBRW(Server&amp;Cube1,$J$13,$N$3,$J$15,$N$1,$N$2,$J$16,$D36)</f>
        <v>0</v>
      </c>
      <c r="O36" s="55"/>
      <c r="P36" s="57"/>
      <c r="Q36" s="295">
        <v>0</v>
      </c>
      <c r="R36" s="295">
        <v>0</v>
      </c>
      <c r="S36" s="338">
        <v>0</v>
      </c>
      <c r="T36" s="338">
        <v>0</v>
      </c>
      <c r="U36" s="338">
        <v>0</v>
      </c>
      <c r="V36" s="338">
        <v>0</v>
      </c>
      <c r="W36" s="109">
        <v>0</v>
      </c>
      <c r="X36" s="109">
        <v>0</v>
      </c>
      <c r="Y36" s="109">
        <v>0</v>
      </c>
      <c r="Z36" s="109">
        <v>0</v>
      </c>
      <c r="AA36" s="109">
        <v>0</v>
      </c>
      <c r="AB36" s="109">
        <v>0</v>
      </c>
      <c r="AC36" s="31"/>
      <c r="AF36" s="90" t="str">
        <f ca="1">IF(xflag=1,_xll.DBSW(#REF!,Server&amp;Cube1,$J$13,$J$14,$J$15,#REF!,AF$2,$J$16,$D36),_xll.DBRW(Server&amp;Cube1,$J$13,$J$14,$J$15,#REF!,AF$2,$J$16,$D36))</f>
        <v>*KEY_ERR</v>
      </c>
    </row>
    <row r="37" spans="1:35" s="19" customFormat="1" ht="17.25" thickTop="1" thickBot="1" x14ac:dyDescent="0.3">
      <c r="A37"/>
      <c r="B37" s="201" t="s">
        <v>23</v>
      </c>
      <c r="C37" s="220" t="s">
        <v>196</v>
      </c>
      <c r="D37" s="226" t="str">
        <f t="shared" si="0"/>
        <v>778000</v>
      </c>
      <c r="E37"/>
      <c r="F37" s="228"/>
      <c r="G37" s="171"/>
      <c r="H37" s="107" t="str">
        <f ca="1">_xll.DBRA(Server&amp;$D$22,$D37,"French")</f>
        <v>Dédit formation</v>
      </c>
      <c r="I37" s="305" t="str">
        <f ca="1">_xll.DBRA(Server&amp;$D$22,$D37,"French")</f>
        <v>Dédit formation</v>
      </c>
      <c r="J37" s="305" t="str">
        <f ca="1">_xll.DBRA(Server&amp;$D$22,$D37,"French")</f>
        <v>Dédit formation</v>
      </c>
      <c r="K37" s="72"/>
      <c r="L37" s="54">
        <f ca="1">_xll.DBRW(Server&amp;Cube1,$J$13,$L$3,$J$15,$L$1,$L$2,$J$16,$D37)</f>
        <v>33761.5</v>
      </c>
      <c r="M37" s="37"/>
      <c r="N37" s="54">
        <f ca="1">_xll.DBRW(Server&amp;Cube1,$J$13,$N$3,$J$15,$N$1,$N$2,$J$16,$D37)</f>
        <v>47480.200000000004</v>
      </c>
      <c r="O37" s="55"/>
      <c r="P37" s="57"/>
      <c r="Q37" s="296">
        <v>0</v>
      </c>
      <c r="R37" s="296">
        <v>0</v>
      </c>
      <c r="S37" s="341">
        <v>0</v>
      </c>
      <c r="T37" s="341">
        <v>0</v>
      </c>
      <c r="U37" s="341">
        <v>0</v>
      </c>
      <c r="V37" s="341">
        <v>0</v>
      </c>
      <c r="W37" s="227">
        <v>0</v>
      </c>
      <c r="X37" s="227">
        <v>0</v>
      </c>
      <c r="Y37" s="227">
        <v>0</v>
      </c>
      <c r="Z37" s="227">
        <v>0</v>
      </c>
      <c r="AA37" s="227">
        <v>0</v>
      </c>
      <c r="AB37" s="227">
        <v>0</v>
      </c>
      <c r="AC37" s="31"/>
      <c r="AF37" s="90" t="str">
        <f ca="1">IF(xflag=1,_xll.DBSW(#REF!,Server&amp;Cube1,$J$13,$J$14,$J$15,#REF!,AF$2,$J$16,$D37),_xll.DBRW(Server&amp;Cube1,$J$13,$J$14,$J$15,#REF!,AF$2,$J$16,$D37))</f>
        <v>*KEY_ERR</v>
      </c>
    </row>
    <row r="38" spans="1:35" s="19" customFormat="1" ht="16.5" thickTop="1" x14ac:dyDescent="0.25">
      <c r="A38"/>
      <c r="B38" s="200" t="s">
        <v>292</v>
      </c>
      <c r="C38" s="219" t="s">
        <v>291</v>
      </c>
      <c r="D38" s="226" t="s">
        <v>292</v>
      </c>
      <c r="E38"/>
      <c r="F38" s="228"/>
      <c r="G38" s="170"/>
      <c r="H38" s="106"/>
      <c r="I38" s="306" t="str">
        <f>+C38</f>
        <v>Autres produits</v>
      </c>
      <c r="J38" s="306" t="str">
        <f ca="1">_xll.DBRA(Server&amp;$D$22,$D38,"French")</f>
        <v/>
      </c>
      <c r="K38" s="39"/>
      <c r="L38" s="67">
        <f t="shared" ref="L38:M38" ca="1" si="1">SUM(L39:L40)</f>
        <v>97.199999999999989</v>
      </c>
      <c r="M38" s="67">
        <f t="shared" si="1"/>
        <v>0</v>
      </c>
      <c r="N38" s="67">
        <f ca="1">SUM(N39:N40)</f>
        <v>5400</v>
      </c>
      <c r="O38" s="68"/>
      <c r="P38" s="69"/>
      <c r="Q38" s="110"/>
      <c r="R38" s="110"/>
      <c r="S38" s="340"/>
      <c r="T38" s="340"/>
      <c r="U38" s="340"/>
      <c r="V38" s="340"/>
      <c r="W38" s="110"/>
      <c r="X38" s="110"/>
      <c r="Y38" s="110"/>
      <c r="Z38" s="110"/>
      <c r="AA38" s="110"/>
      <c r="AB38" s="110"/>
      <c r="AC38" s="31"/>
    </row>
    <row r="39" spans="1:35" s="19" customFormat="1" ht="15.75" x14ac:dyDescent="0.25">
      <c r="A39"/>
      <c r="B39" s="201" t="s">
        <v>70</v>
      </c>
      <c r="C39" s="206" t="s">
        <v>197</v>
      </c>
      <c r="D39" s="226" t="str">
        <f t="shared" si="0"/>
        <v>708800a</v>
      </c>
      <c r="E39"/>
      <c r="F39" s="228"/>
      <c r="G39" s="169"/>
      <c r="H39" s="105"/>
      <c r="I39" s="305" t="str">
        <f ca="1">_xll.DBRA(Server&amp;$D$22,$D39,"French")</f>
        <v>Cartes CQC (produit)</v>
      </c>
      <c r="J39" s="305" t="str">
        <f ca="1">_xll.DBRA(Server&amp;$D$22,$D39,"French")</f>
        <v>Cartes CQC (produit)</v>
      </c>
      <c r="K39" s="37"/>
      <c r="L39" s="54">
        <f ca="1">_xll.DBRW(Server&amp;Cube1,$J$13,$L$3,$J$15,$L$1,$L$2,$J$16,$D39)</f>
        <v>97.199999999999989</v>
      </c>
      <c r="M39" s="37"/>
      <c r="N39" s="54">
        <f ca="1">_xll.DBRW(Server&amp;Cube1,$J$13,$N$3,$J$15,$N$1,$N$2,$J$16,$D39)</f>
        <v>5400</v>
      </c>
      <c r="O39" s="55"/>
      <c r="P39" s="57"/>
      <c r="Q39" s="295">
        <v>0</v>
      </c>
      <c r="R39" s="295">
        <v>0</v>
      </c>
      <c r="S39" s="338">
        <v>0</v>
      </c>
      <c r="T39" s="338">
        <v>0</v>
      </c>
      <c r="U39" s="338">
        <v>0</v>
      </c>
      <c r="V39" s="338">
        <v>0</v>
      </c>
      <c r="W39" s="109">
        <v>0</v>
      </c>
      <c r="X39" s="109">
        <v>0</v>
      </c>
      <c r="Y39" s="109">
        <v>0</v>
      </c>
      <c r="Z39" s="109">
        <v>0</v>
      </c>
      <c r="AA39" s="109">
        <v>0</v>
      </c>
      <c r="AB39" s="109">
        <v>0</v>
      </c>
      <c r="AC39" s="31"/>
      <c r="AF39" s="90" t="str">
        <f ca="1">IF(xflag=1,_xll.DBSW(#REF!,Server&amp;Cube1,$J$13,$J$14,$J$15,#REF!,AF$2,$J$16,$D39),_xll.DBRW(Server&amp;Cube1,$J$13,$J$14,$J$15,#REF!,AF$2,$J$16,$D39))</f>
        <v>*KEY_ERR</v>
      </c>
      <c r="AI39" s="19">
        <v>3</v>
      </c>
    </row>
    <row r="40" spans="1:35" s="19" customFormat="1" ht="15.75" x14ac:dyDescent="0.25">
      <c r="A40"/>
      <c r="B40" s="201" t="s">
        <v>72</v>
      </c>
      <c r="C40" s="206" t="s">
        <v>198</v>
      </c>
      <c r="D40" s="226" t="str">
        <f t="shared" si="0"/>
        <v>708800c</v>
      </c>
      <c r="E40"/>
      <c r="F40" s="228"/>
      <c r="G40" s="171"/>
      <c r="H40" s="107"/>
      <c r="I40" s="305" t="str">
        <f ca="1">_xll.DBRA(Server&amp;$D$22,$D40,"French")</f>
        <v>Autres</v>
      </c>
      <c r="J40" s="305" t="str">
        <f ca="1">_xll.DBRA(Server&amp;$D$22,$D40,"French")</f>
        <v>Autres</v>
      </c>
      <c r="K40" s="37"/>
      <c r="L40" s="54">
        <f ca="1">_xll.DBRW(Server&amp;Cube1,$J$13,$L$3,$J$15,$L$1,$L$2,$J$16,$D40)</f>
        <v>0</v>
      </c>
      <c r="M40" s="37"/>
      <c r="N40" s="54">
        <f ca="1">_xll.DBRW(Server&amp;Cube1,$J$13,$N$3,$J$15,$N$1,$N$2,$J$16,$D40)</f>
        <v>0</v>
      </c>
      <c r="O40" s="55"/>
      <c r="P40" s="57"/>
      <c r="Q40" s="295">
        <v>0</v>
      </c>
      <c r="R40" s="295">
        <v>0</v>
      </c>
      <c r="S40" s="338">
        <v>0</v>
      </c>
      <c r="T40" s="338">
        <v>0</v>
      </c>
      <c r="U40" s="338">
        <v>0</v>
      </c>
      <c r="V40" s="338">
        <v>0</v>
      </c>
      <c r="W40" s="109">
        <v>0</v>
      </c>
      <c r="X40" s="109">
        <v>0</v>
      </c>
      <c r="Y40" s="109">
        <v>0</v>
      </c>
      <c r="Z40" s="109">
        <v>0</v>
      </c>
      <c r="AA40" s="109">
        <v>0</v>
      </c>
      <c r="AB40" s="109">
        <v>0</v>
      </c>
      <c r="AC40" s="31"/>
      <c r="AF40" s="90" t="str">
        <f ca="1">IF(xflag=1,_xll.DBSW(#REF!,Server&amp;Cube1,$J$13,$J$14,$J$15,#REF!,AF$2,$J$16,$D40),_xll.DBRW(Server&amp;Cube1,$J$13,$J$14,$J$15,#REF!,AF$2,$J$16,$D40))</f>
        <v>*KEY_ERR</v>
      </c>
    </row>
    <row r="41" spans="1:35" s="19" customFormat="1" ht="15.75" x14ac:dyDescent="0.25">
      <c r="A41"/>
      <c r="E41"/>
      <c r="F41" s="228"/>
      <c r="G41" s="170"/>
      <c r="H41" s="106"/>
      <c r="I41" s="43"/>
      <c r="J41" s="43"/>
      <c r="K41" s="38"/>
      <c r="L41" s="62"/>
      <c r="M41" s="38"/>
      <c r="N41" s="62"/>
      <c r="O41" s="63"/>
      <c r="P41" s="64"/>
      <c r="Q41" s="163"/>
      <c r="R41" s="163"/>
      <c r="S41" s="342"/>
      <c r="T41" s="342"/>
      <c r="U41" s="342"/>
      <c r="V41" s="342"/>
      <c r="W41" s="163"/>
      <c r="X41" s="163"/>
      <c r="Y41" s="163"/>
      <c r="Z41" s="163"/>
      <c r="AA41" s="163"/>
      <c r="AB41" s="163"/>
      <c r="AC41" s="31"/>
    </row>
    <row r="42" spans="1:35" s="19" customFormat="1" ht="15.75" x14ac:dyDescent="0.25">
      <c r="A42"/>
      <c r="B42" s="203" t="s">
        <v>21</v>
      </c>
      <c r="C42" s="221"/>
      <c r="D42" s="226" t="str">
        <f>B42</f>
        <v>Tot_Produits</v>
      </c>
      <c r="E42"/>
      <c r="F42" s="228"/>
      <c r="G42" s="169"/>
      <c r="H42" s="105"/>
      <c r="I42" s="310" t="str">
        <f ca="1">_xll.DBRA(Server&amp;$D$22,$D42,"French")</f>
        <v>Total Produits</v>
      </c>
      <c r="J42" s="310" t="str">
        <f ca="1">_xll.DBRA(Server&amp;$D$22,$D42,"French")</f>
        <v>Total Produits</v>
      </c>
      <c r="K42" s="39"/>
      <c r="L42" s="67">
        <f ca="1">+L24+L32+L33+L34+L38</f>
        <v>2622596.69</v>
      </c>
      <c r="M42" s="39"/>
      <c r="N42" s="67">
        <f ca="1">SUM(N24+N32+N33+N34+N38)</f>
        <v>2559095.6200000006</v>
      </c>
      <c r="O42" s="68"/>
      <c r="P42" s="69"/>
      <c r="Q42" s="110"/>
      <c r="R42" s="110"/>
      <c r="S42" s="340"/>
      <c r="T42" s="340"/>
      <c r="U42" s="340"/>
      <c r="V42" s="340"/>
      <c r="W42" s="110"/>
      <c r="X42" s="110"/>
      <c r="Y42" s="110"/>
      <c r="Z42" s="110"/>
      <c r="AA42" s="110"/>
      <c r="AB42" s="110"/>
      <c r="AC42" s="31"/>
    </row>
    <row r="43" spans="1:35" s="19" customFormat="1" ht="16.5" thickBot="1" x14ac:dyDescent="0.3">
      <c r="A43"/>
      <c r="E43"/>
      <c r="F43" s="228"/>
      <c r="G43" s="170"/>
      <c r="H43" s="106"/>
      <c r="I43" s="43"/>
      <c r="J43" s="43"/>
      <c r="K43" s="38"/>
      <c r="L43" s="62"/>
      <c r="M43" s="38"/>
      <c r="N43" s="62"/>
      <c r="O43" s="63"/>
      <c r="P43" s="64"/>
      <c r="Q43" s="163"/>
      <c r="R43" s="163"/>
      <c r="S43" s="342"/>
      <c r="T43" s="342"/>
      <c r="U43" s="342"/>
      <c r="V43" s="342"/>
      <c r="W43" s="163"/>
      <c r="X43" s="163"/>
      <c r="Y43" s="163"/>
      <c r="Z43" s="163"/>
      <c r="AA43" s="163"/>
      <c r="AB43" s="163"/>
      <c r="AC43" s="31"/>
    </row>
    <row r="44" spans="1:35" s="19" customFormat="1" ht="32.25" thickTop="1" x14ac:dyDescent="0.25">
      <c r="A44"/>
      <c r="B44" s="198" t="s">
        <v>88</v>
      </c>
      <c r="C44" s="219" t="s">
        <v>199</v>
      </c>
      <c r="D44" s="226" t="str">
        <f t="shared" si="0"/>
        <v>621880_Tot</v>
      </c>
      <c r="E44"/>
      <c r="F44" s="228"/>
      <c r="G44" s="170"/>
      <c r="H44" s="106"/>
      <c r="I44" s="306" t="str">
        <f ca="1">_xll.DBRA(Server&amp;$D$22,$D44,"French")</f>
        <v>Formateurs et autres frais de personnel directs (interne groupe)</v>
      </c>
      <c r="J44" s="306" t="str">
        <f ca="1">_xll.DBRA(Server&amp;$D$22,$D44,"French")</f>
        <v>Formateurs et autres frais de personnel directs (interne groupe)</v>
      </c>
      <c r="K44" s="39"/>
      <c r="L44" s="67">
        <f ca="1">SUM(L45:L47)</f>
        <v>-367765.91</v>
      </c>
      <c r="M44" s="67">
        <f t="shared" ref="M44" si="2">SUM(M45:M47)</f>
        <v>0</v>
      </c>
      <c r="N44" s="67">
        <f ca="1">SUM(N45:N47)</f>
        <v>-286325.06000000006</v>
      </c>
      <c r="O44" s="68"/>
      <c r="P44" s="69"/>
      <c r="Q44" s="108"/>
      <c r="R44" s="108"/>
      <c r="S44" s="343"/>
      <c r="T44" s="343"/>
      <c r="U44" s="343"/>
      <c r="V44" s="343"/>
      <c r="W44" s="108"/>
      <c r="X44" s="108"/>
      <c r="Y44" s="108"/>
      <c r="Z44" s="108"/>
      <c r="AA44" s="108"/>
      <c r="AB44" s="108"/>
      <c r="AC44" s="31"/>
    </row>
    <row r="45" spans="1:35" s="19" customFormat="1" ht="15.75" x14ac:dyDescent="0.25">
      <c r="A45"/>
      <c r="B45" s="201" t="s">
        <v>73</v>
      </c>
      <c r="C45" s="206" t="s">
        <v>200</v>
      </c>
      <c r="D45" s="226" t="str">
        <f t="shared" si="0"/>
        <v>621880a</v>
      </c>
      <c r="E45"/>
      <c r="F45" s="228"/>
      <c r="G45" s="169"/>
      <c r="H45" s="105"/>
      <c r="I45" s="305" t="str">
        <f ca="1">_xll.DBRA(Server&amp;$D$22,$D45,"French")</f>
        <v>MAD formateurs</v>
      </c>
      <c r="J45" s="305" t="str">
        <f ca="1">_xll.DBRA(Server&amp;$D$22,$D45,"French")</f>
        <v>MAD formateurs</v>
      </c>
      <c r="K45" s="37"/>
      <c r="L45" s="54">
        <f ca="1">_xll.DBRW(Server&amp;Cube1,$J$13,$L$3,$J$15,$L$1,$L$2,$J$16,$D45)</f>
        <v>-198202.44999999998</v>
      </c>
      <c r="M45" s="37"/>
      <c r="N45" s="54">
        <f ca="1">_xll.DBRW(Server&amp;Cube1,$J$13,$N$3,$J$15,$N$1,$N$2,$J$16,$D45)</f>
        <v>-153235.29000000004</v>
      </c>
      <c r="O45" s="55"/>
      <c r="P45" s="57"/>
      <c r="Q45" s="295">
        <v>0</v>
      </c>
      <c r="R45" s="295">
        <v>0</v>
      </c>
      <c r="S45" s="338">
        <v>0</v>
      </c>
      <c r="T45" s="338">
        <v>0</v>
      </c>
      <c r="U45" s="338">
        <v>0</v>
      </c>
      <c r="V45" s="338">
        <v>0</v>
      </c>
      <c r="W45" s="109">
        <v>0</v>
      </c>
      <c r="X45" s="109">
        <v>0</v>
      </c>
      <c r="Y45" s="109">
        <v>0</v>
      </c>
      <c r="Z45" s="109">
        <v>0</v>
      </c>
      <c r="AA45" s="109">
        <v>0</v>
      </c>
      <c r="AB45" s="109">
        <v>0</v>
      </c>
      <c r="AC45" s="31"/>
      <c r="AF45" s="90" t="str">
        <f ca="1">IF(xflag=1,_xll.DBSW(#REF!,Server&amp;Cube1,$J$13,$J$14,$J$15,#REF!,AF$2,$J$16,$D45),_xll.DBRW(Server&amp;Cube1,$J$13,$J$14,$J$15,#REF!,AF$2,$J$16,$D45))</f>
        <v>*KEY_ERR</v>
      </c>
    </row>
    <row r="46" spans="1:35" s="19" customFormat="1" ht="16.5" thickBot="1" x14ac:dyDescent="0.3">
      <c r="A46"/>
      <c r="B46" s="204" t="s">
        <v>74</v>
      </c>
      <c r="C46" s="220" t="s">
        <v>201</v>
      </c>
      <c r="D46" s="226" t="str">
        <f t="shared" si="0"/>
        <v>621880b</v>
      </c>
      <c r="E46"/>
      <c r="F46" s="228"/>
      <c r="G46" s="171"/>
      <c r="H46" s="107"/>
      <c r="I46" s="305" t="str">
        <f ca="1">_xll.DBRA(Server&amp;$D$22,$D46,"French")</f>
        <v>Frais du formateur</v>
      </c>
      <c r="J46" s="305" t="str">
        <f ca="1">_xll.DBRA(Server&amp;$D$22,$D46,"French")</f>
        <v>Frais du formateur</v>
      </c>
      <c r="K46" s="37"/>
      <c r="L46" s="54">
        <f ca="1">_xll.DBRW(Server&amp;Cube1,$J$13,$L$3,$J$15,$L$1,$L$2,$J$16,$D46)</f>
        <v>-55166.85</v>
      </c>
      <c r="M46" s="37"/>
      <c r="N46" s="54">
        <f ca="1">_xll.DBRW(Server&amp;Cube1,$J$13,$N$3,$J$15,$N$1,$N$2,$J$16,$D46)</f>
        <v>-33587.03</v>
      </c>
      <c r="O46" s="55"/>
      <c r="P46" s="57"/>
      <c r="Q46" s="295">
        <v>0</v>
      </c>
      <c r="R46" s="295">
        <v>0</v>
      </c>
      <c r="S46" s="338">
        <v>0</v>
      </c>
      <c r="T46" s="338">
        <v>0</v>
      </c>
      <c r="U46" s="338">
        <v>0</v>
      </c>
      <c r="V46" s="338">
        <v>0</v>
      </c>
      <c r="W46" s="109">
        <v>0</v>
      </c>
      <c r="X46" s="109">
        <v>0</v>
      </c>
      <c r="Y46" s="109">
        <v>0</v>
      </c>
      <c r="Z46" s="109">
        <v>0</v>
      </c>
      <c r="AA46" s="109">
        <v>0</v>
      </c>
      <c r="AB46" s="109">
        <v>0</v>
      </c>
      <c r="AC46" s="31"/>
      <c r="AF46" s="90" t="str">
        <f ca="1">IF(xflag=1,_xll.DBSW(#REF!,Server&amp;Cube1,$J$13,$J$14,$J$15,#REF!,AF$2,$J$16,$D46),_xll.DBRW(Server&amp;Cube1,$J$13,$J$14,$J$15,#REF!,AF$2,$J$16,$D46))</f>
        <v>*KEY_ERR</v>
      </c>
      <c r="AI46" s="19">
        <v>4</v>
      </c>
    </row>
    <row r="47" spans="1:35" s="19" customFormat="1" ht="17.25" thickTop="1" thickBot="1" x14ac:dyDescent="0.3">
      <c r="A47"/>
      <c r="B47" s="204" t="s">
        <v>31</v>
      </c>
      <c r="C47" s="220" t="s">
        <v>202</v>
      </c>
      <c r="D47" s="226" t="str">
        <f t="shared" si="0"/>
        <v>618500</v>
      </c>
      <c r="E47"/>
      <c r="F47" s="228"/>
      <c r="G47" s="171"/>
      <c r="H47" s="107"/>
      <c r="I47" s="305" t="s">
        <v>202</v>
      </c>
      <c r="J47" s="305"/>
      <c r="K47" s="37"/>
      <c r="L47" s="54">
        <f ca="1">_xll.DBRW(Server&amp;Cube1,$J$13,$L$3,$J$15,$L$1,$L$2,$J$16,$D47)</f>
        <v>-114396.60999999999</v>
      </c>
      <c r="M47" s="37"/>
      <c r="N47" s="54">
        <f ca="1">_xll.DBRW(Server&amp;Cube1,$J$13,$N$3,$J$15,$N$1,$N$2,$J$16,$D47)</f>
        <v>-99502.74000000002</v>
      </c>
      <c r="O47" s="55"/>
      <c r="P47" s="57"/>
      <c r="Q47" s="295">
        <v>0</v>
      </c>
      <c r="R47" s="295">
        <v>0</v>
      </c>
      <c r="S47" s="338">
        <v>0</v>
      </c>
      <c r="T47" s="338">
        <v>0</v>
      </c>
      <c r="U47" s="338">
        <v>0</v>
      </c>
      <c r="V47" s="338">
        <v>0</v>
      </c>
      <c r="W47" s="109">
        <v>0</v>
      </c>
      <c r="X47" s="109">
        <v>0</v>
      </c>
      <c r="Y47" s="109">
        <v>0</v>
      </c>
      <c r="Z47" s="109">
        <v>0</v>
      </c>
      <c r="AA47" s="109">
        <v>0</v>
      </c>
      <c r="AB47" s="109">
        <v>0</v>
      </c>
      <c r="AC47" s="31"/>
      <c r="AF47" s="90" t="str">
        <f ca="1">IF(xflag=1,_xll.DBSW(#REF!,Server&amp;Cube1,$J$13,$J$14,$J$15,#REF!,AF$2,$J$16,$D47),_xll.DBRW(Server&amp;Cube1,$J$13,$J$14,$J$15,#REF!,AF$2,$J$16,$D47))</f>
        <v>*KEY_ERR</v>
      </c>
    </row>
    <row r="48" spans="1:35" s="19" customFormat="1" ht="17.25" thickTop="1" thickBot="1" x14ac:dyDescent="0.3">
      <c r="A48"/>
      <c r="B48" s="200" t="s">
        <v>26</v>
      </c>
      <c r="C48" s="220" t="s">
        <v>203</v>
      </c>
      <c r="D48" s="226" t="str">
        <f t="shared" si="0"/>
        <v>617000</v>
      </c>
      <c r="E48"/>
      <c r="F48" s="228"/>
      <c r="G48" s="169"/>
      <c r="H48" s="105"/>
      <c r="I48" s="306" t="str">
        <f ca="1">_xll.DBRA(Server&amp;$D$22,$D48,"French")</f>
        <v>Honoraires conseil et formation</v>
      </c>
      <c r="J48" s="306" t="str">
        <f ca="1">_xll.DBRA(Server&amp;$D$22,$D48,"French")</f>
        <v>Honoraires conseil et formation</v>
      </c>
      <c r="K48" s="39"/>
      <c r="L48" s="67">
        <f ca="1">_xll.DBRW(Server&amp;Cube1,$J$13,$L$3,$J$15,$L$1,$L$2,$J$16,$D48)</f>
        <v>-791427.6399999999</v>
      </c>
      <c r="M48" s="39"/>
      <c r="N48" s="67">
        <f ca="1">_xll.DBRW(Server&amp;Cube1,$J$13,$N$3,$J$15,$N$1,$N$2,$J$16,$D48)</f>
        <v>-762913.53</v>
      </c>
      <c r="O48" s="68"/>
      <c r="P48" s="69"/>
      <c r="Q48" s="295">
        <v>0</v>
      </c>
      <c r="R48" s="295">
        <v>0</v>
      </c>
      <c r="S48" s="338">
        <v>0</v>
      </c>
      <c r="T48" s="338">
        <v>0</v>
      </c>
      <c r="U48" s="338">
        <v>0</v>
      </c>
      <c r="V48" s="338">
        <v>0</v>
      </c>
      <c r="W48" s="109">
        <v>0</v>
      </c>
      <c r="X48" s="109">
        <v>0</v>
      </c>
      <c r="Y48" s="109">
        <v>0</v>
      </c>
      <c r="Z48" s="109">
        <v>0</v>
      </c>
      <c r="AA48" s="109">
        <v>0</v>
      </c>
      <c r="AB48" s="109">
        <v>0</v>
      </c>
      <c r="AC48" s="31"/>
      <c r="AF48" s="90" t="str">
        <f ca="1">IF(xflag=1,_xll.DBSW(#REF!,Server&amp;Cube1,$J$13,$J$14,$J$15,#REF!,AF$2,$J$16,$D48),_xll.DBRW(Server&amp;Cube1,$J$13,$J$14,$J$15,#REF!,AF$2,$J$16,$D48))</f>
        <v>*KEY_ERR</v>
      </c>
    </row>
    <row r="49" spans="1:35" s="19" customFormat="1" ht="16.5" thickTop="1" x14ac:dyDescent="0.25">
      <c r="A49"/>
      <c r="B49" s="200" t="s">
        <v>294</v>
      </c>
      <c r="C49" s="219" t="s">
        <v>204</v>
      </c>
      <c r="D49" s="226" t="s">
        <v>294</v>
      </c>
      <c r="E49"/>
      <c r="F49" s="228"/>
      <c r="G49" s="169"/>
      <c r="H49" s="105"/>
      <c r="I49" s="306" t="s">
        <v>293</v>
      </c>
      <c r="J49" s="306"/>
      <c r="K49" s="39"/>
      <c r="L49" s="67">
        <f ca="1">SUM(L50:L52)</f>
        <v>-131678.16</v>
      </c>
      <c r="M49" s="39"/>
      <c r="N49" s="67">
        <f ca="1">SUM(N50:N52)</f>
        <v>-99089.369999999981</v>
      </c>
      <c r="O49" s="68"/>
      <c r="P49" s="69"/>
      <c r="Q49" s="108"/>
      <c r="R49" s="108"/>
      <c r="S49" s="343"/>
      <c r="T49" s="343"/>
      <c r="U49" s="343"/>
      <c r="V49" s="343"/>
      <c r="W49" s="108"/>
      <c r="X49" s="108"/>
      <c r="Y49" s="108"/>
      <c r="Z49" s="108"/>
      <c r="AA49" s="108"/>
      <c r="AB49" s="108"/>
      <c r="AC49" s="31"/>
    </row>
    <row r="50" spans="1:35" s="19" customFormat="1" ht="15.75" x14ac:dyDescent="0.25">
      <c r="A50"/>
      <c r="B50" s="204" t="s">
        <v>28</v>
      </c>
      <c r="C50" s="214" t="s">
        <v>205</v>
      </c>
      <c r="D50" s="226" t="str">
        <f t="shared" si="0"/>
        <v>613200a</v>
      </c>
      <c r="E50"/>
      <c r="F50" s="228"/>
      <c r="G50" s="171"/>
      <c r="H50" s="107"/>
      <c r="I50" s="305" t="str">
        <f ca="1">_xll.DBRA(Server&amp;$D$22,$D50,"French")</f>
        <v>Location et MAD salle de formation</v>
      </c>
      <c r="J50" s="305" t="str">
        <f ca="1">_xll.DBRA(Server&amp;$D$22,$D50,"French")</f>
        <v>Location et MAD salle de formation</v>
      </c>
      <c r="K50" s="37"/>
      <c r="L50" s="54">
        <f ca="1">_xll.DBRW(Server&amp;Cube1,$J$13,$L$3,$J$15,$L$1,$L$2,$J$16,$D50)</f>
        <v>-117829.7</v>
      </c>
      <c r="M50" s="37"/>
      <c r="N50" s="54">
        <f ca="1">_xll.DBRW(Server&amp;Cube1,$J$13,$N$3,$J$15,$N$1,$N$2,$J$16,$D50)</f>
        <v>-94568.369999999981</v>
      </c>
      <c r="O50" s="55"/>
      <c r="P50" s="57"/>
      <c r="Q50" s="295">
        <v>0</v>
      </c>
      <c r="R50" s="295">
        <v>0</v>
      </c>
      <c r="S50" s="338">
        <v>0</v>
      </c>
      <c r="T50" s="338">
        <v>0</v>
      </c>
      <c r="U50" s="338">
        <v>0</v>
      </c>
      <c r="V50" s="338">
        <v>0</v>
      </c>
      <c r="W50" s="109">
        <v>0</v>
      </c>
      <c r="X50" s="109">
        <v>0</v>
      </c>
      <c r="Y50" s="109">
        <v>0</v>
      </c>
      <c r="Z50" s="109">
        <v>0</v>
      </c>
      <c r="AA50" s="109">
        <v>0</v>
      </c>
      <c r="AB50" s="109">
        <v>0</v>
      </c>
      <c r="AC50" s="31"/>
      <c r="AF50" s="90" t="str">
        <f ca="1">IF(xflag=1,_xll.DBSW(#REF!,Server&amp;Cube1,$J$13,$J$14,$J$15,#REF!,AF$2,$J$16,$D50),_xll.DBRW(Server&amp;Cube1,$J$13,$J$14,$J$15,#REF!,AF$2,$J$16,$D50))</f>
        <v>*KEY_ERR</v>
      </c>
    </row>
    <row r="51" spans="1:35" s="19" customFormat="1" ht="15.75" customHeight="1" x14ac:dyDescent="0.25">
      <c r="A51"/>
      <c r="B51" s="204" t="s">
        <v>130</v>
      </c>
      <c r="C51" s="214" t="s">
        <v>206</v>
      </c>
      <c r="D51" s="226" t="str">
        <f t="shared" si="0"/>
        <v>613510</v>
      </c>
      <c r="E51"/>
      <c r="F51" s="228"/>
      <c r="G51" s="171"/>
      <c r="H51" s="107"/>
      <c r="I51" s="305" t="str">
        <f ca="1">_xll.DBRA(Server&amp;$D$22,$D51,"French")</f>
        <v>Location et MAD véhicule de formation</v>
      </c>
      <c r="J51" s="305" t="str">
        <f ca="1">_xll.DBRA(Server&amp;$D$22,$D51,"French")</f>
        <v>Location et MAD véhicule de formation</v>
      </c>
      <c r="K51" s="37"/>
      <c r="L51" s="73">
        <f ca="1">_xll.DBRW(Server&amp;Cube1,$J$13,$L$3,$J$15,$L$1,$L$2,$J$16,$D51)</f>
        <v>-1214</v>
      </c>
      <c r="M51" s="37"/>
      <c r="N51" s="73">
        <f ca="1">_xll.DBRW(Server&amp;Cube1,$J$13,$N$3,$J$15,$N$1,$N$2,$J$16,$D51)</f>
        <v>-21</v>
      </c>
      <c r="O51" s="55"/>
      <c r="P51" s="57"/>
      <c r="Q51" s="295">
        <v>0</v>
      </c>
      <c r="R51" s="295">
        <v>0</v>
      </c>
      <c r="S51" s="338">
        <v>0</v>
      </c>
      <c r="T51" s="338">
        <v>0</v>
      </c>
      <c r="U51" s="338">
        <v>0</v>
      </c>
      <c r="V51" s="338">
        <v>0</v>
      </c>
      <c r="W51" s="109">
        <v>0</v>
      </c>
      <c r="X51" s="109">
        <v>0</v>
      </c>
      <c r="Y51" s="109">
        <v>0</v>
      </c>
      <c r="Z51" s="109">
        <v>0</v>
      </c>
      <c r="AA51" s="109">
        <v>0</v>
      </c>
      <c r="AB51" s="109">
        <v>0</v>
      </c>
      <c r="AC51" s="31"/>
      <c r="AF51" s="90" t="str">
        <f ca="1">IF(xflag=1,_xll.DBSW(#REF!,Server&amp;Cube1,$J$13,$J$14,$J$15,#REF!,AF$2,$J$16,$D51),_xll.DBRW(Server&amp;Cube1,$J$13,$J$14,$J$15,#REF!,AF$2,$J$16,$D51))</f>
        <v>*KEY_ERR</v>
      </c>
    </row>
    <row r="52" spans="1:35" s="19" customFormat="1" ht="15.75" customHeight="1" thickBot="1" x14ac:dyDescent="0.3">
      <c r="A52"/>
      <c r="B52" s="204" t="s">
        <v>131</v>
      </c>
      <c r="C52" s="214" t="s">
        <v>207</v>
      </c>
      <c r="D52" s="226" t="str">
        <f t="shared" si="0"/>
        <v>613530</v>
      </c>
      <c r="E52"/>
      <c r="F52" s="228"/>
      <c r="G52" s="171"/>
      <c r="H52" s="107"/>
      <c r="I52" s="305" t="str">
        <f ca="1">_xll.DBRA(Server&amp;$D$22,$D52,"French")</f>
        <v>Location et MAD matériel divers</v>
      </c>
      <c r="J52" s="305" t="str">
        <f ca="1">_xll.DBRA(Server&amp;$D$22,$D52,"French")</f>
        <v>Location et MAD matériel divers</v>
      </c>
      <c r="K52" s="37"/>
      <c r="L52" s="73">
        <f ca="1">_xll.DBRW(Server&amp;Cube1,$J$13,$L$3,$J$15,$L$1,$L$2,$J$16,$D52)</f>
        <v>-12634.46</v>
      </c>
      <c r="M52" s="37"/>
      <c r="N52" s="73">
        <f ca="1">_xll.DBRW(Server&amp;Cube1,$J$13,$N$3,$J$15,$N$1,$N$2,$J$16,$D52)</f>
        <v>-4500</v>
      </c>
      <c r="O52" s="55"/>
      <c r="P52" s="57"/>
      <c r="Q52" s="295">
        <v>0</v>
      </c>
      <c r="R52" s="295">
        <v>0</v>
      </c>
      <c r="S52" s="338">
        <v>0</v>
      </c>
      <c r="T52" s="338">
        <v>0</v>
      </c>
      <c r="U52" s="338">
        <v>0</v>
      </c>
      <c r="V52" s="338">
        <v>0</v>
      </c>
      <c r="W52" s="109">
        <v>0</v>
      </c>
      <c r="X52" s="109">
        <v>0</v>
      </c>
      <c r="Y52" s="109">
        <v>0</v>
      </c>
      <c r="Z52" s="109">
        <v>0</v>
      </c>
      <c r="AA52" s="109">
        <v>0</v>
      </c>
      <c r="AB52" s="109">
        <v>0</v>
      </c>
      <c r="AC52" s="31"/>
      <c r="AF52" s="90" t="str">
        <f ca="1">IF(xflag=1,_xll.DBSW(#REF!,Server&amp;Cube1,$J$13,$J$14,$J$15,#REF!,AF$2,$J$16,$D52),_xll.DBRW(Server&amp;Cube1,$J$13,$J$14,$J$15,#REF!,AF$2,$J$16,$D52))</f>
        <v>*KEY_ERR</v>
      </c>
      <c r="AI52" s="19">
        <v>5</v>
      </c>
    </row>
    <row r="53" spans="1:35" s="19" customFormat="1" ht="16.5" thickTop="1" x14ac:dyDescent="0.25">
      <c r="A53"/>
      <c r="B53" s="200" t="s">
        <v>29</v>
      </c>
      <c r="C53" s="219" t="s">
        <v>208</v>
      </c>
      <c r="D53" s="226" t="str">
        <f t="shared" si="0"/>
        <v>Cout_direct_formation_autres</v>
      </c>
      <c r="E53"/>
      <c r="F53" s="228"/>
      <c r="G53" s="169"/>
      <c r="H53" s="105"/>
      <c r="I53" s="306" t="str">
        <f ca="1">_xll.DBRA(Server&amp;$D$22,$D53,"French")</f>
        <v>Autres coûts directs</v>
      </c>
      <c r="J53" s="306" t="str">
        <f ca="1">_xll.DBRA(Server&amp;$D$22,$D53,"French")</f>
        <v>Autres coûts directs</v>
      </c>
      <c r="K53" s="39"/>
      <c r="L53" s="67">
        <f ca="1">SUM(L54:L62)</f>
        <v>-46402.110000000008</v>
      </c>
      <c r="M53" s="39"/>
      <c r="N53" s="67">
        <f ca="1">SUM(N54:N62)</f>
        <v>-41145.130000000005</v>
      </c>
      <c r="O53" s="68"/>
      <c r="P53" s="69"/>
      <c r="Q53" s="110"/>
      <c r="R53" s="110"/>
      <c r="S53" s="340"/>
      <c r="T53" s="340"/>
      <c r="U53" s="340"/>
      <c r="V53" s="340"/>
      <c r="W53" s="110"/>
      <c r="X53" s="110"/>
      <c r="Y53" s="110"/>
      <c r="Z53" s="110"/>
      <c r="AA53" s="110"/>
      <c r="AB53" s="110"/>
      <c r="AC53" s="31"/>
    </row>
    <row r="54" spans="1:35" s="19" customFormat="1" ht="15.75" x14ac:dyDescent="0.25">
      <c r="A54"/>
      <c r="B54" s="204" t="s">
        <v>175</v>
      </c>
      <c r="C54" s="214" t="s">
        <v>209</v>
      </c>
      <c r="D54" s="226" t="str">
        <f t="shared" si="0"/>
        <v>604300</v>
      </c>
      <c r="E54"/>
      <c r="F54" s="228"/>
      <c r="G54" s="171"/>
      <c r="H54" s="107"/>
      <c r="I54" s="305" t="str">
        <f ca="1">_xll.DBRA(Server&amp;$D$22,$D54,"French")</f>
        <v>Accés formation à distance (coûts directs)</v>
      </c>
      <c r="J54" s="305" t="str">
        <f ca="1">_xll.DBRA(Server&amp;$D$22,$D54,"French")</f>
        <v>Accés formation à distance (coûts directs)</v>
      </c>
      <c r="K54" s="37"/>
      <c r="L54" s="54">
        <f ca="1">_xll.DBRW(Server&amp;Cube1,$J$13,$L$3,$J$15,$L$1,$L$2,$J$16,$D54)</f>
        <v>-5500</v>
      </c>
      <c r="M54" s="37"/>
      <c r="N54" s="54">
        <f ca="1">_xll.DBRW(Server&amp;Cube1,$J$13,$N$3,$J$15,$N$1,$N$2,$J$16,$D54)</f>
        <v>0</v>
      </c>
      <c r="O54" s="55"/>
      <c r="P54" s="57"/>
      <c r="Q54" s="295">
        <v>0</v>
      </c>
      <c r="R54" s="295">
        <v>0</v>
      </c>
      <c r="S54" s="338">
        <v>0</v>
      </c>
      <c r="T54" s="338">
        <v>0</v>
      </c>
      <c r="U54" s="338">
        <v>0</v>
      </c>
      <c r="V54" s="338">
        <v>0</v>
      </c>
      <c r="W54" s="109">
        <v>0</v>
      </c>
      <c r="X54" s="109">
        <v>0</v>
      </c>
      <c r="Y54" s="109">
        <v>0</v>
      </c>
      <c r="Z54" s="109">
        <v>0</v>
      </c>
      <c r="AA54" s="109">
        <v>0</v>
      </c>
      <c r="AB54" s="109">
        <v>0</v>
      </c>
      <c r="AC54" s="31"/>
      <c r="AF54" s="90" t="str">
        <f ca="1">IF(xflag=1,_xll.DBSW(#REF!,Server&amp;Cube1,$J$13,$J$14,$J$15,#REF!,AF$2,$J$16,$D54),_xll.DBRW(Server&amp;Cube1,$J$13,$J$14,$J$15,#REF!,AF$2,$J$16,$D54))</f>
        <v>*KEY_ERR</v>
      </c>
    </row>
    <row r="55" spans="1:35" s="19" customFormat="1" ht="15.75" x14ac:dyDescent="0.25">
      <c r="A55"/>
      <c r="B55" s="204" t="s">
        <v>178</v>
      </c>
      <c r="C55" s="214" t="s">
        <v>210</v>
      </c>
      <c r="D55" s="226" t="str">
        <f t="shared" si="0"/>
        <v>606120</v>
      </c>
      <c r="E55"/>
      <c r="F55" s="228"/>
      <c r="G55" s="171"/>
      <c r="H55" s="107"/>
      <c r="I55" s="305" t="str">
        <f ca="1">_xll.DBRA(Server&amp;$D$22,$D55,"French")</f>
        <v>Bonbonne de gaz (coûts directs)</v>
      </c>
      <c r="J55" s="305" t="str">
        <f ca="1">_xll.DBRA(Server&amp;$D$22,$D55,"French")</f>
        <v>Bonbonne de gaz (coûts directs)</v>
      </c>
      <c r="K55" s="37"/>
      <c r="L55" s="54">
        <f ca="1">_xll.DBRW(Server&amp;Cube1,$J$13,$L$3,$J$15,$L$1,$L$2,$J$16,$D55)</f>
        <v>0</v>
      </c>
      <c r="M55" s="37"/>
      <c r="N55" s="54">
        <f ca="1">_xll.DBRW(Server&amp;Cube1,$J$13,$N$3,$J$15,$N$1,$N$2,$J$16,$D55)</f>
        <v>0</v>
      </c>
      <c r="O55" s="55"/>
      <c r="P55" s="57"/>
      <c r="Q55" s="295">
        <v>0</v>
      </c>
      <c r="R55" s="295">
        <v>0</v>
      </c>
      <c r="S55" s="338">
        <v>0</v>
      </c>
      <c r="T55" s="338">
        <v>0</v>
      </c>
      <c r="U55" s="338">
        <v>0</v>
      </c>
      <c r="V55" s="338">
        <v>0</v>
      </c>
      <c r="W55" s="109">
        <v>0</v>
      </c>
      <c r="X55" s="109">
        <v>0</v>
      </c>
      <c r="Y55" s="109">
        <v>0</v>
      </c>
      <c r="Z55" s="109">
        <v>0</v>
      </c>
      <c r="AA55" s="109">
        <v>0</v>
      </c>
      <c r="AB55" s="109">
        <v>0</v>
      </c>
      <c r="AC55" s="31"/>
      <c r="AF55" s="90" t="str">
        <f ca="1">IF(xflag=1,_xll.DBSW(#REF!,Server&amp;Cube1,$J$13,$J$14,$J$15,#REF!,AF$2,$J$16,$D55),_xll.DBRW(Server&amp;Cube1,$J$13,$J$14,$J$15,#REF!,AF$2,$J$16,$D55))</f>
        <v>*KEY_ERR</v>
      </c>
      <c r="AI55" s="19">
        <v>6</v>
      </c>
    </row>
    <row r="56" spans="1:35" s="19" customFormat="1" ht="15.75" x14ac:dyDescent="0.25">
      <c r="A56"/>
      <c r="B56" s="204" t="s">
        <v>154</v>
      </c>
      <c r="C56" s="214" t="s">
        <v>211</v>
      </c>
      <c r="D56" s="226" t="str">
        <f t="shared" si="0"/>
        <v>615600a</v>
      </c>
      <c r="E56"/>
      <c r="F56" s="228"/>
      <c r="G56" s="170"/>
      <c r="H56" s="106"/>
      <c r="I56" s="305" t="str">
        <f ca="1">_xll.DBRA(Server&amp;$D$22,$D56,"French")</f>
        <v>Maintenance Informatique</v>
      </c>
      <c r="J56" s="305" t="str">
        <f ca="1">_xll.DBRA(Server&amp;$D$22,$D56,"French")</f>
        <v>Maintenance Informatique</v>
      </c>
      <c r="K56" s="37"/>
      <c r="L56" s="54">
        <f ca="1">_xll.DBRW(Server&amp;Cube1,$J$13,$L$3,$J$15,$L$1,$L$2,$J$16,$D56)</f>
        <v>-12561.14</v>
      </c>
      <c r="M56" s="37"/>
      <c r="N56" s="54">
        <f ca="1">_xll.DBRW(Server&amp;Cube1,$J$13,$N$3,$J$15,$N$1,$N$2,$J$16,$D56)</f>
        <v>-15698.23</v>
      </c>
      <c r="O56" s="55"/>
      <c r="P56" s="57"/>
      <c r="Q56" s="295">
        <v>0</v>
      </c>
      <c r="R56" s="295">
        <v>0</v>
      </c>
      <c r="S56" s="338">
        <v>0</v>
      </c>
      <c r="T56" s="338">
        <v>0</v>
      </c>
      <c r="U56" s="338">
        <v>0</v>
      </c>
      <c r="V56" s="338">
        <v>0</v>
      </c>
      <c r="W56" s="109">
        <v>0</v>
      </c>
      <c r="X56" s="109">
        <v>0</v>
      </c>
      <c r="Y56" s="109">
        <v>0</v>
      </c>
      <c r="Z56" s="109">
        <v>0</v>
      </c>
      <c r="AA56" s="109">
        <v>0</v>
      </c>
      <c r="AB56" s="109">
        <v>0</v>
      </c>
      <c r="AC56" s="31"/>
      <c r="AF56" s="90" t="str">
        <f ca="1">IF(xflag=1,_xll.DBSW(#REF!,Server&amp;Cube1,$J$13,$J$14,$J$15,#REF!,AF$2,$J$16,$D56),_xll.DBRW(Server&amp;Cube1,$J$13,$J$14,$J$15,#REF!,AF$2,$J$16,$D56))</f>
        <v>*KEY_ERR</v>
      </c>
    </row>
    <row r="57" spans="1:35" s="19" customFormat="1" ht="15.75" x14ac:dyDescent="0.25">
      <c r="A57"/>
      <c r="B57" s="201" t="s">
        <v>169</v>
      </c>
      <c r="C57" s="214" t="s">
        <v>212</v>
      </c>
      <c r="D57" s="226" t="str">
        <f t="shared" si="0"/>
        <v>618100a</v>
      </c>
      <c r="E57"/>
      <c r="F57" s="228"/>
      <c r="G57" s="169"/>
      <c r="H57" s="106"/>
      <c r="I57" s="305" t="str">
        <f ca="1">_xll.DBRA(Server&amp;$D$22,$D57,"French")</f>
        <v>Documentation technique et reprographie (coûts directs)</v>
      </c>
      <c r="J57" s="305" t="str">
        <f ca="1">_xll.DBRA(Server&amp;$D$22,$D57,"French")</f>
        <v>Documentation technique et reprographie (coûts directs)</v>
      </c>
      <c r="K57" s="37"/>
      <c r="L57" s="54">
        <f ca="1">_xll.DBRW(Server&amp;Cube1,$J$13,$L$3,$J$15,$L$1,$L$2,$J$16,$D57)</f>
        <v>-22211.91</v>
      </c>
      <c r="M57" s="37"/>
      <c r="N57" s="54">
        <f ca="1">_xll.DBRW(Server&amp;Cube1,$J$13,$N$3,$J$15,$N$1,$N$2,$J$16,$D57)</f>
        <v>-23120.450000000004</v>
      </c>
      <c r="O57" s="55"/>
      <c r="P57" s="57"/>
      <c r="Q57" s="295">
        <v>0</v>
      </c>
      <c r="R57" s="295">
        <v>0</v>
      </c>
      <c r="S57" s="338">
        <v>0</v>
      </c>
      <c r="T57" s="338">
        <v>0</v>
      </c>
      <c r="U57" s="338">
        <v>0</v>
      </c>
      <c r="V57" s="338">
        <v>0</v>
      </c>
      <c r="W57" s="109">
        <v>0</v>
      </c>
      <c r="X57" s="109">
        <v>0</v>
      </c>
      <c r="Y57" s="109">
        <v>0</v>
      </c>
      <c r="Z57" s="109">
        <v>0</v>
      </c>
      <c r="AA57" s="109">
        <v>0</v>
      </c>
      <c r="AB57" s="109">
        <v>0</v>
      </c>
      <c r="AC57" s="31"/>
      <c r="AF57" s="90" t="str">
        <f ca="1">IF(xflag=1,_xll.DBSW(#REF!,Server&amp;Cube1,$J$13,$J$14,$J$15,#REF!,AF$2,$J$16,$D57),_xll.DBRW(Server&amp;Cube1,$J$13,$J$14,$J$15,#REF!,AF$2,$J$16,$D57))</f>
        <v>*KEY_ERR</v>
      </c>
    </row>
    <row r="58" spans="1:35" s="19" customFormat="1" ht="15.75" x14ac:dyDescent="0.25">
      <c r="A58"/>
      <c r="B58" s="204" t="s">
        <v>75</v>
      </c>
      <c r="C58" s="214" t="s">
        <v>213</v>
      </c>
      <c r="D58" s="226" t="str">
        <f t="shared" si="0"/>
        <v>618880a</v>
      </c>
      <c r="E58"/>
      <c r="F58" s="228"/>
      <c r="G58" s="170"/>
      <c r="H58" s="106"/>
      <c r="I58" s="305" t="str">
        <f ca="1">_xll.DBRA(Server&amp;$D$22,$D58,"French")</f>
        <v>Documentation Livrets,DVD et Autres (coûts directs)</v>
      </c>
      <c r="J58" s="305" t="str">
        <f ca="1">_xll.DBRA(Server&amp;$D$22,$D58,"French")</f>
        <v>Documentation Livrets,DVD et Autres (coûts directs)</v>
      </c>
      <c r="K58" s="37"/>
      <c r="L58" s="54">
        <f ca="1">_xll.DBRW(Server&amp;Cube1,$J$13,$L$3,$J$15,$L$1,$L$2,$J$16,$D58)</f>
        <v>-4355.04</v>
      </c>
      <c r="M58" s="37"/>
      <c r="N58" s="54">
        <f ca="1">_xll.DBRW(Server&amp;Cube1,$J$13,$N$3,$J$15,$N$1,$N$2,$J$16,$D58)</f>
        <v>-492</v>
      </c>
      <c r="O58" s="55"/>
      <c r="P58" s="57"/>
      <c r="Q58" s="295">
        <v>0</v>
      </c>
      <c r="R58" s="295">
        <v>0</v>
      </c>
      <c r="S58" s="338">
        <v>0</v>
      </c>
      <c r="T58" s="338">
        <v>0</v>
      </c>
      <c r="U58" s="338">
        <v>0</v>
      </c>
      <c r="V58" s="338">
        <v>0</v>
      </c>
      <c r="W58" s="109">
        <v>0</v>
      </c>
      <c r="X58" s="109">
        <v>0</v>
      </c>
      <c r="Y58" s="109">
        <v>0</v>
      </c>
      <c r="Z58" s="109">
        <v>0</v>
      </c>
      <c r="AA58" s="109">
        <v>0</v>
      </c>
      <c r="AB58" s="109">
        <v>0</v>
      </c>
      <c r="AC58" s="31"/>
      <c r="AF58" s="90" t="str">
        <f ca="1">IF(xflag=1,_xll.DBSW(#REF!,Server&amp;Cube1,$J$13,$J$14,$J$15,#REF!,AF$2,$J$16,$D58),_xll.DBRW(Server&amp;Cube1,$J$13,$J$14,$J$15,#REF!,AF$2,$J$16,$D58))</f>
        <v>*KEY_ERR</v>
      </c>
    </row>
    <row r="59" spans="1:35" s="19" customFormat="1" ht="15.75" x14ac:dyDescent="0.25">
      <c r="A59"/>
      <c r="B59" s="204" t="s">
        <v>76</v>
      </c>
      <c r="C59" s="214" t="s">
        <v>214</v>
      </c>
      <c r="D59" s="226" t="str">
        <f t="shared" si="0"/>
        <v>618880b</v>
      </c>
      <c r="E59"/>
      <c r="F59" s="228"/>
      <c r="G59" s="170"/>
      <c r="H59" s="106"/>
      <c r="I59" s="305" t="str">
        <f ca="1">_xll.DBRA(Server&amp;$D$22,$D59,"French")</f>
        <v>Cartes CQC (charge)</v>
      </c>
      <c r="J59" s="305" t="str">
        <f ca="1">_xll.DBRA(Server&amp;$D$22,$D59,"French")</f>
        <v>Cartes CQC (charge)</v>
      </c>
      <c r="K59" s="37"/>
      <c r="L59" s="54">
        <f ca="1">_xll.DBRW(Server&amp;Cube1,$J$13,$L$3,$J$15,$L$1,$L$2,$J$16,$D59)</f>
        <v>0</v>
      </c>
      <c r="M59" s="37"/>
      <c r="N59" s="54">
        <f ca="1">_xll.DBRW(Server&amp;Cube1,$J$13,$N$3,$J$15,$N$1,$N$2,$J$16,$D59)</f>
        <v>-97.2</v>
      </c>
      <c r="O59" s="55"/>
      <c r="P59" s="57"/>
      <c r="Q59" s="295">
        <v>0</v>
      </c>
      <c r="R59" s="295">
        <v>0</v>
      </c>
      <c r="S59" s="338">
        <v>0</v>
      </c>
      <c r="T59" s="338">
        <v>0</v>
      </c>
      <c r="U59" s="338">
        <v>0</v>
      </c>
      <c r="V59" s="338">
        <v>0</v>
      </c>
      <c r="W59" s="109">
        <v>0</v>
      </c>
      <c r="X59" s="109">
        <v>0</v>
      </c>
      <c r="Y59" s="109">
        <v>0</v>
      </c>
      <c r="Z59" s="109">
        <v>0</v>
      </c>
      <c r="AA59" s="109">
        <v>0</v>
      </c>
      <c r="AB59" s="109">
        <v>0</v>
      </c>
      <c r="AC59" s="31"/>
      <c r="AF59" s="90" t="str">
        <f ca="1">IF(xflag=1,_xll.DBSW(#REF!,Server&amp;Cube1,$J$13,$J$14,$J$15,#REF!,AF$2,$J$16,$D59),_xll.DBRW(Server&amp;Cube1,$J$13,$J$14,$J$15,#REF!,AF$2,$J$16,$D59))</f>
        <v>*KEY_ERR</v>
      </c>
    </row>
    <row r="60" spans="1:35" s="19" customFormat="1" ht="15.75" x14ac:dyDescent="0.25">
      <c r="A60"/>
      <c r="B60" s="204" t="s">
        <v>160</v>
      </c>
      <c r="C60" s="214" t="s">
        <v>215</v>
      </c>
      <c r="D60" s="226" t="str">
        <f t="shared" si="0"/>
        <v xml:space="preserve">623100a  </v>
      </c>
      <c r="E60"/>
      <c r="F60" s="228"/>
      <c r="G60" s="170"/>
      <c r="H60" s="106"/>
      <c r="I60" s="305" t="str">
        <f ca="1">_xll.DBRA(Server&amp;$D$22,$D60,"French")</f>
        <v>Publicité et Marketing (coûts directs)</v>
      </c>
      <c r="J60" s="305" t="str">
        <f ca="1">_xll.DBRA(Server&amp;$D$22,$D60,"French")</f>
        <v>Publicité et Marketing (coûts directs)</v>
      </c>
      <c r="K60" s="37"/>
      <c r="L60" s="54">
        <f ca="1">_xll.DBRW(Server&amp;Cube1,$J$13,$L$3,$J$15,$L$1,$L$2,$J$16,$D60)</f>
        <v>0</v>
      </c>
      <c r="M60" s="37"/>
      <c r="N60" s="54">
        <f ca="1">_xll.DBRW(Server&amp;Cube1,$J$13,$N$3,$J$15,$N$1,$N$2,$J$16,$D60)</f>
        <v>0</v>
      </c>
      <c r="O60" s="55"/>
      <c r="P60" s="57"/>
      <c r="Q60" s="295">
        <v>0</v>
      </c>
      <c r="R60" s="295">
        <v>0</v>
      </c>
      <c r="S60" s="338">
        <v>0</v>
      </c>
      <c r="T60" s="338">
        <v>0</v>
      </c>
      <c r="U60" s="338">
        <v>0</v>
      </c>
      <c r="V60" s="338">
        <v>0</v>
      </c>
      <c r="W60" s="109">
        <v>0</v>
      </c>
      <c r="X60" s="109">
        <v>0</v>
      </c>
      <c r="Y60" s="109">
        <v>0</v>
      </c>
      <c r="Z60" s="109">
        <v>0</v>
      </c>
      <c r="AA60" s="109">
        <v>0</v>
      </c>
      <c r="AB60" s="109">
        <v>0</v>
      </c>
      <c r="AC60" s="31"/>
      <c r="AF60" s="90" t="str">
        <f ca="1">IF(xflag=1,_xll.DBSW(#REF!,Server&amp;Cube1,$J$13,$J$14,$J$15,#REF!,AF$2,$J$16,$D60),_xll.DBRW(Server&amp;Cube1,$J$13,$J$14,$J$15,#REF!,AF$2,$J$16,$D60))</f>
        <v>*KEY_ERR</v>
      </c>
    </row>
    <row r="61" spans="1:35" s="19" customFormat="1" ht="15.75" x14ac:dyDescent="0.25">
      <c r="A61"/>
      <c r="B61" s="204" t="s">
        <v>135</v>
      </c>
      <c r="C61" s="214" t="s">
        <v>216</v>
      </c>
      <c r="D61" s="226" t="str">
        <f t="shared" si="0"/>
        <v>623400</v>
      </c>
      <c r="E61"/>
      <c r="F61" s="228"/>
      <c r="G61" s="170"/>
      <c r="H61" s="106"/>
      <c r="I61" s="305" t="str">
        <f ca="1">_xll.DBRA(Server&amp;$D$22,$D61,"French")</f>
        <v>Cadeaux Stagiaires (coûts directs)</v>
      </c>
      <c r="J61" s="305" t="str">
        <f ca="1">_xll.DBRA(Server&amp;$D$22,$D61,"French")</f>
        <v>Cadeaux Stagiaires (coûts directs)</v>
      </c>
      <c r="K61" s="37"/>
      <c r="L61" s="54">
        <f ca="1">_xll.DBRW(Server&amp;Cube1,$J$13,$L$3,$J$15,$L$1,$L$2,$J$16,$D61)</f>
        <v>-455.97</v>
      </c>
      <c r="M61" s="37"/>
      <c r="N61" s="54">
        <f ca="1">_xll.DBRW(Server&amp;Cube1,$J$13,$N$3,$J$15,$N$1,$N$2,$J$16,$D61)</f>
        <v>-143</v>
      </c>
      <c r="O61" s="55"/>
      <c r="P61" s="57"/>
      <c r="Q61" s="295">
        <v>0</v>
      </c>
      <c r="R61" s="295">
        <v>0</v>
      </c>
      <c r="S61" s="338">
        <v>0</v>
      </c>
      <c r="T61" s="338">
        <v>0</v>
      </c>
      <c r="U61" s="338">
        <v>0</v>
      </c>
      <c r="V61" s="338">
        <v>0</v>
      </c>
      <c r="W61" s="109">
        <v>0</v>
      </c>
      <c r="X61" s="109">
        <v>0</v>
      </c>
      <c r="Y61" s="109">
        <v>0</v>
      </c>
      <c r="Z61" s="109">
        <v>0</v>
      </c>
      <c r="AA61" s="109">
        <v>0</v>
      </c>
      <c r="AB61" s="109">
        <v>0</v>
      </c>
      <c r="AC61" s="31"/>
      <c r="AF61" s="90" t="str">
        <f ca="1">IF(xflag=1,_xll.DBSW(#REF!,Server&amp;Cube1,$J$13,$J$14,$J$15,#REF!,AF$2,$J$16,$D61),_xll.DBRW(Server&amp;Cube1,$J$13,$J$14,$J$15,#REF!,AF$2,$J$16,$D61))</f>
        <v>*KEY_ERR</v>
      </c>
    </row>
    <row r="62" spans="1:35" s="19" customFormat="1" ht="15.75" x14ac:dyDescent="0.25">
      <c r="A62"/>
      <c r="B62" s="204" t="s">
        <v>91</v>
      </c>
      <c r="C62" s="214" t="s">
        <v>217</v>
      </c>
      <c r="D62" s="226" t="str">
        <f t="shared" si="0"/>
        <v>624100b</v>
      </c>
      <c r="E62"/>
      <c r="F62" s="228"/>
      <c r="G62" s="169"/>
      <c r="H62" s="106"/>
      <c r="I62" s="305" t="str">
        <f ca="1">_xll.DBRA(Server&amp;$D$22,$D62,"French")</f>
        <v>Transport sur achat (coûts directs)</v>
      </c>
      <c r="J62" s="305" t="str">
        <f ca="1">_xll.DBRA(Server&amp;$D$22,$D62,"French")</f>
        <v>Transport sur achat (coûts directs)</v>
      </c>
      <c r="K62" s="37"/>
      <c r="L62" s="54">
        <f ca="1">_xll.DBRW(Server&amp;Cube1,$J$13,$L$3,$J$15,$L$1,$L$2,$J$16,$D62)</f>
        <v>-1318.0499999999997</v>
      </c>
      <c r="M62" s="37"/>
      <c r="N62" s="54">
        <f ca="1">_xll.DBRW(Server&amp;Cube1,$J$13,$N$3,$J$15,$N$1,$N$2,$J$16,$D62)</f>
        <v>-1594.2499999999998</v>
      </c>
      <c r="O62" s="55"/>
      <c r="P62" s="57"/>
      <c r="Q62" s="297">
        <v>0</v>
      </c>
      <c r="R62" s="297">
        <v>0</v>
      </c>
      <c r="S62" s="344">
        <v>0</v>
      </c>
      <c r="T62" s="344">
        <v>0</v>
      </c>
      <c r="U62" s="344">
        <v>0</v>
      </c>
      <c r="V62" s="344">
        <v>0</v>
      </c>
      <c r="W62" s="111">
        <v>0</v>
      </c>
      <c r="X62" s="111">
        <v>0</v>
      </c>
      <c r="Y62" s="111">
        <v>0</v>
      </c>
      <c r="Z62" s="111">
        <v>0</v>
      </c>
      <c r="AA62" s="111">
        <v>0</v>
      </c>
      <c r="AB62" s="111">
        <v>0</v>
      </c>
      <c r="AC62" s="31"/>
      <c r="AF62" s="90" t="str">
        <f ca="1">IF(xflag=1,_xll.DBSW(#REF!,Server&amp;Cube1,$J$13,$J$14,$J$15,#REF!,AF$2,$J$16,$D62),_xll.DBRW(Server&amp;Cube1,$J$13,$J$14,$J$15,#REF!,AF$2,$J$16,$D62))</f>
        <v>*KEY_ERR</v>
      </c>
    </row>
    <row r="63" spans="1:35" s="19" customFormat="1" ht="12.75" customHeight="1" x14ac:dyDescent="0.25">
      <c r="A63"/>
      <c r="B63" s="202"/>
      <c r="C63" s="208"/>
      <c r="D63" s="226"/>
      <c r="E63"/>
      <c r="F63" s="228"/>
      <c r="G63" s="170"/>
      <c r="H63" s="106"/>
      <c r="I63" s="43"/>
      <c r="J63" s="76"/>
      <c r="K63" s="38"/>
      <c r="L63" s="79"/>
      <c r="M63" s="37"/>
      <c r="N63" s="79"/>
      <c r="O63" s="77"/>
      <c r="P63" s="78"/>
      <c r="Q63" s="237"/>
      <c r="R63" s="237"/>
      <c r="S63" s="345"/>
      <c r="T63" s="345"/>
      <c r="U63" s="345"/>
      <c r="V63" s="345"/>
      <c r="W63" s="237"/>
      <c r="X63" s="237"/>
      <c r="Y63" s="237"/>
      <c r="Z63" s="237"/>
      <c r="AA63" s="237"/>
      <c r="AB63" s="237"/>
      <c r="AC63" s="31"/>
    </row>
    <row r="64" spans="1:35" s="19" customFormat="1" ht="15.75" x14ac:dyDescent="0.25">
      <c r="A64"/>
      <c r="B64" s="203" t="s">
        <v>25</v>
      </c>
      <c r="C64" s="221"/>
      <c r="D64" s="226" t="str">
        <f t="shared" si="0"/>
        <v>Cout_direct_formation</v>
      </c>
      <c r="E64"/>
      <c r="F64" s="228"/>
      <c r="G64" s="170"/>
      <c r="H64" s="106"/>
      <c r="I64" s="310" t="str">
        <f ca="1">_xll.DBRA(Server&amp;$D$22,$D64,"French")</f>
        <v>Coûts directs de la formation</v>
      </c>
      <c r="J64" s="310" t="str">
        <f ca="1">_xll.DBRA(Server&amp;$D$22,$D64,"French")</f>
        <v>Coûts directs de la formation</v>
      </c>
      <c r="K64" s="67">
        <f>+K44+K48+K49+K53</f>
        <v>0</v>
      </c>
      <c r="L64" s="67">
        <f ca="1">+L44+L48+L49+L53</f>
        <v>-1337273.8199999998</v>
      </c>
      <c r="M64" s="37"/>
      <c r="N64" s="67">
        <f ca="1">+N44+N48+N49+N53</f>
        <v>-1189473.0899999999</v>
      </c>
      <c r="O64" s="68"/>
      <c r="P64" s="69"/>
      <c r="Q64" s="269"/>
      <c r="R64" s="269"/>
      <c r="S64" s="346"/>
      <c r="T64" s="346"/>
      <c r="U64" s="346"/>
      <c r="V64" s="346"/>
      <c r="W64" s="269"/>
      <c r="X64" s="269"/>
      <c r="Y64" s="269"/>
      <c r="Z64" s="269"/>
      <c r="AA64" s="269"/>
      <c r="AB64" s="269"/>
      <c r="AC64" s="31"/>
    </row>
    <row r="65" spans="1:35" ht="15.75" x14ac:dyDescent="0.25">
      <c r="B65" s="238"/>
      <c r="C65" s="239"/>
      <c r="D65" s="267"/>
      <c r="E65"/>
      <c r="F65" s="228"/>
      <c r="G65" s="170"/>
      <c r="H65" s="241"/>
      <c r="I65" s="242"/>
      <c r="J65" s="242"/>
      <c r="K65" s="244"/>
      <c r="L65" s="244"/>
      <c r="M65" s="293"/>
      <c r="N65" s="244"/>
      <c r="O65" s="243"/>
      <c r="P65" s="244"/>
      <c r="Q65" s="268"/>
      <c r="R65" s="268"/>
      <c r="S65" s="268"/>
      <c r="T65" s="268"/>
      <c r="U65" s="268"/>
      <c r="V65" s="268"/>
      <c r="W65" s="268"/>
      <c r="X65" s="268"/>
      <c r="Y65" s="268"/>
      <c r="Z65" s="268"/>
      <c r="AA65" s="268"/>
      <c r="AB65" s="268"/>
    </row>
    <row r="66" spans="1:35" s="228" customFormat="1" ht="8.25" customHeight="1" x14ac:dyDescent="0.25">
      <c r="B66" s="229"/>
      <c r="C66" s="232"/>
      <c r="D66" s="230"/>
      <c r="E66"/>
      <c r="G66" s="170"/>
      <c r="H66" s="248"/>
      <c r="I66" s="314"/>
      <c r="J66" s="314"/>
      <c r="K66" s="249"/>
      <c r="L66" s="250"/>
      <c r="M66" s="72"/>
      <c r="N66" s="250"/>
      <c r="O66" s="251"/>
      <c r="P66" s="250"/>
      <c r="Q66" s="250"/>
      <c r="R66" s="250"/>
      <c r="S66" s="250"/>
      <c r="T66" s="250"/>
      <c r="U66" s="250"/>
      <c r="V66" s="250"/>
      <c r="W66" s="250"/>
      <c r="X66" s="250"/>
      <c r="Y66" s="250"/>
      <c r="Z66" s="250"/>
      <c r="AA66" s="250"/>
      <c r="AB66" s="250"/>
      <c r="AC66" s="252"/>
    </row>
    <row r="67" spans="1:35" s="19" customFormat="1" ht="15.75" x14ac:dyDescent="0.25">
      <c r="A67"/>
      <c r="B67" s="200" t="s">
        <v>20</v>
      </c>
      <c r="C67" s="222" t="s">
        <v>218</v>
      </c>
      <c r="D67" s="226" t="str">
        <f t="shared" si="0"/>
        <v>Marge_Cout_direct_formation</v>
      </c>
      <c r="E67"/>
      <c r="F67" s="228"/>
      <c r="G67" s="170"/>
      <c r="H67" s="253"/>
      <c r="I67" s="311" t="str">
        <f ca="1">_xll.DBRA(Server&amp;$D$22,$D67,"French")</f>
        <v>MARGE sur coûts directs de formation</v>
      </c>
      <c r="J67" s="311" t="str">
        <f ca="1">_xll.DBRA(Server&amp;$D$22,$D67,"French")</f>
        <v>MARGE sur coûts directs de formation</v>
      </c>
      <c r="K67" s="254"/>
      <c r="L67" s="255">
        <f ca="1">L42+L64</f>
        <v>1285322.8700000001</v>
      </c>
      <c r="M67" s="37"/>
      <c r="N67" s="255">
        <f ca="1">N42+N64</f>
        <v>1369622.5300000007</v>
      </c>
      <c r="O67" s="256"/>
      <c r="P67" s="257"/>
      <c r="Q67" s="255"/>
      <c r="R67" s="255"/>
      <c r="S67" s="347"/>
      <c r="T67" s="347"/>
      <c r="U67" s="347"/>
      <c r="V67" s="347"/>
      <c r="W67" s="255"/>
      <c r="X67" s="255"/>
      <c r="Y67" s="255"/>
      <c r="Z67" s="255"/>
      <c r="AA67" s="255"/>
      <c r="AB67" s="255"/>
      <c r="AC67" s="258"/>
    </row>
    <row r="68" spans="1:35" s="19" customFormat="1" ht="15.75" x14ac:dyDescent="0.25">
      <c r="A68"/>
      <c r="B68" s="205" t="s">
        <v>127</v>
      </c>
      <c r="C68" s="211"/>
      <c r="D68" s="226" t="str">
        <f t="shared" si="0"/>
        <v>Calc excel</v>
      </c>
      <c r="E68"/>
      <c r="F68" s="228"/>
      <c r="G68" s="170"/>
      <c r="H68" s="253"/>
      <c r="I68" s="259"/>
      <c r="J68" s="294" t="s">
        <v>77</v>
      </c>
      <c r="K68" s="254"/>
      <c r="L68" s="270">
        <f ca="1">IF(ISERROR(L67/L42),"-",L67/L42)</f>
        <v>0.49009551293226111</v>
      </c>
      <c r="M68" s="260"/>
      <c r="N68" s="270">
        <f ca="1">IF(ISERROR(N67/N42),"-",N67/N42)</f>
        <v>0.53519787197322488</v>
      </c>
      <c r="O68" s="261"/>
      <c r="P68" s="270" t="str">
        <f t="shared" ref="P68" si="3">IF(ISERROR(P67/P42),"-",P67/P42)</f>
        <v>-</v>
      </c>
      <c r="Q68" s="292"/>
      <c r="R68" s="292"/>
      <c r="S68" s="292"/>
      <c r="T68" s="292"/>
      <c r="U68" s="292"/>
      <c r="V68" s="292"/>
      <c r="W68" s="292"/>
      <c r="X68" s="292"/>
      <c r="Y68" s="292"/>
      <c r="Z68" s="292"/>
      <c r="AA68" s="292"/>
      <c r="AB68" s="292"/>
      <c r="AC68" s="258"/>
    </row>
    <row r="69" spans="1:35" s="228" customFormat="1" ht="8.25" customHeight="1" x14ac:dyDescent="0.25">
      <c r="B69" s="229"/>
      <c r="C69" s="232"/>
      <c r="D69" s="230"/>
      <c r="E69"/>
      <c r="G69" s="170"/>
      <c r="H69" s="262"/>
      <c r="I69" s="312"/>
      <c r="J69" s="312"/>
      <c r="K69" s="263"/>
      <c r="L69" s="264"/>
      <c r="M69" s="263"/>
      <c r="N69" s="264"/>
      <c r="O69" s="265"/>
      <c r="P69" s="264"/>
      <c r="Q69" s="264"/>
      <c r="R69" s="264"/>
      <c r="S69" s="264"/>
      <c r="T69" s="264"/>
      <c r="U69" s="264"/>
      <c r="V69" s="264"/>
      <c r="W69" s="264"/>
      <c r="X69" s="264"/>
      <c r="Y69" s="264"/>
      <c r="Z69" s="264"/>
      <c r="AA69" s="264"/>
      <c r="AB69" s="264"/>
      <c r="AC69" s="266"/>
    </row>
    <row r="70" spans="1:35" ht="16.5" thickBot="1" x14ac:dyDescent="0.3">
      <c r="B70" s="236"/>
      <c r="C70" s="236"/>
      <c r="D70" s="267"/>
      <c r="E70"/>
      <c r="F70" s="228"/>
      <c r="G70" s="170"/>
      <c r="H70" s="234"/>
      <c r="I70" s="313" t="str">
        <f ca="1">_xll.DBRA(Server&amp;$D$22,$D70,"French")</f>
        <v/>
      </c>
      <c r="J70" s="313" t="str">
        <f ca="1">_xll.DBRA(Server&amp;$D$22,$D70,"French")</f>
        <v/>
      </c>
      <c r="K70" s="245"/>
      <c r="L70" s="247" t="str">
        <f ca="1">_xll.DBRW(Server&amp;Cube1,$J$13,$L$3,$J$15,$L$1,$L$2,$J$16,$D70)</f>
        <v/>
      </c>
      <c r="M70" s="245"/>
      <c r="N70" s="247" t="str">
        <f ca="1">_xll.DBRW(Server&amp;Cube1,$J$13,$N$3,$J$15,$N$1,$N$2,$J$16,$D70)</f>
        <v/>
      </c>
      <c r="O70" s="246"/>
      <c r="P70" s="247"/>
      <c r="Q70" s="268"/>
      <c r="R70" s="268"/>
      <c r="S70" s="268"/>
      <c r="T70" s="268"/>
      <c r="U70" s="268"/>
      <c r="V70" s="268"/>
      <c r="W70" s="268"/>
      <c r="X70" s="268"/>
      <c r="Y70" s="268"/>
      <c r="Z70" s="268"/>
      <c r="AA70" s="268"/>
      <c r="AB70" s="268"/>
    </row>
    <row r="71" spans="1:35" s="19" customFormat="1" ht="16.5" thickTop="1" x14ac:dyDescent="0.25">
      <c r="A71"/>
      <c r="B71" s="200" t="s">
        <v>34</v>
      </c>
      <c r="C71" s="219" t="s">
        <v>219</v>
      </c>
      <c r="D71" s="226" t="str">
        <f t="shared" si="0"/>
        <v>Cout_structure_salaires</v>
      </c>
      <c r="E71"/>
      <c r="F71" s="228"/>
      <c r="G71" s="169"/>
      <c r="H71" s="105"/>
      <c r="I71" s="306" t="str">
        <f ca="1">_xll.DBRA(Server&amp;$D$22,$D71,"French")</f>
        <v>Salaires</v>
      </c>
      <c r="J71" s="306" t="str">
        <f ca="1">_xll.DBRA(Server&amp;$D$22,$D71,"French")</f>
        <v>Salaires</v>
      </c>
      <c r="K71" s="39"/>
      <c r="L71" s="67">
        <f ca="1">SUM(L72:L74)</f>
        <v>0</v>
      </c>
      <c r="M71" s="39"/>
      <c r="N71" s="67">
        <f ca="1">SUM(N72:N74)</f>
        <v>0</v>
      </c>
      <c r="O71" s="68"/>
      <c r="P71" s="69"/>
      <c r="Q71" s="110"/>
      <c r="R71" s="110"/>
      <c r="S71" s="340"/>
      <c r="T71" s="340"/>
      <c r="U71" s="340"/>
      <c r="V71" s="340"/>
      <c r="W71" s="110"/>
      <c r="X71" s="110"/>
      <c r="Y71" s="110"/>
      <c r="Z71" s="110"/>
      <c r="AA71" s="110"/>
      <c r="AB71" s="110"/>
      <c r="AC71" s="31"/>
    </row>
    <row r="72" spans="1:35" s="19" customFormat="1" ht="15.75" x14ac:dyDescent="0.25">
      <c r="A72"/>
      <c r="B72" s="204" t="s">
        <v>35</v>
      </c>
      <c r="C72" s="214" t="s">
        <v>220</v>
      </c>
      <c r="D72" s="226" t="str">
        <f t="shared" si="0"/>
        <v>621100</v>
      </c>
      <c r="E72"/>
      <c r="F72" s="228"/>
      <c r="G72" s="171"/>
      <c r="H72" s="107"/>
      <c r="I72" s="305" t="str">
        <f ca="1">_xll.DBRA(Server&amp;$D$22,$D72,"French")</f>
        <v>Personnel intérimaire</v>
      </c>
      <c r="J72" s="305" t="str">
        <f ca="1">_xll.DBRA(Server&amp;$D$22,$D72,"French")</f>
        <v>Personnel intérimaire</v>
      </c>
      <c r="K72" s="37"/>
      <c r="L72" s="54">
        <f ca="1">_xll.DBRW(Server&amp;Cube1,$J$13,$L$3,$J$15,$L$1,$L$2,$J$16,$D72)</f>
        <v>0</v>
      </c>
      <c r="M72" s="37"/>
      <c r="N72" s="54">
        <f ca="1">_xll.DBRW(Server&amp;Cube1,$J$13,$N$3,$J$15,$N$1,$N$2,$J$16,$D72)</f>
        <v>0</v>
      </c>
      <c r="O72" s="55"/>
      <c r="P72" s="57"/>
      <c r="Q72" s="295">
        <v>0</v>
      </c>
      <c r="R72" s="295">
        <v>0</v>
      </c>
      <c r="S72" s="338">
        <v>0</v>
      </c>
      <c r="T72" s="338">
        <v>0</v>
      </c>
      <c r="U72" s="338">
        <v>0</v>
      </c>
      <c r="V72" s="338">
        <v>0</v>
      </c>
      <c r="W72" s="109">
        <v>0</v>
      </c>
      <c r="X72" s="109">
        <v>0</v>
      </c>
      <c r="Y72" s="109">
        <v>0</v>
      </c>
      <c r="Z72" s="109">
        <v>0</v>
      </c>
      <c r="AA72" s="109">
        <v>0</v>
      </c>
      <c r="AB72" s="109">
        <v>0</v>
      </c>
      <c r="AC72" s="31"/>
      <c r="AF72" s="90" t="str">
        <f ca="1">IF(xflag=1,_xll.DBSW(#REF!,Server&amp;Cube1,$J$13,$J$14,$J$15,#REF!,AF$2,$J$16,$D72),_xll.DBRW(Server&amp;Cube1,$J$13,$J$14,$J$15,#REF!,AF$2,$J$16,$D72))</f>
        <v>*KEY_ERR</v>
      </c>
    </row>
    <row r="73" spans="1:35" s="19" customFormat="1" ht="16.5" thickBot="1" x14ac:dyDescent="0.3">
      <c r="A73"/>
      <c r="B73" s="201" t="s">
        <v>171</v>
      </c>
      <c r="C73" s="213" t="s">
        <v>221</v>
      </c>
      <c r="D73" s="226" t="str">
        <f t="shared" si="0"/>
        <v>621400a</v>
      </c>
      <c r="E73"/>
      <c r="F73" s="228"/>
      <c r="G73" s="170"/>
      <c r="H73" s="106"/>
      <c r="I73" s="305" t="str">
        <f ca="1">_xll.DBRA(Server&amp;$D$22,$D73,"French")</f>
        <v>PMAD - Resp. administrative et personnel GIE</v>
      </c>
      <c r="J73" s="305" t="str">
        <f ca="1">_xll.DBRA(Server&amp;$D$22,$D73,"French")</f>
        <v>PMAD - Resp. administrative et personnel GIE</v>
      </c>
      <c r="K73" s="37"/>
      <c r="L73" s="54">
        <f ca="1">_xll.DBRW(Server&amp;Cube1,$J$13,$L$3,$J$15,$L$1,$L$2,$J$16,$D73)</f>
        <v>0</v>
      </c>
      <c r="M73" s="37"/>
      <c r="N73" s="54">
        <f ca="1">_xll.DBRW(Server&amp;Cube1,$J$13,$N$3,$J$15,$N$1,$N$2,$J$16,$D73)</f>
        <v>0</v>
      </c>
      <c r="O73" s="55"/>
      <c r="P73" s="57"/>
      <c r="Q73" s="295">
        <v>0</v>
      </c>
      <c r="R73" s="295">
        <v>0</v>
      </c>
      <c r="S73" s="338">
        <v>0</v>
      </c>
      <c r="T73" s="338">
        <v>0</v>
      </c>
      <c r="U73" s="338">
        <v>0</v>
      </c>
      <c r="V73" s="338">
        <v>0</v>
      </c>
      <c r="W73" s="109">
        <v>0</v>
      </c>
      <c r="X73" s="109">
        <v>0</v>
      </c>
      <c r="Y73" s="109">
        <v>0</v>
      </c>
      <c r="Z73" s="109">
        <v>0</v>
      </c>
      <c r="AA73" s="109">
        <v>0</v>
      </c>
      <c r="AB73" s="109">
        <v>0</v>
      </c>
      <c r="AC73" s="31"/>
      <c r="AF73" s="90" t="str">
        <f ca="1">IF(xflag=1,_xll.DBSW(#REF!,Server&amp;Cube1,$J$13,$J$14,$J$15,#REF!,AF$2,$J$16,$D73),_xll.DBRW(Server&amp;Cube1,$J$13,$J$14,$J$15,#REF!,AF$2,$J$16,$D73))</f>
        <v>*KEY_ERR</v>
      </c>
    </row>
    <row r="74" spans="1:35" s="19" customFormat="1" ht="17.25" thickTop="1" thickBot="1" x14ac:dyDescent="0.3">
      <c r="A74"/>
      <c r="B74" s="201" t="s">
        <v>172</v>
      </c>
      <c r="C74" s="213" t="s">
        <v>222</v>
      </c>
      <c r="D74" s="226" t="str">
        <f t="shared" si="0"/>
        <v>621400b</v>
      </c>
      <c r="E74"/>
      <c r="F74" s="228"/>
      <c r="G74" s="169"/>
      <c r="H74" s="105"/>
      <c r="I74" s="305" t="str">
        <f ca="1">_xll.DBRA(Server&amp;$D$22,$D74,"French")</f>
        <v>PMAD - Contributions projets pédagogiques</v>
      </c>
      <c r="J74" s="305" t="str">
        <f ca="1">_xll.DBRA(Server&amp;$D$22,$D74,"French")</f>
        <v>PMAD - Contributions projets pédagogiques</v>
      </c>
      <c r="K74" s="37"/>
      <c r="L74" s="54">
        <f ca="1">_xll.DBRW(Server&amp;Cube1,$J$13,$L$3,$J$15,$L$1,$L$2,$J$16,$D74)</f>
        <v>0</v>
      </c>
      <c r="M74" s="37"/>
      <c r="N74" s="54">
        <f ca="1">_xll.DBRW(Server&amp;Cube1,$J$13,$N$3,$J$15,$N$1,$N$2,$J$16,$D74)</f>
        <v>0</v>
      </c>
      <c r="O74" s="55"/>
      <c r="P74" s="57"/>
      <c r="Q74" s="296">
        <v>0</v>
      </c>
      <c r="R74" s="296">
        <v>0</v>
      </c>
      <c r="S74" s="341">
        <v>0</v>
      </c>
      <c r="T74" s="341">
        <v>0</v>
      </c>
      <c r="U74" s="341">
        <v>0</v>
      </c>
      <c r="V74" s="341">
        <v>0</v>
      </c>
      <c r="W74" s="227">
        <v>0</v>
      </c>
      <c r="X74" s="227">
        <v>0</v>
      </c>
      <c r="Y74" s="227">
        <v>0</v>
      </c>
      <c r="Z74" s="227">
        <v>0</v>
      </c>
      <c r="AA74" s="227">
        <v>0</v>
      </c>
      <c r="AB74" s="227">
        <v>0</v>
      </c>
      <c r="AC74" s="31"/>
      <c r="AF74" s="90" t="str">
        <f ca="1">IF(xflag=1,_xll.DBSW(#REF!,Server&amp;Cube1,$J$13,$J$14,$J$15,#REF!,AF$2,$J$16,$D74),_xll.DBRW(Server&amp;Cube1,$J$13,$J$14,$J$15,#REF!,AF$2,$J$16,$D74))</f>
        <v>*KEY_ERR</v>
      </c>
      <c r="AI74" s="19">
        <v>7</v>
      </c>
    </row>
    <row r="75" spans="1:35" s="19" customFormat="1" ht="16.5" thickTop="1" x14ac:dyDescent="0.25">
      <c r="A75"/>
      <c r="B75" s="200" t="s">
        <v>295</v>
      </c>
      <c r="C75" s="219" t="s">
        <v>296</v>
      </c>
      <c r="D75" s="226" t="s">
        <v>295</v>
      </c>
      <c r="E75"/>
      <c r="F75" s="228"/>
      <c r="G75" s="169"/>
      <c r="H75" s="105"/>
      <c r="I75" s="306" t="s">
        <v>297</v>
      </c>
      <c r="J75" s="306"/>
      <c r="K75" s="39"/>
      <c r="L75" s="67">
        <f ca="1">SUM(L76:L77)</f>
        <v>0</v>
      </c>
      <c r="M75" s="39"/>
      <c r="N75" s="67">
        <f ca="1">SUM(N76:N77)</f>
        <v>0</v>
      </c>
      <c r="O75" s="68"/>
      <c r="P75" s="69"/>
      <c r="Q75" s="108"/>
      <c r="R75" s="108"/>
      <c r="S75" s="343"/>
      <c r="T75" s="343"/>
      <c r="U75" s="343"/>
      <c r="V75" s="343"/>
      <c r="W75" s="108"/>
      <c r="X75" s="108"/>
      <c r="Y75" s="108"/>
      <c r="Z75" s="108"/>
      <c r="AA75" s="108"/>
      <c r="AB75" s="108"/>
      <c r="AC75" s="31"/>
    </row>
    <row r="76" spans="1:35" s="19" customFormat="1" ht="15.75" x14ac:dyDescent="0.25">
      <c r="A76"/>
      <c r="B76" s="204" t="s">
        <v>155</v>
      </c>
      <c r="C76" s="214" t="s">
        <v>223</v>
      </c>
      <c r="D76" s="226" t="str">
        <f t="shared" si="0"/>
        <v>615600b</v>
      </c>
      <c r="E76"/>
      <c r="F76" s="228"/>
      <c r="G76" s="171"/>
      <c r="H76" s="107"/>
      <c r="I76" s="305" t="str">
        <f ca="1">_xll.DBRA(Server&amp;$D$22,$D76,"French")</f>
        <v>Maintenance Informatique Pack Finance</v>
      </c>
      <c r="J76" s="305" t="str">
        <f ca="1">_xll.DBRA(Server&amp;$D$22,$D76,"French")</f>
        <v>Maintenance Informatique Pack Finance</v>
      </c>
      <c r="K76" s="37"/>
      <c r="L76" s="54">
        <f ca="1">_xll.DBRW(Server&amp;Cube1,$J$13,$L$3,$J$15,$L$1,$L$2,$J$16,$D76)</f>
        <v>0</v>
      </c>
      <c r="M76" s="37"/>
      <c r="N76" s="54">
        <f ca="1">_xll.DBRW(Server&amp;Cube1,$J$13,$N$3,$J$15,$N$1,$N$2,$J$16,$D76)</f>
        <v>0</v>
      </c>
      <c r="O76" s="55"/>
      <c r="P76" s="57"/>
      <c r="Q76" s="295">
        <v>0</v>
      </c>
      <c r="R76" s="295">
        <v>0</v>
      </c>
      <c r="S76" s="338">
        <v>0</v>
      </c>
      <c r="T76" s="338">
        <v>0</v>
      </c>
      <c r="U76" s="338">
        <v>0</v>
      </c>
      <c r="V76" s="338">
        <v>0</v>
      </c>
      <c r="W76" s="109">
        <v>0</v>
      </c>
      <c r="X76" s="109">
        <v>0</v>
      </c>
      <c r="Y76" s="109">
        <v>0</v>
      </c>
      <c r="Z76" s="109">
        <v>0</v>
      </c>
      <c r="AA76" s="109">
        <v>0</v>
      </c>
      <c r="AB76" s="109">
        <v>0</v>
      </c>
      <c r="AC76" s="31"/>
      <c r="AF76" s="90" t="str">
        <f ca="1">IF(xflag=1,_xll.DBSW(#REF!,Server&amp;Cube1,$J$13,$J$14,$J$15,#REF!,AF$2,$J$16,$D76),_xll.DBRW(Server&amp;Cube1,$J$13,$J$14,$J$15,#REF!,AF$2,$J$16,$D76))</f>
        <v>*KEY_ERR</v>
      </c>
    </row>
    <row r="77" spans="1:35" s="19" customFormat="1" ht="16.5" thickBot="1" x14ac:dyDescent="0.3">
      <c r="A77"/>
      <c r="B77" s="204" t="s">
        <v>41</v>
      </c>
      <c r="C77" s="214" t="s">
        <v>223</v>
      </c>
      <c r="D77" s="226" t="str">
        <f t="shared" si="0"/>
        <v>615650</v>
      </c>
      <c r="E77"/>
      <c r="F77" s="228"/>
      <c r="G77" s="171"/>
      <c r="H77" s="107"/>
      <c r="I77" s="305" t="str">
        <f ca="1">_xll.DBRA(Server&amp;$D$22,$D77,"French")</f>
        <v>Abonnement SAAS</v>
      </c>
      <c r="J77" s="305" t="str">
        <f ca="1">_xll.DBRA(Server&amp;$D$22,$D77,"French")</f>
        <v>Abonnement SAAS</v>
      </c>
      <c r="K77" s="37"/>
      <c r="L77" s="54">
        <f ca="1">_xll.DBRW(Server&amp;Cube1,$J$13,$L$3,$J$15,$L$1,$L$2,$J$16,$D77)</f>
        <v>0</v>
      </c>
      <c r="M77" s="37"/>
      <c r="N77" s="54">
        <f ca="1">_xll.DBRW(Server&amp;Cube1,$J$13,$N$3,$J$15,$N$1,$N$2,$J$16,$D77)</f>
        <v>0</v>
      </c>
      <c r="O77" s="55"/>
      <c r="P77" s="57"/>
      <c r="Q77" s="295">
        <v>0</v>
      </c>
      <c r="R77" s="295">
        <v>0</v>
      </c>
      <c r="S77" s="338">
        <v>0</v>
      </c>
      <c r="T77" s="338">
        <v>0</v>
      </c>
      <c r="U77" s="338">
        <v>0</v>
      </c>
      <c r="V77" s="338">
        <v>0</v>
      </c>
      <c r="W77" s="109">
        <v>0</v>
      </c>
      <c r="X77" s="109">
        <v>0</v>
      </c>
      <c r="Y77" s="109">
        <v>0</v>
      </c>
      <c r="Z77" s="109">
        <v>0</v>
      </c>
      <c r="AA77" s="109">
        <v>0</v>
      </c>
      <c r="AB77" s="109">
        <v>0</v>
      </c>
      <c r="AC77" s="31"/>
      <c r="AF77" s="90" t="str">
        <f ca="1">IF(xflag=1,_xll.DBSW(#REF!,Server&amp;Cube1,$J$13,$J$14,$J$15,#REF!,AF$2,$J$16,$D77),_xll.DBRW(Server&amp;Cube1,$J$13,$J$14,$J$15,#REF!,AF$2,$J$16,$D77))</f>
        <v>*KEY_ERR</v>
      </c>
      <c r="AI77" s="19">
        <v>8</v>
      </c>
    </row>
    <row r="78" spans="1:35" s="19" customFormat="1" ht="16.5" thickTop="1" x14ac:dyDescent="0.25">
      <c r="A78"/>
      <c r="B78" s="200" t="s">
        <v>42</v>
      </c>
      <c r="C78" s="219" t="s">
        <v>224</v>
      </c>
      <c r="D78" s="226" t="str">
        <f t="shared" si="0"/>
        <v>Cout_structure_VH_Telephonie</v>
      </c>
      <c r="E78"/>
      <c r="F78" s="228"/>
      <c r="G78" s="169"/>
      <c r="H78" s="105"/>
      <c r="I78" s="315" t="str">
        <f ca="1">_xll.DBRA(Server&amp;$D$22,$D78,"French")</f>
        <v>Location VH et Télephonie</v>
      </c>
      <c r="J78" s="315" t="str">
        <f ca="1">_xll.DBRA(Server&amp;$D$22,$D78,"French")</f>
        <v>Location VH et Télephonie</v>
      </c>
      <c r="K78" s="39"/>
      <c r="L78" s="67">
        <f ca="1">SUM(L79:L84)</f>
        <v>0</v>
      </c>
      <c r="M78" s="39"/>
      <c r="N78" s="67">
        <f ca="1">SUM(N79:N84)</f>
        <v>0</v>
      </c>
      <c r="O78" s="68"/>
      <c r="P78" s="69"/>
      <c r="Q78" s="108"/>
      <c r="R78" s="108"/>
      <c r="S78" s="343"/>
      <c r="T78" s="343"/>
      <c r="U78" s="343"/>
      <c r="V78" s="343"/>
      <c r="W78" s="108"/>
      <c r="X78" s="108"/>
      <c r="Y78" s="108"/>
      <c r="Z78" s="108"/>
      <c r="AA78" s="108"/>
      <c r="AB78" s="108"/>
      <c r="AC78" s="31"/>
    </row>
    <row r="79" spans="1:35" s="19" customFormat="1" ht="16.5" thickBot="1" x14ac:dyDescent="0.3">
      <c r="A79"/>
      <c r="B79" s="204" t="s">
        <v>156</v>
      </c>
      <c r="C79" s="213" t="s">
        <v>225</v>
      </c>
      <c r="D79" s="226" t="str">
        <f t="shared" si="0"/>
        <v>615580b</v>
      </c>
      <c r="E79"/>
      <c r="F79" s="228"/>
      <c r="G79" s="171"/>
      <c r="H79" s="107"/>
      <c r="I79" s="305" t="str">
        <f ca="1">_xll.DBRA(Server&amp;$D$22,$D79,"French")</f>
        <v>Véhicule de fonction - Entretiens et réparations</v>
      </c>
      <c r="J79" s="305" t="str">
        <f ca="1">_xll.DBRA(Server&amp;$D$22,$D79,"French")</f>
        <v>Véhicule de fonction - Entretiens et réparations</v>
      </c>
      <c r="K79" s="37"/>
      <c r="L79" s="54">
        <f ca="1">_xll.DBRW(Server&amp;Cube1,$J$13,$L$3,$J$15,$L$1,$L$2,$J$16,$D79)</f>
        <v>0</v>
      </c>
      <c r="M79" s="37"/>
      <c r="N79" s="54">
        <f ca="1">_xll.DBRW(Server&amp;Cube1,$J$13,$N$3,$J$15,$N$1,$N$2,$J$16,$D79)</f>
        <v>0</v>
      </c>
      <c r="O79" s="55"/>
      <c r="P79" s="57"/>
      <c r="Q79" s="295">
        <v>0</v>
      </c>
      <c r="R79" s="295">
        <v>0</v>
      </c>
      <c r="S79" s="338">
        <v>0</v>
      </c>
      <c r="T79" s="338">
        <v>0</v>
      </c>
      <c r="U79" s="338">
        <v>0</v>
      </c>
      <c r="V79" s="338">
        <v>0</v>
      </c>
      <c r="W79" s="109">
        <v>0</v>
      </c>
      <c r="X79" s="109">
        <v>0</v>
      </c>
      <c r="Y79" s="109">
        <v>0</v>
      </c>
      <c r="Z79" s="109">
        <v>0</v>
      </c>
      <c r="AA79" s="109">
        <v>0</v>
      </c>
      <c r="AB79" s="109">
        <v>0</v>
      </c>
      <c r="AC79" s="31"/>
      <c r="AF79" s="90" t="str">
        <f ca="1">IF(xflag=1,_xll.DBSW(#REF!,Server&amp;Cube1,$J$13,$J$14,$J$15,#REF!,AF$2,$J$16,$D79),_xll.DBRW(Server&amp;Cube1,$J$13,$J$14,$J$15,#REF!,AF$2,$J$16,$D79))</f>
        <v>*KEY_ERR</v>
      </c>
    </row>
    <row r="80" spans="1:35" s="19" customFormat="1" ht="17.25" customHeight="1" thickTop="1" thickBot="1" x14ac:dyDescent="0.3">
      <c r="A80"/>
      <c r="B80" s="204" t="s">
        <v>177</v>
      </c>
      <c r="C80" s="213" t="s">
        <v>226</v>
      </c>
      <c r="D80" s="226" t="str">
        <f t="shared" si="0"/>
        <v>616000</v>
      </c>
      <c r="E80"/>
      <c r="F80" s="228"/>
      <c r="G80" s="171"/>
      <c r="H80" s="107"/>
      <c r="I80" s="305" t="str">
        <f ca="1">_xll.DBRA(Server&amp;$D$22,$D80,"French")</f>
        <v>Véhicule de Fonction - Prime d'assurance</v>
      </c>
      <c r="J80" s="305" t="str">
        <f ca="1">_xll.DBRA(Server&amp;$D$22,$D80,"French")</f>
        <v>Véhicule de Fonction - Prime d'assurance</v>
      </c>
      <c r="K80" s="37"/>
      <c r="L80" s="54">
        <f ca="1">_xll.DBRW(Server&amp;Cube1,$J$13,$L$3,$J$15,$L$1,$L$2,$J$16,$D80)</f>
        <v>0</v>
      </c>
      <c r="M80" s="37"/>
      <c r="N80" s="54">
        <f ca="1">_xll.DBRW(Server&amp;Cube1,$J$13,$N$3,$J$15,$N$1,$N$2,$J$16,$D80)</f>
        <v>0</v>
      </c>
      <c r="O80" s="55"/>
      <c r="P80" s="57"/>
      <c r="Q80" s="295">
        <v>0</v>
      </c>
      <c r="R80" s="295">
        <v>0</v>
      </c>
      <c r="S80" s="338">
        <v>0</v>
      </c>
      <c r="T80" s="338">
        <v>0</v>
      </c>
      <c r="U80" s="338">
        <v>0</v>
      </c>
      <c r="V80" s="338">
        <v>0</v>
      </c>
      <c r="W80" s="109">
        <v>0</v>
      </c>
      <c r="X80" s="109">
        <v>0</v>
      </c>
      <c r="Y80" s="109">
        <v>0</v>
      </c>
      <c r="Z80" s="109">
        <v>0</v>
      </c>
      <c r="AA80" s="109">
        <v>0</v>
      </c>
      <c r="AB80" s="109">
        <v>0</v>
      </c>
      <c r="AC80" s="31"/>
      <c r="AF80" s="90" t="str">
        <f ca="1">IF(xflag=1,_xll.DBSW(#REF!,Server&amp;Cube1,$J$13,$J$14,$J$15,#REF!,AF$2,$J$16,$D80),_xll.DBRW(Server&amp;Cube1,$J$13,$J$14,$J$15,#REF!,AF$2,$J$16,$D80))</f>
        <v>*KEY_ERR</v>
      </c>
    </row>
    <row r="81" spans="1:35" s="19" customFormat="1" ht="17.25" customHeight="1" thickTop="1" thickBot="1" x14ac:dyDescent="0.3">
      <c r="A81"/>
      <c r="B81" s="204" t="s">
        <v>157</v>
      </c>
      <c r="C81" s="213" t="s">
        <v>227</v>
      </c>
      <c r="D81" s="226" t="str">
        <f t="shared" si="0"/>
        <v>625130a</v>
      </c>
      <c r="E81"/>
      <c r="F81" s="228"/>
      <c r="G81" s="171"/>
      <c r="H81" s="107"/>
      <c r="I81" s="305" t="str">
        <f ca="1">_xll.DBRA(Server&amp;$D$22,$D81,"French")</f>
        <v>Véhicule de Fonction - Frais de location</v>
      </c>
      <c r="J81" s="305" t="str">
        <f ca="1">_xll.DBRA(Server&amp;$D$22,$D81,"French")</f>
        <v>Véhicule de Fonction - Frais de location</v>
      </c>
      <c r="K81" s="37"/>
      <c r="L81" s="54">
        <f ca="1">_xll.DBRW(Server&amp;Cube1,$J$13,$L$3,$J$15,$L$1,$L$2,$J$16,$D81)</f>
        <v>0</v>
      </c>
      <c r="M81" s="37"/>
      <c r="N81" s="54">
        <f ca="1">_xll.DBRW(Server&amp;Cube1,$J$13,$N$3,$J$15,$N$1,$N$2,$J$16,$D81)</f>
        <v>0</v>
      </c>
      <c r="O81" s="55"/>
      <c r="P81" s="57"/>
      <c r="Q81" s="295">
        <v>0</v>
      </c>
      <c r="R81" s="295">
        <v>0</v>
      </c>
      <c r="S81" s="338">
        <v>0</v>
      </c>
      <c r="T81" s="338">
        <v>0</v>
      </c>
      <c r="U81" s="338">
        <v>0</v>
      </c>
      <c r="V81" s="338">
        <v>0</v>
      </c>
      <c r="W81" s="109">
        <v>0</v>
      </c>
      <c r="X81" s="109">
        <v>0</v>
      </c>
      <c r="Y81" s="109">
        <v>0</v>
      </c>
      <c r="Z81" s="109">
        <v>0</v>
      </c>
      <c r="AA81" s="109">
        <v>0</v>
      </c>
      <c r="AB81" s="109">
        <v>0</v>
      </c>
      <c r="AC81" s="31"/>
      <c r="AF81" s="90" t="str">
        <f ca="1">IF(xflag=1,_xll.DBSW(#REF!,Server&amp;Cube1,$J$13,$J$14,$J$15,#REF!,AF$2,$J$16,$D81),_xll.DBRW(Server&amp;Cube1,$J$13,$J$14,$J$15,#REF!,AF$2,$J$16,$D81))</f>
        <v>*KEY_ERR</v>
      </c>
      <c r="AI81" s="19">
        <v>9</v>
      </c>
    </row>
    <row r="82" spans="1:35" s="19" customFormat="1" ht="17.25" customHeight="1" thickTop="1" thickBot="1" x14ac:dyDescent="0.3">
      <c r="A82"/>
      <c r="B82" s="204" t="s">
        <v>158</v>
      </c>
      <c r="C82" s="213" t="s">
        <v>228</v>
      </c>
      <c r="D82" s="226" t="str">
        <f t="shared" si="0"/>
        <v>625130b</v>
      </c>
      <c r="E82"/>
      <c r="F82" s="228"/>
      <c r="G82" s="171"/>
      <c r="H82" s="107"/>
      <c r="I82" s="305" t="str">
        <f ca="1">_xll.DBRA(Server&amp;$D$22,$D82,"French")</f>
        <v>Véhicule de Fonction - Frais de péage</v>
      </c>
      <c r="J82" s="305" t="str">
        <f ca="1">_xll.DBRA(Server&amp;$D$22,$D82,"French")</f>
        <v>Véhicule de Fonction - Frais de péage</v>
      </c>
      <c r="K82" s="37"/>
      <c r="L82" s="54">
        <f ca="1">_xll.DBRW(Server&amp;Cube1,$J$13,$L$3,$J$15,$L$1,$L$2,$J$16,$D82)</f>
        <v>0</v>
      </c>
      <c r="M82" s="37"/>
      <c r="N82" s="54">
        <f ca="1">_xll.DBRW(Server&amp;Cube1,$J$13,$N$3,$J$15,$N$1,$N$2,$J$16,$D82)</f>
        <v>0</v>
      </c>
      <c r="O82" s="55"/>
      <c r="P82" s="57"/>
      <c r="Q82" s="295">
        <v>0</v>
      </c>
      <c r="R82" s="295">
        <v>0</v>
      </c>
      <c r="S82" s="338">
        <v>0</v>
      </c>
      <c r="T82" s="338">
        <v>0</v>
      </c>
      <c r="U82" s="338">
        <v>0</v>
      </c>
      <c r="V82" s="338">
        <v>0</v>
      </c>
      <c r="W82" s="109">
        <v>0</v>
      </c>
      <c r="X82" s="109">
        <v>0</v>
      </c>
      <c r="Y82" s="109">
        <v>0</v>
      </c>
      <c r="Z82" s="109">
        <v>0</v>
      </c>
      <c r="AA82" s="109">
        <v>0</v>
      </c>
      <c r="AB82" s="109">
        <v>0</v>
      </c>
      <c r="AC82" s="31"/>
      <c r="AF82" s="90" t="str">
        <f ca="1">IF(xflag=1,_xll.DBSW(#REF!,Server&amp;Cube1,$J$13,$J$14,$J$15,#REF!,AF$2,$J$16,$D82),_xll.DBRW(Server&amp;Cube1,$J$13,$J$14,$J$15,#REF!,AF$2,$J$16,$D82))</f>
        <v>*KEY_ERR</v>
      </c>
    </row>
    <row r="83" spans="1:35" s="19" customFormat="1" ht="17.25" thickTop="1" thickBot="1" x14ac:dyDescent="0.3">
      <c r="A83"/>
      <c r="B83" s="204" t="s">
        <v>159</v>
      </c>
      <c r="C83" s="213" t="s">
        <v>229</v>
      </c>
      <c r="D83" s="226" t="str">
        <f t="shared" si="0"/>
        <v>625130c</v>
      </c>
      <c r="E83"/>
      <c r="F83" s="228"/>
      <c r="G83" s="170"/>
      <c r="H83" s="106"/>
      <c r="I83" s="305" t="str">
        <f ca="1">_xll.DBRA(Server&amp;$D$22,$D83,"French")</f>
        <v>Véhicule de Fonction - Frais de carburant</v>
      </c>
      <c r="J83" s="305" t="str">
        <f ca="1">_xll.DBRA(Server&amp;$D$22,$D83,"French")</f>
        <v>Véhicule de Fonction - Frais de carburant</v>
      </c>
      <c r="K83" s="37"/>
      <c r="L83" s="54">
        <f ca="1">_xll.DBRW(Server&amp;Cube1,$J$13,$L$3,$J$15,$L$1,$L$2,$J$16,$D83)</f>
        <v>0</v>
      </c>
      <c r="M83" s="37"/>
      <c r="N83" s="54">
        <f ca="1">_xll.DBRW(Server&amp;Cube1,$J$13,$N$3,$J$15,$N$1,$N$2,$J$16,$D83)</f>
        <v>0</v>
      </c>
      <c r="O83" s="55"/>
      <c r="P83" s="57"/>
      <c r="Q83" s="295">
        <v>0</v>
      </c>
      <c r="R83" s="295">
        <v>0</v>
      </c>
      <c r="S83" s="338">
        <v>0</v>
      </c>
      <c r="T83" s="338">
        <v>0</v>
      </c>
      <c r="U83" s="338">
        <v>0</v>
      </c>
      <c r="V83" s="338">
        <v>0</v>
      </c>
      <c r="W83" s="109">
        <v>0</v>
      </c>
      <c r="X83" s="109">
        <v>0</v>
      </c>
      <c r="Y83" s="109">
        <v>0</v>
      </c>
      <c r="Z83" s="109">
        <v>0</v>
      </c>
      <c r="AA83" s="109">
        <v>0</v>
      </c>
      <c r="AB83" s="109">
        <v>0</v>
      </c>
      <c r="AC83" s="31"/>
      <c r="AF83" s="90" t="str">
        <f ca="1">IF(xflag=1,_xll.DBSW(#REF!,Server&amp;Cube1,$J$13,$J$14,$J$15,#REF!,AF$2,$J$16,$D83),_xll.DBRW(Server&amp;Cube1,$J$13,$J$14,$J$15,#REF!,AF$2,$J$16,$D83))</f>
        <v>*KEY_ERR</v>
      </c>
    </row>
    <row r="84" spans="1:35" s="19" customFormat="1" ht="17.25" customHeight="1" thickTop="1" thickBot="1" x14ac:dyDescent="0.3">
      <c r="A84"/>
      <c r="B84" s="204" t="s">
        <v>43</v>
      </c>
      <c r="C84" s="213" t="s">
        <v>230</v>
      </c>
      <c r="D84" s="226" t="str">
        <f t="shared" si="0"/>
        <v>626210</v>
      </c>
      <c r="E84"/>
      <c r="F84" s="228"/>
      <c r="G84" s="169"/>
      <c r="H84" s="105"/>
      <c r="I84" s="305" t="str">
        <f ca="1">_xll.DBRA(Server&amp;$D$22,$D84,"French")</f>
        <v>Téléphone mobile</v>
      </c>
      <c r="J84" s="305" t="str">
        <f ca="1">_xll.DBRA(Server&amp;$D$22,$D84,"French")</f>
        <v>Téléphone mobile</v>
      </c>
      <c r="K84" s="37"/>
      <c r="L84" s="54">
        <f ca="1">_xll.DBRW(Server&amp;Cube1,$J$13,$L$3,$J$15,$L$1,$L$2,$J$16,$D84)</f>
        <v>0</v>
      </c>
      <c r="M84" s="37"/>
      <c r="N84" s="54">
        <f ca="1">_xll.DBRW(Server&amp;Cube1,$J$13,$N$3,$J$15,$N$1,$N$2,$J$16,$D84)</f>
        <v>0</v>
      </c>
      <c r="O84" s="55"/>
      <c r="P84" s="57"/>
      <c r="Q84" s="295">
        <v>0</v>
      </c>
      <c r="R84" s="295">
        <v>0</v>
      </c>
      <c r="S84" s="338">
        <v>0</v>
      </c>
      <c r="T84" s="338">
        <v>0</v>
      </c>
      <c r="U84" s="338">
        <v>0</v>
      </c>
      <c r="V84" s="338">
        <v>0</v>
      </c>
      <c r="W84" s="109">
        <v>0</v>
      </c>
      <c r="X84" s="109">
        <v>0</v>
      </c>
      <c r="Y84" s="109">
        <v>0</v>
      </c>
      <c r="Z84" s="109">
        <v>0</v>
      </c>
      <c r="AA84" s="109">
        <v>0</v>
      </c>
      <c r="AB84" s="109">
        <v>0</v>
      </c>
      <c r="AC84" s="31"/>
      <c r="AF84" s="90" t="str">
        <f ca="1">IF(xflag=1,_xll.DBSW(#REF!,Server&amp;Cube1,$J$13,$J$14,$J$15,#REF!,AF$2,$J$16,$D84),_xll.DBRW(Server&amp;Cube1,$J$13,$J$14,$J$15,#REF!,AF$2,$J$16,$D84))</f>
        <v>*KEY_ERR</v>
      </c>
    </row>
    <row r="85" spans="1:35" s="19" customFormat="1" ht="16.5" thickTop="1" x14ac:dyDescent="0.25">
      <c r="A85"/>
      <c r="B85" s="200" t="s">
        <v>44</v>
      </c>
      <c r="C85" s="219" t="s">
        <v>231</v>
      </c>
      <c r="D85" s="226" t="str">
        <f t="shared" si="0"/>
        <v>Cout_structure_honoraires</v>
      </c>
      <c r="E85"/>
      <c r="F85" s="228"/>
      <c r="G85" s="169"/>
      <c r="H85" s="105"/>
      <c r="I85" s="315" t="str">
        <f ca="1">_xll.DBRA(Server&amp;$D$22,$D85,"French")</f>
        <v>Honoraires</v>
      </c>
      <c r="J85" s="315" t="str">
        <f ca="1">_xll.DBRA(Server&amp;$D$22,$D85,"French")</f>
        <v>Honoraires</v>
      </c>
      <c r="K85" s="39"/>
      <c r="L85" s="67">
        <f ca="1">_xll.DBRW(Server&amp;Cube1,$J$13,$L$3,$J$15,$L$1,$L$2,$J$16,$D85)</f>
        <v>0</v>
      </c>
      <c r="M85" s="39"/>
      <c r="N85" s="67">
        <f ca="1">_xll.DBRW(Server&amp;Cube1,$J$13,$N$3,$J$15,$N$1,$N$2,$J$16,$D85)</f>
        <v>0</v>
      </c>
      <c r="O85" s="68"/>
      <c r="P85" s="69"/>
      <c r="Q85" s="110"/>
      <c r="R85" s="110"/>
      <c r="S85" s="340"/>
      <c r="T85" s="340"/>
      <c r="U85" s="340"/>
      <c r="V85" s="340"/>
      <c r="W85" s="110"/>
      <c r="X85" s="110"/>
      <c r="Y85" s="110"/>
      <c r="Z85" s="110"/>
      <c r="AA85" s="110"/>
      <c r="AB85" s="110"/>
      <c r="AC85" s="31"/>
    </row>
    <row r="86" spans="1:35" s="19" customFormat="1" ht="15.75" x14ac:dyDescent="0.25">
      <c r="A86"/>
      <c r="B86" s="204" t="s">
        <v>117</v>
      </c>
      <c r="C86" s="214" t="s">
        <v>232</v>
      </c>
      <c r="D86" s="226" t="str">
        <f t="shared" si="0"/>
        <v>622600a</v>
      </c>
      <c r="E86"/>
      <c r="F86" s="228"/>
      <c r="G86" s="171"/>
      <c r="H86" s="107"/>
      <c r="I86" s="305" t="s">
        <v>232</v>
      </c>
      <c r="J86" s="305"/>
      <c r="K86" s="37"/>
      <c r="L86" s="54">
        <f ca="1">_xll.DBRW(Server&amp;Cube1,$J$13,$L$3,$J$15,$L$1,$L$2,$J$16,$D86)</f>
        <v>0</v>
      </c>
      <c r="M86" s="37"/>
      <c r="N86" s="54">
        <f ca="1">_xll.DBRW(Server&amp;Cube1,$J$13,$N$3,$J$15,$N$1,$N$2,$J$16,$D86)</f>
        <v>0</v>
      </c>
      <c r="O86" s="55"/>
      <c r="P86" s="57"/>
      <c r="Q86" s="295">
        <v>0</v>
      </c>
      <c r="R86" s="295">
        <v>0</v>
      </c>
      <c r="S86" s="338">
        <v>0</v>
      </c>
      <c r="T86" s="338">
        <v>0</v>
      </c>
      <c r="U86" s="338">
        <v>0</v>
      </c>
      <c r="V86" s="338">
        <v>0</v>
      </c>
      <c r="W86" s="109">
        <v>0</v>
      </c>
      <c r="X86" s="109">
        <v>0</v>
      </c>
      <c r="Y86" s="109">
        <v>0</v>
      </c>
      <c r="Z86" s="109">
        <v>0</v>
      </c>
      <c r="AA86" s="109">
        <v>0</v>
      </c>
      <c r="AB86" s="109">
        <v>0</v>
      </c>
      <c r="AC86" s="31"/>
      <c r="AF86" s="90" t="str">
        <f ca="1">IF(xflag=1,_xll.DBSW(#REF!,Server&amp;Cube1,$J$13,$J$14,$J$15,#REF!,AF$2,$J$16,$D86),_xll.DBRW(Server&amp;Cube1,$J$13,$J$14,$J$15,#REF!,AF$2,$J$16,$D86))</f>
        <v>*KEY_ERR</v>
      </c>
    </row>
    <row r="87" spans="1:35" s="19" customFormat="1" ht="15.75" x14ac:dyDescent="0.25">
      <c r="A87"/>
      <c r="B87" s="204" t="s">
        <v>118</v>
      </c>
      <c r="C87" s="214" t="s">
        <v>233</v>
      </c>
      <c r="D87" s="226" t="str">
        <f t="shared" si="0"/>
        <v>622600b</v>
      </c>
      <c r="E87"/>
      <c r="F87" s="228"/>
      <c r="G87" s="171"/>
      <c r="H87" s="107"/>
      <c r="I87" s="305" t="str">
        <f ca="1">_xll.DBRA(Server&amp;$D$22,$D87,"French")</f>
        <v>Honoraires CAC</v>
      </c>
      <c r="J87" s="305" t="str">
        <f ca="1">_xll.DBRA(Server&amp;$D$22,$D87,"French")</f>
        <v>Honoraires CAC</v>
      </c>
      <c r="K87" s="37"/>
      <c r="L87" s="54">
        <f ca="1">_xll.DBRW(Server&amp;Cube1,$J$13,$L$3,$J$15,$L$1,$L$2,$J$16,$D87)</f>
        <v>0</v>
      </c>
      <c r="M87" s="37"/>
      <c r="N87" s="54">
        <f ca="1">_xll.DBRW(Server&amp;Cube1,$J$13,$N$3,$J$15,$N$1,$N$2,$J$16,$D87)</f>
        <v>0</v>
      </c>
      <c r="O87" s="55"/>
      <c r="P87" s="57"/>
      <c r="Q87" s="295">
        <v>0</v>
      </c>
      <c r="R87" s="295">
        <v>0</v>
      </c>
      <c r="S87" s="338">
        <v>0</v>
      </c>
      <c r="T87" s="338">
        <v>0</v>
      </c>
      <c r="U87" s="338">
        <v>0</v>
      </c>
      <c r="V87" s="338">
        <v>0</v>
      </c>
      <c r="W87" s="109">
        <v>0</v>
      </c>
      <c r="X87" s="109">
        <v>0</v>
      </c>
      <c r="Y87" s="109">
        <v>0</v>
      </c>
      <c r="Z87" s="109">
        <v>0</v>
      </c>
      <c r="AA87" s="109">
        <v>0</v>
      </c>
      <c r="AB87" s="109">
        <v>0</v>
      </c>
      <c r="AC87" s="31"/>
      <c r="AF87" s="90" t="str">
        <f ca="1">IF(xflag=1,_xll.DBSW(#REF!,Server&amp;Cube1,$J$13,$J$14,$J$15,#REF!,AF$2,$J$16,$D87),_xll.DBRW(Server&amp;Cube1,$J$13,$J$14,$J$15,#REF!,AF$2,$J$16,$D87))</f>
        <v>*KEY_ERR</v>
      </c>
    </row>
    <row r="88" spans="1:35" s="19" customFormat="1" ht="15.75" x14ac:dyDescent="0.25">
      <c r="A88"/>
      <c r="B88" s="204" t="s">
        <v>132</v>
      </c>
      <c r="C88" s="214" t="s">
        <v>234</v>
      </c>
      <c r="D88" s="226" t="str">
        <f t="shared" si="0"/>
        <v>622610</v>
      </c>
      <c r="E88"/>
      <c r="F88" s="228"/>
      <c r="G88" s="171"/>
      <c r="H88" s="107"/>
      <c r="I88" s="305" t="str">
        <f ca="1">_xll.DBRA(Server&amp;$D$22,$D88,"French")</f>
        <v>Honoraires - Conseils</v>
      </c>
      <c r="J88" s="305" t="str">
        <f ca="1">_xll.DBRA(Server&amp;$D$22,$D88,"French")</f>
        <v>Honoraires - Conseils</v>
      </c>
      <c r="K88" s="37"/>
      <c r="L88" s="54">
        <f ca="1">_xll.DBRW(Server&amp;Cube1,$J$13,$L$3,$J$15,$L$1,$L$2,$J$16,$D88)</f>
        <v>0</v>
      </c>
      <c r="M88" s="37"/>
      <c r="N88" s="54">
        <f ca="1">_xll.DBRW(Server&amp;Cube1,$J$13,$N$3,$J$15,$N$1,$N$2,$J$16,$D88)</f>
        <v>0</v>
      </c>
      <c r="O88" s="55"/>
      <c r="P88" s="57"/>
      <c r="Q88" s="295">
        <v>0</v>
      </c>
      <c r="R88" s="295">
        <v>0</v>
      </c>
      <c r="S88" s="338">
        <v>0</v>
      </c>
      <c r="T88" s="338">
        <v>0</v>
      </c>
      <c r="U88" s="338">
        <v>0</v>
      </c>
      <c r="V88" s="338">
        <v>0</v>
      </c>
      <c r="W88" s="109">
        <v>0</v>
      </c>
      <c r="X88" s="109">
        <v>0</v>
      </c>
      <c r="Y88" s="109">
        <v>0</v>
      </c>
      <c r="Z88" s="109">
        <v>0</v>
      </c>
      <c r="AA88" s="109">
        <v>0</v>
      </c>
      <c r="AB88" s="109">
        <v>0</v>
      </c>
      <c r="AC88" s="31"/>
      <c r="AF88" s="90" t="str">
        <f ca="1">IF(xflag=1,_xll.DBSW(#REF!,Server&amp;Cube1,$J$13,$J$14,$J$15,#REF!,AF$2,$J$16,$D88),_xll.DBRW(Server&amp;Cube1,$J$13,$J$14,$J$15,#REF!,AF$2,$J$16,$D88))</f>
        <v>*KEY_ERR</v>
      </c>
      <c r="AI88" s="19">
        <v>10</v>
      </c>
    </row>
    <row r="89" spans="1:35" s="19" customFormat="1" ht="16.5" thickBot="1" x14ac:dyDescent="0.3">
      <c r="A89"/>
      <c r="B89" s="204" t="s">
        <v>45</v>
      </c>
      <c r="C89" s="214" t="s">
        <v>235</v>
      </c>
      <c r="D89" s="226" t="str">
        <f t="shared" ref="D89:D146" si="4">B89</f>
        <v>622700</v>
      </c>
      <c r="E89"/>
      <c r="F89" s="228"/>
      <c r="G89" s="171"/>
      <c r="H89" s="107"/>
      <c r="I89" s="305" t="str">
        <f ca="1">_xll.DBRA(Server&amp;$D$22,$D89,"French")</f>
        <v>Frais d'actes et de contentieux publications et divers</v>
      </c>
      <c r="J89" s="305" t="str">
        <f ca="1">_xll.DBRA(Server&amp;$D$22,$D89,"French")</f>
        <v>Frais d'actes et de contentieux publications et divers</v>
      </c>
      <c r="K89" s="37"/>
      <c r="L89" s="54">
        <f ca="1">_xll.DBRW(Server&amp;Cube1,$J$13,$L$3,$J$15,$L$1,$L$2,$J$16,$D89)</f>
        <v>0</v>
      </c>
      <c r="M89" s="37"/>
      <c r="N89" s="54">
        <f ca="1">_xll.DBRW(Server&amp;Cube1,$J$13,$N$3,$J$15,$N$1,$N$2,$J$16,$D89)</f>
        <v>0</v>
      </c>
      <c r="O89" s="55"/>
      <c r="P89" s="57"/>
      <c r="Q89" s="295">
        <v>0</v>
      </c>
      <c r="R89" s="295">
        <v>0</v>
      </c>
      <c r="S89" s="338">
        <v>0</v>
      </c>
      <c r="T89" s="338">
        <v>0</v>
      </c>
      <c r="U89" s="338">
        <v>0</v>
      </c>
      <c r="V89" s="338">
        <v>0</v>
      </c>
      <c r="W89" s="109">
        <v>0</v>
      </c>
      <c r="X89" s="109">
        <v>0</v>
      </c>
      <c r="Y89" s="109">
        <v>0</v>
      </c>
      <c r="Z89" s="109">
        <v>0</v>
      </c>
      <c r="AA89" s="109">
        <v>0</v>
      </c>
      <c r="AB89" s="109">
        <v>0</v>
      </c>
      <c r="AC89" s="31"/>
      <c r="AF89" s="90" t="str">
        <f ca="1">IF(xflag=1,_xll.DBSW(#REF!,Server&amp;Cube1,$J$13,$J$14,$J$15,#REF!,AF$2,$J$16,$D89),_xll.DBRW(Server&amp;Cube1,$J$13,$J$14,$J$15,#REF!,AF$2,$J$16,$D89))</f>
        <v>*KEY_ERR</v>
      </c>
    </row>
    <row r="90" spans="1:35" s="19" customFormat="1" ht="16.5" thickTop="1" x14ac:dyDescent="0.25">
      <c r="A90"/>
      <c r="B90" s="200" t="s">
        <v>46</v>
      </c>
      <c r="C90" s="219" t="s">
        <v>236</v>
      </c>
      <c r="D90" s="226" t="str">
        <f t="shared" si="4"/>
        <v>Cout_structure_autres</v>
      </c>
      <c r="E90"/>
      <c r="F90" s="228"/>
      <c r="G90" s="169"/>
      <c r="H90" s="105"/>
      <c r="I90" s="315" t="str">
        <f ca="1">_xll.DBRA(Server&amp;$D$22,$D90,"French")</f>
        <v>Autres frais</v>
      </c>
      <c r="J90" s="315" t="str">
        <f ca="1">_xll.DBRA(Server&amp;$D$22,$D90,"French")</f>
        <v>Autres frais</v>
      </c>
      <c r="K90" s="39"/>
      <c r="L90" s="67">
        <f ca="1">SUM(L91:L121)</f>
        <v>-10311.01</v>
      </c>
      <c r="M90" s="39"/>
      <c r="N90" s="67">
        <f ca="1">SUM(N91:N121)</f>
        <v>-732.2</v>
      </c>
      <c r="O90" s="68"/>
      <c r="P90" s="69"/>
      <c r="Q90" s="110"/>
      <c r="R90" s="110"/>
      <c r="S90" s="340"/>
      <c r="T90" s="340"/>
      <c r="U90" s="340"/>
      <c r="V90" s="340"/>
      <c r="W90" s="110"/>
      <c r="X90" s="110"/>
      <c r="Y90" s="110"/>
      <c r="Z90" s="110"/>
      <c r="AA90" s="110"/>
      <c r="AB90" s="110"/>
      <c r="AC90" s="31"/>
    </row>
    <row r="91" spans="1:35" s="19" customFormat="1" ht="15.75" x14ac:dyDescent="0.25">
      <c r="A91"/>
      <c r="B91" s="204" t="s">
        <v>175</v>
      </c>
      <c r="C91" s="214" t="s">
        <v>181</v>
      </c>
      <c r="D91" s="226" t="str">
        <f t="shared" si="4"/>
        <v>604300</v>
      </c>
      <c r="E91"/>
      <c r="F91" s="228"/>
      <c r="G91" s="171"/>
      <c r="H91" s="107"/>
      <c r="I91" s="305" t="str">
        <f ca="1">_xll.DBRA(Server&amp;$D$22,$D91,"French")</f>
        <v>Accés formation à distance (coûts directs)</v>
      </c>
      <c r="J91" s="305" t="str">
        <f ca="1">_xll.DBRA(Server&amp;$D$22,$D91,"French")</f>
        <v>Accés formation à distance (coûts directs)</v>
      </c>
      <c r="K91" s="37"/>
      <c r="L91" s="54">
        <f ca="1">_xll.DBRW(Server&amp;Cube1,$J$13,$L$3,$J$15,$L$1,$L$2,$J$16,$D91)</f>
        <v>-5500</v>
      </c>
      <c r="M91" s="37"/>
      <c r="N91" s="54">
        <f ca="1">_xll.DBRW(Server&amp;Cube1,$J$13,$N$3,$J$15,$N$1,$N$2,$J$16,$D91)</f>
        <v>0</v>
      </c>
      <c r="O91" s="55"/>
      <c r="P91" s="57"/>
      <c r="Q91" s="295">
        <v>0</v>
      </c>
      <c r="R91" s="295">
        <v>0</v>
      </c>
      <c r="S91" s="338">
        <v>0</v>
      </c>
      <c r="T91" s="338">
        <v>0</v>
      </c>
      <c r="U91" s="338">
        <v>0</v>
      </c>
      <c r="V91" s="338">
        <v>0</v>
      </c>
      <c r="W91" s="109">
        <v>0</v>
      </c>
      <c r="X91" s="109">
        <v>0</v>
      </c>
      <c r="Y91" s="109">
        <v>0</v>
      </c>
      <c r="Z91" s="109">
        <v>0</v>
      </c>
      <c r="AA91" s="109">
        <v>0</v>
      </c>
      <c r="AB91" s="109">
        <v>0</v>
      </c>
      <c r="AC91" s="31"/>
      <c r="AF91" s="90" t="str">
        <f ca="1">IF(xflag=1,_xll.DBSW(#REF!,Server&amp;Cube1,$J$13,$J$14,$J$15,#REF!,AF$2,$J$16,$D91),_xll.DBRW(Server&amp;Cube1,$J$13,$J$14,$J$15,#REF!,AF$2,$J$16,$D91))</f>
        <v>*KEY_ERR</v>
      </c>
    </row>
    <row r="92" spans="1:35" s="19" customFormat="1" ht="15.75" x14ac:dyDescent="0.25">
      <c r="A92"/>
      <c r="B92" s="204" t="s">
        <v>178</v>
      </c>
      <c r="C92" s="214" t="s">
        <v>183</v>
      </c>
      <c r="D92" s="226" t="str">
        <f t="shared" si="4"/>
        <v>606120</v>
      </c>
      <c r="E92"/>
      <c r="F92" s="228"/>
      <c r="G92" s="171"/>
      <c r="H92" s="107" t="str">
        <f ca="1">_xll.DBRA(Server&amp;$D$22,$D92,"French")</f>
        <v>Bonbonne de gaz (coûts directs)</v>
      </c>
      <c r="I92" s="305" t="s">
        <v>183</v>
      </c>
      <c r="J92" s="305"/>
      <c r="K92" s="37"/>
      <c r="L92" s="54">
        <f ca="1">_xll.DBRW(Server&amp;Cube1,$J$13,$L$3,$J$15,$L$1,$L$2,$J$16,$D92)</f>
        <v>0</v>
      </c>
      <c r="M92" s="37"/>
      <c r="N92" s="54">
        <f ca="1">_xll.DBRW(Server&amp;Cube1,$J$13,$N$3,$J$15,$N$1,$N$2,$J$16,$D92)</f>
        <v>0</v>
      </c>
      <c r="O92" s="55"/>
      <c r="P92" s="57"/>
      <c r="Q92" s="295">
        <v>0</v>
      </c>
      <c r="R92" s="295">
        <v>0</v>
      </c>
      <c r="S92" s="338">
        <v>0</v>
      </c>
      <c r="T92" s="338">
        <v>0</v>
      </c>
      <c r="U92" s="338">
        <v>0</v>
      </c>
      <c r="V92" s="338">
        <v>0</v>
      </c>
      <c r="W92" s="109">
        <v>0</v>
      </c>
      <c r="X92" s="109">
        <v>0</v>
      </c>
      <c r="Y92" s="109">
        <v>0</v>
      </c>
      <c r="Z92" s="109">
        <v>0</v>
      </c>
      <c r="AA92" s="109">
        <v>0</v>
      </c>
      <c r="AB92" s="109">
        <v>0</v>
      </c>
      <c r="AC92" s="31"/>
      <c r="AF92" s="90" t="str">
        <f ca="1">IF(xflag=1,_xll.DBSW(#REF!,Server&amp;Cube1,$J$13,$J$14,$J$15,#REF!,AF$2,$J$16,$D92),_xll.DBRW(Server&amp;Cube1,$J$13,$J$14,$J$15,#REF!,AF$2,$J$16,$D92))</f>
        <v>*KEY_ERR</v>
      </c>
    </row>
    <row r="93" spans="1:35" s="19" customFormat="1" ht="15.75" x14ac:dyDescent="0.25">
      <c r="A93"/>
      <c r="B93" s="204" t="s">
        <v>133</v>
      </c>
      <c r="C93" s="214" t="s">
        <v>237</v>
      </c>
      <c r="D93" s="226" t="str">
        <f t="shared" si="4"/>
        <v>606400</v>
      </c>
      <c r="E93"/>
      <c r="F93" s="228"/>
      <c r="G93" s="171"/>
      <c r="H93" s="107"/>
      <c r="I93" s="305" t="str">
        <f ca="1">_xll.DBRA(Server&amp;$D$22,$D93,"French")</f>
        <v>Achat petit mobilier</v>
      </c>
      <c r="J93" s="305" t="str">
        <f ca="1">_xll.DBRA(Server&amp;$D$22,$D93,"French")</f>
        <v>Achat petit mobilier</v>
      </c>
      <c r="K93" s="37"/>
      <c r="L93" s="54">
        <f ca="1">_xll.DBRW(Server&amp;Cube1,$J$13,$L$3,$J$15,$L$1,$L$2,$J$16,$D93)</f>
        <v>0</v>
      </c>
      <c r="M93" s="37"/>
      <c r="N93" s="54">
        <f ca="1">_xll.DBRW(Server&amp;Cube1,$J$13,$N$3,$J$15,$N$1,$N$2,$J$16,$D93)</f>
        <v>0</v>
      </c>
      <c r="O93" s="55"/>
      <c r="P93" s="57"/>
      <c r="Q93" s="295">
        <v>0</v>
      </c>
      <c r="R93" s="295">
        <v>0</v>
      </c>
      <c r="S93" s="338">
        <v>0</v>
      </c>
      <c r="T93" s="338">
        <v>0</v>
      </c>
      <c r="U93" s="338">
        <v>0</v>
      </c>
      <c r="V93" s="338">
        <v>0</v>
      </c>
      <c r="W93" s="109">
        <v>0</v>
      </c>
      <c r="X93" s="109">
        <v>0</v>
      </c>
      <c r="Y93" s="109">
        <v>0</v>
      </c>
      <c r="Z93" s="109">
        <v>0</v>
      </c>
      <c r="AA93" s="109">
        <v>0</v>
      </c>
      <c r="AB93" s="109">
        <v>0</v>
      </c>
      <c r="AC93" s="31"/>
      <c r="AF93" s="90" t="str">
        <f ca="1">IF(xflag=1,_xll.DBSW(#REF!,Server&amp;Cube1,$J$13,$J$14,$J$15,#REF!,AF$2,$J$16,$D93),_xll.DBRW(Server&amp;Cube1,$J$13,$J$14,$J$15,#REF!,AF$2,$J$16,$D93))</f>
        <v>*KEY_ERR</v>
      </c>
    </row>
    <row r="94" spans="1:35" s="19" customFormat="1" ht="15.75" x14ac:dyDescent="0.25">
      <c r="A94"/>
      <c r="B94" s="204" t="s">
        <v>48</v>
      </c>
      <c r="C94" s="214" t="s">
        <v>182</v>
      </c>
      <c r="D94" s="226" t="str">
        <f t="shared" si="4"/>
        <v>606450</v>
      </c>
      <c r="E94"/>
      <c r="F94" s="228"/>
      <c r="G94" s="171"/>
      <c r="H94" s="107"/>
      <c r="I94" s="305" t="str">
        <f ca="1">_xll.DBRA(Server&amp;$D$22,$D94,"French")</f>
        <v>Fournitures de bureau (coûts directs)</v>
      </c>
      <c r="J94" s="305" t="str">
        <f ca="1">_xll.DBRA(Server&amp;$D$22,$D94,"French")</f>
        <v>Fournitures de bureau (coûts directs)</v>
      </c>
      <c r="K94" s="37"/>
      <c r="L94" s="54">
        <f ca="1">_xll.DBRW(Server&amp;Cube1,$J$13,$L$3,$J$15,$L$1,$L$2,$J$16,$D94)</f>
        <v>0</v>
      </c>
      <c r="M94" s="37"/>
      <c r="N94" s="54">
        <f ca="1">_xll.DBRW(Server&amp;Cube1,$J$13,$N$3,$J$15,$N$1,$N$2,$J$16,$D94)</f>
        <v>0</v>
      </c>
      <c r="O94" s="55"/>
      <c r="P94" s="57"/>
      <c r="Q94" s="295">
        <v>0</v>
      </c>
      <c r="R94" s="295">
        <v>0</v>
      </c>
      <c r="S94" s="338">
        <v>0</v>
      </c>
      <c r="T94" s="338">
        <v>0</v>
      </c>
      <c r="U94" s="338">
        <v>0</v>
      </c>
      <c r="V94" s="338">
        <v>0</v>
      </c>
      <c r="W94" s="109">
        <v>0</v>
      </c>
      <c r="X94" s="109">
        <v>0</v>
      </c>
      <c r="Y94" s="109">
        <v>0</v>
      </c>
      <c r="Z94" s="109">
        <v>0</v>
      </c>
      <c r="AA94" s="109">
        <v>0</v>
      </c>
      <c r="AB94" s="109">
        <v>0</v>
      </c>
      <c r="AC94" s="31"/>
      <c r="AF94" s="90" t="str">
        <f ca="1">IF(xflag=1,_xll.DBSW(#REF!,Server&amp;Cube1,$J$13,$J$14,$J$15,#REF!,AF$2,$J$16,$D94),_xll.DBRW(Server&amp;Cube1,$J$13,$J$14,$J$15,#REF!,AF$2,$J$16,$D94))</f>
        <v>*KEY_ERR</v>
      </c>
      <c r="AI94" s="19">
        <v>11</v>
      </c>
    </row>
    <row r="95" spans="1:35" s="19" customFormat="1" ht="15.75" x14ac:dyDescent="0.25">
      <c r="A95"/>
      <c r="B95" s="204" t="s">
        <v>49</v>
      </c>
      <c r="C95" s="214" t="s">
        <v>238</v>
      </c>
      <c r="D95" s="226" t="str">
        <f t="shared" si="4"/>
        <v>606460</v>
      </c>
      <c r="E95"/>
      <c r="F95" s="228"/>
      <c r="G95" s="171"/>
      <c r="H95" s="107"/>
      <c r="I95" s="305" t="s">
        <v>238</v>
      </c>
      <c r="J95" s="305"/>
      <c r="K95" s="37"/>
      <c r="L95" s="54">
        <f ca="1">_xll.DBRW(Server&amp;Cube1,$J$13,$L$3,$J$15,$L$1,$L$2,$J$16,$D95)</f>
        <v>0</v>
      </c>
      <c r="M95" s="37"/>
      <c r="N95" s="54">
        <f ca="1">_xll.DBRW(Server&amp;Cube1,$J$13,$N$3,$J$15,$N$1,$N$2,$J$16,$D95)</f>
        <v>0</v>
      </c>
      <c r="O95" s="55"/>
      <c r="P95" s="57"/>
      <c r="Q95" s="295">
        <v>0</v>
      </c>
      <c r="R95" s="295">
        <v>0</v>
      </c>
      <c r="S95" s="338">
        <v>0</v>
      </c>
      <c r="T95" s="338">
        <v>0</v>
      </c>
      <c r="U95" s="338">
        <v>0</v>
      </c>
      <c r="V95" s="338">
        <v>0</v>
      </c>
      <c r="W95" s="109">
        <v>0</v>
      </c>
      <c r="X95" s="109">
        <v>0</v>
      </c>
      <c r="Y95" s="109">
        <v>0</v>
      </c>
      <c r="Z95" s="109">
        <v>0</v>
      </c>
      <c r="AA95" s="109">
        <v>0</v>
      </c>
      <c r="AB95" s="109">
        <v>0</v>
      </c>
      <c r="AC95" s="31"/>
      <c r="AF95" s="90" t="str">
        <f ca="1">IF(xflag=1,_xll.DBSW(#REF!,Server&amp;Cube1,$J$13,$J$14,$J$15,#REF!,AF$2,$J$16,$D95),_xll.DBRW(Server&amp;Cube1,$J$13,$J$14,$J$15,#REF!,AF$2,$J$16,$D95))</f>
        <v>*KEY_ERR</v>
      </c>
    </row>
    <row r="96" spans="1:35" s="19" customFormat="1" ht="15.75" x14ac:dyDescent="0.25">
      <c r="A96"/>
      <c r="B96" s="204" t="s">
        <v>50</v>
      </c>
      <c r="C96" s="214" t="s">
        <v>239</v>
      </c>
      <c r="D96" s="226" t="str">
        <f t="shared" si="4"/>
        <v>606470</v>
      </c>
      <c r="E96"/>
      <c r="F96" s="228"/>
      <c r="G96" s="171"/>
      <c r="H96" s="107"/>
      <c r="I96" s="305" t="str">
        <f ca="1">_xll.DBRA(Server&amp;$D$22,$D96,"French")</f>
        <v>Achats fournitures informatiques</v>
      </c>
      <c r="J96" s="305" t="str">
        <f ca="1">_xll.DBRA(Server&amp;$D$22,$D96,"French")</f>
        <v>Achats fournitures informatiques</v>
      </c>
      <c r="K96" s="37"/>
      <c r="L96" s="54">
        <f ca="1">_xll.DBRW(Server&amp;Cube1,$J$13,$L$3,$J$15,$L$1,$L$2,$J$16,$D96)</f>
        <v>0</v>
      </c>
      <c r="M96" s="37"/>
      <c r="N96" s="54">
        <f ca="1">_xll.DBRW(Server&amp;Cube1,$J$13,$N$3,$J$15,$N$1,$N$2,$J$16,$D96)</f>
        <v>0</v>
      </c>
      <c r="O96" s="55"/>
      <c r="P96" s="57"/>
      <c r="Q96" s="295">
        <v>0</v>
      </c>
      <c r="R96" s="295">
        <v>0</v>
      </c>
      <c r="S96" s="338">
        <v>0</v>
      </c>
      <c r="T96" s="338">
        <v>0</v>
      </c>
      <c r="U96" s="338">
        <v>0</v>
      </c>
      <c r="V96" s="338">
        <v>0</v>
      </c>
      <c r="W96" s="109">
        <v>0</v>
      </c>
      <c r="X96" s="109">
        <v>0</v>
      </c>
      <c r="Y96" s="109">
        <v>0</v>
      </c>
      <c r="Z96" s="109">
        <v>0</v>
      </c>
      <c r="AA96" s="109">
        <v>0</v>
      </c>
      <c r="AB96" s="109">
        <v>0</v>
      </c>
      <c r="AC96" s="31"/>
      <c r="AF96" s="90" t="str">
        <f ca="1">IF(xflag=1,_xll.DBSW(#REF!,Server&amp;Cube1,$J$13,$J$14,$J$15,#REF!,AF$2,$J$16,$D96),_xll.DBRW(Server&amp;Cube1,$J$13,$J$14,$J$15,#REF!,AF$2,$J$16,$D96))</f>
        <v>*KEY_ERR</v>
      </c>
    </row>
    <row r="97" spans="1:32" s="19" customFormat="1" ht="15.75" x14ac:dyDescent="0.25">
      <c r="A97"/>
      <c r="B97" s="204" t="s">
        <v>38</v>
      </c>
      <c r="C97" s="214" t="s">
        <v>240</v>
      </c>
      <c r="D97" s="226" t="str">
        <f t="shared" si="4"/>
        <v>613200b</v>
      </c>
      <c r="E97"/>
      <c r="F97" s="228"/>
      <c r="G97" s="171"/>
      <c r="H97" s="107"/>
      <c r="I97" s="305" t="str">
        <f ca="1">_xll.DBRA(Server&amp;$D$22,$D97,"French")</f>
        <v>Location bureau structure</v>
      </c>
      <c r="J97" s="305" t="str">
        <f ca="1">_xll.DBRA(Server&amp;$D$22,$D97,"French")</f>
        <v>Location bureau structure</v>
      </c>
      <c r="K97" s="37"/>
      <c r="L97" s="54">
        <f ca="1">_xll.DBRW(Server&amp;Cube1,$J$13,$L$3,$J$15,$L$1,$L$2,$J$16,$D97)</f>
        <v>0</v>
      </c>
      <c r="M97" s="37"/>
      <c r="N97" s="54">
        <f ca="1">_xll.DBRW(Server&amp;Cube1,$J$13,$N$3,$J$15,$N$1,$N$2,$J$16,$D97)</f>
        <v>0</v>
      </c>
      <c r="O97" s="55"/>
      <c r="P97" s="57"/>
      <c r="Q97" s="295">
        <v>0</v>
      </c>
      <c r="R97" s="295">
        <v>0</v>
      </c>
      <c r="S97" s="338">
        <v>0</v>
      </c>
      <c r="T97" s="338">
        <v>0</v>
      </c>
      <c r="U97" s="338">
        <v>0</v>
      </c>
      <c r="V97" s="338">
        <v>0</v>
      </c>
      <c r="W97" s="109">
        <v>0</v>
      </c>
      <c r="X97" s="109">
        <v>0</v>
      </c>
      <c r="Y97" s="109">
        <v>0</v>
      </c>
      <c r="Z97" s="109">
        <v>0</v>
      </c>
      <c r="AA97" s="109">
        <v>0</v>
      </c>
      <c r="AB97" s="109">
        <v>0</v>
      </c>
      <c r="AC97" s="31"/>
      <c r="AF97" s="90" t="str">
        <f ca="1">IF(xflag=1,_xll.DBSW(#REF!,Server&amp;Cube1,$J$13,$J$14,$J$15,#REF!,AF$2,$J$16,$D97),_xll.DBRW(Server&amp;Cube1,$J$13,$J$14,$J$15,#REF!,AF$2,$J$16,$D97))</f>
        <v>*KEY_ERR</v>
      </c>
    </row>
    <row r="98" spans="1:32" s="19" customFormat="1" ht="15.75" x14ac:dyDescent="0.25">
      <c r="A98"/>
      <c r="B98" s="204" t="s">
        <v>153</v>
      </c>
      <c r="C98" s="214" t="s">
        <v>241</v>
      </c>
      <c r="D98" s="226" t="str">
        <f t="shared" si="4"/>
        <v xml:space="preserve">613580b </v>
      </c>
      <c r="E98"/>
      <c r="F98" s="228"/>
      <c r="G98" s="171"/>
      <c r="H98" s="107"/>
      <c r="I98" s="305" t="str">
        <f ca="1">_xll.DBRA(Server&amp;$D$22,$D98,"French")</f>
        <v>Location mobilière diverse</v>
      </c>
      <c r="J98" s="305" t="str">
        <f ca="1">_xll.DBRA(Server&amp;$D$22,$D98,"French")</f>
        <v>Location mobilière diverse</v>
      </c>
      <c r="K98" s="37"/>
      <c r="L98" s="54">
        <f ca="1">_xll.DBRW(Server&amp;Cube1,$J$13,$L$3,$J$15,$L$1,$L$2,$J$16,$D98)</f>
        <v>0</v>
      </c>
      <c r="M98" s="37"/>
      <c r="N98" s="54">
        <f ca="1">_xll.DBRW(Server&amp;Cube1,$J$13,$N$3,$J$15,$N$1,$N$2,$J$16,$D98)</f>
        <v>0</v>
      </c>
      <c r="O98" s="55"/>
      <c r="P98" s="57"/>
      <c r="Q98" s="295">
        <v>0</v>
      </c>
      <c r="R98" s="295">
        <v>0</v>
      </c>
      <c r="S98" s="338">
        <v>0</v>
      </c>
      <c r="T98" s="338">
        <v>0</v>
      </c>
      <c r="U98" s="338">
        <v>0</v>
      </c>
      <c r="V98" s="338">
        <v>0</v>
      </c>
      <c r="W98" s="109">
        <v>0</v>
      </c>
      <c r="X98" s="109">
        <v>0</v>
      </c>
      <c r="Y98" s="109">
        <v>0</v>
      </c>
      <c r="Z98" s="109">
        <v>0</v>
      </c>
      <c r="AA98" s="109">
        <v>0</v>
      </c>
      <c r="AB98" s="109">
        <v>0</v>
      </c>
      <c r="AC98" s="31"/>
      <c r="AF98" s="90" t="str">
        <f ca="1">IF(xflag=1,_xll.DBSW(#REF!,Server&amp;Cube1,$J$13,$J$14,$J$15,#REF!,AF$2,$J$16,$D98),_xll.DBRW(Server&amp;Cube1,$J$13,$J$14,$J$15,#REF!,AF$2,$J$16,$D98))</f>
        <v>*KEY_ERR</v>
      </c>
    </row>
    <row r="99" spans="1:32" s="19" customFormat="1" ht="15.75" x14ac:dyDescent="0.25">
      <c r="A99"/>
      <c r="B99" s="204" t="s">
        <v>300</v>
      </c>
      <c r="C99" s="214" t="s">
        <v>241</v>
      </c>
      <c r="D99" s="226" t="str">
        <f t="shared" si="4"/>
        <v>615200</v>
      </c>
      <c r="E99"/>
      <c r="F99" s="228"/>
      <c r="G99" s="171"/>
      <c r="H99" s="107"/>
      <c r="I99" s="305" t="str">
        <f ca="1">_xll.DBRA(Server&amp;$D$22,$D99,"French")</f>
        <v>Entretien réparation immobilier</v>
      </c>
      <c r="J99" s="305" t="str">
        <f ca="1">_xll.DBRA(Server&amp;$D$22,$D99,"French")</f>
        <v>Entretien réparation immobilier</v>
      </c>
      <c r="K99" s="37"/>
      <c r="L99" s="54">
        <f ca="1">_xll.DBRW(Server&amp;Cube1,$J$13,$L$3,$J$15,$L$1,$L$2,$J$16,$D99)</f>
        <v>0</v>
      </c>
      <c r="M99" s="37"/>
      <c r="N99" s="54">
        <f ca="1">_xll.DBRW(Server&amp;Cube1,$J$13,$N$3,$J$15,$N$1,$N$2,$J$16,$D99)</f>
        <v>0</v>
      </c>
      <c r="O99" s="55"/>
      <c r="P99" s="57"/>
      <c r="Q99" s="295">
        <v>0</v>
      </c>
      <c r="R99" s="295">
        <v>0</v>
      </c>
      <c r="S99" s="338">
        <v>0</v>
      </c>
      <c r="T99" s="338">
        <v>0</v>
      </c>
      <c r="U99" s="338">
        <v>0</v>
      </c>
      <c r="V99" s="338">
        <v>0</v>
      </c>
      <c r="W99" s="109">
        <v>0</v>
      </c>
      <c r="X99" s="109">
        <v>0</v>
      </c>
      <c r="Y99" s="109">
        <v>0</v>
      </c>
      <c r="Z99" s="109">
        <v>0</v>
      </c>
      <c r="AA99" s="109">
        <v>0</v>
      </c>
      <c r="AB99" s="109">
        <v>0</v>
      </c>
      <c r="AC99" s="31"/>
      <c r="AF99" s="90" t="str">
        <f ca="1">IF(xflag=1,_xll.DBSW(#REF!,Server&amp;Cube1,$J$13,$J$14,$J$15,#REF!,AF$2,$J$16,$D99),_xll.DBRW(Server&amp;Cube1,$J$13,$J$14,$J$15,#REF!,AF$2,$J$16,$D99))</f>
        <v>*KEY_ERR</v>
      </c>
    </row>
    <row r="100" spans="1:32" s="19" customFormat="1" ht="15.75" x14ac:dyDescent="0.25">
      <c r="A100"/>
      <c r="B100" s="204" t="s">
        <v>180</v>
      </c>
      <c r="C100" s="214" t="s">
        <v>242</v>
      </c>
      <c r="D100" s="226" t="str">
        <f t="shared" si="4"/>
        <v>615580a</v>
      </c>
      <c r="E100"/>
      <c r="F100" s="228"/>
      <c r="G100" s="171"/>
      <c r="H100" s="107"/>
      <c r="I100" s="305" t="str">
        <f ca="1">_xll.DBRA(Server&amp;$D$22,$D100,"French")</f>
        <v>Entretiens et réparations divers</v>
      </c>
      <c r="J100" s="305" t="str">
        <f ca="1">_xll.DBRA(Server&amp;$D$22,$D100,"French")</f>
        <v>Entretiens et réparations divers</v>
      </c>
      <c r="K100" s="37"/>
      <c r="L100" s="54">
        <f ca="1">_xll.DBRW(Server&amp;Cube1,$J$13,$L$3,$J$15,$L$1,$L$2,$J$16,$D100)</f>
        <v>0</v>
      </c>
      <c r="M100" s="37"/>
      <c r="N100" s="54">
        <f ca="1">_xll.DBRW(Server&amp;Cube1,$J$13,$N$3,$J$15,$N$1,$N$2,$J$16,$D100)</f>
        <v>0</v>
      </c>
      <c r="O100" s="55"/>
      <c r="P100" s="57"/>
      <c r="Q100" s="295">
        <v>0</v>
      </c>
      <c r="R100" s="295">
        <v>0</v>
      </c>
      <c r="S100" s="338">
        <v>0</v>
      </c>
      <c r="T100" s="338">
        <v>0</v>
      </c>
      <c r="U100" s="338">
        <v>0</v>
      </c>
      <c r="V100" s="338">
        <v>0</v>
      </c>
      <c r="W100" s="109">
        <v>0</v>
      </c>
      <c r="X100" s="109">
        <v>0</v>
      </c>
      <c r="Y100" s="109">
        <v>0</v>
      </c>
      <c r="Z100" s="109">
        <v>0</v>
      </c>
      <c r="AA100" s="109">
        <v>0</v>
      </c>
      <c r="AB100" s="109">
        <v>0</v>
      </c>
      <c r="AC100" s="31"/>
      <c r="AF100" s="90" t="str">
        <f ca="1">IF(xflag=1,_xll.DBSW(#REF!,Server&amp;Cube1,$J$13,$J$14,$J$15,#REF!,AF$2,$J$16,$D100),_xll.DBRW(Server&amp;Cube1,$J$13,$J$14,$J$15,#REF!,AF$2,$J$16,$D100))</f>
        <v>*KEY_ERR</v>
      </c>
    </row>
    <row r="101" spans="1:32" s="19" customFormat="1" ht="15.75" x14ac:dyDescent="0.25">
      <c r="A101"/>
      <c r="B101" s="204" t="s">
        <v>170</v>
      </c>
      <c r="C101" s="214" t="s">
        <v>243</v>
      </c>
      <c r="D101" s="226" t="str">
        <f t="shared" si="4"/>
        <v>618100b</v>
      </c>
      <c r="E101"/>
      <c r="F101" s="228"/>
      <c r="G101" s="171"/>
      <c r="H101" s="107"/>
      <c r="I101" s="305" t="str">
        <f ca="1">_xll.DBRA(Server&amp;$D$22,$D101,"French")</f>
        <v>Reprographie et documentation technique</v>
      </c>
      <c r="J101" s="305" t="str">
        <f ca="1">_xll.DBRA(Server&amp;$D$22,$D101,"French")</f>
        <v>Reprographie et documentation technique</v>
      </c>
      <c r="K101" s="37"/>
      <c r="L101" s="54">
        <f ca="1">_xll.DBRW(Server&amp;Cube1,$J$13,$L$3,$J$15,$L$1,$L$2,$J$16,$D101)</f>
        <v>0</v>
      </c>
      <c r="M101" s="37"/>
      <c r="N101" s="54">
        <f ca="1">_xll.DBRW(Server&amp;Cube1,$J$13,$N$3,$J$15,$N$1,$N$2,$J$16,$D101)</f>
        <v>0</v>
      </c>
      <c r="O101" s="55"/>
      <c r="P101" s="57"/>
      <c r="Q101" s="295">
        <v>0</v>
      </c>
      <c r="R101" s="295">
        <v>0</v>
      </c>
      <c r="S101" s="338">
        <v>0</v>
      </c>
      <c r="T101" s="338">
        <v>0</v>
      </c>
      <c r="U101" s="338">
        <v>0</v>
      </c>
      <c r="V101" s="338">
        <v>0</v>
      </c>
      <c r="W101" s="109">
        <v>0</v>
      </c>
      <c r="X101" s="109">
        <v>0</v>
      </c>
      <c r="Y101" s="109">
        <v>0</v>
      </c>
      <c r="Z101" s="109">
        <v>0</v>
      </c>
      <c r="AA101" s="109">
        <v>0</v>
      </c>
      <c r="AB101" s="109">
        <v>0</v>
      </c>
      <c r="AC101" s="31"/>
      <c r="AF101" s="90" t="str">
        <f ca="1">IF(xflag=1,_xll.DBSW(#REF!,Server&amp;Cube1,$J$13,$J$14,$J$15,#REF!,AF$2,$J$16,$D101),_xll.DBRW(Server&amp;Cube1,$J$13,$J$14,$J$15,#REF!,AF$2,$J$16,$D101))</f>
        <v>*KEY_ERR</v>
      </c>
    </row>
    <row r="102" spans="1:32" s="19" customFormat="1" ht="15.75" x14ac:dyDescent="0.25">
      <c r="A102"/>
      <c r="B102" s="204" t="s">
        <v>179</v>
      </c>
      <c r="C102" s="214" t="s">
        <v>244</v>
      </c>
      <c r="D102" s="226" t="str">
        <f t="shared" si="4"/>
        <v>618880</v>
      </c>
      <c r="E102"/>
      <c r="F102" s="228"/>
      <c r="G102" s="171"/>
      <c r="H102" s="107"/>
      <c r="I102" s="305" t="str">
        <f ca="1">_xll.DBRA(Server&amp;$D$22,$D102,"French")</f>
        <v>Documentation technique</v>
      </c>
      <c r="J102" s="305" t="str">
        <f ca="1">_xll.DBRA(Server&amp;$D$22,$D102,"French")</f>
        <v>Documentation technique</v>
      </c>
      <c r="K102" s="37"/>
      <c r="L102" s="54">
        <f ca="1">_xll.DBRW(Server&amp;Cube1,$J$13,$L$3,$J$15,$L$1,$L$2,$J$16,$D102)</f>
        <v>-4355.04</v>
      </c>
      <c r="M102" s="37"/>
      <c r="N102" s="54">
        <f ca="1">_xll.DBRW(Server&amp;Cube1,$J$13,$N$3,$J$15,$N$1,$N$2,$J$16,$D102)</f>
        <v>-589.20000000000005</v>
      </c>
      <c r="O102" s="55"/>
      <c r="P102" s="57"/>
      <c r="Q102" s="295">
        <v>0</v>
      </c>
      <c r="R102" s="295">
        <v>0</v>
      </c>
      <c r="S102" s="338">
        <v>0</v>
      </c>
      <c r="T102" s="338">
        <v>0</v>
      </c>
      <c r="U102" s="338">
        <v>0</v>
      </c>
      <c r="V102" s="338">
        <v>0</v>
      </c>
      <c r="W102" s="109">
        <v>0</v>
      </c>
      <c r="X102" s="109">
        <v>0</v>
      </c>
      <c r="Y102" s="109">
        <v>0</v>
      </c>
      <c r="Z102" s="109">
        <v>0</v>
      </c>
      <c r="AA102" s="109">
        <v>0</v>
      </c>
      <c r="AB102" s="109">
        <v>0</v>
      </c>
      <c r="AC102" s="31"/>
      <c r="AF102" s="90" t="str">
        <f ca="1">IF(xflag=1,_xll.DBSW(#REF!,Server&amp;Cube1,$J$13,$J$14,$J$15,#REF!,AF$2,$J$16,$D102),_xll.DBRW(Server&amp;Cube1,$J$13,$J$14,$J$15,#REF!,AF$2,$J$16,$D102))</f>
        <v>*KEY_ERR</v>
      </c>
    </row>
    <row r="103" spans="1:32" s="19" customFormat="1" ht="15.75" x14ac:dyDescent="0.25">
      <c r="A103"/>
      <c r="B103" s="204" t="s">
        <v>161</v>
      </c>
      <c r="C103" s="214" t="s">
        <v>245</v>
      </c>
      <c r="D103" s="226" t="str">
        <f t="shared" si="4"/>
        <v>623100b</v>
      </c>
      <c r="E103"/>
      <c r="F103" s="228"/>
      <c r="G103" s="171"/>
      <c r="H103" s="107"/>
      <c r="I103" s="305" t="str">
        <f ca="1">_xll.DBRA(Server&amp;$D$22,$D103,"French")</f>
        <v>Frais de publicité et marketing</v>
      </c>
      <c r="J103" s="305" t="str">
        <f ca="1">_xll.DBRA(Server&amp;$D$22,$D103,"French")</f>
        <v>Frais de publicité et marketing</v>
      </c>
      <c r="K103" s="37"/>
      <c r="L103" s="54">
        <f ca="1">_xll.DBRW(Server&amp;Cube1,$J$13,$L$3,$J$15,$L$1,$L$2,$J$16,$D103)</f>
        <v>0</v>
      </c>
      <c r="M103" s="37"/>
      <c r="N103" s="54">
        <f ca="1">_xll.DBRW(Server&amp;Cube1,$J$13,$N$3,$J$15,$N$1,$N$2,$J$16,$D103)</f>
        <v>0</v>
      </c>
      <c r="O103" s="55"/>
      <c r="P103" s="57"/>
      <c r="Q103" s="295">
        <v>0</v>
      </c>
      <c r="R103" s="295">
        <v>0</v>
      </c>
      <c r="S103" s="338">
        <v>0</v>
      </c>
      <c r="T103" s="338">
        <v>0</v>
      </c>
      <c r="U103" s="338">
        <v>0</v>
      </c>
      <c r="V103" s="338">
        <v>0</v>
      </c>
      <c r="W103" s="109">
        <v>0</v>
      </c>
      <c r="X103" s="109">
        <v>0</v>
      </c>
      <c r="Y103" s="109">
        <v>0</v>
      </c>
      <c r="Z103" s="109">
        <v>0</v>
      </c>
      <c r="AA103" s="109">
        <v>0</v>
      </c>
      <c r="AB103" s="109">
        <v>0</v>
      </c>
      <c r="AC103" s="31"/>
      <c r="AF103" s="90" t="str">
        <f ca="1">IF(xflag=1,_xll.DBSW(#REF!,Server&amp;Cube1,$J$13,$J$14,$J$15,#REF!,AF$2,$J$16,$D103),_xll.DBRW(Server&amp;Cube1,$J$13,$J$14,$J$15,#REF!,AF$2,$J$16,$D103))</f>
        <v>*KEY_ERR</v>
      </c>
    </row>
    <row r="104" spans="1:32" s="19" customFormat="1" ht="15.75" x14ac:dyDescent="0.25">
      <c r="A104"/>
      <c r="B104" s="204" t="s">
        <v>135</v>
      </c>
      <c r="C104" s="214" t="s">
        <v>301</v>
      </c>
      <c r="D104" s="226" t="str">
        <f>B104</f>
        <v>623400</v>
      </c>
      <c r="E104"/>
      <c r="F104" s="228"/>
      <c r="G104" s="171"/>
      <c r="H104" s="107"/>
      <c r="I104" s="305" t="str">
        <f ca="1">_xll.DBRA(Server&amp;$D$22,$D104,"French")</f>
        <v>Cadeaux Stagiaires (coûts directs)</v>
      </c>
      <c r="J104" s="305" t="str">
        <f ca="1">_xll.DBRA(Server&amp;$D$22,$D104,"French")</f>
        <v>Cadeaux Stagiaires (coûts directs)</v>
      </c>
      <c r="K104" s="37"/>
      <c r="L104" s="54">
        <f ca="1">_xll.DBRW(Server&amp;Cube1,$J$13,$L$3,$J$15,$L$1,$L$2,$J$16,$D104)</f>
        <v>-455.97</v>
      </c>
      <c r="M104" s="37"/>
      <c r="N104" s="54">
        <f ca="1">_xll.DBRW(Server&amp;Cube1,$J$13,$N$3,$J$15,$N$1,$N$2,$J$16,$D104)</f>
        <v>-143</v>
      </c>
      <c r="O104" s="55"/>
      <c r="P104" s="57"/>
      <c r="Q104" s="295">
        <v>0</v>
      </c>
      <c r="R104" s="295">
        <v>0</v>
      </c>
      <c r="S104" s="338">
        <v>0</v>
      </c>
      <c r="T104" s="338">
        <v>0</v>
      </c>
      <c r="U104" s="338">
        <v>0</v>
      </c>
      <c r="V104" s="338">
        <v>0</v>
      </c>
      <c r="W104" s="109">
        <v>0</v>
      </c>
      <c r="X104" s="109">
        <v>0</v>
      </c>
      <c r="Y104" s="109">
        <v>0</v>
      </c>
      <c r="Z104" s="109">
        <v>0</v>
      </c>
      <c r="AA104" s="109">
        <v>0</v>
      </c>
      <c r="AB104" s="109">
        <v>0</v>
      </c>
      <c r="AC104" s="31"/>
      <c r="AF104" s="90" t="str">
        <f ca="1">IF(xflag=1,_xll.DBSW(#REF!,Server&amp;Cube1,$J$13,$J$14,$J$15,#REF!,AF$2,$J$16,$D104),_xll.DBRW(Server&amp;Cube1,$J$13,$J$14,$J$15,#REF!,AF$2,$J$16,$D104))</f>
        <v>*KEY_ERR</v>
      </c>
    </row>
    <row r="105" spans="1:32" s="19" customFormat="1" ht="15.75" x14ac:dyDescent="0.25">
      <c r="A105"/>
      <c r="B105" s="204" t="s">
        <v>30</v>
      </c>
      <c r="C105" s="214" t="s">
        <v>246</v>
      </c>
      <c r="D105" s="226" t="str">
        <f t="shared" si="4"/>
        <v>623600</v>
      </c>
      <c r="E105"/>
      <c r="F105" s="228"/>
      <c r="G105" s="171"/>
      <c r="H105" s="107"/>
      <c r="I105" s="305" t="str">
        <f ca="1">_xll.DBRA(Server&amp;$D$22,$D105,"French")</f>
        <v>Catalogue "Siège"</v>
      </c>
      <c r="J105" s="305" t="str">
        <f ca="1">_xll.DBRA(Server&amp;$D$22,$D105,"French")</f>
        <v>Catalogue "Siège"</v>
      </c>
      <c r="K105" s="37"/>
      <c r="L105" s="54">
        <f ca="1">_xll.DBRW(Server&amp;Cube1,$J$13,$L$3,$J$15,$L$1,$L$2,$J$16,$D105)</f>
        <v>0</v>
      </c>
      <c r="M105" s="37"/>
      <c r="N105" s="54">
        <f ca="1">_xll.DBRW(Server&amp;Cube1,$J$13,$N$3,$J$15,$N$1,$N$2,$J$16,$D105)</f>
        <v>0</v>
      </c>
      <c r="O105" s="55"/>
      <c r="P105" s="57"/>
      <c r="Q105" s="295">
        <v>0</v>
      </c>
      <c r="R105" s="295">
        <v>0</v>
      </c>
      <c r="S105" s="338">
        <v>0</v>
      </c>
      <c r="T105" s="338">
        <v>0</v>
      </c>
      <c r="U105" s="338">
        <v>0</v>
      </c>
      <c r="V105" s="338">
        <v>0</v>
      </c>
      <c r="W105" s="109">
        <v>0</v>
      </c>
      <c r="X105" s="109">
        <v>0</v>
      </c>
      <c r="Y105" s="109">
        <v>0</v>
      </c>
      <c r="Z105" s="109">
        <v>0</v>
      </c>
      <c r="AA105" s="109">
        <v>0</v>
      </c>
      <c r="AB105" s="109">
        <v>0</v>
      </c>
      <c r="AC105" s="31"/>
      <c r="AF105" s="90" t="str">
        <f ca="1">IF(xflag=1,_xll.DBSW(#REF!,Server&amp;Cube1,$J$13,$J$14,$J$15,#REF!,AF$2,$J$16,$D105),_xll.DBRW(Server&amp;Cube1,$J$13,$J$14,$J$15,#REF!,AF$2,$J$16,$D105))</f>
        <v>*KEY_ERR</v>
      </c>
    </row>
    <row r="106" spans="1:32" s="19" customFormat="1" ht="15.75" x14ac:dyDescent="0.25">
      <c r="A106"/>
      <c r="B106" s="204" t="s">
        <v>84</v>
      </c>
      <c r="C106" s="214" t="s">
        <v>247</v>
      </c>
      <c r="D106" s="226" t="str">
        <f t="shared" si="4"/>
        <v>624100a</v>
      </c>
      <c r="E106"/>
      <c r="F106" s="228"/>
      <c r="G106" s="171"/>
      <c r="H106" s="107"/>
      <c r="I106" s="305" t="str">
        <f ca="1">_xll.DBRA(Server&amp;$D$22,$D106,"French")</f>
        <v>Autre transport sur achat</v>
      </c>
      <c r="J106" s="305" t="str">
        <f ca="1">_xll.DBRA(Server&amp;$D$22,$D106,"French")</f>
        <v>Autre transport sur achat</v>
      </c>
      <c r="K106" s="37"/>
      <c r="L106" s="54">
        <f ca="1">_xll.DBRW(Server&amp;Cube1,$J$13,$L$3,$J$15,$L$1,$L$2,$J$16,$D106)</f>
        <v>0</v>
      </c>
      <c r="M106" s="37"/>
      <c r="N106" s="54">
        <f ca="1">_xll.DBRW(Server&amp;Cube1,$J$13,$N$3,$J$15,$N$1,$N$2,$J$16,$D106)</f>
        <v>0</v>
      </c>
      <c r="O106" s="55"/>
      <c r="P106" s="57"/>
      <c r="Q106" s="295">
        <v>0</v>
      </c>
      <c r="R106" s="295">
        <v>0</v>
      </c>
      <c r="S106" s="338">
        <v>0</v>
      </c>
      <c r="T106" s="338">
        <v>0</v>
      </c>
      <c r="U106" s="338">
        <v>0</v>
      </c>
      <c r="V106" s="338">
        <v>0</v>
      </c>
      <c r="W106" s="109">
        <v>0</v>
      </c>
      <c r="X106" s="109">
        <v>0</v>
      </c>
      <c r="Y106" s="109">
        <v>0</v>
      </c>
      <c r="Z106" s="109">
        <v>0</v>
      </c>
      <c r="AA106" s="109">
        <v>0</v>
      </c>
      <c r="AB106" s="109">
        <v>0</v>
      </c>
      <c r="AC106" s="31"/>
      <c r="AF106" s="90" t="str">
        <f ca="1">IF(xflag=1,_xll.DBSW(#REF!,Server&amp;Cube1,$J$13,$J$14,$J$15,#REF!,AF$2,$J$16,$D106),_xll.DBRW(Server&amp;Cube1,$J$13,$J$14,$J$15,#REF!,AF$2,$J$16,$D106))</f>
        <v>*KEY_ERR</v>
      </c>
    </row>
    <row r="107" spans="1:32" s="19" customFormat="1" ht="15.75" x14ac:dyDescent="0.25">
      <c r="A107"/>
      <c r="B107" s="204" t="s">
        <v>173</v>
      </c>
      <c r="C107" s="214" t="s">
        <v>248</v>
      </c>
      <c r="D107" s="226" t="str">
        <f t="shared" si="4"/>
        <v>625200</v>
      </c>
      <c r="E107"/>
      <c r="F107" s="228"/>
      <c r="G107" s="171"/>
      <c r="H107" s="107"/>
      <c r="I107" s="305" t="str">
        <f ca="1">_xll.DBRA(Server&amp;$D$22,$D107,"French")</f>
        <v>Frais de colloques, séminaires, conférences</v>
      </c>
      <c r="J107" s="305" t="str">
        <f ca="1">_xll.DBRA(Server&amp;$D$22,$D107,"French")</f>
        <v>Frais de colloques, séminaires, conférences</v>
      </c>
      <c r="K107" s="37"/>
      <c r="L107" s="54">
        <f ca="1">_xll.DBRW(Server&amp;Cube1,$J$13,$L$3,$J$15,$L$1,$L$2,$J$16,$D107)</f>
        <v>0</v>
      </c>
      <c r="M107" s="37"/>
      <c r="N107" s="54">
        <f ca="1">_xll.DBRW(Server&amp;Cube1,$J$13,$N$3,$J$15,$N$1,$N$2,$J$16,$D107)</f>
        <v>0</v>
      </c>
      <c r="O107" s="55"/>
      <c r="P107" s="57"/>
      <c r="Q107" s="295">
        <v>0</v>
      </c>
      <c r="R107" s="295">
        <v>0</v>
      </c>
      <c r="S107" s="338">
        <v>0</v>
      </c>
      <c r="T107" s="338">
        <v>0</v>
      </c>
      <c r="U107" s="338">
        <v>0</v>
      </c>
      <c r="V107" s="338">
        <v>0</v>
      </c>
      <c r="W107" s="109">
        <v>0</v>
      </c>
      <c r="X107" s="109">
        <v>0</v>
      </c>
      <c r="Y107" s="109">
        <v>0</v>
      </c>
      <c r="Z107" s="109">
        <v>0</v>
      </c>
      <c r="AA107" s="109">
        <v>0</v>
      </c>
      <c r="AB107" s="109">
        <v>0</v>
      </c>
      <c r="AC107" s="31"/>
      <c r="AF107" s="90" t="str">
        <f ca="1">IF(xflag=1,_xll.DBSW(#REF!,Server&amp;Cube1,$J$13,$J$14,$J$15,#REF!,AF$2,$J$16,$D107),_xll.DBRW(Server&amp;Cube1,$J$13,$J$14,$J$15,#REF!,AF$2,$J$16,$D107))</f>
        <v>*KEY_ERR</v>
      </c>
    </row>
    <row r="108" spans="1:32" s="19" customFormat="1" ht="15.75" x14ac:dyDescent="0.25">
      <c r="A108"/>
      <c r="B108" s="204" t="s">
        <v>134</v>
      </c>
      <c r="C108" s="214" t="s">
        <v>249</v>
      </c>
      <c r="D108" s="226" t="str">
        <f t="shared" si="4"/>
        <v>625500</v>
      </c>
      <c r="E108"/>
      <c r="F108" s="228"/>
      <c r="G108" s="171"/>
      <c r="H108" s="107"/>
      <c r="I108" s="305" t="str">
        <f ca="1">_xll.DBRA(Server&amp;$D$22,$D108,"French")</f>
        <v>Frais de déménagements</v>
      </c>
      <c r="J108" s="305" t="str">
        <f ca="1">_xll.DBRA(Server&amp;$D$22,$D108,"French")</f>
        <v>Frais de déménagements</v>
      </c>
      <c r="K108" s="37"/>
      <c r="L108" s="54">
        <f ca="1">_xll.DBRW(Server&amp;Cube1,$J$13,$L$3,$J$15,$L$1,$L$2,$J$16,$D108)</f>
        <v>0</v>
      </c>
      <c r="M108" s="37"/>
      <c r="N108" s="54">
        <f ca="1">_xll.DBRW(Server&amp;Cube1,$J$13,$N$3,$J$15,$N$1,$N$2,$J$16,$D108)</f>
        <v>0</v>
      </c>
      <c r="O108" s="55"/>
      <c r="P108" s="57"/>
      <c r="Q108" s="295">
        <v>0</v>
      </c>
      <c r="R108" s="295">
        <v>0</v>
      </c>
      <c r="S108" s="338">
        <v>0</v>
      </c>
      <c r="T108" s="338">
        <v>0</v>
      </c>
      <c r="U108" s="338">
        <v>0</v>
      </c>
      <c r="V108" s="338">
        <v>0</v>
      </c>
      <c r="W108" s="109">
        <v>0</v>
      </c>
      <c r="X108" s="109">
        <v>0</v>
      </c>
      <c r="Y108" s="109">
        <v>0</v>
      </c>
      <c r="Z108" s="109">
        <v>0</v>
      </c>
      <c r="AA108" s="109">
        <v>0</v>
      </c>
      <c r="AB108" s="109">
        <v>0</v>
      </c>
      <c r="AC108" s="31"/>
      <c r="AF108" s="90" t="str">
        <f ca="1">IF(xflag=1,_xll.DBSW(#REF!,Server&amp;Cube1,$J$13,$J$14,$J$15,#REF!,AF$2,$J$16,$D108),_xll.DBRW(Server&amp;Cube1,$J$13,$J$14,$J$15,#REF!,AF$2,$J$16,$D108))</f>
        <v>*KEY_ERR</v>
      </c>
    </row>
    <row r="109" spans="1:32" s="19" customFormat="1" ht="15.75" x14ac:dyDescent="0.25">
      <c r="A109"/>
      <c r="B109" s="204" t="s">
        <v>51</v>
      </c>
      <c r="C109" s="214" t="s">
        <v>250</v>
      </c>
      <c r="D109" s="226" t="str">
        <f t="shared" si="4"/>
        <v>625600</v>
      </c>
      <c r="E109"/>
      <c r="F109" s="228"/>
      <c r="G109" s="171"/>
      <c r="H109" s="107"/>
      <c r="I109" s="305" t="str">
        <f ca="1">_xll.DBRA(Server&amp;$D$22,$D109,"French")</f>
        <v>Frais de missions</v>
      </c>
      <c r="J109" s="305" t="str">
        <f ca="1">_xll.DBRA(Server&amp;$D$22,$D109,"French")</f>
        <v>Frais de missions</v>
      </c>
      <c r="K109" s="37"/>
      <c r="L109" s="54">
        <f ca="1">_xll.DBRW(Server&amp;Cube1,$J$13,$L$3,$J$15,$L$1,$L$2,$J$16,$D109)</f>
        <v>0</v>
      </c>
      <c r="M109" s="37"/>
      <c r="N109" s="54">
        <f ca="1">_xll.DBRW(Server&amp;Cube1,$J$13,$N$3,$J$15,$N$1,$N$2,$J$16,$D109)</f>
        <v>0</v>
      </c>
      <c r="O109" s="55"/>
      <c r="P109" s="57"/>
      <c r="Q109" s="295">
        <v>0</v>
      </c>
      <c r="R109" s="295">
        <v>0</v>
      </c>
      <c r="S109" s="338">
        <v>0</v>
      </c>
      <c r="T109" s="338">
        <v>0</v>
      </c>
      <c r="U109" s="338">
        <v>0</v>
      </c>
      <c r="V109" s="338">
        <v>0</v>
      </c>
      <c r="W109" s="109">
        <v>0</v>
      </c>
      <c r="X109" s="109">
        <v>0</v>
      </c>
      <c r="Y109" s="109">
        <v>0</v>
      </c>
      <c r="Z109" s="109">
        <v>0</v>
      </c>
      <c r="AA109" s="109">
        <v>0</v>
      </c>
      <c r="AB109" s="109">
        <v>0</v>
      </c>
      <c r="AC109" s="31"/>
      <c r="AF109" s="90" t="str">
        <f ca="1">IF(xflag=1,_xll.DBSW(#REF!,Server&amp;Cube1,$J$13,$J$14,$J$15,#REF!,AF$2,$J$16,$D109),_xll.DBRW(Server&amp;Cube1,$J$13,$J$14,$J$15,#REF!,AF$2,$J$16,$D109))</f>
        <v>*KEY_ERR</v>
      </c>
    </row>
    <row r="110" spans="1:32" s="19" customFormat="1" ht="15.75" x14ac:dyDescent="0.25">
      <c r="A110"/>
      <c r="B110" s="204" t="s">
        <v>52</v>
      </c>
      <c r="C110" s="214" t="s">
        <v>251</v>
      </c>
      <c r="D110" s="226" t="str">
        <f t="shared" si="4"/>
        <v>625700</v>
      </c>
      <c r="E110"/>
      <c r="F110" s="228"/>
      <c r="G110" s="171"/>
      <c r="H110" s="107"/>
      <c r="I110" s="305" t="str">
        <f ca="1">_xll.DBRA(Server&amp;$D$22,$D110,"French")</f>
        <v>Frais de réceptions</v>
      </c>
      <c r="J110" s="305" t="str">
        <f ca="1">_xll.DBRA(Server&amp;$D$22,$D110,"French")</f>
        <v>Frais de réceptions</v>
      </c>
      <c r="K110" s="37"/>
      <c r="L110" s="54">
        <f ca="1">_xll.DBRW(Server&amp;Cube1,$J$13,$L$3,$J$15,$L$1,$L$2,$J$16,$D110)</f>
        <v>0</v>
      </c>
      <c r="M110" s="37"/>
      <c r="N110" s="54">
        <f ca="1">_xll.DBRW(Server&amp;Cube1,$J$13,$N$3,$J$15,$N$1,$N$2,$J$16,$D110)</f>
        <v>0</v>
      </c>
      <c r="O110" s="55"/>
      <c r="P110" s="57"/>
      <c r="Q110" s="295">
        <v>0</v>
      </c>
      <c r="R110" s="295">
        <v>0</v>
      </c>
      <c r="S110" s="338">
        <v>0</v>
      </c>
      <c r="T110" s="338">
        <v>0</v>
      </c>
      <c r="U110" s="338">
        <v>0</v>
      </c>
      <c r="V110" s="338">
        <v>0</v>
      </c>
      <c r="W110" s="109">
        <v>0</v>
      </c>
      <c r="X110" s="109">
        <v>0</v>
      </c>
      <c r="Y110" s="109">
        <v>0</v>
      </c>
      <c r="Z110" s="109">
        <v>0</v>
      </c>
      <c r="AA110" s="109">
        <v>0</v>
      </c>
      <c r="AB110" s="109">
        <v>0</v>
      </c>
      <c r="AC110" s="31"/>
      <c r="AF110" s="90" t="str">
        <f ca="1">IF(xflag=1,_xll.DBSW(#REF!,Server&amp;Cube1,$J$13,$J$14,$J$15,#REF!,AF$2,$J$16,$D110),_xll.DBRW(Server&amp;Cube1,$J$13,$J$14,$J$15,#REF!,AF$2,$J$16,$D110))</f>
        <v>*KEY_ERR</v>
      </c>
    </row>
    <row r="111" spans="1:32" s="19" customFormat="1" ht="15.75" x14ac:dyDescent="0.25">
      <c r="A111"/>
      <c r="B111" s="204" t="s">
        <v>47</v>
      </c>
      <c r="C111" s="214" t="s">
        <v>252</v>
      </c>
      <c r="D111" s="226" t="str">
        <f t="shared" si="4"/>
        <v>626100</v>
      </c>
      <c r="E111"/>
      <c r="F111" s="228"/>
      <c r="G111" s="171"/>
      <c r="H111" s="107"/>
      <c r="I111" s="305" t="str">
        <f ca="1">_xll.DBRA(Server&amp;$D$22,$D111,"French")</f>
        <v>Frais d'affranchissements</v>
      </c>
      <c r="J111" s="305" t="str">
        <f ca="1">_xll.DBRA(Server&amp;$D$22,$D111,"French")</f>
        <v>Frais d'affranchissements</v>
      </c>
      <c r="K111" s="37"/>
      <c r="L111" s="54">
        <f ca="1">_xll.DBRW(Server&amp;Cube1,$J$13,$L$3,$J$15,$L$1,$L$2,$J$16,$D111)</f>
        <v>0</v>
      </c>
      <c r="M111" s="37"/>
      <c r="N111" s="54">
        <f ca="1">_xll.DBRW(Server&amp;Cube1,$J$13,$N$3,$J$15,$N$1,$N$2,$J$16,$D111)</f>
        <v>0</v>
      </c>
      <c r="O111" s="55"/>
      <c r="P111" s="57"/>
      <c r="Q111" s="295">
        <v>0</v>
      </c>
      <c r="R111" s="295">
        <v>0</v>
      </c>
      <c r="S111" s="338">
        <v>0</v>
      </c>
      <c r="T111" s="338">
        <v>0</v>
      </c>
      <c r="U111" s="338">
        <v>0</v>
      </c>
      <c r="V111" s="338">
        <v>0</v>
      </c>
      <c r="W111" s="109">
        <v>0</v>
      </c>
      <c r="X111" s="109">
        <v>0</v>
      </c>
      <c r="Y111" s="109">
        <v>0</v>
      </c>
      <c r="Z111" s="109">
        <v>0</v>
      </c>
      <c r="AA111" s="109">
        <v>0</v>
      </c>
      <c r="AB111" s="109">
        <v>0</v>
      </c>
      <c r="AC111" s="31"/>
      <c r="AF111" s="90" t="str">
        <f ca="1">IF(xflag=1,_xll.DBSW(#REF!,Server&amp;Cube1,$J$13,$J$14,$J$15,#REF!,AF$2,$J$16,$D111),_xll.DBRW(Server&amp;Cube1,$J$13,$J$14,$J$15,#REF!,AF$2,$J$16,$D111))</f>
        <v>*KEY_ERR</v>
      </c>
    </row>
    <row r="112" spans="1:32" s="19" customFormat="1" ht="15.75" x14ac:dyDescent="0.25">
      <c r="A112"/>
      <c r="B112" s="204" t="s">
        <v>163</v>
      </c>
      <c r="C112" s="214" t="s">
        <v>253</v>
      </c>
      <c r="D112" s="226" t="str">
        <f t="shared" si="4"/>
        <v>626200</v>
      </c>
      <c r="E112"/>
      <c r="F112" s="228"/>
      <c r="G112" s="171"/>
      <c r="H112" s="107"/>
      <c r="I112" s="305" t="str">
        <f ca="1">_xll.DBRA(Server&amp;$D$22,$D112,"French")</f>
        <v>Webconférence</v>
      </c>
      <c r="J112" s="305" t="str">
        <f ca="1">_xll.DBRA(Server&amp;$D$22,$D112,"French")</f>
        <v>Webconférence</v>
      </c>
      <c r="K112" s="37"/>
      <c r="L112" s="54">
        <f ca="1">_xll.DBRW(Server&amp;Cube1,$J$13,$L$3,$J$15,$L$1,$L$2,$J$16,$D112)</f>
        <v>0</v>
      </c>
      <c r="M112" s="37"/>
      <c r="N112" s="54">
        <f ca="1">_xll.DBRW(Server&amp;Cube1,$J$13,$N$3,$J$15,$N$1,$N$2,$J$16,$D112)</f>
        <v>0</v>
      </c>
      <c r="O112" s="55"/>
      <c r="P112" s="57"/>
      <c r="Q112" s="295">
        <v>0</v>
      </c>
      <c r="R112" s="295">
        <v>0</v>
      </c>
      <c r="S112" s="338">
        <v>0</v>
      </c>
      <c r="T112" s="338">
        <v>0</v>
      </c>
      <c r="U112" s="338">
        <v>0</v>
      </c>
      <c r="V112" s="338">
        <v>0</v>
      </c>
      <c r="W112" s="109">
        <v>0</v>
      </c>
      <c r="X112" s="109">
        <v>0</v>
      </c>
      <c r="Y112" s="109">
        <v>0</v>
      </c>
      <c r="Z112" s="109">
        <v>0</v>
      </c>
      <c r="AA112" s="109">
        <v>0</v>
      </c>
      <c r="AB112" s="109">
        <v>0</v>
      </c>
      <c r="AC112" s="31"/>
      <c r="AF112" s="90" t="str">
        <f ca="1">IF(xflag=1,_xll.DBSW(#REF!,Server&amp;Cube1,$J$13,$J$14,$J$15,#REF!,AF$2,$J$16,$D112),_xll.DBRW(Server&amp;Cube1,$J$13,$J$14,$J$15,#REF!,AF$2,$J$16,$D112))</f>
        <v>*KEY_ERR</v>
      </c>
    </row>
    <row r="113" spans="1:35" s="19" customFormat="1" ht="15.75" x14ac:dyDescent="0.25">
      <c r="A113"/>
      <c r="B113" s="204" t="s">
        <v>164</v>
      </c>
      <c r="C113" s="214" t="s">
        <v>254</v>
      </c>
      <c r="D113" s="226" t="str">
        <f t="shared" si="4"/>
        <v>626600</v>
      </c>
      <c r="E113"/>
      <c r="F113" s="228"/>
      <c r="G113" s="171"/>
      <c r="H113" s="107"/>
      <c r="I113" s="305" t="str">
        <f ca="1">_xll.DBRA(Server&amp;$D$22,$D113,"French")</f>
        <v>Télécom &amp; internet</v>
      </c>
      <c r="J113" s="305" t="str">
        <f ca="1">_xll.DBRA(Server&amp;$D$22,$D113,"French")</f>
        <v>Télécom &amp; internet</v>
      </c>
      <c r="K113" s="37"/>
      <c r="L113" s="54">
        <f ca="1">_xll.DBRW(Server&amp;Cube1,$J$13,$L$3,$J$15,$L$1,$L$2,$J$16,$D113)</f>
        <v>0</v>
      </c>
      <c r="M113" s="37"/>
      <c r="N113" s="54">
        <f ca="1">_xll.DBRW(Server&amp;Cube1,$J$13,$N$3,$J$15,$N$1,$N$2,$J$16,$D113)</f>
        <v>0</v>
      </c>
      <c r="O113" s="55"/>
      <c r="P113" s="57"/>
      <c r="Q113" s="295">
        <v>0</v>
      </c>
      <c r="R113" s="295">
        <v>0</v>
      </c>
      <c r="S113" s="338">
        <v>0</v>
      </c>
      <c r="T113" s="338">
        <v>0</v>
      </c>
      <c r="U113" s="338">
        <v>0</v>
      </c>
      <c r="V113" s="338">
        <v>0</v>
      </c>
      <c r="W113" s="109">
        <v>0</v>
      </c>
      <c r="X113" s="109">
        <v>0</v>
      </c>
      <c r="Y113" s="109">
        <v>0</v>
      </c>
      <c r="Z113" s="109">
        <v>0</v>
      </c>
      <c r="AA113" s="109">
        <v>0</v>
      </c>
      <c r="AB113" s="109">
        <v>0</v>
      </c>
      <c r="AC113" s="31"/>
      <c r="AF113" s="90" t="str">
        <f ca="1">IF(xflag=1,_xll.DBSW(#REF!,Server&amp;Cube1,$J$13,$J$14,$J$15,#REF!,AF$2,$J$16,$D113),_xll.DBRW(Server&amp;Cube1,$J$13,$J$14,$J$15,#REF!,AF$2,$J$16,$D113))</f>
        <v>*KEY_ERR</v>
      </c>
    </row>
    <row r="114" spans="1:35" s="19" customFormat="1" ht="15.75" x14ac:dyDescent="0.25">
      <c r="A114"/>
      <c r="B114" s="204"/>
      <c r="C114" s="214"/>
      <c r="D114" s="226" t="s">
        <v>299</v>
      </c>
      <c r="E114"/>
      <c r="F114" s="228"/>
      <c r="G114" s="171"/>
      <c r="H114" s="107"/>
      <c r="I114" s="305" t="str">
        <f ca="1">_xll.DBRA(Server&amp;$D$22,$D114,"French")</f>
        <v>Formation du personnel</v>
      </c>
      <c r="J114" s="305" t="str">
        <f ca="1">_xll.DBRA(Server&amp;$D$22,$D114,"French")</f>
        <v>Formation du personnel</v>
      </c>
      <c r="K114" s="37"/>
      <c r="L114" s="54">
        <f ca="1">_xll.DBRW(Server&amp;Cube1,$J$13,$L$3,$J$15,$L$1,$L$2,$J$16,$D114)</f>
        <v>0</v>
      </c>
      <c r="M114" s="37"/>
      <c r="N114" s="54">
        <f ca="1">_xll.DBRW(Server&amp;Cube1,$J$13,$N$3,$J$15,$N$1,$N$2,$J$16,$D114)</f>
        <v>0</v>
      </c>
      <c r="O114" s="55"/>
      <c r="P114" s="57"/>
      <c r="Q114" s="295">
        <v>0</v>
      </c>
      <c r="R114" s="295">
        <v>0</v>
      </c>
      <c r="S114" s="338">
        <v>0</v>
      </c>
      <c r="T114" s="338">
        <v>0</v>
      </c>
      <c r="U114" s="338">
        <v>0</v>
      </c>
      <c r="V114" s="338">
        <v>0</v>
      </c>
      <c r="W114" s="109">
        <v>0</v>
      </c>
      <c r="X114" s="109">
        <v>0</v>
      </c>
      <c r="Y114" s="109">
        <v>0</v>
      </c>
      <c r="Z114" s="109">
        <v>0</v>
      </c>
      <c r="AA114" s="109">
        <v>0</v>
      </c>
      <c r="AB114" s="109">
        <v>0</v>
      </c>
      <c r="AC114" s="31"/>
      <c r="AF114" s="90" t="str">
        <f ca="1">IF(xflag=1,_xll.DBSW(#REF!,Server&amp;Cube1,$J$13,$J$14,$J$15,#REF!,AF$2,$J$16,$D114),_xll.DBRW(Server&amp;Cube1,$J$13,$J$14,$J$15,#REF!,AF$2,$J$16,$D114))</f>
        <v>*KEY_ERR</v>
      </c>
    </row>
    <row r="115" spans="1:35" s="19" customFormat="1" ht="15.75" x14ac:dyDescent="0.25">
      <c r="A115"/>
      <c r="B115" s="204" t="s">
        <v>149</v>
      </c>
      <c r="C115" s="214" t="s">
        <v>255</v>
      </c>
      <c r="D115" s="226" t="str">
        <f t="shared" si="4"/>
        <v>628880</v>
      </c>
      <c r="E115"/>
      <c r="F115" s="228"/>
      <c r="G115" s="171"/>
      <c r="H115" s="107"/>
      <c r="I115" s="305" t="str">
        <f ca="1">_xll.DBRA(Server&amp;$D$22,$D115,"French")</f>
        <v>Projets pédagogiques</v>
      </c>
      <c r="J115" s="305" t="str">
        <f ca="1">_xll.DBRA(Server&amp;$D$22,$D115,"French")</f>
        <v>Projets pédagogiques</v>
      </c>
      <c r="K115" s="37"/>
      <c r="L115" s="54">
        <f ca="1">_xll.DBRW(Server&amp;Cube1,$J$13,$L$3,$J$15,$L$1,$L$2,$J$16,$D115)</f>
        <v>0</v>
      </c>
      <c r="M115" s="37"/>
      <c r="N115" s="54">
        <f ca="1">_xll.DBRW(Server&amp;Cube1,$J$13,$N$3,$J$15,$N$1,$N$2,$J$16,$D115)</f>
        <v>0</v>
      </c>
      <c r="O115" s="55"/>
      <c r="P115" s="57"/>
      <c r="Q115" s="295">
        <v>0</v>
      </c>
      <c r="R115" s="295">
        <v>0</v>
      </c>
      <c r="S115" s="338">
        <v>0</v>
      </c>
      <c r="T115" s="338">
        <v>0</v>
      </c>
      <c r="U115" s="338">
        <v>0</v>
      </c>
      <c r="V115" s="338">
        <v>0</v>
      </c>
      <c r="W115" s="109">
        <v>0</v>
      </c>
      <c r="X115" s="109">
        <v>0</v>
      </c>
      <c r="Y115" s="109">
        <v>0</v>
      </c>
      <c r="Z115" s="109">
        <v>0</v>
      </c>
      <c r="AA115" s="109">
        <v>0</v>
      </c>
      <c r="AB115" s="109">
        <v>0</v>
      </c>
      <c r="AC115" s="31"/>
      <c r="AF115" s="90" t="str">
        <f ca="1">IF(xflag=1,_xll.DBSW(#REF!,Server&amp;Cube1,$J$13,$J$14,$J$15,#REF!,AF$2,$J$16,$D115),_xll.DBRW(Server&amp;Cube1,$J$13,$J$14,$J$15,#REF!,AF$2,$J$16,$D115))</f>
        <v>*KEY_ERR</v>
      </c>
    </row>
    <row r="116" spans="1:35" s="19" customFormat="1" ht="15.75" x14ac:dyDescent="0.25">
      <c r="A116"/>
      <c r="B116" s="204" t="s">
        <v>174</v>
      </c>
      <c r="C116" s="214" t="s">
        <v>256</v>
      </c>
      <c r="D116" s="226" t="str">
        <f t="shared" si="4"/>
        <v>651100</v>
      </c>
      <c r="E116"/>
      <c r="F116" s="228"/>
      <c r="G116" s="171"/>
      <c r="H116" s="107"/>
      <c r="I116" s="305" t="str">
        <f ca="1">_xll.DBRA(Server&amp;$D$22,$D116,"French")</f>
        <v>Licences</v>
      </c>
      <c r="J116" s="305" t="str">
        <f ca="1">_xll.DBRA(Server&amp;$D$22,$D116,"French")</f>
        <v>Licences</v>
      </c>
      <c r="K116" s="37"/>
      <c r="L116" s="54">
        <f ca="1">_xll.DBRW(Server&amp;Cube1,$J$13,$L$3,$J$15,$L$1,$L$2,$J$16,$D116)</f>
        <v>0</v>
      </c>
      <c r="M116" s="37"/>
      <c r="N116" s="54">
        <f ca="1">_xll.DBRW(Server&amp;Cube1,$J$13,$N$3,$J$15,$N$1,$N$2,$J$16,$D116)</f>
        <v>0</v>
      </c>
      <c r="O116" s="55"/>
      <c r="P116" s="57"/>
      <c r="Q116" s="295">
        <v>0</v>
      </c>
      <c r="R116" s="295">
        <v>0</v>
      </c>
      <c r="S116" s="338">
        <v>0</v>
      </c>
      <c r="T116" s="338">
        <v>0</v>
      </c>
      <c r="U116" s="338">
        <v>0</v>
      </c>
      <c r="V116" s="338">
        <v>0</v>
      </c>
      <c r="W116" s="109">
        <v>0</v>
      </c>
      <c r="X116" s="109">
        <v>0</v>
      </c>
      <c r="Y116" s="109">
        <v>0</v>
      </c>
      <c r="Z116" s="109">
        <v>0</v>
      </c>
      <c r="AA116" s="109">
        <v>0</v>
      </c>
      <c r="AB116" s="109">
        <v>0</v>
      </c>
      <c r="AC116" s="31"/>
      <c r="AF116" s="90" t="str">
        <f ca="1">IF(xflag=1,_xll.DBSW(#REF!,Server&amp;Cube1,$J$13,$J$14,$J$15,#REF!,AF$2,$J$16,$D116),_xll.DBRW(Server&amp;Cube1,$J$13,$J$14,$J$15,#REF!,AF$2,$J$16,$D116))</f>
        <v>*KEY_ERR</v>
      </c>
    </row>
    <row r="117" spans="1:35" s="19" customFormat="1" ht="15.75" x14ac:dyDescent="0.25">
      <c r="A117"/>
      <c r="B117" s="204" t="s">
        <v>136</v>
      </c>
      <c r="C117" s="214" t="s">
        <v>257</v>
      </c>
      <c r="D117" s="226" t="str">
        <f t="shared" si="4"/>
        <v>681110</v>
      </c>
      <c r="E117"/>
      <c r="F117" s="228"/>
      <c r="G117" s="171"/>
      <c r="H117" s="107"/>
      <c r="I117" s="305" t="str">
        <f ca="1">_xll.DBRA(Server&amp;$D$22,$D117,"French")</f>
        <v>Dot.Amort. Immob. Incorporelles</v>
      </c>
      <c r="J117" s="305" t="str">
        <f ca="1">_xll.DBRA(Server&amp;$D$22,$D117,"French")</f>
        <v>Dot.Amort. Immob. Incorporelles</v>
      </c>
      <c r="K117" s="37"/>
      <c r="L117" s="54">
        <f ca="1">_xll.DBRW(Server&amp;Cube1,$J$13,$L$3,$J$15,$L$1,$L$2,$J$16,$D117)</f>
        <v>0</v>
      </c>
      <c r="M117" s="37"/>
      <c r="N117" s="54">
        <f ca="1">_xll.DBRW(Server&amp;Cube1,$J$13,$N$3,$J$15,$N$1,$N$2,$J$16,$D117)</f>
        <v>0</v>
      </c>
      <c r="O117" s="55"/>
      <c r="P117" s="57"/>
      <c r="Q117" s="295">
        <v>0</v>
      </c>
      <c r="R117" s="295">
        <v>0</v>
      </c>
      <c r="S117" s="338">
        <v>0</v>
      </c>
      <c r="T117" s="338">
        <v>0</v>
      </c>
      <c r="U117" s="338">
        <v>0</v>
      </c>
      <c r="V117" s="338">
        <v>0</v>
      </c>
      <c r="W117" s="109">
        <v>0</v>
      </c>
      <c r="X117" s="109">
        <v>0</v>
      </c>
      <c r="Y117" s="109">
        <v>0</v>
      </c>
      <c r="Z117" s="109">
        <v>0</v>
      </c>
      <c r="AA117" s="109">
        <v>0</v>
      </c>
      <c r="AB117" s="109">
        <v>0</v>
      </c>
      <c r="AC117" s="31"/>
      <c r="AF117" s="90" t="str">
        <f ca="1">IF(xflag=1,_xll.DBSW(#REF!,Server&amp;Cube1,$J$13,$J$14,$J$15,#REF!,AF$2,$J$16,$D117),_xll.DBRW(Server&amp;Cube1,$J$13,$J$14,$J$15,#REF!,AF$2,$J$16,$D117))</f>
        <v>*KEY_ERR</v>
      </c>
    </row>
    <row r="118" spans="1:35" s="19" customFormat="1" ht="15.75" x14ac:dyDescent="0.25">
      <c r="A118"/>
      <c r="B118" s="204" t="s">
        <v>37</v>
      </c>
      <c r="C118" s="214" t="s">
        <v>258</v>
      </c>
      <c r="D118" s="226" t="str">
        <f t="shared" si="4"/>
        <v>681120</v>
      </c>
      <c r="E118"/>
      <c r="F118" s="228"/>
      <c r="G118" s="171"/>
      <c r="H118" s="107"/>
      <c r="I118" s="305" t="str">
        <f ca="1">_xll.DBRA(Server&amp;$D$22,$D118,"French")</f>
        <v>Dot.Amort. Immob. Corporelles</v>
      </c>
      <c r="J118" s="305" t="str">
        <f ca="1">_xll.DBRA(Server&amp;$D$22,$D118,"French")</f>
        <v>Dot.Amort. Immob. Corporelles</v>
      </c>
      <c r="K118" s="37"/>
      <c r="L118" s="54">
        <f ca="1">_xll.DBRW(Server&amp;Cube1,$J$13,$L$3,$J$15,$L$1,$L$2,$J$16,$D118)</f>
        <v>0</v>
      </c>
      <c r="M118" s="37"/>
      <c r="N118" s="54">
        <f ca="1">_xll.DBRW(Server&amp;Cube1,$J$13,$N$3,$J$15,$N$1,$N$2,$J$16,$D118)</f>
        <v>0</v>
      </c>
      <c r="O118" s="55"/>
      <c r="P118" s="57"/>
      <c r="Q118" s="295">
        <v>0</v>
      </c>
      <c r="R118" s="295">
        <v>0</v>
      </c>
      <c r="S118" s="338">
        <v>0</v>
      </c>
      <c r="T118" s="338">
        <v>0</v>
      </c>
      <c r="U118" s="338">
        <v>0</v>
      </c>
      <c r="V118" s="338">
        <v>0</v>
      </c>
      <c r="W118" s="109">
        <v>0</v>
      </c>
      <c r="X118" s="109">
        <v>0</v>
      </c>
      <c r="Y118" s="109">
        <v>0</v>
      </c>
      <c r="Z118" s="109">
        <v>0</v>
      </c>
      <c r="AA118" s="109">
        <v>0</v>
      </c>
      <c r="AB118" s="109">
        <v>0</v>
      </c>
      <c r="AC118" s="31"/>
      <c r="AF118" s="90" t="str">
        <f ca="1">IF(xflag=1,_xll.DBSW(#REF!,Server&amp;Cube1,$J$13,$J$14,$J$15,#REF!,AF$2,$J$16,$D118),_xll.DBRW(Server&amp;Cube1,$J$13,$J$14,$J$15,#REF!,AF$2,$J$16,$D118))</f>
        <v>*KEY_ERR</v>
      </c>
    </row>
    <row r="119" spans="1:35" s="19" customFormat="1" ht="15.75" x14ac:dyDescent="0.25">
      <c r="A119"/>
      <c r="B119" s="204" t="s">
        <v>137</v>
      </c>
      <c r="C119" s="214" t="s">
        <v>259</v>
      </c>
      <c r="D119" s="226" t="str">
        <f t="shared" si="4"/>
        <v>681740</v>
      </c>
      <c r="E119"/>
      <c r="F119" s="228"/>
      <c r="G119" s="171"/>
      <c r="H119" s="107"/>
      <c r="I119" s="305" t="str">
        <f ca="1">_xll.DBRA(Server&amp;$D$22,$D119,"French")</f>
        <v>Dot. Aux dépréciations créances</v>
      </c>
      <c r="J119" s="305" t="str">
        <f ca="1">_xll.DBRA(Server&amp;$D$22,$D119,"French")</f>
        <v>Dot. Aux dépréciations créances</v>
      </c>
      <c r="K119" s="37"/>
      <c r="L119" s="54">
        <f ca="1">_xll.DBRW(Server&amp;Cube1,$J$13,$L$3,$J$15,$L$1,$L$2,$J$16,$D119)</f>
        <v>0</v>
      </c>
      <c r="M119" s="37"/>
      <c r="N119" s="54">
        <f ca="1">_xll.DBRW(Server&amp;Cube1,$J$13,$N$3,$J$15,$N$1,$N$2,$J$16,$D119)</f>
        <v>0</v>
      </c>
      <c r="O119" s="55"/>
      <c r="P119" s="57"/>
      <c r="Q119" s="295">
        <v>0</v>
      </c>
      <c r="R119" s="295">
        <v>0</v>
      </c>
      <c r="S119" s="338">
        <v>0</v>
      </c>
      <c r="T119" s="338">
        <v>0</v>
      </c>
      <c r="U119" s="338">
        <v>0</v>
      </c>
      <c r="V119" s="338">
        <v>0</v>
      </c>
      <c r="W119" s="109">
        <v>0</v>
      </c>
      <c r="X119" s="109">
        <v>0</v>
      </c>
      <c r="Y119" s="109">
        <v>0</v>
      </c>
      <c r="Z119" s="109">
        <v>0</v>
      </c>
      <c r="AA119" s="109">
        <v>0</v>
      </c>
      <c r="AB119" s="109">
        <v>0</v>
      </c>
      <c r="AC119" s="31"/>
      <c r="AF119" s="90" t="str">
        <f ca="1">IF(xflag=1,_xll.DBSW(#REF!,Server&amp;Cube1,$J$13,$J$14,$J$15,#REF!,AF$2,$J$16,$D119),_xll.DBRW(Server&amp;Cube1,$J$13,$J$14,$J$15,#REF!,AF$2,$J$16,$D119))</f>
        <v>*KEY_ERR</v>
      </c>
    </row>
    <row r="120" spans="1:35" s="19" customFormat="1" ht="15.75" x14ac:dyDescent="0.25">
      <c r="A120"/>
      <c r="B120" s="204" t="s">
        <v>85</v>
      </c>
      <c r="C120" s="214" t="s">
        <v>260</v>
      </c>
      <c r="D120" s="226" t="str">
        <f t="shared" si="4"/>
        <v>TBD_X1</v>
      </c>
      <c r="E120"/>
      <c r="F120" s="228"/>
      <c r="G120" s="171"/>
      <c r="H120" s="107"/>
      <c r="I120" s="305" t="str">
        <f ca="1">_xll.DBRA(Server&amp;$D$22,$D120,"French")</f>
        <v>Divers (Autres frais)</v>
      </c>
      <c r="J120" s="305" t="str">
        <f ca="1">_xll.DBRA(Server&amp;$D$22,$D120,"French")</f>
        <v>Divers (Autres frais)</v>
      </c>
      <c r="K120" s="37"/>
      <c r="L120" s="54">
        <f ca="1">_xll.DBRW(Server&amp;Cube1,$J$13,$L$3,$J$15,$L$1,$L$2,$J$16,$D120)</f>
        <v>0</v>
      </c>
      <c r="M120" s="37"/>
      <c r="N120" s="54">
        <f ca="1">_xll.DBRW(Server&amp;Cube1,$J$13,$N$3,$J$15,$N$1,$N$2,$J$16,$D120)</f>
        <v>0</v>
      </c>
      <c r="O120" s="55"/>
      <c r="P120" s="57"/>
      <c r="Q120" s="295">
        <v>0</v>
      </c>
      <c r="R120" s="295">
        <v>0</v>
      </c>
      <c r="S120" s="338">
        <v>0</v>
      </c>
      <c r="T120" s="338">
        <v>0</v>
      </c>
      <c r="U120" s="338">
        <v>0</v>
      </c>
      <c r="V120" s="338">
        <v>0</v>
      </c>
      <c r="W120" s="109">
        <v>0</v>
      </c>
      <c r="X120" s="109">
        <v>0</v>
      </c>
      <c r="Y120" s="109">
        <v>0</v>
      </c>
      <c r="Z120" s="109">
        <v>0</v>
      </c>
      <c r="AA120" s="109">
        <v>0</v>
      </c>
      <c r="AB120" s="109">
        <v>0</v>
      </c>
      <c r="AC120" s="31"/>
      <c r="AF120" s="90" t="str">
        <f ca="1">IF(xflag=1,_xll.DBSW(#REF!,Server&amp;Cube1,$J$13,$J$14,$J$15,#REF!,AF$2,$J$16,$D120),_xll.DBRW(Server&amp;Cube1,$J$13,$J$14,$J$15,#REF!,AF$2,$J$16,$D120))</f>
        <v>*KEY_ERR</v>
      </c>
    </row>
    <row r="121" spans="1:35" s="19" customFormat="1" ht="15.75" x14ac:dyDescent="0.25">
      <c r="A121"/>
      <c r="B121" s="204" t="s">
        <v>54</v>
      </c>
      <c r="C121" s="273" t="s">
        <v>261</v>
      </c>
      <c r="D121" s="226" t="str">
        <f t="shared" si="4"/>
        <v>658000</v>
      </c>
      <c r="E121"/>
      <c r="F121" s="228"/>
      <c r="G121" s="171"/>
      <c r="H121" s="107"/>
      <c r="I121" s="316" t="str">
        <f ca="1">_xll.DBRA(Server&amp;$D$22,$D121,"French")</f>
        <v>Charges diverses de gestion courante</v>
      </c>
      <c r="J121" s="316" t="str">
        <f ca="1">_xll.DBRA(Server&amp;$D$22,$D121,"French")</f>
        <v>Charges diverses de gestion courante</v>
      </c>
      <c r="K121" s="274"/>
      <c r="L121" s="275">
        <f ca="1">_xll.DBRW(Server&amp;Cube1,$J$13,$L$3,$J$15,$L$1,$L$2,$J$16,$D121)</f>
        <v>0</v>
      </c>
      <c r="M121" s="274"/>
      <c r="N121" s="275">
        <f ca="1">_xll.DBRW(Server&amp;Cube1,$J$13,$N$3,$J$15,$N$1,$N$2,$J$16,$D121)</f>
        <v>0</v>
      </c>
      <c r="O121" s="276"/>
      <c r="P121" s="277"/>
      <c r="Q121" s="297">
        <v>0</v>
      </c>
      <c r="R121" s="297">
        <v>0</v>
      </c>
      <c r="S121" s="344">
        <v>0</v>
      </c>
      <c r="T121" s="344">
        <v>0</v>
      </c>
      <c r="U121" s="344">
        <v>0</v>
      </c>
      <c r="V121" s="344">
        <v>0</v>
      </c>
      <c r="W121" s="111">
        <v>0</v>
      </c>
      <c r="X121" s="111">
        <v>0</v>
      </c>
      <c r="Y121" s="111">
        <v>0</v>
      </c>
      <c r="Z121" s="111">
        <v>0</v>
      </c>
      <c r="AA121" s="111">
        <v>0</v>
      </c>
      <c r="AB121" s="111">
        <v>0</v>
      </c>
      <c r="AC121" s="31"/>
      <c r="AF121" s="90" t="str">
        <f ca="1">IF(xflag=1,_xll.DBSW(#REF!,Server&amp;Cube1,$J$13,$J$14,$J$15,#REF!,AF$2,$J$16,$D121),_xll.DBRW(Server&amp;Cube1,$J$13,$J$14,$J$15,#REF!,AF$2,$J$16,$D121))</f>
        <v>*KEY_ERR</v>
      </c>
    </row>
    <row r="122" spans="1:35" ht="11.25" customHeight="1" x14ac:dyDescent="0.25">
      <c r="B122" s="272"/>
      <c r="C122" s="208"/>
      <c r="D122" s="267"/>
      <c r="E122"/>
      <c r="F122" s="228"/>
      <c r="G122" s="171"/>
      <c r="H122" s="278" t="str">
        <f ca="1">_xll.DBRA(Server&amp;$D$22,$D122,"French")</f>
        <v/>
      </c>
      <c r="I122" s="278"/>
      <c r="J122" s="278"/>
      <c r="K122" s="279"/>
      <c r="L122" s="280" t="str">
        <f ca="1">_xll.DBRW(Server&amp;Cube1,$J$13,$L$3,$J$15,$L$1,$L$2,$J$16,$D122)</f>
        <v/>
      </c>
      <c r="M122" s="279"/>
      <c r="N122" s="280" t="str">
        <f ca="1">_xll.DBRW(Server&amp;Cube1,$J$13,$N$3,$J$15,$N$1,$N$2,$J$16,$D122)</f>
        <v/>
      </c>
      <c r="O122" s="281"/>
      <c r="P122" s="282"/>
      <c r="Q122" s="280"/>
      <c r="R122" s="280"/>
      <c r="S122" s="280"/>
      <c r="T122" s="280"/>
      <c r="U122" s="280"/>
      <c r="V122" s="280"/>
      <c r="W122" s="280"/>
      <c r="X122" s="280"/>
      <c r="Y122" s="280"/>
      <c r="Z122" s="280"/>
      <c r="AA122" s="280"/>
      <c r="AB122" s="280"/>
    </row>
    <row r="123" spans="1:35" s="19" customFormat="1" ht="15.75" x14ac:dyDescent="0.25">
      <c r="A123"/>
      <c r="B123" s="203" t="s">
        <v>33</v>
      </c>
      <c r="C123" s="215"/>
      <c r="D123" s="226" t="str">
        <f>B123</f>
        <v>Cout_structure</v>
      </c>
      <c r="E123"/>
      <c r="F123" s="228"/>
      <c r="G123" s="171"/>
      <c r="H123" s="105"/>
      <c r="I123" s="317" t="str">
        <f ca="1">_xll.DBRA(Server&amp;$D$22,$D123,"French")</f>
        <v>Coûts de structure</v>
      </c>
      <c r="J123" s="317" t="str">
        <f ca="1">_xll.DBRA(Server&amp;$D$22,$D123,"French")</f>
        <v>Coûts de structure</v>
      </c>
      <c r="K123" s="39"/>
      <c r="L123" s="67">
        <f ca="1">+L71+L75+L78+L85+L90</f>
        <v>-10311.01</v>
      </c>
      <c r="M123" s="39"/>
      <c r="N123" s="67">
        <f ca="1">+N71+N75+N78+N85+N90</f>
        <v>-732.2</v>
      </c>
      <c r="O123" s="68"/>
      <c r="P123" s="69"/>
      <c r="Q123" s="269"/>
      <c r="R123" s="269"/>
      <c r="S123" s="346"/>
      <c r="T123" s="346"/>
      <c r="U123" s="346"/>
      <c r="V123" s="346"/>
      <c r="W123" s="269"/>
      <c r="X123" s="269"/>
      <c r="Y123" s="269"/>
      <c r="Z123" s="269"/>
      <c r="AA123" s="269"/>
      <c r="AB123" s="269"/>
      <c r="AC123" s="31"/>
    </row>
    <row r="124" spans="1:35" ht="11.25" customHeight="1" thickBot="1" x14ac:dyDescent="0.3">
      <c r="B124" s="272"/>
      <c r="C124" s="208"/>
      <c r="D124" s="267"/>
      <c r="E124"/>
      <c r="F124" s="228"/>
      <c r="G124" s="171"/>
      <c r="H124" s="278"/>
      <c r="I124" s="278"/>
      <c r="J124" s="278"/>
      <c r="K124" s="279"/>
      <c r="L124" s="280"/>
      <c r="M124" s="279"/>
      <c r="N124" s="280"/>
      <c r="O124" s="281"/>
      <c r="P124" s="282"/>
      <c r="Q124" s="280"/>
      <c r="R124" s="280"/>
      <c r="S124" s="280"/>
      <c r="T124" s="280"/>
      <c r="U124" s="280"/>
      <c r="V124" s="280"/>
      <c r="W124" s="280"/>
      <c r="X124" s="280"/>
      <c r="Y124" s="280"/>
      <c r="Z124" s="280"/>
      <c r="AA124" s="280"/>
      <c r="AB124" s="280"/>
    </row>
    <row r="125" spans="1:35" s="19" customFormat="1" ht="17.25" thickTop="1" thickBot="1" x14ac:dyDescent="0.3">
      <c r="A125"/>
      <c r="B125" s="198" t="s">
        <v>167</v>
      </c>
      <c r="C125" s="219" t="s">
        <v>262</v>
      </c>
      <c r="D125" s="226" t="str">
        <f t="shared" si="4"/>
        <v>706025i</v>
      </c>
      <c r="E125"/>
      <c r="F125" s="228"/>
      <c r="G125" s="171"/>
      <c r="H125" s="107"/>
      <c r="I125" s="305" t="str">
        <f ca="1">_xll.DBRA(Server&amp;$D$22,$D125,"French")</f>
        <v>Produits structures</v>
      </c>
      <c r="J125" s="305" t="str">
        <f ca="1">_xll.DBRA(Server&amp;$D$22,$D125,"French")</f>
        <v>Produits structures</v>
      </c>
      <c r="K125" s="37"/>
      <c r="L125" s="54">
        <f ca="1">_xll.DBRW(Server&amp;Cube1,$J$13,$L$3,$J$15,$L$1,$L$2,$J$16,$D125)</f>
        <v>0</v>
      </c>
      <c r="M125" s="37"/>
      <c r="N125" s="54">
        <f ca="1">_xll.DBRW(Server&amp;Cube1,$J$13,$N$3,$J$15,$N$1,$N$2,$J$16,$D125)</f>
        <v>0</v>
      </c>
      <c r="O125" s="55"/>
      <c r="P125" s="57"/>
      <c r="Q125" s="298">
        <v>0</v>
      </c>
      <c r="R125" s="298">
        <v>0</v>
      </c>
      <c r="S125" s="348">
        <v>0</v>
      </c>
      <c r="T125" s="348">
        <v>0</v>
      </c>
      <c r="U125" s="348">
        <v>0</v>
      </c>
      <c r="V125" s="348">
        <v>0</v>
      </c>
      <c r="W125" s="116">
        <v>0</v>
      </c>
      <c r="X125" s="116">
        <v>0</v>
      </c>
      <c r="Y125" s="116">
        <v>0</v>
      </c>
      <c r="Z125" s="116">
        <v>0</v>
      </c>
      <c r="AA125" s="116">
        <v>0</v>
      </c>
      <c r="AB125" s="116">
        <v>0</v>
      </c>
      <c r="AC125" s="31"/>
      <c r="AF125" s="56" t="str">
        <f ca="1">IF(xflag=1,_xll.DBSW(#REF!,Server&amp;Cube1,$J$13,$J$14,$J$15,#REF!,AF$2,$J$16,$D125),_xll.DBRW(Server&amp;Cube1,$J$13,$J$14,$J$15,#REF!,AF$2,$J$16,$D125))</f>
        <v>*KEY_ERR</v>
      </c>
    </row>
    <row r="126" spans="1:35" s="19" customFormat="1" ht="17.25" thickTop="1" thickBot="1" x14ac:dyDescent="0.3">
      <c r="A126"/>
      <c r="B126" s="198" t="s">
        <v>165</v>
      </c>
      <c r="C126" s="219" t="s">
        <v>263</v>
      </c>
      <c r="D126" s="226" t="str">
        <f t="shared" si="4"/>
        <v>740100</v>
      </c>
      <c r="E126"/>
      <c r="F126" s="228"/>
      <c r="G126" s="171"/>
      <c r="H126" s="107"/>
      <c r="I126" s="305" t="str">
        <f ca="1">_xll.DBRA(Server&amp;$D$22,$D126,"French")</f>
        <v>Subvention OPCA Transport</v>
      </c>
      <c r="J126" s="305" t="str">
        <f ca="1">_xll.DBRA(Server&amp;$D$22,$D126,"French")</f>
        <v>Subvention OPCA Transport</v>
      </c>
      <c r="K126" s="37"/>
      <c r="L126" s="54">
        <f ca="1">_xll.DBRW(Server&amp;Cube1,$J$13,$L$3,$J$15,$L$1,$L$2,$J$16,$D126)</f>
        <v>0</v>
      </c>
      <c r="M126" s="37"/>
      <c r="N126" s="54">
        <f ca="1">_xll.DBRW(Server&amp;Cube1,$J$13,$N$3,$J$15,$N$1,$N$2,$J$16,$D126)</f>
        <v>0</v>
      </c>
      <c r="O126" s="55"/>
      <c r="P126" s="57"/>
      <c r="Q126" s="295">
        <v>0</v>
      </c>
      <c r="R126" s="295">
        <v>0</v>
      </c>
      <c r="S126" s="338">
        <v>0</v>
      </c>
      <c r="T126" s="338">
        <v>0</v>
      </c>
      <c r="U126" s="338">
        <v>0</v>
      </c>
      <c r="V126" s="338">
        <v>0</v>
      </c>
      <c r="W126" s="109">
        <v>0</v>
      </c>
      <c r="X126" s="109">
        <v>0</v>
      </c>
      <c r="Y126" s="109">
        <v>0</v>
      </c>
      <c r="Z126" s="109">
        <v>0</v>
      </c>
      <c r="AA126" s="109">
        <v>0</v>
      </c>
      <c r="AB126" s="109">
        <v>0</v>
      </c>
      <c r="AC126" s="31"/>
      <c r="AF126" s="56" t="str">
        <f ca="1">IF(xflag=1,_xll.DBSW(#REF!,Server&amp;Cube1,$J$13,$J$14,$J$15,#REF!,AF$2,$J$16,$D126),_xll.DBRW(Server&amp;Cube1,$J$13,$J$14,$J$15,#REF!,AF$2,$J$16,$D126))</f>
        <v>*KEY_ERR</v>
      </c>
    </row>
    <row r="127" spans="1:35" s="19" customFormat="1" ht="17.25" thickTop="1" thickBot="1" x14ac:dyDescent="0.3">
      <c r="A127"/>
      <c r="B127" s="200" t="s">
        <v>140</v>
      </c>
      <c r="C127" s="219" t="s">
        <v>264</v>
      </c>
      <c r="D127" s="226" t="str">
        <f t="shared" si="4"/>
        <v>758000</v>
      </c>
      <c r="E127"/>
      <c r="F127" s="228"/>
      <c r="G127" s="171"/>
      <c r="H127" s="107"/>
      <c r="I127" s="305" t="str">
        <f ca="1">_xll.DBRA(Server&amp;$D$22,$D127,"French")</f>
        <v>Produits divers de gestion courante</v>
      </c>
      <c r="J127" s="305" t="str">
        <f ca="1">_xll.DBRA(Server&amp;$D$22,$D127,"French")</f>
        <v>Produits divers de gestion courante</v>
      </c>
      <c r="K127" s="37"/>
      <c r="L127" s="54">
        <f ca="1">_xll.DBRW(Server&amp;Cube1,$J$13,$L$3,$J$15,$L$1,$L$2,$J$16,$D127)</f>
        <v>0</v>
      </c>
      <c r="M127" s="37"/>
      <c r="N127" s="54">
        <f ca="1">_xll.DBRW(Server&amp;Cube1,$J$13,$N$3,$J$15,$N$1,$N$2,$J$16,$D127)</f>
        <v>0</v>
      </c>
      <c r="O127" s="55"/>
      <c r="P127" s="57"/>
      <c r="Q127" s="296">
        <v>0</v>
      </c>
      <c r="R127" s="296">
        <v>0</v>
      </c>
      <c r="S127" s="341">
        <v>0</v>
      </c>
      <c r="T127" s="341">
        <v>0</v>
      </c>
      <c r="U127" s="341">
        <v>0</v>
      </c>
      <c r="V127" s="341">
        <v>0</v>
      </c>
      <c r="W127" s="227">
        <v>0</v>
      </c>
      <c r="X127" s="227">
        <v>0</v>
      </c>
      <c r="Y127" s="227">
        <v>0</v>
      </c>
      <c r="Z127" s="227">
        <v>0</v>
      </c>
      <c r="AA127" s="227">
        <v>0</v>
      </c>
      <c r="AB127" s="227">
        <v>0</v>
      </c>
      <c r="AC127" s="31"/>
      <c r="AF127" s="56" t="str">
        <f ca="1">IF(xflag=1,_xll.DBSW(#REF!,Server&amp;Cube1,$J$13,$J$14,$J$15,#REF!,AF$2,$J$16,$D127),_xll.DBRW(Server&amp;Cube1,$J$13,$J$14,$J$15,#REF!,AF$2,$J$16,$D127))</f>
        <v>*KEY_ERR</v>
      </c>
    </row>
    <row r="128" spans="1:35" s="19" customFormat="1" ht="17.25" thickTop="1" thickBot="1" x14ac:dyDescent="0.3">
      <c r="A128"/>
      <c r="B128" s="200" t="s">
        <v>141</v>
      </c>
      <c r="C128" s="219" t="s">
        <v>265</v>
      </c>
      <c r="D128" s="226" t="str">
        <f t="shared" si="4"/>
        <v>758500</v>
      </c>
      <c r="E128"/>
      <c r="F128" s="228"/>
      <c r="G128" s="170"/>
      <c r="H128" s="107"/>
      <c r="I128" s="305" t="str">
        <f ca="1">_xll.DBRA(Server&amp;$D$22,$D128,"French")</f>
        <v>Ports et frais accessoires facturés</v>
      </c>
      <c r="J128" s="305" t="str">
        <f ca="1">_xll.DBRA(Server&amp;$D$22,$D128,"French")</f>
        <v>Ports et frais accessoires facturés</v>
      </c>
      <c r="K128" s="37"/>
      <c r="L128" s="54">
        <f ca="1">_xll.DBRW(Server&amp;Cube1,$J$13,$L$3,$J$15,$L$1,$L$2,$J$16,$D128)</f>
        <v>0</v>
      </c>
      <c r="M128" s="37"/>
      <c r="N128" s="54">
        <f ca="1">_xll.DBRW(Server&amp;Cube1,$J$13,$N$3,$J$15,$N$1,$N$2,$J$16,$D128)</f>
        <v>0</v>
      </c>
      <c r="O128" s="55"/>
      <c r="P128" s="57"/>
      <c r="Q128" s="299">
        <v>0</v>
      </c>
      <c r="R128" s="299">
        <v>0</v>
      </c>
      <c r="S128" s="349">
        <v>0</v>
      </c>
      <c r="T128" s="349">
        <v>0</v>
      </c>
      <c r="U128" s="349">
        <v>0</v>
      </c>
      <c r="V128" s="349">
        <v>0</v>
      </c>
      <c r="W128" s="284">
        <v>0</v>
      </c>
      <c r="X128" s="284">
        <v>0</v>
      </c>
      <c r="Y128" s="284">
        <v>0</v>
      </c>
      <c r="Z128" s="284">
        <v>0</v>
      </c>
      <c r="AA128" s="284">
        <v>0</v>
      </c>
      <c r="AB128" s="284">
        <v>0</v>
      </c>
      <c r="AC128" s="31"/>
      <c r="AF128" s="56" t="str">
        <f ca="1">IF(xflag=1,_xll.DBSW(#REF!,Server&amp;Cube1,$J$13,$J$14,$J$15,#REF!,AF$2,$J$16,$D128),_xll.DBRW(Server&amp;Cube1,$J$13,$J$14,$J$15,#REF!,AF$2,$J$16,$D128))</f>
        <v>*KEY_ERR</v>
      </c>
      <c r="AI128" s="19">
        <v>12</v>
      </c>
    </row>
    <row r="129" spans="1:35" s="19" customFormat="1" ht="17.25" thickTop="1" thickBot="1" x14ac:dyDescent="0.3">
      <c r="A129"/>
      <c r="B129" s="200" t="s">
        <v>142</v>
      </c>
      <c r="C129" s="219" t="s">
        <v>266</v>
      </c>
      <c r="D129" s="226" t="str">
        <f t="shared" si="4"/>
        <v>758810</v>
      </c>
      <c r="E129"/>
      <c r="F129" s="228"/>
      <c r="G129" s="170"/>
      <c r="H129" s="107"/>
      <c r="I129" s="305" t="str">
        <f ca="1">_xll.DBRA(Server&amp;$D$22,$D129,"French")</f>
        <v>Remise forfaitaire annuelle</v>
      </c>
      <c r="J129" s="305" t="str">
        <f ca="1">_xll.DBRA(Server&amp;$D$22,$D129,"French")</f>
        <v>Remise forfaitaire annuelle</v>
      </c>
      <c r="K129" s="37"/>
      <c r="L129" s="54">
        <f ca="1">_xll.DBRW(Server&amp;Cube1,$J$13,$L$3,$J$15,$L$1,$L$2,$J$16,$D129)</f>
        <v>0</v>
      </c>
      <c r="M129" s="37"/>
      <c r="N129" s="54">
        <f ca="1">_xll.DBRW(Server&amp;Cube1,$J$13,$N$3,$J$15,$N$1,$N$2,$J$16,$D129)</f>
        <v>0</v>
      </c>
      <c r="O129" s="55"/>
      <c r="P129" s="57"/>
      <c r="Q129" s="299">
        <v>0</v>
      </c>
      <c r="R129" s="299">
        <v>0</v>
      </c>
      <c r="S129" s="349">
        <v>0</v>
      </c>
      <c r="T129" s="349">
        <v>0</v>
      </c>
      <c r="U129" s="349">
        <v>0</v>
      </c>
      <c r="V129" s="349">
        <v>0</v>
      </c>
      <c r="W129" s="284">
        <v>0</v>
      </c>
      <c r="X129" s="284">
        <v>0</v>
      </c>
      <c r="Y129" s="284">
        <v>0</v>
      </c>
      <c r="Z129" s="284">
        <v>0</v>
      </c>
      <c r="AA129" s="284">
        <v>0</v>
      </c>
      <c r="AB129" s="284">
        <v>0</v>
      </c>
      <c r="AC129" s="31"/>
      <c r="AF129" s="56" t="str">
        <f ca="1">IF(xflag=1,_xll.DBSW(#REF!,Server&amp;Cube1,$J$13,$J$14,$J$15,#REF!,AF$2,$J$16,$D129),_xll.DBRW(Server&amp;Cube1,$J$13,$J$14,$J$15,#REF!,AF$2,$J$16,$D129))</f>
        <v>*KEY_ERR</v>
      </c>
    </row>
    <row r="130" spans="1:35" s="19" customFormat="1" ht="17.25" thickTop="1" thickBot="1" x14ac:dyDescent="0.3">
      <c r="A130"/>
      <c r="B130" s="200" t="s">
        <v>168</v>
      </c>
      <c r="C130" s="219" t="s">
        <v>267</v>
      </c>
      <c r="D130" s="226" t="str">
        <f t="shared" si="4"/>
        <v>758870</v>
      </c>
      <c r="E130"/>
      <c r="F130" s="228"/>
      <c r="G130" s="170"/>
      <c r="H130" s="107"/>
      <c r="I130" s="305" t="str">
        <f ca="1">_xll.DBRA(Server&amp;$D$22,$D130,"French")</f>
        <v>Refacturation Personnel MAD</v>
      </c>
      <c r="J130" s="305" t="str">
        <f ca="1">_xll.DBRA(Server&amp;$D$22,$D130,"French")</f>
        <v>Refacturation Personnel MAD</v>
      </c>
      <c r="K130" s="37"/>
      <c r="L130" s="54">
        <f ca="1">_xll.DBRW(Server&amp;Cube1,$J$13,$L$3,$J$15,$L$1,$L$2,$J$16,$D130)</f>
        <v>0</v>
      </c>
      <c r="M130" s="37"/>
      <c r="N130" s="54">
        <f ca="1">_xll.DBRW(Server&amp;Cube1,$J$13,$N$3,$J$15,$N$1,$N$2,$J$16,$D130)</f>
        <v>0</v>
      </c>
      <c r="O130" s="55"/>
      <c r="P130" s="57"/>
      <c r="Q130" s="299">
        <v>0</v>
      </c>
      <c r="R130" s="299">
        <v>0</v>
      </c>
      <c r="S130" s="349">
        <v>0</v>
      </c>
      <c r="T130" s="349">
        <v>0</v>
      </c>
      <c r="U130" s="349">
        <v>0</v>
      </c>
      <c r="V130" s="349">
        <v>0</v>
      </c>
      <c r="W130" s="284">
        <v>0</v>
      </c>
      <c r="X130" s="284">
        <v>0</v>
      </c>
      <c r="Y130" s="284">
        <v>0</v>
      </c>
      <c r="Z130" s="284">
        <v>0</v>
      </c>
      <c r="AA130" s="284">
        <v>0</v>
      </c>
      <c r="AB130" s="284">
        <v>0</v>
      </c>
      <c r="AC130" s="31"/>
      <c r="AF130" s="56" t="str">
        <f ca="1">IF(xflag=1,_xll.DBSW(#REF!,Server&amp;Cube1,$J$13,$J$14,$J$15,#REF!,AF$2,$J$16,$D130),_xll.DBRW(Server&amp;Cube1,$J$13,$J$14,$J$15,#REF!,AF$2,$J$16,$D130))</f>
        <v>*KEY_ERR</v>
      </c>
    </row>
    <row r="131" spans="1:35" s="19" customFormat="1" ht="16.5" thickTop="1" x14ac:dyDescent="0.25">
      <c r="A131"/>
      <c r="B131" s="200" t="s">
        <v>129</v>
      </c>
      <c r="C131" s="219" t="s">
        <v>268</v>
      </c>
      <c r="D131" s="226" t="str">
        <f t="shared" si="4"/>
        <v>781740</v>
      </c>
      <c r="E131"/>
      <c r="F131" s="228"/>
      <c r="G131" s="170"/>
      <c r="H131" s="107"/>
      <c r="I131" s="305" t="str">
        <f ca="1">_xll.DBRA(Server&amp;$D$22,$D131,"French")</f>
        <v>Reprise sur provision d'exploitation (Douteux)</v>
      </c>
      <c r="J131" s="305" t="str">
        <f ca="1">_xll.DBRA(Server&amp;$D$22,$D131,"French")</f>
        <v>Reprise sur provision d'exploitation (Douteux)</v>
      </c>
      <c r="K131" s="37"/>
      <c r="L131" s="54">
        <f ca="1">_xll.DBRW(Server&amp;Cube1,$J$13,$L$3,$J$15,$L$1,$L$2,$J$16,$D131)</f>
        <v>0</v>
      </c>
      <c r="M131" s="37"/>
      <c r="N131" s="54">
        <f ca="1">_xll.DBRW(Server&amp;Cube1,$J$13,$N$3,$J$15,$N$1,$N$2,$J$16,$D131)</f>
        <v>0</v>
      </c>
      <c r="O131" s="55"/>
      <c r="P131" s="57"/>
      <c r="Q131" s="300">
        <v>0</v>
      </c>
      <c r="R131" s="300">
        <v>0</v>
      </c>
      <c r="S131" s="350">
        <v>0</v>
      </c>
      <c r="T131" s="350">
        <v>0</v>
      </c>
      <c r="U131" s="350">
        <v>0</v>
      </c>
      <c r="V131" s="350">
        <v>0</v>
      </c>
      <c r="W131" s="283">
        <v>0</v>
      </c>
      <c r="X131" s="283">
        <v>0</v>
      </c>
      <c r="Y131" s="283">
        <v>0</v>
      </c>
      <c r="Z131" s="283">
        <v>0</v>
      </c>
      <c r="AA131" s="283">
        <v>0</v>
      </c>
      <c r="AB131" s="283">
        <v>0</v>
      </c>
      <c r="AC131" s="31"/>
      <c r="AF131" s="56" t="str">
        <f ca="1">IF(xflag=1,_xll.DBSW(#REF!,Server&amp;Cube1,$J$13,$J$14,$J$15,#REF!,AF$2,$J$16,$D131),_xll.DBRW(Server&amp;Cube1,$J$13,$J$14,$J$15,#REF!,AF$2,$J$16,$D131))</f>
        <v>*KEY_ERR</v>
      </c>
    </row>
    <row r="132" spans="1:35" s="228" customFormat="1" ht="28.5" x14ac:dyDescent="0.25">
      <c r="B132" s="272"/>
      <c r="C132" s="208"/>
      <c r="D132" s="230"/>
      <c r="E132"/>
      <c r="G132" s="233"/>
      <c r="H132" s="271"/>
      <c r="AC132" s="231"/>
    </row>
    <row r="133" spans="1:35" s="19" customFormat="1" ht="15.75" x14ac:dyDescent="0.25">
      <c r="A133"/>
      <c r="B133" s="203" t="s">
        <v>143</v>
      </c>
      <c r="C133" s="221"/>
      <c r="D133" s="226" t="str">
        <f t="shared" si="4"/>
        <v>Produit_structure</v>
      </c>
      <c r="E133"/>
      <c r="F133" s="228"/>
      <c r="G133" s="170"/>
      <c r="H133" s="107"/>
      <c r="I133" s="317" t="str">
        <f ca="1">_xll.DBRA(Server&amp;$D$22,$D133,"French")</f>
        <v>Produits de structure</v>
      </c>
      <c r="J133" s="317" t="str">
        <f ca="1">_xll.DBRA(Server&amp;$D$22,$D133,"French")</f>
        <v>Produits de structure</v>
      </c>
      <c r="K133" s="39"/>
      <c r="L133" s="67">
        <f ca="1">SUM(L125:L131)</f>
        <v>0</v>
      </c>
      <c r="M133" s="39"/>
      <c r="N133" s="67">
        <f ca="1">SUM(N125:N131)</f>
        <v>0</v>
      </c>
      <c r="O133" s="68"/>
      <c r="P133" s="69"/>
      <c r="Q133" s="269"/>
      <c r="R133" s="269"/>
      <c r="S133" s="346"/>
      <c r="T133" s="346"/>
      <c r="U133" s="346"/>
      <c r="V133" s="346"/>
      <c r="W133" s="269"/>
      <c r="X133" s="269"/>
      <c r="Y133" s="269"/>
      <c r="Z133" s="269"/>
      <c r="AA133" s="269"/>
      <c r="AB133" s="269"/>
      <c r="AC133" s="31"/>
    </row>
    <row r="134" spans="1:35" s="228" customFormat="1" x14ac:dyDescent="0.25">
      <c r="B134" s="229"/>
      <c r="C134" s="209"/>
      <c r="D134" s="230"/>
      <c r="E134"/>
      <c r="G134" s="240"/>
      <c r="H134" s="271"/>
      <c r="AC134" s="231"/>
    </row>
    <row r="135" spans="1:35" s="228" customFormat="1" x14ac:dyDescent="0.25">
      <c r="B135" s="229"/>
      <c r="C135" s="232"/>
      <c r="D135" s="230"/>
      <c r="E135"/>
      <c r="G135" s="285"/>
      <c r="H135" s="271"/>
      <c r="AC135" s="231"/>
    </row>
    <row r="136" spans="1:35" s="19" customFormat="1" ht="15.75" x14ac:dyDescent="0.25">
      <c r="A136"/>
      <c r="B136" s="200" t="s">
        <v>19</v>
      </c>
      <c r="C136" s="222" t="s">
        <v>269</v>
      </c>
      <c r="D136" s="226" t="str">
        <f t="shared" si="4"/>
        <v>Resultat_exploitation</v>
      </c>
      <c r="E136"/>
      <c r="F136" s="228"/>
      <c r="G136" s="170"/>
      <c r="H136" s="107"/>
      <c r="I136" s="311" t="str">
        <f ca="1">_xll.DBRA(Server&amp;$D$22,$D136,"French")</f>
        <v>RESULTAT d'exploitation</v>
      </c>
      <c r="J136" s="311" t="str">
        <f ca="1">_xll.DBRA(Server&amp;$D$22,$D136,"French")</f>
        <v>RESULTAT d'exploitation</v>
      </c>
      <c r="K136" s="254"/>
      <c r="L136" s="255">
        <f ca="1">L133+L123+L67</f>
        <v>1275011.8600000001</v>
      </c>
      <c r="M136" s="254"/>
      <c r="N136" s="255">
        <f ca="1">N133+N123+N67</f>
        <v>1368890.3300000008</v>
      </c>
      <c r="O136" s="256"/>
      <c r="P136" s="257"/>
      <c r="Q136" s="255"/>
      <c r="R136" s="255"/>
      <c r="S136" s="347"/>
      <c r="T136" s="347"/>
      <c r="U136" s="347"/>
      <c r="V136" s="347"/>
      <c r="W136" s="255"/>
      <c r="X136" s="255"/>
      <c r="Y136" s="255"/>
      <c r="Z136" s="255"/>
      <c r="AA136" s="255"/>
      <c r="AB136" s="255"/>
      <c r="AC136" s="258"/>
    </row>
    <row r="137" spans="1:35" s="19" customFormat="1" ht="15.75" customHeight="1" x14ac:dyDescent="0.25">
      <c r="A137"/>
      <c r="B137" s="205" t="s">
        <v>127</v>
      </c>
      <c r="C137" s="211"/>
      <c r="D137" s="226" t="str">
        <f t="shared" si="4"/>
        <v>Calc excel</v>
      </c>
      <c r="E137"/>
      <c r="F137" s="228"/>
      <c r="G137" s="171"/>
      <c r="H137" s="107"/>
      <c r="I137" s="318" t="s">
        <v>77</v>
      </c>
      <c r="J137" s="318"/>
      <c r="K137" s="228"/>
      <c r="L137" s="287">
        <f ca="1">IF(ISERROR(L136/L42),"-",L136/L42)</f>
        <v>0.48616390955637184</v>
      </c>
      <c r="M137" s="228"/>
      <c r="N137" s="287">
        <f ca="1">IF(ISERROR(N136/N42),"-",N136/N42)</f>
        <v>0.53491175527079382</v>
      </c>
      <c r="O137" s="228"/>
      <c r="P137" s="228"/>
      <c r="Q137" s="287"/>
      <c r="R137" s="287"/>
      <c r="S137" s="287"/>
      <c r="T137" s="287"/>
      <c r="U137" s="287"/>
      <c r="V137" s="287"/>
      <c r="W137" s="287"/>
      <c r="X137" s="287"/>
      <c r="Y137" s="287"/>
      <c r="Z137" s="287"/>
      <c r="AA137" s="287"/>
      <c r="AB137" s="287"/>
      <c r="AC137" s="31"/>
    </row>
    <row r="138" spans="1:35" s="19" customFormat="1" ht="8.25" customHeight="1" x14ac:dyDescent="0.25">
      <c r="A138"/>
      <c r="B138" s="202"/>
      <c r="C138" s="212"/>
      <c r="D138" s="226"/>
      <c r="E138"/>
      <c r="F138" s="228"/>
      <c r="G138" s="171"/>
      <c r="H138" s="107"/>
      <c r="I138" s="228"/>
      <c r="J138" s="228"/>
      <c r="K138" s="228"/>
      <c r="L138" s="228"/>
      <c r="M138" s="228"/>
      <c r="N138" s="228"/>
      <c r="O138" s="228"/>
      <c r="P138" s="228"/>
      <c r="Q138" s="228"/>
      <c r="R138" s="228"/>
      <c r="S138" s="228"/>
      <c r="T138" s="228"/>
      <c r="U138" s="228"/>
      <c r="V138" s="228"/>
      <c r="W138" s="228"/>
      <c r="X138" s="228"/>
      <c r="Y138" s="228"/>
      <c r="Z138" s="228"/>
      <c r="AA138" s="228"/>
      <c r="AB138" s="228"/>
      <c r="AC138" s="31"/>
    </row>
    <row r="139" spans="1:35" s="19" customFormat="1" ht="15.75" thickBot="1" x14ac:dyDescent="0.3">
      <c r="A139"/>
      <c r="B139" s="202"/>
      <c r="C139" s="215"/>
      <c r="D139" s="226"/>
      <c r="E139"/>
      <c r="F139" s="228"/>
      <c r="G139" s="171"/>
      <c r="H139" s="107"/>
      <c r="I139" s="228"/>
      <c r="J139" s="228"/>
      <c r="K139" s="228"/>
      <c r="L139" s="228"/>
      <c r="M139" s="228"/>
      <c r="N139" s="228"/>
      <c r="O139" s="228"/>
      <c r="P139" s="228"/>
      <c r="Q139" s="228"/>
      <c r="R139" s="228"/>
      <c r="S139" s="228"/>
      <c r="T139" s="228"/>
      <c r="U139" s="228"/>
      <c r="V139" s="228"/>
      <c r="W139" s="228"/>
      <c r="X139" s="228"/>
      <c r="Y139" s="228"/>
      <c r="Z139" s="228"/>
      <c r="AA139" s="228"/>
      <c r="AB139" s="228"/>
      <c r="AC139" s="31"/>
    </row>
    <row r="140" spans="1:35" s="19" customFormat="1" ht="16.5" thickTop="1" x14ac:dyDescent="0.25">
      <c r="B140" s="200" t="s">
        <v>128</v>
      </c>
      <c r="C140" s="219" t="s">
        <v>270</v>
      </c>
      <c r="D140" s="226" t="str">
        <f t="shared" si="4"/>
        <v>Produits_financiers</v>
      </c>
      <c r="E140"/>
      <c r="F140" s="228"/>
      <c r="G140" s="171"/>
      <c r="H140" s="107"/>
      <c r="I140" s="315" t="str">
        <f ca="1">_xll.DBRA(Server&amp;$D$22,$D140,"French")</f>
        <v>Produits financiers</v>
      </c>
      <c r="J140" s="315" t="str">
        <f ca="1">_xll.DBRA(Server&amp;$D$22,$D140,"French")</f>
        <v>Produits financiers</v>
      </c>
      <c r="K140" s="39"/>
      <c r="L140" s="67">
        <f ca="1">+L141</f>
        <v>0</v>
      </c>
      <c r="M140" s="228"/>
      <c r="N140" s="67">
        <f ca="1">+N141</f>
        <v>0</v>
      </c>
      <c r="O140" s="228"/>
      <c r="P140" s="228"/>
      <c r="Q140" s="288"/>
      <c r="R140" s="288"/>
      <c r="S140" s="351"/>
      <c r="T140" s="351"/>
      <c r="U140" s="351"/>
      <c r="V140" s="351"/>
      <c r="W140" s="288"/>
      <c r="X140" s="288"/>
      <c r="Y140" s="288"/>
      <c r="Z140" s="288"/>
      <c r="AA140" s="288"/>
      <c r="AB140" s="288"/>
    </row>
    <row r="141" spans="1:35" s="19" customFormat="1" ht="16.5" thickBot="1" x14ac:dyDescent="0.3">
      <c r="B141" s="204" t="s">
        <v>138</v>
      </c>
      <c r="C141" s="214" t="s">
        <v>271</v>
      </c>
      <c r="D141" s="226" t="str">
        <f t="shared" si="4"/>
        <v>768000</v>
      </c>
      <c r="E141"/>
      <c r="F141" s="228"/>
      <c r="G141" s="171"/>
      <c r="H141" s="107"/>
      <c r="I141" s="316" t="str">
        <f ca="1">_xll.DBRA(Server&amp;$D$22,$D141,"French")</f>
        <v>Produits financiers divers</v>
      </c>
      <c r="J141" s="316" t="str">
        <f ca="1">_xll.DBRA(Server&amp;$D$22,$D141,"French")</f>
        <v>Produits financiers divers</v>
      </c>
      <c r="K141" s="274"/>
      <c r="L141" s="275">
        <f ca="1">_xll.DBRW(Server&amp;Cube1,$J$13,$L$3,$J$15,$L$1,$L$2,$J$16,$D141)</f>
        <v>0</v>
      </c>
      <c r="M141" s="274"/>
      <c r="N141" s="275">
        <f ca="1">_xll.DBRW(Server&amp;Cube1,$J$13,$N$3,$J$15,$N$1,$N$2,$J$16,$D141)</f>
        <v>0</v>
      </c>
      <c r="O141" s="276"/>
      <c r="P141" s="228"/>
      <c r="Q141" s="301">
        <v>0</v>
      </c>
      <c r="R141" s="301">
        <v>0</v>
      </c>
      <c r="S141" s="352">
        <v>0</v>
      </c>
      <c r="T141" s="352">
        <v>0</v>
      </c>
      <c r="U141" s="352">
        <v>0</v>
      </c>
      <c r="V141" s="352">
        <v>0</v>
      </c>
      <c r="W141" s="291">
        <v>0</v>
      </c>
      <c r="X141" s="291">
        <v>0</v>
      </c>
      <c r="Y141" s="291">
        <v>0</v>
      </c>
      <c r="Z141" s="291">
        <v>0</v>
      </c>
      <c r="AA141" s="291">
        <v>0</v>
      </c>
      <c r="AB141" s="291">
        <v>0</v>
      </c>
      <c r="AF141" s="56" t="str">
        <f ca="1">IF(xflag=1,_xll.DBSW(#REF!,Server&amp;Cube1,$J$13,$J$14,$J$15,#REF!,AF$2,$J$16,$D141),_xll.DBRW(Server&amp;Cube1,$J$13,$J$14,$J$15,#REF!,AF$2,$J$16,$D141))</f>
        <v>*KEY_ERR</v>
      </c>
      <c r="AI141" s="19">
        <v>13</v>
      </c>
    </row>
    <row r="142" spans="1:35" s="19" customFormat="1" ht="16.5" thickTop="1" x14ac:dyDescent="0.25">
      <c r="B142" s="200" t="s">
        <v>53</v>
      </c>
      <c r="C142" s="219" t="s">
        <v>272</v>
      </c>
      <c r="D142" s="226" t="str">
        <f t="shared" si="4"/>
        <v>Charges_financieres</v>
      </c>
      <c r="E142"/>
      <c r="F142" s="228"/>
      <c r="G142" s="171"/>
      <c r="H142" s="107"/>
      <c r="I142" s="315" t="str">
        <f ca="1">_xll.DBRA(Server&amp;$D$22,$D142,"French")</f>
        <v>Charges financières</v>
      </c>
      <c r="J142" s="315" t="str">
        <f ca="1">_xll.DBRA(Server&amp;$D$22,$D142,"French")</f>
        <v>Charges financières</v>
      </c>
      <c r="K142" s="39"/>
      <c r="L142" s="67">
        <f ca="1">SUM(L143:L144)</f>
        <v>0</v>
      </c>
      <c r="M142" s="228"/>
      <c r="N142" s="67">
        <f ca="1">SUM(N143:N144)</f>
        <v>0</v>
      </c>
      <c r="O142" s="228"/>
      <c r="P142" s="228"/>
      <c r="Q142" s="290"/>
      <c r="R142" s="290"/>
      <c r="S142" s="353"/>
      <c r="T142" s="353"/>
      <c r="U142" s="353"/>
      <c r="V142" s="353"/>
      <c r="W142" s="290"/>
      <c r="X142" s="290"/>
      <c r="Y142" s="290"/>
      <c r="Z142" s="290"/>
      <c r="AA142" s="290"/>
      <c r="AB142" s="290"/>
    </row>
    <row r="143" spans="1:35" s="19" customFormat="1" ht="16.5" thickBot="1" x14ac:dyDescent="0.3">
      <c r="B143" s="204" t="s">
        <v>55</v>
      </c>
      <c r="C143" s="213" t="s">
        <v>273</v>
      </c>
      <c r="D143" s="226" t="str">
        <f t="shared" si="4"/>
        <v>627700</v>
      </c>
      <c r="E143"/>
      <c r="F143" s="228"/>
      <c r="G143" s="171"/>
      <c r="H143" s="107"/>
      <c r="I143" s="316" t="str">
        <f ca="1">_xll.DBRA(Server&amp;$D$22,$D143,"French")</f>
        <v>Frais de tenue de compte</v>
      </c>
      <c r="J143" s="316" t="str">
        <f ca="1">_xll.DBRA(Server&amp;$D$22,$D143,"French")</f>
        <v>Frais de tenue de compte</v>
      </c>
      <c r="K143" s="274"/>
      <c r="L143" s="275">
        <f ca="1">_xll.DBRW(Server&amp;Cube1,$J$13,$L$3,$J$15,$L$1,$L$2,$J$16,$D143)</f>
        <v>0</v>
      </c>
      <c r="M143" s="274"/>
      <c r="N143" s="275">
        <f ca="1">_xll.DBRW(Server&amp;Cube1,$J$13,$N$3,$J$15,$N$1,$N$2,$J$16,$D143)</f>
        <v>0</v>
      </c>
      <c r="O143" s="276"/>
      <c r="P143" s="228"/>
      <c r="Q143" s="302">
        <v>0</v>
      </c>
      <c r="R143" s="302">
        <v>0</v>
      </c>
      <c r="S143" s="354">
        <v>0</v>
      </c>
      <c r="T143" s="354">
        <v>0</v>
      </c>
      <c r="U143" s="354">
        <v>0</v>
      </c>
      <c r="V143" s="354">
        <v>0</v>
      </c>
      <c r="W143" s="289">
        <v>0</v>
      </c>
      <c r="X143" s="289">
        <v>0</v>
      </c>
      <c r="Y143" s="289">
        <v>0</v>
      </c>
      <c r="Z143" s="289">
        <v>0</v>
      </c>
      <c r="AA143" s="289">
        <v>0</v>
      </c>
      <c r="AB143" s="289">
        <v>0</v>
      </c>
      <c r="AF143" s="56" t="str">
        <f ca="1">IF(xflag=1,_xll.DBSW(#REF!,Server&amp;Cube1,$J$13,$J$14,$J$15,#REF!,AF$2,$J$16,$D143),_xll.DBRW(Server&amp;Cube1,$J$13,$J$14,$J$15,#REF!,AF$2,$J$16,$D143))</f>
        <v>*KEY_ERR</v>
      </c>
    </row>
    <row r="144" spans="1:35" s="19" customFormat="1" ht="16.5" thickTop="1" x14ac:dyDescent="0.25">
      <c r="B144" s="204" t="s">
        <v>139</v>
      </c>
      <c r="C144" s="214" t="s">
        <v>274</v>
      </c>
      <c r="D144" s="226" t="str">
        <f t="shared" si="4"/>
        <v>668000</v>
      </c>
      <c r="E144"/>
      <c r="F144" s="228"/>
      <c r="G144" s="171"/>
      <c r="H144" s="107"/>
      <c r="I144" s="316" t="str">
        <f ca="1">_xll.DBRA(Server&amp;$D$22,$D144,"French")</f>
        <v>Autres charges financières</v>
      </c>
      <c r="J144" s="316" t="str">
        <f ca="1">_xll.DBRA(Server&amp;$D$22,$D144,"French")</f>
        <v>Autres charges financières</v>
      </c>
      <c r="K144" s="274"/>
      <c r="L144" s="275">
        <f ca="1">_xll.DBRW(Server&amp;Cube1,$J$13,$L$3,$J$15,$L$1,$L$2,$J$16,$D144)</f>
        <v>0</v>
      </c>
      <c r="M144" s="274"/>
      <c r="N144" s="275">
        <f ca="1">_xll.DBRW(Server&amp;Cube1,$J$13,$N$3,$J$15,$N$1,$N$2,$J$16,$D144)</f>
        <v>0</v>
      </c>
      <c r="O144" s="276"/>
      <c r="P144" s="228"/>
      <c r="Q144" s="300">
        <v>0</v>
      </c>
      <c r="R144" s="300">
        <v>0</v>
      </c>
      <c r="S144" s="350">
        <v>0</v>
      </c>
      <c r="T144" s="350">
        <v>0</v>
      </c>
      <c r="U144" s="350">
        <v>0</v>
      </c>
      <c r="V144" s="350">
        <v>0</v>
      </c>
      <c r="W144" s="283">
        <v>0</v>
      </c>
      <c r="X144" s="283">
        <v>0</v>
      </c>
      <c r="Y144" s="283">
        <v>0</v>
      </c>
      <c r="Z144" s="283">
        <v>0</v>
      </c>
      <c r="AA144" s="283">
        <v>0</v>
      </c>
      <c r="AB144" s="283">
        <v>0</v>
      </c>
      <c r="AF144" s="56" t="str">
        <f ca="1">IF(xflag=1,_xll.DBSW(#REF!,Server&amp;Cube1,$J$13,$J$14,$J$15,#REF!,AF$2,$J$16,$D144),_xll.DBRW(Server&amp;Cube1,$J$13,$J$14,$J$15,#REF!,AF$2,$J$16,$D144))</f>
        <v>*KEY_ERR</v>
      </c>
      <c r="AI144" s="19">
        <v>14</v>
      </c>
    </row>
    <row r="145" spans="2:35" s="19" customFormat="1" ht="20.25" customHeight="1" x14ac:dyDescent="0.25">
      <c r="B145" s="202"/>
      <c r="C145" s="208"/>
      <c r="D145" s="226"/>
      <c r="E145"/>
      <c r="F145" s="228"/>
      <c r="G145" s="171"/>
      <c r="H145" s="107"/>
      <c r="I145" s="228"/>
      <c r="J145" s="228"/>
      <c r="K145" s="228"/>
      <c r="L145" s="228"/>
      <c r="M145" s="228"/>
      <c r="N145" s="228"/>
      <c r="O145" s="228"/>
      <c r="P145" s="228"/>
      <c r="Q145" s="228"/>
      <c r="R145" s="228"/>
      <c r="S145" s="228"/>
      <c r="T145" s="228"/>
      <c r="U145" s="228"/>
      <c r="V145" s="228"/>
      <c r="W145" s="228"/>
      <c r="X145" s="228"/>
      <c r="Y145" s="228"/>
      <c r="Z145" s="228"/>
      <c r="AA145" s="228"/>
      <c r="AB145" s="228"/>
    </row>
    <row r="146" spans="2:35" s="19" customFormat="1" ht="15.75" x14ac:dyDescent="0.25">
      <c r="B146" s="203" t="s">
        <v>67</v>
      </c>
      <c r="C146" s="221"/>
      <c r="D146" s="226" t="str">
        <f t="shared" si="4"/>
        <v>Resultat_financier</v>
      </c>
      <c r="E146"/>
      <c r="F146" s="228"/>
      <c r="G146" s="171"/>
      <c r="H146" s="107"/>
      <c r="I146" s="315" t="str">
        <f ca="1">_xll.DBRA(Server&amp;$D$22,$D146,"French")</f>
        <v>RESULTAT financier</v>
      </c>
      <c r="J146" s="315" t="str">
        <f ca="1">_xll.DBRA(Server&amp;$D$22,$D146,"French")</f>
        <v>RESULTAT financier</v>
      </c>
      <c r="K146" s="39"/>
      <c r="L146" s="67">
        <f ca="1">+L140+L142</f>
        <v>0</v>
      </c>
      <c r="M146" s="228"/>
      <c r="N146" s="67">
        <f ca="1">+N140+N142</f>
        <v>0</v>
      </c>
      <c r="O146" s="228"/>
      <c r="P146" s="228"/>
      <c r="Q146" s="290"/>
      <c r="R146" s="290"/>
      <c r="S146" s="353"/>
      <c r="T146" s="353"/>
      <c r="U146" s="353"/>
      <c r="V146" s="353"/>
      <c r="W146" s="290"/>
      <c r="X146" s="290"/>
      <c r="Y146" s="290"/>
      <c r="Z146" s="290"/>
      <c r="AA146" s="290"/>
      <c r="AB146" s="290"/>
    </row>
    <row r="147" spans="2:35" s="19" customFormat="1" x14ac:dyDescent="0.25">
      <c r="B147" s="202"/>
      <c r="C147" s="215"/>
      <c r="D147" s="226"/>
      <c r="E147"/>
      <c r="F147" s="228"/>
      <c r="G147" s="171"/>
      <c r="H147" s="107"/>
      <c r="I147" s="228"/>
      <c r="J147" s="228"/>
      <c r="K147" s="228"/>
      <c r="L147" s="228"/>
      <c r="M147" s="228"/>
      <c r="N147" s="228"/>
      <c r="O147" s="228"/>
      <c r="P147" s="228"/>
      <c r="Q147" s="228"/>
      <c r="R147" s="228"/>
      <c r="S147" s="228"/>
      <c r="T147" s="228"/>
      <c r="U147" s="228"/>
      <c r="V147" s="228"/>
      <c r="W147" s="228"/>
      <c r="X147" s="228"/>
      <c r="Y147" s="228"/>
      <c r="Z147" s="228"/>
      <c r="AA147" s="228"/>
      <c r="AB147" s="228"/>
    </row>
    <row r="148" spans="2:35" s="19" customFormat="1" ht="15.75" thickBot="1" x14ac:dyDescent="0.3">
      <c r="B148" s="202"/>
      <c r="C148" s="215"/>
      <c r="D148" s="226"/>
      <c r="E148"/>
      <c r="F148" s="228"/>
      <c r="G148" s="171"/>
      <c r="H148" s="107"/>
      <c r="I148" s="228"/>
      <c r="J148" s="228"/>
      <c r="K148" s="228"/>
      <c r="L148" s="228"/>
      <c r="M148" s="228"/>
      <c r="N148" s="228"/>
      <c r="O148" s="228"/>
      <c r="P148" s="228"/>
      <c r="Q148" s="228"/>
      <c r="R148" s="228"/>
      <c r="S148" s="228"/>
      <c r="T148" s="228"/>
      <c r="U148" s="228"/>
      <c r="V148" s="228"/>
      <c r="W148" s="228"/>
      <c r="X148" s="228"/>
      <c r="Y148" s="228"/>
      <c r="Z148" s="228"/>
      <c r="AA148" s="228"/>
      <c r="AB148" s="228"/>
    </row>
    <row r="149" spans="2:35" s="19" customFormat="1" ht="16.5" thickTop="1" x14ac:dyDescent="0.25">
      <c r="B149" s="200" t="s">
        <v>162</v>
      </c>
      <c r="C149" s="219" t="s">
        <v>162</v>
      </c>
      <c r="D149" s="226" t="str">
        <f t="shared" ref="D149:D180" si="5">B149</f>
        <v>Produits exceptionnels</v>
      </c>
      <c r="E149"/>
      <c r="F149" s="228"/>
      <c r="G149" s="171"/>
      <c r="H149" s="107"/>
      <c r="I149" s="315" t="str">
        <f ca="1">_xll.DBRA(Server&amp;$D$22,$D149,"French")</f>
        <v>Produits exceptionnels</v>
      </c>
      <c r="J149" s="315" t="str">
        <f ca="1">_xll.DBRA(Server&amp;$D$22,$D149,"French")</f>
        <v>Produits exceptionnels</v>
      </c>
      <c r="K149" s="39"/>
      <c r="L149" s="67">
        <f ca="1">+L150</f>
        <v>0</v>
      </c>
      <c r="M149" s="228"/>
      <c r="N149" s="67">
        <f ca="1">+N150</f>
        <v>0</v>
      </c>
      <c r="O149" s="228"/>
      <c r="P149" s="228"/>
      <c r="Q149" s="290"/>
      <c r="R149" s="290"/>
      <c r="S149" s="353"/>
      <c r="T149" s="353"/>
      <c r="U149" s="353"/>
      <c r="V149" s="353"/>
      <c r="W149" s="290"/>
      <c r="X149" s="290"/>
      <c r="Y149" s="290"/>
      <c r="Z149" s="290"/>
      <c r="AA149" s="290"/>
      <c r="AB149" s="290"/>
    </row>
    <row r="150" spans="2:35" s="19" customFormat="1" ht="16.5" thickBot="1" x14ac:dyDescent="0.3">
      <c r="B150" s="200" t="s">
        <v>150</v>
      </c>
      <c r="C150" s="214" t="s">
        <v>275</v>
      </c>
      <c r="D150" s="226" t="str">
        <f t="shared" si="5"/>
        <v>772888</v>
      </c>
      <c r="E150"/>
      <c r="F150" s="228"/>
      <c r="G150" s="171"/>
      <c r="H150" s="107"/>
      <c r="I150" s="316" t="str">
        <f ca="1">_xll.DBRA(Server&amp;$D$22,$D150,"French")</f>
        <v>Autres produits exceptionnels</v>
      </c>
      <c r="J150" s="316" t="str">
        <f ca="1">_xll.DBRA(Server&amp;$D$22,$D150,"French")</f>
        <v>Autres produits exceptionnels</v>
      </c>
      <c r="K150" s="274"/>
      <c r="L150" s="275">
        <f ca="1">_xll.DBRW(Server&amp;Cube1,$J$13,$L$3,$J$15,$L$1,$L$2,$J$16,$D150)</f>
        <v>0</v>
      </c>
      <c r="M150" s="274"/>
      <c r="N150" s="275">
        <f ca="1">_xll.DBRW(Server&amp;Cube1,$J$13,$N$3,$J$15,$N$1,$N$2,$J$16,$D150)</f>
        <v>0</v>
      </c>
      <c r="O150" s="276"/>
      <c r="P150" s="228"/>
      <c r="Q150" s="301">
        <v>0</v>
      </c>
      <c r="R150" s="301">
        <v>0</v>
      </c>
      <c r="S150" s="352">
        <v>0</v>
      </c>
      <c r="T150" s="352">
        <v>0</v>
      </c>
      <c r="U150" s="352">
        <v>0</v>
      </c>
      <c r="V150" s="352">
        <v>0</v>
      </c>
      <c r="W150" s="291">
        <v>0</v>
      </c>
      <c r="X150" s="291">
        <v>0</v>
      </c>
      <c r="Y150" s="291">
        <v>0</v>
      </c>
      <c r="Z150" s="291">
        <v>0</v>
      </c>
      <c r="AA150" s="291">
        <v>0</v>
      </c>
      <c r="AB150" s="291">
        <v>0</v>
      </c>
      <c r="AF150" s="56" t="str">
        <f ca="1">IF(xflag=1,_xll.DBSW(#REF!,Server&amp;Cube1,$J$13,$J$14,$J$15,#REF!,AF$2,$J$16,$D150),_xll.DBRW(Server&amp;Cube1,$J$13,$J$14,$J$15,#REF!,AF$2,$J$16,$D150))</f>
        <v>*KEY_ERR</v>
      </c>
      <c r="AI150" s="19">
        <v>15</v>
      </c>
    </row>
    <row r="151" spans="2:35" s="19" customFormat="1" ht="16.5" thickTop="1" x14ac:dyDescent="0.25">
      <c r="B151" s="200" t="s">
        <v>58</v>
      </c>
      <c r="C151" s="219" t="s">
        <v>276</v>
      </c>
      <c r="D151" s="226" t="str">
        <f t="shared" si="5"/>
        <v>Charges_exceptionnelles</v>
      </c>
      <c r="E151"/>
      <c r="F151" s="228"/>
      <c r="G151" s="171"/>
      <c r="H151" s="107"/>
      <c r="I151" s="315" t="str">
        <f ca="1">_xll.DBRA(Server&amp;$D$22,$D151,"French")</f>
        <v>Charges exceptionnelles</v>
      </c>
      <c r="J151" s="315" t="str">
        <f ca="1">_xll.DBRA(Server&amp;$D$22,$D151,"French")</f>
        <v>Charges exceptionnelles</v>
      </c>
      <c r="K151" s="39"/>
      <c r="L151" s="67">
        <f ca="1">SUM(L152:L153)</f>
        <v>0</v>
      </c>
      <c r="M151" s="228"/>
      <c r="N151" s="67">
        <f ca="1">SUM(N152:N153)</f>
        <v>0</v>
      </c>
      <c r="O151" s="228"/>
      <c r="P151" s="228"/>
      <c r="Q151" s="290"/>
      <c r="R151" s="290"/>
      <c r="S151" s="353"/>
      <c r="T151" s="353"/>
      <c r="U151" s="353"/>
      <c r="V151" s="353"/>
      <c r="W151" s="290"/>
      <c r="X151" s="290"/>
      <c r="Y151" s="290"/>
      <c r="Z151" s="290"/>
      <c r="AA151" s="290"/>
      <c r="AB151" s="290"/>
    </row>
    <row r="152" spans="2:35" s="19" customFormat="1" ht="15.75" x14ac:dyDescent="0.25">
      <c r="B152" s="200" t="s">
        <v>151</v>
      </c>
      <c r="C152" s="214" t="s">
        <v>277</v>
      </c>
      <c r="D152" s="226" t="str">
        <f t="shared" si="5"/>
        <v>671200</v>
      </c>
      <c r="E152"/>
      <c r="F152" s="228"/>
      <c r="G152" s="171"/>
      <c r="H152" s="107"/>
      <c r="I152" s="316" t="str">
        <f ca="1">_xll.DBRA(Server&amp;$D$22,$D152,"French")</f>
        <v>Pénalités amendes fiscales et pénales</v>
      </c>
      <c r="J152" s="316" t="str">
        <f ca="1">_xll.DBRA(Server&amp;$D$22,$D152,"French")</f>
        <v>Pénalités amendes fiscales et pénales</v>
      </c>
      <c r="K152" s="274"/>
      <c r="L152" s="275">
        <f ca="1">_xll.DBRW(Server&amp;Cube1,$J$13,$L$3,$J$15,$L$1,$L$2,$J$16,$D152)</f>
        <v>0</v>
      </c>
      <c r="M152" s="274"/>
      <c r="N152" s="275">
        <f ca="1">_xll.DBRW(Server&amp;Cube1,$J$13,$N$3,$J$15,$N$1,$N$2,$J$16,$D152)</f>
        <v>0</v>
      </c>
      <c r="O152" s="276"/>
      <c r="P152" s="228"/>
      <c r="Q152" s="302">
        <v>0</v>
      </c>
      <c r="R152" s="302">
        <v>0</v>
      </c>
      <c r="S152" s="354">
        <v>0</v>
      </c>
      <c r="T152" s="354">
        <v>0</v>
      </c>
      <c r="U152" s="354">
        <v>0</v>
      </c>
      <c r="V152" s="354">
        <v>0</v>
      </c>
      <c r="W152" s="289">
        <v>0</v>
      </c>
      <c r="X152" s="289">
        <v>0</v>
      </c>
      <c r="Y152" s="289">
        <v>0</v>
      </c>
      <c r="Z152" s="289">
        <v>0</v>
      </c>
      <c r="AA152" s="289">
        <v>0</v>
      </c>
      <c r="AB152" s="289">
        <v>0</v>
      </c>
      <c r="AF152" s="56" t="str">
        <f ca="1">IF(xflag=1,_xll.DBSW(#REF!,Server&amp;Cube1,$J$13,$J$14,$J$15,#REF!,AF$2,$J$16,$D152),_xll.DBRW(Server&amp;Cube1,$J$13,$J$14,$J$15,#REF!,AF$2,$J$16,$D152))</f>
        <v>*KEY_ERR</v>
      </c>
      <c r="AI152" s="19">
        <v>16</v>
      </c>
    </row>
    <row r="153" spans="2:35" s="19" customFormat="1" ht="15.75" x14ac:dyDescent="0.25">
      <c r="B153" s="200" t="s">
        <v>152</v>
      </c>
      <c r="C153" s="214" t="s">
        <v>278</v>
      </c>
      <c r="D153" s="226" t="str">
        <f t="shared" si="5"/>
        <v>672888</v>
      </c>
      <c r="E153"/>
      <c r="F153" s="228"/>
      <c r="G153" s="171"/>
      <c r="H153" s="107"/>
      <c r="I153" s="316" t="str">
        <f ca="1">_xll.DBRA(Server&amp;$D$22,$D153,"French")</f>
        <v>Charges exceptionnelles sur exe. ant.</v>
      </c>
      <c r="J153" s="316" t="str">
        <f ca="1">_xll.DBRA(Server&amp;$D$22,$D153,"French")</f>
        <v>Charges exceptionnelles sur exe. ant.</v>
      </c>
      <c r="K153" s="274"/>
      <c r="L153" s="275">
        <f ca="1">_xll.DBRW(Server&amp;Cube1,$J$13,$L$3,$J$15,$L$1,$L$2,$J$16,$D153)</f>
        <v>0</v>
      </c>
      <c r="M153" s="274"/>
      <c r="N153" s="275">
        <f ca="1">_xll.DBRW(Server&amp;Cube1,$J$13,$N$3,$J$15,$N$1,$N$2,$J$16,$D153)</f>
        <v>0</v>
      </c>
      <c r="O153" s="276"/>
      <c r="P153" s="228"/>
      <c r="Q153" s="300">
        <v>0</v>
      </c>
      <c r="R153" s="300">
        <v>0</v>
      </c>
      <c r="S153" s="350">
        <v>0</v>
      </c>
      <c r="T153" s="350">
        <v>0</v>
      </c>
      <c r="U153" s="350">
        <v>0</v>
      </c>
      <c r="V153" s="350">
        <v>0</v>
      </c>
      <c r="W153" s="283">
        <v>0</v>
      </c>
      <c r="X153" s="283">
        <v>0</v>
      </c>
      <c r="Y153" s="283">
        <v>0</v>
      </c>
      <c r="Z153" s="283">
        <v>0</v>
      </c>
      <c r="AA153" s="283">
        <v>0</v>
      </c>
      <c r="AB153" s="283">
        <v>0</v>
      </c>
      <c r="AF153" s="56" t="str">
        <f ca="1">IF(xflag=1,_xll.DBSW(#REF!,Server&amp;Cube1,$J$13,$J$14,$J$15,#REF!,AF$2,$J$16,$D153),_xll.DBRW(Server&amp;Cube1,$J$13,$J$14,$J$15,#REF!,AF$2,$J$16,$D153))</f>
        <v>*KEY_ERR</v>
      </c>
    </row>
    <row r="154" spans="2:35" s="19" customFormat="1" ht="28.5" x14ac:dyDescent="0.25">
      <c r="B154" s="202"/>
      <c r="C154" s="208"/>
      <c r="D154" s="226"/>
      <c r="E154"/>
      <c r="F154" s="228"/>
      <c r="G154" s="171"/>
      <c r="H154" s="107"/>
      <c r="I154" s="228"/>
      <c r="J154" s="228"/>
      <c r="K154" s="228"/>
      <c r="L154" s="228"/>
      <c r="M154" s="228"/>
      <c r="N154" s="228"/>
      <c r="O154" s="228"/>
      <c r="P154" s="228"/>
      <c r="Q154" s="228"/>
      <c r="R154" s="228"/>
      <c r="S154" s="228"/>
      <c r="T154" s="228"/>
      <c r="U154" s="228"/>
      <c r="V154" s="228"/>
      <c r="W154" s="228"/>
      <c r="X154" s="228"/>
      <c r="Y154" s="228"/>
      <c r="Z154" s="228"/>
      <c r="AA154" s="228"/>
      <c r="AB154" s="228"/>
    </row>
    <row r="155" spans="2:35" s="19" customFormat="1" ht="15.75" x14ac:dyDescent="0.25">
      <c r="B155" s="203" t="s">
        <v>56</v>
      </c>
      <c r="C155" s="221"/>
      <c r="D155" s="226" t="str">
        <f t="shared" si="5"/>
        <v>Resultat_exceptionnel</v>
      </c>
      <c r="E155"/>
      <c r="F155" s="228"/>
      <c r="G155" s="171"/>
      <c r="H155" s="107"/>
      <c r="I155" s="315" t="str">
        <f ca="1">_xll.DBRA(Server&amp;$D$22,$D155,"French")</f>
        <v>RESULTAT exceptionnel</v>
      </c>
      <c r="J155" s="315" t="str">
        <f ca="1">_xll.DBRA(Server&amp;$D$22,$D155,"French")</f>
        <v>RESULTAT exceptionnel</v>
      </c>
      <c r="K155" s="39"/>
      <c r="L155" s="290">
        <f ca="1">L149+L151</f>
        <v>0</v>
      </c>
      <c r="M155" s="228"/>
      <c r="N155" s="290">
        <f ca="1">N149+N151</f>
        <v>0</v>
      </c>
      <c r="O155" s="228"/>
      <c r="P155" s="228"/>
      <c r="Q155" s="290"/>
      <c r="R155" s="290"/>
      <c r="S155" s="353"/>
      <c r="T155" s="353"/>
      <c r="U155" s="353"/>
      <c r="V155" s="353"/>
      <c r="W155" s="290"/>
      <c r="X155" s="290"/>
      <c r="Y155" s="290"/>
      <c r="Z155" s="290"/>
      <c r="AA155" s="290"/>
      <c r="AB155" s="290"/>
    </row>
    <row r="156" spans="2:35" s="19" customFormat="1" x14ac:dyDescent="0.25">
      <c r="B156" s="200"/>
      <c r="C156" s="209"/>
      <c r="D156" s="226"/>
      <c r="E156"/>
      <c r="F156" s="228"/>
      <c r="G156" s="171"/>
      <c r="H156" s="107"/>
      <c r="I156" s="228"/>
      <c r="J156" s="228"/>
      <c r="K156" s="228"/>
      <c r="L156" s="228"/>
      <c r="M156" s="228"/>
      <c r="N156" s="228"/>
      <c r="O156" s="228"/>
      <c r="P156" s="228"/>
      <c r="Q156" s="228"/>
      <c r="R156" s="228"/>
      <c r="S156" s="228"/>
      <c r="T156" s="228"/>
      <c r="U156" s="228"/>
      <c r="V156" s="228"/>
      <c r="W156" s="228"/>
      <c r="X156" s="228"/>
      <c r="Y156" s="228"/>
      <c r="Z156" s="228"/>
      <c r="AA156" s="228"/>
      <c r="AB156" s="228"/>
    </row>
    <row r="157" spans="2:35" s="19" customFormat="1" x14ac:dyDescent="0.25">
      <c r="B157" s="200"/>
      <c r="C157" s="209"/>
      <c r="D157" s="226"/>
      <c r="E157"/>
      <c r="F157" s="228"/>
      <c r="G157" s="171"/>
      <c r="H157" s="107"/>
      <c r="I157" s="228"/>
      <c r="J157" s="228"/>
      <c r="K157" s="228"/>
      <c r="L157" s="228"/>
      <c r="M157" s="228"/>
      <c r="N157" s="228"/>
      <c r="O157" s="228"/>
      <c r="P157" s="228"/>
      <c r="Q157" s="228"/>
      <c r="R157" s="228"/>
      <c r="S157" s="228"/>
      <c r="T157" s="228"/>
      <c r="U157" s="228"/>
      <c r="V157" s="228"/>
      <c r="W157" s="228"/>
      <c r="X157" s="228"/>
      <c r="Y157" s="228"/>
      <c r="Z157" s="228"/>
      <c r="AA157" s="228"/>
      <c r="AB157" s="228"/>
    </row>
    <row r="158" spans="2:35" s="19" customFormat="1" x14ac:dyDescent="0.25">
      <c r="B158" s="200"/>
      <c r="C158" s="210"/>
      <c r="D158" s="226"/>
      <c r="E158"/>
      <c r="F158" s="228"/>
      <c r="G158" s="171"/>
      <c r="H158" s="107"/>
      <c r="I158" s="228"/>
      <c r="J158" s="228"/>
      <c r="K158" s="228"/>
      <c r="L158" s="228"/>
      <c r="M158" s="228"/>
      <c r="N158" s="228"/>
      <c r="O158" s="228"/>
      <c r="P158" s="228"/>
      <c r="Q158" s="228"/>
      <c r="R158" s="228"/>
      <c r="S158" s="228"/>
      <c r="T158" s="228"/>
      <c r="U158" s="228"/>
      <c r="V158" s="228"/>
      <c r="W158" s="228"/>
      <c r="X158" s="228"/>
      <c r="Y158" s="228"/>
      <c r="Z158" s="228"/>
      <c r="AA158" s="228"/>
      <c r="AB158" s="228"/>
    </row>
    <row r="159" spans="2:35" s="19" customFormat="1" ht="15.75" x14ac:dyDescent="0.25">
      <c r="B159" s="200" t="s">
        <v>18</v>
      </c>
      <c r="C159" s="222" t="s">
        <v>279</v>
      </c>
      <c r="D159" s="226" t="str">
        <f t="shared" si="5"/>
        <v>Resultat_avt_imp_taxes</v>
      </c>
      <c r="E159"/>
      <c r="F159" s="228"/>
      <c r="G159" s="171"/>
      <c r="H159" s="107"/>
      <c r="I159" s="311" t="str">
        <f ca="1">_xll.DBRA(Server&amp;$D$22,$D159,"French")</f>
        <v>RESULTAT avant Impôts et Taxes</v>
      </c>
      <c r="J159" s="311" t="str">
        <f ca="1">_xll.DBRA(Server&amp;$D$22,$D159,"French")</f>
        <v>RESULTAT avant Impôts et Taxes</v>
      </c>
      <c r="K159" s="228"/>
      <c r="L159" s="255">
        <f ca="1">L136+L146+L155</f>
        <v>1275011.8600000001</v>
      </c>
      <c r="M159" s="254"/>
      <c r="N159" s="255">
        <f ca="1">N136+N146+N155</f>
        <v>1368890.3300000008</v>
      </c>
      <c r="O159" s="256"/>
      <c r="P159" s="257"/>
      <c r="Q159" s="255"/>
      <c r="R159" s="255"/>
      <c r="S159" s="347"/>
      <c r="T159" s="347"/>
      <c r="U159" s="347"/>
      <c r="V159" s="347"/>
      <c r="W159" s="255"/>
      <c r="X159" s="255"/>
      <c r="Y159" s="255"/>
      <c r="Z159" s="255"/>
      <c r="AA159" s="255"/>
      <c r="AB159" s="255"/>
    </row>
    <row r="160" spans="2:35" s="19" customFormat="1" ht="15.75" x14ac:dyDescent="0.25">
      <c r="B160" s="205" t="s">
        <v>127</v>
      </c>
      <c r="C160" s="211"/>
      <c r="D160" s="226" t="str">
        <f t="shared" si="5"/>
        <v>Calc excel</v>
      </c>
      <c r="E160"/>
      <c r="F160" s="228"/>
      <c r="G160" s="171"/>
      <c r="H160" s="107"/>
      <c r="I160" s="318" t="s">
        <v>77</v>
      </c>
      <c r="J160" s="318"/>
      <c r="K160" s="228"/>
      <c r="L160" s="287">
        <f ca="1">IF(ISERROR(L159/L42),"-",L159/L42)</f>
        <v>0.48616390955637184</v>
      </c>
      <c r="M160" s="228"/>
      <c r="N160" s="287">
        <f ca="1">IF(ISERROR(N159/N42),"-",N159/N42)</f>
        <v>0.53491175527079382</v>
      </c>
      <c r="O160" s="228"/>
      <c r="P160" s="228"/>
      <c r="Q160" s="287"/>
      <c r="R160" s="287"/>
      <c r="S160" s="287"/>
      <c r="T160" s="287"/>
      <c r="U160" s="287"/>
      <c r="V160" s="287"/>
      <c r="W160" s="287"/>
      <c r="X160" s="287"/>
      <c r="Y160" s="287"/>
      <c r="Z160" s="287"/>
      <c r="AA160" s="287"/>
      <c r="AB160" s="287"/>
    </row>
    <row r="161" spans="2:35" s="19" customFormat="1" x14ac:dyDescent="0.25">
      <c r="B161" s="202"/>
      <c r="C161" s="212"/>
      <c r="D161" s="226"/>
      <c r="E161"/>
      <c r="F161" s="228"/>
      <c r="G161" s="171"/>
      <c r="H161" s="107"/>
      <c r="I161" s="228"/>
      <c r="J161" s="228"/>
      <c r="K161" s="228"/>
      <c r="L161" s="228"/>
      <c r="M161" s="228"/>
      <c r="N161" s="228"/>
      <c r="O161" s="228"/>
      <c r="P161" s="228"/>
      <c r="Q161" s="228"/>
      <c r="R161" s="228"/>
      <c r="S161" s="228"/>
      <c r="T161" s="228"/>
      <c r="U161" s="228"/>
      <c r="V161" s="228"/>
      <c r="W161" s="228"/>
      <c r="X161" s="228"/>
      <c r="Y161" s="228"/>
      <c r="Z161" s="228"/>
      <c r="AA161" s="228"/>
      <c r="AB161" s="228"/>
    </row>
    <row r="162" spans="2:35" s="19" customFormat="1" ht="15.75" thickBot="1" x14ac:dyDescent="0.3">
      <c r="B162" s="202"/>
      <c r="C162" s="215"/>
      <c r="D162" s="226"/>
      <c r="E162"/>
      <c r="F162" s="228"/>
      <c r="G162" s="171"/>
      <c r="H162" s="107"/>
      <c r="I162" s="228"/>
      <c r="J162" s="228"/>
      <c r="K162" s="228"/>
      <c r="L162" s="228"/>
      <c r="M162" s="228"/>
      <c r="N162" s="228"/>
      <c r="O162" s="228"/>
      <c r="P162" s="228"/>
      <c r="Q162" s="228"/>
      <c r="R162" s="228"/>
      <c r="S162" s="228"/>
      <c r="T162" s="228"/>
      <c r="U162" s="228"/>
      <c r="V162" s="228"/>
      <c r="W162" s="228"/>
      <c r="X162" s="228"/>
      <c r="Y162" s="228"/>
      <c r="Z162" s="228"/>
      <c r="AA162" s="228"/>
      <c r="AB162" s="228"/>
    </row>
    <row r="163" spans="2:35" s="19" customFormat="1" ht="16.5" thickTop="1" x14ac:dyDescent="0.25">
      <c r="B163" s="200" t="s">
        <v>59</v>
      </c>
      <c r="C163" s="219" t="s">
        <v>280</v>
      </c>
      <c r="D163" s="226" t="str">
        <f t="shared" si="5"/>
        <v>Impots_Taxes</v>
      </c>
      <c r="E163"/>
      <c r="F163" s="228"/>
      <c r="G163" s="171"/>
      <c r="H163" s="107"/>
      <c r="I163" s="315" t="str">
        <f ca="1">_xll.DBRA(Server&amp;$D$22,$D163,"French")</f>
        <v>Impôts et Taxes</v>
      </c>
      <c r="J163" s="315" t="str">
        <f ca="1">_xll.DBRA(Server&amp;$D$22,$D163,"French")</f>
        <v>Impôts et Taxes</v>
      </c>
      <c r="K163" s="39"/>
      <c r="L163" s="67">
        <f ca="1">SUM(L164:L166)</f>
        <v>0</v>
      </c>
      <c r="M163" s="228"/>
      <c r="N163" s="67">
        <f ca="1">SUM(N164:N166)</f>
        <v>0</v>
      </c>
      <c r="O163" s="228"/>
      <c r="P163" s="228"/>
      <c r="Q163" s="290"/>
      <c r="R163" s="290"/>
      <c r="S163" s="353"/>
      <c r="T163" s="353"/>
      <c r="U163" s="353"/>
      <c r="V163" s="353"/>
      <c r="W163" s="290"/>
      <c r="X163" s="290"/>
      <c r="Y163" s="290"/>
      <c r="Z163" s="290"/>
      <c r="AA163" s="290"/>
      <c r="AB163" s="290"/>
    </row>
    <row r="164" spans="2:35" s="19" customFormat="1" ht="15.75" x14ac:dyDescent="0.25">
      <c r="B164" s="204" t="s">
        <v>60</v>
      </c>
      <c r="C164" s="214" t="s">
        <v>281</v>
      </c>
      <c r="D164" s="226" t="str">
        <f t="shared" si="5"/>
        <v>635115</v>
      </c>
      <c r="E164"/>
      <c r="F164" s="228"/>
      <c r="G164" s="171"/>
      <c r="H164" s="107"/>
      <c r="I164" s="316" t="str">
        <f ca="1">_xll.DBRA(Server&amp;$D$22,$D164,"French")</f>
        <v>CVAE</v>
      </c>
      <c r="J164" s="316" t="str">
        <f ca="1">_xll.DBRA(Server&amp;$D$22,$D164,"French")</f>
        <v>CVAE</v>
      </c>
      <c r="K164" s="274"/>
      <c r="L164" s="275">
        <f ca="1">_xll.DBRW(Server&amp;Cube1,$J$13,$L$3,$J$15,$L$1,$L$2,$J$16,$D164)</f>
        <v>0</v>
      </c>
      <c r="M164" s="274"/>
      <c r="N164" s="275">
        <f ca="1">_xll.DBRW(Server&amp;Cube1,$J$13,$N$3,$J$15,$N$1,$N$2,$J$16,$D164)</f>
        <v>0</v>
      </c>
      <c r="O164" s="276"/>
      <c r="P164" s="228"/>
      <c r="Q164" s="302">
        <v>0</v>
      </c>
      <c r="R164" s="302">
        <v>0</v>
      </c>
      <c r="S164" s="354">
        <v>0</v>
      </c>
      <c r="T164" s="354">
        <v>0</v>
      </c>
      <c r="U164" s="354">
        <v>0</v>
      </c>
      <c r="V164" s="354">
        <v>0</v>
      </c>
      <c r="W164" s="289">
        <v>0</v>
      </c>
      <c r="X164" s="289">
        <v>0</v>
      </c>
      <c r="Y164" s="289">
        <v>0</v>
      </c>
      <c r="Z164" s="289">
        <v>0</v>
      </c>
      <c r="AA164" s="289">
        <v>0</v>
      </c>
      <c r="AB164" s="289">
        <v>0</v>
      </c>
      <c r="AF164" s="56" t="str">
        <f ca="1">IF(xflag=1,_xll.DBSW(#REF!,Server&amp;Cube1,$J$13,$J$14,$J$15,#REF!,AF$2,$J$16,$D164),_xll.DBRW(Server&amp;Cube1,$J$13,$J$14,$J$15,#REF!,AF$2,$J$16,$D164))</f>
        <v>*KEY_ERR</v>
      </c>
    </row>
    <row r="165" spans="2:35" s="19" customFormat="1" ht="16.5" thickBot="1" x14ac:dyDescent="0.3">
      <c r="B165" s="204" t="s">
        <v>62</v>
      </c>
      <c r="C165" s="213" t="s">
        <v>282</v>
      </c>
      <c r="D165" s="226" t="str">
        <f t="shared" si="5"/>
        <v>635140</v>
      </c>
      <c r="E165"/>
      <c r="F165" s="228"/>
      <c r="G165" s="171"/>
      <c r="H165" s="107"/>
      <c r="I165" s="316" t="str">
        <f ca="1">_xll.DBRA(Server&amp;$D$22,$D165,"French")</f>
        <v>Taxe sur les véhicules de sociétés</v>
      </c>
      <c r="J165" s="316" t="str">
        <f ca="1">_xll.DBRA(Server&amp;$D$22,$D165,"French")</f>
        <v>Taxe sur les véhicules de sociétés</v>
      </c>
      <c r="K165" s="274"/>
      <c r="L165" s="275">
        <f ca="1">_xll.DBRW(Server&amp;Cube1,$J$13,$L$3,$J$15,$L$1,$L$2,$J$16,$D165)</f>
        <v>0</v>
      </c>
      <c r="M165" s="274"/>
      <c r="N165" s="275">
        <f ca="1">_xll.DBRW(Server&amp;Cube1,$J$13,$N$3,$J$15,$N$1,$N$2,$J$16,$D165)</f>
        <v>0</v>
      </c>
      <c r="O165" s="276"/>
      <c r="P165" s="228"/>
      <c r="Q165" s="299">
        <v>0</v>
      </c>
      <c r="R165" s="299">
        <v>0</v>
      </c>
      <c r="S165" s="349">
        <v>0</v>
      </c>
      <c r="T165" s="349">
        <v>0</v>
      </c>
      <c r="U165" s="349">
        <v>0</v>
      </c>
      <c r="V165" s="349">
        <v>0</v>
      </c>
      <c r="W165" s="284">
        <v>0</v>
      </c>
      <c r="X165" s="284">
        <v>0</v>
      </c>
      <c r="Y165" s="284">
        <v>0</v>
      </c>
      <c r="Z165" s="284">
        <v>0</v>
      </c>
      <c r="AA165" s="284">
        <v>0</v>
      </c>
      <c r="AB165" s="284">
        <v>0</v>
      </c>
      <c r="AF165" s="56" t="str">
        <f ca="1">IF(xflag=1,_xll.DBSW(#REF!,Server&amp;Cube1,$J$13,$J$14,$J$15,#REF!,AF$2,$J$16,$D165),_xll.DBRW(Server&amp;Cube1,$J$13,$J$14,$J$15,#REF!,AF$2,$J$16,$D165))</f>
        <v>*KEY_ERR</v>
      </c>
      <c r="AI165" s="19">
        <v>17</v>
      </c>
    </row>
    <row r="166" spans="2:35" s="19" customFormat="1" ht="16.5" thickTop="1" x14ac:dyDescent="0.25">
      <c r="B166" s="204" t="s">
        <v>61</v>
      </c>
      <c r="C166" s="214" t="s">
        <v>283</v>
      </c>
      <c r="D166" s="226" t="str">
        <f t="shared" si="5"/>
        <v>637100</v>
      </c>
      <c r="E166"/>
      <c r="F166" s="228"/>
      <c r="G166" s="171"/>
      <c r="H166" s="107"/>
      <c r="I166" s="316" t="str">
        <f ca="1">_xll.DBRA(Server&amp;$D$22,$D166,"French")</f>
        <v>Organic</v>
      </c>
      <c r="J166" s="316" t="str">
        <f ca="1">_xll.DBRA(Server&amp;$D$22,$D166,"French")</f>
        <v>Organic</v>
      </c>
      <c r="K166" s="274"/>
      <c r="L166" s="275">
        <f ca="1">_xll.DBRW(Server&amp;Cube1,$J$13,$L$3,$J$15,$L$1,$L$2,$J$16,$D166)</f>
        <v>0</v>
      </c>
      <c r="M166" s="274"/>
      <c r="N166" s="275">
        <f ca="1">_xll.DBRW(Server&amp;Cube1,$J$13,$N$3,$J$15,$N$1,$N$2,$J$16,$D166)</f>
        <v>0</v>
      </c>
      <c r="O166" s="276"/>
      <c r="P166" s="228"/>
      <c r="Q166" s="300">
        <v>0</v>
      </c>
      <c r="R166" s="300">
        <v>0</v>
      </c>
      <c r="S166" s="350">
        <v>0</v>
      </c>
      <c r="T166" s="350">
        <v>0</v>
      </c>
      <c r="U166" s="350">
        <v>0</v>
      </c>
      <c r="V166" s="350">
        <v>0</v>
      </c>
      <c r="W166" s="283">
        <v>0</v>
      </c>
      <c r="X166" s="283">
        <v>0</v>
      </c>
      <c r="Y166" s="283">
        <v>0</v>
      </c>
      <c r="Z166" s="283">
        <v>0</v>
      </c>
      <c r="AA166" s="283">
        <v>0</v>
      </c>
      <c r="AB166" s="283">
        <v>0</v>
      </c>
      <c r="AF166" s="56" t="str">
        <f ca="1">IF(xflag=1,_xll.DBSW(#REF!,Server&amp;Cube1,$J$13,$J$14,$J$15,#REF!,AF$2,$J$16,$D166),_xll.DBRW(Server&amp;Cube1,$J$13,$J$14,$J$15,#REF!,AF$2,$J$16,$D166))</f>
        <v>*KEY_ERR</v>
      </c>
    </row>
    <row r="167" spans="2:35" s="19" customFormat="1" x14ac:dyDescent="0.25">
      <c r="B167" s="200"/>
      <c r="C167" s="209"/>
      <c r="D167" s="226"/>
      <c r="E167"/>
      <c r="F167" s="228"/>
      <c r="G167" s="171"/>
      <c r="H167" s="107"/>
      <c r="I167" s="228"/>
      <c r="J167" s="228"/>
      <c r="K167" s="228"/>
      <c r="L167" s="228"/>
      <c r="M167" s="228"/>
      <c r="N167" s="228"/>
      <c r="O167" s="228"/>
      <c r="P167" s="228"/>
      <c r="Q167" s="228"/>
      <c r="R167" s="228"/>
      <c r="S167" s="228"/>
      <c r="T167" s="228"/>
      <c r="U167" s="228"/>
      <c r="V167" s="228"/>
      <c r="W167" s="228"/>
      <c r="X167" s="228"/>
      <c r="Y167" s="228"/>
      <c r="Z167" s="228"/>
      <c r="AA167" s="228"/>
      <c r="AB167" s="228"/>
    </row>
    <row r="168" spans="2:35" s="19" customFormat="1" x14ac:dyDescent="0.25">
      <c r="B168" s="200"/>
      <c r="C168" s="209"/>
      <c r="D168" s="226"/>
      <c r="E168"/>
      <c r="F168" s="228"/>
      <c r="G168" s="171"/>
      <c r="H168" s="107"/>
      <c r="I168" s="228"/>
      <c r="J168" s="228"/>
      <c r="K168" s="228"/>
      <c r="L168" s="228"/>
      <c r="M168" s="228"/>
      <c r="N168" s="228"/>
      <c r="O168" s="228"/>
      <c r="P168" s="228"/>
      <c r="Q168" s="228"/>
      <c r="R168" s="228"/>
      <c r="S168" s="228"/>
      <c r="T168" s="228"/>
      <c r="U168" s="228"/>
      <c r="V168" s="228"/>
      <c r="W168" s="228"/>
      <c r="X168" s="228"/>
      <c r="Y168" s="228"/>
      <c r="Z168" s="228"/>
      <c r="AA168" s="228"/>
      <c r="AB168" s="228"/>
    </row>
    <row r="169" spans="2:35" s="19" customFormat="1" x14ac:dyDescent="0.25">
      <c r="B169" s="200"/>
      <c r="C169" s="210"/>
      <c r="D169" s="226"/>
      <c r="E169"/>
      <c r="F169" s="228"/>
      <c r="G169" s="171"/>
      <c r="H169" s="107"/>
      <c r="I169" s="228"/>
      <c r="J169" s="228"/>
      <c r="K169" s="228"/>
      <c r="L169" s="228"/>
      <c r="M169" s="228"/>
      <c r="N169" s="228"/>
      <c r="O169" s="228"/>
      <c r="P169" s="228"/>
      <c r="Q169" s="228"/>
      <c r="R169" s="228"/>
      <c r="S169" s="228"/>
      <c r="T169" s="228"/>
      <c r="U169" s="228"/>
      <c r="V169" s="228"/>
      <c r="W169" s="228"/>
      <c r="X169" s="228"/>
      <c r="Y169" s="228"/>
      <c r="Z169" s="228"/>
      <c r="AA169" s="228"/>
      <c r="AB169" s="228"/>
    </row>
    <row r="170" spans="2:35" s="19" customFormat="1" ht="15.75" x14ac:dyDescent="0.25">
      <c r="B170" s="200" t="s">
        <v>17</v>
      </c>
      <c r="C170" s="222" t="s">
        <v>284</v>
      </c>
      <c r="D170" s="226" t="str">
        <f t="shared" si="5"/>
        <v>Resultat_net</v>
      </c>
      <c r="E170"/>
      <c r="F170" s="228"/>
      <c r="G170" s="171"/>
      <c r="H170" s="107"/>
      <c r="I170" s="311" t="str">
        <f ca="1">_xll.DBRA(Server&amp;$D$22,$D170,"French")</f>
        <v>RESULTAT NET</v>
      </c>
      <c r="J170" s="311" t="str">
        <f ca="1">_xll.DBRA(Server&amp;$D$22,$D170,"French")</f>
        <v>RESULTAT NET</v>
      </c>
      <c r="K170" s="228"/>
      <c r="L170" s="255">
        <f ca="1">L159+L163</f>
        <v>1275011.8600000001</v>
      </c>
      <c r="M170" s="254"/>
      <c r="N170" s="255">
        <f ca="1">N159+N163</f>
        <v>1368890.3300000008</v>
      </c>
      <c r="O170" s="256"/>
      <c r="P170" s="257"/>
      <c r="Q170" s="255"/>
      <c r="R170" s="255"/>
      <c r="S170" s="347"/>
      <c r="T170" s="347"/>
      <c r="U170" s="347"/>
      <c r="V170" s="347"/>
      <c r="W170" s="255"/>
      <c r="X170" s="255"/>
      <c r="Y170" s="255"/>
      <c r="Z170" s="255"/>
      <c r="AA170" s="255"/>
      <c r="AB170" s="255"/>
    </row>
    <row r="171" spans="2:35" s="19" customFormat="1" ht="15.75" x14ac:dyDescent="0.25">
      <c r="B171" s="205" t="s">
        <v>127</v>
      </c>
      <c r="C171" s="211"/>
      <c r="D171" s="226" t="str">
        <f t="shared" si="5"/>
        <v>Calc excel</v>
      </c>
      <c r="E171"/>
      <c r="F171" s="228"/>
      <c r="G171" s="171"/>
      <c r="H171" s="107"/>
      <c r="I171" s="318" t="s">
        <v>77</v>
      </c>
      <c r="J171" s="318"/>
      <c r="K171" s="228"/>
      <c r="L171" s="287">
        <f ca="1">IF(ISERROR(L170/L42),"-",L170/L42)</f>
        <v>0.48616390955637184</v>
      </c>
      <c r="M171" s="228"/>
      <c r="N171" s="287">
        <f ca="1">IF(ISERROR(N170/N42),"-",N170/N42)</f>
        <v>0.53491175527079382</v>
      </c>
      <c r="O171" s="228"/>
      <c r="P171" s="228"/>
      <c r="Q171" s="287"/>
      <c r="R171" s="287"/>
      <c r="S171" s="287"/>
      <c r="T171" s="287"/>
      <c r="U171" s="287"/>
      <c r="V171" s="287"/>
      <c r="W171" s="287"/>
      <c r="X171" s="287"/>
      <c r="Y171" s="287"/>
      <c r="Z171" s="287"/>
      <c r="AA171" s="287"/>
      <c r="AB171" s="287"/>
    </row>
    <row r="172" spans="2:35" s="19" customFormat="1" x14ac:dyDescent="0.25">
      <c r="B172" s="202"/>
      <c r="C172" s="212"/>
      <c r="D172" s="226"/>
      <c r="E172"/>
      <c r="F172" s="228"/>
      <c r="G172" s="171"/>
      <c r="H172" s="107"/>
      <c r="I172" s="228"/>
      <c r="J172" s="228"/>
      <c r="K172" s="228"/>
      <c r="L172" s="228"/>
      <c r="M172" s="228"/>
      <c r="N172" s="228"/>
      <c r="O172" s="228"/>
      <c r="P172" s="228"/>
      <c r="Q172" s="228"/>
      <c r="R172" s="228"/>
      <c r="S172" s="228"/>
      <c r="T172" s="228"/>
      <c r="U172" s="228"/>
      <c r="V172" s="228"/>
      <c r="W172" s="228"/>
      <c r="X172" s="228"/>
      <c r="Y172" s="228"/>
      <c r="Z172" s="228"/>
      <c r="AA172" s="228"/>
      <c r="AB172" s="228"/>
    </row>
    <row r="173" spans="2:35" s="19" customFormat="1" x14ac:dyDescent="0.25">
      <c r="B173" s="202"/>
      <c r="C173" s="215"/>
      <c r="D173" s="226"/>
      <c r="E173"/>
      <c r="F173" s="228"/>
      <c r="G173" s="171"/>
      <c r="H173" s="107"/>
      <c r="I173" s="228"/>
      <c r="J173" s="228"/>
      <c r="K173" s="228"/>
      <c r="L173" s="228"/>
      <c r="M173" s="228"/>
      <c r="N173" s="228"/>
      <c r="O173" s="228"/>
      <c r="P173" s="228"/>
      <c r="Q173" s="228"/>
      <c r="R173" s="228"/>
      <c r="S173" s="228"/>
      <c r="T173" s="228"/>
      <c r="U173" s="228"/>
      <c r="V173" s="228"/>
      <c r="W173" s="228"/>
      <c r="X173" s="228"/>
      <c r="Y173" s="228"/>
      <c r="Z173" s="228"/>
      <c r="AA173" s="228"/>
      <c r="AB173" s="228"/>
    </row>
    <row r="174" spans="2:35" s="19" customFormat="1" x14ac:dyDescent="0.25">
      <c r="B174" s="202"/>
      <c r="C174" s="215"/>
      <c r="D174" s="226"/>
      <c r="E174"/>
      <c r="F174" s="228"/>
      <c r="G174" s="171"/>
      <c r="H174" s="107"/>
      <c r="I174" s="228" t="s">
        <v>290</v>
      </c>
      <c r="J174" s="228"/>
      <c r="K174" s="228"/>
      <c r="L174" s="228"/>
      <c r="M174" s="228"/>
      <c r="N174" s="228"/>
      <c r="O174" s="228"/>
      <c r="P174" s="228"/>
      <c r="Q174" s="228"/>
      <c r="R174" s="228"/>
      <c r="S174" s="228"/>
      <c r="T174" s="228"/>
      <c r="U174" s="228"/>
      <c r="V174" s="228"/>
      <c r="W174" s="228"/>
      <c r="X174" s="228"/>
      <c r="Y174" s="228"/>
      <c r="Z174" s="228"/>
      <c r="AA174" s="228"/>
      <c r="AB174" s="228"/>
    </row>
    <row r="175" spans="2:35" s="19" customFormat="1" x14ac:dyDescent="0.25">
      <c r="B175" s="202"/>
      <c r="C175" s="215"/>
      <c r="D175" s="226"/>
      <c r="E175"/>
      <c r="F175" s="228"/>
      <c r="G175" s="171"/>
      <c r="H175" s="107"/>
      <c r="I175" s="228"/>
      <c r="J175" s="228"/>
      <c r="K175" s="228"/>
      <c r="L175" s="228"/>
      <c r="M175" s="228"/>
      <c r="N175" s="228"/>
      <c r="O175" s="228"/>
      <c r="P175" s="228"/>
      <c r="Q175" s="228"/>
      <c r="R175" s="228"/>
      <c r="S175" s="228"/>
      <c r="T175" s="228"/>
      <c r="U175" s="228"/>
      <c r="V175" s="228"/>
      <c r="W175" s="228"/>
      <c r="X175" s="228"/>
      <c r="Y175" s="228"/>
      <c r="Z175" s="228"/>
      <c r="AA175" s="228"/>
      <c r="AB175" s="228"/>
    </row>
    <row r="176" spans="2:35" s="19" customFormat="1" ht="15.75" x14ac:dyDescent="0.25">
      <c r="B176" s="204" t="s">
        <v>121</v>
      </c>
      <c r="C176" s="223" t="s">
        <v>285</v>
      </c>
      <c r="D176" s="226" t="str">
        <f t="shared" si="5"/>
        <v>Nb_Stagiaire</v>
      </c>
      <c r="E176"/>
      <c r="F176" s="228"/>
      <c r="G176" s="171"/>
      <c r="H176" s="107"/>
      <c r="I176" s="316" t="str">
        <f ca="1">_xll.DBRA(Server&amp;$D$22,$D176,"French")</f>
        <v>Nombre de stagiaires</v>
      </c>
      <c r="J176" s="316" t="str">
        <f ca="1">_xll.DBRA(Server&amp;$D$22,$D176,"French")</f>
        <v>Nombre de stagiaires</v>
      </c>
      <c r="K176" s="274"/>
      <c r="L176" s="275">
        <f ca="1">_xll.DBRW(Server&amp;Cube1,$J$13,$L$3,$J$15,$L$1,$L$2,$J$16,$D176)</f>
        <v>0</v>
      </c>
      <c r="M176" s="274"/>
      <c r="N176" s="275">
        <f ca="1">_xll.DBRW(Server&amp;Cube1,$J$13,$N$3,$J$15,$N$1,$N$2,$J$16,$D176)</f>
        <v>0</v>
      </c>
      <c r="O176" s="276"/>
      <c r="P176" s="228"/>
      <c r="Q176" s="302">
        <v>0</v>
      </c>
      <c r="R176" s="302">
        <v>0</v>
      </c>
      <c r="S176" s="354">
        <v>0</v>
      </c>
      <c r="T176" s="354">
        <v>0</v>
      </c>
      <c r="U176" s="354">
        <v>0</v>
      </c>
      <c r="V176" s="354">
        <v>0</v>
      </c>
      <c r="W176" s="289">
        <v>0</v>
      </c>
      <c r="X176" s="289">
        <v>0</v>
      </c>
      <c r="Y176" s="289">
        <v>0</v>
      </c>
      <c r="Z176" s="289">
        <v>0</v>
      </c>
      <c r="AA176" s="289">
        <v>0</v>
      </c>
      <c r="AB176" s="289">
        <v>0</v>
      </c>
      <c r="AF176" s="56" t="str">
        <f ca="1">IF(xflag=1,_xll.DBSW(#REF!,Server&amp;Cube1,$J$13,$J$14,$J$15,#REF!,AF$2,$J$16,$D176),_xll.DBRW(Server&amp;Cube1,$J$13,$J$14,$J$15,#REF!,AF$2,$J$16,$D176))</f>
        <v>*KEY_ERR</v>
      </c>
    </row>
    <row r="177" spans="2:35" s="19" customFormat="1" ht="15.75" x14ac:dyDescent="0.25">
      <c r="B177" s="204" t="s">
        <v>122</v>
      </c>
      <c r="C177" s="224" t="s">
        <v>286</v>
      </c>
      <c r="D177" s="226" t="str">
        <f t="shared" si="5"/>
        <v>Nb_Session</v>
      </c>
      <c r="E177"/>
      <c r="F177" s="228"/>
      <c r="G177" s="171"/>
      <c r="H177" s="107"/>
      <c r="I177" s="316" t="str">
        <f ca="1">_xll.DBRA(Server&amp;$D$22,$D177,"French")</f>
        <v>Nombre de sessions</v>
      </c>
      <c r="J177" s="316" t="str">
        <f ca="1">_xll.DBRA(Server&amp;$D$22,$D177,"French")</f>
        <v>Nombre de sessions</v>
      </c>
      <c r="K177" s="274"/>
      <c r="L177" s="275">
        <f ca="1">_xll.DBRW(Server&amp;Cube1,$J$13,$L$3,$J$15,$L$1,$L$2,$J$16,$D177)</f>
        <v>0</v>
      </c>
      <c r="M177" s="274"/>
      <c r="N177" s="275">
        <f ca="1">_xll.DBRW(Server&amp;Cube1,$J$13,$N$3,$J$15,$N$1,$N$2,$J$16,$D177)</f>
        <v>0</v>
      </c>
      <c r="O177" s="276"/>
      <c r="P177" s="228"/>
      <c r="Q177" s="299">
        <v>0</v>
      </c>
      <c r="R177" s="299">
        <v>0</v>
      </c>
      <c r="S177" s="349">
        <v>0</v>
      </c>
      <c r="T177" s="349">
        <v>0</v>
      </c>
      <c r="U177" s="349">
        <v>0</v>
      </c>
      <c r="V177" s="349">
        <v>0</v>
      </c>
      <c r="W177" s="284">
        <v>0</v>
      </c>
      <c r="X177" s="284">
        <v>0</v>
      </c>
      <c r="Y177" s="284">
        <v>0</v>
      </c>
      <c r="Z177" s="284">
        <v>0</v>
      </c>
      <c r="AA177" s="284">
        <v>0</v>
      </c>
      <c r="AB177" s="284">
        <v>0</v>
      </c>
      <c r="AF177" s="56" t="str">
        <f ca="1">IF(xflag=1,_xll.DBSW(#REF!,Server&amp;Cube1,$J$13,$J$14,$J$15,#REF!,AF$2,$J$16,$D177),_xll.DBRW(Server&amp;Cube1,$J$13,$J$14,$J$15,#REF!,AF$2,$J$16,$D177))</f>
        <v>*KEY_ERR</v>
      </c>
    </row>
    <row r="178" spans="2:35" s="19" customFormat="1" ht="15.75" x14ac:dyDescent="0.25">
      <c r="B178" s="204" t="s">
        <v>123</v>
      </c>
      <c r="C178" s="224" t="s">
        <v>287</v>
      </c>
      <c r="D178" s="226" t="str">
        <f t="shared" si="5"/>
        <v>Nb_hr_Formation</v>
      </c>
      <c r="E178"/>
      <c r="F178" s="228"/>
      <c r="G178" s="171"/>
      <c r="H178" s="107"/>
      <c r="I178" s="316" t="str">
        <f ca="1">_xll.DBRA(Server&amp;$D$22,$D178,"French")</f>
        <v>Heures de formation</v>
      </c>
      <c r="J178" s="316" t="str">
        <f ca="1">_xll.DBRA(Server&amp;$D$22,$D178,"French")</f>
        <v>Heures de formation</v>
      </c>
      <c r="K178" s="274"/>
      <c r="L178" s="275">
        <f ca="1">_xll.DBRW(Server&amp;Cube1,$J$13,$L$3,$J$15,$L$1,$L$2,$J$16,$D178)</f>
        <v>0</v>
      </c>
      <c r="M178" s="274"/>
      <c r="N178" s="275">
        <f ca="1">_xll.DBRW(Server&amp;Cube1,$J$13,$N$3,$J$15,$N$1,$N$2,$J$16,$D178)</f>
        <v>0</v>
      </c>
      <c r="O178" s="276"/>
      <c r="P178" s="228"/>
      <c r="Q178" s="299">
        <v>0</v>
      </c>
      <c r="R178" s="299">
        <v>0</v>
      </c>
      <c r="S178" s="349">
        <v>0</v>
      </c>
      <c r="T178" s="349">
        <v>0</v>
      </c>
      <c r="U178" s="349">
        <v>0</v>
      </c>
      <c r="V178" s="349">
        <v>0</v>
      </c>
      <c r="W178" s="284">
        <v>0</v>
      </c>
      <c r="X178" s="284">
        <v>0</v>
      </c>
      <c r="Y178" s="284">
        <v>0</v>
      </c>
      <c r="Z178" s="284">
        <v>0</v>
      </c>
      <c r="AA178" s="284">
        <v>0</v>
      </c>
      <c r="AB178" s="284">
        <v>0</v>
      </c>
      <c r="AF178" s="56" t="str">
        <f ca="1">IF(xflag=1,_xll.DBSW(#REF!,Server&amp;Cube1,$J$13,$J$14,$J$15,#REF!,AF$2,$J$16,$D178),_xll.DBRW(Server&amp;Cube1,$J$13,$J$14,$J$15,#REF!,AF$2,$J$16,$D178))</f>
        <v>*KEY_ERR</v>
      </c>
    </row>
    <row r="179" spans="2:35" s="19" customFormat="1" ht="15.75" x14ac:dyDescent="0.25">
      <c r="B179" s="204" t="s">
        <v>124</v>
      </c>
      <c r="C179" s="224" t="s">
        <v>288</v>
      </c>
      <c r="D179" s="226" t="str">
        <f t="shared" si="5"/>
        <v>Nb_jr_Formateur_Moniteur</v>
      </c>
      <c r="E179"/>
      <c r="F179" s="228"/>
      <c r="G179" s="171"/>
      <c r="H179" s="107"/>
      <c r="I179" s="316" t="str">
        <f ca="1">_xll.DBRA(Server&amp;$D$22,$D179,"French")</f>
        <v>Total journées formateurs  internes</v>
      </c>
      <c r="J179" s="316" t="str">
        <f ca="1">_xll.DBRA(Server&amp;$D$22,$D179,"French")</f>
        <v>Total journées formateurs  internes</v>
      </c>
      <c r="K179" s="274"/>
      <c r="L179" s="275">
        <f ca="1">_xll.DBRW(Server&amp;Cube1,$J$13,$L$3,$J$15,$L$1,$L$2,$J$16,$D179)</f>
        <v>0</v>
      </c>
      <c r="M179" s="274"/>
      <c r="N179" s="275">
        <f ca="1">_xll.DBRW(Server&amp;Cube1,$J$13,$N$3,$J$15,$N$1,$N$2,$J$16,$D179)</f>
        <v>0</v>
      </c>
      <c r="O179" s="276"/>
      <c r="P179" s="228"/>
      <c r="Q179" s="299">
        <v>0</v>
      </c>
      <c r="R179" s="299">
        <v>0</v>
      </c>
      <c r="S179" s="349">
        <v>0</v>
      </c>
      <c r="T179" s="349">
        <v>0</v>
      </c>
      <c r="U179" s="349">
        <v>0</v>
      </c>
      <c r="V179" s="349">
        <v>0</v>
      </c>
      <c r="W179" s="284">
        <v>0</v>
      </c>
      <c r="X179" s="284">
        <v>0</v>
      </c>
      <c r="Y179" s="284">
        <v>0</v>
      </c>
      <c r="Z179" s="284">
        <v>0</v>
      </c>
      <c r="AA179" s="284">
        <v>0</v>
      </c>
      <c r="AB179" s="284">
        <v>0</v>
      </c>
      <c r="AF179" s="56" t="str">
        <f ca="1">IF(xflag=1,_xll.DBSW(#REF!,Server&amp;Cube1,$J$13,$J$14,$J$15,#REF!,AF$2,$J$16,$D179),_xll.DBRW(Server&amp;Cube1,$J$13,$J$14,$J$15,#REF!,AF$2,$J$16,$D179))</f>
        <v>*KEY_ERR</v>
      </c>
      <c r="AI179" s="19">
        <v>18</v>
      </c>
    </row>
    <row r="180" spans="2:35" s="19" customFormat="1" ht="15.75" x14ac:dyDescent="0.25">
      <c r="B180" s="204" t="s">
        <v>125</v>
      </c>
      <c r="C180" s="225" t="s">
        <v>289</v>
      </c>
      <c r="D180" s="226" t="str">
        <f t="shared" si="5"/>
        <v>Nb_jr_production</v>
      </c>
      <c r="E180"/>
      <c r="F180" s="228"/>
      <c r="G180" s="171"/>
      <c r="H180" s="107"/>
      <c r="I180" s="316" t="str">
        <f ca="1">_xll.DBRA(Server&amp;$D$22,$D180,"French")</f>
        <v>Total journées formateurs externes</v>
      </c>
      <c r="J180" s="316" t="str">
        <f ca="1">_xll.DBRA(Server&amp;$D$22,$D180,"French")</f>
        <v>Total journées formateurs externes</v>
      </c>
      <c r="K180" s="274"/>
      <c r="L180" s="275">
        <f ca="1">_xll.DBRW(Server&amp;Cube1,$J$13,$L$3,$J$15,$L$1,$L$2,$J$16,$D180)</f>
        <v>0</v>
      </c>
      <c r="M180" s="274"/>
      <c r="N180" s="275">
        <f ca="1">_xll.DBRW(Server&amp;Cube1,$J$13,$N$3,$J$15,$N$1,$N$2,$J$16,$D180)</f>
        <v>0</v>
      </c>
      <c r="O180" s="276"/>
      <c r="P180" s="228"/>
      <c r="Q180" s="300">
        <v>0</v>
      </c>
      <c r="R180" s="300">
        <v>0</v>
      </c>
      <c r="S180" s="350">
        <v>0</v>
      </c>
      <c r="T180" s="350">
        <v>0</v>
      </c>
      <c r="U180" s="350">
        <v>0</v>
      </c>
      <c r="V180" s="350">
        <v>0</v>
      </c>
      <c r="W180" s="283">
        <v>0</v>
      </c>
      <c r="X180" s="283">
        <v>0</v>
      </c>
      <c r="Y180" s="283">
        <v>0</v>
      </c>
      <c r="Z180" s="283">
        <v>0</v>
      </c>
      <c r="AA180" s="283">
        <v>0</v>
      </c>
      <c r="AB180" s="283">
        <v>0</v>
      </c>
      <c r="AF180" s="56" t="str">
        <f ca="1">IF(xflag=1,_xll.DBSW(#REF!,Server&amp;Cube1,$J$13,$J$14,$J$15,#REF!,AF$2,$J$16,$D180),_xll.DBRW(Server&amp;Cube1,$J$13,$J$14,$J$15,#REF!,AF$2,$J$16,$D180))</f>
        <v>*KEY_ERR</v>
      </c>
    </row>
    <row r="181" spans="2:35" s="228" customFormat="1" x14ac:dyDescent="0.25">
      <c r="B181" s="286"/>
      <c r="C181" s="286"/>
      <c r="G181" s="285"/>
    </row>
    <row r="182" spans="2:35" x14ac:dyDescent="0.25">
      <c r="B182" s="286"/>
      <c r="C182" s="286"/>
      <c r="G182" s="271"/>
    </row>
    <row r="183" spans="2:35" x14ac:dyDescent="0.25">
      <c r="B183" s="286"/>
      <c r="C183" s="286"/>
      <c r="G183" s="271"/>
    </row>
    <row r="184" spans="2:35" x14ac:dyDescent="0.25">
      <c r="B184" s="286"/>
      <c r="C184" s="286"/>
      <c r="G184" s="271"/>
    </row>
    <row r="185" spans="2:35" x14ac:dyDescent="0.25">
      <c r="B185" s="286"/>
      <c r="C185" s="286"/>
      <c r="G185" s="271"/>
    </row>
    <row r="186" spans="2:35" x14ac:dyDescent="0.25">
      <c r="B186" s="286"/>
      <c r="C186" s="286"/>
      <c r="G186" s="271"/>
    </row>
    <row r="187" spans="2:35" x14ac:dyDescent="0.25">
      <c r="B187" s="286"/>
      <c r="C187" s="286"/>
      <c r="G187" s="271"/>
    </row>
    <row r="188" spans="2:35" x14ac:dyDescent="0.25">
      <c r="B188" s="286"/>
      <c r="C188" s="286"/>
      <c r="G188" s="271"/>
    </row>
    <row r="189" spans="2:35" x14ac:dyDescent="0.25">
      <c r="B189" s="286"/>
      <c r="C189" s="286"/>
      <c r="G189" s="271"/>
    </row>
    <row r="190" spans="2:35" x14ac:dyDescent="0.25">
      <c r="B190" s="286"/>
      <c r="C190" s="286"/>
      <c r="G190" s="271"/>
    </row>
    <row r="191" spans="2:35" x14ac:dyDescent="0.25">
      <c r="B191" s="286"/>
      <c r="C191" s="286"/>
      <c r="G191" s="271"/>
    </row>
    <row r="192" spans="2:35" x14ac:dyDescent="0.25">
      <c r="B192" s="286"/>
      <c r="C192" s="286"/>
      <c r="G192" s="271"/>
    </row>
    <row r="193" spans="2:7" x14ac:dyDescent="0.25">
      <c r="B193" s="286"/>
      <c r="C193" s="286"/>
      <c r="G193" s="271"/>
    </row>
    <row r="194" spans="2:7" x14ac:dyDescent="0.25">
      <c r="B194" s="286"/>
      <c r="C194" s="286"/>
      <c r="G194" s="271"/>
    </row>
    <row r="195" spans="2:7" x14ac:dyDescent="0.25">
      <c r="B195" s="286"/>
      <c r="C195" s="286"/>
      <c r="G195" s="271"/>
    </row>
    <row r="196" spans="2:7" x14ac:dyDescent="0.25">
      <c r="B196" s="286"/>
      <c r="C196" s="286"/>
      <c r="G196" s="271"/>
    </row>
    <row r="197" spans="2:7" x14ac:dyDescent="0.25">
      <c r="B197" s="286"/>
      <c r="C197" s="286"/>
      <c r="G197" s="271"/>
    </row>
    <row r="198" spans="2:7" x14ac:dyDescent="0.25">
      <c r="B198" s="286"/>
      <c r="C198" s="286"/>
      <c r="G198" s="271"/>
    </row>
    <row r="199" spans="2:7" x14ac:dyDescent="0.25">
      <c r="B199" s="286"/>
      <c r="C199" s="286"/>
      <c r="G199" s="271"/>
    </row>
    <row r="200" spans="2:7" x14ac:dyDescent="0.25">
      <c r="B200" s="286"/>
      <c r="C200" s="286"/>
      <c r="G200" s="271"/>
    </row>
    <row r="201" spans="2:7" x14ac:dyDescent="0.25">
      <c r="B201" s="286"/>
      <c r="C201" s="286"/>
      <c r="G201" s="271"/>
    </row>
    <row r="202" spans="2:7" x14ac:dyDescent="0.25">
      <c r="B202" s="286"/>
      <c r="C202" s="286"/>
      <c r="G202" s="271"/>
    </row>
    <row r="203" spans="2:7" x14ac:dyDescent="0.25">
      <c r="B203" s="286"/>
      <c r="C203" s="286"/>
      <c r="G203" s="271"/>
    </row>
    <row r="204" spans="2:7" x14ac:dyDescent="0.25">
      <c r="B204" s="286"/>
      <c r="C204" s="286"/>
      <c r="G204" s="271"/>
    </row>
    <row r="205" spans="2:7" x14ac:dyDescent="0.25">
      <c r="B205" s="286"/>
      <c r="C205" s="286"/>
      <c r="G205" s="271"/>
    </row>
    <row r="206" spans="2:7" x14ac:dyDescent="0.25">
      <c r="B206" s="286"/>
      <c r="C206" s="286"/>
      <c r="G206" s="271"/>
    </row>
    <row r="207" spans="2:7" x14ac:dyDescent="0.25">
      <c r="B207" s="286"/>
      <c r="C207" s="286"/>
      <c r="G207" s="271"/>
    </row>
    <row r="208" spans="2:7" x14ac:dyDescent="0.25">
      <c r="B208" s="286"/>
      <c r="C208" s="286"/>
      <c r="G208" s="271"/>
    </row>
    <row r="209" spans="2:7" x14ac:dyDescent="0.25">
      <c r="B209" s="286"/>
      <c r="C209" s="286"/>
      <c r="G209" s="271"/>
    </row>
    <row r="210" spans="2:7" x14ac:dyDescent="0.25">
      <c r="B210" s="286"/>
      <c r="C210" s="286"/>
      <c r="G210" s="271"/>
    </row>
    <row r="211" spans="2:7" x14ac:dyDescent="0.25">
      <c r="B211" s="286"/>
      <c r="C211" s="286"/>
      <c r="G211" s="271"/>
    </row>
    <row r="212" spans="2:7" x14ac:dyDescent="0.25">
      <c r="B212" s="286"/>
      <c r="C212" s="286"/>
      <c r="G212" s="271"/>
    </row>
    <row r="213" spans="2:7" x14ac:dyDescent="0.25">
      <c r="B213" s="286"/>
      <c r="C213" s="286"/>
      <c r="G213" s="271"/>
    </row>
    <row r="214" spans="2:7" x14ac:dyDescent="0.25">
      <c r="B214" s="286"/>
      <c r="C214" s="286"/>
      <c r="G214" s="271"/>
    </row>
    <row r="215" spans="2:7" x14ac:dyDescent="0.25">
      <c r="B215" s="286"/>
      <c r="C215" s="286"/>
      <c r="G215" s="271"/>
    </row>
    <row r="216" spans="2:7" x14ac:dyDescent="0.25">
      <c r="B216" s="286"/>
      <c r="C216" s="286"/>
      <c r="G216" s="271"/>
    </row>
    <row r="217" spans="2:7" x14ac:dyDescent="0.25">
      <c r="B217" s="286"/>
      <c r="C217" s="286"/>
      <c r="G217" s="271"/>
    </row>
    <row r="218" spans="2:7" x14ac:dyDescent="0.25">
      <c r="B218" s="286"/>
      <c r="C218" s="286"/>
      <c r="G218" s="271"/>
    </row>
    <row r="219" spans="2:7" x14ac:dyDescent="0.25">
      <c r="B219" s="286"/>
      <c r="C219" s="286"/>
      <c r="G219" s="271"/>
    </row>
    <row r="220" spans="2:7" x14ac:dyDescent="0.25">
      <c r="B220" s="286"/>
      <c r="C220" s="286"/>
      <c r="G220" s="271"/>
    </row>
    <row r="221" spans="2:7" x14ac:dyDescent="0.25">
      <c r="B221" s="286"/>
      <c r="C221" s="286"/>
      <c r="G221" s="271"/>
    </row>
    <row r="222" spans="2:7" x14ac:dyDescent="0.25">
      <c r="B222" s="286"/>
      <c r="C222" s="286"/>
      <c r="G222" s="271"/>
    </row>
    <row r="223" spans="2:7" x14ac:dyDescent="0.25">
      <c r="B223" s="286"/>
      <c r="C223" s="286"/>
      <c r="G223" s="271"/>
    </row>
    <row r="224" spans="2:7" x14ac:dyDescent="0.25">
      <c r="B224" s="286"/>
      <c r="C224" s="286"/>
      <c r="G224" s="271"/>
    </row>
    <row r="225" spans="2:7" x14ac:dyDescent="0.25">
      <c r="B225" s="286"/>
      <c r="C225" s="286"/>
      <c r="G225" s="271"/>
    </row>
    <row r="226" spans="2:7" x14ac:dyDescent="0.25">
      <c r="B226" s="286"/>
      <c r="C226" s="286"/>
      <c r="G226" s="271"/>
    </row>
    <row r="227" spans="2:7" x14ac:dyDescent="0.25">
      <c r="B227" s="286"/>
      <c r="C227" s="286"/>
      <c r="G227" s="271"/>
    </row>
    <row r="228" spans="2:7" x14ac:dyDescent="0.25">
      <c r="B228" s="286"/>
      <c r="C228" s="286"/>
      <c r="G228" s="271"/>
    </row>
    <row r="229" spans="2:7" x14ac:dyDescent="0.25">
      <c r="B229" s="286"/>
      <c r="C229" s="286"/>
      <c r="G229" s="271"/>
    </row>
    <row r="230" spans="2:7" x14ac:dyDescent="0.25">
      <c r="B230" s="286"/>
      <c r="C230" s="286"/>
      <c r="G230" s="271"/>
    </row>
    <row r="231" spans="2:7" x14ac:dyDescent="0.25">
      <c r="B231" s="286"/>
      <c r="C231" s="286"/>
      <c r="G231" s="271"/>
    </row>
    <row r="232" spans="2:7" x14ac:dyDescent="0.25">
      <c r="B232" s="286"/>
      <c r="C232" s="286"/>
      <c r="G232" s="271"/>
    </row>
    <row r="233" spans="2:7" x14ac:dyDescent="0.25">
      <c r="B233" s="286"/>
      <c r="C233" s="286"/>
      <c r="G233" s="271"/>
    </row>
    <row r="234" spans="2:7" x14ac:dyDescent="0.25">
      <c r="B234" s="286"/>
      <c r="C234" s="286"/>
      <c r="G234" s="271"/>
    </row>
    <row r="235" spans="2:7" x14ac:dyDescent="0.25">
      <c r="B235" s="286"/>
      <c r="C235" s="286"/>
      <c r="G235" s="271"/>
    </row>
    <row r="236" spans="2:7" x14ac:dyDescent="0.25">
      <c r="B236" s="286"/>
      <c r="C236" s="286"/>
      <c r="G236" s="271"/>
    </row>
    <row r="237" spans="2:7" x14ac:dyDescent="0.25">
      <c r="B237" s="286"/>
      <c r="C237" s="286"/>
      <c r="G237" s="271"/>
    </row>
    <row r="238" spans="2:7" x14ac:dyDescent="0.25">
      <c r="B238" s="286"/>
      <c r="C238" s="286"/>
      <c r="G238" s="271"/>
    </row>
    <row r="239" spans="2:7" x14ac:dyDescent="0.25">
      <c r="B239" s="286"/>
      <c r="C239" s="286"/>
      <c r="G239" s="271"/>
    </row>
    <row r="240" spans="2:7" x14ac:dyDescent="0.25">
      <c r="B240" s="286"/>
      <c r="C240" s="286"/>
      <c r="G240" s="271"/>
    </row>
    <row r="241" spans="2:7" x14ac:dyDescent="0.25">
      <c r="B241" s="286"/>
      <c r="C241" s="286"/>
      <c r="G241" s="271"/>
    </row>
    <row r="242" spans="2:7" x14ac:dyDescent="0.25">
      <c r="B242" s="286"/>
      <c r="C242" s="286"/>
      <c r="G242" s="271"/>
    </row>
    <row r="243" spans="2:7" x14ac:dyDescent="0.25">
      <c r="B243" s="286"/>
      <c r="C243" s="286"/>
      <c r="G243" s="271"/>
    </row>
    <row r="244" spans="2:7" x14ac:dyDescent="0.25">
      <c r="B244" s="286"/>
      <c r="C244" s="286"/>
      <c r="G244" s="271"/>
    </row>
    <row r="245" spans="2:7" x14ac:dyDescent="0.25">
      <c r="B245" s="286"/>
      <c r="C245" s="286"/>
      <c r="G245" s="271"/>
    </row>
    <row r="246" spans="2:7" x14ac:dyDescent="0.25">
      <c r="B246" s="286"/>
      <c r="C246" s="286"/>
      <c r="G246" s="271"/>
    </row>
    <row r="247" spans="2:7" x14ac:dyDescent="0.25">
      <c r="B247" s="286"/>
      <c r="C247" s="286"/>
      <c r="G247" s="271"/>
    </row>
    <row r="248" spans="2:7" x14ac:dyDescent="0.25">
      <c r="B248" s="286"/>
      <c r="C248" s="286"/>
      <c r="G248" s="271"/>
    </row>
    <row r="249" spans="2:7" x14ac:dyDescent="0.25">
      <c r="B249" s="286"/>
      <c r="C249" s="286"/>
      <c r="G249" s="271"/>
    </row>
    <row r="250" spans="2:7" x14ac:dyDescent="0.25">
      <c r="B250" s="286"/>
      <c r="C250" s="286"/>
      <c r="G250" s="271"/>
    </row>
    <row r="251" spans="2:7" x14ac:dyDescent="0.25">
      <c r="B251" s="286"/>
      <c r="C251" s="286"/>
      <c r="G251" s="271"/>
    </row>
    <row r="252" spans="2:7" x14ac:dyDescent="0.25">
      <c r="B252" s="286"/>
      <c r="C252" s="286"/>
      <c r="G252" s="271"/>
    </row>
    <row r="253" spans="2:7" x14ac:dyDescent="0.25">
      <c r="B253" s="286"/>
      <c r="C253" s="286"/>
      <c r="G253" s="271"/>
    </row>
    <row r="254" spans="2:7" x14ac:dyDescent="0.25">
      <c r="B254" s="286"/>
      <c r="C254" s="286"/>
      <c r="G254" s="271"/>
    </row>
    <row r="255" spans="2:7" x14ac:dyDescent="0.25">
      <c r="B255" s="286"/>
      <c r="C255" s="286"/>
      <c r="G255" s="271"/>
    </row>
    <row r="256" spans="2:7" x14ac:dyDescent="0.25">
      <c r="B256" s="286"/>
      <c r="C256" s="286"/>
      <c r="G256" s="271"/>
    </row>
    <row r="257" spans="2:7" x14ac:dyDescent="0.25">
      <c r="B257" s="286"/>
      <c r="C257" s="286"/>
      <c r="G257" s="271"/>
    </row>
    <row r="258" spans="2:7" x14ac:dyDescent="0.25">
      <c r="B258" s="286"/>
      <c r="C258" s="286"/>
      <c r="G258" s="271"/>
    </row>
    <row r="259" spans="2:7" x14ac:dyDescent="0.25">
      <c r="B259" s="286"/>
      <c r="C259" s="286"/>
      <c r="G259" s="271"/>
    </row>
    <row r="260" spans="2:7" x14ac:dyDescent="0.25">
      <c r="B260" s="286"/>
      <c r="C260" s="286"/>
      <c r="G260" s="271"/>
    </row>
    <row r="261" spans="2:7" x14ac:dyDescent="0.25">
      <c r="B261" s="286"/>
      <c r="C261" s="286"/>
      <c r="G261" s="271"/>
    </row>
    <row r="262" spans="2:7" x14ac:dyDescent="0.25">
      <c r="B262" s="286"/>
      <c r="C262" s="286"/>
      <c r="G262" s="271"/>
    </row>
    <row r="263" spans="2:7" x14ac:dyDescent="0.25">
      <c r="B263" s="286"/>
      <c r="C263" s="286"/>
      <c r="G263" s="271"/>
    </row>
    <row r="264" spans="2:7" x14ac:dyDescent="0.25">
      <c r="B264" s="286"/>
      <c r="C264" s="286"/>
      <c r="G264" s="271"/>
    </row>
    <row r="265" spans="2:7" x14ac:dyDescent="0.25">
      <c r="B265" s="286"/>
      <c r="C265" s="286"/>
      <c r="G265" s="271"/>
    </row>
    <row r="266" spans="2:7" x14ac:dyDescent="0.25">
      <c r="B266" s="286"/>
      <c r="C266" s="286"/>
      <c r="G266" s="271"/>
    </row>
    <row r="267" spans="2:7" x14ac:dyDescent="0.25">
      <c r="B267" s="286"/>
      <c r="C267" s="286"/>
      <c r="G267" s="271"/>
    </row>
    <row r="268" spans="2:7" x14ac:dyDescent="0.25">
      <c r="B268" s="286"/>
      <c r="C268" s="286"/>
      <c r="G268" s="271"/>
    </row>
    <row r="269" spans="2:7" x14ac:dyDescent="0.25">
      <c r="B269" s="286"/>
      <c r="C269" s="286"/>
      <c r="G269" s="271"/>
    </row>
    <row r="270" spans="2:7" x14ac:dyDescent="0.25">
      <c r="B270" s="286"/>
      <c r="C270" s="286"/>
      <c r="G270" s="271"/>
    </row>
    <row r="271" spans="2:7" x14ac:dyDescent="0.25">
      <c r="B271" s="286"/>
      <c r="C271" s="286"/>
      <c r="G271" s="271"/>
    </row>
    <row r="272" spans="2:7" x14ac:dyDescent="0.25">
      <c r="B272" s="286"/>
      <c r="C272" s="286"/>
      <c r="G272" s="271"/>
    </row>
    <row r="273" spans="2:7" x14ac:dyDescent="0.25">
      <c r="B273" s="286"/>
      <c r="C273" s="286"/>
      <c r="G273" s="271"/>
    </row>
    <row r="274" spans="2:7" x14ac:dyDescent="0.25">
      <c r="B274" s="286"/>
      <c r="C274" s="286"/>
      <c r="G274" s="271"/>
    </row>
    <row r="275" spans="2:7" x14ac:dyDescent="0.25">
      <c r="B275" s="286"/>
      <c r="C275" s="286"/>
      <c r="G275" s="271"/>
    </row>
    <row r="276" spans="2:7" x14ac:dyDescent="0.25">
      <c r="B276" s="286"/>
      <c r="C276" s="286"/>
      <c r="G276" s="271"/>
    </row>
    <row r="277" spans="2:7" x14ac:dyDescent="0.25">
      <c r="B277" s="286"/>
      <c r="C277" s="286"/>
      <c r="G277" s="271"/>
    </row>
    <row r="278" spans="2:7" x14ac:dyDescent="0.25">
      <c r="B278" s="286"/>
      <c r="C278" s="286"/>
      <c r="G278" s="271"/>
    </row>
    <row r="279" spans="2:7" x14ac:dyDescent="0.25">
      <c r="B279" s="286"/>
      <c r="C279" s="286"/>
      <c r="G279" s="271"/>
    </row>
    <row r="280" spans="2:7" x14ac:dyDescent="0.25">
      <c r="B280" s="286"/>
      <c r="C280" s="286"/>
      <c r="G280" s="271"/>
    </row>
    <row r="281" spans="2:7" x14ac:dyDescent="0.25">
      <c r="B281" s="286"/>
      <c r="C281" s="286"/>
      <c r="G281" s="271"/>
    </row>
    <row r="282" spans="2:7" x14ac:dyDescent="0.25">
      <c r="B282" s="286"/>
      <c r="C282" s="286"/>
      <c r="G282" s="271"/>
    </row>
    <row r="283" spans="2:7" x14ac:dyDescent="0.25">
      <c r="B283" s="286"/>
      <c r="C283" s="286"/>
      <c r="G283" s="271"/>
    </row>
    <row r="284" spans="2:7" x14ac:dyDescent="0.25">
      <c r="B284" s="286"/>
      <c r="C284" s="286"/>
      <c r="G284" s="271"/>
    </row>
    <row r="285" spans="2:7" x14ac:dyDescent="0.25">
      <c r="B285" s="286"/>
      <c r="C285" s="286"/>
      <c r="G285" s="271"/>
    </row>
    <row r="286" spans="2:7" x14ac:dyDescent="0.25">
      <c r="B286" s="286"/>
      <c r="C286" s="286"/>
      <c r="G286" s="271"/>
    </row>
    <row r="287" spans="2:7" x14ac:dyDescent="0.25">
      <c r="B287" s="286"/>
      <c r="C287" s="286"/>
      <c r="G287" s="271"/>
    </row>
    <row r="288" spans="2:7" x14ac:dyDescent="0.25">
      <c r="B288" s="286"/>
      <c r="C288" s="286"/>
      <c r="G288" s="271"/>
    </row>
    <row r="289" spans="2:7" x14ac:dyDescent="0.25">
      <c r="B289" s="286"/>
      <c r="C289" s="286"/>
      <c r="G289" s="271"/>
    </row>
    <row r="290" spans="2:7" x14ac:dyDescent="0.25">
      <c r="B290" s="286"/>
      <c r="C290" s="286"/>
      <c r="G290" s="271"/>
    </row>
    <row r="291" spans="2:7" x14ac:dyDescent="0.25">
      <c r="B291" s="286"/>
      <c r="C291" s="286"/>
      <c r="G291" s="271"/>
    </row>
    <row r="292" spans="2:7" x14ac:dyDescent="0.25">
      <c r="B292" s="286"/>
      <c r="C292" s="286"/>
      <c r="G292" s="271"/>
    </row>
    <row r="293" spans="2:7" x14ac:dyDescent="0.25">
      <c r="B293" s="286"/>
      <c r="C293" s="286"/>
      <c r="G293" s="271"/>
    </row>
    <row r="294" spans="2:7" x14ac:dyDescent="0.25">
      <c r="B294" s="286"/>
      <c r="C294" s="286"/>
      <c r="G294" s="271"/>
    </row>
    <row r="295" spans="2:7" x14ac:dyDescent="0.25">
      <c r="B295" s="286"/>
      <c r="C295" s="286"/>
      <c r="G295" s="271"/>
    </row>
    <row r="296" spans="2:7" x14ac:dyDescent="0.25">
      <c r="B296" s="286"/>
      <c r="C296" s="286"/>
      <c r="G296" s="271"/>
    </row>
    <row r="297" spans="2:7" x14ac:dyDescent="0.25">
      <c r="B297" s="286"/>
      <c r="C297" s="286"/>
      <c r="G297" s="271"/>
    </row>
    <row r="298" spans="2:7" x14ac:dyDescent="0.25">
      <c r="B298" s="286"/>
      <c r="C298" s="286"/>
      <c r="G298" s="271"/>
    </row>
    <row r="299" spans="2:7" x14ac:dyDescent="0.25">
      <c r="B299" s="286"/>
      <c r="C299" s="286"/>
      <c r="G299" s="271"/>
    </row>
    <row r="300" spans="2:7" x14ac:dyDescent="0.25">
      <c r="B300" s="286"/>
      <c r="C300" s="286"/>
      <c r="G300" s="271"/>
    </row>
    <row r="301" spans="2:7" x14ac:dyDescent="0.25">
      <c r="B301" s="286"/>
      <c r="C301" s="286"/>
      <c r="G301" s="271"/>
    </row>
    <row r="302" spans="2:7" x14ac:dyDescent="0.25">
      <c r="B302" s="286"/>
      <c r="C302" s="286"/>
      <c r="G302" s="271"/>
    </row>
    <row r="303" spans="2:7" x14ac:dyDescent="0.25">
      <c r="B303" s="286"/>
      <c r="C303" s="286"/>
      <c r="G303" s="271"/>
    </row>
    <row r="304" spans="2:7" x14ac:dyDescent="0.25">
      <c r="B304" s="286"/>
      <c r="C304" s="286"/>
      <c r="G304" s="271"/>
    </row>
    <row r="305" spans="2:7" x14ac:dyDescent="0.25">
      <c r="B305" s="286"/>
      <c r="C305" s="286"/>
      <c r="G305" s="271"/>
    </row>
    <row r="306" spans="2:7" x14ac:dyDescent="0.25">
      <c r="B306" s="286"/>
      <c r="C306" s="286"/>
      <c r="G306" s="271"/>
    </row>
    <row r="307" spans="2:7" x14ac:dyDescent="0.25">
      <c r="B307" s="286"/>
      <c r="C307" s="286"/>
      <c r="G307" s="271"/>
    </row>
    <row r="308" spans="2:7" x14ac:dyDescent="0.25">
      <c r="B308" s="286"/>
      <c r="C308" s="286"/>
      <c r="G308" s="271"/>
    </row>
    <row r="309" spans="2:7" x14ac:dyDescent="0.25">
      <c r="B309" s="286"/>
      <c r="C309" s="286"/>
      <c r="G309" s="271"/>
    </row>
    <row r="310" spans="2:7" x14ac:dyDescent="0.25">
      <c r="B310" s="286"/>
      <c r="C310" s="286"/>
      <c r="G310" s="271"/>
    </row>
    <row r="311" spans="2:7" x14ac:dyDescent="0.25">
      <c r="B311" s="286"/>
      <c r="C311" s="286"/>
      <c r="G311" s="271"/>
    </row>
    <row r="312" spans="2:7" x14ac:dyDescent="0.25">
      <c r="B312" s="286"/>
      <c r="C312" s="286"/>
      <c r="G312" s="271"/>
    </row>
    <row r="313" spans="2:7" x14ac:dyDescent="0.25">
      <c r="B313" s="286"/>
      <c r="C313" s="286"/>
      <c r="G313" s="271"/>
    </row>
    <row r="314" spans="2:7" x14ac:dyDescent="0.25">
      <c r="B314" s="286"/>
      <c r="C314" s="286"/>
      <c r="G314" s="271"/>
    </row>
    <row r="315" spans="2:7" x14ac:dyDescent="0.25">
      <c r="B315" s="286"/>
      <c r="C315" s="286"/>
      <c r="G315" s="271"/>
    </row>
    <row r="316" spans="2:7" x14ac:dyDescent="0.25">
      <c r="B316" s="286"/>
      <c r="C316" s="286"/>
      <c r="G316" s="271"/>
    </row>
    <row r="317" spans="2:7" x14ac:dyDescent="0.25">
      <c r="B317" s="286"/>
      <c r="C317" s="286"/>
      <c r="G317" s="271"/>
    </row>
    <row r="318" spans="2:7" x14ac:dyDescent="0.25">
      <c r="B318" s="286"/>
      <c r="C318" s="286"/>
      <c r="G318" s="271"/>
    </row>
    <row r="319" spans="2:7" x14ac:dyDescent="0.25">
      <c r="B319" s="286"/>
      <c r="C319" s="286"/>
      <c r="G319" s="271"/>
    </row>
    <row r="320" spans="2:7" x14ac:dyDescent="0.25">
      <c r="B320" s="286"/>
      <c r="C320" s="286"/>
      <c r="G320" s="271"/>
    </row>
    <row r="321" spans="2:7" x14ac:dyDescent="0.25">
      <c r="B321" s="286"/>
      <c r="C321" s="286"/>
      <c r="G321" s="271"/>
    </row>
    <row r="322" spans="2:7" x14ac:dyDescent="0.25">
      <c r="B322" s="286"/>
      <c r="C322" s="286"/>
      <c r="G322" s="271"/>
    </row>
    <row r="323" spans="2:7" x14ac:dyDescent="0.25">
      <c r="B323" s="286"/>
      <c r="C323" s="286"/>
      <c r="G323" s="271"/>
    </row>
    <row r="324" spans="2:7" x14ac:dyDescent="0.25">
      <c r="B324" s="286"/>
      <c r="C324" s="286"/>
      <c r="G324" s="271"/>
    </row>
    <row r="325" spans="2:7" x14ac:dyDescent="0.25">
      <c r="B325" s="286"/>
      <c r="C325" s="286"/>
      <c r="G325" s="271"/>
    </row>
    <row r="326" spans="2:7" x14ac:dyDescent="0.25">
      <c r="B326" s="286"/>
      <c r="C326" s="286"/>
      <c r="G326" s="271"/>
    </row>
    <row r="327" spans="2:7" x14ac:dyDescent="0.25">
      <c r="B327" s="286"/>
      <c r="C327" s="286"/>
      <c r="G327" s="271"/>
    </row>
    <row r="328" spans="2:7" x14ac:dyDescent="0.25">
      <c r="B328" s="286"/>
      <c r="C328" s="286"/>
      <c r="G328" s="271"/>
    </row>
    <row r="329" spans="2:7" x14ac:dyDescent="0.25">
      <c r="B329" s="286"/>
      <c r="C329" s="286"/>
      <c r="G329" s="271"/>
    </row>
    <row r="330" spans="2:7" x14ac:dyDescent="0.25">
      <c r="B330" s="286"/>
      <c r="C330" s="286"/>
      <c r="G330" s="271"/>
    </row>
    <row r="331" spans="2:7" x14ac:dyDescent="0.25">
      <c r="B331" s="286"/>
      <c r="C331" s="286"/>
      <c r="G331" s="271"/>
    </row>
    <row r="332" spans="2:7" x14ac:dyDescent="0.25">
      <c r="B332" s="286"/>
      <c r="C332" s="286"/>
      <c r="G332" s="271"/>
    </row>
    <row r="333" spans="2:7" x14ac:dyDescent="0.25">
      <c r="B333" s="286"/>
      <c r="C333" s="286"/>
      <c r="G333" s="271"/>
    </row>
    <row r="334" spans="2:7" x14ac:dyDescent="0.25">
      <c r="B334" s="286"/>
      <c r="C334" s="286"/>
      <c r="G334" s="271"/>
    </row>
    <row r="335" spans="2:7" x14ac:dyDescent="0.25">
      <c r="B335" s="286"/>
      <c r="C335" s="286"/>
      <c r="G335" s="271"/>
    </row>
    <row r="336" spans="2:7" x14ac:dyDescent="0.25">
      <c r="B336" s="286"/>
      <c r="C336" s="286"/>
      <c r="G336" s="271"/>
    </row>
    <row r="337" spans="2:7" x14ac:dyDescent="0.25">
      <c r="B337" s="286"/>
      <c r="C337" s="286"/>
      <c r="G337" s="271"/>
    </row>
    <row r="338" spans="2:7" x14ac:dyDescent="0.25">
      <c r="B338" s="286"/>
      <c r="C338" s="286"/>
      <c r="G338" s="271"/>
    </row>
    <row r="339" spans="2:7" x14ac:dyDescent="0.25">
      <c r="B339" s="286"/>
      <c r="C339" s="286"/>
      <c r="G339" s="271"/>
    </row>
    <row r="340" spans="2:7" x14ac:dyDescent="0.25">
      <c r="B340" s="286"/>
      <c r="C340" s="286"/>
      <c r="G340" s="271"/>
    </row>
    <row r="341" spans="2:7" x14ac:dyDescent="0.25">
      <c r="B341" s="286"/>
      <c r="C341" s="286"/>
      <c r="G341" s="271"/>
    </row>
    <row r="342" spans="2:7" x14ac:dyDescent="0.25">
      <c r="B342" s="286"/>
      <c r="C342" s="286"/>
      <c r="G342" s="271"/>
    </row>
    <row r="343" spans="2:7" x14ac:dyDescent="0.25">
      <c r="B343" s="286"/>
      <c r="C343" s="286"/>
      <c r="G343" s="271"/>
    </row>
    <row r="344" spans="2:7" x14ac:dyDescent="0.25">
      <c r="B344" s="286"/>
      <c r="C344" s="286"/>
      <c r="G344" s="271"/>
    </row>
    <row r="345" spans="2:7" x14ac:dyDescent="0.25">
      <c r="B345" s="286"/>
      <c r="C345" s="286"/>
      <c r="G345" s="271"/>
    </row>
    <row r="346" spans="2:7" x14ac:dyDescent="0.25">
      <c r="B346" s="286"/>
      <c r="C346" s="286"/>
      <c r="G346" s="271"/>
    </row>
    <row r="347" spans="2:7" x14ac:dyDescent="0.25">
      <c r="B347" s="286"/>
      <c r="C347" s="286"/>
      <c r="G347" s="271"/>
    </row>
    <row r="348" spans="2:7" x14ac:dyDescent="0.25">
      <c r="B348" s="286"/>
      <c r="C348" s="286"/>
      <c r="G348" s="271"/>
    </row>
    <row r="349" spans="2:7" x14ac:dyDescent="0.25">
      <c r="B349" s="286"/>
      <c r="C349" s="286"/>
      <c r="G349" s="271"/>
    </row>
    <row r="350" spans="2:7" x14ac:dyDescent="0.25">
      <c r="B350" s="286"/>
      <c r="C350" s="286"/>
      <c r="G350" s="271"/>
    </row>
    <row r="351" spans="2:7" x14ac:dyDescent="0.25">
      <c r="B351" s="286"/>
      <c r="C351" s="286"/>
      <c r="G351" s="271"/>
    </row>
    <row r="352" spans="2:7" x14ac:dyDescent="0.25">
      <c r="B352" s="286"/>
      <c r="C352" s="286"/>
      <c r="G352" s="271"/>
    </row>
    <row r="353" spans="2:7" x14ac:dyDescent="0.25">
      <c r="B353" s="286"/>
      <c r="C353" s="286"/>
      <c r="G353" s="271"/>
    </row>
    <row r="354" spans="2:7" x14ac:dyDescent="0.25">
      <c r="B354" s="286"/>
      <c r="C354" s="286"/>
      <c r="G354" s="271"/>
    </row>
    <row r="355" spans="2:7" x14ac:dyDescent="0.25">
      <c r="B355" s="286"/>
      <c r="C355" s="286"/>
      <c r="G355" s="271"/>
    </row>
    <row r="356" spans="2:7" x14ac:dyDescent="0.25">
      <c r="B356" s="286"/>
      <c r="C356" s="286"/>
      <c r="G356" s="271"/>
    </row>
    <row r="357" spans="2:7" x14ac:dyDescent="0.25">
      <c r="B357" s="286"/>
      <c r="C357" s="286"/>
      <c r="G357" s="271"/>
    </row>
    <row r="358" spans="2:7" x14ac:dyDescent="0.25">
      <c r="B358" s="286"/>
      <c r="C358" s="286"/>
      <c r="G358" s="271"/>
    </row>
    <row r="359" spans="2:7" x14ac:dyDescent="0.25">
      <c r="B359" s="286"/>
      <c r="C359" s="286"/>
      <c r="G359" s="271"/>
    </row>
    <row r="360" spans="2:7" x14ac:dyDescent="0.25">
      <c r="B360" s="286"/>
      <c r="C360" s="286"/>
      <c r="G360" s="271"/>
    </row>
    <row r="361" spans="2:7" x14ac:dyDescent="0.25">
      <c r="B361" s="286"/>
      <c r="C361" s="286"/>
      <c r="G361" s="271"/>
    </row>
    <row r="362" spans="2:7" x14ac:dyDescent="0.25">
      <c r="B362" s="286"/>
      <c r="C362" s="286"/>
      <c r="G362" s="271"/>
    </row>
    <row r="363" spans="2:7" x14ac:dyDescent="0.25">
      <c r="B363" s="286"/>
      <c r="C363" s="286"/>
      <c r="G363" s="271"/>
    </row>
    <row r="364" spans="2:7" x14ac:dyDescent="0.25">
      <c r="B364" s="286"/>
      <c r="C364" s="286"/>
      <c r="G364" s="271"/>
    </row>
    <row r="365" spans="2:7" x14ac:dyDescent="0.25">
      <c r="B365" s="286"/>
      <c r="C365" s="286"/>
      <c r="G365" s="271"/>
    </row>
    <row r="366" spans="2:7" x14ac:dyDescent="0.25">
      <c r="B366" s="286"/>
      <c r="C366" s="286"/>
      <c r="G366" s="271"/>
    </row>
    <row r="367" spans="2:7" x14ac:dyDescent="0.25">
      <c r="B367" s="286"/>
      <c r="C367" s="286"/>
      <c r="G367" s="271"/>
    </row>
    <row r="368" spans="2:7" x14ac:dyDescent="0.25">
      <c r="B368" s="286"/>
      <c r="C368" s="286"/>
      <c r="G368" s="271"/>
    </row>
    <row r="369" spans="2:7" x14ac:dyDescent="0.25">
      <c r="B369" s="286"/>
      <c r="C369" s="286"/>
      <c r="G369" s="271"/>
    </row>
    <row r="370" spans="2:7" x14ac:dyDescent="0.25">
      <c r="B370" s="286"/>
      <c r="C370" s="286"/>
      <c r="G370" s="271"/>
    </row>
    <row r="371" spans="2:7" x14ac:dyDescent="0.25">
      <c r="B371" s="286"/>
      <c r="C371" s="286"/>
      <c r="G371" s="271"/>
    </row>
    <row r="372" spans="2:7" x14ac:dyDescent="0.25">
      <c r="B372" s="286"/>
      <c r="C372" s="286"/>
      <c r="G372" s="271"/>
    </row>
    <row r="373" spans="2:7" x14ac:dyDescent="0.25">
      <c r="B373" s="286"/>
      <c r="C373" s="286"/>
      <c r="G373" s="271"/>
    </row>
    <row r="374" spans="2:7" x14ac:dyDescent="0.25">
      <c r="B374" s="286"/>
      <c r="C374" s="286"/>
      <c r="G374" s="271"/>
    </row>
    <row r="375" spans="2:7" x14ac:dyDescent="0.25">
      <c r="B375" s="286"/>
      <c r="C375" s="286"/>
      <c r="G375" s="271"/>
    </row>
    <row r="376" spans="2:7" x14ac:dyDescent="0.25">
      <c r="B376" s="286"/>
      <c r="C376" s="286"/>
      <c r="G376" s="271"/>
    </row>
    <row r="377" spans="2:7" x14ac:dyDescent="0.25">
      <c r="B377" s="286"/>
      <c r="C377" s="286"/>
      <c r="G377" s="271"/>
    </row>
    <row r="378" spans="2:7" x14ac:dyDescent="0.25">
      <c r="B378" s="286"/>
      <c r="C378" s="286"/>
      <c r="G378" s="271"/>
    </row>
    <row r="379" spans="2:7" x14ac:dyDescent="0.25">
      <c r="B379" s="286"/>
      <c r="C379" s="286"/>
      <c r="G379" s="271"/>
    </row>
    <row r="380" spans="2:7" x14ac:dyDescent="0.25">
      <c r="B380" s="286"/>
      <c r="C380" s="286"/>
      <c r="G380" s="271"/>
    </row>
    <row r="381" spans="2:7" x14ac:dyDescent="0.25">
      <c r="B381" s="286"/>
      <c r="C381" s="286"/>
      <c r="G381" s="271"/>
    </row>
    <row r="382" spans="2:7" x14ac:dyDescent="0.25">
      <c r="B382" s="286"/>
      <c r="C382" s="286"/>
      <c r="G382" s="271"/>
    </row>
    <row r="383" spans="2:7" x14ac:dyDescent="0.25">
      <c r="B383" s="286"/>
      <c r="C383" s="286"/>
      <c r="G383" s="271"/>
    </row>
    <row r="384" spans="2:7" x14ac:dyDescent="0.25">
      <c r="B384" s="286"/>
      <c r="C384" s="286"/>
      <c r="G384" s="271"/>
    </row>
    <row r="385" spans="2:7" x14ac:dyDescent="0.25">
      <c r="B385" s="286"/>
      <c r="C385" s="286"/>
      <c r="G385" s="271"/>
    </row>
    <row r="386" spans="2:7" x14ac:dyDescent="0.25">
      <c r="B386" s="286"/>
      <c r="C386" s="286"/>
      <c r="G386" s="271"/>
    </row>
    <row r="387" spans="2:7" x14ac:dyDescent="0.25">
      <c r="B387" s="286"/>
      <c r="C387" s="286"/>
      <c r="G387" s="271"/>
    </row>
    <row r="388" spans="2:7" x14ac:dyDescent="0.25">
      <c r="B388" s="286"/>
      <c r="C388" s="286"/>
      <c r="G388" s="271"/>
    </row>
    <row r="389" spans="2:7" x14ac:dyDescent="0.25">
      <c r="B389" s="286"/>
      <c r="C389" s="286"/>
      <c r="G389" s="271"/>
    </row>
    <row r="390" spans="2:7" x14ac:dyDescent="0.25">
      <c r="B390" s="286"/>
      <c r="C390" s="286"/>
      <c r="G390" s="271"/>
    </row>
    <row r="391" spans="2:7" x14ac:dyDescent="0.25">
      <c r="B391" s="286"/>
      <c r="C391" s="286"/>
      <c r="G391" s="271"/>
    </row>
    <row r="392" spans="2:7" x14ac:dyDescent="0.25">
      <c r="B392" s="286"/>
      <c r="C392" s="286"/>
      <c r="G392" s="271"/>
    </row>
    <row r="393" spans="2:7" x14ac:dyDescent="0.25">
      <c r="B393" s="286"/>
      <c r="C393" s="286"/>
      <c r="G393" s="271"/>
    </row>
    <row r="394" spans="2:7" x14ac:dyDescent="0.25">
      <c r="B394" s="286"/>
      <c r="C394" s="286"/>
      <c r="G394" s="271"/>
    </row>
    <row r="395" spans="2:7" x14ac:dyDescent="0.25">
      <c r="B395" s="286"/>
      <c r="C395" s="286"/>
      <c r="G395" s="271"/>
    </row>
    <row r="396" spans="2:7" x14ac:dyDescent="0.25">
      <c r="B396" s="286"/>
      <c r="C396" s="286"/>
      <c r="G396" s="271"/>
    </row>
    <row r="397" spans="2:7" x14ac:dyDescent="0.25">
      <c r="B397" s="286"/>
      <c r="C397" s="286"/>
      <c r="G397" s="271"/>
    </row>
    <row r="398" spans="2:7" x14ac:dyDescent="0.25">
      <c r="B398" s="286"/>
      <c r="C398" s="286"/>
      <c r="G398" s="271"/>
    </row>
    <row r="399" spans="2:7" x14ac:dyDescent="0.25">
      <c r="B399" s="286"/>
      <c r="C399" s="286"/>
      <c r="G399" s="271"/>
    </row>
    <row r="400" spans="2:7" x14ac:dyDescent="0.25">
      <c r="B400" s="286"/>
      <c r="C400" s="286"/>
      <c r="G400" s="271"/>
    </row>
    <row r="401" spans="2:7" x14ac:dyDescent="0.25">
      <c r="B401" s="286"/>
      <c r="C401" s="286"/>
      <c r="G401" s="271"/>
    </row>
    <row r="402" spans="2:7" x14ac:dyDescent="0.25">
      <c r="B402" s="286"/>
      <c r="C402" s="286"/>
      <c r="G402" s="271"/>
    </row>
    <row r="403" spans="2:7" x14ac:dyDescent="0.25">
      <c r="B403" s="286"/>
      <c r="C403" s="286"/>
      <c r="G403" s="271"/>
    </row>
    <row r="404" spans="2:7" x14ac:dyDescent="0.25">
      <c r="B404" s="286"/>
      <c r="C404" s="286"/>
      <c r="G404" s="271"/>
    </row>
    <row r="405" spans="2:7" x14ac:dyDescent="0.25">
      <c r="B405" s="286"/>
      <c r="C405" s="286"/>
      <c r="G405" s="271"/>
    </row>
    <row r="406" spans="2:7" x14ac:dyDescent="0.25">
      <c r="B406" s="286"/>
      <c r="C406" s="286"/>
      <c r="G406" s="271"/>
    </row>
    <row r="407" spans="2:7" x14ac:dyDescent="0.25">
      <c r="B407" s="286"/>
      <c r="C407" s="286"/>
      <c r="G407" s="271"/>
    </row>
    <row r="408" spans="2:7" x14ac:dyDescent="0.25">
      <c r="B408" s="286"/>
      <c r="C408" s="286"/>
      <c r="G408" s="271"/>
    </row>
    <row r="409" spans="2:7" x14ac:dyDescent="0.25">
      <c r="B409" s="286"/>
      <c r="C409" s="286"/>
      <c r="G409" s="271"/>
    </row>
    <row r="410" spans="2:7" x14ac:dyDescent="0.25">
      <c r="B410" s="286"/>
      <c r="C410" s="286"/>
      <c r="G410" s="271"/>
    </row>
    <row r="411" spans="2:7" x14ac:dyDescent="0.25">
      <c r="B411" s="286"/>
      <c r="C411" s="286"/>
      <c r="G411" s="271"/>
    </row>
    <row r="412" spans="2:7" x14ac:dyDescent="0.25">
      <c r="B412" s="286"/>
      <c r="C412" s="286"/>
      <c r="G412" s="271"/>
    </row>
    <row r="413" spans="2:7" x14ac:dyDescent="0.25">
      <c r="B413" s="286"/>
      <c r="C413" s="286"/>
      <c r="G413" s="271"/>
    </row>
    <row r="414" spans="2:7" x14ac:dyDescent="0.25">
      <c r="B414" s="286"/>
      <c r="C414" s="286"/>
      <c r="G414" s="271"/>
    </row>
    <row r="415" spans="2:7" x14ac:dyDescent="0.25">
      <c r="B415" s="286"/>
      <c r="C415" s="286"/>
      <c r="G415" s="271"/>
    </row>
    <row r="416" spans="2:7" x14ac:dyDescent="0.25">
      <c r="B416" s="286"/>
      <c r="C416" s="286"/>
      <c r="G416" s="271"/>
    </row>
    <row r="417" spans="2:7" x14ac:dyDescent="0.25">
      <c r="B417" s="286"/>
      <c r="C417" s="286"/>
      <c r="G417" s="271"/>
    </row>
    <row r="418" spans="2:7" x14ac:dyDescent="0.25">
      <c r="B418" s="286"/>
      <c r="C418" s="286"/>
      <c r="G418" s="271"/>
    </row>
    <row r="419" spans="2:7" x14ac:dyDescent="0.25">
      <c r="B419" s="286"/>
      <c r="C419" s="286"/>
      <c r="G419" s="271"/>
    </row>
    <row r="420" spans="2:7" x14ac:dyDescent="0.25">
      <c r="B420" s="286"/>
      <c r="C420" s="286"/>
      <c r="G420" s="271"/>
    </row>
    <row r="421" spans="2:7" x14ac:dyDescent="0.25">
      <c r="B421" s="286"/>
      <c r="C421" s="286"/>
      <c r="G421" s="271"/>
    </row>
    <row r="422" spans="2:7" x14ac:dyDescent="0.25">
      <c r="B422" s="286"/>
      <c r="C422" s="286"/>
      <c r="G422" s="271"/>
    </row>
    <row r="423" spans="2:7" x14ac:dyDescent="0.25">
      <c r="B423" s="286"/>
      <c r="C423" s="286"/>
      <c r="G423" s="271"/>
    </row>
    <row r="424" spans="2:7" x14ac:dyDescent="0.25">
      <c r="B424" s="286"/>
      <c r="C424" s="286"/>
      <c r="G424" s="271"/>
    </row>
    <row r="425" spans="2:7" x14ac:dyDescent="0.25">
      <c r="B425" s="286"/>
      <c r="C425" s="286"/>
      <c r="G425" s="271"/>
    </row>
    <row r="426" spans="2:7" x14ac:dyDescent="0.25">
      <c r="B426" s="286"/>
      <c r="C426" s="286"/>
      <c r="G426" s="271"/>
    </row>
    <row r="427" spans="2:7" x14ac:dyDescent="0.25">
      <c r="B427" s="286"/>
      <c r="C427" s="286"/>
      <c r="G427" s="271"/>
    </row>
    <row r="428" spans="2:7" x14ac:dyDescent="0.25">
      <c r="B428" s="286"/>
      <c r="C428" s="286"/>
      <c r="G428" s="271"/>
    </row>
    <row r="429" spans="2:7" x14ac:dyDescent="0.25">
      <c r="B429" s="286"/>
      <c r="C429" s="286"/>
      <c r="G429" s="271"/>
    </row>
    <row r="430" spans="2:7" x14ac:dyDescent="0.25">
      <c r="B430" s="286"/>
      <c r="C430" s="286"/>
      <c r="G430" s="271"/>
    </row>
    <row r="431" spans="2:7" x14ac:dyDescent="0.25">
      <c r="B431" s="286"/>
      <c r="C431" s="286"/>
      <c r="G431" s="271"/>
    </row>
    <row r="432" spans="2:7" x14ac:dyDescent="0.25">
      <c r="B432" s="286"/>
      <c r="C432" s="286"/>
      <c r="G432" s="271"/>
    </row>
    <row r="433" spans="2:7" x14ac:dyDescent="0.25">
      <c r="B433" s="286"/>
      <c r="C433" s="286"/>
      <c r="G433" s="271"/>
    </row>
    <row r="434" spans="2:7" x14ac:dyDescent="0.25">
      <c r="B434" s="286"/>
      <c r="C434" s="286"/>
      <c r="G434" s="271"/>
    </row>
    <row r="435" spans="2:7" x14ac:dyDescent="0.25">
      <c r="B435" s="286"/>
      <c r="C435" s="286"/>
      <c r="G435" s="271"/>
    </row>
    <row r="436" spans="2:7" x14ac:dyDescent="0.25">
      <c r="B436" s="286"/>
      <c r="C436" s="286"/>
      <c r="G436" s="271"/>
    </row>
    <row r="437" spans="2:7" x14ac:dyDescent="0.25">
      <c r="B437" s="286"/>
      <c r="C437" s="286"/>
      <c r="G437" s="271"/>
    </row>
    <row r="438" spans="2:7" x14ac:dyDescent="0.25">
      <c r="B438" s="286"/>
      <c r="C438" s="286"/>
      <c r="G438" s="271"/>
    </row>
    <row r="439" spans="2:7" x14ac:dyDescent="0.25">
      <c r="B439" s="286"/>
      <c r="C439" s="286"/>
      <c r="G439" s="271"/>
    </row>
    <row r="440" spans="2:7" x14ac:dyDescent="0.25">
      <c r="B440" s="286"/>
      <c r="C440" s="286"/>
      <c r="G440" s="271"/>
    </row>
    <row r="441" spans="2:7" x14ac:dyDescent="0.25">
      <c r="B441" s="286"/>
      <c r="C441" s="286"/>
      <c r="G441" s="271"/>
    </row>
    <row r="442" spans="2:7" x14ac:dyDescent="0.25">
      <c r="B442" s="286"/>
      <c r="C442" s="286"/>
      <c r="G442" s="271"/>
    </row>
    <row r="443" spans="2:7" x14ac:dyDescent="0.25">
      <c r="B443" s="286"/>
      <c r="C443" s="286"/>
      <c r="G443" s="271"/>
    </row>
    <row r="444" spans="2:7" x14ac:dyDescent="0.25">
      <c r="B444" s="286"/>
      <c r="C444" s="286"/>
      <c r="G444" s="271"/>
    </row>
    <row r="445" spans="2:7" x14ac:dyDescent="0.25">
      <c r="B445" s="286"/>
      <c r="C445" s="286"/>
      <c r="G445" s="271"/>
    </row>
    <row r="446" spans="2:7" x14ac:dyDescent="0.25">
      <c r="B446" s="286"/>
      <c r="C446" s="286"/>
      <c r="G446" s="271"/>
    </row>
    <row r="447" spans="2:7" x14ac:dyDescent="0.25">
      <c r="B447" s="286"/>
      <c r="C447" s="286"/>
      <c r="G447" s="271"/>
    </row>
    <row r="448" spans="2:7" x14ac:dyDescent="0.25">
      <c r="B448" s="286"/>
      <c r="C448" s="286"/>
      <c r="G448" s="271"/>
    </row>
    <row r="449" spans="2:7" x14ac:dyDescent="0.25">
      <c r="B449" s="286"/>
      <c r="C449" s="286"/>
      <c r="G449" s="271"/>
    </row>
    <row r="450" spans="2:7" x14ac:dyDescent="0.25">
      <c r="B450" s="286"/>
      <c r="C450" s="286"/>
      <c r="G450" s="271"/>
    </row>
    <row r="451" spans="2:7" x14ac:dyDescent="0.25">
      <c r="B451" s="286"/>
      <c r="C451" s="286"/>
      <c r="G451" s="271"/>
    </row>
    <row r="452" spans="2:7" x14ac:dyDescent="0.25">
      <c r="B452" s="286"/>
      <c r="C452" s="286"/>
      <c r="G452" s="271"/>
    </row>
    <row r="453" spans="2:7" x14ac:dyDescent="0.25">
      <c r="B453" s="286"/>
      <c r="C453" s="286"/>
      <c r="G453" s="271"/>
    </row>
    <row r="454" spans="2:7" x14ac:dyDescent="0.25">
      <c r="B454" s="286"/>
      <c r="C454" s="286"/>
      <c r="G454" s="271"/>
    </row>
    <row r="455" spans="2:7" x14ac:dyDescent="0.25">
      <c r="B455" s="286"/>
      <c r="C455" s="286"/>
      <c r="G455" s="271"/>
    </row>
    <row r="456" spans="2:7" x14ac:dyDescent="0.25">
      <c r="B456" s="286"/>
      <c r="C456" s="286"/>
      <c r="G456" s="271"/>
    </row>
    <row r="457" spans="2:7" x14ac:dyDescent="0.25">
      <c r="B457" s="286"/>
      <c r="C457" s="286"/>
      <c r="G457" s="271"/>
    </row>
    <row r="458" spans="2:7" x14ac:dyDescent="0.25">
      <c r="B458" s="286"/>
      <c r="C458" s="286"/>
      <c r="G458" s="271"/>
    </row>
    <row r="459" spans="2:7" x14ac:dyDescent="0.25">
      <c r="B459" s="286"/>
      <c r="C459" s="286"/>
      <c r="G459" s="271"/>
    </row>
    <row r="460" spans="2:7" x14ac:dyDescent="0.25">
      <c r="B460" s="286"/>
      <c r="C460" s="286"/>
      <c r="G460" s="271"/>
    </row>
    <row r="461" spans="2:7" x14ac:dyDescent="0.25">
      <c r="B461" s="286"/>
      <c r="C461" s="286"/>
      <c r="G461" s="271"/>
    </row>
    <row r="462" spans="2:7" x14ac:dyDescent="0.25">
      <c r="B462" s="286"/>
      <c r="C462" s="286"/>
      <c r="G462" s="271"/>
    </row>
    <row r="463" spans="2:7" x14ac:dyDescent="0.25">
      <c r="B463" s="286"/>
      <c r="C463" s="286"/>
      <c r="G463" s="271"/>
    </row>
    <row r="464" spans="2:7" x14ac:dyDescent="0.25">
      <c r="B464" s="286"/>
      <c r="C464" s="286"/>
      <c r="G464" s="271"/>
    </row>
    <row r="465" spans="2:7" x14ac:dyDescent="0.25">
      <c r="B465" s="286"/>
      <c r="C465" s="286"/>
      <c r="G465" s="271"/>
    </row>
    <row r="466" spans="2:7" x14ac:dyDescent="0.25">
      <c r="B466" s="286"/>
      <c r="C466" s="286"/>
      <c r="G466" s="271"/>
    </row>
    <row r="467" spans="2:7" x14ac:dyDescent="0.25">
      <c r="B467" s="286"/>
      <c r="C467" s="286"/>
      <c r="G467" s="271"/>
    </row>
    <row r="468" spans="2:7" x14ac:dyDescent="0.25">
      <c r="B468" s="286"/>
      <c r="C468" s="286"/>
      <c r="G468" s="271"/>
    </row>
    <row r="469" spans="2:7" x14ac:dyDescent="0.25">
      <c r="B469" s="286"/>
      <c r="C469" s="286"/>
      <c r="G469" s="271"/>
    </row>
    <row r="470" spans="2:7" x14ac:dyDescent="0.25">
      <c r="B470" s="286"/>
      <c r="C470" s="286"/>
      <c r="G470" s="271"/>
    </row>
    <row r="471" spans="2:7" x14ac:dyDescent="0.25">
      <c r="B471" s="286"/>
      <c r="C471" s="286"/>
      <c r="G471" s="271"/>
    </row>
    <row r="472" spans="2:7" x14ac:dyDescent="0.25">
      <c r="B472" s="286"/>
      <c r="C472" s="286"/>
      <c r="G472" s="271"/>
    </row>
    <row r="473" spans="2:7" x14ac:dyDescent="0.25">
      <c r="B473" s="286"/>
      <c r="C473" s="286"/>
      <c r="G473" s="271"/>
    </row>
    <row r="474" spans="2:7" x14ac:dyDescent="0.25">
      <c r="B474" s="286"/>
      <c r="C474" s="286"/>
      <c r="G474" s="271"/>
    </row>
    <row r="475" spans="2:7" x14ac:dyDescent="0.25">
      <c r="B475" s="286"/>
      <c r="C475" s="286"/>
      <c r="G475" s="271"/>
    </row>
    <row r="476" spans="2:7" x14ac:dyDescent="0.25">
      <c r="B476" s="286"/>
      <c r="C476" s="286"/>
      <c r="G476" s="271"/>
    </row>
    <row r="477" spans="2:7" x14ac:dyDescent="0.25">
      <c r="B477" s="286"/>
      <c r="C477" s="286"/>
      <c r="G477" s="271"/>
    </row>
    <row r="478" spans="2:7" x14ac:dyDescent="0.25">
      <c r="B478" s="286"/>
      <c r="C478" s="286"/>
      <c r="G478" s="271"/>
    </row>
    <row r="479" spans="2:7" x14ac:dyDescent="0.25">
      <c r="B479" s="286"/>
      <c r="C479" s="286"/>
      <c r="G479" s="271"/>
    </row>
    <row r="480" spans="2:7" x14ac:dyDescent="0.25">
      <c r="B480" s="286"/>
      <c r="C480" s="286"/>
      <c r="G480" s="271"/>
    </row>
    <row r="481" spans="2:7" x14ac:dyDescent="0.25">
      <c r="B481" s="286"/>
      <c r="C481" s="286"/>
      <c r="G481" s="271"/>
    </row>
    <row r="482" spans="2:7" x14ac:dyDescent="0.25">
      <c r="B482" s="286"/>
      <c r="C482" s="286"/>
      <c r="G482" s="271"/>
    </row>
    <row r="483" spans="2:7" x14ac:dyDescent="0.25">
      <c r="B483" s="286"/>
      <c r="C483" s="286"/>
      <c r="G483" s="271"/>
    </row>
    <row r="484" spans="2:7" x14ac:dyDescent="0.25">
      <c r="B484" s="286"/>
      <c r="C484" s="286"/>
      <c r="G484" s="271"/>
    </row>
    <row r="485" spans="2:7" x14ac:dyDescent="0.25">
      <c r="B485" s="286"/>
      <c r="C485" s="286"/>
      <c r="G485" s="271"/>
    </row>
    <row r="486" spans="2:7" x14ac:dyDescent="0.25">
      <c r="B486" s="286"/>
      <c r="C486" s="286"/>
      <c r="G486" s="271"/>
    </row>
    <row r="487" spans="2:7" x14ac:dyDescent="0.25">
      <c r="B487" s="286"/>
      <c r="C487" s="286"/>
      <c r="G487" s="271"/>
    </row>
    <row r="488" spans="2:7" x14ac:dyDescent="0.25">
      <c r="B488" s="286"/>
      <c r="C488" s="286"/>
      <c r="G488" s="271"/>
    </row>
    <row r="489" spans="2:7" x14ac:dyDescent="0.25">
      <c r="B489" s="286"/>
      <c r="C489" s="286"/>
      <c r="G489" s="271"/>
    </row>
    <row r="490" spans="2:7" x14ac:dyDescent="0.25">
      <c r="B490" s="286"/>
      <c r="C490" s="286"/>
      <c r="G490" s="271"/>
    </row>
    <row r="491" spans="2:7" x14ac:dyDescent="0.25">
      <c r="B491" s="286"/>
      <c r="C491" s="286"/>
      <c r="G491" s="271"/>
    </row>
    <row r="492" spans="2:7" x14ac:dyDescent="0.25">
      <c r="B492" s="286"/>
      <c r="C492" s="286"/>
      <c r="G492" s="271"/>
    </row>
    <row r="493" spans="2:7" x14ac:dyDescent="0.25">
      <c r="B493" s="286"/>
      <c r="C493" s="286"/>
      <c r="G493" s="271"/>
    </row>
    <row r="494" spans="2:7" x14ac:dyDescent="0.25">
      <c r="B494" s="286"/>
      <c r="C494" s="286"/>
      <c r="G494" s="271"/>
    </row>
    <row r="495" spans="2:7" x14ac:dyDescent="0.25">
      <c r="B495" s="286"/>
      <c r="C495" s="286"/>
      <c r="G495" s="271"/>
    </row>
    <row r="496" spans="2:7" x14ac:dyDescent="0.25">
      <c r="B496" s="286"/>
      <c r="C496" s="286"/>
      <c r="G496" s="271"/>
    </row>
    <row r="497" spans="2:7" x14ac:dyDescent="0.25">
      <c r="B497" s="286"/>
      <c r="C497" s="286"/>
      <c r="G497" s="271"/>
    </row>
    <row r="498" spans="2:7" x14ac:dyDescent="0.25">
      <c r="B498" s="286"/>
      <c r="C498" s="286"/>
      <c r="G498" s="271"/>
    </row>
    <row r="499" spans="2:7" x14ac:dyDescent="0.25">
      <c r="B499" s="286"/>
      <c r="C499" s="286"/>
      <c r="G499" s="271"/>
    </row>
    <row r="500" spans="2:7" x14ac:dyDescent="0.25">
      <c r="B500" s="286"/>
      <c r="C500" s="286"/>
      <c r="G500" s="271"/>
    </row>
    <row r="501" spans="2:7" x14ac:dyDescent="0.25">
      <c r="B501" s="286"/>
      <c r="C501" s="286"/>
      <c r="G501" s="271"/>
    </row>
    <row r="502" spans="2:7" x14ac:dyDescent="0.25">
      <c r="B502" s="286"/>
      <c r="C502" s="286"/>
      <c r="G502" s="271"/>
    </row>
    <row r="503" spans="2:7" x14ac:dyDescent="0.25">
      <c r="B503" s="286"/>
      <c r="C503" s="286"/>
      <c r="G503" s="271"/>
    </row>
    <row r="504" spans="2:7" x14ac:dyDescent="0.25">
      <c r="B504" s="286"/>
      <c r="C504" s="286"/>
      <c r="G504" s="271"/>
    </row>
    <row r="505" spans="2:7" x14ac:dyDescent="0.25">
      <c r="B505" s="286"/>
      <c r="C505" s="286"/>
      <c r="G505" s="271"/>
    </row>
    <row r="506" spans="2:7" x14ac:dyDescent="0.25">
      <c r="B506" s="286"/>
      <c r="C506" s="286"/>
      <c r="G506" s="271"/>
    </row>
    <row r="507" spans="2:7" x14ac:dyDescent="0.25">
      <c r="B507" s="286"/>
      <c r="C507" s="286"/>
      <c r="G507" s="271"/>
    </row>
    <row r="508" spans="2:7" x14ac:dyDescent="0.25">
      <c r="B508" s="286"/>
      <c r="C508" s="286"/>
      <c r="G508" s="271"/>
    </row>
    <row r="509" spans="2:7" x14ac:dyDescent="0.25">
      <c r="B509" s="286"/>
      <c r="C509" s="286"/>
      <c r="G509" s="271"/>
    </row>
    <row r="510" spans="2:7" x14ac:dyDescent="0.25">
      <c r="B510" s="286"/>
      <c r="C510" s="286"/>
      <c r="G510" s="271"/>
    </row>
    <row r="511" spans="2:7" x14ac:dyDescent="0.25">
      <c r="B511" s="286"/>
      <c r="C511" s="286"/>
      <c r="G511" s="271"/>
    </row>
    <row r="512" spans="2:7" x14ac:dyDescent="0.25">
      <c r="B512" s="286"/>
      <c r="C512" s="286"/>
      <c r="G512" s="271"/>
    </row>
    <row r="513" spans="2:7" x14ac:dyDescent="0.25">
      <c r="B513" s="286"/>
      <c r="C513" s="286"/>
      <c r="G513" s="271"/>
    </row>
    <row r="514" spans="2:7" x14ac:dyDescent="0.25">
      <c r="B514" s="286"/>
      <c r="C514" s="286"/>
      <c r="G514" s="271"/>
    </row>
    <row r="515" spans="2:7" x14ac:dyDescent="0.25">
      <c r="B515" s="286"/>
      <c r="C515" s="286"/>
      <c r="G515" s="271"/>
    </row>
    <row r="516" spans="2:7" x14ac:dyDescent="0.25">
      <c r="B516" s="286"/>
      <c r="C516" s="286"/>
      <c r="G516" s="271"/>
    </row>
    <row r="517" spans="2:7" x14ac:dyDescent="0.25">
      <c r="B517" s="286"/>
      <c r="C517" s="286"/>
      <c r="G517" s="271"/>
    </row>
    <row r="518" spans="2:7" x14ac:dyDescent="0.25">
      <c r="B518" s="286"/>
      <c r="C518" s="286"/>
      <c r="G518" s="271"/>
    </row>
    <row r="519" spans="2:7" x14ac:dyDescent="0.25">
      <c r="B519" s="286"/>
      <c r="C519" s="286"/>
      <c r="G519" s="271"/>
    </row>
    <row r="520" spans="2:7" x14ac:dyDescent="0.25">
      <c r="B520" s="286"/>
      <c r="C520" s="286"/>
      <c r="G520" s="271"/>
    </row>
    <row r="521" spans="2:7" x14ac:dyDescent="0.25">
      <c r="B521" s="286"/>
      <c r="C521" s="286"/>
      <c r="G521" s="271"/>
    </row>
    <row r="522" spans="2:7" x14ac:dyDescent="0.25">
      <c r="B522" s="286"/>
      <c r="C522" s="286"/>
      <c r="G522" s="271"/>
    </row>
    <row r="523" spans="2:7" x14ac:dyDescent="0.25">
      <c r="B523" s="286"/>
      <c r="C523" s="286"/>
      <c r="G523" s="271"/>
    </row>
    <row r="524" spans="2:7" x14ac:dyDescent="0.25">
      <c r="B524" s="286"/>
      <c r="C524" s="286"/>
      <c r="G524" s="271"/>
    </row>
    <row r="525" spans="2:7" x14ac:dyDescent="0.25">
      <c r="B525" s="286"/>
      <c r="C525" s="286"/>
      <c r="G525" s="271"/>
    </row>
    <row r="526" spans="2:7" x14ac:dyDescent="0.25">
      <c r="B526" s="286"/>
      <c r="C526" s="286"/>
      <c r="G526" s="271"/>
    </row>
    <row r="527" spans="2:7" x14ac:dyDescent="0.25">
      <c r="B527" s="286"/>
      <c r="C527" s="286"/>
      <c r="G527" s="271"/>
    </row>
    <row r="528" spans="2:7" x14ac:dyDescent="0.25">
      <c r="B528" s="286"/>
      <c r="C528" s="286"/>
      <c r="G528" s="271"/>
    </row>
    <row r="529" spans="2:7" x14ac:dyDescent="0.25">
      <c r="B529" s="286"/>
      <c r="C529" s="286"/>
      <c r="G529" s="271"/>
    </row>
    <row r="530" spans="2:7" x14ac:dyDescent="0.25">
      <c r="B530" s="286"/>
      <c r="C530" s="286"/>
      <c r="G530" s="271"/>
    </row>
    <row r="531" spans="2:7" x14ac:dyDescent="0.25">
      <c r="B531" s="286"/>
      <c r="C531" s="286"/>
      <c r="G531" s="271"/>
    </row>
    <row r="532" spans="2:7" x14ac:dyDescent="0.25">
      <c r="B532" s="286"/>
      <c r="C532" s="286"/>
      <c r="G532" s="271"/>
    </row>
    <row r="533" spans="2:7" x14ac:dyDescent="0.25">
      <c r="B533" s="286"/>
      <c r="C533" s="286"/>
      <c r="G533" s="271"/>
    </row>
    <row r="534" spans="2:7" x14ac:dyDescent="0.25">
      <c r="B534" s="286"/>
      <c r="C534" s="286"/>
      <c r="G534" s="271"/>
    </row>
    <row r="535" spans="2:7" x14ac:dyDescent="0.25">
      <c r="B535" s="286"/>
      <c r="C535" s="286"/>
      <c r="G535" s="271"/>
    </row>
    <row r="536" spans="2:7" x14ac:dyDescent="0.25">
      <c r="B536" s="286"/>
      <c r="C536" s="286"/>
      <c r="G536" s="271"/>
    </row>
    <row r="537" spans="2:7" x14ac:dyDescent="0.25">
      <c r="B537" s="286"/>
      <c r="C537" s="286"/>
      <c r="G537" s="271"/>
    </row>
    <row r="538" spans="2:7" x14ac:dyDescent="0.25">
      <c r="B538" s="286"/>
      <c r="C538" s="286"/>
      <c r="G538" s="271"/>
    </row>
    <row r="539" spans="2:7" x14ac:dyDescent="0.25">
      <c r="B539" s="286"/>
      <c r="C539" s="286"/>
      <c r="G539" s="271"/>
    </row>
    <row r="540" spans="2:7" x14ac:dyDescent="0.25">
      <c r="B540" s="286"/>
      <c r="C540" s="286"/>
      <c r="G540" s="271"/>
    </row>
    <row r="541" spans="2:7" x14ac:dyDescent="0.25">
      <c r="B541" s="286"/>
      <c r="C541" s="286"/>
      <c r="G541" s="271"/>
    </row>
    <row r="542" spans="2:7" x14ac:dyDescent="0.25">
      <c r="B542" s="286"/>
      <c r="C542" s="286"/>
      <c r="G542" s="271"/>
    </row>
    <row r="543" spans="2:7" x14ac:dyDescent="0.25">
      <c r="B543" s="286"/>
      <c r="C543" s="286"/>
      <c r="G543" s="271"/>
    </row>
    <row r="544" spans="2:7" x14ac:dyDescent="0.25">
      <c r="B544" s="286"/>
      <c r="C544" s="286"/>
      <c r="G544" s="271"/>
    </row>
    <row r="545" spans="2:7" x14ac:dyDescent="0.25">
      <c r="B545" s="286"/>
      <c r="C545" s="286"/>
      <c r="G545" s="271"/>
    </row>
    <row r="546" spans="2:7" x14ac:dyDescent="0.25">
      <c r="B546" s="286"/>
      <c r="C546" s="286"/>
      <c r="G546" s="271"/>
    </row>
    <row r="547" spans="2:7" x14ac:dyDescent="0.25">
      <c r="B547" s="286"/>
      <c r="C547" s="286"/>
      <c r="G547" s="271"/>
    </row>
    <row r="548" spans="2:7" x14ac:dyDescent="0.25">
      <c r="B548" s="286"/>
      <c r="C548" s="286"/>
      <c r="G548" s="271"/>
    </row>
    <row r="549" spans="2:7" x14ac:dyDescent="0.25">
      <c r="B549" s="286"/>
      <c r="C549" s="286"/>
      <c r="G549" s="271"/>
    </row>
    <row r="550" spans="2:7" x14ac:dyDescent="0.25">
      <c r="B550" s="286"/>
      <c r="C550" s="286"/>
      <c r="G550" s="271"/>
    </row>
    <row r="551" spans="2:7" x14ac:dyDescent="0.25">
      <c r="B551" s="286"/>
      <c r="C551" s="286"/>
      <c r="G551" s="271"/>
    </row>
    <row r="552" spans="2:7" x14ac:dyDescent="0.25">
      <c r="B552" s="286"/>
      <c r="C552" s="286"/>
      <c r="G552" s="271"/>
    </row>
    <row r="553" spans="2:7" x14ac:dyDescent="0.25">
      <c r="B553" s="286"/>
      <c r="C553" s="286"/>
      <c r="G553" s="271"/>
    </row>
    <row r="554" spans="2:7" x14ac:dyDescent="0.25">
      <c r="B554" s="286"/>
      <c r="C554" s="286"/>
      <c r="G554" s="271"/>
    </row>
    <row r="555" spans="2:7" x14ac:dyDescent="0.25">
      <c r="B555" s="286"/>
      <c r="C555" s="286"/>
      <c r="G555" s="271"/>
    </row>
    <row r="556" spans="2:7" x14ac:dyDescent="0.25">
      <c r="B556" s="286"/>
      <c r="C556" s="286"/>
      <c r="G556" s="271"/>
    </row>
    <row r="557" spans="2:7" x14ac:dyDescent="0.25">
      <c r="B557" s="286"/>
      <c r="C557" s="286"/>
      <c r="G557" s="271"/>
    </row>
    <row r="558" spans="2:7" x14ac:dyDescent="0.25">
      <c r="B558" s="286"/>
      <c r="C558" s="286"/>
      <c r="G558" s="271"/>
    </row>
    <row r="559" spans="2:7" x14ac:dyDescent="0.25">
      <c r="B559" s="286"/>
      <c r="C559" s="286"/>
      <c r="G559" s="271"/>
    </row>
    <row r="560" spans="2:7" x14ac:dyDescent="0.25">
      <c r="B560" s="286"/>
      <c r="C560" s="286"/>
      <c r="G560" s="271"/>
    </row>
    <row r="561" spans="2:7" x14ac:dyDescent="0.25">
      <c r="B561" s="286"/>
      <c r="C561" s="286"/>
      <c r="G561" s="271"/>
    </row>
    <row r="562" spans="2:7" x14ac:dyDescent="0.25">
      <c r="B562" s="286"/>
      <c r="C562" s="286"/>
      <c r="G562" s="271"/>
    </row>
    <row r="563" spans="2:7" x14ac:dyDescent="0.25">
      <c r="B563" s="286"/>
      <c r="C563" s="286"/>
      <c r="G563" s="271"/>
    </row>
    <row r="564" spans="2:7" x14ac:dyDescent="0.25">
      <c r="B564" s="286"/>
      <c r="C564" s="286"/>
      <c r="G564" s="271"/>
    </row>
    <row r="565" spans="2:7" x14ac:dyDescent="0.25">
      <c r="B565" s="286"/>
      <c r="C565" s="286"/>
      <c r="G565" s="271"/>
    </row>
    <row r="566" spans="2:7" x14ac:dyDescent="0.25">
      <c r="B566" s="286"/>
      <c r="C566" s="286"/>
      <c r="G566" s="271"/>
    </row>
    <row r="567" spans="2:7" x14ac:dyDescent="0.25">
      <c r="B567" s="286"/>
      <c r="C567" s="286"/>
      <c r="G567" s="271"/>
    </row>
    <row r="568" spans="2:7" x14ac:dyDescent="0.25">
      <c r="B568" s="286"/>
      <c r="C568" s="286"/>
      <c r="G568" s="271"/>
    </row>
  </sheetData>
  <sheetProtection formatColumns="0" formatRows="0"/>
  <mergeCells count="131">
    <mergeCell ref="I171:J171"/>
    <mergeCell ref="I176:J176"/>
    <mergeCell ref="I177:J177"/>
    <mergeCell ref="I178:J178"/>
    <mergeCell ref="I179:J179"/>
    <mergeCell ref="I180:J180"/>
    <mergeCell ref="I160:J160"/>
    <mergeCell ref="I163:J163"/>
    <mergeCell ref="I164:J164"/>
    <mergeCell ref="I165:J165"/>
    <mergeCell ref="I166:J166"/>
    <mergeCell ref="I170:J170"/>
    <mergeCell ref="I150:J150"/>
    <mergeCell ref="I151:J151"/>
    <mergeCell ref="I152:J152"/>
    <mergeCell ref="I153:J153"/>
    <mergeCell ref="I155:J155"/>
    <mergeCell ref="I159:J159"/>
    <mergeCell ref="I141:J141"/>
    <mergeCell ref="I142:J142"/>
    <mergeCell ref="I143:J143"/>
    <mergeCell ref="I144:J144"/>
    <mergeCell ref="I146:J146"/>
    <mergeCell ref="I149:J149"/>
    <mergeCell ref="I130:J130"/>
    <mergeCell ref="I131:J131"/>
    <mergeCell ref="I133:J133"/>
    <mergeCell ref="I136:J136"/>
    <mergeCell ref="I137:J137"/>
    <mergeCell ref="I140:J140"/>
    <mergeCell ref="I123:J123"/>
    <mergeCell ref="I125:J125"/>
    <mergeCell ref="I126:J126"/>
    <mergeCell ref="I127:J127"/>
    <mergeCell ref="I128:J128"/>
    <mergeCell ref="I129:J129"/>
    <mergeCell ref="I116:J116"/>
    <mergeCell ref="I117:J117"/>
    <mergeCell ref="I118:J118"/>
    <mergeCell ref="I119:J119"/>
    <mergeCell ref="I120:J120"/>
    <mergeCell ref="I121:J121"/>
    <mergeCell ref="I110:J110"/>
    <mergeCell ref="I111:J111"/>
    <mergeCell ref="I112:J112"/>
    <mergeCell ref="I113:J113"/>
    <mergeCell ref="I114:J114"/>
    <mergeCell ref="I115:J115"/>
    <mergeCell ref="I104:J104"/>
    <mergeCell ref="I105:J105"/>
    <mergeCell ref="I106:J106"/>
    <mergeCell ref="I107:J107"/>
    <mergeCell ref="I108:J108"/>
    <mergeCell ref="I109:J109"/>
    <mergeCell ref="I98:J98"/>
    <mergeCell ref="I99:J99"/>
    <mergeCell ref="I100:J100"/>
    <mergeCell ref="I101:J101"/>
    <mergeCell ref="I102:J102"/>
    <mergeCell ref="I103:J103"/>
    <mergeCell ref="I92:J92"/>
    <mergeCell ref="I93:J93"/>
    <mergeCell ref="I94:J94"/>
    <mergeCell ref="I95:J95"/>
    <mergeCell ref="I96:J96"/>
    <mergeCell ref="I97:J97"/>
    <mergeCell ref="I86:J86"/>
    <mergeCell ref="I87:J87"/>
    <mergeCell ref="I88:J88"/>
    <mergeCell ref="I89:J89"/>
    <mergeCell ref="I90:J90"/>
    <mergeCell ref="I91:J91"/>
    <mergeCell ref="I80:J80"/>
    <mergeCell ref="I81:J81"/>
    <mergeCell ref="I82:J82"/>
    <mergeCell ref="I83:J83"/>
    <mergeCell ref="I84:J84"/>
    <mergeCell ref="I85:J85"/>
    <mergeCell ref="I74:J74"/>
    <mergeCell ref="I75:J75"/>
    <mergeCell ref="I76:J76"/>
    <mergeCell ref="I77:J77"/>
    <mergeCell ref="I78:J78"/>
    <mergeCell ref="I79:J79"/>
    <mergeCell ref="I67:J67"/>
    <mergeCell ref="I69:J69"/>
    <mergeCell ref="I70:J70"/>
    <mergeCell ref="I71:J71"/>
    <mergeCell ref="I72:J72"/>
    <mergeCell ref="I73:J73"/>
    <mergeCell ref="I59:J59"/>
    <mergeCell ref="I60:J60"/>
    <mergeCell ref="I61:J61"/>
    <mergeCell ref="I62:J62"/>
    <mergeCell ref="I64:J64"/>
    <mergeCell ref="I66:J66"/>
    <mergeCell ref="I53:J53"/>
    <mergeCell ref="I54:J54"/>
    <mergeCell ref="I55:J55"/>
    <mergeCell ref="I56:J56"/>
    <mergeCell ref="I57:J57"/>
    <mergeCell ref="I58:J58"/>
    <mergeCell ref="I47:J47"/>
    <mergeCell ref="I48:J48"/>
    <mergeCell ref="I49:J49"/>
    <mergeCell ref="I50:J50"/>
    <mergeCell ref="I51:J51"/>
    <mergeCell ref="I52:J52"/>
    <mergeCell ref="I39:J39"/>
    <mergeCell ref="I40:J40"/>
    <mergeCell ref="I42:J42"/>
    <mergeCell ref="I44:J44"/>
    <mergeCell ref="I45:J45"/>
    <mergeCell ref="I46:J46"/>
    <mergeCell ref="I33:J33"/>
    <mergeCell ref="I34:J34"/>
    <mergeCell ref="I35:J35"/>
    <mergeCell ref="I36:J36"/>
    <mergeCell ref="I37:J37"/>
    <mergeCell ref="I38:J38"/>
    <mergeCell ref="I26:J26"/>
    <mergeCell ref="I27:J27"/>
    <mergeCell ref="I28:J28"/>
    <mergeCell ref="I29:J29"/>
    <mergeCell ref="I30:J30"/>
    <mergeCell ref="I32:J32"/>
    <mergeCell ref="I8:AB8"/>
    <mergeCell ref="I9:AB9"/>
    <mergeCell ref="P20:AB20"/>
    <mergeCell ref="I24:J24"/>
    <mergeCell ref="I25:J25"/>
  </mergeCells>
  <printOptions horizontalCentered="1"/>
  <pageMargins left="0.70866141732283472" right="0.70866141732283472" top="0.74803149606299213" bottom="0.74803149606299213" header="0.31496062992125984" footer="0.31496062992125984"/>
  <pageSetup paperSize="8" scale="23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4" tint="-0.249977111117893"/>
    <pageSetUpPr fitToPage="1"/>
  </sheetPr>
  <dimension ref="A1:AI568"/>
  <sheetViews>
    <sheetView showGridLines="0" topLeftCell="F76" zoomScale="70" zoomScaleNormal="70" workbookViewId="0">
      <selection activeCell="R170" sqref="R170"/>
    </sheetView>
  </sheetViews>
  <sheetFormatPr baseColWidth="10" defaultRowHeight="15" x14ac:dyDescent="0.25"/>
  <cols>
    <col min="1" max="2" width="25.28515625" style="259" hidden="1" customWidth="1"/>
    <col min="3" max="3" width="55.42578125" style="259" hidden="1" customWidth="1"/>
    <col min="4" max="4" width="34.5703125" style="259" hidden="1" customWidth="1"/>
    <col min="5" max="5" width="13.42578125" style="259" hidden="1" customWidth="1"/>
    <col min="6" max="6" width="2" style="259" customWidth="1"/>
    <col min="7" max="7" width="5.140625" style="259" customWidth="1"/>
    <col min="8" max="8" width="3" style="259" customWidth="1"/>
    <col min="9" max="10" width="33.140625" style="259" customWidth="1"/>
    <col min="11" max="11" width="2" style="259" customWidth="1"/>
    <col min="12" max="12" width="18.7109375" style="259" customWidth="1"/>
    <col min="13" max="13" width="0.5703125" style="259" customWidth="1"/>
    <col min="14" max="14" width="18.7109375" style="259" customWidth="1"/>
    <col min="15" max="15" width="2" style="259" customWidth="1"/>
    <col min="16" max="16" width="0.85546875" style="259" customWidth="1"/>
    <col min="17" max="28" width="13.85546875" style="259" customWidth="1"/>
    <col min="29" max="29" width="5.85546875" style="259" customWidth="1"/>
    <col min="30" max="30" width="11.42578125" style="259" customWidth="1"/>
    <col min="31" max="31" width="20.5703125" style="259" customWidth="1"/>
    <col min="32" max="32" width="16" style="259" customWidth="1"/>
    <col min="33" max="16384" width="11.42578125" style="259"/>
  </cols>
  <sheetData>
    <row r="1" spans="1:32" s="19" customFormat="1" x14ac:dyDescent="0.25">
      <c r="I1" s="35" t="str">
        <f ca="1">Contexte!$E$7</f>
        <v>Total_2020</v>
      </c>
      <c r="K1" s="35"/>
      <c r="L1" s="35" t="s">
        <v>64</v>
      </c>
      <c r="M1" s="35" t="s">
        <v>64</v>
      </c>
      <c r="N1" s="35" t="s">
        <v>64</v>
      </c>
      <c r="O1" s="35"/>
      <c r="P1" s="36"/>
      <c r="Q1" s="36" t="str">
        <f ca="1">$I$2&amp;".01"</f>
        <v>2020.01</v>
      </c>
      <c r="R1" s="36" t="str">
        <f ca="1">$I$2&amp;".02"</f>
        <v>2020.02</v>
      </c>
      <c r="S1" s="36" t="str">
        <f ca="1">$I$2&amp;".03"</f>
        <v>2020.03</v>
      </c>
      <c r="T1" s="36" t="str">
        <f ca="1">$I$2&amp;".04"</f>
        <v>2020.04</v>
      </c>
      <c r="U1" s="36" t="str">
        <f ca="1">$I$2&amp;".05"</f>
        <v>2020.05</v>
      </c>
      <c r="V1" s="36" t="str">
        <f ca="1">$I$2&amp;".06"</f>
        <v>2020.06</v>
      </c>
      <c r="W1" s="36" t="str">
        <f ca="1">$I$2&amp;".07"</f>
        <v>2020.07</v>
      </c>
      <c r="X1" s="36" t="str">
        <f ca="1">$I$2&amp;".08"</f>
        <v>2020.08</v>
      </c>
      <c r="Y1" s="36" t="str">
        <f ca="1">$I$2&amp;".09"</f>
        <v>2020.09</v>
      </c>
      <c r="Z1" s="36" t="str">
        <f ca="1">$I$2&amp;".10"</f>
        <v>2020.10</v>
      </c>
      <c r="AA1" s="36" t="str">
        <f ca="1">$I$2&amp;".11"</f>
        <v>2020.11</v>
      </c>
      <c r="AB1" s="36" t="str">
        <f ca="1">$I$2&amp;".12"</f>
        <v>2020.12</v>
      </c>
      <c r="AF1" s="19" t="str">
        <f ca="1">$J$17</f>
        <v>FC_2</v>
      </c>
    </row>
    <row r="2" spans="1:32" s="19" customFormat="1" x14ac:dyDescent="0.25">
      <c r="E2" s="19" t="s">
        <v>79</v>
      </c>
      <c r="I2" s="19" t="str">
        <f ca="1">RIGHT(I1,4)</f>
        <v>2020</v>
      </c>
      <c r="L2" s="19" t="str">
        <f ca="1">$I$4</f>
        <v>2018</v>
      </c>
      <c r="N2" s="19" t="str">
        <f ca="1">$I$3</f>
        <v>2019</v>
      </c>
      <c r="AF2" s="36" t="str">
        <f ca="1">"F_Year_"&amp;$I$2</f>
        <v>F_Year_2020</v>
      </c>
    </row>
    <row r="3" spans="1:32" s="19" customFormat="1" ht="23.25" x14ac:dyDescent="0.35">
      <c r="E3" s="19" t="s">
        <v>80</v>
      </c>
      <c r="I3" s="19" t="str">
        <f ca="1">_xll.DBRA(Server&amp;$D$12,$I$2,"Prior Year")</f>
        <v>2019</v>
      </c>
      <c r="L3" s="19" t="s">
        <v>112</v>
      </c>
      <c r="N3" s="19" t="s">
        <v>112</v>
      </c>
      <c r="AD3" s="19">
        <v>0</v>
      </c>
      <c r="AE3" s="19">
        <v>0</v>
      </c>
      <c r="AF3" s="91">
        <v>0</v>
      </c>
    </row>
    <row r="4" spans="1:32" s="19" customFormat="1" x14ac:dyDescent="0.25">
      <c r="E4" s="19" t="s">
        <v>81</v>
      </c>
      <c r="I4" s="19" t="str">
        <f ca="1">_xll.DBRA(Server&amp;$D$12,$I$3,"Prior Year")</f>
        <v>2018</v>
      </c>
    </row>
    <row r="5" spans="1:32" s="19" customFormat="1" ht="14.25" customHeight="1" x14ac:dyDescent="0.25"/>
    <row r="6" spans="1:32" s="19" customFormat="1" ht="8.25" customHeight="1" x14ac:dyDescent="0.25"/>
    <row r="7" spans="1:32" s="19" customFormat="1" ht="44.25" customHeight="1" x14ac:dyDescent="0.25">
      <c r="A7"/>
      <c r="B7"/>
      <c r="C7"/>
      <c r="D7"/>
      <c r="E7"/>
      <c r="F7" s="228"/>
      <c r="G7" s="27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9"/>
    </row>
    <row r="8" spans="1:32" s="19" customFormat="1" ht="39" customHeight="1" x14ac:dyDescent="0.25">
      <c r="A8"/>
      <c r="B8"/>
      <c r="C8"/>
      <c r="D8"/>
      <c r="E8"/>
      <c r="F8" s="228"/>
      <c r="G8" s="30"/>
      <c r="H8" s="23"/>
      <c r="I8" s="307" t="s">
        <v>101</v>
      </c>
      <c r="J8" s="307"/>
      <c r="K8" s="307"/>
      <c r="L8" s="307"/>
      <c r="M8" s="307"/>
      <c r="N8" s="307"/>
      <c r="O8" s="307"/>
      <c r="P8" s="307"/>
      <c r="Q8" s="307"/>
      <c r="R8" s="307"/>
      <c r="S8" s="307"/>
      <c r="T8" s="307"/>
      <c r="U8" s="307"/>
      <c r="V8" s="307"/>
      <c r="W8" s="307"/>
      <c r="X8" s="307"/>
      <c r="Y8" s="307"/>
      <c r="Z8" s="307"/>
      <c r="AA8" s="307"/>
      <c r="AB8" s="307"/>
      <c r="AC8" s="31"/>
    </row>
    <row r="9" spans="1:32" s="19" customFormat="1" ht="23.25" customHeight="1" x14ac:dyDescent="0.25">
      <c r="A9"/>
      <c r="B9"/>
      <c r="C9"/>
      <c r="D9"/>
      <c r="E9"/>
      <c r="F9" s="228"/>
      <c r="G9" s="30"/>
      <c r="H9" s="23"/>
      <c r="I9" s="308" t="str">
        <f ca="1">_xll.DBRA(Server&amp;$D$14,$J14,"French")</f>
        <v>Total Formations</v>
      </c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1">
        <v>0</v>
      </c>
    </row>
    <row r="10" spans="1:32" s="19" customFormat="1" x14ac:dyDescent="0.25">
      <c r="A10"/>
      <c r="B10"/>
      <c r="C10"/>
      <c r="D10"/>
      <c r="E10"/>
      <c r="F10" s="228"/>
      <c r="G10" s="30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31"/>
    </row>
    <row r="11" spans="1:32" s="19" customFormat="1" ht="18.75" x14ac:dyDescent="0.25">
      <c r="A11"/>
      <c r="B11"/>
      <c r="C11"/>
      <c r="D11"/>
      <c r="E11"/>
      <c r="F11" s="228"/>
      <c r="G11" s="30"/>
      <c r="H11" s="23"/>
      <c r="I11" s="16"/>
      <c r="J11" s="14"/>
      <c r="K11" s="14"/>
      <c r="L11" s="14"/>
      <c r="M11" s="14"/>
      <c r="N11" s="14"/>
      <c r="O11" s="14"/>
      <c r="P11" s="24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31"/>
    </row>
    <row r="12" spans="1:32" s="19" customFormat="1" ht="15.75" x14ac:dyDescent="0.25">
      <c r="A12"/>
      <c r="B12"/>
      <c r="C12"/>
      <c r="D12" t="s">
        <v>63</v>
      </c>
      <c r="E12"/>
      <c r="F12" s="228"/>
      <c r="G12" s="30"/>
      <c r="H12" s="23"/>
      <c r="I12" s="40" t="s">
        <v>98</v>
      </c>
      <c r="J12" s="92" t="str">
        <f ca="1">Periode</f>
        <v>Total_2020</v>
      </c>
      <c r="K12" s="15"/>
      <c r="L12" s="15"/>
      <c r="M12" s="15"/>
      <c r="N12" s="15"/>
      <c r="O12" s="15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31"/>
    </row>
    <row r="13" spans="1:32" s="19" customFormat="1" ht="15.75" x14ac:dyDescent="0.25">
      <c r="A13"/>
      <c r="B13"/>
      <c r="C13"/>
      <c r="D13" t="s">
        <v>110</v>
      </c>
      <c r="E13"/>
      <c r="F13" s="228"/>
      <c r="G13" s="30"/>
      <c r="H13" s="23"/>
      <c r="I13" s="41" t="s">
        <v>99</v>
      </c>
      <c r="J13" s="93" t="str">
        <f ca="1">Antenne</f>
        <v>Tot_GIE</v>
      </c>
      <c r="K13" s="15"/>
      <c r="L13" s="15"/>
      <c r="M13" s="15"/>
      <c r="N13" s="15"/>
      <c r="O13" s="15"/>
      <c r="P13" s="24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31"/>
    </row>
    <row r="14" spans="1:32" s="19" customFormat="1" ht="15.75" x14ac:dyDescent="0.25">
      <c r="A14"/>
      <c r="B14"/>
      <c r="C14"/>
      <c r="D14" t="s">
        <v>111</v>
      </c>
      <c r="E14"/>
      <c r="F14" s="228"/>
      <c r="G14" s="30"/>
      <c r="H14" s="23"/>
      <c r="I14" s="41" t="s">
        <v>65</v>
      </c>
      <c r="J14" s="93" t="str">
        <f ca="1">Contexte!E12</f>
        <v>Tot_Formation</v>
      </c>
      <c r="K14" s="15"/>
      <c r="L14" s="15"/>
      <c r="M14" s="15"/>
      <c r="N14" s="15"/>
      <c r="O14" s="15"/>
      <c r="P14" s="24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31"/>
    </row>
    <row r="15" spans="1:32" s="19" customFormat="1" ht="15.75" x14ac:dyDescent="0.25">
      <c r="A15"/>
      <c r="B15"/>
      <c r="C15"/>
      <c r="D15" t="s">
        <v>109</v>
      </c>
      <c r="E15"/>
      <c r="F15" s="228"/>
      <c r="G15" s="30"/>
      <c r="H15" s="23"/>
      <c r="I15" s="41" t="s">
        <v>100</v>
      </c>
      <c r="J15" s="93" t="str">
        <f ca="1">Partenaire</f>
        <v>Tot_Part</v>
      </c>
      <c r="K15" s="15"/>
      <c r="L15" s="15"/>
      <c r="M15" s="15"/>
      <c r="N15" s="15"/>
      <c r="O15" s="15"/>
      <c r="P15" s="24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31"/>
    </row>
    <row r="16" spans="1:32" s="19" customFormat="1" ht="15.75" x14ac:dyDescent="0.25">
      <c r="A16"/>
      <c r="B16"/>
      <c r="C16"/>
      <c r="D16" t="s">
        <v>1</v>
      </c>
      <c r="E16"/>
      <c r="F16" s="228"/>
      <c r="G16" s="30"/>
      <c r="H16" s="23"/>
      <c r="I16" s="41" t="s">
        <v>66</v>
      </c>
      <c r="J16" s="93" t="str">
        <f ca="1">Nature_Analytique</f>
        <v>Tot_nat_ana</v>
      </c>
      <c r="K16" s="15"/>
      <c r="L16" s="15"/>
      <c r="M16" s="15"/>
      <c r="N16" s="15"/>
      <c r="O16" s="15"/>
      <c r="P16" s="24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31"/>
    </row>
    <row r="17" spans="1:35" s="19" customFormat="1" ht="15.75" x14ac:dyDescent="0.25">
      <c r="A17"/>
      <c r="B17"/>
      <c r="C17"/>
      <c r="D17" t="s">
        <v>2</v>
      </c>
      <c r="E17"/>
      <c r="F17" s="228"/>
      <c r="G17" s="30"/>
      <c r="H17" s="23"/>
      <c r="I17" s="42" t="s">
        <v>2</v>
      </c>
      <c r="J17" s="94" t="str">
        <f ca="1">Phase</f>
        <v>FC_2</v>
      </c>
      <c r="K17" s="15"/>
      <c r="L17" s="15"/>
      <c r="M17" s="15"/>
      <c r="N17" s="15"/>
      <c r="O17" s="15"/>
      <c r="P17" s="24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31"/>
    </row>
    <row r="18" spans="1:35" s="19" customFormat="1" ht="3" customHeight="1" x14ac:dyDescent="0.25">
      <c r="A18"/>
      <c r="B18"/>
      <c r="C18"/>
      <c r="D18"/>
      <c r="E18"/>
      <c r="F18" s="228"/>
      <c r="G18" s="30"/>
      <c r="H18" s="23"/>
      <c r="I18" s="23"/>
      <c r="J18" s="104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31"/>
    </row>
    <row r="19" spans="1:35" s="19" customFormat="1" ht="30.75" customHeight="1" x14ac:dyDescent="0.3">
      <c r="A19"/>
      <c r="B19"/>
      <c r="C19"/>
      <c r="D19"/>
      <c r="E19"/>
      <c r="F19" s="228"/>
      <c r="G19" s="30"/>
      <c r="H19" s="23"/>
      <c r="I19" s="89"/>
      <c r="J19" s="88"/>
      <c r="K19" s="23"/>
      <c r="L19" s="131"/>
      <c r="M19" s="23"/>
      <c r="N19" s="23"/>
      <c r="O19" s="23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31"/>
    </row>
    <row r="20" spans="1:35" s="19" customFormat="1" ht="25.5" customHeight="1" x14ac:dyDescent="0.25">
      <c r="A20"/>
      <c r="B20"/>
      <c r="C20"/>
      <c r="D20"/>
      <c r="E20"/>
      <c r="F20" s="228"/>
      <c r="G20" s="30"/>
      <c r="H20" s="23"/>
      <c r="I20" s="23"/>
      <c r="J20" s="23"/>
      <c r="K20" s="104"/>
      <c r="L20" s="104"/>
      <c r="M20" s="104"/>
      <c r="N20" s="104"/>
      <c r="O20" s="104"/>
      <c r="P20" s="309"/>
      <c r="Q20" s="309"/>
      <c r="R20" s="309"/>
      <c r="S20" s="309"/>
      <c r="T20" s="309"/>
      <c r="U20" s="309"/>
      <c r="V20" s="309"/>
      <c r="W20" s="309"/>
      <c r="X20" s="309"/>
      <c r="Y20" s="309"/>
      <c r="Z20" s="309"/>
      <c r="AA20" s="309"/>
      <c r="AB20" s="309"/>
      <c r="AC20" s="31"/>
    </row>
    <row r="21" spans="1:35" s="19" customFormat="1" ht="3" customHeight="1" x14ac:dyDescent="0.25">
      <c r="A21"/>
      <c r="B21"/>
      <c r="C21"/>
      <c r="D21"/>
      <c r="E21"/>
      <c r="F21" s="228"/>
      <c r="G21" s="30"/>
      <c r="H21" s="23"/>
      <c r="I21" s="23"/>
      <c r="J21" s="104"/>
      <c r="K21" s="23"/>
      <c r="L21" s="23"/>
      <c r="M21" s="23"/>
      <c r="N21" s="23"/>
      <c r="O21" s="23"/>
      <c r="P21" s="128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31"/>
    </row>
    <row r="22" spans="1:35" s="19" customFormat="1" ht="39" customHeight="1" x14ac:dyDescent="0.3">
      <c r="A22"/>
      <c r="B22"/>
      <c r="C22"/>
      <c r="D22" t="s">
        <v>68</v>
      </c>
      <c r="E22"/>
      <c r="F22" s="228"/>
      <c r="G22" s="30"/>
      <c r="H22" s="23"/>
      <c r="I22" s="23"/>
      <c r="J22" s="25"/>
      <c r="K22" s="25"/>
      <c r="L22" s="48" t="str">
        <f ca="1">_xll.DBRA(Server&amp;$D$17,L$1,"French")&amp;" - "&amp;$L$2</f>
        <v>Réalisé - 2018</v>
      </c>
      <c r="M22" s="25"/>
      <c r="N22" s="48" t="str">
        <f ca="1">_xll.DBRA(Server&amp;$D$17,N$1,"French")&amp;" - "&amp;$N$2</f>
        <v>Réalisé - 2019</v>
      </c>
      <c r="O22" s="47"/>
      <c r="P22" s="129"/>
      <c r="Q22" s="48" t="str">
        <f ca="1">_xll.DBRA(Server&amp;$D$12,Q$1,"French")</f>
        <v>janv-20</v>
      </c>
      <c r="R22" s="48" t="str">
        <f ca="1">_xll.DBRA(Server&amp;$D$12,R$1,"French")</f>
        <v>févr-20</v>
      </c>
      <c r="S22" s="48" t="str">
        <f ca="1">_xll.DBRA(Server&amp;$D$12,S$1,"French")</f>
        <v>mars-20</v>
      </c>
      <c r="T22" s="48" t="str">
        <f ca="1">_xll.DBRA(Server&amp;$D$12,T$1,"French")</f>
        <v>avr-20</v>
      </c>
      <c r="U22" s="48" t="str">
        <f ca="1">_xll.DBRA(Server&amp;$D$12,U$1,"French")</f>
        <v>mai-20</v>
      </c>
      <c r="V22" s="48" t="str">
        <f ca="1">_xll.DBRA(Server&amp;$D$12,V$1,"French")</f>
        <v>juin-20</v>
      </c>
      <c r="W22" s="48" t="str">
        <f ca="1">_xll.DBRA(Server&amp;$D$12,W$1,"French")</f>
        <v>juil-20</v>
      </c>
      <c r="X22" s="48" t="str">
        <f ca="1">_xll.DBRA(Server&amp;$D$12,X$1,"French")</f>
        <v>août-20</v>
      </c>
      <c r="Y22" s="48" t="str">
        <f ca="1">_xll.DBRA(Server&amp;$D$12,Y$1,"French")</f>
        <v>sept-20</v>
      </c>
      <c r="Z22" s="48" t="str">
        <f ca="1">_xll.DBRA(Server&amp;$D$12,Z$1,"French")</f>
        <v>oct-20</v>
      </c>
      <c r="AA22" s="48" t="str">
        <f ca="1">_xll.DBRA(Server&amp;$D$12,AA$1,"French")</f>
        <v>nov-20</v>
      </c>
      <c r="AB22" s="48" t="str">
        <f ca="1">_xll.DBRA(Server&amp;$D$12,AB$1,"French")</f>
        <v>déc-20</v>
      </c>
      <c r="AC22" s="31"/>
    </row>
    <row r="23" spans="1:35" s="19" customFormat="1" ht="11.25" customHeight="1" x14ac:dyDescent="0.25">
      <c r="A23" s="17"/>
      <c r="B23" s="17"/>
      <c r="C23" s="17"/>
      <c r="D23" s="17"/>
      <c r="E23"/>
      <c r="F23" s="228"/>
      <c r="G23" s="167"/>
      <c r="H23" s="104"/>
      <c r="I23" s="26"/>
      <c r="J23" s="26"/>
      <c r="K23" s="26"/>
      <c r="L23" s="44"/>
      <c r="M23" s="26"/>
      <c r="N23" s="44"/>
      <c r="O23" s="26"/>
      <c r="P23" s="18"/>
      <c r="Q23" s="44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6"/>
      <c r="AC23" s="168"/>
    </row>
    <row r="24" spans="1:35" s="19" customFormat="1" ht="16.5" thickBot="1" x14ac:dyDescent="0.3">
      <c r="A24"/>
      <c r="B24" s="198" t="s">
        <v>115</v>
      </c>
      <c r="C24" s="216" t="s">
        <v>184</v>
      </c>
      <c r="D24" s="226" t="str">
        <f>B24</f>
        <v>706025b</v>
      </c>
      <c r="E24"/>
      <c r="F24" s="228"/>
      <c r="G24" s="169"/>
      <c r="H24" s="105"/>
      <c r="I24" s="306" t="str">
        <f ca="1">_xll.DBRA(Server&amp;$D$22,$B24,"French")</f>
        <v>Prestations pédagogiques</v>
      </c>
      <c r="J24" s="306" t="str">
        <f ca="1">_xll.DBRA(Server&amp;$D$22,$D24,"French")</f>
        <v>Prestations pédagogiques</v>
      </c>
      <c r="K24" s="39"/>
      <c r="L24" s="67">
        <f ca="1">_xll.DBRW(Server&amp;Cube1,$J$13,$L$3,$J$15,$L$1,$L$2,$J$16,$D24)</f>
        <v>2459192.34</v>
      </c>
      <c r="M24" s="39"/>
      <c r="N24" s="67">
        <f ca="1">_xll.DBRW(Server&amp;Cube1,$J$13,$N$3,$J$15,$N$1,$N$2,$J$16,$D24)</f>
        <v>2403644.4200000004</v>
      </c>
      <c r="O24" s="68"/>
      <c r="P24" s="69"/>
      <c r="Q24" s="110">
        <f ca="1">_xll.DBRW(Server&amp;Cube1,$J$13,$J$14,$J$15,$J$17,Q$1,$J$16,$D24)</f>
        <v>0</v>
      </c>
      <c r="R24" s="110">
        <f ca="1">_xll.DBRW(Server&amp;Cube1,$J$13,$J$14,$J$15,$J$17,R$1,$J$16,$D24)</f>
        <v>-108722.73000000001</v>
      </c>
      <c r="S24" s="110">
        <f ca="1">_xll.DBRW(Server&amp;Cube1,$J$13,$J$14,$J$15,$J$17,S$1,$J$16,$D24)</f>
        <v>1293718.6499999999</v>
      </c>
      <c r="T24" s="110">
        <f ca="1">_xll.DBRW(Server&amp;Cube1,$J$13,$J$14,$J$15,$J$17,T$1,$J$16,$D24)</f>
        <v>29439.039999999957</v>
      </c>
      <c r="U24" s="110">
        <f ca="1">_xll.DBRW(Server&amp;Cube1,$J$13,$J$14,$J$15,$J$17,U$1,$J$16,$D24)</f>
        <v>-736523.75</v>
      </c>
      <c r="V24" s="110">
        <f ca="1">_xll.DBRW(Server&amp;Cube1,$J$13,$J$14,$J$15,$J$17,V$1,$J$16,$D24)</f>
        <v>1086813.4300000002</v>
      </c>
      <c r="W24" s="110">
        <f ca="1">_xll.DBRW(Server&amp;Cube1,$J$13,$J$14,$J$15,$J$17,W$1,$J$16,$D24)</f>
        <v>0</v>
      </c>
      <c r="X24" s="110">
        <f ca="1">_xll.DBRW(Server&amp;Cube1,$J$13,$J$14,$J$15,$J$17,X$1,$J$16,$D24)</f>
        <v>0</v>
      </c>
      <c r="Y24" s="110">
        <f ca="1">_xll.DBRW(Server&amp;Cube1,$J$13,$J$14,$J$15,$J$17,Y$1,$J$16,$D24)</f>
        <v>0</v>
      </c>
      <c r="Z24" s="110">
        <f ca="1">_xll.DBRW(Server&amp;Cube1,$J$13,$J$14,$J$15,$J$17,Z$1,$J$16,$D24)</f>
        <v>0</v>
      </c>
      <c r="AA24" s="110">
        <f ca="1">_xll.DBRW(Server&amp;Cube1,$J$13,$J$14,$J$15,$J$17,AA$1,$J$16,$D24)</f>
        <v>0</v>
      </c>
      <c r="AB24" s="110">
        <f ca="1">_xll.DBRW(Server&amp;Cube1,$J$13,$J$14,$J$15,$J$17,AB$1,$J$16,$D24)</f>
        <v>0</v>
      </c>
      <c r="AC24" s="31"/>
    </row>
    <row r="25" spans="1:35" s="19" customFormat="1" ht="16.5" thickTop="1" x14ac:dyDescent="0.25">
      <c r="A25"/>
      <c r="B25" s="198" t="s">
        <v>144</v>
      </c>
      <c r="C25" s="217" t="s">
        <v>185</v>
      </c>
      <c r="D25" s="226" t="str">
        <f t="shared" ref="D25:D84" si="0">B25</f>
        <v>706025c</v>
      </c>
      <c r="E25"/>
      <c r="F25" s="228"/>
      <c r="G25" s="169"/>
      <c r="H25" s="105"/>
      <c r="I25" s="305" t="str">
        <f ca="1">_xll.DBRA(Server&amp;$D$22,$B25,"French")</f>
        <v>Prestations Formations continues</v>
      </c>
      <c r="J25" s="305"/>
      <c r="K25" s="37"/>
      <c r="L25" s="54">
        <f ca="1">_xll.DBRW(Server&amp;Cube1,$J$13,$L$3,$J$15,$L$1,$L$2,$J$16,$D25)</f>
        <v>2459192.34</v>
      </c>
      <c r="M25" s="37"/>
      <c r="N25" s="54">
        <f ca="1">_xll.DBRW(Server&amp;Cube1,$J$13,$N$3,$J$15,$N$1,$N$2,$J$16,$D25)</f>
        <v>2403644.4200000004</v>
      </c>
      <c r="O25" s="55"/>
      <c r="P25" s="57"/>
      <c r="Q25" s="109">
        <f ca="1">IF(xflag=1,_xll.DBSW(SAISIE!Q25,Server&amp;Cube1,$J$13,$J$14,$J$15,$J$17,Q$22,$J$16,$D25),_xll.DBRW(Server&amp;Cube1,$J$13,$J$14,$J$15,$J$17,Q$22,$J$16,$D25))</f>
        <v>0</v>
      </c>
      <c r="R25" s="109">
        <f ca="1">IF(xflag=1,_xll.DBSW(SAISIE!R25,Server&amp;Cube1,$J$13,$J$14,$J$15,$J$17,R$22,$J$16,$D25),_xll.DBRW(Server&amp;Cube1,$J$13,$J$14,$J$15,$J$17,R$22,$J$16,$D25))</f>
        <v>-68321.440000000002</v>
      </c>
      <c r="S25" s="109">
        <f ca="1">IF(xflag=1,_xll.DBSW(SAISIE!S25,Server&amp;Cube1,$J$13,$J$14,$J$15,$J$17,S$22,$J$16,$D25),_xll.DBRW(Server&amp;Cube1,$J$13,$J$14,$J$15,$J$17,S$22,$J$16,$D25))</f>
        <v>660482.56999999995</v>
      </c>
      <c r="T25" s="109">
        <f ca="1">IF(xflag=1,_xll.DBSW(SAISIE!T25,Server&amp;Cube1,$J$13,$J$14,$J$15,$J$17,T$22,$J$16,$D25),_xll.DBRW(Server&amp;Cube1,$J$13,$J$14,$J$15,$J$17,T$22,$J$16,$D25))</f>
        <v>-27454.969999999972</v>
      </c>
      <c r="U25" s="109">
        <f ca="1">IF(xflag=1,_xll.DBSW(SAISIE!U25,Server&amp;Cube1,$J$13,$J$14,$J$15,$J$17,U$22,$J$16,$D25),_xll.DBRW(Server&amp;Cube1,$J$13,$J$14,$J$15,$J$17,U$22,$J$16,$D25))</f>
        <v>-327798.16000000003</v>
      </c>
      <c r="V25" s="109">
        <f ca="1">IF(xflag=1,_xll.DBSW(SAISIE!V25,Server&amp;Cube1,$J$13,$J$14,$J$15,$J$17,V$22,$J$16,$D25),_xll.DBRW(Server&amp;Cube1,$J$13,$J$14,$J$15,$J$17,V$22,$J$16,$D25))</f>
        <v>418103.91000000003</v>
      </c>
      <c r="W25" s="109">
        <f ca="1">IF(xflag=1,_xll.DBSW(SAISIE!W25,Server&amp;Cube1,$J$13,$J$14,$J$15,$J$17,W$22,$J$16,$D25),_xll.DBRW(Server&amp;Cube1,$J$13,$J$14,$J$15,$J$17,W$22,$J$16,$D25))</f>
        <v>0</v>
      </c>
      <c r="X25" s="109">
        <f ca="1">IF(xflag=1,_xll.DBSW(SAISIE!X25,Server&amp;Cube1,$J$13,$J$14,$J$15,$J$17,X$22,$J$16,$D25),_xll.DBRW(Server&amp;Cube1,$J$13,$J$14,$J$15,$J$17,X$22,$J$16,$D25))</f>
        <v>0</v>
      </c>
      <c r="Y25" s="109">
        <f ca="1">IF(xflag=1,_xll.DBSW(SAISIE!Y25,Server&amp;Cube1,$J$13,$J$14,$J$15,$J$17,Y$22,$J$16,$D25),_xll.DBRW(Server&amp;Cube1,$J$13,$J$14,$J$15,$J$17,Y$22,$J$16,$D25))</f>
        <v>0</v>
      </c>
      <c r="Z25" s="109">
        <f ca="1">IF(xflag=1,_xll.DBSW(SAISIE!Z25,Server&amp;Cube1,$J$13,$J$14,$J$15,$J$17,Z$22,$J$16,$D25),_xll.DBRW(Server&amp;Cube1,$J$13,$J$14,$J$15,$J$17,Z$22,$J$16,$D25))</f>
        <v>0</v>
      </c>
      <c r="AA25" s="109">
        <f ca="1">IF(xflag=1,_xll.DBSW(SAISIE!AA25,Server&amp;Cube1,$J$13,$J$14,$J$15,$J$17,AA$22,$J$16,$D25),_xll.DBRW(Server&amp;Cube1,$J$13,$J$14,$J$15,$J$17,AA$22,$J$16,$D25))</f>
        <v>0</v>
      </c>
      <c r="AB25" s="109">
        <f ca="1">IF(xflag=1,_xll.DBSW(SAISIE!AB25,Server&amp;Cube1,$J$13,$J$14,$J$15,$J$17,AB$22,$J$16,$D25),_xll.DBRW(Server&amp;Cube1,$J$13,$J$14,$J$15,$J$17,AB$22,$J$16,$D25))</f>
        <v>0</v>
      </c>
      <c r="AC25" s="31"/>
      <c r="AF25" s="90" t="str">
        <f ca="1">IF(xflag=1,_xll.DBSW(#REF!,Server&amp;Cube1,$J$13,$J$14,$J$15,#REF!,AF$2,$J$16,$D25),_xll.DBRW(Server&amp;Cube1,$J$13,$J$14,$J$15,#REF!,AF$2,$J$16,$D25))</f>
        <v>*KEY_ERR</v>
      </c>
    </row>
    <row r="26" spans="1:35" s="19" customFormat="1" ht="15.75" x14ac:dyDescent="0.25">
      <c r="A26"/>
      <c r="B26" s="198" t="s">
        <v>145</v>
      </c>
      <c r="C26" s="218" t="s">
        <v>186</v>
      </c>
      <c r="D26" s="226" t="str">
        <f t="shared" si="0"/>
        <v>706025d</v>
      </c>
      <c r="E26"/>
      <c r="F26" s="228"/>
      <c r="G26" s="170"/>
      <c r="H26" s="106"/>
      <c r="I26" s="305" t="str">
        <f ca="1">_xll.DBRA(Server&amp;$D$22,$B26,"French")</f>
        <v>Prestations FCO Simples</v>
      </c>
      <c r="J26" s="305"/>
      <c r="K26" s="37"/>
      <c r="L26" s="54">
        <f ca="1">_xll.DBRW(Server&amp;Cube1,$J$13,$L$3,$J$15,$L$1,$L$2,$J$16,$D26)</f>
        <v>0</v>
      </c>
      <c r="M26" s="37"/>
      <c r="N26" s="54">
        <f ca="1">_xll.DBRW(Server&amp;Cube1,$J$13,$N$3,$J$15,$N$1,$N$2,$J$16,$D26)</f>
        <v>0</v>
      </c>
      <c r="O26" s="55"/>
      <c r="P26" s="57"/>
      <c r="Q26" s="109">
        <f ca="1">IF(xflag=1,_xll.DBSW(SAISIE!Q26,Server&amp;Cube1,$J$13,$J$14,$J$15,$J$17,Q$22,$J$16,$D26),_xll.DBRW(Server&amp;Cube1,$J$13,$J$14,$J$15,$J$17,Q$22,$J$16,$D26))</f>
        <v>0</v>
      </c>
      <c r="R26" s="109">
        <f ca="1">IF(xflag=1,_xll.DBSW(SAISIE!R26,Server&amp;Cube1,$J$13,$J$14,$J$15,$J$17,R$22,$J$16,$D26),_xll.DBRW(Server&amp;Cube1,$J$13,$J$14,$J$15,$J$17,R$22,$J$16,$D26))</f>
        <v>21923.120000000003</v>
      </c>
      <c r="S26" s="109">
        <f ca="1">IF(xflag=1,_xll.DBSW(SAISIE!S26,Server&amp;Cube1,$J$13,$J$14,$J$15,$J$17,S$22,$J$16,$D26),_xll.DBRW(Server&amp;Cube1,$J$13,$J$14,$J$15,$J$17,S$22,$J$16,$D26))</f>
        <v>59707.590000000004</v>
      </c>
      <c r="T26" s="109">
        <f ca="1">IF(xflag=1,_xll.DBSW(SAISIE!T26,Server&amp;Cube1,$J$13,$J$14,$J$15,$J$17,T$22,$J$16,$D26),_xll.DBRW(Server&amp;Cube1,$J$13,$J$14,$J$15,$J$17,T$22,$J$16,$D26))</f>
        <v>125.21000000000004</v>
      </c>
      <c r="U26" s="109">
        <f ca="1">IF(xflag=1,_xll.DBSW(SAISIE!U26,Server&amp;Cube1,$J$13,$J$14,$J$15,$J$17,U$22,$J$16,$D26),_xll.DBRW(Server&amp;Cube1,$J$13,$J$14,$J$15,$J$17,U$22,$J$16,$D26))</f>
        <v>-13708.8</v>
      </c>
      <c r="V26" s="109">
        <f ca="1">IF(xflag=1,_xll.DBSW(SAISIE!V26,Server&amp;Cube1,$J$13,$J$14,$J$15,$J$17,V$22,$J$16,$D26),_xll.DBRW(Server&amp;Cube1,$J$13,$J$14,$J$15,$J$17,V$22,$J$16,$D26))</f>
        <v>57506.439999999995</v>
      </c>
      <c r="W26" s="109">
        <f ca="1">IF(xflag=1,_xll.DBSW(SAISIE!W26,Server&amp;Cube1,$J$13,$J$14,$J$15,$J$17,W$22,$J$16,$D26),_xll.DBRW(Server&amp;Cube1,$J$13,$J$14,$J$15,$J$17,W$22,$J$16,$D26))</f>
        <v>0</v>
      </c>
      <c r="X26" s="109">
        <f ca="1">IF(xflag=1,_xll.DBSW(SAISIE!X26,Server&amp;Cube1,$J$13,$J$14,$J$15,$J$17,X$22,$J$16,$D26),_xll.DBRW(Server&amp;Cube1,$J$13,$J$14,$J$15,$J$17,X$22,$J$16,$D26))</f>
        <v>0</v>
      </c>
      <c r="Y26" s="109">
        <f ca="1">IF(xflag=1,_xll.DBSW(SAISIE!Y26,Server&amp;Cube1,$J$13,$J$14,$J$15,$J$17,Y$22,$J$16,$D26),_xll.DBRW(Server&amp;Cube1,$J$13,$J$14,$J$15,$J$17,Y$22,$J$16,$D26))</f>
        <v>0</v>
      </c>
      <c r="Z26" s="109">
        <f ca="1">IF(xflag=1,_xll.DBSW(SAISIE!Z26,Server&amp;Cube1,$J$13,$J$14,$J$15,$J$17,Z$22,$J$16,$D26),_xll.DBRW(Server&amp;Cube1,$J$13,$J$14,$J$15,$J$17,Z$22,$J$16,$D26))</f>
        <v>0</v>
      </c>
      <c r="AA26" s="109">
        <f ca="1">IF(xflag=1,_xll.DBSW(SAISIE!AA26,Server&amp;Cube1,$J$13,$J$14,$J$15,$J$17,AA$22,$J$16,$D26),_xll.DBRW(Server&amp;Cube1,$J$13,$J$14,$J$15,$J$17,AA$22,$J$16,$D26))</f>
        <v>0</v>
      </c>
      <c r="AB26" s="109">
        <f ca="1">IF(xflag=1,_xll.DBSW(SAISIE!AB26,Server&amp;Cube1,$J$13,$J$14,$J$15,$J$17,AB$22,$J$16,$D26),_xll.DBRW(Server&amp;Cube1,$J$13,$J$14,$J$15,$J$17,AB$22,$J$16,$D26))</f>
        <v>0</v>
      </c>
      <c r="AC26" s="31"/>
      <c r="AF26" s="90" t="str">
        <f ca="1">IF(xflag=1,_xll.DBSW(#REF!,Server&amp;Cube1,$J$13,$J$14,$J$15,#REF!,AF$2,$J$16,$D26),_xll.DBRW(Server&amp;Cube1,$J$13,$J$14,$J$15,#REF!,AF$2,$J$16,$D26))</f>
        <v>*KEY_ERR</v>
      </c>
    </row>
    <row r="27" spans="1:35" s="19" customFormat="1" ht="15.75" x14ac:dyDescent="0.25">
      <c r="A27"/>
      <c r="B27" s="198" t="s">
        <v>146</v>
      </c>
      <c r="C27" s="218" t="s">
        <v>187</v>
      </c>
      <c r="D27" s="226" t="str">
        <f t="shared" si="0"/>
        <v>706025e</v>
      </c>
      <c r="E27"/>
      <c r="F27" s="228"/>
      <c r="G27" s="169"/>
      <c r="H27" s="105"/>
      <c r="I27" s="305" t="str">
        <f ca="1">_xll.DBRA(Server&amp;$D$22,$B27,"French")</f>
        <v>Prestations FCO Complètes</v>
      </c>
      <c r="J27" s="305"/>
      <c r="K27" s="37"/>
      <c r="L27" s="54">
        <f ca="1">_xll.DBRW(Server&amp;Cube1,$J$13,$L$3,$J$15,$L$1,$L$2,$J$16,$D27)</f>
        <v>0</v>
      </c>
      <c r="M27" s="37"/>
      <c r="N27" s="54">
        <f ca="1">_xll.DBRW(Server&amp;Cube1,$J$13,$N$3,$J$15,$N$1,$N$2,$J$16,$D27)</f>
        <v>0</v>
      </c>
      <c r="O27" s="55"/>
      <c r="P27" s="57"/>
      <c r="Q27" s="109">
        <f ca="1">IF(xflag=1,_xll.DBSW(SAISIE!Q27,Server&amp;Cube1,$J$13,$J$14,$J$15,$J$17,Q$22,$J$16,$D27),_xll.DBRW(Server&amp;Cube1,$J$13,$J$14,$J$15,$J$17,Q$22,$J$16,$D27))</f>
        <v>0</v>
      </c>
      <c r="R27" s="109">
        <f ca="1">IF(xflag=1,_xll.DBSW(SAISIE!R27,Server&amp;Cube1,$J$13,$J$14,$J$15,$J$17,R$22,$J$16,$D27),_xll.DBRW(Server&amp;Cube1,$J$13,$J$14,$J$15,$J$17,R$22,$J$16,$D27))</f>
        <v>44651.400000000009</v>
      </c>
      <c r="S27" s="109">
        <f ca="1">IF(xflag=1,_xll.DBSW(SAISIE!S27,Server&amp;Cube1,$J$13,$J$14,$J$15,$J$17,S$22,$J$16,$D27),_xll.DBRW(Server&amp;Cube1,$J$13,$J$14,$J$15,$J$17,S$22,$J$16,$D27))</f>
        <v>216736.95999999996</v>
      </c>
      <c r="T27" s="109">
        <f ca="1">IF(xflag=1,_xll.DBSW(SAISIE!T27,Server&amp;Cube1,$J$13,$J$14,$J$15,$J$17,T$22,$J$16,$D27),_xll.DBRW(Server&amp;Cube1,$J$13,$J$14,$J$15,$J$17,T$22,$J$16,$D27))</f>
        <v>2558.8000000000029</v>
      </c>
      <c r="U27" s="109">
        <f ca="1">IF(xflag=1,_xll.DBSW(SAISIE!U27,Server&amp;Cube1,$J$13,$J$14,$J$15,$J$17,U$22,$J$16,$D27),_xll.DBRW(Server&amp;Cube1,$J$13,$J$14,$J$15,$J$17,U$22,$J$16,$D27))</f>
        <v>-72258.760000000009</v>
      </c>
      <c r="V27" s="109">
        <f ca="1">IF(xflag=1,_xll.DBSW(SAISIE!V27,Server&amp;Cube1,$J$13,$J$14,$J$15,$J$17,V$22,$J$16,$D27),_xll.DBRW(Server&amp;Cube1,$J$13,$J$14,$J$15,$J$17,V$22,$J$16,$D27))</f>
        <v>176249.70999999996</v>
      </c>
      <c r="W27" s="109">
        <f ca="1">IF(xflag=1,_xll.DBSW(SAISIE!W27,Server&amp;Cube1,$J$13,$J$14,$J$15,$J$17,W$22,$J$16,$D27),_xll.DBRW(Server&amp;Cube1,$J$13,$J$14,$J$15,$J$17,W$22,$J$16,$D27))</f>
        <v>0</v>
      </c>
      <c r="X27" s="109">
        <f ca="1">IF(xflag=1,_xll.DBSW(SAISIE!X27,Server&amp;Cube1,$J$13,$J$14,$J$15,$J$17,X$22,$J$16,$D27),_xll.DBRW(Server&amp;Cube1,$J$13,$J$14,$J$15,$J$17,X$22,$J$16,$D27))</f>
        <v>0</v>
      </c>
      <c r="Y27" s="109">
        <f ca="1">IF(xflag=1,_xll.DBSW(SAISIE!Y27,Server&amp;Cube1,$J$13,$J$14,$J$15,$J$17,Y$22,$J$16,$D27),_xll.DBRW(Server&amp;Cube1,$J$13,$J$14,$J$15,$J$17,Y$22,$J$16,$D27))</f>
        <v>0</v>
      </c>
      <c r="Z27" s="109">
        <f ca="1">IF(xflag=1,_xll.DBSW(SAISIE!Z27,Server&amp;Cube1,$J$13,$J$14,$J$15,$J$17,Z$22,$J$16,$D27),_xll.DBRW(Server&amp;Cube1,$J$13,$J$14,$J$15,$J$17,Z$22,$J$16,$D27))</f>
        <v>0</v>
      </c>
      <c r="AA27" s="109">
        <f ca="1">IF(xflag=1,_xll.DBSW(SAISIE!AA27,Server&amp;Cube1,$J$13,$J$14,$J$15,$J$17,AA$22,$J$16,$D27),_xll.DBRW(Server&amp;Cube1,$J$13,$J$14,$J$15,$J$17,AA$22,$J$16,$D27))</f>
        <v>0</v>
      </c>
      <c r="AB27" s="109">
        <f ca="1">IF(xflag=1,_xll.DBSW(SAISIE!AB27,Server&amp;Cube1,$J$13,$J$14,$J$15,$J$17,AB$22,$J$16,$D27),_xll.DBRW(Server&amp;Cube1,$J$13,$J$14,$J$15,$J$17,AB$22,$J$16,$D27))</f>
        <v>0</v>
      </c>
      <c r="AC27" s="31"/>
      <c r="AF27" s="90" t="str">
        <f ca="1">IF(xflag=1,_xll.DBSW(#REF!,Server&amp;Cube1,$J$13,$J$14,$J$15,#REF!,AF$2,$J$16,$D27),_xll.DBRW(Server&amp;Cube1,$J$13,$J$14,$J$15,#REF!,AF$2,$J$16,$D27))</f>
        <v>*KEY_ERR</v>
      </c>
    </row>
    <row r="28" spans="1:35" s="19" customFormat="1" ht="15.75" x14ac:dyDescent="0.25">
      <c r="A28"/>
      <c r="B28" s="198" t="s">
        <v>166</v>
      </c>
      <c r="C28" s="218" t="s">
        <v>188</v>
      </c>
      <c r="D28" s="226" t="str">
        <f t="shared" si="0"/>
        <v>706025h</v>
      </c>
      <c r="E28"/>
      <c r="F28" s="228"/>
      <c r="G28" s="171"/>
      <c r="H28" s="107"/>
      <c r="I28" s="305" t="str">
        <f ca="1">_xll.DBRA(Server&amp;$D$22,$B28,"French")</f>
        <v>Prestations Formations initiales</v>
      </c>
      <c r="J28" s="305"/>
      <c r="K28" s="37"/>
      <c r="L28" s="54">
        <f ca="1">_xll.DBRW(Server&amp;Cube1,$J$13,$L$3,$J$15,$L$1,$L$2,$J$16,$D28)</f>
        <v>0</v>
      </c>
      <c r="M28" s="37"/>
      <c r="N28" s="54">
        <f ca="1">_xll.DBRW(Server&amp;Cube1,$J$13,$N$3,$J$15,$N$1,$N$2,$J$16,$D28)</f>
        <v>0</v>
      </c>
      <c r="O28" s="55"/>
      <c r="P28" s="57"/>
      <c r="Q28" s="109">
        <f ca="1">IF(xflag=1,_xll.DBSW(SAISIE!Q28,Server&amp;Cube1,$J$13,$J$14,$J$15,$J$17,Q$22,$J$16,$D28),_xll.DBRW(Server&amp;Cube1,$J$13,$J$14,$J$15,$J$17,Q$22,$J$16,$D28))</f>
        <v>0</v>
      </c>
      <c r="R28" s="109">
        <f ca="1">IF(xflag=1,_xll.DBSW(SAISIE!R28,Server&amp;Cube1,$J$13,$J$14,$J$15,$J$17,R$22,$J$16,$D28),_xll.DBRW(Server&amp;Cube1,$J$13,$J$14,$J$15,$J$17,R$22,$J$16,$D28))</f>
        <v>-106975.81000000001</v>
      </c>
      <c r="S28" s="109">
        <f ca="1">IF(xflag=1,_xll.DBSW(SAISIE!S28,Server&amp;Cube1,$J$13,$J$14,$J$15,$J$17,S$22,$J$16,$D28),_xll.DBRW(Server&amp;Cube1,$J$13,$J$14,$J$15,$J$17,S$22,$J$16,$D28))</f>
        <v>356791.52999999997</v>
      </c>
      <c r="T28" s="109">
        <f ca="1">IF(xflag=1,_xll.DBSW(SAISIE!T28,Server&amp;Cube1,$J$13,$J$14,$J$15,$J$17,T$22,$J$16,$D28),_xll.DBRW(Server&amp;Cube1,$J$13,$J$14,$J$15,$J$17,T$22,$J$16,$D28))</f>
        <v>54209.999999999927</v>
      </c>
      <c r="U28" s="109">
        <f ca="1">IF(xflag=1,_xll.DBSW(SAISIE!U28,Server&amp;Cube1,$J$13,$J$14,$J$15,$J$17,U$22,$J$16,$D28),_xll.DBRW(Server&amp;Cube1,$J$13,$J$14,$J$15,$J$17,U$22,$J$16,$D28))</f>
        <v>-322758.02999999991</v>
      </c>
      <c r="V28" s="109">
        <f ca="1">IF(xflag=1,_xll.DBSW(SAISIE!V28,Server&amp;Cube1,$J$13,$J$14,$J$15,$J$17,V$22,$J$16,$D28),_xll.DBRW(Server&amp;Cube1,$J$13,$J$14,$J$15,$J$17,V$22,$J$16,$D28))</f>
        <v>434953.37000000005</v>
      </c>
      <c r="W28" s="109">
        <f ca="1">IF(xflag=1,_xll.DBSW(SAISIE!W28,Server&amp;Cube1,$J$13,$J$14,$J$15,$J$17,W$22,$J$16,$D28),_xll.DBRW(Server&amp;Cube1,$J$13,$J$14,$J$15,$J$17,W$22,$J$16,$D28))</f>
        <v>0</v>
      </c>
      <c r="X28" s="109">
        <f ca="1">IF(xflag=1,_xll.DBSW(SAISIE!X28,Server&amp;Cube1,$J$13,$J$14,$J$15,$J$17,X$22,$J$16,$D28),_xll.DBRW(Server&amp;Cube1,$J$13,$J$14,$J$15,$J$17,X$22,$J$16,$D28))</f>
        <v>0</v>
      </c>
      <c r="Y28" s="109">
        <f ca="1">IF(xflag=1,_xll.DBSW(SAISIE!Y28,Server&amp;Cube1,$J$13,$J$14,$J$15,$J$17,Y$22,$J$16,$D28),_xll.DBRW(Server&amp;Cube1,$J$13,$J$14,$J$15,$J$17,Y$22,$J$16,$D28))</f>
        <v>0</v>
      </c>
      <c r="Z28" s="109">
        <f ca="1">IF(xflag=1,_xll.DBSW(SAISIE!Z28,Server&amp;Cube1,$J$13,$J$14,$J$15,$J$17,Z$22,$J$16,$D28),_xll.DBRW(Server&amp;Cube1,$J$13,$J$14,$J$15,$J$17,Z$22,$J$16,$D28))</f>
        <v>0</v>
      </c>
      <c r="AA28" s="109">
        <f ca="1">IF(xflag=1,_xll.DBSW(SAISIE!AA28,Server&amp;Cube1,$J$13,$J$14,$J$15,$J$17,AA$22,$J$16,$D28),_xll.DBRW(Server&amp;Cube1,$J$13,$J$14,$J$15,$J$17,AA$22,$J$16,$D28))</f>
        <v>0</v>
      </c>
      <c r="AB28" s="109">
        <f ca="1">IF(xflag=1,_xll.DBSW(SAISIE!AB28,Server&amp;Cube1,$J$13,$J$14,$J$15,$J$17,AB$22,$J$16,$D28),_xll.DBRW(Server&amp;Cube1,$J$13,$J$14,$J$15,$J$17,AB$22,$J$16,$D28))</f>
        <v>0</v>
      </c>
      <c r="AC28" s="31"/>
      <c r="AF28" s="90" t="str">
        <f ca="1">IF(xflag=1,_xll.DBSW(#REF!,Server&amp;Cube1,$J$13,$J$14,$J$15,#REF!,AF$2,$J$16,$D28),_xll.DBRW(Server&amp;Cube1,$J$13,$J$14,$J$15,#REF!,AF$2,$J$16,$D28))</f>
        <v>*KEY_ERR</v>
      </c>
      <c r="AI28" s="19">
        <v>1</v>
      </c>
    </row>
    <row r="29" spans="1:35" s="19" customFormat="1" ht="15.75" x14ac:dyDescent="0.25">
      <c r="A29" t="s">
        <v>69</v>
      </c>
      <c r="B29" s="198" t="s">
        <v>147</v>
      </c>
      <c r="C29" s="218" t="s">
        <v>189</v>
      </c>
      <c r="D29" s="226" t="str">
        <f t="shared" si="0"/>
        <v>706025f</v>
      </c>
      <c r="E29"/>
      <c r="F29" s="228"/>
      <c r="G29" s="171"/>
      <c r="H29" s="107"/>
      <c r="I29" s="305" t="str">
        <f ca="1">_xll.DBRA(Server&amp;$D$22,$B29,"French")</f>
        <v>Ajustement Véhicules</v>
      </c>
      <c r="J29" s="305"/>
      <c r="K29" s="37"/>
      <c r="L29" s="54">
        <f ca="1">_xll.DBRW(Server&amp;Cube1,$J$13,$L$3,$J$15,$L$1,$L$2,$J$16,$D29)</f>
        <v>0</v>
      </c>
      <c r="M29" s="37"/>
      <c r="N29" s="54">
        <f ca="1">_xll.DBRW(Server&amp;Cube1,$J$13,$N$3,$J$15,$N$1,$N$2,$J$16,$D29)</f>
        <v>0</v>
      </c>
      <c r="O29" s="55"/>
      <c r="P29" s="57"/>
      <c r="Q29" s="109">
        <f ca="1">IF(xflag=1,_xll.DBSW(SAISIE!Q29,Server&amp;Cube1,$J$13,$J$14,$J$15,$J$17,Q$22,$J$16,$D29),_xll.DBRW(Server&amp;Cube1,$J$13,$J$14,$J$15,$J$17,Q$22,$J$16,$D29))</f>
        <v>0</v>
      </c>
      <c r="R29" s="109">
        <f ca="1">IF(xflag=1,_xll.DBSW(SAISIE!R29,Server&amp;Cube1,$J$13,$J$14,$J$15,$J$17,R$22,$J$16,$D29),_xll.DBRW(Server&amp;Cube1,$J$13,$J$14,$J$15,$J$17,R$22,$J$16,$D29))</f>
        <v>0</v>
      </c>
      <c r="S29" s="109">
        <f ca="1">IF(xflag=1,_xll.DBSW(SAISIE!S29,Server&amp;Cube1,$J$13,$J$14,$J$15,$J$17,S$22,$J$16,$D29),_xll.DBRW(Server&amp;Cube1,$J$13,$J$14,$J$15,$J$17,S$22,$J$16,$D29))</f>
        <v>0</v>
      </c>
      <c r="T29" s="109">
        <f ca="1">IF(xflag=1,_xll.DBSW(SAISIE!T29,Server&amp;Cube1,$J$13,$J$14,$J$15,$J$17,T$22,$J$16,$D29),_xll.DBRW(Server&amp;Cube1,$J$13,$J$14,$J$15,$J$17,T$22,$J$16,$D29))</f>
        <v>0</v>
      </c>
      <c r="U29" s="109">
        <f ca="1">IF(xflag=1,_xll.DBSW(SAISIE!U29,Server&amp;Cube1,$J$13,$J$14,$J$15,$J$17,U$22,$J$16,$D29),_xll.DBRW(Server&amp;Cube1,$J$13,$J$14,$J$15,$J$17,U$22,$J$16,$D29))</f>
        <v>0</v>
      </c>
      <c r="V29" s="109">
        <f ca="1">IF(xflag=1,_xll.DBSW(SAISIE!V29,Server&amp;Cube1,$J$13,$J$14,$J$15,$J$17,V$22,$J$16,$D29),_xll.DBRW(Server&amp;Cube1,$J$13,$J$14,$J$15,$J$17,V$22,$J$16,$D29))</f>
        <v>0</v>
      </c>
      <c r="W29" s="109">
        <f ca="1">IF(xflag=1,_xll.DBSW(SAISIE!W29,Server&amp;Cube1,$J$13,$J$14,$J$15,$J$17,W$22,$J$16,$D29),_xll.DBRW(Server&amp;Cube1,$J$13,$J$14,$J$15,$J$17,W$22,$J$16,$D29))</f>
        <v>0</v>
      </c>
      <c r="X29" s="109">
        <f ca="1">IF(xflag=1,_xll.DBSW(SAISIE!X29,Server&amp;Cube1,$J$13,$J$14,$J$15,$J$17,X$22,$J$16,$D29),_xll.DBRW(Server&amp;Cube1,$J$13,$J$14,$J$15,$J$17,X$22,$J$16,$D29))</f>
        <v>0</v>
      </c>
      <c r="Y29" s="109">
        <f ca="1">IF(xflag=1,_xll.DBSW(SAISIE!Y29,Server&amp;Cube1,$J$13,$J$14,$J$15,$J$17,Y$22,$J$16,$D29),_xll.DBRW(Server&amp;Cube1,$J$13,$J$14,$J$15,$J$17,Y$22,$J$16,$D29))</f>
        <v>0</v>
      </c>
      <c r="Z29" s="109">
        <f ca="1">IF(xflag=1,_xll.DBSW(SAISIE!Z29,Server&amp;Cube1,$J$13,$J$14,$J$15,$J$17,Z$22,$J$16,$D29),_xll.DBRW(Server&amp;Cube1,$J$13,$J$14,$J$15,$J$17,Z$22,$J$16,$D29))</f>
        <v>0</v>
      </c>
      <c r="AA29" s="109">
        <f ca="1">IF(xflag=1,_xll.DBSW(SAISIE!AA29,Server&amp;Cube1,$J$13,$J$14,$J$15,$J$17,AA$22,$J$16,$D29),_xll.DBRW(Server&amp;Cube1,$J$13,$J$14,$J$15,$J$17,AA$22,$J$16,$D29))</f>
        <v>0</v>
      </c>
      <c r="AB29" s="109">
        <f ca="1">IF(xflag=1,_xll.DBSW(SAISIE!AB29,Server&amp;Cube1,$J$13,$J$14,$J$15,$J$17,AB$22,$J$16,$D29),_xll.DBRW(Server&amp;Cube1,$J$13,$J$14,$J$15,$J$17,AB$22,$J$16,$D29))</f>
        <v>0</v>
      </c>
      <c r="AC29" s="31"/>
      <c r="AF29" s="90" t="str">
        <f ca="1">IF(xflag=1,_xll.DBSW(#REF!,Server&amp;Cube1,$J$13,$J$14,$J$15,#REF!,AF$2,$J$16,$D29),_xll.DBRW(Server&amp;Cube1,$J$13,$J$14,$J$15,#REF!,AF$2,$J$16,$D29))</f>
        <v>*KEY_ERR</v>
      </c>
    </row>
    <row r="30" spans="1:35" s="19" customFormat="1" ht="15.75" x14ac:dyDescent="0.25">
      <c r="A30"/>
      <c r="B30" s="198" t="s">
        <v>148</v>
      </c>
      <c r="C30" s="218" t="s">
        <v>190</v>
      </c>
      <c r="D30" s="226" t="str">
        <f t="shared" si="0"/>
        <v>706025g</v>
      </c>
      <c r="E30"/>
      <c r="F30" s="228"/>
      <c r="G30" s="171"/>
      <c r="H30" s="107"/>
      <c r="I30" s="305" t="str">
        <f ca="1">_xll.DBRA(Server&amp;$D$22,$B30,"French")</f>
        <v>Ajustement Formateurs</v>
      </c>
      <c r="J30" s="305"/>
      <c r="K30" s="37"/>
      <c r="L30" s="54">
        <f ca="1">_xll.DBRW(Server&amp;Cube1,$J$13,$L$3,$J$15,$L$1,$L$2,$J$16,$D30)</f>
        <v>0</v>
      </c>
      <c r="M30" s="37"/>
      <c r="N30" s="54">
        <f ca="1">_xll.DBRW(Server&amp;Cube1,$J$13,$N$3,$J$15,$N$1,$N$2,$J$16,$D30)</f>
        <v>0</v>
      </c>
      <c r="O30" s="55"/>
      <c r="P30" s="57"/>
      <c r="Q30" s="109">
        <f ca="1">IF(xflag=1,_xll.DBSW(SAISIE!Q30,Server&amp;Cube1,$J$13,$J$14,$J$15,$J$17,Q$22,$J$16,$D30),_xll.DBRW(Server&amp;Cube1,$J$13,$J$14,$J$15,$J$17,Q$22,$J$16,$D30))</f>
        <v>0</v>
      </c>
      <c r="R30" s="109">
        <f ca="1">IF(xflag=1,_xll.DBSW(SAISIE!R30,Server&amp;Cube1,$J$13,$J$14,$J$15,$J$17,R$22,$J$16,$D30),_xll.DBRW(Server&amp;Cube1,$J$13,$J$14,$J$15,$J$17,R$22,$J$16,$D30))</f>
        <v>0</v>
      </c>
      <c r="S30" s="109">
        <f ca="1">IF(xflag=1,_xll.DBSW(SAISIE!S30,Server&amp;Cube1,$J$13,$J$14,$J$15,$J$17,S$22,$J$16,$D30),_xll.DBRW(Server&amp;Cube1,$J$13,$J$14,$J$15,$J$17,S$22,$J$16,$D30))</f>
        <v>0</v>
      </c>
      <c r="T30" s="109">
        <f ca="1">IF(xflag=1,_xll.DBSW(SAISIE!T30,Server&amp;Cube1,$J$13,$J$14,$J$15,$J$17,T$22,$J$16,$D30),_xll.DBRW(Server&amp;Cube1,$J$13,$J$14,$J$15,$J$17,T$22,$J$16,$D30))</f>
        <v>0</v>
      </c>
      <c r="U30" s="109">
        <f ca="1">IF(xflag=1,_xll.DBSW(SAISIE!U30,Server&amp;Cube1,$J$13,$J$14,$J$15,$J$17,U$22,$J$16,$D30),_xll.DBRW(Server&amp;Cube1,$J$13,$J$14,$J$15,$J$17,U$22,$J$16,$D30))</f>
        <v>0</v>
      </c>
      <c r="V30" s="109">
        <f ca="1">IF(xflag=1,_xll.DBSW(SAISIE!V30,Server&amp;Cube1,$J$13,$J$14,$J$15,$J$17,V$22,$J$16,$D30),_xll.DBRW(Server&amp;Cube1,$J$13,$J$14,$J$15,$J$17,V$22,$J$16,$D30))</f>
        <v>0</v>
      </c>
      <c r="W30" s="109">
        <f ca="1">IF(xflag=1,_xll.DBSW(SAISIE!W30,Server&amp;Cube1,$J$13,$J$14,$J$15,$J$17,W$22,$J$16,$D30),_xll.DBRW(Server&amp;Cube1,$J$13,$J$14,$J$15,$J$17,W$22,$J$16,$D30))</f>
        <v>0</v>
      </c>
      <c r="X30" s="109">
        <f ca="1">IF(xflag=1,_xll.DBSW(SAISIE!X30,Server&amp;Cube1,$J$13,$J$14,$J$15,$J$17,X$22,$J$16,$D30),_xll.DBRW(Server&amp;Cube1,$J$13,$J$14,$J$15,$J$17,X$22,$J$16,$D30))</f>
        <v>0</v>
      </c>
      <c r="Y30" s="109">
        <f ca="1">IF(xflag=1,_xll.DBSW(SAISIE!Y30,Server&amp;Cube1,$J$13,$J$14,$J$15,$J$17,Y$22,$J$16,$D30),_xll.DBRW(Server&amp;Cube1,$J$13,$J$14,$J$15,$J$17,Y$22,$J$16,$D30))</f>
        <v>0</v>
      </c>
      <c r="Z30" s="109">
        <f ca="1">IF(xflag=1,_xll.DBSW(SAISIE!Z30,Server&amp;Cube1,$J$13,$J$14,$J$15,$J$17,Z$22,$J$16,$D30),_xll.DBRW(Server&amp;Cube1,$J$13,$J$14,$J$15,$J$17,Z$22,$J$16,$D30))</f>
        <v>0</v>
      </c>
      <c r="AA30" s="109">
        <f ca="1">IF(xflag=1,_xll.DBSW(SAISIE!AA30,Server&amp;Cube1,$J$13,$J$14,$J$15,$J$17,AA$22,$J$16,$D30),_xll.DBRW(Server&amp;Cube1,$J$13,$J$14,$J$15,$J$17,AA$22,$J$16,$D30))</f>
        <v>0</v>
      </c>
      <c r="AB30" s="109">
        <f ca="1">IF(xflag=1,_xll.DBSW(SAISIE!AB30,Server&amp;Cube1,$J$13,$J$14,$J$15,$J$17,AB$22,$J$16,$D30),_xll.DBRW(Server&amp;Cube1,$J$13,$J$14,$J$15,$J$17,AB$22,$J$16,$D30))</f>
        <v>0</v>
      </c>
      <c r="AC30" s="31"/>
      <c r="AF30" s="90" t="str">
        <f ca="1">IF(xflag=1,_xll.DBSW(#REF!,Server&amp;Cube1,$J$13,$J$14,$J$15,#REF!,AF$2,$J$16,$D30),_xll.DBRW(Server&amp;Cube1,$J$13,$J$14,$J$15,#REF!,AF$2,$J$16,$D30))</f>
        <v>*KEY_ERR</v>
      </c>
    </row>
    <row r="31" spans="1:35" s="19" customFormat="1" ht="15.75" x14ac:dyDescent="0.25">
      <c r="A31"/>
      <c r="B31" s="199"/>
      <c r="C31" s="207"/>
      <c r="D31" s="226"/>
      <c r="E31"/>
      <c r="F31" s="228"/>
      <c r="G31" s="170"/>
      <c r="H31" s="106"/>
      <c r="I31" s="43"/>
      <c r="J31" s="43"/>
      <c r="K31" s="38"/>
      <c r="L31" s="62"/>
      <c r="M31" s="38"/>
      <c r="N31" s="62"/>
      <c r="O31" s="63"/>
      <c r="P31" s="64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31"/>
    </row>
    <row r="32" spans="1:35" s="19" customFormat="1" ht="16.5" thickBot="1" x14ac:dyDescent="0.3">
      <c r="A32"/>
      <c r="B32" s="198" t="s">
        <v>116</v>
      </c>
      <c r="C32" s="216" t="s">
        <v>191</v>
      </c>
      <c r="D32" s="226" t="str">
        <f t="shared" si="0"/>
        <v>706025a</v>
      </c>
      <c r="E32"/>
      <c r="F32" s="228"/>
      <c r="G32" s="169"/>
      <c r="H32" s="105"/>
      <c r="I32" s="306" t="str">
        <f ca="1">_xll.DBRA(Server&amp;$D$22,$D32,"French")</f>
        <v>Frais de déplacement formateurs / jour</v>
      </c>
      <c r="J32" s="306" t="str">
        <f ca="1">_xll.DBRA(Server&amp;$D$22,$D32,"French")</f>
        <v>Frais de déplacement formateurs / jour</v>
      </c>
      <c r="K32" s="39"/>
      <c r="L32" s="67">
        <f ca="1">_xll.DBRW(Server&amp;Cube1,$J$13,$L$3,$J$15,$L$1,$L$2,$J$16,$D32)</f>
        <v>21981.65</v>
      </c>
      <c r="M32" s="39"/>
      <c r="N32" s="67">
        <f ca="1">_xll.DBRW(Server&amp;Cube1,$J$13,$N$3,$J$15,$N$1,$N$2,$J$16,$D32)</f>
        <v>7203</v>
      </c>
      <c r="O32" s="68"/>
      <c r="P32" s="69"/>
      <c r="Q32" s="109">
        <f ca="1">IF(xflag=1,_xll.DBSW(SAISIE!Q32,Server&amp;Cube1,$J$13,$J$14,$J$15,$J$17,Q$22,$J$16,$D32),_xll.DBRW(Server&amp;Cube1,$J$13,$J$14,$J$15,$J$17,Q$22,$J$16,$D32))</f>
        <v>0</v>
      </c>
      <c r="R32" s="109">
        <f ca="1">IF(xflag=1,_xll.DBSW(SAISIE!R32,Server&amp;Cube1,$J$13,$J$14,$J$15,$J$17,R$22,$J$16,$D32),_xll.DBRW(Server&amp;Cube1,$J$13,$J$14,$J$15,$J$17,R$22,$J$16,$D32))</f>
        <v>1267.0899999999999</v>
      </c>
      <c r="S32" s="109">
        <f ca="1">IF(xflag=1,_xll.DBSW(SAISIE!S32,Server&amp;Cube1,$J$13,$J$14,$J$15,$J$17,S$22,$J$16,$D32),_xll.DBRW(Server&amp;Cube1,$J$13,$J$14,$J$15,$J$17,S$22,$J$16,$D32))</f>
        <v>1103.8000000000002</v>
      </c>
      <c r="T32" s="109">
        <f ca="1">IF(xflag=1,_xll.DBSW(SAISIE!T32,Server&amp;Cube1,$J$13,$J$14,$J$15,$J$17,T$22,$J$16,$D32),_xll.DBRW(Server&amp;Cube1,$J$13,$J$14,$J$15,$J$17,T$22,$J$16,$D32))</f>
        <v>0</v>
      </c>
      <c r="U32" s="109">
        <f ca="1">IF(xflag=1,_xll.DBSW(SAISIE!U32,Server&amp;Cube1,$J$13,$J$14,$J$15,$J$17,U$22,$J$16,$D32),_xll.DBRW(Server&amp;Cube1,$J$13,$J$14,$J$15,$J$17,U$22,$J$16,$D32))</f>
        <v>0</v>
      </c>
      <c r="V32" s="109">
        <f ca="1">IF(xflag=1,_xll.DBSW(SAISIE!V32,Server&amp;Cube1,$J$13,$J$14,$J$15,$J$17,V$22,$J$16,$D32),_xll.DBRW(Server&amp;Cube1,$J$13,$J$14,$J$15,$J$17,V$22,$J$16,$D32))</f>
        <v>1377.3999999999999</v>
      </c>
      <c r="W32" s="109">
        <f ca="1">IF(xflag=1,_xll.DBSW(SAISIE!W32,Server&amp;Cube1,$J$13,$J$14,$J$15,$J$17,W$22,$J$16,$D32),_xll.DBRW(Server&amp;Cube1,$J$13,$J$14,$J$15,$J$17,W$22,$J$16,$D32))</f>
        <v>0</v>
      </c>
      <c r="X32" s="109">
        <f ca="1">IF(xflag=1,_xll.DBSW(SAISIE!X32,Server&amp;Cube1,$J$13,$J$14,$J$15,$J$17,X$22,$J$16,$D32),_xll.DBRW(Server&amp;Cube1,$J$13,$J$14,$J$15,$J$17,X$22,$J$16,$D32))</f>
        <v>0</v>
      </c>
      <c r="Y32" s="109">
        <f ca="1">IF(xflag=1,_xll.DBSW(SAISIE!Y32,Server&amp;Cube1,$J$13,$J$14,$J$15,$J$17,Y$22,$J$16,$D32),_xll.DBRW(Server&amp;Cube1,$J$13,$J$14,$J$15,$J$17,Y$22,$J$16,$D32))</f>
        <v>0</v>
      </c>
      <c r="Z32" s="109">
        <f ca="1">IF(xflag=1,_xll.DBSW(SAISIE!Z32,Server&amp;Cube1,$J$13,$J$14,$J$15,$J$17,Z$22,$J$16,$D32),_xll.DBRW(Server&amp;Cube1,$J$13,$J$14,$J$15,$J$17,Z$22,$J$16,$D32))</f>
        <v>0</v>
      </c>
      <c r="AA32" s="109">
        <f ca="1">IF(xflag=1,_xll.DBSW(SAISIE!AA32,Server&amp;Cube1,$J$13,$J$14,$J$15,$J$17,AA$22,$J$16,$D32),_xll.DBRW(Server&amp;Cube1,$J$13,$J$14,$J$15,$J$17,AA$22,$J$16,$D32))</f>
        <v>0</v>
      </c>
      <c r="AB32" s="109">
        <f ca="1">IF(xflag=1,_xll.DBSW(SAISIE!AB32,Server&amp;Cube1,$J$13,$J$14,$J$15,$J$17,AB$22,$J$16,$D32),_xll.DBRW(Server&amp;Cube1,$J$13,$J$14,$J$15,$J$17,AB$22,$J$16,$D32))</f>
        <v>0</v>
      </c>
      <c r="AC32" s="31"/>
      <c r="AF32" s="90" t="str">
        <f ca="1">IF(xflag=1,_xll.DBSW(#REF!,Server&amp;Cube1,$J$13,$J$14,$J$15,#REF!,AF$2,$J$16,$D32),_xll.DBRW(Server&amp;Cube1,$J$13,$J$14,$J$15,#REF!,AF$2,$J$16,$D32))</f>
        <v>*KEY_ERR</v>
      </c>
    </row>
    <row r="33" spans="1:35" s="19" customFormat="1" ht="17.25" customHeight="1" thickTop="1" thickBot="1" x14ac:dyDescent="0.3">
      <c r="A33"/>
      <c r="B33" s="198" t="s">
        <v>71</v>
      </c>
      <c r="C33" s="216" t="s">
        <v>192</v>
      </c>
      <c r="D33" s="226" t="str">
        <f t="shared" si="0"/>
        <v>708800b</v>
      </c>
      <c r="E33"/>
      <c r="F33" s="228"/>
      <c r="G33" s="171"/>
      <c r="H33" s="107"/>
      <c r="I33" s="306" t="str">
        <f ca="1">_xll.DBRA(Server&amp;$D$22,$D33,"French")</f>
        <v>Frais de déplacement stagiaires / jour</v>
      </c>
      <c r="J33" s="306" t="str">
        <f ca="1">_xll.DBRA(Server&amp;$D$22,$D33,"French")</f>
        <v>Frais de déplacement stagiaires / jour</v>
      </c>
      <c r="K33" s="39"/>
      <c r="L33" s="67">
        <f ca="1">_xll.DBRW(Server&amp;Cube1,$J$13,$L$3,$J$15,$L$1,$L$2,$J$16,$D33)</f>
        <v>107564</v>
      </c>
      <c r="M33" s="39"/>
      <c r="N33" s="67">
        <f ca="1">_xll.DBRW(Server&amp;Cube1,$J$13,$N$3,$J$15,$N$1,$N$2,$J$16,$D33)</f>
        <v>95368</v>
      </c>
      <c r="O33" s="68"/>
      <c r="P33" s="69"/>
      <c r="Q33" s="109">
        <f ca="1">IF(xflag=1,_xll.DBSW(SAISIE!Q33,Server&amp;Cube1,$J$13,$J$14,$J$15,$J$17,Q$22,$J$16,$D33),_xll.DBRW(Server&amp;Cube1,$J$13,$J$14,$J$15,$J$17,Q$22,$J$16,$D33))</f>
        <v>0</v>
      </c>
      <c r="R33" s="109">
        <f ca="1">IF(xflag=1,_xll.DBSW(SAISIE!R33,Server&amp;Cube1,$J$13,$J$14,$J$15,$J$17,R$22,$J$16,$D33),_xll.DBRW(Server&amp;Cube1,$J$13,$J$14,$J$15,$J$17,R$22,$J$16,$D33))</f>
        <v>6587</v>
      </c>
      <c r="S33" s="109">
        <f ca="1">IF(xflag=1,_xll.DBSW(SAISIE!S33,Server&amp;Cube1,$J$13,$J$14,$J$15,$J$17,S$22,$J$16,$D33),_xll.DBRW(Server&amp;Cube1,$J$13,$J$14,$J$15,$J$17,S$22,$J$16,$D33))</f>
        <v>19052.46</v>
      </c>
      <c r="T33" s="109">
        <f ca="1">IF(xflag=1,_xll.DBSW(SAISIE!T33,Server&amp;Cube1,$J$13,$J$14,$J$15,$J$17,T$22,$J$16,$D33),_xll.DBRW(Server&amp;Cube1,$J$13,$J$14,$J$15,$J$17,T$22,$J$16,$D33))</f>
        <v>1936.5399999999991</v>
      </c>
      <c r="U33" s="109">
        <f ca="1">IF(xflag=1,_xll.DBSW(SAISIE!U33,Server&amp;Cube1,$J$13,$J$14,$J$15,$J$17,U$22,$J$16,$D33),_xll.DBRW(Server&amp;Cube1,$J$13,$J$14,$J$15,$J$17,U$22,$J$16,$D33))</f>
        <v>-12189</v>
      </c>
      <c r="V33" s="109">
        <f ca="1">IF(xflag=1,_xll.DBSW(SAISIE!V33,Server&amp;Cube1,$J$13,$J$14,$J$15,$J$17,V$22,$J$16,$D33),_xll.DBRW(Server&amp;Cube1,$J$13,$J$14,$J$15,$J$17,V$22,$J$16,$D33))</f>
        <v>14467</v>
      </c>
      <c r="W33" s="109">
        <f ca="1">IF(xflag=1,_xll.DBSW(SAISIE!W33,Server&amp;Cube1,$J$13,$J$14,$J$15,$J$17,W$22,$J$16,$D33),_xll.DBRW(Server&amp;Cube1,$J$13,$J$14,$J$15,$J$17,W$22,$J$16,$D33))</f>
        <v>0</v>
      </c>
      <c r="X33" s="109">
        <f ca="1">IF(xflag=1,_xll.DBSW(SAISIE!X33,Server&amp;Cube1,$J$13,$J$14,$J$15,$J$17,X$22,$J$16,$D33),_xll.DBRW(Server&amp;Cube1,$J$13,$J$14,$J$15,$J$17,X$22,$J$16,$D33))</f>
        <v>0</v>
      </c>
      <c r="Y33" s="109">
        <f ca="1">IF(xflag=1,_xll.DBSW(SAISIE!Y33,Server&amp;Cube1,$J$13,$J$14,$J$15,$J$17,Y$22,$J$16,$D33),_xll.DBRW(Server&amp;Cube1,$J$13,$J$14,$J$15,$J$17,Y$22,$J$16,$D33))</f>
        <v>0</v>
      </c>
      <c r="Z33" s="109">
        <f ca="1">IF(xflag=1,_xll.DBSW(SAISIE!Z33,Server&amp;Cube1,$J$13,$J$14,$J$15,$J$17,Z$22,$J$16,$D33),_xll.DBRW(Server&amp;Cube1,$J$13,$J$14,$J$15,$J$17,Z$22,$J$16,$D33))</f>
        <v>0</v>
      </c>
      <c r="AA33" s="109">
        <f ca="1">IF(xflag=1,_xll.DBSW(SAISIE!AA33,Server&amp;Cube1,$J$13,$J$14,$J$15,$J$17,AA$22,$J$16,$D33),_xll.DBRW(Server&amp;Cube1,$J$13,$J$14,$J$15,$J$17,AA$22,$J$16,$D33))</f>
        <v>0</v>
      </c>
      <c r="AB33" s="109">
        <f ca="1">IF(xflag=1,_xll.DBSW(SAISIE!AB33,Server&amp;Cube1,$J$13,$J$14,$J$15,$J$17,AB$22,$J$16,$D33),_xll.DBRW(Server&amp;Cube1,$J$13,$J$14,$J$15,$J$17,AB$22,$J$16,$D33))</f>
        <v>0</v>
      </c>
      <c r="AC33" s="31"/>
      <c r="AF33" s="90" t="str">
        <f ca="1">IF(xflag=1,_xll.DBSW(#REF!,Server&amp;Cube1,$J$13,$J$14,$J$15,#REF!,AF$2,$J$16,$D33),_xll.DBRW(Server&amp;Cube1,$J$13,$J$14,$J$15,#REF!,AF$2,$J$16,$D33))</f>
        <v>*KEY_ERR</v>
      </c>
    </row>
    <row r="34" spans="1:35" s="19" customFormat="1" ht="16.5" thickTop="1" x14ac:dyDescent="0.25">
      <c r="A34"/>
      <c r="B34" s="200" t="s">
        <v>22</v>
      </c>
      <c r="C34" s="219" t="s">
        <v>193</v>
      </c>
      <c r="D34" s="226" t="str">
        <f t="shared" si="0"/>
        <v>Tot_Produits_Subventions</v>
      </c>
      <c r="E34"/>
      <c r="F34" s="228"/>
      <c r="G34" s="171"/>
      <c r="H34" s="107"/>
      <c r="I34" s="306" t="s">
        <v>193</v>
      </c>
      <c r="J34" s="306" t="str">
        <f ca="1">_xll.DBRA(Server&amp;$D$22,$D34,"French")</f>
        <v>Subventions</v>
      </c>
      <c r="K34" s="72"/>
      <c r="L34" s="67">
        <f ca="1">SUM(L35:L37)</f>
        <v>33761.5</v>
      </c>
      <c r="M34" s="39"/>
      <c r="N34" s="67">
        <f ca="1">SUM(N35:N37)</f>
        <v>47480.200000000004</v>
      </c>
      <c r="O34" s="68"/>
      <c r="P34" s="69"/>
      <c r="Q34" s="110">
        <f ca="1">_xll.DBRW(Server&amp;Cube1,$J$13,$J$14,$J$15,$J$17,Q$1,$J$16,$D34)</f>
        <v>0</v>
      </c>
      <c r="R34" s="110">
        <f ca="1">_xll.DBRW(Server&amp;Cube1,$J$13,$J$14,$J$15,$J$17,R$1,$J$16,$D34)</f>
        <v>-14680.65</v>
      </c>
      <c r="S34" s="110">
        <f ca="1">_xll.DBRW(Server&amp;Cube1,$J$13,$J$14,$J$15,$J$17,S$1,$J$16,$D34)</f>
        <v>1648</v>
      </c>
      <c r="T34" s="110">
        <f ca="1">_xll.DBRW(Server&amp;Cube1,$J$13,$J$14,$J$15,$J$17,T$1,$J$16,$D34)</f>
        <v>0</v>
      </c>
      <c r="U34" s="110">
        <f ca="1">_xll.DBRW(Server&amp;Cube1,$J$13,$J$14,$J$15,$J$17,U$1,$J$16,$D34)</f>
        <v>-608</v>
      </c>
      <c r="V34" s="110">
        <f ca="1">_xll.DBRW(Server&amp;Cube1,$J$13,$J$14,$J$15,$J$17,V$1,$J$16,$D34)</f>
        <v>2688</v>
      </c>
      <c r="W34" s="110">
        <f ca="1">_xll.DBRW(Server&amp;Cube1,$J$13,$J$14,$J$15,$J$17,W$1,$J$16,$D34)</f>
        <v>0</v>
      </c>
      <c r="X34" s="110">
        <f ca="1">_xll.DBRW(Server&amp;Cube1,$J$13,$J$14,$J$15,$J$17,X$1,$J$16,$D34)</f>
        <v>0</v>
      </c>
      <c r="Y34" s="110">
        <f ca="1">_xll.DBRW(Server&amp;Cube1,$J$13,$J$14,$J$15,$J$17,Y$1,$J$16,$D34)</f>
        <v>0</v>
      </c>
      <c r="Z34" s="110">
        <f ca="1">_xll.DBRW(Server&amp;Cube1,$J$13,$J$14,$J$15,$J$17,Z$1,$J$16,$D34)</f>
        <v>0</v>
      </c>
      <c r="AA34" s="110">
        <f ca="1">_xll.DBRW(Server&amp;Cube1,$J$13,$J$14,$J$15,$J$17,AA$1,$J$16,$D34)</f>
        <v>0</v>
      </c>
      <c r="AB34" s="110">
        <f ca="1">_xll.DBRW(Server&amp;Cube1,$J$13,$J$14,$J$15,$J$17,AB$1,$J$16,$D34)</f>
        <v>0</v>
      </c>
      <c r="AC34" s="31"/>
    </row>
    <row r="35" spans="1:35" s="19" customFormat="1" ht="16.5" thickBot="1" x14ac:dyDescent="0.3">
      <c r="A35"/>
      <c r="B35" s="201" t="s">
        <v>24</v>
      </c>
      <c r="C35" s="220" t="s">
        <v>194</v>
      </c>
      <c r="D35" s="226" t="str">
        <f t="shared" si="0"/>
        <v>709600</v>
      </c>
      <c r="E35"/>
      <c r="F35" s="228"/>
      <c r="G35" s="171"/>
      <c r="H35" s="107"/>
      <c r="I35" s="305" t="str">
        <f ca="1">_xll.DBRA(Server&amp;$D$22,$D35,"French")</f>
        <v>R.R.R. sur prest. de service</v>
      </c>
      <c r="J35" s="305" t="str">
        <f ca="1">_xll.DBRA(Server&amp;$D$22,$D35,"French")</f>
        <v>R.R.R. sur prest. de service</v>
      </c>
      <c r="K35" s="72"/>
      <c r="L35" s="54">
        <f ca="1">_xll.DBRW(Server&amp;Cube1,$J$13,$L$3,$J$15,$L$1,$L$2,$J$16,$D35)</f>
        <v>0</v>
      </c>
      <c r="M35" s="37"/>
      <c r="N35" s="54">
        <f ca="1">_xll.DBRW(Server&amp;Cube1,$J$13,$N$3,$J$15,$N$1,$N$2,$J$16,$D35)</f>
        <v>0</v>
      </c>
      <c r="O35" s="55"/>
      <c r="P35" s="57"/>
      <c r="Q35" s="109">
        <f ca="1">IF(xflag=1,_xll.DBSW(SAISIE!Q35,Server&amp;Cube1,$J$13,$J$14,$J$15,$J$17,Q$22,$J$16,$D35),_xll.DBRW(Server&amp;Cube1,$J$13,$J$14,$J$15,$J$17,Q$22,$J$16,$D35))</f>
        <v>0</v>
      </c>
      <c r="R35" s="109">
        <f ca="1">IF(xflag=1,_xll.DBSW(SAISIE!R35,Server&amp;Cube1,$J$13,$J$14,$J$15,$J$17,R$22,$J$16,$D35),_xll.DBRW(Server&amp;Cube1,$J$13,$J$14,$J$15,$J$17,R$22,$J$16,$D35))</f>
        <v>0</v>
      </c>
      <c r="S35" s="109">
        <f ca="1">IF(xflag=1,_xll.DBSW(SAISIE!S35,Server&amp;Cube1,$J$13,$J$14,$J$15,$J$17,S$22,$J$16,$D35),_xll.DBRW(Server&amp;Cube1,$J$13,$J$14,$J$15,$J$17,S$22,$J$16,$D35))</f>
        <v>0</v>
      </c>
      <c r="T35" s="109">
        <f ca="1">IF(xflag=1,_xll.DBSW(SAISIE!T35,Server&amp;Cube1,$J$13,$J$14,$J$15,$J$17,T$22,$J$16,$D35),_xll.DBRW(Server&amp;Cube1,$J$13,$J$14,$J$15,$J$17,T$22,$J$16,$D35))</f>
        <v>0</v>
      </c>
      <c r="U35" s="109">
        <f ca="1">IF(xflag=1,_xll.DBSW(SAISIE!U35,Server&amp;Cube1,$J$13,$J$14,$J$15,$J$17,U$22,$J$16,$D35),_xll.DBRW(Server&amp;Cube1,$J$13,$J$14,$J$15,$J$17,U$22,$J$16,$D35))</f>
        <v>0</v>
      </c>
      <c r="V35" s="109">
        <f ca="1">IF(xflag=1,_xll.DBSW(SAISIE!V35,Server&amp;Cube1,$J$13,$J$14,$J$15,$J$17,V$22,$J$16,$D35),_xll.DBRW(Server&amp;Cube1,$J$13,$J$14,$J$15,$J$17,V$22,$J$16,$D35))</f>
        <v>0</v>
      </c>
      <c r="W35" s="109">
        <f ca="1">IF(xflag=1,_xll.DBSW(SAISIE!W35,Server&amp;Cube1,$J$13,$J$14,$J$15,$J$17,W$22,$J$16,$D35),_xll.DBRW(Server&amp;Cube1,$J$13,$J$14,$J$15,$J$17,W$22,$J$16,$D35))</f>
        <v>0</v>
      </c>
      <c r="X35" s="109">
        <f ca="1">IF(xflag=1,_xll.DBSW(SAISIE!X35,Server&amp;Cube1,$J$13,$J$14,$J$15,$J$17,X$22,$J$16,$D35),_xll.DBRW(Server&amp;Cube1,$J$13,$J$14,$J$15,$J$17,X$22,$J$16,$D35))</f>
        <v>0</v>
      </c>
      <c r="Y35" s="109">
        <f ca="1">IF(xflag=1,_xll.DBSW(SAISIE!Y35,Server&amp;Cube1,$J$13,$J$14,$J$15,$J$17,Y$22,$J$16,$D35),_xll.DBRW(Server&amp;Cube1,$J$13,$J$14,$J$15,$J$17,Y$22,$J$16,$D35))</f>
        <v>0</v>
      </c>
      <c r="Z35" s="109">
        <f ca="1">IF(xflag=1,_xll.DBSW(SAISIE!Z35,Server&amp;Cube1,$J$13,$J$14,$J$15,$J$17,Z$22,$J$16,$D35),_xll.DBRW(Server&amp;Cube1,$J$13,$J$14,$J$15,$J$17,Z$22,$J$16,$D35))</f>
        <v>0</v>
      </c>
      <c r="AA35" s="109">
        <f ca="1">IF(xflag=1,_xll.DBSW(SAISIE!AA35,Server&amp;Cube1,$J$13,$J$14,$J$15,$J$17,AA$22,$J$16,$D35),_xll.DBRW(Server&amp;Cube1,$J$13,$J$14,$J$15,$J$17,AA$22,$J$16,$D35))</f>
        <v>0</v>
      </c>
      <c r="AB35" s="109">
        <f ca="1">IF(xflag=1,_xll.DBSW(SAISIE!AB35,Server&amp;Cube1,$J$13,$J$14,$J$15,$J$17,AB$22,$J$16,$D35),_xll.DBRW(Server&amp;Cube1,$J$13,$J$14,$J$15,$J$17,AB$22,$J$16,$D35))</f>
        <v>0</v>
      </c>
      <c r="AC35" s="31"/>
      <c r="AF35" s="90" t="str">
        <f ca="1">IF(xflag=1,_xll.DBSW(#REF!,Server&amp;Cube1,$J$13,$J$14,$J$15,#REF!,AF$2,$J$16,$D35),_xll.DBRW(Server&amp;Cube1,$J$13,$J$14,$J$15,#REF!,AF$2,$J$16,$D35))</f>
        <v>*KEY_ERR</v>
      </c>
      <c r="AI35" s="19">
        <v>2</v>
      </c>
    </row>
    <row r="36" spans="1:35" s="19" customFormat="1" ht="17.25" thickTop="1" thickBot="1" x14ac:dyDescent="0.3">
      <c r="A36"/>
      <c r="B36" s="201" t="s">
        <v>176</v>
      </c>
      <c r="C36" s="220" t="s">
        <v>195</v>
      </c>
      <c r="D36" s="226" t="str">
        <f t="shared" si="0"/>
        <v>751100</v>
      </c>
      <c r="E36"/>
      <c r="F36" s="228"/>
      <c r="G36" s="171"/>
      <c r="H36" s="107"/>
      <c r="I36" s="305" t="str">
        <f ca="1">_xll.DBRA(Server&amp;$D$22,$D36,"French")</f>
        <v>Droit d'utilisation de produits pédagogiques</v>
      </c>
      <c r="J36" s="305" t="str">
        <f ca="1">_xll.DBRA(Server&amp;$D$22,$D36,"French")</f>
        <v>Droit d'utilisation de produits pédagogiques</v>
      </c>
      <c r="K36" s="72"/>
      <c r="L36" s="54">
        <f ca="1">_xll.DBRW(Server&amp;Cube1,$J$13,$L$3,$J$15,$L$1,$L$2,$J$16,$D36)</f>
        <v>0</v>
      </c>
      <c r="M36" s="37"/>
      <c r="N36" s="54">
        <f ca="1">_xll.DBRW(Server&amp;Cube1,$J$13,$N$3,$J$15,$N$1,$N$2,$J$16,$D36)</f>
        <v>0</v>
      </c>
      <c r="O36" s="55"/>
      <c r="P36" s="57"/>
      <c r="Q36" s="109">
        <f ca="1">IF(xflag=1,_xll.DBSW(SAISIE!Q36,Server&amp;Cube1,$J$13,$J$14,$J$15,$J$17,Q$22,$J$16,$D36),_xll.DBRW(Server&amp;Cube1,$J$13,$J$14,$J$15,$J$17,Q$22,$J$16,$D36))</f>
        <v>0</v>
      </c>
      <c r="R36" s="109">
        <f ca="1">IF(xflag=1,_xll.DBSW(SAISIE!R36,Server&amp;Cube1,$J$13,$J$14,$J$15,$J$17,R$22,$J$16,$D36),_xll.DBRW(Server&amp;Cube1,$J$13,$J$14,$J$15,$J$17,R$22,$J$16,$D36))</f>
        <v>0</v>
      </c>
      <c r="S36" s="109">
        <f ca="1">IF(xflag=1,_xll.DBSW(SAISIE!S36,Server&amp;Cube1,$J$13,$J$14,$J$15,$J$17,S$22,$J$16,$D36),_xll.DBRW(Server&amp;Cube1,$J$13,$J$14,$J$15,$J$17,S$22,$J$16,$D36))</f>
        <v>0</v>
      </c>
      <c r="T36" s="109">
        <f ca="1">IF(xflag=1,_xll.DBSW(SAISIE!T36,Server&amp;Cube1,$J$13,$J$14,$J$15,$J$17,T$22,$J$16,$D36),_xll.DBRW(Server&amp;Cube1,$J$13,$J$14,$J$15,$J$17,T$22,$J$16,$D36))</f>
        <v>0</v>
      </c>
      <c r="U36" s="109">
        <f ca="1">IF(xflag=1,_xll.DBSW(SAISIE!U36,Server&amp;Cube1,$J$13,$J$14,$J$15,$J$17,U$22,$J$16,$D36),_xll.DBRW(Server&amp;Cube1,$J$13,$J$14,$J$15,$J$17,U$22,$J$16,$D36))</f>
        <v>0</v>
      </c>
      <c r="V36" s="109">
        <f ca="1">IF(xflag=1,_xll.DBSW(SAISIE!V36,Server&amp;Cube1,$J$13,$J$14,$J$15,$J$17,V$22,$J$16,$D36),_xll.DBRW(Server&amp;Cube1,$J$13,$J$14,$J$15,$J$17,V$22,$J$16,$D36))</f>
        <v>0</v>
      </c>
      <c r="W36" s="109">
        <f ca="1">IF(xflag=1,_xll.DBSW(SAISIE!W36,Server&amp;Cube1,$J$13,$J$14,$J$15,$J$17,W$22,$J$16,$D36),_xll.DBRW(Server&amp;Cube1,$J$13,$J$14,$J$15,$J$17,W$22,$J$16,$D36))</f>
        <v>0</v>
      </c>
      <c r="X36" s="109">
        <f ca="1">IF(xflag=1,_xll.DBSW(SAISIE!X36,Server&amp;Cube1,$J$13,$J$14,$J$15,$J$17,X$22,$J$16,$D36),_xll.DBRW(Server&amp;Cube1,$J$13,$J$14,$J$15,$J$17,X$22,$J$16,$D36))</f>
        <v>0</v>
      </c>
      <c r="Y36" s="109">
        <f ca="1">IF(xflag=1,_xll.DBSW(SAISIE!Y36,Server&amp;Cube1,$J$13,$J$14,$J$15,$J$17,Y$22,$J$16,$D36),_xll.DBRW(Server&amp;Cube1,$J$13,$J$14,$J$15,$J$17,Y$22,$J$16,$D36))</f>
        <v>0</v>
      </c>
      <c r="Z36" s="109">
        <f ca="1">IF(xflag=1,_xll.DBSW(SAISIE!Z36,Server&amp;Cube1,$J$13,$J$14,$J$15,$J$17,Z$22,$J$16,$D36),_xll.DBRW(Server&amp;Cube1,$J$13,$J$14,$J$15,$J$17,Z$22,$J$16,$D36))</f>
        <v>0</v>
      </c>
      <c r="AA36" s="109">
        <f ca="1">IF(xflag=1,_xll.DBSW(SAISIE!AA36,Server&amp;Cube1,$J$13,$J$14,$J$15,$J$17,AA$22,$J$16,$D36),_xll.DBRW(Server&amp;Cube1,$J$13,$J$14,$J$15,$J$17,AA$22,$J$16,$D36))</f>
        <v>0</v>
      </c>
      <c r="AB36" s="109">
        <f ca="1">IF(xflag=1,_xll.DBSW(SAISIE!AB36,Server&amp;Cube1,$J$13,$J$14,$J$15,$J$17,AB$22,$J$16,$D36),_xll.DBRW(Server&amp;Cube1,$J$13,$J$14,$J$15,$J$17,AB$22,$J$16,$D36))</f>
        <v>0</v>
      </c>
      <c r="AC36" s="31"/>
      <c r="AF36" s="90" t="str">
        <f ca="1">IF(xflag=1,_xll.DBSW(#REF!,Server&amp;Cube1,$J$13,$J$14,$J$15,#REF!,AF$2,$J$16,$D36),_xll.DBRW(Server&amp;Cube1,$J$13,$J$14,$J$15,#REF!,AF$2,$J$16,$D36))</f>
        <v>*KEY_ERR</v>
      </c>
    </row>
    <row r="37" spans="1:35" s="19" customFormat="1" ht="17.25" thickTop="1" thickBot="1" x14ac:dyDescent="0.3">
      <c r="A37"/>
      <c r="B37" s="201" t="s">
        <v>23</v>
      </c>
      <c r="C37" s="220" t="s">
        <v>196</v>
      </c>
      <c r="D37" s="226" t="str">
        <f t="shared" si="0"/>
        <v>778000</v>
      </c>
      <c r="E37"/>
      <c r="F37" s="228"/>
      <c r="G37" s="171"/>
      <c r="H37" s="107" t="str">
        <f ca="1">_xll.DBRA(Server&amp;$D$22,$D37,"French")</f>
        <v>Dédit formation</v>
      </c>
      <c r="I37" s="305" t="str">
        <f ca="1">_xll.DBRA(Server&amp;$D$22,$D37,"French")</f>
        <v>Dédit formation</v>
      </c>
      <c r="J37" s="305" t="str">
        <f ca="1">_xll.DBRA(Server&amp;$D$22,$D37,"French")</f>
        <v>Dédit formation</v>
      </c>
      <c r="K37" s="72"/>
      <c r="L37" s="54">
        <f ca="1">_xll.DBRW(Server&amp;Cube1,$J$13,$L$3,$J$15,$L$1,$L$2,$J$16,$D37)</f>
        <v>33761.5</v>
      </c>
      <c r="M37" s="37"/>
      <c r="N37" s="54">
        <f ca="1">_xll.DBRW(Server&amp;Cube1,$J$13,$N$3,$J$15,$N$1,$N$2,$J$16,$D37)</f>
        <v>47480.200000000004</v>
      </c>
      <c r="O37" s="55"/>
      <c r="P37" s="57"/>
      <c r="Q37" s="109">
        <f ca="1">IF(xflag=1,_xll.DBSW(SAISIE!Q37,Server&amp;Cube1,$J$13,$J$14,$J$15,$J$17,Q$22,$J$16,$D37),_xll.DBRW(Server&amp;Cube1,$J$13,$J$14,$J$15,$J$17,Q$22,$J$16,$D37))</f>
        <v>0</v>
      </c>
      <c r="R37" s="109">
        <f ca="1">IF(xflag=1,_xll.DBSW(SAISIE!R37,Server&amp;Cube1,$J$13,$J$14,$J$15,$J$17,R$22,$J$16,$D37),_xll.DBRW(Server&amp;Cube1,$J$13,$J$14,$J$15,$J$17,R$22,$J$16,$D37))</f>
        <v>-14680.65</v>
      </c>
      <c r="S37" s="109">
        <f ca="1">IF(xflag=1,_xll.DBSW(SAISIE!S37,Server&amp;Cube1,$J$13,$J$14,$J$15,$J$17,S$22,$J$16,$D37),_xll.DBRW(Server&amp;Cube1,$J$13,$J$14,$J$15,$J$17,S$22,$J$16,$D37))</f>
        <v>1648</v>
      </c>
      <c r="T37" s="109">
        <f ca="1">IF(xflag=1,_xll.DBSW(SAISIE!T37,Server&amp;Cube1,$J$13,$J$14,$J$15,$J$17,T$22,$J$16,$D37),_xll.DBRW(Server&amp;Cube1,$J$13,$J$14,$J$15,$J$17,T$22,$J$16,$D37))</f>
        <v>0</v>
      </c>
      <c r="U37" s="109">
        <f ca="1">IF(xflag=1,_xll.DBSW(SAISIE!U37,Server&amp;Cube1,$J$13,$J$14,$J$15,$J$17,U$22,$J$16,$D37),_xll.DBRW(Server&amp;Cube1,$J$13,$J$14,$J$15,$J$17,U$22,$J$16,$D37))</f>
        <v>-608</v>
      </c>
      <c r="V37" s="109">
        <f ca="1">IF(xflag=1,_xll.DBSW(SAISIE!V37,Server&amp;Cube1,$J$13,$J$14,$J$15,$J$17,V$22,$J$16,$D37),_xll.DBRW(Server&amp;Cube1,$J$13,$J$14,$J$15,$J$17,V$22,$J$16,$D37))</f>
        <v>2688</v>
      </c>
      <c r="W37" s="109">
        <f ca="1">IF(xflag=1,_xll.DBSW(SAISIE!W37,Server&amp;Cube1,$J$13,$J$14,$J$15,$J$17,W$22,$J$16,$D37),_xll.DBRW(Server&amp;Cube1,$J$13,$J$14,$J$15,$J$17,W$22,$J$16,$D37))</f>
        <v>0</v>
      </c>
      <c r="X37" s="109">
        <f ca="1">IF(xflag=1,_xll.DBSW(SAISIE!X37,Server&amp;Cube1,$J$13,$J$14,$J$15,$J$17,X$22,$J$16,$D37),_xll.DBRW(Server&amp;Cube1,$J$13,$J$14,$J$15,$J$17,X$22,$J$16,$D37))</f>
        <v>0</v>
      </c>
      <c r="Y37" s="109">
        <f ca="1">IF(xflag=1,_xll.DBSW(SAISIE!Y37,Server&amp;Cube1,$J$13,$J$14,$J$15,$J$17,Y$22,$J$16,$D37),_xll.DBRW(Server&amp;Cube1,$J$13,$J$14,$J$15,$J$17,Y$22,$J$16,$D37))</f>
        <v>0</v>
      </c>
      <c r="Z37" s="109">
        <f ca="1">IF(xflag=1,_xll.DBSW(SAISIE!Z37,Server&amp;Cube1,$J$13,$J$14,$J$15,$J$17,Z$22,$J$16,$D37),_xll.DBRW(Server&amp;Cube1,$J$13,$J$14,$J$15,$J$17,Z$22,$J$16,$D37))</f>
        <v>0</v>
      </c>
      <c r="AA37" s="109">
        <f ca="1">IF(xflag=1,_xll.DBSW(SAISIE!AA37,Server&amp;Cube1,$J$13,$J$14,$J$15,$J$17,AA$22,$J$16,$D37),_xll.DBRW(Server&amp;Cube1,$J$13,$J$14,$J$15,$J$17,AA$22,$J$16,$D37))</f>
        <v>0</v>
      </c>
      <c r="AB37" s="109">
        <f ca="1">IF(xflag=1,_xll.DBSW(SAISIE!AB37,Server&amp;Cube1,$J$13,$J$14,$J$15,$J$17,AB$22,$J$16,$D37),_xll.DBRW(Server&amp;Cube1,$J$13,$J$14,$J$15,$J$17,AB$22,$J$16,$D37))</f>
        <v>0</v>
      </c>
      <c r="AC37" s="31"/>
      <c r="AF37" s="90" t="str">
        <f ca="1">IF(xflag=1,_xll.DBSW(#REF!,Server&amp;Cube1,$J$13,$J$14,$J$15,#REF!,AF$2,$J$16,$D37),_xll.DBRW(Server&amp;Cube1,$J$13,$J$14,$J$15,#REF!,AF$2,$J$16,$D37))</f>
        <v>*KEY_ERR</v>
      </c>
    </row>
    <row r="38" spans="1:35" s="19" customFormat="1" ht="16.5" thickTop="1" x14ac:dyDescent="0.25">
      <c r="A38"/>
      <c r="B38" s="200" t="s">
        <v>292</v>
      </c>
      <c r="C38" s="219" t="s">
        <v>291</v>
      </c>
      <c r="D38" s="226" t="s">
        <v>292</v>
      </c>
      <c r="E38"/>
      <c r="F38" s="228"/>
      <c r="G38" s="170"/>
      <c r="H38" s="106"/>
      <c r="I38" s="306" t="str">
        <f>+C38</f>
        <v>Autres produits</v>
      </c>
      <c r="J38" s="306" t="str">
        <f ca="1">_xll.DBRA(Server&amp;$D$22,$D38,"French")</f>
        <v/>
      </c>
      <c r="K38" s="39"/>
      <c r="L38" s="67">
        <f t="shared" ref="L38:M38" ca="1" si="1">SUM(L39:L40)</f>
        <v>97.199999999999989</v>
      </c>
      <c r="M38" s="67">
        <f t="shared" si="1"/>
        <v>0</v>
      </c>
      <c r="N38" s="67">
        <f ca="1">SUM(N39:N40)</f>
        <v>5400</v>
      </c>
      <c r="O38" s="68"/>
      <c r="P38" s="69"/>
      <c r="Q38" s="338">
        <f ca="1">SUM(Q39:Q40)</f>
        <v>0</v>
      </c>
      <c r="R38" s="338">
        <f t="shared" ref="R38:AB38" ca="1" si="2">SUM(R39:R40)</f>
        <v>11926.7</v>
      </c>
      <c r="S38" s="338">
        <f t="shared" ca="1" si="2"/>
        <v>23162.799999999996</v>
      </c>
      <c r="T38" s="338">
        <f t="shared" ca="1" si="2"/>
        <v>-215.79999999999791</v>
      </c>
      <c r="U38" s="338">
        <f t="shared" ca="1" si="2"/>
        <v>-3093.9</v>
      </c>
      <c r="V38" s="338">
        <f t="shared" ca="1" si="2"/>
        <v>21815.799999999996</v>
      </c>
      <c r="W38" s="338">
        <f t="shared" ca="1" si="2"/>
        <v>0</v>
      </c>
      <c r="X38" s="338">
        <f t="shared" ca="1" si="2"/>
        <v>0</v>
      </c>
      <c r="Y38" s="338">
        <f t="shared" ca="1" si="2"/>
        <v>0</v>
      </c>
      <c r="Z38" s="338">
        <f t="shared" ca="1" si="2"/>
        <v>0</v>
      </c>
      <c r="AA38" s="338">
        <f t="shared" ca="1" si="2"/>
        <v>0</v>
      </c>
      <c r="AB38" s="338">
        <f t="shared" ca="1" si="2"/>
        <v>0</v>
      </c>
      <c r="AC38" s="31"/>
    </row>
    <row r="39" spans="1:35" s="19" customFormat="1" ht="15.75" x14ac:dyDescent="0.25">
      <c r="A39"/>
      <c r="B39" s="201" t="s">
        <v>70</v>
      </c>
      <c r="C39" s="206" t="s">
        <v>197</v>
      </c>
      <c r="D39" s="226" t="str">
        <f t="shared" si="0"/>
        <v>708800a</v>
      </c>
      <c r="E39"/>
      <c r="F39" s="228"/>
      <c r="G39" s="169"/>
      <c r="H39" s="105"/>
      <c r="I39" s="305" t="str">
        <f ca="1">_xll.DBRA(Server&amp;$D$22,$D39,"French")</f>
        <v>Cartes CQC (produit)</v>
      </c>
      <c r="J39" s="305" t="str">
        <f ca="1">_xll.DBRA(Server&amp;$D$22,$D39,"French")</f>
        <v>Cartes CQC (produit)</v>
      </c>
      <c r="K39" s="37"/>
      <c r="L39" s="54">
        <f ca="1">_xll.DBRW(Server&amp;Cube1,$J$13,$L$3,$J$15,$L$1,$L$2,$J$16,$D39)</f>
        <v>97.199999999999989</v>
      </c>
      <c r="M39" s="37"/>
      <c r="N39" s="54">
        <f ca="1">_xll.DBRW(Server&amp;Cube1,$J$13,$N$3,$J$15,$N$1,$N$2,$J$16,$D39)</f>
        <v>5400</v>
      </c>
      <c r="O39" s="55"/>
      <c r="P39" s="57"/>
      <c r="Q39" s="109">
        <f ca="1">IF(xflag=1,_xll.DBSW(SAISIE!Q39,Server&amp;Cube1,$J$13,$J$14,$J$15,$J$17,Q$22,$J$16,$D39),_xll.DBRW(Server&amp;Cube1,$J$13,$J$14,$J$15,$J$17,Q$22,$J$16,$D39))</f>
        <v>0</v>
      </c>
      <c r="R39" s="109">
        <f ca="1">IF(xflag=1,_xll.DBSW(SAISIE!R39,Server&amp;Cube1,$J$13,$J$14,$J$15,$J$17,R$22,$J$16,$D39),_xll.DBRW(Server&amp;Cube1,$J$13,$J$14,$J$15,$J$17,R$22,$J$16,$D39))</f>
        <v>11926.7</v>
      </c>
      <c r="S39" s="109">
        <f ca="1">IF(xflag=1,_xll.DBSW(SAISIE!S39,Server&amp;Cube1,$J$13,$J$14,$J$15,$J$17,S$22,$J$16,$D39),_xll.DBRW(Server&amp;Cube1,$J$13,$J$14,$J$15,$J$17,S$22,$J$16,$D39))</f>
        <v>23162.799999999996</v>
      </c>
      <c r="T39" s="109">
        <f ca="1">IF(xflag=1,_xll.DBSW(SAISIE!T39,Server&amp;Cube1,$J$13,$J$14,$J$15,$J$17,T$22,$J$16,$D39),_xll.DBRW(Server&amp;Cube1,$J$13,$J$14,$J$15,$J$17,T$22,$J$16,$D39))</f>
        <v>-215.79999999999791</v>
      </c>
      <c r="U39" s="109">
        <f ca="1">IF(xflag=1,_xll.DBSW(SAISIE!U39,Server&amp;Cube1,$J$13,$J$14,$J$15,$J$17,U$22,$J$16,$D39),_xll.DBRW(Server&amp;Cube1,$J$13,$J$14,$J$15,$J$17,U$22,$J$16,$D39))</f>
        <v>-3093.9</v>
      </c>
      <c r="V39" s="109">
        <f ca="1">IF(xflag=1,_xll.DBSW(SAISIE!V39,Server&amp;Cube1,$J$13,$J$14,$J$15,$J$17,V$22,$J$16,$D39),_xll.DBRW(Server&amp;Cube1,$J$13,$J$14,$J$15,$J$17,V$22,$J$16,$D39))</f>
        <v>21815.799999999996</v>
      </c>
      <c r="W39" s="109">
        <f ca="1">IF(xflag=1,_xll.DBSW(SAISIE!W39,Server&amp;Cube1,$J$13,$J$14,$J$15,$J$17,W$22,$J$16,$D39),_xll.DBRW(Server&amp;Cube1,$J$13,$J$14,$J$15,$J$17,W$22,$J$16,$D39))</f>
        <v>0</v>
      </c>
      <c r="X39" s="109">
        <f ca="1">IF(xflag=1,_xll.DBSW(SAISIE!X39,Server&amp;Cube1,$J$13,$J$14,$J$15,$J$17,X$22,$J$16,$D39),_xll.DBRW(Server&amp;Cube1,$J$13,$J$14,$J$15,$J$17,X$22,$J$16,$D39))</f>
        <v>0</v>
      </c>
      <c r="Y39" s="109">
        <f ca="1">IF(xflag=1,_xll.DBSW(SAISIE!Y39,Server&amp;Cube1,$J$13,$J$14,$J$15,$J$17,Y$22,$J$16,$D39),_xll.DBRW(Server&amp;Cube1,$J$13,$J$14,$J$15,$J$17,Y$22,$J$16,$D39))</f>
        <v>0</v>
      </c>
      <c r="Z39" s="109">
        <f ca="1">IF(xflag=1,_xll.DBSW(SAISIE!Z39,Server&amp;Cube1,$J$13,$J$14,$J$15,$J$17,Z$22,$J$16,$D39),_xll.DBRW(Server&amp;Cube1,$J$13,$J$14,$J$15,$J$17,Z$22,$J$16,$D39))</f>
        <v>0</v>
      </c>
      <c r="AA39" s="109">
        <f ca="1">IF(xflag=1,_xll.DBSW(SAISIE!AA39,Server&amp;Cube1,$J$13,$J$14,$J$15,$J$17,AA$22,$J$16,$D39),_xll.DBRW(Server&amp;Cube1,$J$13,$J$14,$J$15,$J$17,AA$22,$J$16,$D39))</f>
        <v>0</v>
      </c>
      <c r="AB39" s="109">
        <f ca="1">IF(xflag=1,_xll.DBSW(SAISIE!AB39,Server&amp;Cube1,$J$13,$J$14,$J$15,$J$17,AB$22,$J$16,$D39),_xll.DBRW(Server&amp;Cube1,$J$13,$J$14,$J$15,$J$17,AB$22,$J$16,$D39))</f>
        <v>0</v>
      </c>
      <c r="AC39" s="31"/>
      <c r="AF39" s="90" t="str">
        <f ca="1">IF(xflag=1,_xll.DBSW(#REF!,Server&amp;Cube1,$J$13,$J$14,$J$15,#REF!,AF$2,$J$16,$D39),_xll.DBRW(Server&amp;Cube1,$J$13,$J$14,$J$15,#REF!,AF$2,$J$16,$D39))</f>
        <v>*KEY_ERR</v>
      </c>
      <c r="AI39" s="19">
        <v>3</v>
      </c>
    </row>
    <row r="40" spans="1:35" s="19" customFormat="1" ht="15.75" x14ac:dyDescent="0.25">
      <c r="A40"/>
      <c r="B40" s="201" t="s">
        <v>72</v>
      </c>
      <c r="C40" s="206" t="s">
        <v>198</v>
      </c>
      <c r="D40" s="226" t="str">
        <f t="shared" si="0"/>
        <v>708800c</v>
      </c>
      <c r="E40"/>
      <c r="F40" s="228"/>
      <c r="G40" s="171"/>
      <c r="H40" s="107"/>
      <c r="I40" s="305" t="str">
        <f ca="1">_xll.DBRA(Server&amp;$D$22,$D40,"French")</f>
        <v>Autres</v>
      </c>
      <c r="J40" s="305" t="str">
        <f ca="1">_xll.DBRA(Server&amp;$D$22,$D40,"French")</f>
        <v>Autres</v>
      </c>
      <c r="K40" s="37"/>
      <c r="L40" s="54">
        <f ca="1">_xll.DBRW(Server&amp;Cube1,$J$13,$L$3,$J$15,$L$1,$L$2,$J$16,$D40)</f>
        <v>0</v>
      </c>
      <c r="M40" s="37"/>
      <c r="N40" s="54">
        <f ca="1">_xll.DBRW(Server&amp;Cube1,$J$13,$N$3,$J$15,$N$1,$N$2,$J$16,$D40)</f>
        <v>0</v>
      </c>
      <c r="O40" s="55"/>
      <c r="P40" s="57"/>
      <c r="Q40" s="109">
        <f ca="1">IF(xflag=1,_xll.DBSW(SAISIE!Q40,Server&amp;Cube1,$J$13,$J$14,$J$15,$J$17,Q$22,$J$16,$D40),_xll.DBRW(Server&amp;Cube1,$J$13,$J$14,$J$15,$J$17,Q$22,$J$16,$D40))</f>
        <v>0</v>
      </c>
      <c r="R40" s="109">
        <f ca="1">IF(xflag=1,_xll.DBSW(SAISIE!R40,Server&amp;Cube1,$J$13,$J$14,$J$15,$J$17,R$22,$J$16,$D40),_xll.DBRW(Server&amp;Cube1,$J$13,$J$14,$J$15,$J$17,R$22,$J$16,$D40))</f>
        <v>0</v>
      </c>
      <c r="S40" s="109">
        <f ca="1">IF(xflag=1,_xll.DBSW(SAISIE!S40,Server&amp;Cube1,$J$13,$J$14,$J$15,$J$17,S$22,$J$16,$D40),_xll.DBRW(Server&amp;Cube1,$J$13,$J$14,$J$15,$J$17,S$22,$J$16,$D40))</f>
        <v>0</v>
      </c>
      <c r="T40" s="109">
        <f ca="1">IF(xflag=1,_xll.DBSW(SAISIE!T40,Server&amp;Cube1,$J$13,$J$14,$J$15,$J$17,T$22,$J$16,$D40),_xll.DBRW(Server&amp;Cube1,$J$13,$J$14,$J$15,$J$17,T$22,$J$16,$D40))</f>
        <v>0</v>
      </c>
      <c r="U40" s="109">
        <f ca="1">IF(xflag=1,_xll.DBSW(SAISIE!U40,Server&amp;Cube1,$J$13,$J$14,$J$15,$J$17,U$22,$J$16,$D40),_xll.DBRW(Server&amp;Cube1,$J$13,$J$14,$J$15,$J$17,U$22,$J$16,$D40))</f>
        <v>0</v>
      </c>
      <c r="V40" s="109">
        <f ca="1">IF(xflag=1,_xll.DBSW(SAISIE!V40,Server&amp;Cube1,$J$13,$J$14,$J$15,$J$17,V$22,$J$16,$D40),_xll.DBRW(Server&amp;Cube1,$J$13,$J$14,$J$15,$J$17,V$22,$J$16,$D40))</f>
        <v>0</v>
      </c>
      <c r="W40" s="109">
        <f ca="1">IF(xflag=1,_xll.DBSW(SAISIE!W40,Server&amp;Cube1,$J$13,$J$14,$J$15,$J$17,W$22,$J$16,$D40),_xll.DBRW(Server&amp;Cube1,$J$13,$J$14,$J$15,$J$17,W$22,$J$16,$D40))</f>
        <v>0</v>
      </c>
      <c r="X40" s="109">
        <f ca="1">IF(xflag=1,_xll.DBSW(SAISIE!X40,Server&amp;Cube1,$J$13,$J$14,$J$15,$J$17,X$22,$J$16,$D40),_xll.DBRW(Server&amp;Cube1,$J$13,$J$14,$J$15,$J$17,X$22,$J$16,$D40))</f>
        <v>0</v>
      </c>
      <c r="Y40" s="109">
        <f ca="1">IF(xflag=1,_xll.DBSW(SAISIE!Y40,Server&amp;Cube1,$J$13,$J$14,$J$15,$J$17,Y$22,$J$16,$D40),_xll.DBRW(Server&amp;Cube1,$J$13,$J$14,$J$15,$J$17,Y$22,$J$16,$D40))</f>
        <v>0</v>
      </c>
      <c r="Z40" s="109">
        <f ca="1">IF(xflag=1,_xll.DBSW(SAISIE!Z40,Server&amp;Cube1,$J$13,$J$14,$J$15,$J$17,Z$22,$J$16,$D40),_xll.DBRW(Server&amp;Cube1,$J$13,$J$14,$J$15,$J$17,Z$22,$J$16,$D40))</f>
        <v>0</v>
      </c>
      <c r="AA40" s="109">
        <f ca="1">IF(xflag=1,_xll.DBSW(SAISIE!AA40,Server&amp;Cube1,$J$13,$J$14,$J$15,$J$17,AA$22,$J$16,$D40),_xll.DBRW(Server&amp;Cube1,$J$13,$J$14,$J$15,$J$17,AA$22,$J$16,$D40))</f>
        <v>0</v>
      </c>
      <c r="AB40" s="109">
        <f ca="1">IF(xflag=1,_xll.DBSW(SAISIE!AB40,Server&amp;Cube1,$J$13,$J$14,$J$15,$J$17,AB$22,$J$16,$D40),_xll.DBRW(Server&amp;Cube1,$J$13,$J$14,$J$15,$J$17,AB$22,$J$16,$D40))</f>
        <v>0</v>
      </c>
      <c r="AC40" s="31"/>
      <c r="AF40" s="90" t="str">
        <f ca="1">IF(xflag=1,_xll.DBSW(#REF!,Server&amp;Cube1,$J$13,$J$14,$J$15,#REF!,AF$2,$J$16,$D40),_xll.DBRW(Server&amp;Cube1,$J$13,$J$14,$J$15,#REF!,AF$2,$J$16,$D40))</f>
        <v>*KEY_ERR</v>
      </c>
    </row>
    <row r="41" spans="1:35" s="19" customFormat="1" ht="15.75" x14ac:dyDescent="0.25">
      <c r="A41"/>
      <c r="E41"/>
      <c r="F41" s="228"/>
      <c r="G41" s="170"/>
      <c r="H41" s="106"/>
      <c r="I41" s="43"/>
      <c r="J41" s="43"/>
      <c r="K41" s="38"/>
      <c r="L41" s="62"/>
      <c r="M41" s="38"/>
      <c r="N41" s="62"/>
      <c r="O41" s="63"/>
      <c r="P41" s="64"/>
      <c r="Q41" s="163"/>
      <c r="R41" s="163"/>
      <c r="S41" s="163"/>
      <c r="T41" s="163"/>
      <c r="U41" s="163"/>
      <c r="V41" s="163"/>
      <c r="W41" s="163"/>
      <c r="X41" s="163"/>
      <c r="Y41" s="163"/>
      <c r="Z41" s="163"/>
      <c r="AA41" s="163"/>
      <c r="AB41" s="163"/>
      <c r="AC41" s="31"/>
    </row>
    <row r="42" spans="1:35" s="19" customFormat="1" ht="15.75" x14ac:dyDescent="0.25">
      <c r="A42"/>
      <c r="B42" s="203" t="s">
        <v>21</v>
      </c>
      <c r="C42" s="221"/>
      <c r="D42" s="226" t="str">
        <f>B42</f>
        <v>Tot_Produits</v>
      </c>
      <c r="E42"/>
      <c r="F42" s="228"/>
      <c r="G42" s="169"/>
      <c r="H42" s="105"/>
      <c r="I42" s="310" t="str">
        <f ca="1">_xll.DBRA(Server&amp;$D$22,$D42,"French")</f>
        <v>Total Produits</v>
      </c>
      <c r="J42" s="310" t="str">
        <f ca="1">_xll.DBRA(Server&amp;$D$22,$D42,"French")</f>
        <v>Total Produits</v>
      </c>
      <c r="K42" s="39"/>
      <c r="L42" s="67">
        <f ca="1">+L24+L32+L33+L34+L38</f>
        <v>2622596.69</v>
      </c>
      <c r="M42" s="39"/>
      <c r="N42" s="67">
        <f ca="1">SUM(N24+N32+N33+N34+N38)</f>
        <v>2559095.6200000006</v>
      </c>
      <c r="O42" s="68"/>
      <c r="P42" s="69"/>
      <c r="Q42" s="110">
        <f ca="1">+Q24+Q32+Q33+Q34+Q38</f>
        <v>0</v>
      </c>
      <c r="R42" s="110">
        <f t="shared" ref="R42:AB42" ca="1" si="3">+R24+R32+R33+R34+R38</f>
        <v>-103622.59000000001</v>
      </c>
      <c r="S42" s="110">
        <f t="shared" ca="1" si="3"/>
        <v>1338685.71</v>
      </c>
      <c r="T42" s="110">
        <f t="shared" ca="1" si="3"/>
        <v>31159.779999999959</v>
      </c>
      <c r="U42" s="110">
        <f t="shared" ca="1" si="3"/>
        <v>-752414.65</v>
      </c>
      <c r="V42" s="110">
        <f t="shared" ca="1" si="3"/>
        <v>1127161.6300000001</v>
      </c>
      <c r="W42" s="110">
        <f t="shared" ca="1" si="3"/>
        <v>0</v>
      </c>
      <c r="X42" s="110">
        <f t="shared" ca="1" si="3"/>
        <v>0</v>
      </c>
      <c r="Y42" s="110">
        <f t="shared" ca="1" si="3"/>
        <v>0</v>
      </c>
      <c r="Z42" s="110">
        <f t="shared" ca="1" si="3"/>
        <v>0</v>
      </c>
      <c r="AA42" s="110">
        <f t="shared" ca="1" si="3"/>
        <v>0</v>
      </c>
      <c r="AB42" s="110">
        <f t="shared" ca="1" si="3"/>
        <v>0</v>
      </c>
      <c r="AC42" s="31"/>
    </row>
    <row r="43" spans="1:35" s="19" customFormat="1" ht="16.5" thickBot="1" x14ac:dyDescent="0.3">
      <c r="A43"/>
      <c r="E43"/>
      <c r="F43" s="228"/>
      <c r="G43" s="170"/>
      <c r="H43" s="106"/>
      <c r="I43" s="43"/>
      <c r="J43" s="43"/>
      <c r="K43" s="38"/>
      <c r="L43" s="62"/>
      <c r="M43" s="38"/>
      <c r="N43" s="62"/>
      <c r="O43" s="63"/>
      <c r="P43" s="64"/>
      <c r="Q43" s="163"/>
      <c r="R43" s="163"/>
      <c r="S43" s="163"/>
      <c r="T43" s="163"/>
      <c r="U43" s="163"/>
      <c r="V43" s="163"/>
      <c r="W43" s="163"/>
      <c r="X43" s="163"/>
      <c r="Y43" s="163"/>
      <c r="Z43" s="163"/>
      <c r="AA43" s="163"/>
      <c r="AB43" s="163"/>
      <c r="AC43" s="31"/>
    </row>
    <row r="44" spans="1:35" s="19" customFormat="1" ht="32.25" thickTop="1" x14ac:dyDescent="0.25">
      <c r="A44"/>
      <c r="B44" s="198" t="s">
        <v>88</v>
      </c>
      <c r="C44" s="219" t="s">
        <v>199</v>
      </c>
      <c r="D44" s="226" t="str">
        <f t="shared" si="0"/>
        <v>621880_Tot</v>
      </c>
      <c r="E44"/>
      <c r="F44" s="228"/>
      <c r="G44" s="170"/>
      <c r="H44" s="106"/>
      <c r="I44" s="306" t="str">
        <f ca="1">_xll.DBRA(Server&amp;$D$22,$D44,"French")</f>
        <v>Formateurs et autres frais de personnel directs (interne groupe)</v>
      </c>
      <c r="J44" s="306" t="str">
        <f ca="1">_xll.DBRA(Server&amp;$D$22,$D44,"French")</f>
        <v>Formateurs et autres frais de personnel directs (interne groupe)</v>
      </c>
      <c r="K44" s="39"/>
      <c r="L44" s="67">
        <f ca="1">SUM(L45:L47)</f>
        <v>-367765.91</v>
      </c>
      <c r="M44" s="67">
        <f t="shared" ref="M44" si="4">SUM(M45:M47)</f>
        <v>0</v>
      </c>
      <c r="N44" s="67">
        <f ca="1">SUM(N45:N47)</f>
        <v>-286325.06000000006</v>
      </c>
      <c r="O44" s="68"/>
      <c r="P44" s="69"/>
      <c r="Q44" s="108">
        <f ca="1">SUM(Q45:Q47)</f>
        <v>0</v>
      </c>
      <c r="R44" s="108">
        <f t="shared" ref="R44:AB44" ca="1" si="5">SUM(R45:R47)</f>
        <v>80399.419999999984</v>
      </c>
      <c r="S44" s="108">
        <f t="shared" ca="1" si="5"/>
        <v>-314400.53000000003</v>
      </c>
      <c r="T44" s="108">
        <f t="shared" ca="1" si="5"/>
        <v>-23912.089999999982</v>
      </c>
      <c r="U44" s="108">
        <f t="shared" ca="1" si="5"/>
        <v>194317.49</v>
      </c>
      <c r="V44" s="108">
        <f t="shared" ca="1" si="5"/>
        <v>-230313.34000000003</v>
      </c>
      <c r="W44" s="108">
        <f t="shared" ca="1" si="5"/>
        <v>0</v>
      </c>
      <c r="X44" s="108">
        <f t="shared" ca="1" si="5"/>
        <v>0</v>
      </c>
      <c r="Y44" s="108">
        <f t="shared" ca="1" si="5"/>
        <v>0</v>
      </c>
      <c r="Z44" s="108">
        <f t="shared" ca="1" si="5"/>
        <v>0</v>
      </c>
      <c r="AA44" s="108">
        <f t="shared" ca="1" si="5"/>
        <v>0</v>
      </c>
      <c r="AB44" s="108">
        <f t="shared" ca="1" si="5"/>
        <v>0</v>
      </c>
      <c r="AC44" s="31"/>
    </row>
    <row r="45" spans="1:35" s="19" customFormat="1" ht="15.75" x14ac:dyDescent="0.25">
      <c r="A45"/>
      <c r="B45" s="201" t="s">
        <v>73</v>
      </c>
      <c r="C45" s="206" t="s">
        <v>200</v>
      </c>
      <c r="D45" s="226" t="str">
        <f t="shared" si="0"/>
        <v>621880a</v>
      </c>
      <c r="E45"/>
      <c r="F45" s="228"/>
      <c r="G45" s="169"/>
      <c r="H45" s="105"/>
      <c r="I45" s="305" t="str">
        <f ca="1">_xll.DBRA(Server&amp;$D$22,$D45,"French")</f>
        <v>MAD formateurs</v>
      </c>
      <c r="J45" s="305" t="str">
        <f ca="1">_xll.DBRA(Server&amp;$D$22,$D45,"French")</f>
        <v>MAD formateurs</v>
      </c>
      <c r="K45" s="37"/>
      <c r="L45" s="54">
        <f ca="1">_xll.DBRW(Server&amp;Cube1,$J$13,$L$3,$J$15,$L$1,$L$2,$J$16,$D45)</f>
        <v>-198202.44999999998</v>
      </c>
      <c r="M45" s="37"/>
      <c r="N45" s="54">
        <f ca="1">_xll.DBRW(Server&amp;Cube1,$J$13,$N$3,$J$15,$N$1,$N$2,$J$16,$D45)</f>
        <v>-153235.29000000004</v>
      </c>
      <c r="O45" s="55"/>
      <c r="P45" s="57"/>
      <c r="Q45" s="109">
        <f ca="1">IF(xflag=1,_xll.DBSW(SAISIE!Q45,Server&amp;Cube1,$J$13,$J$14,$J$15,$J$17,Q$22,$J$16,$D45),_xll.DBRW(Server&amp;Cube1,$J$13,$J$14,$J$15,$J$17,Q$22,$J$16,$D45))</f>
        <v>0</v>
      </c>
      <c r="R45" s="109">
        <f ca="1">IF(xflag=1,_xll.DBSW(SAISIE!R45,Server&amp;Cube1,$J$13,$J$14,$J$15,$J$17,R$22,$J$16,$D45),_xll.DBRW(Server&amp;Cube1,$J$13,$J$14,$J$15,$J$17,R$22,$J$16,$D45))</f>
        <v>82105.919999999984</v>
      </c>
      <c r="S45" s="109">
        <f ca="1">IF(xflag=1,_xll.DBSW(SAISIE!S45,Server&amp;Cube1,$J$13,$J$14,$J$15,$J$17,S$22,$J$16,$D45),_xll.DBRW(Server&amp;Cube1,$J$13,$J$14,$J$15,$J$17,S$22,$J$16,$D45))</f>
        <v>-258984.87000000002</v>
      </c>
      <c r="T45" s="109">
        <f ca="1">IF(xflag=1,_xll.DBSW(SAISIE!T45,Server&amp;Cube1,$J$13,$J$14,$J$15,$J$17,T$22,$J$16,$D45),_xll.DBRW(Server&amp;Cube1,$J$13,$J$14,$J$15,$J$17,T$22,$J$16,$D45))</f>
        <v>-22918.499999999985</v>
      </c>
      <c r="U45" s="109">
        <f ca="1">IF(xflag=1,_xll.DBSW(SAISIE!U45,Server&amp;Cube1,$J$13,$J$14,$J$15,$J$17,U$22,$J$16,$D45),_xll.DBRW(Server&amp;Cube1,$J$13,$J$14,$J$15,$J$17,U$22,$J$16,$D45))</f>
        <v>173435.30000000002</v>
      </c>
      <c r="V45" s="109">
        <f ca="1">IF(xflag=1,_xll.DBSW(SAISIE!V45,Server&amp;Cube1,$J$13,$J$14,$J$15,$J$17,V$22,$J$16,$D45),_xll.DBRW(Server&amp;Cube1,$J$13,$J$14,$J$15,$J$17,V$22,$J$16,$D45))</f>
        <v>-164864.17000000001</v>
      </c>
      <c r="W45" s="109">
        <f ca="1">IF(xflag=1,_xll.DBSW(SAISIE!W45,Server&amp;Cube1,$J$13,$J$14,$J$15,$J$17,W$22,$J$16,$D45),_xll.DBRW(Server&amp;Cube1,$J$13,$J$14,$J$15,$J$17,W$22,$J$16,$D45))</f>
        <v>0</v>
      </c>
      <c r="X45" s="109">
        <f ca="1">IF(xflag=1,_xll.DBSW(SAISIE!X45,Server&amp;Cube1,$J$13,$J$14,$J$15,$J$17,X$22,$J$16,$D45),_xll.DBRW(Server&amp;Cube1,$J$13,$J$14,$J$15,$J$17,X$22,$J$16,$D45))</f>
        <v>0</v>
      </c>
      <c r="Y45" s="109">
        <f ca="1">IF(xflag=1,_xll.DBSW(SAISIE!Y45,Server&amp;Cube1,$J$13,$J$14,$J$15,$J$17,Y$22,$J$16,$D45),_xll.DBRW(Server&amp;Cube1,$J$13,$J$14,$J$15,$J$17,Y$22,$J$16,$D45))</f>
        <v>0</v>
      </c>
      <c r="Z45" s="109">
        <f ca="1">IF(xflag=1,_xll.DBSW(SAISIE!Z45,Server&amp;Cube1,$J$13,$J$14,$J$15,$J$17,Z$22,$J$16,$D45),_xll.DBRW(Server&amp;Cube1,$J$13,$J$14,$J$15,$J$17,Z$22,$J$16,$D45))</f>
        <v>0</v>
      </c>
      <c r="AA45" s="109">
        <f ca="1">IF(xflag=1,_xll.DBSW(SAISIE!AA45,Server&amp;Cube1,$J$13,$J$14,$J$15,$J$17,AA$22,$J$16,$D45),_xll.DBRW(Server&amp;Cube1,$J$13,$J$14,$J$15,$J$17,AA$22,$J$16,$D45))</f>
        <v>0</v>
      </c>
      <c r="AB45" s="109">
        <f ca="1">IF(xflag=1,_xll.DBSW(SAISIE!AB45,Server&amp;Cube1,$J$13,$J$14,$J$15,$J$17,AB$22,$J$16,$D45),_xll.DBRW(Server&amp;Cube1,$J$13,$J$14,$J$15,$J$17,AB$22,$J$16,$D45))</f>
        <v>0</v>
      </c>
      <c r="AC45" s="31"/>
      <c r="AF45" s="90" t="str">
        <f ca="1">IF(xflag=1,_xll.DBSW(#REF!,Server&amp;Cube1,$J$13,$J$14,$J$15,#REF!,AF$2,$J$16,$D45),_xll.DBRW(Server&amp;Cube1,$J$13,$J$14,$J$15,#REF!,AF$2,$J$16,$D45))</f>
        <v>*KEY_ERR</v>
      </c>
    </row>
    <row r="46" spans="1:35" s="19" customFormat="1" ht="16.5" thickBot="1" x14ac:dyDescent="0.3">
      <c r="A46"/>
      <c r="B46" s="204" t="s">
        <v>74</v>
      </c>
      <c r="C46" s="220" t="s">
        <v>201</v>
      </c>
      <c r="D46" s="226" t="str">
        <f t="shared" si="0"/>
        <v>621880b</v>
      </c>
      <c r="E46"/>
      <c r="F46" s="228"/>
      <c r="G46" s="171"/>
      <c r="H46" s="107"/>
      <c r="I46" s="305" t="str">
        <f ca="1">_xll.DBRA(Server&amp;$D$22,$D46,"French")</f>
        <v>Frais du formateur</v>
      </c>
      <c r="J46" s="305" t="str">
        <f ca="1">_xll.DBRA(Server&amp;$D$22,$D46,"French")</f>
        <v>Frais du formateur</v>
      </c>
      <c r="K46" s="37"/>
      <c r="L46" s="54">
        <f ca="1">_xll.DBRW(Server&amp;Cube1,$J$13,$L$3,$J$15,$L$1,$L$2,$J$16,$D46)</f>
        <v>-55166.85</v>
      </c>
      <c r="M46" s="37"/>
      <c r="N46" s="54">
        <f ca="1">_xll.DBRW(Server&amp;Cube1,$J$13,$N$3,$J$15,$N$1,$N$2,$J$16,$D46)</f>
        <v>-33587.03</v>
      </c>
      <c r="O46" s="55"/>
      <c r="P46" s="57"/>
      <c r="Q46" s="109">
        <f ca="1">IF(xflag=1,_xll.DBSW(SAISIE!Q46,Server&amp;Cube1,$J$13,$J$14,$J$15,$J$17,Q$22,$J$16,$D46),_xll.DBRW(Server&amp;Cube1,$J$13,$J$14,$J$15,$J$17,Q$22,$J$16,$D46))</f>
        <v>0</v>
      </c>
      <c r="R46" s="109">
        <f ca="1">IF(xflag=1,_xll.DBSW(SAISIE!R46,Server&amp;Cube1,$J$13,$J$14,$J$15,$J$17,R$22,$J$16,$D46),_xll.DBRW(Server&amp;Cube1,$J$13,$J$14,$J$15,$J$17,R$22,$J$16,$D46))</f>
        <v>-5897.4100000000008</v>
      </c>
      <c r="S46" s="109">
        <f ca="1">IF(xflag=1,_xll.DBSW(SAISIE!S46,Server&amp;Cube1,$J$13,$J$14,$J$15,$J$17,S$22,$J$16,$D46),_xll.DBRW(Server&amp;Cube1,$J$13,$J$14,$J$15,$J$17,S$22,$J$16,$D46))</f>
        <v>-27805.68</v>
      </c>
      <c r="T46" s="109">
        <f ca="1">IF(xflag=1,_xll.DBSW(SAISIE!T46,Server&amp;Cube1,$J$13,$J$14,$J$15,$J$17,T$22,$J$16,$D46),_xll.DBRW(Server&amp;Cube1,$J$13,$J$14,$J$15,$J$17,T$22,$J$16,$D46))</f>
        <v>-1063.6400000000006</v>
      </c>
      <c r="U46" s="109">
        <f ca="1">IF(xflag=1,_xll.DBSW(SAISIE!U46,Server&amp;Cube1,$J$13,$J$14,$J$15,$J$17,U$22,$J$16,$D46),_xll.DBRW(Server&amp;Cube1,$J$13,$J$14,$J$15,$J$17,U$22,$J$16,$D46))</f>
        <v>3139.5800000000008</v>
      </c>
      <c r="V46" s="109">
        <f ca="1">IF(xflag=1,_xll.DBSW(SAISIE!V46,Server&amp;Cube1,$J$13,$J$14,$J$15,$J$17,V$22,$J$16,$D46),_xll.DBRW(Server&amp;Cube1,$J$13,$J$14,$J$15,$J$17,V$22,$J$16,$D46))</f>
        <v>-47584.36</v>
      </c>
      <c r="W46" s="109">
        <f ca="1">IF(xflag=1,_xll.DBSW(SAISIE!W46,Server&amp;Cube1,$J$13,$J$14,$J$15,$J$17,W$22,$J$16,$D46),_xll.DBRW(Server&amp;Cube1,$J$13,$J$14,$J$15,$J$17,W$22,$J$16,$D46))</f>
        <v>0</v>
      </c>
      <c r="X46" s="109">
        <f ca="1">IF(xflag=1,_xll.DBSW(SAISIE!X46,Server&amp;Cube1,$J$13,$J$14,$J$15,$J$17,X$22,$J$16,$D46),_xll.DBRW(Server&amp;Cube1,$J$13,$J$14,$J$15,$J$17,X$22,$J$16,$D46))</f>
        <v>0</v>
      </c>
      <c r="Y46" s="109">
        <f ca="1">IF(xflag=1,_xll.DBSW(SAISIE!Y46,Server&amp;Cube1,$J$13,$J$14,$J$15,$J$17,Y$22,$J$16,$D46),_xll.DBRW(Server&amp;Cube1,$J$13,$J$14,$J$15,$J$17,Y$22,$J$16,$D46))</f>
        <v>0</v>
      </c>
      <c r="Z46" s="109">
        <f ca="1">IF(xflag=1,_xll.DBSW(SAISIE!Z46,Server&amp;Cube1,$J$13,$J$14,$J$15,$J$17,Z$22,$J$16,$D46),_xll.DBRW(Server&amp;Cube1,$J$13,$J$14,$J$15,$J$17,Z$22,$J$16,$D46))</f>
        <v>0</v>
      </c>
      <c r="AA46" s="109">
        <f ca="1">IF(xflag=1,_xll.DBSW(SAISIE!AA46,Server&amp;Cube1,$J$13,$J$14,$J$15,$J$17,AA$22,$J$16,$D46),_xll.DBRW(Server&amp;Cube1,$J$13,$J$14,$J$15,$J$17,AA$22,$J$16,$D46))</f>
        <v>0</v>
      </c>
      <c r="AB46" s="109">
        <f ca="1">IF(xflag=1,_xll.DBSW(SAISIE!AB46,Server&amp;Cube1,$J$13,$J$14,$J$15,$J$17,AB$22,$J$16,$D46),_xll.DBRW(Server&amp;Cube1,$J$13,$J$14,$J$15,$J$17,AB$22,$J$16,$D46))</f>
        <v>0</v>
      </c>
      <c r="AC46" s="31"/>
      <c r="AF46" s="90" t="str">
        <f ca="1">IF(xflag=1,_xll.DBSW(#REF!,Server&amp;Cube1,$J$13,$J$14,$J$15,#REF!,AF$2,$J$16,$D46),_xll.DBRW(Server&amp;Cube1,$J$13,$J$14,$J$15,#REF!,AF$2,$J$16,$D46))</f>
        <v>*KEY_ERR</v>
      </c>
      <c r="AI46" s="19">
        <v>4</v>
      </c>
    </row>
    <row r="47" spans="1:35" s="19" customFormat="1" ht="17.25" thickTop="1" thickBot="1" x14ac:dyDescent="0.3">
      <c r="A47"/>
      <c r="B47" s="204" t="s">
        <v>31</v>
      </c>
      <c r="C47" s="220" t="s">
        <v>202</v>
      </c>
      <c r="D47" s="226" t="str">
        <f t="shared" si="0"/>
        <v>618500</v>
      </c>
      <c r="E47"/>
      <c r="F47" s="228"/>
      <c r="G47" s="171"/>
      <c r="H47" s="107"/>
      <c r="I47" s="305" t="s">
        <v>202</v>
      </c>
      <c r="J47" s="305"/>
      <c r="K47" s="37"/>
      <c r="L47" s="54">
        <f ca="1">_xll.DBRW(Server&amp;Cube1,$J$13,$L$3,$J$15,$L$1,$L$2,$J$16,$D47)</f>
        <v>-114396.60999999999</v>
      </c>
      <c r="M47" s="37"/>
      <c r="N47" s="54">
        <f ca="1">_xll.DBRW(Server&amp;Cube1,$J$13,$N$3,$J$15,$N$1,$N$2,$J$16,$D47)</f>
        <v>-99502.74000000002</v>
      </c>
      <c r="O47" s="55"/>
      <c r="P47" s="57"/>
      <c r="Q47" s="109">
        <f ca="1">IF(xflag=1,_xll.DBSW(SAISIE!Q47,Server&amp;Cube1,$J$13,$J$14,$J$15,$J$17,Q$22,$J$16,$D47),_xll.DBRW(Server&amp;Cube1,$J$13,$J$14,$J$15,$J$17,Q$22,$J$16,$D47))</f>
        <v>0</v>
      </c>
      <c r="R47" s="109">
        <f ca="1">IF(xflag=1,_xll.DBSW(SAISIE!R47,Server&amp;Cube1,$J$13,$J$14,$J$15,$J$17,R$22,$J$16,$D47),_xll.DBRW(Server&amp;Cube1,$J$13,$J$14,$J$15,$J$17,R$22,$J$16,$D47))</f>
        <v>4190.91</v>
      </c>
      <c r="S47" s="109">
        <f ca="1">IF(xflag=1,_xll.DBSW(SAISIE!S47,Server&amp;Cube1,$J$13,$J$14,$J$15,$J$17,S$22,$J$16,$D47),_xll.DBRW(Server&amp;Cube1,$J$13,$J$14,$J$15,$J$17,S$22,$J$16,$D47))</f>
        <v>-27609.979999999996</v>
      </c>
      <c r="T47" s="109">
        <f ca="1">IF(xflag=1,_xll.DBSW(SAISIE!T47,Server&amp;Cube1,$J$13,$J$14,$J$15,$J$17,T$22,$J$16,$D47),_xll.DBRW(Server&amp;Cube1,$J$13,$J$14,$J$15,$J$17,T$22,$J$16,$D47))</f>
        <v>70.050000000001091</v>
      </c>
      <c r="U47" s="109">
        <f ca="1">IF(xflag=1,_xll.DBSW(SAISIE!U47,Server&amp;Cube1,$J$13,$J$14,$J$15,$J$17,U$22,$J$16,$D47),_xll.DBRW(Server&amp;Cube1,$J$13,$J$14,$J$15,$J$17,U$22,$J$16,$D47))</f>
        <v>17742.61</v>
      </c>
      <c r="V47" s="109">
        <f ca="1">IF(xflag=1,_xll.DBSW(SAISIE!V47,Server&amp;Cube1,$J$13,$J$14,$J$15,$J$17,V$22,$J$16,$D47),_xll.DBRW(Server&amp;Cube1,$J$13,$J$14,$J$15,$J$17,V$22,$J$16,$D47))</f>
        <v>-17864.810000000001</v>
      </c>
      <c r="W47" s="109">
        <f ca="1">IF(xflag=1,_xll.DBSW(SAISIE!W47,Server&amp;Cube1,$J$13,$J$14,$J$15,$J$17,W$22,$J$16,$D47),_xll.DBRW(Server&amp;Cube1,$J$13,$J$14,$J$15,$J$17,W$22,$J$16,$D47))</f>
        <v>0</v>
      </c>
      <c r="X47" s="109">
        <f ca="1">IF(xflag=1,_xll.DBSW(SAISIE!X47,Server&amp;Cube1,$J$13,$J$14,$J$15,$J$17,X$22,$J$16,$D47),_xll.DBRW(Server&amp;Cube1,$J$13,$J$14,$J$15,$J$17,X$22,$J$16,$D47))</f>
        <v>0</v>
      </c>
      <c r="Y47" s="109">
        <f ca="1">IF(xflag=1,_xll.DBSW(SAISIE!Y47,Server&amp;Cube1,$J$13,$J$14,$J$15,$J$17,Y$22,$J$16,$D47),_xll.DBRW(Server&amp;Cube1,$J$13,$J$14,$J$15,$J$17,Y$22,$J$16,$D47))</f>
        <v>0</v>
      </c>
      <c r="Z47" s="109">
        <f ca="1">IF(xflag=1,_xll.DBSW(SAISIE!Z47,Server&amp;Cube1,$J$13,$J$14,$J$15,$J$17,Z$22,$J$16,$D47),_xll.DBRW(Server&amp;Cube1,$J$13,$J$14,$J$15,$J$17,Z$22,$J$16,$D47))</f>
        <v>0</v>
      </c>
      <c r="AA47" s="109">
        <f ca="1">IF(xflag=1,_xll.DBSW(SAISIE!AA47,Server&amp;Cube1,$J$13,$J$14,$J$15,$J$17,AA$22,$J$16,$D47),_xll.DBRW(Server&amp;Cube1,$J$13,$J$14,$J$15,$J$17,AA$22,$J$16,$D47))</f>
        <v>0</v>
      </c>
      <c r="AB47" s="109">
        <f ca="1">IF(xflag=1,_xll.DBSW(SAISIE!AB47,Server&amp;Cube1,$J$13,$J$14,$J$15,$J$17,AB$22,$J$16,$D47),_xll.DBRW(Server&amp;Cube1,$J$13,$J$14,$J$15,$J$17,AB$22,$J$16,$D47))</f>
        <v>0</v>
      </c>
      <c r="AC47" s="31"/>
      <c r="AF47" s="90" t="str">
        <f ca="1">IF(xflag=1,_xll.DBSW(#REF!,Server&amp;Cube1,$J$13,$J$14,$J$15,#REF!,AF$2,$J$16,$D47),_xll.DBRW(Server&amp;Cube1,$J$13,$J$14,$J$15,#REF!,AF$2,$J$16,$D47))</f>
        <v>*KEY_ERR</v>
      </c>
    </row>
    <row r="48" spans="1:35" s="19" customFormat="1" ht="17.25" thickTop="1" thickBot="1" x14ac:dyDescent="0.3">
      <c r="A48"/>
      <c r="B48" s="200" t="s">
        <v>26</v>
      </c>
      <c r="C48" s="220" t="s">
        <v>203</v>
      </c>
      <c r="D48" s="226" t="str">
        <f t="shared" si="0"/>
        <v>617000</v>
      </c>
      <c r="E48"/>
      <c r="F48" s="228"/>
      <c r="G48" s="169"/>
      <c r="H48" s="105"/>
      <c r="I48" s="306" t="str">
        <f ca="1">_xll.DBRA(Server&amp;$D$22,$D48,"French")</f>
        <v>Honoraires conseil et formation</v>
      </c>
      <c r="J48" s="306" t="str">
        <f ca="1">_xll.DBRA(Server&amp;$D$22,$D48,"French")</f>
        <v>Honoraires conseil et formation</v>
      </c>
      <c r="K48" s="39"/>
      <c r="L48" s="67">
        <f ca="1">_xll.DBRW(Server&amp;Cube1,$J$13,$L$3,$J$15,$L$1,$L$2,$J$16,$D48)</f>
        <v>-791427.6399999999</v>
      </c>
      <c r="M48" s="39"/>
      <c r="N48" s="67">
        <f ca="1">_xll.DBRW(Server&amp;Cube1,$J$13,$N$3,$J$15,$N$1,$N$2,$J$16,$D48)</f>
        <v>-762913.53</v>
      </c>
      <c r="O48" s="68"/>
      <c r="P48" s="69"/>
      <c r="Q48" s="109">
        <f ca="1">IF(xflag=1,_xll.DBSW(SAISIE!Q48,Server&amp;Cube1,$J$13,$J$14,$J$15,$J$17,Q$22,$J$16,$D48),_xll.DBRW(Server&amp;Cube1,$J$13,$J$14,$J$15,$J$17,Q$22,$J$16,$D48))</f>
        <v>0</v>
      </c>
      <c r="R48" s="109">
        <f ca="1">IF(xflag=1,_xll.DBSW(SAISIE!R48,Server&amp;Cube1,$J$13,$J$14,$J$15,$J$17,R$22,$J$16,$D48),_xll.DBRW(Server&amp;Cube1,$J$13,$J$14,$J$15,$J$17,R$22,$J$16,$D48))</f>
        <v>366098.20999999996</v>
      </c>
      <c r="S48" s="109">
        <f ca="1">IF(xflag=1,_xll.DBSW(SAISIE!S48,Server&amp;Cube1,$J$13,$J$14,$J$15,$J$17,S$22,$J$16,$D48),_xll.DBRW(Server&amp;Cube1,$J$13,$J$14,$J$15,$J$17,S$22,$J$16,$D48))</f>
        <v>-756192.82000000007</v>
      </c>
      <c r="T48" s="109">
        <f ca="1">IF(xflag=1,_xll.DBSW(SAISIE!T48,Server&amp;Cube1,$J$13,$J$14,$J$15,$J$17,T$22,$J$16,$D48),_xll.DBRW(Server&amp;Cube1,$J$13,$J$14,$J$15,$J$17,T$22,$J$16,$D48))</f>
        <v>-21409.999999999993</v>
      </c>
      <c r="U48" s="109">
        <f ca="1">IF(xflag=1,_xll.DBSW(SAISIE!U48,Server&amp;Cube1,$J$13,$J$14,$J$15,$J$17,U$22,$J$16,$D48),_xll.DBRW(Server&amp;Cube1,$J$13,$J$14,$J$15,$J$17,U$22,$J$16,$D48))</f>
        <v>492192.17000000004</v>
      </c>
      <c r="V48" s="109">
        <f ca="1">IF(xflag=1,_xll.DBSW(SAISIE!V48,Server&amp;Cube1,$J$13,$J$14,$J$15,$J$17,V$22,$J$16,$D48),_xll.DBRW(Server&amp;Cube1,$J$13,$J$14,$J$15,$J$17,V$22,$J$16,$D48))</f>
        <v>-589203.71</v>
      </c>
      <c r="W48" s="109">
        <f ca="1">IF(xflag=1,_xll.DBSW(SAISIE!W48,Server&amp;Cube1,$J$13,$J$14,$J$15,$J$17,W$22,$J$16,$D48),_xll.DBRW(Server&amp;Cube1,$J$13,$J$14,$J$15,$J$17,W$22,$J$16,$D48))</f>
        <v>0</v>
      </c>
      <c r="X48" s="109">
        <f ca="1">IF(xflag=1,_xll.DBSW(SAISIE!X48,Server&amp;Cube1,$J$13,$J$14,$J$15,$J$17,X$22,$J$16,$D48),_xll.DBRW(Server&amp;Cube1,$J$13,$J$14,$J$15,$J$17,X$22,$J$16,$D48))</f>
        <v>0</v>
      </c>
      <c r="Y48" s="109">
        <f ca="1">IF(xflag=1,_xll.DBSW(SAISIE!Y48,Server&amp;Cube1,$J$13,$J$14,$J$15,$J$17,Y$22,$J$16,$D48),_xll.DBRW(Server&amp;Cube1,$J$13,$J$14,$J$15,$J$17,Y$22,$J$16,$D48))</f>
        <v>0</v>
      </c>
      <c r="Z48" s="109">
        <f ca="1">IF(xflag=1,_xll.DBSW(SAISIE!Z48,Server&amp;Cube1,$J$13,$J$14,$J$15,$J$17,Z$22,$J$16,$D48),_xll.DBRW(Server&amp;Cube1,$J$13,$J$14,$J$15,$J$17,Z$22,$J$16,$D48))</f>
        <v>0</v>
      </c>
      <c r="AA48" s="109">
        <f ca="1">IF(xflag=1,_xll.DBSW(SAISIE!AA48,Server&amp;Cube1,$J$13,$J$14,$J$15,$J$17,AA$22,$J$16,$D48),_xll.DBRW(Server&amp;Cube1,$J$13,$J$14,$J$15,$J$17,AA$22,$J$16,$D48))</f>
        <v>0</v>
      </c>
      <c r="AB48" s="109">
        <f ca="1">IF(xflag=1,_xll.DBSW(SAISIE!AB48,Server&amp;Cube1,$J$13,$J$14,$J$15,$J$17,AB$22,$J$16,$D48),_xll.DBRW(Server&amp;Cube1,$J$13,$J$14,$J$15,$J$17,AB$22,$J$16,$D48))</f>
        <v>0</v>
      </c>
      <c r="AC48" s="31"/>
      <c r="AF48" s="90" t="str">
        <f ca="1">IF(xflag=1,_xll.DBSW(#REF!,Server&amp;Cube1,$J$13,$J$14,$J$15,#REF!,AF$2,$J$16,$D48),_xll.DBRW(Server&amp;Cube1,$J$13,$J$14,$J$15,#REF!,AF$2,$J$16,$D48))</f>
        <v>*KEY_ERR</v>
      </c>
    </row>
    <row r="49" spans="1:35" s="19" customFormat="1" ht="16.5" thickTop="1" x14ac:dyDescent="0.25">
      <c r="A49"/>
      <c r="B49" s="200" t="s">
        <v>294</v>
      </c>
      <c r="C49" s="219" t="s">
        <v>204</v>
      </c>
      <c r="D49" s="226" t="s">
        <v>294</v>
      </c>
      <c r="E49"/>
      <c r="F49" s="228"/>
      <c r="G49" s="169"/>
      <c r="H49" s="105"/>
      <c r="I49" s="306" t="s">
        <v>293</v>
      </c>
      <c r="J49" s="306"/>
      <c r="K49" s="39"/>
      <c r="L49" s="67">
        <f ca="1">SUM(L50:L52)</f>
        <v>-131678.16</v>
      </c>
      <c r="M49" s="39"/>
      <c r="N49" s="67">
        <f ca="1">SUM(N50:N52)</f>
        <v>-99089.369999999981</v>
      </c>
      <c r="O49" s="68"/>
      <c r="P49" s="69"/>
      <c r="Q49" s="108">
        <f ca="1">SUM(Q50:Q52)</f>
        <v>0</v>
      </c>
      <c r="R49" s="108">
        <f t="shared" ref="R49:AB49" ca="1" si="6">SUM(R50:R52)</f>
        <v>33742.36</v>
      </c>
      <c r="S49" s="108">
        <f t="shared" ca="1" si="6"/>
        <v>-44850.07</v>
      </c>
      <c r="T49" s="108">
        <f t="shared" ca="1" si="6"/>
        <v>0</v>
      </c>
      <c r="U49" s="108">
        <f t="shared" ca="1" si="6"/>
        <v>34621.71</v>
      </c>
      <c r="V49" s="108">
        <f t="shared" ca="1" si="6"/>
        <v>-14362.02</v>
      </c>
      <c r="W49" s="108">
        <f t="shared" ca="1" si="6"/>
        <v>0</v>
      </c>
      <c r="X49" s="108">
        <f t="shared" ca="1" si="6"/>
        <v>0</v>
      </c>
      <c r="Y49" s="108">
        <f t="shared" ca="1" si="6"/>
        <v>0</v>
      </c>
      <c r="Z49" s="108">
        <f t="shared" ca="1" si="6"/>
        <v>0</v>
      </c>
      <c r="AA49" s="108">
        <f t="shared" ca="1" si="6"/>
        <v>0</v>
      </c>
      <c r="AB49" s="108">
        <f t="shared" ca="1" si="6"/>
        <v>0</v>
      </c>
      <c r="AC49" s="31"/>
    </row>
    <row r="50" spans="1:35" s="19" customFormat="1" ht="15.75" x14ac:dyDescent="0.25">
      <c r="A50"/>
      <c r="B50" s="204" t="s">
        <v>28</v>
      </c>
      <c r="C50" s="214" t="s">
        <v>205</v>
      </c>
      <c r="D50" s="226" t="str">
        <f t="shared" si="0"/>
        <v>613200a</v>
      </c>
      <c r="E50"/>
      <c r="F50" s="228"/>
      <c r="G50" s="171"/>
      <c r="H50" s="107"/>
      <c r="I50" s="305" t="str">
        <f ca="1">_xll.DBRA(Server&amp;$D$22,$D50,"French")</f>
        <v>Location et MAD salle de formation</v>
      </c>
      <c r="J50" s="305" t="str">
        <f ca="1">_xll.DBRA(Server&amp;$D$22,$D50,"French")</f>
        <v>Location et MAD salle de formation</v>
      </c>
      <c r="K50" s="37"/>
      <c r="L50" s="54">
        <f ca="1">_xll.DBRW(Server&amp;Cube1,$J$13,$L$3,$J$15,$L$1,$L$2,$J$16,$D50)</f>
        <v>-117829.7</v>
      </c>
      <c r="M50" s="37"/>
      <c r="N50" s="54">
        <f ca="1">_xll.DBRW(Server&amp;Cube1,$J$13,$N$3,$J$15,$N$1,$N$2,$J$16,$D50)</f>
        <v>-94568.369999999981</v>
      </c>
      <c r="O50" s="55"/>
      <c r="P50" s="57"/>
      <c r="Q50" s="109">
        <f ca="1">IF(xflag=1,_xll.DBSW(SAISIE!Q50,Server&amp;Cube1,$J$13,$J$14,$J$15,$J$17,Q$22,$J$16,$D50),_xll.DBRW(Server&amp;Cube1,$J$13,$J$14,$J$15,$J$17,Q$22,$J$16,$D50))</f>
        <v>0</v>
      </c>
      <c r="R50" s="109">
        <f ca="1">IF(xflag=1,_xll.DBSW(SAISIE!R50,Server&amp;Cube1,$J$13,$J$14,$J$15,$J$17,R$22,$J$16,$D50),_xll.DBRW(Server&amp;Cube1,$J$13,$J$14,$J$15,$J$17,R$22,$J$16,$D50))</f>
        <v>27773.360000000001</v>
      </c>
      <c r="S50" s="109">
        <f ca="1">IF(xflag=1,_xll.DBSW(SAISIE!S50,Server&amp;Cube1,$J$13,$J$14,$J$15,$J$17,S$22,$J$16,$D50),_xll.DBRW(Server&amp;Cube1,$J$13,$J$14,$J$15,$J$17,S$22,$J$16,$D50))</f>
        <v>-38050.07</v>
      </c>
      <c r="T50" s="109">
        <f ca="1">IF(xflag=1,_xll.DBSW(SAISIE!T50,Server&amp;Cube1,$J$13,$J$14,$J$15,$J$17,T$22,$J$16,$D50),_xll.DBRW(Server&amp;Cube1,$J$13,$J$14,$J$15,$J$17,T$22,$J$16,$D50))</f>
        <v>0</v>
      </c>
      <c r="U50" s="109">
        <f ca="1">IF(xflag=1,_xll.DBSW(SAISIE!U50,Server&amp;Cube1,$J$13,$J$14,$J$15,$J$17,U$22,$J$16,$D50),_xll.DBRW(Server&amp;Cube1,$J$13,$J$14,$J$15,$J$17,U$22,$J$16,$D50))</f>
        <v>27821.71</v>
      </c>
      <c r="V50" s="109">
        <f ca="1">IF(xflag=1,_xll.DBSW(SAISIE!V50,Server&amp;Cube1,$J$13,$J$14,$J$15,$J$17,V$22,$J$16,$D50),_xll.DBRW(Server&amp;Cube1,$J$13,$J$14,$J$15,$J$17,V$22,$J$16,$D50))</f>
        <v>-13162.02</v>
      </c>
      <c r="W50" s="109">
        <f ca="1">IF(xflag=1,_xll.DBSW(SAISIE!W50,Server&amp;Cube1,$J$13,$J$14,$J$15,$J$17,W$22,$J$16,$D50),_xll.DBRW(Server&amp;Cube1,$J$13,$J$14,$J$15,$J$17,W$22,$J$16,$D50))</f>
        <v>0</v>
      </c>
      <c r="X50" s="109">
        <f ca="1">IF(xflag=1,_xll.DBSW(SAISIE!X50,Server&amp;Cube1,$J$13,$J$14,$J$15,$J$17,X$22,$J$16,$D50),_xll.DBRW(Server&amp;Cube1,$J$13,$J$14,$J$15,$J$17,X$22,$J$16,$D50))</f>
        <v>0</v>
      </c>
      <c r="Y50" s="109">
        <f ca="1">IF(xflag=1,_xll.DBSW(SAISIE!Y50,Server&amp;Cube1,$J$13,$J$14,$J$15,$J$17,Y$22,$J$16,$D50),_xll.DBRW(Server&amp;Cube1,$J$13,$J$14,$J$15,$J$17,Y$22,$J$16,$D50))</f>
        <v>0</v>
      </c>
      <c r="Z50" s="109">
        <f ca="1">IF(xflag=1,_xll.DBSW(SAISIE!Z50,Server&amp;Cube1,$J$13,$J$14,$J$15,$J$17,Z$22,$J$16,$D50),_xll.DBRW(Server&amp;Cube1,$J$13,$J$14,$J$15,$J$17,Z$22,$J$16,$D50))</f>
        <v>0</v>
      </c>
      <c r="AA50" s="109">
        <f ca="1">IF(xflag=1,_xll.DBSW(SAISIE!AA50,Server&amp;Cube1,$J$13,$J$14,$J$15,$J$17,AA$22,$J$16,$D50),_xll.DBRW(Server&amp;Cube1,$J$13,$J$14,$J$15,$J$17,AA$22,$J$16,$D50))</f>
        <v>0</v>
      </c>
      <c r="AB50" s="109">
        <f ca="1">IF(xflag=1,_xll.DBSW(SAISIE!AB50,Server&amp;Cube1,$J$13,$J$14,$J$15,$J$17,AB$22,$J$16,$D50),_xll.DBRW(Server&amp;Cube1,$J$13,$J$14,$J$15,$J$17,AB$22,$J$16,$D50))</f>
        <v>0</v>
      </c>
      <c r="AC50" s="31"/>
      <c r="AF50" s="90" t="str">
        <f ca="1">IF(xflag=1,_xll.DBSW(#REF!,Server&amp;Cube1,$J$13,$J$14,$J$15,#REF!,AF$2,$J$16,$D50),_xll.DBRW(Server&amp;Cube1,$J$13,$J$14,$J$15,#REF!,AF$2,$J$16,$D50))</f>
        <v>*KEY_ERR</v>
      </c>
    </row>
    <row r="51" spans="1:35" s="19" customFormat="1" ht="15.75" customHeight="1" x14ac:dyDescent="0.25">
      <c r="A51"/>
      <c r="B51" s="204" t="s">
        <v>130</v>
      </c>
      <c r="C51" s="214" t="s">
        <v>206</v>
      </c>
      <c r="D51" s="226" t="str">
        <f t="shared" si="0"/>
        <v>613510</v>
      </c>
      <c r="E51"/>
      <c r="F51" s="228"/>
      <c r="G51" s="171"/>
      <c r="H51" s="107"/>
      <c r="I51" s="305" t="str">
        <f ca="1">_xll.DBRA(Server&amp;$D$22,$D51,"French")</f>
        <v>Location et MAD véhicule de formation</v>
      </c>
      <c r="J51" s="305" t="str">
        <f ca="1">_xll.DBRA(Server&amp;$D$22,$D51,"French")</f>
        <v>Location et MAD véhicule de formation</v>
      </c>
      <c r="K51" s="37"/>
      <c r="L51" s="73">
        <f ca="1">_xll.DBRW(Server&amp;Cube1,$J$13,$L$3,$J$15,$L$1,$L$2,$J$16,$D51)</f>
        <v>-1214</v>
      </c>
      <c r="M51" s="37"/>
      <c r="N51" s="73">
        <f ca="1">_xll.DBRW(Server&amp;Cube1,$J$13,$N$3,$J$15,$N$1,$N$2,$J$16,$D51)</f>
        <v>-21</v>
      </c>
      <c r="O51" s="55"/>
      <c r="P51" s="57"/>
      <c r="Q51" s="109">
        <f ca="1">IF(xflag=1,_xll.DBSW(SAISIE!Q51,Server&amp;Cube1,$J$13,$J$14,$J$15,$J$17,Q$22,$J$16,$D51),_xll.DBRW(Server&amp;Cube1,$J$13,$J$14,$J$15,$J$17,Q$22,$J$16,$D51))</f>
        <v>0</v>
      </c>
      <c r="R51" s="109">
        <f ca="1">IF(xflag=1,_xll.DBSW(SAISIE!R51,Server&amp;Cube1,$J$13,$J$14,$J$15,$J$17,R$22,$J$16,$D51),_xll.DBRW(Server&amp;Cube1,$J$13,$J$14,$J$15,$J$17,R$22,$J$16,$D51))</f>
        <v>969</v>
      </c>
      <c r="S51" s="109">
        <f ca="1">IF(xflag=1,_xll.DBSW(SAISIE!S51,Server&amp;Cube1,$J$13,$J$14,$J$15,$J$17,S$22,$J$16,$D51),_xll.DBRW(Server&amp;Cube1,$J$13,$J$14,$J$15,$J$17,S$22,$J$16,$D51))</f>
        <v>-1800</v>
      </c>
      <c r="T51" s="109">
        <f ca="1">IF(xflag=1,_xll.DBSW(SAISIE!T51,Server&amp;Cube1,$J$13,$J$14,$J$15,$J$17,T$22,$J$16,$D51),_xll.DBRW(Server&amp;Cube1,$J$13,$J$14,$J$15,$J$17,T$22,$J$16,$D51))</f>
        <v>0</v>
      </c>
      <c r="U51" s="109">
        <f ca="1">IF(xflag=1,_xll.DBSW(SAISIE!U51,Server&amp;Cube1,$J$13,$J$14,$J$15,$J$17,U$22,$J$16,$D51),_xll.DBRW(Server&amp;Cube1,$J$13,$J$14,$J$15,$J$17,U$22,$J$16,$D51))</f>
        <v>1800</v>
      </c>
      <c r="V51" s="109">
        <f ca="1">IF(xflag=1,_xll.DBSW(SAISIE!V51,Server&amp;Cube1,$J$13,$J$14,$J$15,$J$17,V$22,$J$16,$D51),_xll.DBRW(Server&amp;Cube1,$J$13,$J$14,$J$15,$J$17,V$22,$J$16,$D51))</f>
        <v>-1200</v>
      </c>
      <c r="W51" s="109">
        <f ca="1">IF(xflag=1,_xll.DBSW(SAISIE!W51,Server&amp;Cube1,$J$13,$J$14,$J$15,$J$17,W$22,$J$16,$D51),_xll.DBRW(Server&amp;Cube1,$J$13,$J$14,$J$15,$J$17,W$22,$J$16,$D51))</f>
        <v>0</v>
      </c>
      <c r="X51" s="109">
        <f ca="1">IF(xflag=1,_xll.DBSW(SAISIE!X51,Server&amp;Cube1,$J$13,$J$14,$J$15,$J$17,X$22,$J$16,$D51),_xll.DBRW(Server&amp;Cube1,$J$13,$J$14,$J$15,$J$17,X$22,$J$16,$D51))</f>
        <v>0</v>
      </c>
      <c r="Y51" s="109">
        <f ca="1">IF(xflag=1,_xll.DBSW(SAISIE!Y51,Server&amp;Cube1,$J$13,$J$14,$J$15,$J$17,Y$22,$J$16,$D51),_xll.DBRW(Server&amp;Cube1,$J$13,$J$14,$J$15,$J$17,Y$22,$J$16,$D51))</f>
        <v>0</v>
      </c>
      <c r="Z51" s="109">
        <f ca="1">IF(xflag=1,_xll.DBSW(SAISIE!Z51,Server&amp;Cube1,$J$13,$J$14,$J$15,$J$17,Z$22,$J$16,$D51),_xll.DBRW(Server&amp;Cube1,$J$13,$J$14,$J$15,$J$17,Z$22,$J$16,$D51))</f>
        <v>0</v>
      </c>
      <c r="AA51" s="109">
        <f ca="1">IF(xflag=1,_xll.DBSW(SAISIE!AA51,Server&amp;Cube1,$J$13,$J$14,$J$15,$J$17,AA$22,$J$16,$D51),_xll.DBRW(Server&amp;Cube1,$J$13,$J$14,$J$15,$J$17,AA$22,$J$16,$D51))</f>
        <v>0</v>
      </c>
      <c r="AB51" s="109">
        <f ca="1">IF(xflag=1,_xll.DBSW(SAISIE!AB51,Server&amp;Cube1,$J$13,$J$14,$J$15,$J$17,AB$22,$J$16,$D51),_xll.DBRW(Server&amp;Cube1,$J$13,$J$14,$J$15,$J$17,AB$22,$J$16,$D51))</f>
        <v>0</v>
      </c>
      <c r="AC51" s="31"/>
      <c r="AF51" s="90" t="str">
        <f ca="1">IF(xflag=1,_xll.DBSW(#REF!,Server&amp;Cube1,$J$13,$J$14,$J$15,#REF!,AF$2,$J$16,$D51),_xll.DBRW(Server&amp;Cube1,$J$13,$J$14,$J$15,#REF!,AF$2,$J$16,$D51))</f>
        <v>*KEY_ERR</v>
      </c>
    </row>
    <row r="52" spans="1:35" s="19" customFormat="1" ht="15.75" customHeight="1" thickBot="1" x14ac:dyDescent="0.3">
      <c r="A52"/>
      <c r="B52" s="204" t="s">
        <v>131</v>
      </c>
      <c r="C52" s="214" t="s">
        <v>207</v>
      </c>
      <c r="D52" s="226" t="str">
        <f t="shared" si="0"/>
        <v>613530</v>
      </c>
      <c r="E52"/>
      <c r="F52" s="228"/>
      <c r="G52" s="171"/>
      <c r="H52" s="107"/>
      <c r="I52" s="305" t="str">
        <f ca="1">_xll.DBRA(Server&amp;$D$22,$D52,"French")</f>
        <v>Location et MAD matériel divers</v>
      </c>
      <c r="J52" s="305" t="str">
        <f ca="1">_xll.DBRA(Server&amp;$D$22,$D52,"French")</f>
        <v>Location et MAD matériel divers</v>
      </c>
      <c r="K52" s="37"/>
      <c r="L52" s="73">
        <f ca="1">_xll.DBRW(Server&amp;Cube1,$J$13,$L$3,$J$15,$L$1,$L$2,$J$16,$D52)</f>
        <v>-12634.46</v>
      </c>
      <c r="M52" s="37"/>
      <c r="N52" s="73">
        <f ca="1">_xll.DBRW(Server&amp;Cube1,$J$13,$N$3,$J$15,$N$1,$N$2,$J$16,$D52)</f>
        <v>-4500</v>
      </c>
      <c r="O52" s="55"/>
      <c r="P52" s="57"/>
      <c r="Q52" s="109">
        <f ca="1">IF(xflag=1,_xll.DBSW(SAISIE!Q52,Server&amp;Cube1,$J$13,$J$14,$J$15,$J$17,Q$22,$J$16,$D52),_xll.DBRW(Server&amp;Cube1,$J$13,$J$14,$J$15,$J$17,Q$22,$J$16,$D52))</f>
        <v>0</v>
      </c>
      <c r="R52" s="109">
        <f ca="1">IF(xflag=1,_xll.DBSW(SAISIE!R52,Server&amp;Cube1,$J$13,$J$14,$J$15,$J$17,R$22,$J$16,$D52),_xll.DBRW(Server&amp;Cube1,$J$13,$J$14,$J$15,$J$17,R$22,$J$16,$D52))</f>
        <v>5000</v>
      </c>
      <c r="S52" s="109">
        <f ca="1">IF(xflag=1,_xll.DBSW(SAISIE!S52,Server&amp;Cube1,$J$13,$J$14,$J$15,$J$17,S$22,$J$16,$D52),_xll.DBRW(Server&amp;Cube1,$J$13,$J$14,$J$15,$J$17,S$22,$J$16,$D52))</f>
        <v>-5000</v>
      </c>
      <c r="T52" s="109">
        <f ca="1">IF(xflag=1,_xll.DBSW(SAISIE!T52,Server&amp;Cube1,$J$13,$J$14,$J$15,$J$17,T$22,$J$16,$D52),_xll.DBRW(Server&amp;Cube1,$J$13,$J$14,$J$15,$J$17,T$22,$J$16,$D52))</f>
        <v>0</v>
      </c>
      <c r="U52" s="109">
        <f ca="1">IF(xflag=1,_xll.DBSW(SAISIE!U52,Server&amp;Cube1,$J$13,$J$14,$J$15,$J$17,U$22,$J$16,$D52),_xll.DBRW(Server&amp;Cube1,$J$13,$J$14,$J$15,$J$17,U$22,$J$16,$D52))</f>
        <v>5000</v>
      </c>
      <c r="V52" s="109">
        <f ca="1">IF(xflag=1,_xll.DBSW(SAISIE!V52,Server&amp;Cube1,$J$13,$J$14,$J$15,$J$17,V$22,$J$16,$D52),_xll.DBRW(Server&amp;Cube1,$J$13,$J$14,$J$15,$J$17,V$22,$J$16,$D52))</f>
        <v>0</v>
      </c>
      <c r="W52" s="109">
        <f ca="1">IF(xflag=1,_xll.DBSW(SAISIE!W52,Server&amp;Cube1,$J$13,$J$14,$J$15,$J$17,W$22,$J$16,$D52),_xll.DBRW(Server&amp;Cube1,$J$13,$J$14,$J$15,$J$17,W$22,$J$16,$D52))</f>
        <v>0</v>
      </c>
      <c r="X52" s="109">
        <f ca="1">IF(xflag=1,_xll.DBSW(SAISIE!X52,Server&amp;Cube1,$J$13,$J$14,$J$15,$J$17,X$22,$J$16,$D52),_xll.DBRW(Server&amp;Cube1,$J$13,$J$14,$J$15,$J$17,X$22,$J$16,$D52))</f>
        <v>0</v>
      </c>
      <c r="Y52" s="109">
        <f ca="1">IF(xflag=1,_xll.DBSW(SAISIE!Y52,Server&amp;Cube1,$J$13,$J$14,$J$15,$J$17,Y$22,$J$16,$D52),_xll.DBRW(Server&amp;Cube1,$J$13,$J$14,$J$15,$J$17,Y$22,$J$16,$D52))</f>
        <v>0</v>
      </c>
      <c r="Z52" s="109">
        <f ca="1">IF(xflag=1,_xll.DBSW(SAISIE!Z52,Server&amp;Cube1,$J$13,$J$14,$J$15,$J$17,Z$22,$J$16,$D52),_xll.DBRW(Server&amp;Cube1,$J$13,$J$14,$J$15,$J$17,Z$22,$J$16,$D52))</f>
        <v>0</v>
      </c>
      <c r="AA52" s="109">
        <f ca="1">IF(xflag=1,_xll.DBSW(SAISIE!AA52,Server&amp;Cube1,$J$13,$J$14,$J$15,$J$17,AA$22,$J$16,$D52),_xll.DBRW(Server&amp;Cube1,$J$13,$J$14,$J$15,$J$17,AA$22,$J$16,$D52))</f>
        <v>0</v>
      </c>
      <c r="AB52" s="109">
        <f ca="1">IF(xflag=1,_xll.DBSW(SAISIE!AB52,Server&amp;Cube1,$J$13,$J$14,$J$15,$J$17,AB$22,$J$16,$D52),_xll.DBRW(Server&amp;Cube1,$J$13,$J$14,$J$15,$J$17,AB$22,$J$16,$D52))</f>
        <v>0</v>
      </c>
      <c r="AC52" s="31"/>
      <c r="AF52" s="90" t="str">
        <f ca="1">IF(xflag=1,_xll.DBSW(#REF!,Server&amp;Cube1,$J$13,$J$14,$J$15,#REF!,AF$2,$J$16,$D52),_xll.DBRW(Server&amp;Cube1,$J$13,$J$14,$J$15,#REF!,AF$2,$J$16,$D52))</f>
        <v>*KEY_ERR</v>
      </c>
      <c r="AI52" s="19">
        <v>5</v>
      </c>
    </row>
    <row r="53" spans="1:35" s="19" customFormat="1" ht="16.5" thickTop="1" x14ac:dyDescent="0.25">
      <c r="A53"/>
      <c r="B53" s="200" t="s">
        <v>29</v>
      </c>
      <c r="C53" s="219" t="s">
        <v>208</v>
      </c>
      <c r="D53" s="226" t="str">
        <f t="shared" si="0"/>
        <v>Cout_direct_formation_autres</v>
      </c>
      <c r="E53"/>
      <c r="F53" s="228"/>
      <c r="G53" s="169"/>
      <c r="H53" s="105"/>
      <c r="I53" s="306" t="str">
        <f ca="1">_xll.DBRA(Server&amp;$D$22,$D53,"French")</f>
        <v>Autres coûts directs</v>
      </c>
      <c r="J53" s="306" t="str">
        <f ca="1">_xll.DBRA(Server&amp;$D$22,$D53,"French")</f>
        <v>Autres coûts directs</v>
      </c>
      <c r="K53" s="39"/>
      <c r="L53" s="67">
        <f ca="1">SUM(L54:L62)</f>
        <v>-46402.110000000008</v>
      </c>
      <c r="M53" s="39"/>
      <c r="N53" s="67">
        <f ca="1">SUM(N54:N62)</f>
        <v>-41145.130000000005</v>
      </c>
      <c r="O53" s="68"/>
      <c r="P53" s="69"/>
      <c r="Q53" s="110">
        <f t="shared" ref="Q53:AB53" ca="1" si="7">SUM(Q54:Q62)</f>
        <v>0</v>
      </c>
      <c r="R53" s="110">
        <f t="shared" ca="1" si="7"/>
        <v>6772.989999999998</v>
      </c>
      <c r="S53" s="110">
        <f t="shared" ca="1" si="7"/>
        <v>-53295.76</v>
      </c>
      <c r="T53" s="110">
        <f t="shared" ca="1" si="7"/>
        <v>1042.0299999999997</v>
      </c>
      <c r="U53" s="110">
        <f t="shared" ca="1" si="7"/>
        <v>4089.470000000003</v>
      </c>
      <c r="V53" s="110">
        <f t="shared" ca="1" si="7"/>
        <v>-31421.470000000008</v>
      </c>
      <c r="W53" s="110">
        <f t="shared" ca="1" si="7"/>
        <v>0</v>
      </c>
      <c r="X53" s="110">
        <f t="shared" ca="1" si="7"/>
        <v>0</v>
      </c>
      <c r="Y53" s="110">
        <f t="shared" ca="1" si="7"/>
        <v>0</v>
      </c>
      <c r="Z53" s="110">
        <f t="shared" ca="1" si="7"/>
        <v>0</v>
      </c>
      <c r="AA53" s="110">
        <f t="shared" ca="1" si="7"/>
        <v>0</v>
      </c>
      <c r="AB53" s="110">
        <f t="shared" ca="1" si="7"/>
        <v>0</v>
      </c>
      <c r="AC53" s="31"/>
    </row>
    <row r="54" spans="1:35" s="19" customFormat="1" ht="15.75" x14ac:dyDescent="0.25">
      <c r="A54"/>
      <c r="B54" s="204" t="s">
        <v>175</v>
      </c>
      <c r="C54" s="214" t="s">
        <v>209</v>
      </c>
      <c r="D54" s="226" t="str">
        <f t="shared" si="0"/>
        <v>604300</v>
      </c>
      <c r="E54"/>
      <c r="F54" s="228"/>
      <c r="G54" s="171"/>
      <c r="H54" s="107"/>
      <c r="I54" s="305" t="str">
        <f ca="1">_xll.DBRA(Server&amp;$D$22,$D54,"French")</f>
        <v>Accés formation à distance (coûts directs)</v>
      </c>
      <c r="J54" s="305" t="str">
        <f ca="1">_xll.DBRA(Server&amp;$D$22,$D54,"French")</f>
        <v>Accés formation à distance (coûts directs)</v>
      </c>
      <c r="K54" s="37"/>
      <c r="L54" s="54">
        <f ca="1">_xll.DBRW(Server&amp;Cube1,$J$13,$L$3,$J$15,$L$1,$L$2,$J$16,$D54)</f>
        <v>-5500</v>
      </c>
      <c r="M54" s="37"/>
      <c r="N54" s="54">
        <f ca="1">_xll.DBRW(Server&amp;Cube1,$J$13,$N$3,$J$15,$N$1,$N$2,$J$16,$D54)</f>
        <v>0</v>
      </c>
      <c r="O54" s="55"/>
      <c r="P54" s="57"/>
      <c r="Q54" s="109">
        <f ca="1">IF(xflag=1,_xll.DBSW(SAISIE!Q54,Server&amp;Cube1,$J$13,$J$14,$J$15,$J$17,Q$22,$J$16,$D54),_xll.DBRW(Server&amp;Cube1,$J$13,$J$14,$J$15,$J$17,Q$22,$J$16,$D54))</f>
        <v>0</v>
      </c>
      <c r="R54" s="109">
        <f ca="1">IF(xflag=1,_xll.DBSW(SAISIE!R54,Server&amp;Cube1,$J$13,$J$14,$J$15,$J$17,R$22,$J$16,$D54),_xll.DBRW(Server&amp;Cube1,$J$13,$J$14,$J$15,$J$17,R$22,$J$16,$D54))</f>
        <v>0</v>
      </c>
      <c r="S54" s="109">
        <f ca="1">IF(xflag=1,_xll.DBSW(SAISIE!S54,Server&amp;Cube1,$J$13,$J$14,$J$15,$J$17,S$22,$J$16,$D54),_xll.DBRW(Server&amp;Cube1,$J$13,$J$14,$J$15,$J$17,S$22,$J$16,$D54))</f>
        <v>0</v>
      </c>
      <c r="T54" s="109">
        <f ca="1">IF(xflag=1,_xll.DBSW(SAISIE!T54,Server&amp;Cube1,$J$13,$J$14,$J$15,$J$17,T$22,$J$16,$D54),_xll.DBRW(Server&amp;Cube1,$J$13,$J$14,$J$15,$J$17,T$22,$J$16,$D54))</f>
        <v>0</v>
      </c>
      <c r="U54" s="109">
        <f ca="1">IF(xflag=1,_xll.DBSW(SAISIE!U54,Server&amp;Cube1,$J$13,$J$14,$J$15,$J$17,U$22,$J$16,$D54),_xll.DBRW(Server&amp;Cube1,$J$13,$J$14,$J$15,$J$17,U$22,$J$16,$D54))</f>
        <v>0</v>
      </c>
      <c r="V54" s="109">
        <f ca="1">IF(xflag=1,_xll.DBSW(SAISIE!V54,Server&amp;Cube1,$J$13,$J$14,$J$15,$J$17,V$22,$J$16,$D54),_xll.DBRW(Server&amp;Cube1,$J$13,$J$14,$J$15,$J$17,V$22,$J$16,$D54))</f>
        <v>0</v>
      </c>
      <c r="W54" s="109">
        <f ca="1">IF(xflag=1,_xll.DBSW(SAISIE!W54,Server&amp;Cube1,$J$13,$J$14,$J$15,$J$17,W$22,$J$16,$D54),_xll.DBRW(Server&amp;Cube1,$J$13,$J$14,$J$15,$J$17,W$22,$J$16,$D54))</f>
        <v>0</v>
      </c>
      <c r="X54" s="109">
        <f ca="1">IF(xflag=1,_xll.DBSW(SAISIE!X54,Server&amp;Cube1,$J$13,$J$14,$J$15,$J$17,X$22,$J$16,$D54),_xll.DBRW(Server&amp;Cube1,$J$13,$J$14,$J$15,$J$17,X$22,$J$16,$D54))</f>
        <v>0</v>
      </c>
      <c r="Y54" s="109">
        <f ca="1">IF(xflag=1,_xll.DBSW(SAISIE!Y54,Server&amp;Cube1,$J$13,$J$14,$J$15,$J$17,Y$22,$J$16,$D54),_xll.DBRW(Server&amp;Cube1,$J$13,$J$14,$J$15,$J$17,Y$22,$J$16,$D54))</f>
        <v>0</v>
      </c>
      <c r="Z54" s="109">
        <f ca="1">IF(xflag=1,_xll.DBSW(SAISIE!Z54,Server&amp;Cube1,$J$13,$J$14,$J$15,$J$17,Z$22,$J$16,$D54),_xll.DBRW(Server&amp;Cube1,$J$13,$J$14,$J$15,$J$17,Z$22,$J$16,$D54))</f>
        <v>0</v>
      </c>
      <c r="AA54" s="109">
        <f ca="1">IF(xflag=1,_xll.DBSW(SAISIE!AA54,Server&amp;Cube1,$J$13,$J$14,$J$15,$J$17,AA$22,$J$16,$D54),_xll.DBRW(Server&amp;Cube1,$J$13,$J$14,$J$15,$J$17,AA$22,$J$16,$D54))</f>
        <v>0</v>
      </c>
      <c r="AB54" s="109">
        <f ca="1">IF(xflag=1,_xll.DBSW(SAISIE!AB54,Server&amp;Cube1,$J$13,$J$14,$J$15,$J$17,AB$22,$J$16,$D54),_xll.DBRW(Server&amp;Cube1,$J$13,$J$14,$J$15,$J$17,AB$22,$J$16,$D54))</f>
        <v>0</v>
      </c>
      <c r="AC54" s="31"/>
      <c r="AF54" s="90" t="str">
        <f ca="1">IF(xflag=1,_xll.DBSW(#REF!,Server&amp;Cube1,$J$13,$J$14,$J$15,#REF!,AF$2,$J$16,$D54),_xll.DBRW(Server&amp;Cube1,$J$13,$J$14,$J$15,#REF!,AF$2,$J$16,$D54))</f>
        <v>*KEY_ERR</v>
      </c>
    </row>
    <row r="55" spans="1:35" s="19" customFormat="1" ht="15.75" x14ac:dyDescent="0.25">
      <c r="A55"/>
      <c r="B55" s="204" t="s">
        <v>178</v>
      </c>
      <c r="C55" s="214" t="s">
        <v>210</v>
      </c>
      <c r="D55" s="226" t="str">
        <f t="shared" si="0"/>
        <v>606120</v>
      </c>
      <c r="E55"/>
      <c r="F55" s="228"/>
      <c r="G55" s="171"/>
      <c r="H55" s="107"/>
      <c r="I55" s="305" t="str">
        <f ca="1">_xll.DBRA(Server&amp;$D$22,$D55,"French")</f>
        <v>Bonbonne de gaz (coûts directs)</v>
      </c>
      <c r="J55" s="305" t="str">
        <f ca="1">_xll.DBRA(Server&amp;$D$22,$D55,"French")</f>
        <v>Bonbonne de gaz (coûts directs)</v>
      </c>
      <c r="K55" s="37"/>
      <c r="L55" s="54">
        <f ca="1">_xll.DBRW(Server&amp;Cube1,$J$13,$L$3,$J$15,$L$1,$L$2,$J$16,$D55)</f>
        <v>0</v>
      </c>
      <c r="M55" s="37"/>
      <c r="N55" s="54">
        <f ca="1">_xll.DBRW(Server&amp;Cube1,$J$13,$N$3,$J$15,$N$1,$N$2,$J$16,$D55)</f>
        <v>0</v>
      </c>
      <c r="O55" s="55"/>
      <c r="P55" s="57"/>
      <c r="Q55" s="109">
        <f ca="1">IF(xflag=1,_xll.DBSW(SAISIE!Q55,Server&amp;Cube1,$J$13,$J$14,$J$15,$J$17,Q$22,$J$16,$D55),_xll.DBRW(Server&amp;Cube1,$J$13,$J$14,$J$15,$J$17,Q$22,$J$16,$D55))</f>
        <v>0</v>
      </c>
      <c r="R55" s="109">
        <f ca="1">IF(xflag=1,_xll.DBSW(SAISIE!R55,Server&amp;Cube1,$J$13,$J$14,$J$15,$J$17,R$22,$J$16,$D55),_xll.DBRW(Server&amp;Cube1,$J$13,$J$14,$J$15,$J$17,R$22,$J$16,$D55))</f>
        <v>0</v>
      </c>
      <c r="S55" s="109">
        <f ca="1">IF(xflag=1,_xll.DBSW(SAISIE!S55,Server&amp;Cube1,$J$13,$J$14,$J$15,$J$17,S$22,$J$16,$D55),_xll.DBRW(Server&amp;Cube1,$J$13,$J$14,$J$15,$J$17,S$22,$J$16,$D55))</f>
        <v>0</v>
      </c>
      <c r="T55" s="109">
        <f ca="1">IF(xflag=1,_xll.DBSW(SAISIE!T55,Server&amp;Cube1,$J$13,$J$14,$J$15,$J$17,T$22,$J$16,$D55),_xll.DBRW(Server&amp;Cube1,$J$13,$J$14,$J$15,$J$17,T$22,$J$16,$D55))</f>
        <v>0</v>
      </c>
      <c r="U55" s="109">
        <f ca="1">IF(xflag=1,_xll.DBSW(SAISIE!U55,Server&amp;Cube1,$J$13,$J$14,$J$15,$J$17,U$22,$J$16,$D55),_xll.DBRW(Server&amp;Cube1,$J$13,$J$14,$J$15,$J$17,U$22,$J$16,$D55))</f>
        <v>0</v>
      </c>
      <c r="V55" s="109">
        <f ca="1">IF(xflag=1,_xll.DBSW(SAISIE!V55,Server&amp;Cube1,$J$13,$J$14,$J$15,$J$17,V$22,$J$16,$D55),_xll.DBRW(Server&amp;Cube1,$J$13,$J$14,$J$15,$J$17,V$22,$J$16,$D55))</f>
        <v>0</v>
      </c>
      <c r="W55" s="109">
        <f ca="1">IF(xflag=1,_xll.DBSW(SAISIE!W55,Server&amp;Cube1,$J$13,$J$14,$J$15,$J$17,W$22,$J$16,$D55),_xll.DBRW(Server&amp;Cube1,$J$13,$J$14,$J$15,$J$17,W$22,$J$16,$D55))</f>
        <v>0</v>
      </c>
      <c r="X55" s="109">
        <f ca="1">IF(xflag=1,_xll.DBSW(SAISIE!X55,Server&amp;Cube1,$J$13,$J$14,$J$15,$J$17,X$22,$J$16,$D55),_xll.DBRW(Server&amp;Cube1,$J$13,$J$14,$J$15,$J$17,X$22,$J$16,$D55))</f>
        <v>0</v>
      </c>
      <c r="Y55" s="109">
        <f ca="1">IF(xflag=1,_xll.DBSW(SAISIE!Y55,Server&amp;Cube1,$J$13,$J$14,$J$15,$J$17,Y$22,$J$16,$D55),_xll.DBRW(Server&amp;Cube1,$J$13,$J$14,$J$15,$J$17,Y$22,$J$16,$D55))</f>
        <v>0</v>
      </c>
      <c r="Z55" s="109">
        <f ca="1">IF(xflag=1,_xll.DBSW(SAISIE!Z55,Server&amp;Cube1,$J$13,$J$14,$J$15,$J$17,Z$22,$J$16,$D55),_xll.DBRW(Server&amp;Cube1,$J$13,$J$14,$J$15,$J$17,Z$22,$J$16,$D55))</f>
        <v>0</v>
      </c>
      <c r="AA55" s="109">
        <f ca="1">IF(xflag=1,_xll.DBSW(SAISIE!AA55,Server&amp;Cube1,$J$13,$J$14,$J$15,$J$17,AA$22,$J$16,$D55),_xll.DBRW(Server&amp;Cube1,$J$13,$J$14,$J$15,$J$17,AA$22,$J$16,$D55))</f>
        <v>0</v>
      </c>
      <c r="AB55" s="109">
        <f ca="1">IF(xflag=1,_xll.DBSW(SAISIE!AB55,Server&amp;Cube1,$J$13,$J$14,$J$15,$J$17,AB$22,$J$16,$D55),_xll.DBRW(Server&amp;Cube1,$J$13,$J$14,$J$15,$J$17,AB$22,$J$16,$D55))</f>
        <v>0</v>
      </c>
      <c r="AC55" s="31"/>
      <c r="AF55" s="90" t="str">
        <f ca="1">IF(xflag=1,_xll.DBSW(#REF!,Server&amp;Cube1,$J$13,$J$14,$J$15,#REF!,AF$2,$J$16,$D55),_xll.DBRW(Server&amp;Cube1,$J$13,$J$14,$J$15,#REF!,AF$2,$J$16,$D55))</f>
        <v>*KEY_ERR</v>
      </c>
      <c r="AI55" s="19">
        <v>6</v>
      </c>
    </row>
    <row r="56" spans="1:35" s="19" customFormat="1" ht="15.75" x14ac:dyDescent="0.25">
      <c r="A56"/>
      <c r="B56" s="204" t="s">
        <v>154</v>
      </c>
      <c r="C56" s="214" t="s">
        <v>211</v>
      </c>
      <c r="D56" s="226" t="str">
        <f t="shared" si="0"/>
        <v>615600a</v>
      </c>
      <c r="E56"/>
      <c r="F56" s="228"/>
      <c r="G56" s="170"/>
      <c r="H56" s="106"/>
      <c r="I56" s="305" t="str">
        <f ca="1">_xll.DBRA(Server&amp;$D$22,$D56,"French")</f>
        <v>Maintenance Informatique</v>
      </c>
      <c r="J56" s="305" t="str">
        <f ca="1">_xll.DBRA(Server&amp;$D$22,$D56,"French")</f>
        <v>Maintenance Informatique</v>
      </c>
      <c r="K56" s="37"/>
      <c r="L56" s="54">
        <f ca="1">_xll.DBRW(Server&amp;Cube1,$J$13,$L$3,$J$15,$L$1,$L$2,$J$16,$D56)</f>
        <v>-12561.14</v>
      </c>
      <c r="M56" s="37"/>
      <c r="N56" s="54">
        <f ca="1">_xll.DBRW(Server&amp;Cube1,$J$13,$N$3,$J$15,$N$1,$N$2,$J$16,$D56)</f>
        <v>-15698.23</v>
      </c>
      <c r="O56" s="55"/>
      <c r="P56" s="57"/>
      <c r="Q56" s="109">
        <f ca="1">IF(xflag=1,_xll.DBSW(SAISIE!Q56,Server&amp;Cube1,$J$13,$J$14,$J$15,$J$17,Q$22,$J$16,$D56),_xll.DBRW(Server&amp;Cube1,$J$13,$J$14,$J$15,$J$17,Q$22,$J$16,$D56))</f>
        <v>0</v>
      </c>
      <c r="R56" s="109">
        <f ca="1">IF(xflag=1,_xll.DBSW(SAISIE!R56,Server&amp;Cube1,$J$13,$J$14,$J$15,$J$17,R$22,$J$16,$D56),_xll.DBRW(Server&amp;Cube1,$J$13,$J$14,$J$15,$J$17,R$22,$J$16,$D56))</f>
        <v>6368.2300000000005</v>
      </c>
      <c r="S56" s="109">
        <f ca="1">IF(xflag=1,_xll.DBSW(SAISIE!S56,Server&amp;Cube1,$J$13,$J$14,$J$15,$J$17,S$22,$J$16,$D56),_xll.DBRW(Server&amp;Cube1,$J$13,$J$14,$J$15,$J$17,S$22,$J$16,$D56))</f>
        <v>-9132.5700000000015</v>
      </c>
      <c r="T56" s="109">
        <f ca="1">IF(xflag=1,_xll.DBSW(SAISIE!T56,Server&amp;Cube1,$J$13,$J$14,$J$15,$J$17,T$22,$J$16,$D56),_xll.DBRW(Server&amp;Cube1,$J$13,$J$14,$J$15,$J$17,T$22,$J$16,$D56))</f>
        <v>0</v>
      </c>
      <c r="U56" s="109">
        <f ca="1">IF(xflag=1,_xll.DBSW(SAISIE!U56,Server&amp;Cube1,$J$13,$J$14,$J$15,$J$17,U$22,$J$16,$D56),_xll.DBRW(Server&amp;Cube1,$J$13,$J$14,$J$15,$J$17,U$22,$J$16,$D56))</f>
        <v>9132.5700000000015</v>
      </c>
      <c r="V56" s="109">
        <f ca="1">IF(xflag=1,_xll.DBSW(SAISIE!V56,Server&amp;Cube1,$J$13,$J$14,$J$15,$J$17,V$22,$J$16,$D56),_xll.DBRW(Server&amp;Cube1,$J$13,$J$14,$J$15,$J$17,V$22,$J$16,$D56))</f>
        <v>-9147.5700000000015</v>
      </c>
      <c r="W56" s="109">
        <f ca="1">IF(xflag=1,_xll.DBSW(SAISIE!W56,Server&amp;Cube1,$J$13,$J$14,$J$15,$J$17,W$22,$J$16,$D56),_xll.DBRW(Server&amp;Cube1,$J$13,$J$14,$J$15,$J$17,W$22,$J$16,$D56))</f>
        <v>0</v>
      </c>
      <c r="X56" s="109">
        <f ca="1">IF(xflag=1,_xll.DBSW(SAISIE!X56,Server&amp;Cube1,$J$13,$J$14,$J$15,$J$17,X$22,$J$16,$D56),_xll.DBRW(Server&amp;Cube1,$J$13,$J$14,$J$15,$J$17,X$22,$J$16,$D56))</f>
        <v>0</v>
      </c>
      <c r="Y56" s="109">
        <f ca="1">IF(xflag=1,_xll.DBSW(SAISIE!Y56,Server&amp;Cube1,$J$13,$J$14,$J$15,$J$17,Y$22,$J$16,$D56),_xll.DBRW(Server&amp;Cube1,$J$13,$J$14,$J$15,$J$17,Y$22,$J$16,$D56))</f>
        <v>0</v>
      </c>
      <c r="Z56" s="109">
        <f ca="1">IF(xflag=1,_xll.DBSW(SAISIE!Z56,Server&amp;Cube1,$J$13,$J$14,$J$15,$J$17,Z$22,$J$16,$D56),_xll.DBRW(Server&amp;Cube1,$J$13,$J$14,$J$15,$J$17,Z$22,$J$16,$D56))</f>
        <v>0</v>
      </c>
      <c r="AA56" s="109">
        <f ca="1">IF(xflag=1,_xll.DBSW(SAISIE!AA56,Server&amp;Cube1,$J$13,$J$14,$J$15,$J$17,AA$22,$J$16,$D56),_xll.DBRW(Server&amp;Cube1,$J$13,$J$14,$J$15,$J$17,AA$22,$J$16,$D56))</f>
        <v>0</v>
      </c>
      <c r="AB56" s="109">
        <f ca="1">IF(xflag=1,_xll.DBSW(SAISIE!AB56,Server&amp;Cube1,$J$13,$J$14,$J$15,$J$17,AB$22,$J$16,$D56),_xll.DBRW(Server&amp;Cube1,$J$13,$J$14,$J$15,$J$17,AB$22,$J$16,$D56))</f>
        <v>0</v>
      </c>
      <c r="AC56" s="31"/>
      <c r="AF56" s="90" t="str">
        <f ca="1">IF(xflag=1,_xll.DBSW(#REF!,Server&amp;Cube1,$J$13,$J$14,$J$15,#REF!,AF$2,$J$16,$D56),_xll.DBRW(Server&amp;Cube1,$J$13,$J$14,$J$15,#REF!,AF$2,$J$16,$D56))</f>
        <v>*KEY_ERR</v>
      </c>
    </row>
    <row r="57" spans="1:35" s="19" customFormat="1" ht="15.75" x14ac:dyDescent="0.25">
      <c r="A57"/>
      <c r="B57" s="201" t="s">
        <v>169</v>
      </c>
      <c r="C57" s="214" t="s">
        <v>212</v>
      </c>
      <c r="D57" s="226" t="str">
        <f t="shared" si="0"/>
        <v>618100a</v>
      </c>
      <c r="E57"/>
      <c r="F57" s="228"/>
      <c r="G57" s="169"/>
      <c r="H57" s="106"/>
      <c r="I57" s="305" t="str">
        <f ca="1">_xll.DBRA(Server&amp;$D$22,$D57,"French")</f>
        <v>Documentation technique et reprographie (coûts directs)</v>
      </c>
      <c r="J57" s="305" t="str">
        <f ca="1">_xll.DBRA(Server&amp;$D$22,$D57,"French")</f>
        <v>Documentation technique et reprographie (coûts directs)</v>
      </c>
      <c r="K57" s="37"/>
      <c r="L57" s="54">
        <f ca="1">_xll.DBRW(Server&amp;Cube1,$J$13,$L$3,$J$15,$L$1,$L$2,$J$16,$D57)</f>
        <v>-22211.91</v>
      </c>
      <c r="M57" s="37"/>
      <c r="N57" s="54">
        <f ca="1">_xll.DBRW(Server&amp;Cube1,$J$13,$N$3,$J$15,$N$1,$N$2,$J$16,$D57)</f>
        <v>-23120.450000000004</v>
      </c>
      <c r="O57" s="55"/>
      <c r="P57" s="57"/>
      <c r="Q57" s="109">
        <f ca="1">IF(xflag=1,_xll.DBSW(SAISIE!Q57,Server&amp;Cube1,$J$13,$J$14,$J$15,$J$17,Q$22,$J$16,$D57),_xll.DBRW(Server&amp;Cube1,$J$13,$J$14,$J$15,$J$17,Q$22,$J$16,$D57))</f>
        <v>0</v>
      </c>
      <c r="R57" s="109">
        <f ca="1">IF(xflag=1,_xll.DBSW(SAISIE!R57,Server&amp;Cube1,$J$13,$J$14,$J$15,$J$17,R$22,$J$16,$D57),_xll.DBRW(Server&amp;Cube1,$J$13,$J$14,$J$15,$J$17,R$22,$J$16,$D57))</f>
        <v>-1339.48</v>
      </c>
      <c r="S57" s="109">
        <f ca="1">IF(xflag=1,_xll.DBSW(SAISIE!S57,Server&amp;Cube1,$J$13,$J$14,$J$15,$J$17,S$22,$J$16,$D57),_xll.DBRW(Server&amp;Cube1,$J$13,$J$14,$J$15,$J$17,S$22,$J$16,$D57))</f>
        <v>-478</v>
      </c>
      <c r="T57" s="109">
        <f ca="1">IF(xflag=1,_xll.DBSW(SAISIE!T57,Server&amp;Cube1,$J$13,$J$14,$J$15,$J$17,T$22,$J$16,$D57),_xll.DBRW(Server&amp;Cube1,$J$13,$J$14,$J$15,$J$17,T$22,$J$16,$D57))</f>
        <v>-438</v>
      </c>
      <c r="U57" s="109">
        <f ca="1">IF(xflag=1,_xll.DBSW(SAISIE!U57,Server&amp;Cube1,$J$13,$J$14,$J$15,$J$17,U$22,$J$16,$D57),_xll.DBRW(Server&amp;Cube1,$J$13,$J$14,$J$15,$J$17,U$22,$J$16,$D57))</f>
        <v>90</v>
      </c>
      <c r="V57" s="109">
        <f ca="1">IF(xflag=1,_xll.DBSW(SAISIE!V57,Server&amp;Cube1,$J$13,$J$14,$J$15,$J$17,V$22,$J$16,$D57),_xll.DBRW(Server&amp;Cube1,$J$13,$J$14,$J$15,$J$17,V$22,$J$16,$D57))</f>
        <v>-90</v>
      </c>
      <c r="W57" s="109">
        <f ca="1">IF(xflag=1,_xll.DBSW(SAISIE!W57,Server&amp;Cube1,$J$13,$J$14,$J$15,$J$17,W$22,$J$16,$D57),_xll.DBRW(Server&amp;Cube1,$J$13,$J$14,$J$15,$J$17,W$22,$J$16,$D57))</f>
        <v>0</v>
      </c>
      <c r="X57" s="109">
        <f ca="1">IF(xflag=1,_xll.DBSW(SAISIE!X57,Server&amp;Cube1,$J$13,$J$14,$J$15,$J$17,X$22,$J$16,$D57),_xll.DBRW(Server&amp;Cube1,$J$13,$J$14,$J$15,$J$17,X$22,$J$16,$D57))</f>
        <v>0</v>
      </c>
      <c r="Y57" s="109">
        <f ca="1">IF(xflag=1,_xll.DBSW(SAISIE!Y57,Server&amp;Cube1,$J$13,$J$14,$J$15,$J$17,Y$22,$J$16,$D57),_xll.DBRW(Server&amp;Cube1,$J$13,$J$14,$J$15,$J$17,Y$22,$J$16,$D57))</f>
        <v>0</v>
      </c>
      <c r="Z57" s="109">
        <f ca="1">IF(xflag=1,_xll.DBSW(SAISIE!Z57,Server&amp;Cube1,$J$13,$J$14,$J$15,$J$17,Z$22,$J$16,$D57),_xll.DBRW(Server&amp;Cube1,$J$13,$J$14,$J$15,$J$17,Z$22,$J$16,$D57))</f>
        <v>0</v>
      </c>
      <c r="AA57" s="109">
        <f ca="1">IF(xflag=1,_xll.DBSW(SAISIE!AA57,Server&amp;Cube1,$J$13,$J$14,$J$15,$J$17,AA$22,$J$16,$D57),_xll.DBRW(Server&amp;Cube1,$J$13,$J$14,$J$15,$J$17,AA$22,$J$16,$D57))</f>
        <v>0</v>
      </c>
      <c r="AB57" s="109">
        <f ca="1">IF(xflag=1,_xll.DBSW(SAISIE!AB57,Server&amp;Cube1,$J$13,$J$14,$J$15,$J$17,AB$22,$J$16,$D57),_xll.DBRW(Server&amp;Cube1,$J$13,$J$14,$J$15,$J$17,AB$22,$J$16,$D57))</f>
        <v>0</v>
      </c>
      <c r="AC57" s="31"/>
      <c r="AF57" s="90" t="str">
        <f ca="1">IF(xflag=1,_xll.DBSW(#REF!,Server&amp;Cube1,$J$13,$J$14,$J$15,#REF!,AF$2,$J$16,$D57),_xll.DBRW(Server&amp;Cube1,$J$13,$J$14,$J$15,#REF!,AF$2,$J$16,$D57))</f>
        <v>*KEY_ERR</v>
      </c>
    </row>
    <row r="58" spans="1:35" s="19" customFormat="1" ht="15.75" x14ac:dyDescent="0.25">
      <c r="A58"/>
      <c r="B58" s="204" t="s">
        <v>75</v>
      </c>
      <c r="C58" s="214" t="s">
        <v>213</v>
      </c>
      <c r="D58" s="226" t="str">
        <f t="shared" si="0"/>
        <v>618880a</v>
      </c>
      <c r="E58"/>
      <c r="F58" s="228"/>
      <c r="G58" s="170"/>
      <c r="H58" s="106"/>
      <c r="I58" s="305" t="str">
        <f ca="1">_xll.DBRA(Server&amp;$D$22,$D58,"French")</f>
        <v>Documentation Livrets,DVD et Autres (coûts directs)</v>
      </c>
      <c r="J58" s="305" t="str">
        <f ca="1">_xll.DBRA(Server&amp;$D$22,$D58,"French")</f>
        <v>Documentation Livrets,DVD et Autres (coûts directs)</v>
      </c>
      <c r="K58" s="37"/>
      <c r="L58" s="54">
        <f ca="1">_xll.DBRW(Server&amp;Cube1,$J$13,$L$3,$J$15,$L$1,$L$2,$J$16,$D58)</f>
        <v>-4355.04</v>
      </c>
      <c r="M58" s="37"/>
      <c r="N58" s="54">
        <f ca="1">_xll.DBRW(Server&amp;Cube1,$J$13,$N$3,$J$15,$N$1,$N$2,$J$16,$D58)</f>
        <v>-492</v>
      </c>
      <c r="O58" s="55"/>
      <c r="P58" s="57"/>
      <c r="Q58" s="109">
        <f ca="1">IF(xflag=1,_xll.DBSW(SAISIE!Q58,Server&amp;Cube1,$J$13,$J$14,$J$15,$J$17,Q$22,$J$16,$D58),_xll.DBRW(Server&amp;Cube1,$J$13,$J$14,$J$15,$J$17,Q$22,$J$16,$D58))</f>
        <v>0</v>
      </c>
      <c r="R58" s="109">
        <f ca="1">IF(xflag=1,_xll.DBSW(SAISIE!R58,Server&amp;Cube1,$J$13,$J$14,$J$15,$J$17,R$22,$J$16,$D58),_xll.DBRW(Server&amp;Cube1,$J$13,$J$14,$J$15,$J$17,R$22,$J$16,$D58))</f>
        <v>-4773</v>
      </c>
      <c r="S58" s="109">
        <f ca="1">IF(xflag=1,_xll.DBSW(SAISIE!S58,Server&amp;Cube1,$J$13,$J$14,$J$15,$J$17,S$22,$J$16,$D58),_xll.DBRW(Server&amp;Cube1,$J$13,$J$14,$J$15,$J$17,S$22,$J$16,$D58))</f>
        <v>0</v>
      </c>
      <c r="T58" s="109">
        <f ca="1">IF(xflag=1,_xll.DBSW(SAISIE!T58,Server&amp;Cube1,$J$13,$J$14,$J$15,$J$17,T$22,$J$16,$D58),_xll.DBRW(Server&amp;Cube1,$J$13,$J$14,$J$15,$J$17,T$22,$J$16,$D58))</f>
        <v>0</v>
      </c>
      <c r="U58" s="109">
        <f ca="1">IF(xflag=1,_xll.DBSW(SAISIE!U58,Server&amp;Cube1,$J$13,$J$14,$J$15,$J$17,U$22,$J$16,$D58),_xll.DBRW(Server&amp;Cube1,$J$13,$J$14,$J$15,$J$17,U$22,$J$16,$D58))</f>
        <v>0</v>
      </c>
      <c r="V58" s="109">
        <f ca="1">IF(xflag=1,_xll.DBSW(SAISIE!V58,Server&amp;Cube1,$J$13,$J$14,$J$15,$J$17,V$22,$J$16,$D58),_xll.DBRW(Server&amp;Cube1,$J$13,$J$14,$J$15,$J$17,V$22,$J$16,$D58))</f>
        <v>-605.5</v>
      </c>
      <c r="W58" s="109">
        <f ca="1">IF(xflag=1,_xll.DBSW(SAISIE!W58,Server&amp;Cube1,$J$13,$J$14,$J$15,$J$17,W$22,$J$16,$D58),_xll.DBRW(Server&amp;Cube1,$J$13,$J$14,$J$15,$J$17,W$22,$J$16,$D58))</f>
        <v>0</v>
      </c>
      <c r="X58" s="109">
        <f ca="1">IF(xflag=1,_xll.DBSW(SAISIE!X58,Server&amp;Cube1,$J$13,$J$14,$J$15,$J$17,X$22,$J$16,$D58),_xll.DBRW(Server&amp;Cube1,$J$13,$J$14,$J$15,$J$17,X$22,$J$16,$D58))</f>
        <v>0</v>
      </c>
      <c r="Y58" s="109">
        <f ca="1">IF(xflag=1,_xll.DBSW(SAISIE!Y58,Server&amp;Cube1,$J$13,$J$14,$J$15,$J$17,Y$22,$J$16,$D58),_xll.DBRW(Server&amp;Cube1,$J$13,$J$14,$J$15,$J$17,Y$22,$J$16,$D58))</f>
        <v>0</v>
      </c>
      <c r="Z58" s="109">
        <f ca="1">IF(xflag=1,_xll.DBSW(SAISIE!Z58,Server&amp;Cube1,$J$13,$J$14,$J$15,$J$17,Z$22,$J$16,$D58),_xll.DBRW(Server&amp;Cube1,$J$13,$J$14,$J$15,$J$17,Z$22,$J$16,$D58))</f>
        <v>0</v>
      </c>
      <c r="AA58" s="109">
        <f ca="1">IF(xflag=1,_xll.DBSW(SAISIE!AA58,Server&amp;Cube1,$J$13,$J$14,$J$15,$J$17,AA$22,$J$16,$D58),_xll.DBRW(Server&amp;Cube1,$J$13,$J$14,$J$15,$J$17,AA$22,$J$16,$D58))</f>
        <v>0</v>
      </c>
      <c r="AB58" s="109">
        <f ca="1">IF(xflag=1,_xll.DBSW(SAISIE!AB58,Server&amp;Cube1,$J$13,$J$14,$J$15,$J$17,AB$22,$J$16,$D58),_xll.DBRW(Server&amp;Cube1,$J$13,$J$14,$J$15,$J$17,AB$22,$J$16,$D58))</f>
        <v>0</v>
      </c>
      <c r="AC58" s="31"/>
      <c r="AF58" s="90" t="str">
        <f ca="1">IF(xflag=1,_xll.DBSW(#REF!,Server&amp;Cube1,$J$13,$J$14,$J$15,#REF!,AF$2,$J$16,$D58),_xll.DBRW(Server&amp;Cube1,$J$13,$J$14,$J$15,#REF!,AF$2,$J$16,$D58))</f>
        <v>*KEY_ERR</v>
      </c>
    </row>
    <row r="59" spans="1:35" s="19" customFormat="1" ht="15.75" x14ac:dyDescent="0.25">
      <c r="A59"/>
      <c r="B59" s="204" t="s">
        <v>76</v>
      </c>
      <c r="C59" s="214" t="s">
        <v>214</v>
      </c>
      <c r="D59" s="226" t="str">
        <f t="shared" si="0"/>
        <v>618880b</v>
      </c>
      <c r="E59"/>
      <c r="F59" s="228"/>
      <c r="G59" s="170"/>
      <c r="H59" s="106"/>
      <c r="I59" s="305" t="str">
        <f ca="1">_xll.DBRA(Server&amp;$D$22,$D59,"French")</f>
        <v>Cartes CQC (charge)</v>
      </c>
      <c r="J59" s="305" t="str">
        <f ca="1">_xll.DBRA(Server&amp;$D$22,$D59,"French")</f>
        <v>Cartes CQC (charge)</v>
      </c>
      <c r="K59" s="37"/>
      <c r="L59" s="54">
        <f ca="1">_xll.DBRW(Server&amp;Cube1,$J$13,$L$3,$J$15,$L$1,$L$2,$J$16,$D59)</f>
        <v>0</v>
      </c>
      <c r="M59" s="37"/>
      <c r="N59" s="54">
        <f ca="1">_xll.DBRW(Server&amp;Cube1,$J$13,$N$3,$J$15,$N$1,$N$2,$J$16,$D59)</f>
        <v>-97.2</v>
      </c>
      <c r="O59" s="55"/>
      <c r="P59" s="57"/>
      <c r="Q59" s="109">
        <f ca="1">IF(xflag=1,_xll.DBSW(SAISIE!Q59,Server&amp;Cube1,$J$13,$J$14,$J$15,$J$17,Q$22,$J$16,$D59),_xll.DBRW(Server&amp;Cube1,$J$13,$J$14,$J$15,$J$17,Q$22,$J$16,$D59))</f>
        <v>0</v>
      </c>
      <c r="R59" s="109">
        <f ca="1">IF(xflag=1,_xll.DBSW(SAISIE!R59,Server&amp;Cube1,$J$13,$J$14,$J$15,$J$17,R$22,$J$16,$D59),_xll.DBRW(Server&amp;Cube1,$J$13,$J$14,$J$15,$J$17,R$22,$J$16,$D59))</f>
        <v>6803.9999999999982</v>
      </c>
      <c r="S59" s="109">
        <f ca="1">IF(xflag=1,_xll.DBSW(SAISIE!S59,Server&amp;Cube1,$J$13,$J$14,$J$15,$J$17,S$22,$J$16,$D59),_xll.DBRW(Server&amp;Cube1,$J$13,$J$14,$J$15,$J$17,S$22,$J$16,$D59))</f>
        <v>-43618.5</v>
      </c>
      <c r="T59" s="109">
        <f ca="1">IF(xflag=1,_xll.DBSW(SAISIE!T59,Server&amp;Cube1,$J$13,$J$14,$J$15,$J$17,T$22,$J$16,$D59),_xll.DBRW(Server&amp;Cube1,$J$13,$J$14,$J$15,$J$17,T$22,$J$16,$D59))</f>
        <v>1489.0299999999997</v>
      </c>
      <c r="U59" s="109">
        <f ca="1">IF(xflag=1,_xll.DBSW(SAISIE!U59,Server&amp;Cube1,$J$13,$J$14,$J$15,$J$17,U$22,$J$16,$D59),_xll.DBRW(Server&amp;Cube1,$J$13,$J$14,$J$15,$J$17,U$22,$J$16,$D59))</f>
        <v>-3933.0999999999985</v>
      </c>
      <c r="V59" s="109">
        <f ca="1">IF(xflag=1,_xll.DBSW(SAISIE!V59,Server&amp;Cube1,$J$13,$J$14,$J$15,$J$17,V$22,$J$16,$D59),_xll.DBRW(Server&amp;Cube1,$J$13,$J$14,$J$15,$J$17,V$22,$J$16,$D59))</f>
        <v>-21578.400000000009</v>
      </c>
      <c r="W59" s="109">
        <f ca="1">IF(xflag=1,_xll.DBSW(SAISIE!W59,Server&amp;Cube1,$J$13,$J$14,$J$15,$J$17,W$22,$J$16,$D59),_xll.DBRW(Server&amp;Cube1,$J$13,$J$14,$J$15,$J$17,W$22,$J$16,$D59))</f>
        <v>0</v>
      </c>
      <c r="X59" s="109">
        <f ca="1">IF(xflag=1,_xll.DBSW(SAISIE!X59,Server&amp;Cube1,$J$13,$J$14,$J$15,$J$17,X$22,$J$16,$D59),_xll.DBRW(Server&amp;Cube1,$J$13,$J$14,$J$15,$J$17,X$22,$J$16,$D59))</f>
        <v>0</v>
      </c>
      <c r="Y59" s="109">
        <f ca="1">IF(xflag=1,_xll.DBSW(SAISIE!Y59,Server&amp;Cube1,$J$13,$J$14,$J$15,$J$17,Y$22,$J$16,$D59),_xll.DBRW(Server&amp;Cube1,$J$13,$J$14,$J$15,$J$17,Y$22,$J$16,$D59))</f>
        <v>0</v>
      </c>
      <c r="Z59" s="109">
        <f ca="1">IF(xflag=1,_xll.DBSW(SAISIE!Z59,Server&amp;Cube1,$J$13,$J$14,$J$15,$J$17,Z$22,$J$16,$D59),_xll.DBRW(Server&amp;Cube1,$J$13,$J$14,$J$15,$J$17,Z$22,$J$16,$D59))</f>
        <v>0</v>
      </c>
      <c r="AA59" s="109">
        <f ca="1">IF(xflag=1,_xll.DBSW(SAISIE!AA59,Server&amp;Cube1,$J$13,$J$14,$J$15,$J$17,AA$22,$J$16,$D59),_xll.DBRW(Server&amp;Cube1,$J$13,$J$14,$J$15,$J$17,AA$22,$J$16,$D59))</f>
        <v>0</v>
      </c>
      <c r="AB59" s="109">
        <f ca="1">IF(xflag=1,_xll.DBSW(SAISIE!AB59,Server&amp;Cube1,$J$13,$J$14,$J$15,$J$17,AB$22,$J$16,$D59),_xll.DBRW(Server&amp;Cube1,$J$13,$J$14,$J$15,$J$17,AB$22,$J$16,$D59))</f>
        <v>0</v>
      </c>
      <c r="AC59" s="31"/>
      <c r="AF59" s="90" t="str">
        <f ca="1">IF(xflag=1,_xll.DBSW(#REF!,Server&amp;Cube1,$J$13,$J$14,$J$15,#REF!,AF$2,$J$16,$D59),_xll.DBRW(Server&amp;Cube1,$J$13,$J$14,$J$15,#REF!,AF$2,$J$16,$D59))</f>
        <v>*KEY_ERR</v>
      </c>
    </row>
    <row r="60" spans="1:35" s="19" customFormat="1" ht="15.75" x14ac:dyDescent="0.25">
      <c r="A60"/>
      <c r="B60" s="204" t="s">
        <v>160</v>
      </c>
      <c r="C60" s="214" t="s">
        <v>215</v>
      </c>
      <c r="D60" s="226" t="str">
        <f t="shared" si="0"/>
        <v xml:space="preserve">623100a  </v>
      </c>
      <c r="E60"/>
      <c r="F60" s="228"/>
      <c r="G60" s="170"/>
      <c r="H60" s="106"/>
      <c r="I60" s="305" t="str">
        <f ca="1">_xll.DBRA(Server&amp;$D$22,$D60,"French")</f>
        <v>Publicité et Marketing (coûts directs)</v>
      </c>
      <c r="J60" s="305" t="str">
        <f ca="1">_xll.DBRA(Server&amp;$D$22,$D60,"French")</f>
        <v>Publicité et Marketing (coûts directs)</v>
      </c>
      <c r="K60" s="37"/>
      <c r="L60" s="54">
        <f ca="1">_xll.DBRW(Server&amp;Cube1,$J$13,$L$3,$J$15,$L$1,$L$2,$J$16,$D60)</f>
        <v>0</v>
      </c>
      <c r="M60" s="37"/>
      <c r="N60" s="54">
        <f ca="1">_xll.DBRW(Server&amp;Cube1,$J$13,$N$3,$J$15,$N$1,$N$2,$J$16,$D60)</f>
        <v>0</v>
      </c>
      <c r="O60" s="55"/>
      <c r="P60" s="57"/>
      <c r="Q60" s="109">
        <f ca="1">IF(xflag=1,_xll.DBSW(SAISIE!Q60,Server&amp;Cube1,$J$13,$J$14,$J$15,$J$17,Q$22,$J$16,$D60),_xll.DBRW(Server&amp;Cube1,$J$13,$J$14,$J$15,$J$17,Q$22,$J$16,$D60))</f>
        <v>0</v>
      </c>
      <c r="R60" s="109">
        <f ca="1">IF(xflag=1,_xll.DBSW(SAISIE!R60,Server&amp;Cube1,$J$13,$J$14,$J$15,$J$17,R$22,$J$16,$D60),_xll.DBRW(Server&amp;Cube1,$J$13,$J$14,$J$15,$J$17,R$22,$J$16,$D60))</f>
        <v>0</v>
      </c>
      <c r="S60" s="109">
        <f ca="1">IF(xflag=1,_xll.DBSW(SAISIE!S60,Server&amp;Cube1,$J$13,$J$14,$J$15,$J$17,S$22,$J$16,$D60),_xll.DBRW(Server&amp;Cube1,$J$13,$J$14,$J$15,$J$17,S$22,$J$16,$D60))</f>
        <v>0</v>
      </c>
      <c r="T60" s="109">
        <f ca="1">IF(xflag=1,_xll.DBSW(SAISIE!T60,Server&amp;Cube1,$J$13,$J$14,$J$15,$J$17,T$22,$J$16,$D60),_xll.DBRW(Server&amp;Cube1,$J$13,$J$14,$J$15,$J$17,T$22,$J$16,$D60))</f>
        <v>0</v>
      </c>
      <c r="U60" s="109">
        <f ca="1">IF(xflag=1,_xll.DBSW(SAISIE!U60,Server&amp;Cube1,$J$13,$J$14,$J$15,$J$17,U$22,$J$16,$D60),_xll.DBRW(Server&amp;Cube1,$J$13,$J$14,$J$15,$J$17,U$22,$J$16,$D60))</f>
        <v>0</v>
      </c>
      <c r="V60" s="109">
        <f ca="1">IF(xflag=1,_xll.DBSW(SAISIE!V60,Server&amp;Cube1,$J$13,$J$14,$J$15,$J$17,V$22,$J$16,$D60),_xll.DBRW(Server&amp;Cube1,$J$13,$J$14,$J$15,$J$17,V$22,$J$16,$D60))</f>
        <v>0</v>
      </c>
      <c r="W60" s="109">
        <f ca="1">IF(xflag=1,_xll.DBSW(SAISIE!W60,Server&amp;Cube1,$J$13,$J$14,$J$15,$J$17,W$22,$J$16,$D60),_xll.DBRW(Server&amp;Cube1,$J$13,$J$14,$J$15,$J$17,W$22,$J$16,$D60))</f>
        <v>0</v>
      </c>
      <c r="X60" s="109">
        <f ca="1">IF(xflag=1,_xll.DBSW(SAISIE!X60,Server&amp;Cube1,$J$13,$J$14,$J$15,$J$17,X$22,$J$16,$D60),_xll.DBRW(Server&amp;Cube1,$J$13,$J$14,$J$15,$J$17,X$22,$J$16,$D60))</f>
        <v>0</v>
      </c>
      <c r="Y60" s="109">
        <f ca="1">IF(xflag=1,_xll.DBSW(SAISIE!Y60,Server&amp;Cube1,$J$13,$J$14,$J$15,$J$17,Y$22,$J$16,$D60),_xll.DBRW(Server&amp;Cube1,$J$13,$J$14,$J$15,$J$17,Y$22,$J$16,$D60))</f>
        <v>0</v>
      </c>
      <c r="Z60" s="109">
        <f ca="1">IF(xflag=1,_xll.DBSW(SAISIE!Z60,Server&amp;Cube1,$J$13,$J$14,$J$15,$J$17,Z$22,$J$16,$D60),_xll.DBRW(Server&amp;Cube1,$J$13,$J$14,$J$15,$J$17,Z$22,$J$16,$D60))</f>
        <v>0</v>
      </c>
      <c r="AA60" s="109">
        <f ca="1">IF(xflag=1,_xll.DBSW(SAISIE!AA60,Server&amp;Cube1,$J$13,$J$14,$J$15,$J$17,AA$22,$J$16,$D60),_xll.DBRW(Server&amp;Cube1,$J$13,$J$14,$J$15,$J$17,AA$22,$J$16,$D60))</f>
        <v>0</v>
      </c>
      <c r="AB60" s="109">
        <f ca="1">IF(xflag=1,_xll.DBSW(SAISIE!AB60,Server&amp;Cube1,$J$13,$J$14,$J$15,$J$17,AB$22,$J$16,$D60),_xll.DBRW(Server&amp;Cube1,$J$13,$J$14,$J$15,$J$17,AB$22,$J$16,$D60))</f>
        <v>0</v>
      </c>
      <c r="AC60" s="31"/>
      <c r="AF60" s="90" t="str">
        <f ca="1">IF(xflag=1,_xll.DBSW(#REF!,Server&amp;Cube1,$J$13,$J$14,$J$15,#REF!,AF$2,$J$16,$D60),_xll.DBRW(Server&amp;Cube1,$J$13,$J$14,$J$15,#REF!,AF$2,$J$16,$D60))</f>
        <v>*KEY_ERR</v>
      </c>
    </row>
    <row r="61" spans="1:35" s="19" customFormat="1" ht="15.75" x14ac:dyDescent="0.25">
      <c r="A61"/>
      <c r="B61" s="204" t="s">
        <v>135</v>
      </c>
      <c r="C61" s="214" t="s">
        <v>216</v>
      </c>
      <c r="D61" s="226" t="str">
        <f t="shared" si="0"/>
        <v>623400</v>
      </c>
      <c r="E61"/>
      <c r="F61" s="228"/>
      <c r="G61" s="170"/>
      <c r="H61" s="106"/>
      <c r="I61" s="305" t="str">
        <f ca="1">_xll.DBRA(Server&amp;$D$22,$D61,"French")</f>
        <v>Cadeaux Stagiaires (coûts directs)</v>
      </c>
      <c r="J61" s="305" t="str">
        <f ca="1">_xll.DBRA(Server&amp;$D$22,$D61,"French")</f>
        <v>Cadeaux Stagiaires (coûts directs)</v>
      </c>
      <c r="K61" s="37"/>
      <c r="L61" s="54">
        <f ca="1">_xll.DBRW(Server&amp;Cube1,$J$13,$L$3,$J$15,$L$1,$L$2,$J$16,$D61)</f>
        <v>-455.97</v>
      </c>
      <c r="M61" s="37"/>
      <c r="N61" s="54">
        <f ca="1">_xll.DBRW(Server&amp;Cube1,$J$13,$N$3,$J$15,$N$1,$N$2,$J$16,$D61)</f>
        <v>-143</v>
      </c>
      <c r="O61" s="55"/>
      <c r="P61" s="57"/>
      <c r="Q61" s="109">
        <f ca="1">IF(xflag=1,_xll.DBSW(SAISIE!Q61,Server&amp;Cube1,$J$13,$J$14,$J$15,$J$17,Q$22,$J$16,$D61),_xll.DBRW(Server&amp;Cube1,$J$13,$J$14,$J$15,$J$17,Q$22,$J$16,$D61))</f>
        <v>0</v>
      </c>
      <c r="R61" s="109">
        <f ca="1">IF(xflag=1,_xll.DBSW(SAISIE!R61,Server&amp;Cube1,$J$13,$J$14,$J$15,$J$17,R$22,$J$16,$D61),_xll.DBRW(Server&amp;Cube1,$J$13,$J$14,$J$15,$J$17,R$22,$J$16,$D61))</f>
        <v>0</v>
      </c>
      <c r="S61" s="109">
        <f ca="1">IF(xflag=1,_xll.DBSW(SAISIE!S61,Server&amp;Cube1,$J$13,$J$14,$J$15,$J$17,S$22,$J$16,$D61),_xll.DBRW(Server&amp;Cube1,$J$13,$J$14,$J$15,$J$17,S$22,$J$16,$D61))</f>
        <v>0</v>
      </c>
      <c r="T61" s="109">
        <f ca="1">IF(xflag=1,_xll.DBSW(SAISIE!T61,Server&amp;Cube1,$J$13,$J$14,$J$15,$J$17,T$22,$J$16,$D61),_xll.DBRW(Server&amp;Cube1,$J$13,$J$14,$J$15,$J$17,T$22,$J$16,$D61))</f>
        <v>0</v>
      </c>
      <c r="U61" s="109">
        <f ca="1">IF(xflag=1,_xll.DBSW(SAISIE!U61,Server&amp;Cube1,$J$13,$J$14,$J$15,$J$17,U$22,$J$16,$D61),_xll.DBRW(Server&amp;Cube1,$J$13,$J$14,$J$15,$J$17,U$22,$J$16,$D61))</f>
        <v>-1200</v>
      </c>
      <c r="V61" s="109">
        <f ca="1">IF(xflag=1,_xll.DBSW(SAISIE!V61,Server&amp;Cube1,$J$13,$J$14,$J$15,$J$17,V$22,$J$16,$D61),_xll.DBRW(Server&amp;Cube1,$J$13,$J$14,$J$15,$J$17,V$22,$J$16,$D61))</f>
        <v>0</v>
      </c>
      <c r="W61" s="109">
        <f ca="1">IF(xflag=1,_xll.DBSW(SAISIE!W61,Server&amp;Cube1,$J$13,$J$14,$J$15,$J$17,W$22,$J$16,$D61),_xll.DBRW(Server&amp;Cube1,$J$13,$J$14,$J$15,$J$17,W$22,$J$16,$D61))</f>
        <v>0</v>
      </c>
      <c r="X61" s="109">
        <f ca="1">IF(xflag=1,_xll.DBSW(SAISIE!X61,Server&amp;Cube1,$J$13,$J$14,$J$15,$J$17,X$22,$J$16,$D61),_xll.DBRW(Server&amp;Cube1,$J$13,$J$14,$J$15,$J$17,X$22,$J$16,$D61))</f>
        <v>0</v>
      </c>
      <c r="Y61" s="109">
        <f ca="1">IF(xflag=1,_xll.DBSW(SAISIE!Y61,Server&amp;Cube1,$J$13,$J$14,$J$15,$J$17,Y$22,$J$16,$D61),_xll.DBRW(Server&amp;Cube1,$J$13,$J$14,$J$15,$J$17,Y$22,$J$16,$D61))</f>
        <v>0</v>
      </c>
      <c r="Z61" s="109">
        <f ca="1">IF(xflag=1,_xll.DBSW(SAISIE!Z61,Server&amp;Cube1,$J$13,$J$14,$J$15,$J$17,Z$22,$J$16,$D61),_xll.DBRW(Server&amp;Cube1,$J$13,$J$14,$J$15,$J$17,Z$22,$J$16,$D61))</f>
        <v>0</v>
      </c>
      <c r="AA61" s="109">
        <f ca="1">IF(xflag=1,_xll.DBSW(SAISIE!AA61,Server&amp;Cube1,$J$13,$J$14,$J$15,$J$17,AA$22,$J$16,$D61),_xll.DBRW(Server&amp;Cube1,$J$13,$J$14,$J$15,$J$17,AA$22,$J$16,$D61))</f>
        <v>0</v>
      </c>
      <c r="AB61" s="109">
        <f ca="1">IF(xflag=1,_xll.DBSW(SAISIE!AB61,Server&amp;Cube1,$J$13,$J$14,$J$15,$J$17,AB$22,$J$16,$D61),_xll.DBRW(Server&amp;Cube1,$J$13,$J$14,$J$15,$J$17,AB$22,$J$16,$D61))</f>
        <v>0</v>
      </c>
      <c r="AC61" s="31"/>
      <c r="AF61" s="90" t="str">
        <f ca="1">IF(xflag=1,_xll.DBSW(#REF!,Server&amp;Cube1,$J$13,$J$14,$J$15,#REF!,AF$2,$J$16,$D61),_xll.DBRW(Server&amp;Cube1,$J$13,$J$14,$J$15,#REF!,AF$2,$J$16,$D61))</f>
        <v>*KEY_ERR</v>
      </c>
    </row>
    <row r="62" spans="1:35" s="19" customFormat="1" ht="15.75" x14ac:dyDescent="0.25">
      <c r="A62"/>
      <c r="B62" s="204" t="s">
        <v>91</v>
      </c>
      <c r="C62" s="214" t="s">
        <v>217</v>
      </c>
      <c r="D62" s="226" t="str">
        <f t="shared" si="0"/>
        <v>624100b</v>
      </c>
      <c r="E62"/>
      <c r="F62" s="228"/>
      <c r="G62" s="169"/>
      <c r="H62" s="106"/>
      <c r="I62" s="305" t="str">
        <f ca="1">_xll.DBRA(Server&amp;$D$22,$D62,"French")</f>
        <v>Transport sur achat (coûts directs)</v>
      </c>
      <c r="J62" s="305" t="str">
        <f ca="1">_xll.DBRA(Server&amp;$D$22,$D62,"French")</f>
        <v>Transport sur achat (coûts directs)</v>
      </c>
      <c r="K62" s="37"/>
      <c r="L62" s="54">
        <f ca="1">_xll.DBRW(Server&amp;Cube1,$J$13,$L$3,$J$15,$L$1,$L$2,$J$16,$D62)</f>
        <v>-1318.0499999999997</v>
      </c>
      <c r="M62" s="37"/>
      <c r="N62" s="54">
        <f ca="1">_xll.DBRW(Server&amp;Cube1,$J$13,$N$3,$J$15,$N$1,$N$2,$J$16,$D62)</f>
        <v>-1594.2499999999998</v>
      </c>
      <c r="O62" s="55"/>
      <c r="P62" s="57"/>
      <c r="Q62" s="111">
        <f ca="1">IF(xflag=1,_xll.DBSW(SAISIE!Q62,Server&amp;Cube1,$J$13,$J$14,$J$15,$J$17,Q$22,$J$16,$D62),_xll.DBRW(Server&amp;Cube1,$J$13,$J$14,$J$15,$J$17,Q$22,$J$16,$D62))</f>
        <v>0</v>
      </c>
      <c r="R62" s="111">
        <f ca="1">IF(xflag=1,_xll.DBSW(SAISIE!R62,Server&amp;Cube1,$J$13,$J$14,$J$15,$J$17,R$22,$J$16,$D62),_xll.DBRW(Server&amp;Cube1,$J$13,$J$14,$J$15,$J$17,R$22,$J$16,$D62))</f>
        <v>-286.76</v>
      </c>
      <c r="S62" s="111">
        <f ca="1">IF(xflag=1,_xll.DBSW(SAISIE!S62,Server&amp;Cube1,$J$13,$J$14,$J$15,$J$17,S$22,$J$16,$D62),_xll.DBRW(Server&amp;Cube1,$J$13,$J$14,$J$15,$J$17,S$22,$J$16,$D62))</f>
        <v>-66.69</v>
      </c>
      <c r="T62" s="111">
        <f ca="1">IF(xflag=1,_xll.DBSW(SAISIE!T62,Server&amp;Cube1,$J$13,$J$14,$J$15,$J$17,T$22,$J$16,$D62),_xll.DBRW(Server&amp;Cube1,$J$13,$J$14,$J$15,$J$17,T$22,$J$16,$D62))</f>
        <v>-9</v>
      </c>
      <c r="U62" s="111">
        <f ca="1">IF(xflag=1,_xll.DBSW(SAISIE!U62,Server&amp;Cube1,$J$13,$J$14,$J$15,$J$17,U$22,$J$16,$D62),_xll.DBRW(Server&amp;Cube1,$J$13,$J$14,$J$15,$J$17,U$22,$J$16,$D62))</f>
        <v>0</v>
      </c>
      <c r="V62" s="111">
        <f ca="1">IF(xflag=1,_xll.DBSW(SAISIE!V62,Server&amp;Cube1,$J$13,$J$14,$J$15,$J$17,V$22,$J$16,$D62),_xll.DBRW(Server&amp;Cube1,$J$13,$J$14,$J$15,$J$17,V$22,$J$16,$D62))</f>
        <v>0</v>
      </c>
      <c r="W62" s="111">
        <f ca="1">IF(xflag=1,_xll.DBSW(SAISIE!W62,Server&amp;Cube1,$J$13,$J$14,$J$15,$J$17,W$22,$J$16,$D62),_xll.DBRW(Server&amp;Cube1,$J$13,$J$14,$J$15,$J$17,W$22,$J$16,$D62))</f>
        <v>0</v>
      </c>
      <c r="X62" s="111">
        <f ca="1">IF(xflag=1,_xll.DBSW(SAISIE!X62,Server&amp;Cube1,$J$13,$J$14,$J$15,$J$17,X$22,$J$16,$D62),_xll.DBRW(Server&amp;Cube1,$J$13,$J$14,$J$15,$J$17,X$22,$J$16,$D62))</f>
        <v>0</v>
      </c>
      <c r="Y62" s="111">
        <f ca="1">IF(xflag=1,_xll.DBSW(SAISIE!Y62,Server&amp;Cube1,$J$13,$J$14,$J$15,$J$17,Y$22,$J$16,$D62),_xll.DBRW(Server&amp;Cube1,$J$13,$J$14,$J$15,$J$17,Y$22,$J$16,$D62))</f>
        <v>0</v>
      </c>
      <c r="Z62" s="111">
        <f ca="1">IF(xflag=1,_xll.DBSW(SAISIE!Z62,Server&amp;Cube1,$J$13,$J$14,$J$15,$J$17,Z$22,$J$16,$D62),_xll.DBRW(Server&amp;Cube1,$J$13,$J$14,$J$15,$J$17,Z$22,$J$16,$D62))</f>
        <v>0</v>
      </c>
      <c r="AA62" s="111">
        <f ca="1">IF(xflag=1,_xll.DBSW(SAISIE!AA62,Server&amp;Cube1,$J$13,$J$14,$J$15,$J$17,AA$22,$J$16,$D62),_xll.DBRW(Server&amp;Cube1,$J$13,$J$14,$J$15,$J$17,AA$22,$J$16,$D62))</f>
        <v>0</v>
      </c>
      <c r="AB62" s="111">
        <f ca="1">IF(xflag=1,_xll.DBSW(SAISIE!AB62,Server&amp;Cube1,$J$13,$J$14,$J$15,$J$17,AB$22,$J$16,$D62),_xll.DBRW(Server&amp;Cube1,$J$13,$J$14,$J$15,$J$17,AB$22,$J$16,$D62))</f>
        <v>0</v>
      </c>
      <c r="AC62" s="31"/>
      <c r="AF62" s="90" t="str">
        <f ca="1">IF(xflag=1,_xll.DBSW(#REF!,Server&amp;Cube1,$J$13,$J$14,$J$15,#REF!,AF$2,$J$16,$D62),_xll.DBRW(Server&amp;Cube1,$J$13,$J$14,$J$15,#REF!,AF$2,$J$16,$D62))</f>
        <v>*KEY_ERR</v>
      </c>
    </row>
    <row r="63" spans="1:35" s="19" customFormat="1" ht="12.75" customHeight="1" x14ac:dyDescent="0.25">
      <c r="A63"/>
      <c r="B63" s="202"/>
      <c r="C63" s="208"/>
      <c r="D63" s="226"/>
      <c r="E63"/>
      <c r="F63" s="228"/>
      <c r="G63" s="170"/>
      <c r="H63" s="106"/>
      <c r="I63" s="43"/>
      <c r="J63" s="76"/>
      <c r="K63" s="38"/>
      <c r="L63" s="79"/>
      <c r="M63" s="37"/>
      <c r="N63" s="79"/>
      <c r="O63" s="77"/>
      <c r="P63" s="78"/>
      <c r="Q63" s="237"/>
      <c r="R63" s="237"/>
      <c r="S63" s="237"/>
      <c r="T63" s="237"/>
      <c r="U63" s="237"/>
      <c r="V63" s="237"/>
      <c r="W63" s="237"/>
      <c r="X63" s="237"/>
      <c r="Y63" s="237"/>
      <c r="Z63" s="237"/>
      <c r="AA63" s="237"/>
      <c r="AB63" s="237"/>
      <c r="AC63" s="31"/>
    </row>
    <row r="64" spans="1:35" s="19" customFormat="1" ht="15.75" x14ac:dyDescent="0.25">
      <c r="A64"/>
      <c r="B64" s="203" t="s">
        <v>25</v>
      </c>
      <c r="C64" s="221"/>
      <c r="D64" s="226" t="str">
        <f t="shared" si="0"/>
        <v>Cout_direct_formation</v>
      </c>
      <c r="E64"/>
      <c r="F64" s="228"/>
      <c r="G64" s="170"/>
      <c r="H64" s="106"/>
      <c r="I64" s="310" t="str">
        <f ca="1">_xll.DBRA(Server&amp;$D$22,$D64,"French")</f>
        <v>Coûts directs de la formation</v>
      </c>
      <c r="J64" s="310" t="str">
        <f ca="1">_xll.DBRA(Server&amp;$D$22,$D64,"French")</f>
        <v>Coûts directs de la formation</v>
      </c>
      <c r="K64" s="67">
        <f>+K44+K48+K49+K53</f>
        <v>0</v>
      </c>
      <c r="L64" s="67">
        <f ca="1">+L44+L48+L49+L53</f>
        <v>-1337273.8199999998</v>
      </c>
      <c r="M64" s="37"/>
      <c r="N64" s="67">
        <f ca="1">+N44+N48+N49+N53</f>
        <v>-1189473.0899999999</v>
      </c>
      <c r="O64" s="68"/>
      <c r="P64" s="69"/>
      <c r="Q64" s="269">
        <f ca="1">+Q44+Q48+Q49+Q53</f>
        <v>0</v>
      </c>
      <c r="R64" s="269">
        <f t="shared" ref="R64:AB64" ca="1" si="8">+R44+R48+R49+R53</f>
        <v>487012.97999999992</v>
      </c>
      <c r="S64" s="269">
        <f t="shared" ca="1" si="8"/>
        <v>-1168739.1800000002</v>
      </c>
      <c r="T64" s="269">
        <f t="shared" ca="1" si="8"/>
        <v>-44280.059999999976</v>
      </c>
      <c r="U64" s="269">
        <f t="shared" ca="1" si="8"/>
        <v>725220.84</v>
      </c>
      <c r="V64" s="269">
        <f t="shared" ca="1" si="8"/>
        <v>-865300.54</v>
      </c>
      <c r="W64" s="269">
        <f t="shared" ca="1" si="8"/>
        <v>0</v>
      </c>
      <c r="X64" s="269">
        <f t="shared" ca="1" si="8"/>
        <v>0</v>
      </c>
      <c r="Y64" s="269">
        <f t="shared" ca="1" si="8"/>
        <v>0</v>
      </c>
      <c r="Z64" s="269">
        <f t="shared" ca="1" si="8"/>
        <v>0</v>
      </c>
      <c r="AA64" s="269">
        <f t="shared" ca="1" si="8"/>
        <v>0</v>
      </c>
      <c r="AB64" s="269">
        <f t="shared" ca="1" si="8"/>
        <v>0</v>
      </c>
      <c r="AC64" s="31"/>
    </row>
    <row r="65" spans="1:35" ht="15.75" x14ac:dyDescent="0.25">
      <c r="B65" s="238"/>
      <c r="C65" s="239"/>
      <c r="D65" s="267"/>
      <c r="E65"/>
      <c r="F65" s="228"/>
      <c r="G65" s="170"/>
      <c r="H65" s="241"/>
      <c r="I65" s="242"/>
      <c r="J65" s="242"/>
      <c r="K65" s="244"/>
      <c r="L65" s="244"/>
      <c r="M65" s="293"/>
      <c r="N65" s="244"/>
      <c r="O65" s="243"/>
      <c r="P65" s="244"/>
      <c r="Q65" s="268"/>
      <c r="R65" s="268"/>
      <c r="S65" s="268"/>
      <c r="T65" s="268"/>
      <c r="U65" s="268"/>
      <c r="V65" s="268"/>
      <c r="W65" s="268"/>
      <c r="X65" s="268"/>
      <c r="Y65" s="268"/>
      <c r="Z65" s="268"/>
      <c r="AA65" s="268"/>
      <c r="AB65" s="268"/>
    </row>
    <row r="66" spans="1:35" s="228" customFormat="1" ht="8.25" customHeight="1" x14ac:dyDescent="0.25">
      <c r="B66" s="229"/>
      <c r="C66" s="232"/>
      <c r="D66" s="230"/>
      <c r="E66"/>
      <c r="G66" s="170"/>
      <c r="H66" s="248"/>
      <c r="I66" s="314"/>
      <c r="J66" s="314"/>
      <c r="K66" s="249"/>
      <c r="L66" s="250"/>
      <c r="M66" s="72"/>
      <c r="N66" s="250"/>
      <c r="O66" s="251"/>
      <c r="P66" s="250"/>
      <c r="Q66" s="250"/>
      <c r="R66" s="250"/>
      <c r="S66" s="250"/>
      <c r="T66" s="250"/>
      <c r="U66" s="250"/>
      <c r="V66" s="250"/>
      <c r="W66" s="250"/>
      <c r="X66" s="250"/>
      <c r="Y66" s="250"/>
      <c r="Z66" s="250"/>
      <c r="AA66" s="250"/>
      <c r="AB66" s="250"/>
      <c r="AC66" s="252"/>
    </row>
    <row r="67" spans="1:35" s="19" customFormat="1" ht="15.75" x14ac:dyDescent="0.25">
      <c r="A67"/>
      <c r="B67" s="200" t="s">
        <v>20</v>
      </c>
      <c r="C67" s="222" t="s">
        <v>218</v>
      </c>
      <c r="D67" s="226" t="str">
        <f t="shared" si="0"/>
        <v>Marge_Cout_direct_formation</v>
      </c>
      <c r="E67"/>
      <c r="F67" s="228"/>
      <c r="G67" s="170"/>
      <c r="H67" s="253"/>
      <c r="I67" s="311" t="str">
        <f ca="1">_xll.DBRA(Server&amp;$D$22,$D67,"French")</f>
        <v>MARGE sur coûts directs de formation</v>
      </c>
      <c r="J67" s="311" t="str">
        <f ca="1">_xll.DBRA(Server&amp;$D$22,$D67,"French")</f>
        <v>MARGE sur coûts directs de formation</v>
      </c>
      <c r="K67" s="254"/>
      <c r="L67" s="255">
        <f ca="1">L42+L64</f>
        <v>1285322.8700000001</v>
      </c>
      <c r="M67" s="37"/>
      <c r="N67" s="255">
        <f ca="1">N42+N64</f>
        <v>1369622.5300000007</v>
      </c>
      <c r="O67" s="256"/>
      <c r="P67" s="257"/>
      <c r="Q67" s="255">
        <f t="shared" ref="Q67:AB67" ca="1" si="9">Q42+Q64</f>
        <v>0</v>
      </c>
      <c r="R67" s="255">
        <f t="shared" ca="1" si="9"/>
        <v>383390.3899999999</v>
      </c>
      <c r="S67" s="255">
        <f t="shared" ca="1" si="9"/>
        <v>169946.5299999998</v>
      </c>
      <c r="T67" s="255">
        <f t="shared" ca="1" si="9"/>
        <v>-13120.280000000017</v>
      </c>
      <c r="U67" s="255">
        <f t="shared" ca="1" si="9"/>
        <v>-27193.810000000056</v>
      </c>
      <c r="V67" s="255">
        <f t="shared" ca="1" si="9"/>
        <v>261861.09000000008</v>
      </c>
      <c r="W67" s="255">
        <f t="shared" ca="1" si="9"/>
        <v>0</v>
      </c>
      <c r="X67" s="255">
        <f t="shared" ca="1" si="9"/>
        <v>0</v>
      </c>
      <c r="Y67" s="255">
        <f t="shared" ca="1" si="9"/>
        <v>0</v>
      </c>
      <c r="Z67" s="255">
        <f t="shared" ca="1" si="9"/>
        <v>0</v>
      </c>
      <c r="AA67" s="255">
        <f t="shared" ca="1" si="9"/>
        <v>0</v>
      </c>
      <c r="AB67" s="255">
        <f t="shared" ca="1" si="9"/>
        <v>0</v>
      </c>
      <c r="AC67" s="258"/>
    </row>
    <row r="68" spans="1:35" s="19" customFormat="1" ht="15.75" x14ac:dyDescent="0.25">
      <c r="A68"/>
      <c r="B68" s="205" t="s">
        <v>127</v>
      </c>
      <c r="C68" s="211"/>
      <c r="D68" s="226" t="str">
        <f t="shared" si="0"/>
        <v>Calc excel</v>
      </c>
      <c r="E68"/>
      <c r="F68" s="228"/>
      <c r="G68" s="170"/>
      <c r="H68" s="253"/>
      <c r="I68" s="259"/>
      <c r="J68" s="235" t="s">
        <v>77</v>
      </c>
      <c r="K68" s="254"/>
      <c r="L68" s="270">
        <f ca="1">IF(ISERROR(L67/L42),"-",L67/L42)</f>
        <v>0.49009551293226111</v>
      </c>
      <c r="M68" s="260"/>
      <c r="N68" s="270">
        <f ca="1">IF(ISERROR(N67/N42),"-",N67/N42)</f>
        <v>0.53519787197322488</v>
      </c>
      <c r="O68" s="261"/>
      <c r="P68" s="270" t="str">
        <f t="shared" ref="P68:AB68" si="10">IF(ISERROR(P67/P42),"-",P67/P42)</f>
        <v>-</v>
      </c>
      <c r="Q68" s="292" t="str">
        <f t="shared" ca="1" si="10"/>
        <v>-</v>
      </c>
      <c r="R68" s="292">
        <f t="shared" ca="1" si="10"/>
        <v>-3.6998726822018235</v>
      </c>
      <c r="S68" s="292">
        <f t="shared" ca="1" si="10"/>
        <v>0.12695028319978094</v>
      </c>
      <c r="T68" s="292">
        <f t="shared" ca="1" si="10"/>
        <v>-0.42106459031482363</v>
      </c>
      <c r="U68" s="292">
        <f t="shared" ca="1" si="10"/>
        <v>3.6142052789642061E-2</v>
      </c>
      <c r="V68" s="292">
        <f t="shared" ca="1" si="10"/>
        <v>0.23231902420241191</v>
      </c>
      <c r="W68" s="292" t="str">
        <f t="shared" ca="1" si="10"/>
        <v>-</v>
      </c>
      <c r="X68" s="292" t="str">
        <f t="shared" ca="1" si="10"/>
        <v>-</v>
      </c>
      <c r="Y68" s="292" t="str">
        <f t="shared" ca="1" si="10"/>
        <v>-</v>
      </c>
      <c r="Z68" s="292" t="str">
        <f t="shared" ca="1" si="10"/>
        <v>-</v>
      </c>
      <c r="AA68" s="292" t="str">
        <f t="shared" ca="1" si="10"/>
        <v>-</v>
      </c>
      <c r="AB68" s="292" t="str">
        <f t="shared" ca="1" si="10"/>
        <v>-</v>
      </c>
      <c r="AC68" s="258"/>
    </row>
    <row r="69" spans="1:35" s="228" customFormat="1" ht="8.25" customHeight="1" x14ac:dyDescent="0.25">
      <c r="B69" s="229"/>
      <c r="C69" s="232"/>
      <c r="D69" s="230"/>
      <c r="E69"/>
      <c r="G69" s="170"/>
      <c r="H69" s="262"/>
      <c r="I69" s="312"/>
      <c r="J69" s="312"/>
      <c r="K69" s="263"/>
      <c r="L69" s="264"/>
      <c r="M69" s="263"/>
      <c r="N69" s="264"/>
      <c r="O69" s="265"/>
      <c r="P69" s="264"/>
      <c r="Q69" s="264"/>
      <c r="R69" s="264"/>
      <c r="S69" s="264"/>
      <c r="T69" s="264"/>
      <c r="U69" s="264"/>
      <c r="V69" s="264"/>
      <c r="W69" s="264"/>
      <c r="X69" s="264"/>
      <c r="Y69" s="264"/>
      <c r="Z69" s="264"/>
      <c r="AA69" s="264"/>
      <c r="AB69" s="264"/>
      <c r="AC69" s="266"/>
    </row>
    <row r="70" spans="1:35" ht="16.5" thickBot="1" x14ac:dyDescent="0.3">
      <c r="B70" s="236"/>
      <c r="C70" s="236"/>
      <c r="D70" s="267"/>
      <c r="E70"/>
      <c r="F70" s="228"/>
      <c r="G70" s="170"/>
      <c r="H70" s="234"/>
      <c r="I70" s="313" t="str">
        <f ca="1">_xll.DBRA(Server&amp;$D$22,$D70,"French")</f>
        <v/>
      </c>
      <c r="J70" s="313" t="str">
        <f ca="1">_xll.DBRA(Server&amp;$D$22,$D70,"French")</f>
        <v/>
      </c>
      <c r="K70" s="245"/>
      <c r="L70" s="247" t="str">
        <f ca="1">_xll.DBRW(Server&amp;Cube1,$J$13,$L$3,$J$15,$L$1,$L$2,$J$16,$D70)</f>
        <v/>
      </c>
      <c r="M70" s="245"/>
      <c r="N70" s="247" t="str">
        <f ca="1">_xll.DBRW(Server&amp;Cube1,$J$13,$N$3,$J$15,$N$1,$N$2,$J$16,$D70)</f>
        <v/>
      </c>
      <c r="O70" s="246"/>
      <c r="P70" s="247"/>
      <c r="Q70" s="268" t="str">
        <f ca="1">_xll.DBRW(Server&amp;Cube1,$J$13,$J$14,$J$15,$J$17,Q$1,$J$16,$D70)</f>
        <v/>
      </c>
      <c r="R70" s="268" t="str">
        <f ca="1">_xll.DBRW(Server&amp;Cube1,$J$13,$J$14,$J$15,$J$17,R$1,$J$16,$D70)</f>
        <v/>
      </c>
      <c r="S70" s="268" t="str">
        <f ca="1">_xll.DBRW(Server&amp;Cube1,$J$13,$J$14,$J$15,$J$17,S$1,$J$16,$D70)</f>
        <v/>
      </c>
      <c r="T70" s="268" t="str">
        <f ca="1">_xll.DBRW(Server&amp;Cube1,$J$13,$J$14,$J$15,$J$17,T$1,$J$16,$D70)</f>
        <v/>
      </c>
      <c r="U70" s="268" t="str">
        <f ca="1">_xll.DBRW(Server&amp;Cube1,$J$13,$J$14,$J$15,$J$17,U$1,$J$16,$D70)</f>
        <v/>
      </c>
      <c r="V70" s="268" t="str">
        <f ca="1">_xll.DBRW(Server&amp;Cube1,$J$13,$J$14,$J$15,$J$17,V$1,$J$16,$D70)</f>
        <v/>
      </c>
      <c r="W70" s="268" t="str">
        <f ca="1">_xll.DBRW(Server&amp;Cube1,$J$13,$J$14,$J$15,$J$17,W$1,$J$16,$D70)</f>
        <v/>
      </c>
      <c r="X70" s="268" t="str">
        <f ca="1">_xll.DBRW(Server&amp;Cube1,$J$13,$J$14,$J$15,$J$17,X$1,$J$16,$D70)</f>
        <v/>
      </c>
      <c r="Y70" s="268" t="str">
        <f ca="1">_xll.DBRW(Server&amp;Cube1,$J$13,$J$14,$J$15,$J$17,Y$1,$J$16,$D70)</f>
        <v/>
      </c>
      <c r="Z70" s="268" t="str">
        <f ca="1">_xll.DBRW(Server&amp;Cube1,$J$13,$J$14,$J$15,$J$17,Z$1,$J$16,$D70)</f>
        <v/>
      </c>
      <c r="AA70" s="268" t="str">
        <f ca="1">_xll.DBRW(Server&amp;Cube1,$J$13,$J$14,$J$15,$J$17,AA$1,$J$16,$D70)</f>
        <v/>
      </c>
      <c r="AB70" s="268" t="str">
        <f ca="1">_xll.DBRW(Server&amp;Cube1,$J$13,$J$14,$J$15,$J$17,AB$1,$J$16,$D70)</f>
        <v/>
      </c>
    </row>
    <row r="71" spans="1:35" s="19" customFormat="1" ht="16.5" thickTop="1" x14ac:dyDescent="0.25">
      <c r="A71"/>
      <c r="B71" s="200" t="s">
        <v>34</v>
      </c>
      <c r="C71" s="219" t="s">
        <v>219</v>
      </c>
      <c r="D71" s="226" t="str">
        <f t="shared" si="0"/>
        <v>Cout_structure_salaires</v>
      </c>
      <c r="E71"/>
      <c r="F71" s="228"/>
      <c r="G71" s="169"/>
      <c r="H71" s="105"/>
      <c r="I71" s="306" t="str">
        <f ca="1">_xll.DBRA(Server&amp;$D$22,$D71,"French")</f>
        <v>Salaires</v>
      </c>
      <c r="J71" s="306" t="str">
        <f ca="1">_xll.DBRA(Server&amp;$D$22,$D71,"French")</f>
        <v>Salaires</v>
      </c>
      <c r="K71" s="39"/>
      <c r="L71" s="67">
        <f ca="1">SUM(L72:L74)</f>
        <v>0</v>
      </c>
      <c r="M71" s="39"/>
      <c r="N71" s="67">
        <f ca="1">SUM(N72:N74)</f>
        <v>0</v>
      </c>
      <c r="O71" s="68"/>
      <c r="P71" s="69"/>
      <c r="Q71" s="110">
        <f t="shared" ref="Q71:AB71" ca="1" si="11">SUM(Q72:Q74)</f>
        <v>0</v>
      </c>
      <c r="R71" s="110">
        <f t="shared" ca="1" si="11"/>
        <v>15083.049999999997</v>
      </c>
      <c r="S71" s="110">
        <f t="shared" ca="1" si="11"/>
        <v>-458284.67000000004</v>
      </c>
      <c r="T71" s="110">
        <f t="shared" ca="1" si="11"/>
        <v>-137148.52000000002</v>
      </c>
      <c r="U71" s="110">
        <f t="shared" ca="1" si="11"/>
        <v>201461.02000000002</v>
      </c>
      <c r="V71" s="110">
        <f t="shared" ca="1" si="11"/>
        <v>-501781.04</v>
      </c>
      <c r="W71" s="110">
        <f t="shared" ca="1" si="11"/>
        <v>0</v>
      </c>
      <c r="X71" s="110">
        <f t="shared" ca="1" si="11"/>
        <v>0</v>
      </c>
      <c r="Y71" s="110">
        <f t="shared" ca="1" si="11"/>
        <v>0</v>
      </c>
      <c r="Z71" s="110">
        <f t="shared" ca="1" si="11"/>
        <v>0</v>
      </c>
      <c r="AA71" s="110">
        <f t="shared" ca="1" si="11"/>
        <v>0</v>
      </c>
      <c r="AB71" s="110">
        <f t="shared" ca="1" si="11"/>
        <v>0</v>
      </c>
      <c r="AC71" s="31"/>
    </row>
    <row r="72" spans="1:35" s="19" customFormat="1" ht="15.75" x14ac:dyDescent="0.25">
      <c r="A72"/>
      <c r="B72" s="204" t="s">
        <v>35</v>
      </c>
      <c r="C72" s="214" t="s">
        <v>220</v>
      </c>
      <c r="D72" s="226" t="str">
        <f t="shared" si="0"/>
        <v>621100</v>
      </c>
      <c r="E72"/>
      <c r="F72" s="228"/>
      <c r="G72" s="171"/>
      <c r="H72" s="107"/>
      <c r="I72" s="305" t="str">
        <f ca="1">_xll.DBRA(Server&amp;$D$22,$D72,"French")</f>
        <v>Personnel intérimaire</v>
      </c>
      <c r="J72" s="305" t="str">
        <f ca="1">_xll.DBRA(Server&amp;$D$22,$D72,"French")</f>
        <v>Personnel intérimaire</v>
      </c>
      <c r="K72" s="37"/>
      <c r="L72" s="54">
        <f ca="1">_xll.DBRW(Server&amp;Cube1,$J$13,$L$3,$J$15,$L$1,$L$2,$J$16,$D72)</f>
        <v>0</v>
      </c>
      <c r="M72" s="37"/>
      <c r="N72" s="54">
        <f ca="1">_xll.DBRW(Server&amp;Cube1,$J$13,$N$3,$J$15,$N$1,$N$2,$J$16,$D72)</f>
        <v>0</v>
      </c>
      <c r="O72" s="55"/>
      <c r="P72" s="57"/>
      <c r="Q72" s="109">
        <f ca="1">IF(xflag=1,_xll.DBSW(SAISIE!Q72,Server&amp;Cube1,$J$13,$J$14,$J$15,$J$17,Q$22,$J$16,$D72),_xll.DBRW(Server&amp;Cube1,$J$13,$J$14,$J$15,$J$17,Q$22,$J$16,$D72))</f>
        <v>0</v>
      </c>
      <c r="R72" s="109">
        <f ca="1">IF(xflag=1,_xll.DBSW(SAISIE!R72,Server&amp;Cube1,$J$13,$J$14,$J$15,$J$17,R$22,$J$16,$D72),_xll.DBRW(Server&amp;Cube1,$J$13,$J$14,$J$15,$J$17,R$22,$J$16,$D72))</f>
        <v>-3751.7199999999993</v>
      </c>
      <c r="S72" s="109">
        <f ca="1">IF(xflag=1,_xll.DBSW(SAISIE!S72,Server&amp;Cube1,$J$13,$J$14,$J$15,$J$17,S$22,$J$16,$D72),_xll.DBRW(Server&amp;Cube1,$J$13,$J$14,$J$15,$J$17,S$22,$J$16,$D72))</f>
        <v>-25861.759999999998</v>
      </c>
      <c r="T72" s="109">
        <f ca="1">IF(xflag=1,_xll.DBSW(SAISIE!T72,Server&amp;Cube1,$J$13,$J$14,$J$15,$J$17,T$22,$J$16,$D72),_xll.DBRW(Server&amp;Cube1,$J$13,$J$14,$J$15,$J$17,T$22,$J$16,$D72))</f>
        <v>0</v>
      </c>
      <c r="U72" s="109">
        <f ca="1">IF(xflag=1,_xll.DBSW(SAISIE!U72,Server&amp;Cube1,$J$13,$J$14,$J$15,$J$17,U$22,$J$16,$D72),_xll.DBRW(Server&amp;Cube1,$J$13,$J$14,$J$15,$J$17,U$22,$J$16,$D72))</f>
        <v>-5967.5</v>
      </c>
      <c r="V72" s="109">
        <f ca="1">IF(xflag=1,_xll.DBSW(SAISIE!V72,Server&amp;Cube1,$J$13,$J$14,$J$15,$J$17,V$22,$J$16,$D72),_xll.DBRW(Server&amp;Cube1,$J$13,$J$14,$J$15,$J$17,V$22,$J$16,$D72))</f>
        <v>-517.45999999999913</v>
      </c>
      <c r="W72" s="109">
        <f ca="1">IF(xflag=1,_xll.DBSW(SAISIE!W72,Server&amp;Cube1,$J$13,$J$14,$J$15,$J$17,W$22,$J$16,$D72),_xll.DBRW(Server&amp;Cube1,$J$13,$J$14,$J$15,$J$17,W$22,$J$16,$D72))</f>
        <v>0</v>
      </c>
      <c r="X72" s="109">
        <f ca="1">IF(xflag=1,_xll.DBSW(SAISIE!X72,Server&amp;Cube1,$J$13,$J$14,$J$15,$J$17,X$22,$J$16,$D72),_xll.DBRW(Server&amp;Cube1,$J$13,$J$14,$J$15,$J$17,X$22,$J$16,$D72))</f>
        <v>0</v>
      </c>
      <c r="Y72" s="109">
        <f ca="1">IF(xflag=1,_xll.DBSW(SAISIE!Y72,Server&amp;Cube1,$J$13,$J$14,$J$15,$J$17,Y$22,$J$16,$D72),_xll.DBRW(Server&amp;Cube1,$J$13,$J$14,$J$15,$J$17,Y$22,$J$16,$D72))</f>
        <v>0</v>
      </c>
      <c r="Z72" s="109">
        <f ca="1">IF(xflag=1,_xll.DBSW(SAISIE!Z72,Server&amp;Cube1,$J$13,$J$14,$J$15,$J$17,Z$22,$J$16,$D72),_xll.DBRW(Server&amp;Cube1,$J$13,$J$14,$J$15,$J$17,Z$22,$J$16,$D72))</f>
        <v>0</v>
      </c>
      <c r="AA72" s="109">
        <f ca="1">IF(xflag=1,_xll.DBSW(SAISIE!AA72,Server&amp;Cube1,$J$13,$J$14,$J$15,$J$17,AA$22,$J$16,$D72),_xll.DBRW(Server&amp;Cube1,$J$13,$J$14,$J$15,$J$17,AA$22,$J$16,$D72))</f>
        <v>0</v>
      </c>
      <c r="AB72" s="109">
        <f ca="1">IF(xflag=1,_xll.DBSW(SAISIE!AB72,Server&amp;Cube1,$J$13,$J$14,$J$15,$J$17,AB$22,$J$16,$D72),_xll.DBRW(Server&amp;Cube1,$J$13,$J$14,$J$15,$J$17,AB$22,$J$16,$D72))</f>
        <v>0</v>
      </c>
      <c r="AC72" s="31"/>
      <c r="AF72" s="90" t="str">
        <f ca="1">IF(xflag=1,_xll.DBSW(#REF!,Server&amp;Cube1,$J$13,$J$14,$J$15,#REF!,AF$2,$J$16,$D72),_xll.DBRW(Server&amp;Cube1,$J$13,$J$14,$J$15,#REF!,AF$2,$J$16,$D72))</f>
        <v>*KEY_ERR</v>
      </c>
    </row>
    <row r="73" spans="1:35" s="19" customFormat="1" ht="16.5" thickBot="1" x14ac:dyDescent="0.3">
      <c r="A73"/>
      <c r="B73" s="201" t="s">
        <v>171</v>
      </c>
      <c r="C73" s="213" t="s">
        <v>221</v>
      </c>
      <c r="D73" s="226" t="str">
        <f t="shared" si="0"/>
        <v>621400a</v>
      </c>
      <c r="E73"/>
      <c r="F73" s="228"/>
      <c r="G73" s="170"/>
      <c r="H73" s="106"/>
      <c r="I73" s="305" t="str">
        <f ca="1">_xll.DBRA(Server&amp;$D$22,$D73,"French")</f>
        <v>PMAD - Resp. administrative et personnel GIE</v>
      </c>
      <c r="J73" s="305" t="str">
        <f ca="1">_xll.DBRA(Server&amp;$D$22,$D73,"French")</f>
        <v>PMAD - Resp. administrative et personnel GIE</v>
      </c>
      <c r="K73" s="37"/>
      <c r="L73" s="54">
        <f ca="1">_xll.DBRW(Server&amp;Cube1,$J$13,$L$3,$J$15,$L$1,$L$2,$J$16,$D73)</f>
        <v>0</v>
      </c>
      <c r="M73" s="37"/>
      <c r="N73" s="54">
        <f ca="1">_xll.DBRW(Server&amp;Cube1,$J$13,$N$3,$J$15,$N$1,$N$2,$J$16,$D73)</f>
        <v>0</v>
      </c>
      <c r="O73" s="55"/>
      <c r="P73" s="57"/>
      <c r="Q73" s="109">
        <f ca="1">IF(xflag=1,_xll.DBSW(SAISIE!Q73,Server&amp;Cube1,$J$13,$J$14,$J$15,$J$17,Q$22,$J$16,$D73),_xll.DBRW(Server&amp;Cube1,$J$13,$J$14,$J$15,$J$17,Q$22,$J$16,$D73))</f>
        <v>0</v>
      </c>
      <c r="R73" s="109">
        <f ca="1">IF(xflag=1,_xll.DBSW(SAISIE!R73,Server&amp;Cube1,$J$13,$J$14,$J$15,$J$17,R$22,$J$16,$D73),_xll.DBRW(Server&amp;Cube1,$J$13,$J$14,$J$15,$J$17,R$22,$J$16,$D73))</f>
        <v>18834.769999999997</v>
      </c>
      <c r="S73" s="109">
        <f ca="1">IF(xflag=1,_xll.DBSW(SAISIE!S73,Server&amp;Cube1,$J$13,$J$14,$J$15,$J$17,S$22,$J$16,$D73),_xll.DBRW(Server&amp;Cube1,$J$13,$J$14,$J$15,$J$17,S$22,$J$16,$D73))</f>
        <v>-432422.91000000003</v>
      </c>
      <c r="T73" s="109">
        <f ca="1">IF(xflag=1,_xll.DBSW(SAISIE!T73,Server&amp;Cube1,$J$13,$J$14,$J$15,$J$17,T$22,$J$16,$D73),_xll.DBRW(Server&amp;Cube1,$J$13,$J$14,$J$15,$J$17,T$22,$J$16,$D73))</f>
        <v>-137148.52000000002</v>
      </c>
      <c r="U73" s="109">
        <f ca="1">IF(xflag=1,_xll.DBSW(SAISIE!U73,Server&amp;Cube1,$J$13,$J$14,$J$15,$J$17,U$22,$J$16,$D73),_xll.DBRW(Server&amp;Cube1,$J$13,$J$14,$J$15,$J$17,U$22,$J$16,$D73))</f>
        <v>207428.52000000002</v>
      </c>
      <c r="V73" s="109">
        <f ca="1">IF(xflag=1,_xll.DBSW(SAISIE!V73,Server&amp;Cube1,$J$13,$J$14,$J$15,$J$17,V$22,$J$16,$D73),_xll.DBRW(Server&amp;Cube1,$J$13,$J$14,$J$15,$J$17,V$22,$J$16,$D73))</f>
        <v>-501263.57999999996</v>
      </c>
      <c r="W73" s="109">
        <f ca="1">IF(xflag=1,_xll.DBSW(SAISIE!W73,Server&amp;Cube1,$J$13,$J$14,$J$15,$J$17,W$22,$J$16,$D73),_xll.DBRW(Server&amp;Cube1,$J$13,$J$14,$J$15,$J$17,W$22,$J$16,$D73))</f>
        <v>0</v>
      </c>
      <c r="X73" s="109">
        <f ca="1">IF(xflag=1,_xll.DBSW(SAISIE!X73,Server&amp;Cube1,$J$13,$J$14,$J$15,$J$17,X$22,$J$16,$D73),_xll.DBRW(Server&amp;Cube1,$J$13,$J$14,$J$15,$J$17,X$22,$J$16,$D73))</f>
        <v>0</v>
      </c>
      <c r="Y73" s="109">
        <f ca="1">IF(xflag=1,_xll.DBSW(SAISIE!Y73,Server&amp;Cube1,$J$13,$J$14,$J$15,$J$17,Y$22,$J$16,$D73),_xll.DBRW(Server&amp;Cube1,$J$13,$J$14,$J$15,$J$17,Y$22,$J$16,$D73))</f>
        <v>0</v>
      </c>
      <c r="Z73" s="109">
        <f ca="1">IF(xflag=1,_xll.DBSW(SAISIE!Z73,Server&amp;Cube1,$J$13,$J$14,$J$15,$J$17,Z$22,$J$16,$D73),_xll.DBRW(Server&amp;Cube1,$J$13,$J$14,$J$15,$J$17,Z$22,$J$16,$D73))</f>
        <v>0</v>
      </c>
      <c r="AA73" s="109">
        <f ca="1">IF(xflag=1,_xll.DBSW(SAISIE!AA73,Server&amp;Cube1,$J$13,$J$14,$J$15,$J$17,AA$22,$J$16,$D73),_xll.DBRW(Server&amp;Cube1,$J$13,$J$14,$J$15,$J$17,AA$22,$J$16,$D73))</f>
        <v>0</v>
      </c>
      <c r="AB73" s="109">
        <f ca="1">IF(xflag=1,_xll.DBSW(SAISIE!AB73,Server&amp;Cube1,$J$13,$J$14,$J$15,$J$17,AB$22,$J$16,$D73),_xll.DBRW(Server&amp;Cube1,$J$13,$J$14,$J$15,$J$17,AB$22,$J$16,$D73))</f>
        <v>0</v>
      </c>
      <c r="AC73" s="31"/>
      <c r="AF73" s="90" t="str">
        <f ca="1">IF(xflag=1,_xll.DBSW(#REF!,Server&amp;Cube1,$J$13,$J$14,$J$15,#REF!,AF$2,$J$16,$D73),_xll.DBRW(Server&amp;Cube1,$J$13,$J$14,$J$15,#REF!,AF$2,$J$16,$D73))</f>
        <v>*KEY_ERR</v>
      </c>
    </row>
    <row r="74" spans="1:35" s="19" customFormat="1" ht="17.25" thickTop="1" thickBot="1" x14ac:dyDescent="0.3">
      <c r="A74"/>
      <c r="B74" s="201" t="s">
        <v>172</v>
      </c>
      <c r="C74" s="213" t="s">
        <v>222</v>
      </c>
      <c r="D74" s="226" t="str">
        <f t="shared" si="0"/>
        <v>621400b</v>
      </c>
      <c r="E74"/>
      <c r="F74" s="228"/>
      <c r="G74" s="169"/>
      <c r="H74" s="105"/>
      <c r="I74" s="305" t="str">
        <f ca="1">_xll.DBRA(Server&amp;$D$22,$D74,"French")</f>
        <v>PMAD - Contributions projets pédagogiques</v>
      </c>
      <c r="J74" s="305" t="str">
        <f ca="1">_xll.DBRA(Server&amp;$D$22,$D74,"French")</f>
        <v>PMAD - Contributions projets pédagogiques</v>
      </c>
      <c r="K74" s="37"/>
      <c r="L74" s="54">
        <f ca="1">_xll.DBRW(Server&amp;Cube1,$J$13,$L$3,$J$15,$L$1,$L$2,$J$16,$D74)</f>
        <v>0</v>
      </c>
      <c r="M74" s="37"/>
      <c r="N74" s="54">
        <f ca="1">_xll.DBRW(Server&amp;Cube1,$J$13,$N$3,$J$15,$N$1,$N$2,$J$16,$D74)</f>
        <v>0</v>
      </c>
      <c r="O74" s="55"/>
      <c r="P74" s="57"/>
      <c r="Q74" s="109">
        <f ca="1">IF(xflag=1,_xll.DBSW(SAISIE!Q74,Server&amp;Cube1,$J$13,$J$14,$J$15,$J$17,Q$22,$J$16,$D74),_xll.DBRW(Server&amp;Cube1,$J$13,$J$14,$J$15,$J$17,Q$22,$J$16,$D74))</f>
        <v>0</v>
      </c>
      <c r="R74" s="109">
        <f ca="1">IF(xflag=1,_xll.DBSW(SAISIE!R74,Server&amp;Cube1,$J$13,$J$14,$J$15,$J$17,R$22,$J$16,$D74),_xll.DBRW(Server&amp;Cube1,$J$13,$J$14,$J$15,$J$17,R$22,$J$16,$D74))</f>
        <v>0</v>
      </c>
      <c r="S74" s="109">
        <f ca="1">IF(xflag=1,_xll.DBSW(SAISIE!S74,Server&amp;Cube1,$J$13,$J$14,$J$15,$J$17,S$22,$J$16,$D74),_xll.DBRW(Server&amp;Cube1,$J$13,$J$14,$J$15,$J$17,S$22,$J$16,$D74))</f>
        <v>0</v>
      </c>
      <c r="T74" s="109">
        <f ca="1">IF(xflag=1,_xll.DBSW(SAISIE!T74,Server&amp;Cube1,$J$13,$J$14,$J$15,$J$17,T$22,$J$16,$D74),_xll.DBRW(Server&amp;Cube1,$J$13,$J$14,$J$15,$J$17,T$22,$J$16,$D74))</f>
        <v>0</v>
      </c>
      <c r="U74" s="109">
        <f ca="1">IF(xflag=1,_xll.DBSW(SAISIE!U74,Server&amp;Cube1,$J$13,$J$14,$J$15,$J$17,U$22,$J$16,$D74),_xll.DBRW(Server&amp;Cube1,$J$13,$J$14,$J$15,$J$17,U$22,$J$16,$D74))</f>
        <v>0</v>
      </c>
      <c r="V74" s="109">
        <f ca="1">IF(xflag=1,_xll.DBSW(SAISIE!V74,Server&amp;Cube1,$J$13,$J$14,$J$15,$J$17,V$22,$J$16,$D74),_xll.DBRW(Server&amp;Cube1,$J$13,$J$14,$J$15,$J$17,V$22,$J$16,$D74))</f>
        <v>0</v>
      </c>
      <c r="W74" s="109">
        <f ca="1">IF(xflag=1,_xll.DBSW(SAISIE!W74,Server&amp;Cube1,$J$13,$J$14,$J$15,$J$17,W$22,$J$16,$D74),_xll.DBRW(Server&amp;Cube1,$J$13,$J$14,$J$15,$J$17,W$22,$J$16,$D74))</f>
        <v>0</v>
      </c>
      <c r="X74" s="109">
        <f ca="1">IF(xflag=1,_xll.DBSW(SAISIE!X74,Server&amp;Cube1,$J$13,$J$14,$J$15,$J$17,X$22,$J$16,$D74),_xll.DBRW(Server&amp;Cube1,$J$13,$J$14,$J$15,$J$17,X$22,$J$16,$D74))</f>
        <v>0</v>
      </c>
      <c r="Y74" s="109">
        <f ca="1">IF(xflag=1,_xll.DBSW(SAISIE!Y74,Server&amp;Cube1,$J$13,$J$14,$J$15,$J$17,Y$22,$J$16,$D74),_xll.DBRW(Server&amp;Cube1,$J$13,$J$14,$J$15,$J$17,Y$22,$J$16,$D74))</f>
        <v>0</v>
      </c>
      <c r="Z74" s="109">
        <f ca="1">IF(xflag=1,_xll.DBSW(SAISIE!Z74,Server&amp;Cube1,$J$13,$J$14,$J$15,$J$17,Z$22,$J$16,$D74),_xll.DBRW(Server&amp;Cube1,$J$13,$J$14,$J$15,$J$17,Z$22,$J$16,$D74))</f>
        <v>0</v>
      </c>
      <c r="AA74" s="109">
        <f ca="1">IF(xflag=1,_xll.DBSW(SAISIE!AA74,Server&amp;Cube1,$J$13,$J$14,$J$15,$J$17,AA$22,$J$16,$D74),_xll.DBRW(Server&amp;Cube1,$J$13,$J$14,$J$15,$J$17,AA$22,$J$16,$D74))</f>
        <v>0</v>
      </c>
      <c r="AB74" s="109">
        <f ca="1">IF(xflag=1,_xll.DBSW(SAISIE!AB74,Server&amp;Cube1,$J$13,$J$14,$J$15,$J$17,AB$22,$J$16,$D74),_xll.DBRW(Server&amp;Cube1,$J$13,$J$14,$J$15,$J$17,AB$22,$J$16,$D74))</f>
        <v>0</v>
      </c>
      <c r="AC74" s="31"/>
      <c r="AF74" s="90" t="str">
        <f ca="1">IF(xflag=1,_xll.DBSW(#REF!,Server&amp;Cube1,$J$13,$J$14,$J$15,#REF!,AF$2,$J$16,$D74),_xll.DBRW(Server&amp;Cube1,$J$13,$J$14,$J$15,#REF!,AF$2,$J$16,$D74))</f>
        <v>*KEY_ERR</v>
      </c>
      <c r="AI74" s="19">
        <v>7</v>
      </c>
    </row>
    <row r="75" spans="1:35" s="19" customFormat="1" ht="16.5" thickTop="1" x14ac:dyDescent="0.25">
      <c r="A75"/>
      <c r="B75" s="200" t="s">
        <v>295</v>
      </c>
      <c r="C75" s="219" t="s">
        <v>296</v>
      </c>
      <c r="D75" s="226" t="s">
        <v>295</v>
      </c>
      <c r="E75"/>
      <c r="F75" s="228"/>
      <c r="G75" s="169"/>
      <c r="H75" s="105"/>
      <c r="I75" s="306" t="s">
        <v>297</v>
      </c>
      <c r="J75" s="306"/>
      <c r="K75" s="39"/>
      <c r="L75" s="67">
        <f ca="1">SUM(L76:L77)</f>
        <v>0</v>
      </c>
      <c r="M75" s="39"/>
      <c r="N75" s="67">
        <f ca="1">SUM(N76:N77)</f>
        <v>0</v>
      </c>
      <c r="O75" s="68"/>
      <c r="P75" s="69"/>
      <c r="Q75" s="108">
        <f t="shared" ref="Q75:V75" ca="1" si="12">SUM(Q76:Q77)</f>
        <v>0</v>
      </c>
      <c r="R75" s="108">
        <f t="shared" ca="1" si="12"/>
        <v>-598</v>
      </c>
      <c r="S75" s="108">
        <f t="shared" ca="1" si="12"/>
        <v>-8424</v>
      </c>
      <c r="T75" s="108">
        <f t="shared" ca="1" si="12"/>
        <v>-3007.33</v>
      </c>
      <c r="U75" s="108">
        <f t="shared" ca="1" si="12"/>
        <v>10534.33</v>
      </c>
      <c r="V75" s="108">
        <f t="shared" ca="1" si="12"/>
        <v>-16886.080000000002</v>
      </c>
      <c r="W75" s="108">
        <f t="shared" ref="W75:AA75" ca="1" si="13">SUM(W76:W77)</f>
        <v>0</v>
      </c>
      <c r="X75" s="108">
        <f t="shared" ca="1" si="13"/>
        <v>0</v>
      </c>
      <c r="Y75" s="108">
        <f t="shared" ca="1" si="13"/>
        <v>0</v>
      </c>
      <c r="Z75" s="108">
        <f t="shared" ca="1" si="13"/>
        <v>0</v>
      </c>
      <c r="AA75" s="108">
        <f t="shared" ca="1" si="13"/>
        <v>0</v>
      </c>
      <c r="AB75" s="108">
        <f ca="1">SUM(AB76:AB77)</f>
        <v>0</v>
      </c>
      <c r="AC75" s="31"/>
    </row>
    <row r="76" spans="1:35" s="19" customFormat="1" ht="15.75" x14ac:dyDescent="0.25">
      <c r="A76"/>
      <c r="B76" s="204" t="s">
        <v>155</v>
      </c>
      <c r="C76" s="214" t="s">
        <v>223</v>
      </c>
      <c r="D76" s="226" t="str">
        <f t="shared" si="0"/>
        <v>615600b</v>
      </c>
      <c r="E76"/>
      <c r="F76" s="228"/>
      <c r="G76" s="171"/>
      <c r="H76" s="107"/>
      <c r="I76" s="305" t="str">
        <f ca="1">_xll.DBRA(Server&amp;$D$22,$D76,"French")</f>
        <v>Maintenance Informatique Pack Finance</v>
      </c>
      <c r="J76" s="305" t="str">
        <f ca="1">_xll.DBRA(Server&amp;$D$22,$D76,"French")</f>
        <v>Maintenance Informatique Pack Finance</v>
      </c>
      <c r="K76" s="37"/>
      <c r="L76" s="54">
        <f ca="1">_xll.DBRW(Server&amp;Cube1,$J$13,$L$3,$J$15,$L$1,$L$2,$J$16,$D76)</f>
        <v>0</v>
      </c>
      <c r="M76" s="37"/>
      <c r="N76" s="54">
        <f ca="1">_xll.DBRW(Server&amp;Cube1,$J$13,$N$3,$J$15,$N$1,$N$2,$J$16,$D76)</f>
        <v>0</v>
      </c>
      <c r="O76" s="55"/>
      <c r="P76" s="57"/>
      <c r="Q76" s="109">
        <f ca="1">IF(xflag=1,_xll.DBSW(SAISIE!Q76,Server&amp;Cube1,$J$13,$J$14,$J$15,$J$17,Q$22,$J$16,$D76),_xll.DBRW(Server&amp;Cube1,$J$13,$J$14,$J$15,$J$17,Q$22,$J$16,$D76))</f>
        <v>0</v>
      </c>
      <c r="R76" s="109">
        <f ca="1">IF(xflag=1,_xll.DBSW(SAISIE!R76,Server&amp;Cube1,$J$13,$J$14,$J$15,$J$17,R$22,$J$16,$D76),_xll.DBRW(Server&amp;Cube1,$J$13,$J$14,$J$15,$J$17,R$22,$J$16,$D76))</f>
        <v>0</v>
      </c>
      <c r="S76" s="109">
        <f ca="1">IF(xflag=1,_xll.DBSW(SAISIE!S76,Server&amp;Cube1,$J$13,$J$14,$J$15,$J$17,S$22,$J$16,$D76),_xll.DBRW(Server&amp;Cube1,$J$13,$J$14,$J$15,$J$17,S$22,$J$16,$D76))</f>
        <v>-1875</v>
      </c>
      <c r="T76" s="109">
        <f ca="1">IF(xflag=1,_xll.DBSW(SAISIE!T76,Server&amp;Cube1,$J$13,$J$14,$J$15,$J$17,T$22,$J$16,$D76),_xll.DBRW(Server&amp;Cube1,$J$13,$J$14,$J$15,$J$17,T$22,$J$16,$D76))</f>
        <v>-625</v>
      </c>
      <c r="U76" s="109">
        <f ca="1">IF(xflag=1,_xll.DBSW(SAISIE!U76,Server&amp;Cube1,$J$13,$J$14,$J$15,$J$17,U$22,$J$16,$D76),_xll.DBRW(Server&amp;Cube1,$J$13,$J$14,$J$15,$J$17,U$22,$J$16,$D76))</f>
        <v>2500</v>
      </c>
      <c r="V76" s="109">
        <f ca="1">IF(xflag=1,_xll.DBSW(SAISIE!V76,Server&amp;Cube1,$J$13,$J$14,$J$15,$J$17,V$22,$J$16,$D76),_xll.DBRW(Server&amp;Cube1,$J$13,$J$14,$J$15,$J$17,V$22,$J$16,$D76))</f>
        <v>-3804.16</v>
      </c>
      <c r="W76" s="109">
        <f ca="1">IF(xflag=1,_xll.DBSW(SAISIE!W76,Server&amp;Cube1,$J$13,$J$14,$J$15,$J$17,W$22,$J$16,$D76),_xll.DBRW(Server&amp;Cube1,$J$13,$J$14,$J$15,$J$17,W$22,$J$16,$D76))</f>
        <v>0</v>
      </c>
      <c r="X76" s="109">
        <f ca="1">IF(xflag=1,_xll.DBSW(SAISIE!X76,Server&amp;Cube1,$J$13,$J$14,$J$15,$J$17,X$22,$J$16,$D76),_xll.DBRW(Server&amp;Cube1,$J$13,$J$14,$J$15,$J$17,X$22,$J$16,$D76))</f>
        <v>0</v>
      </c>
      <c r="Y76" s="109">
        <f ca="1">IF(xflag=1,_xll.DBSW(SAISIE!Y76,Server&amp;Cube1,$J$13,$J$14,$J$15,$J$17,Y$22,$J$16,$D76),_xll.DBRW(Server&amp;Cube1,$J$13,$J$14,$J$15,$J$17,Y$22,$J$16,$D76))</f>
        <v>0</v>
      </c>
      <c r="Z76" s="109">
        <f ca="1">IF(xflag=1,_xll.DBSW(SAISIE!Z76,Server&amp;Cube1,$J$13,$J$14,$J$15,$J$17,Z$22,$J$16,$D76),_xll.DBRW(Server&amp;Cube1,$J$13,$J$14,$J$15,$J$17,Z$22,$J$16,$D76))</f>
        <v>0</v>
      </c>
      <c r="AA76" s="109">
        <f ca="1">IF(xflag=1,_xll.DBSW(SAISIE!AA76,Server&amp;Cube1,$J$13,$J$14,$J$15,$J$17,AA$22,$J$16,$D76),_xll.DBRW(Server&amp;Cube1,$J$13,$J$14,$J$15,$J$17,AA$22,$J$16,$D76))</f>
        <v>0</v>
      </c>
      <c r="AB76" s="109">
        <f ca="1">IF(xflag=1,_xll.DBSW(SAISIE!AB76,Server&amp;Cube1,$J$13,$J$14,$J$15,$J$17,AB$22,$J$16,$D76),_xll.DBRW(Server&amp;Cube1,$J$13,$J$14,$J$15,$J$17,AB$22,$J$16,$D76))</f>
        <v>0</v>
      </c>
      <c r="AC76" s="31"/>
      <c r="AF76" s="90" t="str">
        <f ca="1">IF(xflag=1,_xll.DBSW(#REF!,Server&amp;Cube1,$J$13,$J$14,$J$15,#REF!,AF$2,$J$16,$D76),_xll.DBRW(Server&amp;Cube1,$J$13,$J$14,$J$15,#REF!,AF$2,$J$16,$D76))</f>
        <v>*KEY_ERR</v>
      </c>
    </row>
    <row r="77" spans="1:35" s="19" customFormat="1" ht="16.5" thickBot="1" x14ac:dyDescent="0.3">
      <c r="A77"/>
      <c r="B77" s="204" t="s">
        <v>41</v>
      </c>
      <c r="C77" s="214" t="s">
        <v>223</v>
      </c>
      <c r="D77" s="226" t="str">
        <f t="shared" ref="D77" si="14">B77</f>
        <v>615650</v>
      </c>
      <c r="E77"/>
      <c r="F77" s="228"/>
      <c r="G77" s="171"/>
      <c r="H77" s="107"/>
      <c r="I77" s="305" t="str">
        <f ca="1">_xll.DBRA(Server&amp;$D$22,$D77,"French")</f>
        <v>Abonnement SAAS</v>
      </c>
      <c r="J77" s="305" t="str">
        <f ca="1">_xll.DBRA(Server&amp;$D$22,$D77,"French")</f>
        <v>Abonnement SAAS</v>
      </c>
      <c r="K77" s="37"/>
      <c r="L77" s="54">
        <f ca="1">_xll.DBRW(Server&amp;Cube1,$J$13,$L$3,$J$15,$L$1,$L$2,$J$16,$D77)</f>
        <v>0</v>
      </c>
      <c r="M77" s="37"/>
      <c r="N77" s="54">
        <f ca="1">_xll.DBRW(Server&amp;Cube1,$J$13,$N$3,$J$15,$N$1,$N$2,$J$16,$D77)</f>
        <v>0</v>
      </c>
      <c r="O77" s="55"/>
      <c r="P77" s="57"/>
      <c r="Q77" s="109">
        <f ca="1">IF(xflag=1,_xll.DBSW(SAISIE!Q77,Server&amp;Cube1,$J$13,$J$14,$J$15,$J$17,Q$22,$J$16,$D77),_xll.DBRW(Server&amp;Cube1,$J$13,$J$14,$J$15,$J$17,Q$22,$J$16,$D77))</f>
        <v>0</v>
      </c>
      <c r="R77" s="109">
        <f ca="1">IF(xflag=1,_xll.DBSW(SAISIE!R77,Server&amp;Cube1,$J$13,$J$14,$J$15,$J$17,R$22,$J$16,$D77),_xll.DBRW(Server&amp;Cube1,$J$13,$J$14,$J$15,$J$17,R$22,$J$16,$D77))</f>
        <v>-598</v>
      </c>
      <c r="S77" s="109">
        <f ca="1">IF(xflag=1,_xll.DBSW(SAISIE!S77,Server&amp;Cube1,$J$13,$J$14,$J$15,$J$17,S$22,$J$16,$D77),_xll.DBRW(Server&amp;Cube1,$J$13,$J$14,$J$15,$J$17,S$22,$J$16,$D77))</f>
        <v>-6549</v>
      </c>
      <c r="T77" s="109">
        <f ca="1">IF(xflag=1,_xll.DBSW(SAISIE!T77,Server&amp;Cube1,$J$13,$J$14,$J$15,$J$17,T$22,$J$16,$D77),_xll.DBRW(Server&amp;Cube1,$J$13,$J$14,$J$15,$J$17,T$22,$J$16,$D77))</f>
        <v>-2382.33</v>
      </c>
      <c r="U77" s="109">
        <f ca="1">IF(xflag=1,_xll.DBSW(SAISIE!U77,Server&amp;Cube1,$J$13,$J$14,$J$15,$J$17,U$22,$J$16,$D77),_xll.DBRW(Server&amp;Cube1,$J$13,$J$14,$J$15,$J$17,U$22,$J$16,$D77))</f>
        <v>8034.33</v>
      </c>
      <c r="V77" s="109">
        <f ca="1">IF(xflag=1,_xll.DBSW(SAISIE!V77,Server&amp;Cube1,$J$13,$J$14,$J$15,$J$17,V$22,$J$16,$D77),_xll.DBRW(Server&amp;Cube1,$J$13,$J$14,$J$15,$J$17,V$22,$J$16,$D77))</f>
        <v>-13081.92</v>
      </c>
      <c r="W77" s="109">
        <f ca="1">IF(xflag=1,_xll.DBSW(SAISIE!W77,Server&amp;Cube1,$J$13,$J$14,$J$15,$J$17,W$22,$J$16,$D77),_xll.DBRW(Server&amp;Cube1,$J$13,$J$14,$J$15,$J$17,W$22,$J$16,$D77))</f>
        <v>0</v>
      </c>
      <c r="X77" s="109">
        <f ca="1">IF(xflag=1,_xll.DBSW(SAISIE!X77,Server&amp;Cube1,$J$13,$J$14,$J$15,$J$17,X$22,$J$16,$D77),_xll.DBRW(Server&amp;Cube1,$J$13,$J$14,$J$15,$J$17,X$22,$J$16,$D77))</f>
        <v>0</v>
      </c>
      <c r="Y77" s="109">
        <f ca="1">IF(xflag=1,_xll.DBSW(SAISIE!Y77,Server&amp;Cube1,$J$13,$J$14,$J$15,$J$17,Y$22,$J$16,$D77),_xll.DBRW(Server&amp;Cube1,$J$13,$J$14,$J$15,$J$17,Y$22,$J$16,$D77))</f>
        <v>0</v>
      </c>
      <c r="Z77" s="109">
        <f ca="1">IF(xflag=1,_xll.DBSW(SAISIE!Z77,Server&amp;Cube1,$J$13,$J$14,$J$15,$J$17,Z$22,$J$16,$D77),_xll.DBRW(Server&amp;Cube1,$J$13,$J$14,$J$15,$J$17,Z$22,$J$16,$D77))</f>
        <v>0</v>
      </c>
      <c r="AA77" s="109">
        <f ca="1">IF(xflag=1,_xll.DBSW(SAISIE!AA77,Server&amp;Cube1,$J$13,$J$14,$J$15,$J$17,AA$22,$J$16,$D77),_xll.DBRW(Server&amp;Cube1,$J$13,$J$14,$J$15,$J$17,AA$22,$J$16,$D77))</f>
        <v>0</v>
      </c>
      <c r="AB77" s="109">
        <f ca="1">IF(xflag=1,_xll.DBSW(SAISIE!AB77,Server&amp;Cube1,$J$13,$J$14,$J$15,$J$17,AB$22,$J$16,$D77),_xll.DBRW(Server&amp;Cube1,$J$13,$J$14,$J$15,$J$17,AB$22,$J$16,$D77))</f>
        <v>0</v>
      </c>
      <c r="AC77" s="31"/>
      <c r="AF77" s="90" t="str">
        <f ca="1">IF(xflag=1,_xll.DBSW(#REF!,Server&amp;Cube1,$J$13,$J$14,$J$15,#REF!,AF$2,$J$16,$D77),_xll.DBRW(Server&amp;Cube1,$J$13,$J$14,$J$15,#REF!,AF$2,$J$16,$D77))</f>
        <v>*KEY_ERR</v>
      </c>
      <c r="AI77" s="19">
        <v>8</v>
      </c>
    </row>
    <row r="78" spans="1:35" s="19" customFormat="1" ht="16.5" thickTop="1" x14ac:dyDescent="0.25">
      <c r="A78"/>
      <c r="B78" s="200" t="s">
        <v>42</v>
      </c>
      <c r="C78" s="219" t="s">
        <v>224</v>
      </c>
      <c r="D78" s="226" t="str">
        <f t="shared" si="0"/>
        <v>Cout_structure_VH_Telephonie</v>
      </c>
      <c r="E78"/>
      <c r="F78" s="228"/>
      <c r="G78" s="169"/>
      <c r="H78" s="105"/>
      <c r="I78" s="315" t="str">
        <f ca="1">_xll.DBRA(Server&amp;$D$22,$D78,"French")</f>
        <v>Location VH et Télephonie</v>
      </c>
      <c r="J78" s="315" t="str">
        <f ca="1">_xll.DBRA(Server&amp;$D$22,$D78,"French")</f>
        <v>Location VH et Télephonie</v>
      </c>
      <c r="K78" s="39"/>
      <c r="L78" s="67">
        <f ca="1">SUM(L79:L84)</f>
        <v>0</v>
      </c>
      <c r="M78" s="39"/>
      <c r="N78" s="67">
        <f ca="1">SUM(N79:N84)</f>
        <v>0</v>
      </c>
      <c r="O78" s="68"/>
      <c r="P78" s="69"/>
      <c r="Q78" s="108">
        <f t="shared" ref="Q78:AB78" ca="1" si="15">SUM(Q79:Q84)</f>
        <v>0</v>
      </c>
      <c r="R78" s="108">
        <f t="shared" ca="1" si="15"/>
        <v>23252.03</v>
      </c>
      <c r="S78" s="108">
        <f t="shared" ca="1" si="15"/>
        <v>-51425.919999999998</v>
      </c>
      <c r="T78" s="108">
        <f t="shared" ca="1" si="15"/>
        <v>-3966.5999999999976</v>
      </c>
      <c r="U78" s="108">
        <f t="shared" ca="1" si="15"/>
        <v>28582.68</v>
      </c>
      <c r="V78" s="108">
        <f t="shared" ca="1" si="15"/>
        <v>-51516.840000000004</v>
      </c>
      <c r="W78" s="108">
        <f t="shared" ca="1" si="15"/>
        <v>0</v>
      </c>
      <c r="X78" s="108">
        <f t="shared" ca="1" si="15"/>
        <v>0</v>
      </c>
      <c r="Y78" s="108">
        <f t="shared" ca="1" si="15"/>
        <v>0</v>
      </c>
      <c r="Z78" s="108">
        <f t="shared" ca="1" si="15"/>
        <v>0</v>
      </c>
      <c r="AA78" s="108">
        <f t="shared" ca="1" si="15"/>
        <v>0</v>
      </c>
      <c r="AB78" s="108">
        <f t="shared" ca="1" si="15"/>
        <v>0</v>
      </c>
      <c r="AC78" s="31"/>
    </row>
    <row r="79" spans="1:35" s="19" customFormat="1" ht="16.5" thickBot="1" x14ac:dyDescent="0.3">
      <c r="A79"/>
      <c r="B79" s="204" t="s">
        <v>156</v>
      </c>
      <c r="C79" s="213" t="s">
        <v>225</v>
      </c>
      <c r="D79" s="226" t="str">
        <f t="shared" si="0"/>
        <v>615580b</v>
      </c>
      <c r="E79"/>
      <c r="F79" s="228"/>
      <c r="G79" s="171"/>
      <c r="H79" s="107"/>
      <c r="I79" s="305" t="str">
        <f ca="1">_xll.DBRA(Server&amp;$D$22,$D79,"French")</f>
        <v>Véhicule de fonction - Entretiens et réparations</v>
      </c>
      <c r="J79" s="305" t="str">
        <f ca="1">_xll.DBRA(Server&amp;$D$22,$D79,"French")</f>
        <v>Véhicule de fonction - Entretiens et réparations</v>
      </c>
      <c r="K79" s="37"/>
      <c r="L79" s="54">
        <f ca="1">_xll.DBRW(Server&amp;Cube1,$J$13,$L$3,$J$15,$L$1,$L$2,$J$16,$D79)</f>
        <v>0</v>
      </c>
      <c r="M79" s="37"/>
      <c r="N79" s="54">
        <f ca="1">_xll.DBRW(Server&amp;Cube1,$J$13,$N$3,$J$15,$N$1,$N$2,$J$16,$D79)</f>
        <v>0</v>
      </c>
      <c r="O79" s="55"/>
      <c r="P79" s="57"/>
      <c r="Q79" s="109">
        <f ca="1">IF(xflag=1,_xll.DBSW(SAISIE!Q79,Server&amp;Cube1,$J$13,$J$14,$J$15,$J$17,Q$22,$J$16,$D79),_xll.DBRW(Server&amp;Cube1,$J$13,$J$14,$J$15,$J$17,Q$22,$J$16,$D79))</f>
        <v>0</v>
      </c>
      <c r="R79" s="109">
        <f ca="1">IF(xflag=1,_xll.DBSW(SAISIE!R79,Server&amp;Cube1,$J$13,$J$14,$J$15,$J$17,R$22,$J$16,$D79),_xll.DBRW(Server&amp;Cube1,$J$13,$J$14,$J$15,$J$17,R$22,$J$16,$D79))</f>
        <v>0</v>
      </c>
      <c r="S79" s="109">
        <f ca="1">IF(xflag=1,_xll.DBSW(SAISIE!S79,Server&amp;Cube1,$J$13,$J$14,$J$15,$J$17,S$22,$J$16,$D79),_xll.DBRW(Server&amp;Cube1,$J$13,$J$14,$J$15,$J$17,S$22,$J$16,$D79))</f>
        <v>0</v>
      </c>
      <c r="T79" s="109">
        <f ca="1">IF(xflag=1,_xll.DBSW(SAISIE!T79,Server&amp;Cube1,$J$13,$J$14,$J$15,$J$17,T$22,$J$16,$D79),_xll.DBRW(Server&amp;Cube1,$J$13,$J$14,$J$15,$J$17,T$22,$J$16,$D79))</f>
        <v>0</v>
      </c>
      <c r="U79" s="109">
        <f ca="1">IF(xflag=1,_xll.DBSW(SAISIE!U79,Server&amp;Cube1,$J$13,$J$14,$J$15,$J$17,U$22,$J$16,$D79),_xll.DBRW(Server&amp;Cube1,$J$13,$J$14,$J$15,$J$17,U$22,$J$16,$D79))</f>
        <v>0</v>
      </c>
      <c r="V79" s="109">
        <f ca="1">IF(xflag=1,_xll.DBSW(SAISIE!V79,Server&amp;Cube1,$J$13,$J$14,$J$15,$J$17,V$22,$J$16,$D79),_xll.DBRW(Server&amp;Cube1,$J$13,$J$14,$J$15,$J$17,V$22,$J$16,$D79))</f>
        <v>0</v>
      </c>
      <c r="W79" s="109">
        <f ca="1">IF(xflag=1,_xll.DBSW(SAISIE!W79,Server&amp;Cube1,$J$13,$J$14,$J$15,$J$17,W$22,$J$16,$D79),_xll.DBRW(Server&amp;Cube1,$J$13,$J$14,$J$15,$J$17,W$22,$J$16,$D79))</f>
        <v>0</v>
      </c>
      <c r="X79" s="109">
        <f ca="1">IF(xflag=1,_xll.DBSW(SAISIE!X79,Server&amp;Cube1,$J$13,$J$14,$J$15,$J$17,X$22,$J$16,$D79),_xll.DBRW(Server&amp;Cube1,$J$13,$J$14,$J$15,$J$17,X$22,$J$16,$D79))</f>
        <v>0</v>
      </c>
      <c r="Y79" s="109">
        <f ca="1">IF(xflag=1,_xll.DBSW(SAISIE!Y79,Server&amp;Cube1,$J$13,$J$14,$J$15,$J$17,Y$22,$J$16,$D79),_xll.DBRW(Server&amp;Cube1,$J$13,$J$14,$J$15,$J$17,Y$22,$J$16,$D79))</f>
        <v>0</v>
      </c>
      <c r="Z79" s="109">
        <f ca="1">IF(xflag=1,_xll.DBSW(SAISIE!Z79,Server&amp;Cube1,$J$13,$J$14,$J$15,$J$17,Z$22,$J$16,$D79),_xll.DBRW(Server&amp;Cube1,$J$13,$J$14,$J$15,$J$17,Z$22,$J$16,$D79))</f>
        <v>0</v>
      </c>
      <c r="AA79" s="109">
        <f ca="1">IF(xflag=1,_xll.DBSW(SAISIE!AA79,Server&amp;Cube1,$J$13,$J$14,$J$15,$J$17,AA$22,$J$16,$D79),_xll.DBRW(Server&amp;Cube1,$J$13,$J$14,$J$15,$J$17,AA$22,$J$16,$D79))</f>
        <v>0</v>
      </c>
      <c r="AB79" s="109">
        <f ca="1">IF(xflag=1,_xll.DBSW(SAISIE!AB79,Server&amp;Cube1,$J$13,$J$14,$J$15,$J$17,AB$22,$J$16,$D79),_xll.DBRW(Server&amp;Cube1,$J$13,$J$14,$J$15,$J$17,AB$22,$J$16,$D79))</f>
        <v>0</v>
      </c>
      <c r="AC79" s="31"/>
      <c r="AF79" s="90" t="str">
        <f ca="1">IF(xflag=1,_xll.DBSW(#REF!,Server&amp;Cube1,$J$13,$J$14,$J$15,#REF!,AF$2,$J$16,$D79),_xll.DBRW(Server&amp;Cube1,$J$13,$J$14,$J$15,#REF!,AF$2,$J$16,$D79))</f>
        <v>*KEY_ERR</v>
      </c>
    </row>
    <row r="80" spans="1:35" s="19" customFormat="1" ht="17.25" customHeight="1" thickTop="1" thickBot="1" x14ac:dyDescent="0.3">
      <c r="A80"/>
      <c r="B80" s="204" t="s">
        <v>177</v>
      </c>
      <c r="C80" s="213" t="s">
        <v>226</v>
      </c>
      <c r="D80" s="226" t="str">
        <f t="shared" si="0"/>
        <v>616000</v>
      </c>
      <c r="E80"/>
      <c r="F80" s="228"/>
      <c r="G80" s="171"/>
      <c r="H80" s="107"/>
      <c r="I80" s="305" t="str">
        <f ca="1">_xll.DBRA(Server&amp;$D$22,$D80,"French")</f>
        <v>Véhicule de Fonction - Prime d'assurance</v>
      </c>
      <c r="J80" s="305" t="str">
        <f ca="1">_xll.DBRA(Server&amp;$D$22,$D80,"French")</f>
        <v>Véhicule de Fonction - Prime d'assurance</v>
      </c>
      <c r="K80" s="37"/>
      <c r="L80" s="54">
        <f ca="1">_xll.DBRW(Server&amp;Cube1,$J$13,$L$3,$J$15,$L$1,$L$2,$J$16,$D80)</f>
        <v>0</v>
      </c>
      <c r="M80" s="37"/>
      <c r="N80" s="54">
        <f ca="1">_xll.DBRW(Server&amp;Cube1,$J$13,$N$3,$J$15,$N$1,$N$2,$J$16,$D80)</f>
        <v>0</v>
      </c>
      <c r="O80" s="55"/>
      <c r="P80" s="57"/>
      <c r="Q80" s="109">
        <f ca="1">IF(xflag=1,_xll.DBSW(SAISIE!Q80,Server&amp;Cube1,$J$13,$J$14,$J$15,$J$17,Q$22,$J$16,$D80),_xll.DBRW(Server&amp;Cube1,$J$13,$J$14,$J$15,$J$17,Q$22,$J$16,$D80))</f>
        <v>0</v>
      </c>
      <c r="R80" s="109">
        <f ca="1">IF(xflag=1,_xll.DBSW(SAISIE!R80,Server&amp;Cube1,$J$13,$J$14,$J$15,$J$17,R$22,$J$16,$D80),_xll.DBRW(Server&amp;Cube1,$J$13,$J$14,$J$15,$J$17,R$22,$J$16,$D80))</f>
        <v>5119.8</v>
      </c>
      <c r="S80" s="109">
        <f ca="1">IF(xflag=1,_xll.DBSW(SAISIE!S80,Server&amp;Cube1,$J$13,$J$14,$J$15,$J$17,S$22,$J$16,$D80),_xll.DBRW(Server&amp;Cube1,$J$13,$J$14,$J$15,$J$17,S$22,$J$16,$D80))</f>
        <v>-6399.75</v>
      </c>
      <c r="T80" s="109">
        <f ca="1">IF(xflag=1,_xll.DBSW(SAISIE!T80,Server&amp;Cube1,$J$13,$J$14,$J$15,$J$17,T$22,$J$16,$D80),_xll.DBRW(Server&amp;Cube1,$J$13,$J$14,$J$15,$J$17,T$22,$J$16,$D80))</f>
        <v>-426.6699999999999</v>
      </c>
      <c r="U80" s="109">
        <f ca="1">IF(xflag=1,_xll.DBSW(SAISIE!U80,Server&amp;Cube1,$J$13,$J$14,$J$15,$J$17,U$22,$J$16,$D80),_xll.DBRW(Server&amp;Cube1,$J$13,$J$14,$J$15,$J$17,U$22,$J$16,$D80))</f>
        <v>6826.42</v>
      </c>
      <c r="V80" s="109">
        <f ca="1">IF(xflag=1,_xll.DBSW(SAISIE!V80,Server&amp;Cube1,$J$13,$J$14,$J$15,$J$17,V$22,$J$16,$D80),_xll.DBRW(Server&amp;Cube1,$J$13,$J$14,$J$15,$J$17,V$22,$J$16,$D80))</f>
        <v>-7679.7000000000007</v>
      </c>
      <c r="W80" s="109">
        <f ca="1">IF(xflag=1,_xll.DBSW(SAISIE!W80,Server&amp;Cube1,$J$13,$J$14,$J$15,$J$17,W$22,$J$16,$D80),_xll.DBRW(Server&amp;Cube1,$J$13,$J$14,$J$15,$J$17,W$22,$J$16,$D80))</f>
        <v>0</v>
      </c>
      <c r="X80" s="109">
        <f ca="1">IF(xflag=1,_xll.DBSW(SAISIE!X80,Server&amp;Cube1,$J$13,$J$14,$J$15,$J$17,X$22,$J$16,$D80),_xll.DBRW(Server&amp;Cube1,$J$13,$J$14,$J$15,$J$17,X$22,$J$16,$D80))</f>
        <v>0</v>
      </c>
      <c r="Y80" s="109">
        <f ca="1">IF(xflag=1,_xll.DBSW(SAISIE!Y80,Server&amp;Cube1,$J$13,$J$14,$J$15,$J$17,Y$22,$J$16,$D80),_xll.DBRW(Server&amp;Cube1,$J$13,$J$14,$J$15,$J$17,Y$22,$J$16,$D80))</f>
        <v>0</v>
      </c>
      <c r="Z80" s="109">
        <f ca="1">IF(xflag=1,_xll.DBSW(SAISIE!Z80,Server&amp;Cube1,$J$13,$J$14,$J$15,$J$17,Z$22,$J$16,$D80),_xll.DBRW(Server&amp;Cube1,$J$13,$J$14,$J$15,$J$17,Z$22,$J$16,$D80))</f>
        <v>0</v>
      </c>
      <c r="AA80" s="109">
        <f ca="1">IF(xflag=1,_xll.DBSW(SAISIE!AA80,Server&amp;Cube1,$J$13,$J$14,$J$15,$J$17,AA$22,$J$16,$D80),_xll.DBRW(Server&amp;Cube1,$J$13,$J$14,$J$15,$J$17,AA$22,$J$16,$D80))</f>
        <v>0</v>
      </c>
      <c r="AB80" s="109">
        <f ca="1">IF(xflag=1,_xll.DBSW(SAISIE!AB80,Server&amp;Cube1,$J$13,$J$14,$J$15,$J$17,AB$22,$J$16,$D80),_xll.DBRW(Server&amp;Cube1,$J$13,$J$14,$J$15,$J$17,AB$22,$J$16,$D80))</f>
        <v>0</v>
      </c>
      <c r="AC80" s="31"/>
      <c r="AF80" s="90" t="str">
        <f ca="1">IF(xflag=1,_xll.DBSW(#REF!,Server&amp;Cube1,$J$13,$J$14,$J$15,#REF!,AF$2,$J$16,$D80),_xll.DBRW(Server&amp;Cube1,$J$13,$J$14,$J$15,#REF!,AF$2,$J$16,$D80))</f>
        <v>*KEY_ERR</v>
      </c>
    </row>
    <row r="81" spans="1:35" s="19" customFormat="1" ht="17.25" customHeight="1" thickTop="1" thickBot="1" x14ac:dyDescent="0.3">
      <c r="A81"/>
      <c r="B81" s="204" t="s">
        <v>157</v>
      </c>
      <c r="C81" s="213" t="s">
        <v>227</v>
      </c>
      <c r="D81" s="226" t="str">
        <f t="shared" si="0"/>
        <v>625130a</v>
      </c>
      <c r="E81"/>
      <c r="F81" s="228"/>
      <c r="G81" s="171"/>
      <c r="H81" s="107"/>
      <c r="I81" s="305" t="str">
        <f ca="1">_xll.DBRA(Server&amp;$D$22,$D81,"French")</f>
        <v>Véhicule de Fonction - Frais de location</v>
      </c>
      <c r="J81" s="305" t="str">
        <f ca="1">_xll.DBRA(Server&amp;$D$22,$D81,"French")</f>
        <v>Véhicule de Fonction - Frais de location</v>
      </c>
      <c r="K81" s="37"/>
      <c r="L81" s="54">
        <f ca="1">_xll.DBRW(Server&amp;Cube1,$J$13,$L$3,$J$15,$L$1,$L$2,$J$16,$D81)</f>
        <v>0</v>
      </c>
      <c r="M81" s="37"/>
      <c r="N81" s="54">
        <f ca="1">_xll.DBRW(Server&amp;Cube1,$J$13,$N$3,$J$15,$N$1,$N$2,$J$16,$D81)</f>
        <v>0</v>
      </c>
      <c r="O81" s="55"/>
      <c r="P81" s="57"/>
      <c r="Q81" s="109">
        <f ca="1">IF(xflag=1,_xll.DBSW(SAISIE!Q81,Server&amp;Cube1,$J$13,$J$14,$J$15,$J$17,Q$22,$J$16,$D81),_xll.DBRW(Server&amp;Cube1,$J$13,$J$14,$J$15,$J$17,Q$22,$J$16,$D81))</f>
        <v>0</v>
      </c>
      <c r="R81" s="109">
        <f ca="1">IF(xflag=1,_xll.DBSW(SAISIE!R81,Server&amp;Cube1,$J$13,$J$14,$J$15,$J$17,R$22,$J$16,$D81),_xll.DBRW(Server&amp;Cube1,$J$13,$J$14,$J$15,$J$17,R$22,$J$16,$D81))</f>
        <v>8331.34</v>
      </c>
      <c r="S81" s="109">
        <f ca="1">IF(xflag=1,_xll.DBSW(SAISIE!S81,Server&amp;Cube1,$J$13,$J$14,$J$15,$J$17,S$22,$J$16,$D81),_xll.DBRW(Server&amp;Cube1,$J$13,$J$14,$J$15,$J$17,S$22,$J$16,$D81))</f>
        <v>-28971.42</v>
      </c>
      <c r="T81" s="109">
        <f ca="1">IF(xflag=1,_xll.DBSW(SAISIE!T81,Server&amp;Cube1,$J$13,$J$14,$J$15,$J$17,T$22,$J$16,$D81),_xll.DBRW(Server&amp;Cube1,$J$13,$J$14,$J$15,$J$17,T$22,$J$16,$D81))</f>
        <v>-3539.9299999999976</v>
      </c>
      <c r="U81" s="109">
        <f ca="1">IF(xflag=1,_xll.DBSW(SAISIE!U81,Server&amp;Cube1,$J$13,$J$14,$J$15,$J$17,U$22,$J$16,$D81),_xll.DBRW(Server&amp;Cube1,$J$13,$J$14,$J$15,$J$17,U$22,$J$16,$D81))</f>
        <v>14756.259999999998</v>
      </c>
      <c r="V81" s="109">
        <f ca="1">IF(xflag=1,_xll.DBSW(SAISIE!V81,Server&amp;Cube1,$J$13,$J$14,$J$15,$J$17,V$22,$J$16,$D81),_xll.DBRW(Server&amp;Cube1,$J$13,$J$14,$J$15,$J$17,V$22,$J$16,$D81))</f>
        <v>-30184.829999999998</v>
      </c>
      <c r="W81" s="109">
        <f ca="1">IF(xflag=1,_xll.DBSW(SAISIE!W81,Server&amp;Cube1,$J$13,$J$14,$J$15,$J$17,W$22,$J$16,$D81),_xll.DBRW(Server&amp;Cube1,$J$13,$J$14,$J$15,$J$17,W$22,$J$16,$D81))</f>
        <v>0</v>
      </c>
      <c r="X81" s="109">
        <f ca="1">IF(xflag=1,_xll.DBSW(SAISIE!X81,Server&amp;Cube1,$J$13,$J$14,$J$15,$J$17,X$22,$J$16,$D81),_xll.DBRW(Server&amp;Cube1,$J$13,$J$14,$J$15,$J$17,X$22,$J$16,$D81))</f>
        <v>0</v>
      </c>
      <c r="Y81" s="109">
        <f ca="1">IF(xflag=1,_xll.DBSW(SAISIE!Y81,Server&amp;Cube1,$J$13,$J$14,$J$15,$J$17,Y$22,$J$16,$D81),_xll.DBRW(Server&amp;Cube1,$J$13,$J$14,$J$15,$J$17,Y$22,$J$16,$D81))</f>
        <v>0</v>
      </c>
      <c r="Z81" s="109">
        <f ca="1">IF(xflag=1,_xll.DBSW(SAISIE!Z81,Server&amp;Cube1,$J$13,$J$14,$J$15,$J$17,Z$22,$J$16,$D81),_xll.DBRW(Server&amp;Cube1,$J$13,$J$14,$J$15,$J$17,Z$22,$J$16,$D81))</f>
        <v>0</v>
      </c>
      <c r="AA81" s="109">
        <f ca="1">IF(xflag=1,_xll.DBSW(SAISIE!AA81,Server&amp;Cube1,$J$13,$J$14,$J$15,$J$17,AA$22,$J$16,$D81),_xll.DBRW(Server&amp;Cube1,$J$13,$J$14,$J$15,$J$17,AA$22,$J$16,$D81))</f>
        <v>0</v>
      </c>
      <c r="AB81" s="109">
        <f ca="1">IF(xflag=1,_xll.DBSW(SAISIE!AB81,Server&amp;Cube1,$J$13,$J$14,$J$15,$J$17,AB$22,$J$16,$D81),_xll.DBRW(Server&amp;Cube1,$J$13,$J$14,$J$15,$J$17,AB$22,$J$16,$D81))</f>
        <v>0</v>
      </c>
      <c r="AC81" s="31"/>
      <c r="AF81" s="90" t="str">
        <f ca="1">IF(xflag=1,_xll.DBSW(#REF!,Server&amp;Cube1,$J$13,$J$14,$J$15,#REF!,AF$2,$J$16,$D81),_xll.DBRW(Server&amp;Cube1,$J$13,$J$14,$J$15,#REF!,AF$2,$J$16,$D81))</f>
        <v>*KEY_ERR</v>
      </c>
      <c r="AI81" s="19">
        <v>9</v>
      </c>
    </row>
    <row r="82" spans="1:35" s="19" customFormat="1" ht="17.25" customHeight="1" thickTop="1" thickBot="1" x14ac:dyDescent="0.3">
      <c r="A82"/>
      <c r="B82" s="204" t="s">
        <v>158</v>
      </c>
      <c r="C82" s="213" t="s">
        <v>228</v>
      </c>
      <c r="D82" s="226" t="str">
        <f t="shared" si="0"/>
        <v>625130b</v>
      </c>
      <c r="E82"/>
      <c r="F82" s="228"/>
      <c r="G82" s="171"/>
      <c r="H82" s="107"/>
      <c r="I82" s="305" t="str">
        <f ca="1">_xll.DBRA(Server&amp;$D$22,$D82,"French")</f>
        <v>Véhicule de Fonction - Frais de péage</v>
      </c>
      <c r="J82" s="305" t="str">
        <f ca="1">_xll.DBRA(Server&amp;$D$22,$D82,"French")</f>
        <v>Véhicule de Fonction - Frais de péage</v>
      </c>
      <c r="K82" s="37"/>
      <c r="L82" s="54">
        <f ca="1">_xll.DBRW(Server&amp;Cube1,$J$13,$L$3,$J$15,$L$1,$L$2,$J$16,$D82)</f>
        <v>0</v>
      </c>
      <c r="M82" s="37"/>
      <c r="N82" s="54">
        <f ca="1">_xll.DBRW(Server&amp;Cube1,$J$13,$N$3,$J$15,$N$1,$N$2,$J$16,$D82)</f>
        <v>0</v>
      </c>
      <c r="O82" s="55"/>
      <c r="P82" s="57"/>
      <c r="Q82" s="109">
        <f ca="1">IF(xflag=1,_xll.DBSW(SAISIE!Q82,Server&amp;Cube1,$J$13,$J$14,$J$15,$J$17,Q$22,$J$16,$D82),_xll.DBRW(Server&amp;Cube1,$J$13,$J$14,$J$15,$J$17,Q$22,$J$16,$D82))</f>
        <v>0</v>
      </c>
      <c r="R82" s="109">
        <f ca="1">IF(xflag=1,_xll.DBSW(SAISIE!R82,Server&amp;Cube1,$J$13,$J$14,$J$15,$J$17,R$22,$J$16,$D82),_xll.DBRW(Server&amp;Cube1,$J$13,$J$14,$J$15,$J$17,R$22,$J$16,$D82))</f>
        <v>2998.23</v>
      </c>
      <c r="S82" s="109">
        <f ca="1">IF(xflag=1,_xll.DBSW(SAISIE!S82,Server&amp;Cube1,$J$13,$J$14,$J$15,$J$17,S$22,$J$16,$D82),_xll.DBRW(Server&amp;Cube1,$J$13,$J$14,$J$15,$J$17,S$22,$J$16,$D82))</f>
        <v>-4234</v>
      </c>
      <c r="T82" s="109">
        <f ca="1">IF(xflag=1,_xll.DBSW(SAISIE!T82,Server&amp;Cube1,$J$13,$J$14,$J$15,$J$17,T$22,$J$16,$D82),_xll.DBRW(Server&amp;Cube1,$J$13,$J$14,$J$15,$J$17,T$22,$J$16,$D82))</f>
        <v>-4.4408920985006262E-14</v>
      </c>
      <c r="U82" s="109">
        <f ca="1">IF(xflag=1,_xll.DBSW(SAISIE!U82,Server&amp;Cube1,$J$13,$J$14,$J$15,$J$17,U$22,$J$16,$D82),_xll.DBRW(Server&amp;Cube1,$J$13,$J$14,$J$15,$J$17,U$22,$J$16,$D82))</f>
        <v>2300</v>
      </c>
      <c r="V82" s="109">
        <f ca="1">IF(xflag=1,_xll.DBSW(SAISIE!V82,Server&amp;Cube1,$J$13,$J$14,$J$15,$J$17,V$22,$J$16,$D82),_xll.DBRW(Server&amp;Cube1,$J$13,$J$14,$J$15,$J$17,V$22,$J$16,$D82))</f>
        <v>-1472.41</v>
      </c>
      <c r="W82" s="109">
        <f ca="1">IF(xflag=1,_xll.DBSW(SAISIE!W82,Server&amp;Cube1,$J$13,$J$14,$J$15,$J$17,W$22,$J$16,$D82),_xll.DBRW(Server&amp;Cube1,$J$13,$J$14,$J$15,$J$17,W$22,$J$16,$D82))</f>
        <v>0</v>
      </c>
      <c r="X82" s="109">
        <f ca="1">IF(xflag=1,_xll.DBSW(SAISIE!X82,Server&amp;Cube1,$J$13,$J$14,$J$15,$J$17,X$22,$J$16,$D82),_xll.DBRW(Server&amp;Cube1,$J$13,$J$14,$J$15,$J$17,X$22,$J$16,$D82))</f>
        <v>0</v>
      </c>
      <c r="Y82" s="109">
        <f ca="1">IF(xflag=1,_xll.DBSW(SAISIE!Y82,Server&amp;Cube1,$J$13,$J$14,$J$15,$J$17,Y$22,$J$16,$D82),_xll.DBRW(Server&amp;Cube1,$J$13,$J$14,$J$15,$J$17,Y$22,$J$16,$D82))</f>
        <v>0</v>
      </c>
      <c r="Z82" s="109">
        <f ca="1">IF(xflag=1,_xll.DBSW(SAISIE!Z82,Server&amp;Cube1,$J$13,$J$14,$J$15,$J$17,Z$22,$J$16,$D82),_xll.DBRW(Server&amp;Cube1,$J$13,$J$14,$J$15,$J$17,Z$22,$J$16,$D82))</f>
        <v>0</v>
      </c>
      <c r="AA82" s="109">
        <f ca="1">IF(xflag=1,_xll.DBSW(SAISIE!AA82,Server&amp;Cube1,$J$13,$J$14,$J$15,$J$17,AA$22,$J$16,$D82),_xll.DBRW(Server&amp;Cube1,$J$13,$J$14,$J$15,$J$17,AA$22,$J$16,$D82))</f>
        <v>0</v>
      </c>
      <c r="AB82" s="109">
        <f ca="1">IF(xflag=1,_xll.DBSW(SAISIE!AB82,Server&amp;Cube1,$J$13,$J$14,$J$15,$J$17,AB$22,$J$16,$D82),_xll.DBRW(Server&amp;Cube1,$J$13,$J$14,$J$15,$J$17,AB$22,$J$16,$D82))</f>
        <v>0</v>
      </c>
      <c r="AC82" s="31"/>
      <c r="AF82" s="90" t="str">
        <f ca="1">IF(xflag=1,_xll.DBSW(#REF!,Server&amp;Cube1,$J$13,$J$14,$J$15,#REF!,AF$2,$J$16,$D82),_xll.DBRW(Server&amp;Cube1,$J$13,$J$14,$J$15,#REF!,AF$2,$J$16,$D82))</f>
        <v>*KEY_ERR</v>
      </c>
    </row>
    <row r="83" spans="1:35" s="19" customFormat="1" ht="17.25" thickTop="1" thickBot="1" x14ac:dyDescent="0.3">
      <c r="A83"/>
      <c r="B83" s="204" t="s">
        <v>159</v>
      </c>
      <c r="C83" s="213" t="s">
        <v>229</v>
      </c>
      <c r="D83" s="226" t="str">
        <f t="shared" si="0"/>
        <v>625130c</v>
      </c>
      <c r="E83"/>
      <c r="F83" s="228"/>
      <c r="G83" s="170"/>
      <c r="H83" s="106"/>
      <c r="I83" s="305" t="str">
        <f ca="1">_xll.DBRA(Server&amp;$D$22,$D83,"French")</f>
        <v>Véhicule de Fonction - Frais de carburant</v>
      </c>
      <c r="J83" s="305" t="str">
        <f ca="1">_xll.DBRA(Server&amp;$D$22,$D83,"French")</f>
        <v>Véhicule de Fonction - Frais de carburant</v>
      </c>
      <c r="K83" s="37"/>
      <c r="L83" s="54">
        <f ca="1">_xll.DBRW(Server&amp;Cube1,$J$13,$L$3,$J$15,$L$1,$L$2,$J$16,$D83)</f>
        <v>0</v>
      </c>
      <c r="M83" s="37"/>
      <c r="N83" s="54">
        <f ca="1">_xll.DBRW(Server&amp;Cube1,$J$13,$N$3,$J$15,$N$1,$N$2,$J$16,$D83)</f>
        <v>0</v>
      </c>
      <c r="O83" s="55"/>
      <c r="P83" s="57"/>
      <c r="Q83" s="109">
        <f ca="1">IF(xflag=1,_xll.DBSW(SAISIE!Q83,Server&amp;Cube1,$J$13,$J$14,$J$15,$J$17,Q$22,$J$16,$D83),_xll.DBRW(Server&amp;Cube1,$J$13,$J$14,$J$15,$J$17,Q$22,$J$16,$D83))</f>
        <v>0</v>
      </c>
      <c r="R83" s="109">
        <f ca="1">IF(xflag=1,_xll.DBSW(SAISIE!R83,Server&amp;Cube1,$J$13,$J$14,$J$15,$J$17,R$22,$J$16,$D83),_xll.DBRW(Server&amp;Cube1,$J$13,$J$14,$J$15,$J$17,R$22,$J$16,$D83))</f>
        <v>6307.26</v>
      </c>
      <c r="S83" s="109">
        <f ca="1">IF(xflag=1,_xll.DBSW(SAISIE!S83,Server&amp;Cube1,$J$13,$J$14,$J$15,$J$17,S$22,$J$16,$D83),_xll.DBRW(Server&amp;Cube1,$J$13,$J$14,$J$15,$J$17,S$22,$J$16,$D83))</f>
        <v>-10900.45</v>
      </c>
      <c r="T83" s="109">
        <f ca="1">IF(xflag=1,_xll.DBSW(SAISIE!T83,Server&amp;Cube1,$J$13,$J$14,$J$15,$J$17,T$22,$J$16,$D83),_xll.DBRW(Server&amp;Cube1,$J$13,$J$14,$J$15,$J$17,T$22,$J$16,$D83))</f>
        <v>1.0658141036401503E-13</v>
      </c>
      <c r="U83" s="109">
        <f ca="1">IF(xflag=1,_xll.DBSW(SAISIE!U83,Server&amp;Cube1,$J$13,$J$14,$J$15,$J$17,U$22,$J$16,$D83),_xll.DBRW(Server&amp;Cube1,$J$13,$J$14,$J$15,$J$17,U$22,$J$16,$D83))</f>
        <v>4200</v>
      </c>
      <c r="V83" s="109">
        <f ca="1">IF(xflag=1,_xll.DBSW(SAISIE!V83,Server&amp;Cube1,$J$13,$J$14,$J$15,$J$17,V$22,$J$16,$D83),_xll.DBRW(Server&amp;Cube1,$J$13,$J$14,$J$15,$J$17,V$22,$J$16,$D83))</f>
        <v>-11201.039999999999</v>
      </c>
      <c r="W83" s="109">
        <f ca="1">IF(xflag=1,_xll.DBSW(SAISIE!W83,Server&amp;Cube1,$J$13,$J$14,$J$15,$J$17,W$22,$J$16,$D83),_xll.DBRW(Server&amp;Cube1,$J$13,$J$14,$J$15,$J$17,W$22,$J$16,$D83))</f>
        <v>0</v>
      </c>
      <c r="X83" s="109">
        <f ca="1">IF(xflag=1,_xll.DBSW(SAISIE!X83,Server&amp;Cube1,$J$13,$J$14,$J$15,$J$17,X$22,$J$16,$D83),_xll.DBRW(Server&amp;Cube1,$J$13,$J$14,$J$15,$J$17,X$22,$J$16,$D83))</f>
        <v>0</v>
      </c>
      <c r="Y83" s="109">
        <f ca="1">IF(xflag=1,_xll.DBSW(SAISIE!Y83,Server&amp;Cube1,$J$13,$J$14,$J$15,$J$17,Y$22,$J$16,$D83),_xll.DBRW(Server&amp;Cube1,$J$13,$J$14,$J$15,$J$17,Y$22,$J$16,$D83))</f>
        <v>0</v>
      </c>
      <c r="Z83" s="109">
        <f ca="1">IF(xflag=1,_xll.DBSW(SAISIE!Z83,Server&amp;Cube1,$J$13,$J$14,$J$15,$J$17,Z$22,$J$16,$D83),_xll.DBRW(Server&amp;Cube1,$J$13,$J$14,$J$15,$J$17,Z$22,$J$16,$D83))</f>
        <v>0</v>
      </c>
      <c r="AA83" s="109">
        <f ca="1">IF(xflag=1,_xll.DBSW(SAISIE!AA83,Server&amp;Cube1,$J$13,$J$14,$J$15,$J$17,AA$22,$J$16,$D83),_xll.DBRW(Server&amp;Cube1,$J$13,$J$14,$J$15,$J$17,AA$22,$J$16,$D83))</f>
        <v>0</v>
      </c>
      <c r="AB83" s="109">
        <f ca="1">IF(xflag=1,_xll.DBSW(SAISIE!AB83,Server&amp;Cube1,$J$13,$J$14,$J$15,$J$17,AB$22,$J$16,$D83),_xll.DBRW(Server&amp;Cube1,$J$13,$J$14,$J$15,$J$17,AB$22,$J$16,$D83))</f>
        <v>0</v>
      </c>
      <c r="AC83" s="31"/>
      <c r="AF83" s="90" t="str">
        <f ca="1">IF(xflag=1,_xll.DBSW(#REF!,Server&amp;Cube1,$J$13,$J$14,$J$15,#REF!,AF$2,$J$16,$D83),_xll.DBRW(Server&amp;Cube1,$J$13,$J$14,$J$15,#REF!,AF$2,$J$16,$D83))</f>
        <v>*KEY_ERR</v>
      </c>
    </row>
    <row r="84" spans="1:35" s="19" customFormat="1" ht="17.25" customHeight="1" thickTop="1" thickBot="1" x14ac:dyDescent="0.3">
      <c r="A84"/>
      <c r="B84" s="204" t="s">
        <v>43</v>
      </c>
      <c r="C84" s="213" t="s">
        <v>230</v>
      </c>
      <c r="D84" s="226" t="str">
        <f t="shared" si="0"/>
        <v>626210</v>
      </c>
      <c r="E84"/>
      <c r="F84" s="228"/>
      <c r="G84" s="169"/>
      <c r="H84" s="105"/>
      <c r="I84" s="305" t="str">
        <f ca="1">_xll.DBRA(Server&amp;$D$22,$D84,"French")</f>
        <v>Téléphone mobile</v>
      </c>
      <c r="J84" s="305" t="str">
        <f ca="1">_xll.DBRA(Server&amp;$D$22,$D84,"French")</f>
        <v>Téléphone mobile</v>
      </c>
      <c r="K84" s="37"/>
      <c r="L84" s="54">
        <f ca="1">_xll.DBRW(Server&amp;Cube1,$J$13,$L$3,$J$15,$L$1,$L$2,$J$16,$D84)</f>
        <v>0</v>
      </c>
      <c r="M84" s="37"/>
      <c r="N84" s="54">
        <f ca="1">_xll.DBRW(Server&amp;Cube1,$J$13,$N$3,$J$15,$N$1,$N$2,$J$16,$D84)</f>
        <v>0</v>
      </c>
      <c r="O84" s="55"/>
      <c r="P84" s="57"/>
      <c r="Q84" s="109">
        <f ca="1">IF(xflag=1,_xll.DBSW(SAISIE!Q84,Server&amp;Cube1,$J$13,$J$14,$J$15,$J$17,Q$22,$J$16,$D84),_xll.DBRW(Server&amp;Cube1,$J$13,$J$14,$J$15,$J$17,Q$22,$J$16,$D84))</f>
        <v>0</v>
      </c>
      <c r="R84" s="109">
        <f ca="1">IF(xflag=1,_xll.DBSW(SAISIE!R84,Server&amp;Cube1,$J$13,$J$14,$J$15,$J$17,R$22,$J$16,$D84),_xll.DBRW(Server&amp;Cube1,$J$13,$J$14,$J$15,$J$17,R$22,$J$16,$D84))</f>
        <v>495.4</v>
      </c>
      <c r="S84" s="109">
        <f ca="1">IF(xflag=1,_xll.DBSW(SAISIE!S84,Server&amp;Cube1,$J$13,$J$14,$J$15,$J$17,S$22,$J$16,$D84),_xll.DBRW(Server&amp;Cube1,$J$13,$J$14,$J$15,$J$17,S$22,$J$16,$D84))</f>
        <v>-920.3</v>
      </c>
      <c r="T84" s="109">
        <f ca="1">IF(xflag=1,_xll.DBSW(SAISIE!T84,Server&amp;Cube1,$J$13,$J$14,$J$15,$J$17,T$22,$J$16,$D84),_xll.DBRW(Server&amp;Cube1,$J$13,$J$14,$J$15,$J$17,T$22,$J$16,$D84))</f>
        <v>1.7763568394002505E-15</v>
      </c>
      <c r="U84" s="109">
        <f ca="1">IF(xflag=1,_xll.DBSW(SAISIE!U84,Server&amp;Cube1,$J$13,$J$14,$J$15,$J$17,U$22,$J$16,$D84),_xll.DBRW(Server&amp;Cube1,$J$13,$J$14,$J$15,$J$17,U$22,$J$16,$D84))</f>
        <v>500</v>
      </c>
      <c r="V84" s="109">
        <f ca="1">IF(xflag=1,_xll.DBSW(SAISIE!V84,Server&amp;Cube1,$J$13,$J$14,$J$15,$J$17,V$22,$J$16,$D84),_xll.DBRW(Server&amp;Cube1,$J$13,$J$14,$J$15,$J$17,V$22,$J$16,$D84))</f>
        <v>-978.86</v>
      </c>
      <c r="W84" s="109">
        <f ca="1">IF(xflag=1,_xll.DBSW(SAISIE!W84,Server&amp;Cube1,$J$13,$J$14,$J$15,$J$17,W$22,$J$16,$D84),_xll.DBRW(Server&amp;Cube1,$J$13,$J$14,$J$15,$J$17,W$22,$J$16,$D84))</f>
        <v>0</v>
      </c>
      <c r="X84" s="109">
        <f ca="1">IF(xflag=1,_xll.DBSW(SAISIE!X84,Server&amp;Cube1,$J$13,$J$14,$J$15,$J$17,X$22,$J$16,$D84),_xll.DBRW(Server&amp;Cube1,$J$13,$J$14,$J$15,$J$17,X$22,$J$16,$D84))</f>
        <v>0</v>
      </c>
      <c r="Y84" s="109">
        <f ca="1">IF(xflag=1,_xll.DBSW(SAISIE!Y84,Server&amp;Cube1,$J$13,$J$14,$J$15,$J$17,Y$22,$J$16,$D84),_xll.DBRW(Server&amp;Cube1,$J$13,$J$14,$J$15,$J$17,Y$22,$J$16,$D84))</f>
        <v>0</v>
      </c>
      <c r="Z84" s="109">
        <f ca="1">IF(xflag=1,_xll.DBSW(SAISIE!Z84,Server&amp;Cube1,$J$13,$J$14,$J$15,$J$17,Z$22,$J$16,$D84),_xll.DBRW(Server&amp;Cube1,$J$13,$J$14,$J$15,$J$17,Z$22,$J$16,$D84))</f>
        <v>0</v>
      </c>
      <c r="AA84" s="109">
        <f ca="1">IF(xflag=1,_xll.DBSW(SAISIE!AA84,Server&amp;Cube1,$J$13,$J$14,$J$15,$J$17,AA$22,$J$16,$D84),_xll.DBRW(Server&amp;Cube1,$J$13,$J$14,$J$15,$J$17,AA$22,$J$16,$D84))</f>
        <v>0</v>
      </c>
      <c r="AB84" s="109">
        <f ca="1">IF(xflag=1,_xll.DBSW(SAISIE!AB84,Server&amp;Cube1,$J$13,$J$14,$J$15,$J$17,AB$22,$J$16,$D84),_xll.DBRW(Server&amp;Cube1,$J$13,$J$14,$J$15,$J$17,AB$22,$J$16,$D84))</f>
        <v>0</v>
      </c>
      <c r="AC84" s="31"/>
      <c r="AF84" s="90" t="str">
        <f ca="1">IF(xflag=1,_xll.DBSW(#REF!,Server&amp;Cube1,$J$13,$J$14,$J$15,#REF!,AF$2,$J$16,$D84),_xll.DBRW(Server&amp;Cube1,$J$13,$J$14,$J$15,#REF!,AF$2,$J$16,$D84))</f>
        <v>*KEY_ERR</v>
      </c>
    </row>
    <row r="85" spans="1:35" s="19" customFormat="1" ht="16.5" thickTop="1" x14ac:dyDescent="0.25">
      <c r="A85"/>
      <c r="B85" s="200" t="s">
        <v>44</v>
      </c>
      <c r="C85" s="219" t="s">
        <v>231</v>
      </c>
      <c r="D85" s="226" t="str">
        <f t="shared" ref="D85:D146" si="16">B85</f>
        <v>Cout_structure_honoraires</v>
      </c>
      <c r="E85"/>
      <c r="F85" s="228"/>
      <c r="G85" s="169"/>
      <c r="H85" s="105"/>
      <c r="I85" s="315" t="str">
        <f ca="1">_xll.DBRA(Server&amp;$D$22,$D85,"French")</f>
        <v>Honoraires</v>
      </c>
      <c r="J85" s="315" t="str">
        <f ca="1">_xll.DBRA(Server&amp;$D$22,$D85,"French")</f>
        <v>Honoraires</v>
      </c>
      <c r="K85" s="39"/>
      <c r="L85" s="67">
        <f ca="1">_xll.DBRW(Server&amp;Cube1,$J$13,$L$3,$J$15,$L$1,$L$2,$J$16,$D85)</f>
        <v>0</v>
      </c>
      <c r="M85" s="39"/>
      <c r="N85" s="67">
        <f ca="1">_xll.DBRW(Server&amp;Cube1,$J$13,$N$3,$J$15,$N$1,$N$2,$J$16,$D85)</f>
        <v>0</v>
      </c>
      <c r="O85" s="68"/>
      <c r="P85" s="69"/>
      <c r="Q85" s="110">
        <f ca="1">_xll.DBRW(Server&amp;Cube1,$J$13,$J$14,$J$15,$J$17,Q$1,$J$16,$D85)</f>
        <v>0</v>
      </c>
      <c r="R85" s="110">
        <f ca="1">_xll.DBRW(Server&amp;Cube1,$J$13,$J$14,$J$15,$J$17,R$1,$J$16,$D85)</f>
        <v>2286</v>
      </c>
      <c r="S85" s="110">
        <f ca="1">_xll.DBRW(Server&amp;Cube1,$J$13,$J$14,$J$15,$J$17,S$1,$J$16,$D85)</f>
        <v>-38377</v>
      </c>
      <c r="T85" s="110">
        <f ca="1">_xll.DBRW(Server&amp;Cube1,$J$13,$J$14,$J$15,$J$17,T$1,$J$16,$D85)</f>
        <v>-23697.33</v>
      </c>
      <c r="U85" s="110">
        <f ca="1">_xll.DBRW(Server&amp;Cube1,$J$13,$J$14,$J$15,$J$17,U$1,$J$16,$D85)</f>
        <v>62074.33</v>
      </c>
      <c r="V85" s="110">
        <f ca="1">_xll.DBRW(Server&amp;Cube1,$J$13,$J$14,$J$15,$J$17,V$1,$J$16,$D85)</f>
        <v>-144349.79</v>
      </c>
      <c r="W85" s="110">
        <f ca="1">_xll.DBRW(Server&amp;Cube1,$J$13,$J$14,$J$15,$J$17,W$1,$J$16,$D85)</f>
        <v>0</v>
      </c>
      <c r="X85" s="110">
        <f ca="1">_xll.DBRW(Server&amp;Cube1,$J$13,$J$14,$J$15,$J$17,X$1,$J$16,$D85)</f>
        <v>0</v>
      </c>
      <c r="Y85" s="110">
        <f ca="1">_xll.DBRW(Server&amp;Cube1,$J$13,$J$14,$J$15,$J$17,Y$1,$J$16,$D85)</f>
        <v>0</v>
      </c>
      <c r="Z85" s="110">
        <f ca="1">_xll.DBRW(Server&amp;Cube1,$J$13,$J$14,$J$15,$J$17,Z$1,$J$16,$D85)</f>
        <v>0</v>
      </c>
      <c r="AA85" s="110">
        <f ca="1">_xll.DBRW(Server&amp;Cube1,$J$13,$J$14,$J$15,$J$17,AA$1,$J$16,$D85)</f>
        <v>0</v>
      </c>
      <c r="AB85" s="110">
        <f ca="1">_xll.DBRW(Server&amp;Cube1,$J$13,$J$14,$J$15,$J$17,AB$1,$J$16,$D85)</f>
        <v>0</v>
      </c>
      <c r="AC85" s="31"/>
    </row>
    <row r="86" spans="1:35" s="19" customFormat="1" ht="15.75" x14ac:dyDescent="0.25">
      <c r="A86"/>
      <c r="B86" s="204" t="s">
        <v>117</v>
      </c>
      <c r="C86" s="214" t="s">
        <v>232</v>
      </c>
      <c r="D86" s="226" t="str">
        <f t="shared" si="16"/>
        <v>622600a</v>
      </c>
      <c r="E86"/>
      <c r="F86" s="228"/>
      <c r="G86" s="171"/>
      <c r="H86" s="107"/>
      <c r="I86" s="305" t="s">
        <v>232</v>
      </c>
      <c r="J86" s="305"/>
      <c r="K86" s="37"/>
      <c r="L86" s="54">
        <f ca="1">_xll.DBRW(Server&amp;Cube1,$J$13,$L$3,$J$15,$L$1,$L$2,$J$16,$D86)</f>
        <v>0</v>
      </c>
      <c r="M86" s="37"/>
      <c r="N86" s="54">
        <f ca="1">_xll.DBRW(Server&amp;Cube1,$J$13,$N$3,$J$15,$N$1,$N$2,$J$16,$D86)</f>
        <v>0</v>
      </c>
      <c r="O86" s="55"/>
      <c r="P86" s="57"/>
      <c r="Q86" s="109">
        <f ca="1">IF(xflag=1,_xll.DBSW(SAISIE!Q86,Server&amp;Cube1,$J$13,$J$14,$J$15,$J$17,Q$22,$J$16,$D86),_xll.DBRW(Server&amp;Cube1,$J$13,$J$14,$J$15,$J$17,Q$22,$J$16,$D86))</f>
        <v>0</v>
      </c>
      <c r="R86" s="109">
        <f ca="1">IF(xflag=1,_xll.DBSW(SAISIE!R86,Server&amp;Cube1,$J$13,$J$14,$J$15,$J$17,R$22,$J$16,$D86),_xll.DBRW(Server&amp;Cube1,$J$13,$J$14,$J$15,$J$17,R$22,$J$16,$D86))</f>
        <v>0</v>
      </c>
      <c r="S86" s="109">
        <f ca="1">IF(xflag=1,_xll.DBSW(SAISIE!S86,Server&amp;Cube1,$J$13,$J$14,$J$15,$J$17,S$22,$J$16,$D86),_xll.DBRW(Server&amp;Cube1,$J$13,$J$14,$J$15,$J$17,S$22,$J$16,$D86))</f>
        <v>-34941</v>
      </c>
      <c r="T86" s="109">
        <f ca="1">IF(xflag=1,_xll.DBSW(SAISIE!T86,Server&amp;Cube1,$J$13,$J$14,$J$15,$J$17,T$22,$J$16,$D86),_xll.DBRW(Server&amp;Cube1,$J$13,$J$14,$J$15,$J$17,T$22,$J$16,$D86))</f>
        <v>-11647</v>
      </c>
      <c r="U86" s="109">
        <f ca="1">IF(xflag=1,_xll.DBSW(SAISIE!U86,Server&amp;Cube1,$J$13,$J$14,$J$15,$J$17,U$22,$J$16,$D86),_xll.DBRW(Server&amp;Cube1,$J$13,$J$14,$J$15,$J$17,U$22,$J$16,$D86))</f>
        <v>46588</v>
      </c>
      <c r="V86" s="109">
        <f ca="1">IF(xflag=1,_xll.DBSW(SAISIE!V86,Server&amp;Cube1,$J$13,$J$14,$J$15,$J$17,V$22,$J$16,$D86),_xll.DBRW(Server&amp;Cube1,$J$13,$J$14,$J$15,$J$17,V$22,$J$16,$D86))</f>
        <v>-139763.79</v>
      </c>
      <c r="W86" s="109">
        <f ca="1">IF(xflag=1,_xll.DBSW(SAISIE!W86,Server&amp;Cube1,$J$13,$J$14,$J$15,$J$17,W$22,$J$16,$D86),_xll.DBRW(Server&amp;Cube1,$J$13,$J$14,$J$15,$J$17,W$22,$J$16,$D86))</f>
        <v>0</v>
      </c>
      <c r="X86" s="109">
        <f ca="1">IF(xflag=1,_xll.DBSW(SAISIE!X86,Server&amp;Cube1,$J$13,$J$14,$J$15,$J$17,X$22,$J$16,$D86),_xll.DBRW(Server&amp;Cube1,$J$13,$J$14,$J$15,$J$17,X$22,$J$16,$D86))</f>
        <v>0</v>
      </c>
      <c r="Y86" s="109">
        <f ca="1">IF(xflag=1,_xll.DBSW(SAISIE!Y86,Server&amp;Cube1,$J$13,$J$14,$J$15,$J$17,Y$22,$J$16,$D86),_xll.DBRW(Server&amp;Cube1,$J$13,$J$14,$J$15,$J$17,Y$22,$J$16,$D86))</f>
        <v>0</v>
      </c>
      <c r="Z86" s="109">
        <f ca="1">IF(xflag=1,_xll.DBSW(SAISIE!Z86,Server&amp;Cube1,$J$13,$J$14,$J$15,$J$17,Z$22,$J$16,$D86),_xll.DBRW(Server&amp;Cube1,$J$13,$J$14,$J$15,$J$17,Z$22,$J$16,$D86))</f>
        <v>0</v>
      </c>
      <c r="AA86" s="109">
        <f ca="1">IF(xflag=1,_xll.DBSW(SAISIE!AA86,Server&amp;Cube1,$J$13,$J$14,$J$15,$J$17,AA$22,$J$16,$D86),_xll.DBRW(Server&amp;Cube1,$J$13,$J$14,$J$15,$J$17,AA$22,$J$16,$D86))</f>
        <v>0</v>
      </c>
      <c r="AB86" s="109">
        <f ca="1">IF(xflag=1,_xll.DBSW(SAISIE!AB86,Server&amp;Cube1,$J$13,$J$14,$J$15,$J$17,AB$22,$J$16,$D86),_xll.DBRW(Server&amp;Cube1,$J$13,$J$14,$J$15,$J$17,AB$22,$J$16,$D86))</f>
        <v>0</v>
      </c>
      <c r="AC86" s="31"/>
      <c r="AF86" s="90" t="str">
        <f ca="1">IF(xflag=1,_xll.DBSW(#REF!,Server&amp;Cube1,$J$13,$J$14,$J$15,#REF!,AF$2,$J$16,$D86),_xll.DBRW(Server&amp;Cube1,$J$13,$J$14,$J$15,#REF!,AF$2,$J$16,$D86))</f>
        <v>*KEY_ERR</v>
      </c>
    </row>
    <row r="87" spans="1:35" s="19" customFormat="1" ht="15.75" x14ac:dyDescent="0.25">
      <c r="A87"/>
      <c r="B87" s="204" t="s">
        <v>118</v>
      </c>
      <c r="C87" s="214" t="s">
        <v>233</v>
      </c>
      <c r="D87" s="226" t="str">
        <f t="shared" si="16"/>
        <v>622600b</v>
      </c>
      <c r="E87"/>
      <c r="F87" s="228"/>
      <c r="G87" s="171"/>
      <c r="H87" s="107"/>
      <c r="I87" s="305" t="str">
        <f ca="1">_xll.DBRA(Server&amp;$D$22,$D87,"French")</f>
        <v>Honoraires CAC</v>
      </c>
      <c r="J87" s="305" t="str">
        <f ca="1">_xll.DBRA(Server&amp;$D$22,$D87,"French")</f>
        <v>Honoraires CAC</v>
      </c>
      <c r="K87" s="37"/>
      <c r="L87" s="54">
        <f ca="1">_xll.DBRW(Server&amp;Cube1,$J$13,$L$3,$J$15,$L$1,$L$2,$J$16,$D87)</f>
        <v>0</v>
      </c>
      <c r="M87" s="37"/>
      <c r="N87" s="54">
        <f ca="1">_xll.DBRW(Server&amp;Cube1,$J$13,$N$3,$J$15,$N$1,$N$2,$J$16,$D87)</f>
        <v>0</v>
      </c>
      <c r="O87" s="55"/>
      <c r="P87" s="57"/>
      <c r="Q87" s="109">
        <f ca="1">IF(xflag=1,_xll.DBSW(SAISIE!Q87,Server&amp;Cube1,$J$13,$J$14,$J$15,$J$17,Q$22,$J$16,$D87),_xll.DBRW(Server&amp;Cube1,$J$13,$J$14,$J$15,$J$17,Q$22,$J$16,$D87))</f>
        <v>0</v>
      </c>
      <c r="R87" s="109">
        <f ca="1">IF(xflag=1,_xll.DBSW(SAISIE!R87,Server&amp;Cube1,$J$13,$J$14,$J$15,$J$17,R$22,$J$16,$D87),_xll.DBRW(Server&amp;Cube1,$J$13,$J$14,$J$15,$J$17,R$22,$J$16,$D87))</f>
        <v>2286</v>
      </c>
      <c r="S87" s="109">
        <f ca="1">IF(xflag=1,_xll.DBSW(SAISIE!S87,Server&amp;Cube1,$J$13,$J$14,$J$15,$J$17,S$22,$J$16,$D87),_xll.DBRW(Server&amp;Cube1,$J$13,$J$14,$J$15,$J$17,S$22,$J$16,$D87))</f>
        <v>-3436</v>
      </c>
      <c r="T87" s="109">
        <f ca="1">IF(xflag=1,_xll.DBSW(SAISIE!T87,Server&amp;Cube1,$J$13,$J$14,$J$15,$J$17,T$22,$J$16,$D87),_xll.DBRW(Server&amp;Cube1,$J$13,$J$14,$J$15,$J$17,T$22,$J$16,$D87))</f>
        <v>-383.32999999999993</v>
      </c>
      <c r="U87" s="109">
        <f ca="1">IF(xflag=1,_xll.DBSW(SAISIE!U87,Server&amp;Cube1,$J$13,$J$14,$J$15,$J$17,U$22,$J$16,$D87),_xll.DBRW(Server&amp;Cube1,$J$13,$J$14,$J$15,$J$17,U$22,$J$16,$D87))</f>
        <v>3819.33</v>
      </c>
      <c r="V87" s="109">
        <f ca="1">IF(xflag=1,_xll.DBSW(SAISIE!V87,Server&amp;Cube1,$J$13,$J$14,$J$15,$J$17,V$22,$J$16,$D87),_xll.DBRW(Server&amp;Cube1,$J$13,$J$14,$J$15,$J$17,V$22,$J$16,$D87))</f>
        <v>-4586</v>
      </c>
      <c r="W87" s="109">
        <f ca="1">IF(xflag=1,_xll.DBSW(SAISIE!W87,Server&amp;Cube1,$J$13,$J$14,$J$15,$J$17,W$22,$J$16,$D87),_xll.DBRW(Server&amp;Cube1,$J$13,$J$14,$J$15,$J$17,W$22,$J$16,$D87))</f>
        <v>0</v>
      </c>
      <c r="X87" s="109">
        <f ca="1">IF(xflag=1,_xll.DBSW(SAISIE!X87,Server&amp;Cube1,$J$13,$J$14,$J$15,$J$17,X$22,$J$16,$D87),_xll.DBRW(Server&amp;Cube1,$J$13,$J$14,$J$15,$J$17,X$22,$J$16,$D87))</f>
        <v>0</v>
      </c>
      <c r="Y87" s="109">
        <f ca="1">IF(xflag=1,_xll.DBSW(SAISIE!Y87,Server&amp;Cube1,$J$13,$J$14,$J$15,$J$17,Y$22,$J$16,$D87),_xll.DBRW(Server&amp;Cube1,$J$13,$J$14,$J$15,$J$17,Y$22,$J$16,$D87))</f>
        <v>0</v>
      </c>
      <c r="Z87" s="109">
        <f ca="1">IF(xflag=1,_xll.DBSW(SAISIE!Z87,Server&amp;Cube1,$J$13,$J$14,$J$15,$J$17,Z$22,$J$16,$D87),_xll.DBRW(Server&amp;Cube1,$J$13,$J$14,$J$15,$J$17,Z$22,$J$16,$D87))</f>
        <v>0</v>
      </c>
      <c r="AA87" s="109">
        <f ca="1">IF(xflag=1,_xll.DBSW(SAISIE!AA87,Server&amp;Cube1,$J$13,$J$14,$J$15,$J$17,AA$22,$J$16,$D87),_xll.DBRW(Server&amp;Cube1,$J$13,$J$14,$J$15,$J$17,AA$22,$J$16,$D87))</f>
        <v>0</v>
      </c>
      <c r="AB87" s="109">
        <f ca="1">IF(xflag=1,_xll.DBSW(SAISIE!AB87,Server&amp;Cube1,$J$13,$J$14,$J$15,$J$17,AB$22,$J$16,$D87),_xll.DBRW(Server&amp;Cube1,$J$13,$J$14,$J$15,$J$17,AB$22,$J$16,$D87))</f>
        <v>0</v>
      </c>
      <c r="AC87" s="31"/>
      <c r="AF87" s="90" t="str">
        <f ca="1">IF(xflag=1,_xll.DBSW(#REF!,Server&amp;Cube1,$J$13,$J$14,$J$15,#REF!,AF$2,$J$16,$D87),_xll.DBRW(Server&amp;Cube1,$J$13,$J$14,$J$15,#REF!,AF$2,$J$16,$D87))</f>
        <v>*KEY_ERR</v>
      </c>
    </row>
    <row r="88" spans="1:35" s="19" customFormat="1" ht="15.75" x14ac:dyDescent="0.25">
      <c r="A88"/>
      <c r="B88" s="204" t="s">
        <v>132</v>
      </c>
      <c r="C88" s="214" t="s">
        <v>234</v>
      </c>
      <c r="D88" s="226" t="str">
        <f t="shared" si="16"/>
        <v>622610</v>
      </c>
      <c r="E88"/>
      <c r="F88" s="228"/>
      <c r="G88" s="171"/>
      <c r="H88" s="107"/>
      <c r="I88" s="305" t="str">
        <f ca="1">_xll.DBRA(Server&amp;$D$22,$D88,"French")</f>
        <v>Honoraires - Conseils</v>
      </c>
      <c r="J88" s="305" t="str">
        <f ca="1">_xll.DBRA(Server&amp;$D$22,$D88,"French")</f>
        <v>Honoraires - Conseils</v>
      </c>
      <c r="K88" s="37"/>
      <c r="L88" s="54">
        <f ca="1">_xll.DBRW(Server&amp;Cube1,$J$13,$L$3,$J$15,$L$1,$L$2,$J$16,$D88)</f>
        <v>0</v>
      </c>
      <c r="M88" s="37"/>
      <c r="N88" s="54">
        <f ca="1">_xll.DBRW(Server&amp;Cube1,$J$13,$N$3,$J$15,$N$1,$N$2,$J$16,$D88)</f>
        <v>0</v>
      </c>
      <c r="O88" s="55"/>
      <c r="P88" s="57"/>
      <c r="Q88" s="109">
        <f ca="1">IF(xflag=1,_xll.DBSW(SAISIE!Q88,Server&amp;Cube1,$J$13,$J$14,$J$15,$J$17,Q$22,$J$16,$D88),_xll.DBRW(Server&amp;Cube1,$J$13,$J$14,$J$15,$J$17,Q$22,$J$16,$D88))</f>
        <v>0</v>
      </c>
      <c r="R88" s="109">
        <f ca="1">IF(xflag=1,_xll.DBSW(SAISIE!R88,Server&amp;Cube1,$J$13,$J$14,$J$15,$J$17,R$22,$J$16,$D88),_xll.DBRW(Server&amp;Cube1,$J$13,$J$14,$J$15,$J$17,R$22,$J$16,$D88))</f>
        <v>0</v>
      </c>
      <c r="S88" s="109">
        <f ca="1">IF(xflag=1,_xll.DBSW(SAISIE!S88,Server&amp;Cube1,$J$13,$J$14,$J$15,$J$17,S$22,$J$16,$D88),_xll.DBRW(Server&amp;Cube1,$J$13,$J$14,$J$15,$J$17,S$22,$J$16,$D88))</f>
        <v>0</v>
      </c>
      <c r="T88" s="109">
        <f ca="1">IF(xflag=1,_xll.DBSW(SAISIE!T88,Server&amp;Cube1,$J$13,$J$14,$J$15,$J$17,T$22,$J$16,$D88),_xll.DBRW(Server&amp;Cube1,$J$13,$J$14,$J$15,$J$17,T$22,$J$16,$D88))</f>
        <v>-11667</v>
      </c>
      <c r="U88" s="109">
        <f ca="1">IF(xflag=1,_xll.DBSW(SAISIE!U88,Server&amp;Cube1,$J$13,$J$14,$J$15,$J$17,U$22,$J$16,$D88),_xll.DBRW(Server&amp;Cube1,$J$13,$J$14,$J$15,$J$17,U$22,$J$16,$D88))</f>
        <v>11667</v>
      </c>
      <c r="V88" s="109">
        <f ca="1">IF(xflag=1,_xll.DBSW(SAISIE!V88,Server&amp;Cube1,$J$13,$J$14,$J$15,$J$17,V$22,$J$16,$D88),_xll.DBRW(Server&amp;Cube1,$J$13,$J$14,$J$15,$J$17,V$22,$J$16,$D88))</f>
        <v>0</v>
      </c>
      <c r="W88" s="109">
        <f ca="1">IF(xflag=1,_xll.DBSW(SAISIE!W88,Server&amp;Cube1,$J$13,$J$14,$J$15,$J$17,W$22,$J$16,$D88),_xll.DBRW(Server&amp;Cube1,$J$13,$J$14,$J$15,$J$17,W$22,$J$16,$D88))</f>
        <v>0</v>
      </c>
      <c r="X88" s="109">
        <f ca="1">IF(xflag=1,_xll.DBSW(SAISIE!X88,Server&amp;Cube1,$J$13,$J$14,$J$15,$J$17,X$22,$J$16,$D88),_xll.DBRW(Server&amp;Cube1,$J$13,$J$14,$J$15,$J$17,X$22,$J$16,$D88))</f>
        <v>0</v>
      </c>
      <c r="Y88" s="109">
        <f ca="1">IF(xflag=1,_xll.DBSW(SAISIE!Y88,Server&amp;Cube1,$J$13,$J$14,$J$15,$J$17,Y$22,$J$16,$D88),_xll.DBRW(Server&amp;Cube1,$J$13,$J$14,$J$15,$J$17,Y$22,$J$16,$D88))</f>
        <v>0</v>
      </c>
      <c r="Z88" s="109">
        <f ca="1">IF(xflag=1,_xll.DBSW(SAISIE!Z88,Server&amp;Cube1,$J$13,$J$14,$J$15,$J$17,Z$22,$J$16,$D88),_xll.DBRW(Server&amp;Cube1,$J$13,$J$14,$J$15,$J$17,Z$22,$J$16,$D88))</f>
        <v>0</v>
      </c>
      <c r="AA88" s="109">
        <f ca="1">IF(xflag=1,_xll.DBSW(SAISIE!AA88,Server&amp;Cube1,$J$13,$J$14,$J$15,$J$17,AA$22,$J$16,$D88),_xll.DBRW(Server&amp;Cube1,$J$13,$J$14,$J$15,$J$17,AA$22,$J$16,$D88))</f>
        <v>0</v>
      </c>
      <c r="AB88" s="109">
        <f ca="1">IF(xflag=1,_xll.DBSW(SAISIE!AB88,Server&amp;Cube1,$J$13,$J$14,$J$15,$J$17,AB$22,$J$16,$D88),_xll.DBRW(Server&amp;Cube1,$J$13,$J$14,$J$15,$J$17,AB$22,$J$16,$D88))</f>
        <v>0</v>
      </c>
      <c r="AC88" s="31"/>
      <c r="AF88" s="90" t="str">
        <f ca="1">IF(xflag=1,_xll.DBSW(#REF!,Server&amp;Cube1,$J$13,$J$14,$J$15,#REF!,AF$2,$J$16,$D88),_xll.DBRW(Server&amp;Cube1,$J$13,$J$14,$J$15,#REF!,AF$2,$J$16,$D88))</f>
        <v>*KEY_ERR</v>
      </c>
      <c r="AI88" s="19">
        <v>10</v>
      </c>
    </row>
    <row r="89" spans="1:35" s="19" customFormat="1" ht="16.5" thickBot="1" x14ac:dyDescent="0.3">
      <c r="A89"/>
      <c r="B89" s="204" t="s">
        <v>45</v>
      </c>
      <c r="C89" s="214" t="s">
        <v>235</v>
      </c>
      <c r="D89" s="226" t="str">
        <f t="shared" si="16"/>
        <v>622700</v>
      </c>
      <c r="E89"/>
      <c r="F89" s="228"/>
      <c r="G89" s="171"/>
      <c r="H89" s="107"/>
      <c r="I89" s="305" t="str">
        <f ca="1">_xll.DBRA(Server&amp;$D$22,$D89,"French")</f>
        <v>Frais d'actes et de contentieux publications et divers</v>
      </c>
      <c r="J89" s="305" t="str">
        <f ca="1">_xll.DBRA(Server&amp;$D$22,$D89,"French")</f>
        <v>Frais d'actes et de contentieux publications et divers</v>
      </c>
      <c r="K89" s="37"/>
      <c r="L89" s="54">
        <f ca="1">_xll.DBRW(Server&amp;Cube1,$J$13,$L$3,$J$15,$L$1,$L$2,$J$16,$D89)</f>
        <v>0</v>
      </c>
      <c r="M89" s="37"/>
      <c r="N89" s="54">
        <f ca="1">_xll.DBRW(Server&amp;Cube1,$J$13,$N$3,$J$15,$N$1,$N$2,$J$16,$D89)</f>
        <v>0</v>
      </c>
      <c r="O89" s="55"/>
      <c r="P89" s="57"/>
      <c r="Q89" s="109">
        <f ca="1">IF(xflag=1,_xll.DBSW(SAISIE!Q89,Server&amp;Cube1,$J$13,$J$14,$J$15,$J$17,Q$22,$J$16,$D89),_xll.DBRW(Server&amp;Cube1,$J$13,$J$14,$J$15,$J$17,Q$22,$J$16,$D89))</f>
        <v>0</v>
      </c>
      <c r="R89" s="109">
        <f ca="1">IF(xflag=1,_xll.DBSW(SAISIE!R89,Server&amp;Cube1,$J$13,$J$14,$J$15,$J$17,R$22,$J$16,$D89),_xll.DBRW(Server&amp;Cube1,$J$13,$J$14,$J$15,$J$17,R$22,$J$16,$D89))</f>
        <v>0</v>
      </c>
      <c r="S89" s="109">
        <f ca="1">IF(xflag=1,_xll.DBSW(SAISIE!S89,Server&amp;Cube1,$J$13,$J$14,$J$15,$J$17,S$22,$J$16,$D89),_xll.DBRW(Server&amp;Cube1,$J$13,$J$14,$J$15,$J$17,S$22,$J$16,$D89))</f>
        <v>0</v>
      </c>
      <c r="T89" s="109">
        <f ca="1">IF(xflag=1,_xll.DBSW(SAISIE!T89,Server&amp;Cube1,$J$13,$J$14,$J$15,$J$17,T$22,$J$16,$D89),_xll.DBRW(Server&amp;Cube1,$J$13,$J$14,$J$15,$J$17,T$22,$J$16,$D89))</f>
        <v>0</v>
      </c>
      <c r="U89" s="109">
        <f ca="1">IF(xflag=1,_xll.DBSW(SAISIE!U89,Server&amp;Cube1,$J$13,$J$14,$J$15,$J$17,U$22,$J$16,$D89),_xll.DBRW(Server&amp;Cube1,$J$13,$J$14,$J$15,$J$17,U$22,$J$16,$D89))</f>
        <v>0</v>
      </c>
      <c r="V89" s="109">
        <f ca="1">IF(xflag=1,_xll.DBSW(SAISIE!V89,Server&amp;Cube1,$J$13,$J$14,$J$15,$J$17,V$22,$J$16,$D89),_xll.DBRW(Server&amp;Cube1,$J$13,$J$14,$J$15,$J$17,V$22,$J$16,$D89))</f>
        <v>0</v>
      </c>
      <c r="W89" s="109">
        <f ca="1">IF(xflag=1,_xll.DBSW(SAISIE!W89,Server&amp;Cube1,$J$13,$J$14,$J$15,$J$17,W$22,$J$16,$D89),_xll.DBRW(Server&amp;Cube1,$J$13,$J$14,$J$15,$J$17,W$22,$J$16,$D89))</f>
        <v>0</v>
      </c>
      <c r="X89" s="109">
        <f ca="1">IF(xflag=1,_xll.DBSW(SAISIE!X89,Server&amp;Cube1,$J$13,$J$14,$J$15,$J$17,X$22,$J$16,$D89),_xll.DBRW(Server&amp;Cube1,$J$13,$J$14,$J$15,$J$17,X$22,$J$16,$D89))</f>
        <v>0</v>
      </c>
      <c r="Y89" s="109">
        <f ca="1">IF(xflag=1,_xll.DBSW(SAISIE!Y89,Server&amp;Cube1,$J$13,$J$14,$J$15,$J$17,Y$22,$J$16,$D89),_xll.DBRW(Server&amp;Cube1,$J$13,$J$14,$J$15,$J$17,Y$22,$J$16,$D89))</f>
        <v>0</v>
      </c>
      <c r="Z89" s="109">
        <f ca="1">IF(xflag=1,_xll.DBSW(SAISIE!Z89,Server&amp;Cube1,$J$13,$J$14,$J$15,$J$17,Z$22,$J$16,$D89),_xll.DBRW(Server&amp;Cube1,$J$13,$J$14,$J$15,$J$17,Z$22,$J$16,$D89))</f>
        <v>0</v>
      </c>
      <c r="AA89" s="109">
        <f ca="1">IF(xflag=1,_xll.DBSW(SAISIE!AA89,Server&amp;Cube1,$J$13,$J$14,$J$15,$J$17,AA$22,$J$16,$D89),_xll.DBRW(Server&amp;Cube1,$J$13,$J$14,$J$15,$J$17,AA$22,$J$16,$D89))</f>
        <v>0</v>
      </c>
      <c r="AB89" s="109">
        <f ca="1">IF(xflag=1,_xll.DBSW(SAISIE!AB89,Server&amp;Cube1,$J$13,$J$14,$J$15,$J$17,AB$22,$J$16,$D89),_xll.DBRW(Server&amp;Cube1,$J$13,$J$14,$J$15,$J$17,AB$22,$J$16,$D89))</f>
        <v>0</v>
      </c>
      <c r="AC89" s="31"/>
      <c r="AF89" s="90" t="str">
        <f ca="1">IF(xflag=1,_xll.DBSW(#REF!,Server&amp;Cube1,$J$13,$J$14,$J$15,#REF!,AF$2,$J$16,$D89),_xll.DBRW(Server&amp;Cube1,$J$13,$J$14,$J$15,#REF!,AF$2,$J$16,$D89))</f>
        <v>*KEY_ERR</v>
      </c>
    </row>
    <row r="90" spans="1:35" s="19" customFormat="1" ht="16.5" thickTop="1" x14ac:dyDescent="0.25">
      <c r="A90"/>
      <c r="B90" s="200" t="s">
        <v>46</v>
      </c>
      <c r="C90" s="219" t="s">
        <v>236</v>
      </c>
      <c r="D90" s="226" t="str">
        <f t="shared" si="16"/>
        <v>Cout_structure_autres</v>
      </c>
      <c r="E90"/>
      <c r="F90" s="228"/>
      <c r="G90" s="169"/>
      <c r="H90" s="105"/>
      <c r="I90" s="315" t="str">
        <f ca="1">_xll.DBRA(Server&amp;$D$22,$D90,"French")</f>
        <v>Autres frais</v>
      </c>
      <c r="J90" s="315" t="str">
        <f ca="1">_xll.DBRA(Server&amp;$D$22,$D90,"French")</f>
        <v>Autres frais</v>
      </c>
      <c r="K90" s="39"/>
      <c r="L90" s="67">
        <f ca="1">SUM(L91:L121)</f>
        <v>-10311.01</v>
      </c>
      <c r="M90" s="39"/>
      <c r="N90" s="67">
        <f ca="1">SUM(N91:N121)</f>
        <v>-732.2</v>
      </c>
      <c r="O90" s="68"/>
      <c r="P90" s="69"/>
      <c r="Q90" s="110">
        <f t="shared" ref="Q90:AB90" ca="1" si="17">SUM(Q91:Q121)</f>
        <v>0</v>
      </c>
      <c r="R90" s="110">
        <f t="shared" ca="1" si="17"/>
        <v>27249.649999999994</v>
      </c>
      <c r="S90" s="110">
        <f t="shared" ca="1" si="17"/>
        <v>-190214.99999999997</v>
      </c>
      <c r="T90" s="110">
        <f t="shared" ca="1" si="17"/>
        <v>-20418.16</v>
      </c>
      <c r="U90" s="110">
        <f t="shared" ca="1" si="17"/>
        <v>22083.079999999994</v>
      </c>
      <c r="V90" s="110">
        <f t="shared" ca="1" si="17"/>
        <v>-149611.05000000002</v>
      </c>
      <c r="W90" s="110">
        <f t="shared" ca="1" si="17"/>
        <v>0</v>
      </c>
      <c r="X90" s="110">
        <f t="shared" ca="1" si="17"/>
        <v>0</v>
      </c>
      <c r="Y90" s="110">
        <f t="shared" ca="1" si="17"/>
        <v>0</v>
      </c>
      <c r="Z90" s="110">
        <f t="shared" ca="1" si="17"/>
        <v>0</v>
      </c>
      <c r="AA90" s="110">
        <f t="shared" ca="1" si="17"/>
        <v>0</v>
      </c>
      <c r="AB90" s="110">
        <f t="shared" ca="1" si="17"/>
        <v>0</v>
      </c>
      <c r="AC90" s="31"/>
    </row>
    <row r="91" spans="1:35" s="19" customFormat="1" ht="15.75" x14ac:dyDescent="0.25">
      <c r="A91"/>
      <c r="B91" s="204" t="s">
        <v>175</v>
      </c>
      <c r="C91" s="214" t="s">
        <v>181</v>
      </c>
      <c r="D91" s="226" t="str">
        <f t="shared" si="16"/>
        <v>604300</v>
      </c>
      <c r="E91"/>
      <c r="F91" s="228"/>
      <c r="G91" s="171"/>
      <c r="H91" s="107"/>
      <c r="I91" s="305" t="str">
        <f ca="1">_xll.DBRA(Server&amp;$D$22,$D91,"French")</f>
        <v>Accés formation à distance (coûts directs)</v>
      </c>
      <c r="J91" s="305" t="str">
        <f ca="1">_xll.DBRA(Server&amp;$D$22,$D91,"French")</f>
        <v>Accés formation à distance (coûts directs)</v>
      </c>
      <c r="K91" s="37"/>
      <c r="L91" s="54">
        <f ca="1">_xll.DBRW(Server&amp;Cube1,$J$13,$L$3,$J$15,$L$1,$L$2,$J$16,$D91)</f>
        <v>-5500</v>
      </c>
      <c r="M91" s="37"/>
      <c r="N91" s="54">
        <f ca="1">_xll.DBRW(Server&amp;Cube1,$J$13,$N$3,$J$15,$N$1,$N$2,$J$16,$D91)</f>
        <v>0</v>
      </c>
      <c r="O91" s="55"/>
      <c r="P91" s="57"/>
      <c r="Q91" s="109">
        <f ca="1">IF(xflag=1,_xll.DBSW(SAISIE!Q91,Server&amp;Cube1,$J$13,$J$14,$J$15,$J$17,Q$22,$J$16,$D91),_xll.DBRW(Server&amp;Cube1,$J$13,$J$14,$J$15,$J$17,Q$22,$J$16,$D91))</f>
        <v>0</v>
      </c>
      <c r="R91" s="109">
        <f ca="1">IF(xflag=1,_xll.DBSW(SAISIE!R91,Server&amp;Cube1,$J$13,$J$14,$J$15,$J$17,R$22,$J$16,$D91),_xll.DBRW(Server&amp;Cube1,$J$13,$J$14,$J$15,$J$17,R$22,$J$16,$D91))</f>
        <v>0</v>
      </c>
      <c r="S91" s="109">
        <f ca="1">IF(xflag=1,_xll.DBSW(SAISIE!S91,Server&amp;Cube1,$J$13,$J$14,$J$15,$J$17,S$22,$J$16,$D91),_xll.DBRW(Server&amp;Cube1,$J$13,$J$14,$J$15,$J$17,S$22,$J$16,$D91))</f>
        <v>0</v>
      </c>
      <c r="T91" s="109">
        <f ca="1">IF(xflag=1,_xll.DBSW(SAISIE!T91,Server&amp;Cube1,$J$13,$J$14,$J$15,$J$17,T$22,$J$16,$D91),_xll.DBRW(Server&amp;Cube1,$J$13,$J$14,$J$15,$J$17,T$22,$J$16,$D91))</f>
        <v>0</v>
      </c>
      <c r="U91" s="109">
        <f ca="1">IF(xflag=1,_xll.DBSW(SAISIE!U91,Server&amp;Cube1,$J$13,$J$14,$J$15,$J$17,U$22,$J$16,$D91),_xll.DBRW(Server&amp;Cube1,$J$13,$J$14,$J$15,$J$17,U$22,$J$16,$D91))</f>
        <v>0</v>
      </c>
      <c r="V91" s="109">
        <f ca="1">IF(xflag=1,_xll.DBSW(SAISIE!V91,Server&amp;Cube1,$J$13,$J$14,$J$15,$J$17,V$22,$J$16,$D91),_xll.DBRW(Server&amp;Cube1,$J$13,$J$14,$J$15,$J$17,V$22,$J$16,$D91))</f>
        <v>0</v>
      </c>
      <c r="W91" s="109">
        <f ca="1">IF(xflag=1,_xll.DBSW(SAISIE!W91,Server&amp;Cube1,$J$13,$J$14,$J$15,$J$17,W$22,$J$16,$D91),_xll.DBRW(Server&amp;Cube1,$J$13,$J$14,$J$15,$J$17,W$22,$J$16,$D91))</f>
        <v>0</v>
      </c>
      <c r="X91" s="109">
        <f ca="1">IF(xflag=1,_xll.DBSW(SAISIE!X91,Server&amp;Cube1,$J$13,$J$14,$J$15,$J$17,X$22,$J$16,$D91),_xll.DBRW(Server&amp;Cube1,$J$13,$J$14,$J$15,$J$17,X$22,$J$16,$D91))</f>
        <v>0</v>
      </c>
      <c r="Y91" s="109">
        <f ca="1">IF(xflag=1,_xll.DBSW(SAISIE!Y91,Server&amp;Cube1,$J$13,$J$14,$J$15,$J$17,Y$22,$J$16,$D91),_xll.DBRW(Server&amp;Cube1,$J$13,$J$14,$J$15,$J$17,Y$22,$J$16,$D91))</f>
        <v>0</v>
      </c>
      <c r="Z91" s="109">
        <f ca="1">IF(xflag=1,_xll.DBSW(SAISIE!Z91,Server&amp;Cube1,$J$13,$J$14,$J$15,$J$17,Z$22,$J$16,$D91),_xll.DBRW(Server&amp;Cube1,$J$13,$J$14,$J$15,$J$17,Z$22,$J$16,$D91))</f>
        <v>0</v>
      </c>
      <c r="AA91" s="109">
        <f ca="1">IF(xflag=1,_xll.DBSW(SAISIE!AA91,Server&amp;Cube1,$J$13,$J$14,$J$15,$J$17,AA$22,$J$16,$D91),_xll.DBRW(Server&amp;Cube1,$J$13,$J$14,$J$15,$J$17,AA$22,$J$16,$D91))</f>
        <v>0</v>
      </c>
      <c r="AB91" s="109">
        <f ca="1">IF(xflag=1,_xll.DBSW(SAISIE!AB91,Server&amp;Cube1,$J$13,$J$14,$J$15,$J$17,AB$22,$J$16,$D91),_xll.DBRW(Server&amp;Cube1,$J$13,$J$14,$J$15,$J$17,AB$22,$J$16,$D91))</f>
        <v>0</v>
      </c>
      <c r="AC91" s="31"/>
      <c r="AF91" s="90" t="str">
        <f ca="1">IF(xflag=1,_xll.DBSW(#REF!,Server&amp;Cube1,$J$13,$J$14,$J$15,#REF!,AF$2,$J$16,$D91),_xll.DBRW(Server&amp;Cube1,$J$13,$J$14,$J$15,#REF!,AF$2,$J$16,$D91))</f>
        <v>*KEY_ERR</v>
      </c>
    </row>
    <row r="92" spans="1:35" s="19" customFormat="1" ht="15.75" x14ac:dyDescent="0.25">
      <c r="A92"/>
      <c r="B92" s="204" t="s">
        <v>178</v>
      </c>
      <c r="C92" s="214" t="s">
        <v>183</v>
      </c>
      <c r="D92" s="226" t="str">
        <f t="shared" si="16"/>
        <v>606120</v>
      </c>
      <c r="E92"/>
      <c r="F92" s="228"/>
      <c r="G92" s="171"/>
      <c r="H92" s="107" t="str">
        <f ca="1">_xll.DBRA(Server&amp;$D$22,$D92,"French")</f>
        <v>Bonbonne de gaz (coûts directs)</v>
      </c>
      <c r="I92" s="305" t="s">
        <v>183</v>
      </c>
      <c r="J92" s="305"/>
      <c r="K92" s="37"/>
      <c r="L92" s="54">
        <f ca="1">_xll.DBRW(Server&amp;Cube1,$J$13,$L$3,$J$15,$L$1,$L$2,$J$16,$D92)</f>
        <v>0</v>
      </c>
      <c r="M92" s="37"/>
      <c r="N92" s="54">
        <f ca="1">_xll.DBRW(Server&amp;Cube1,$J$13,$N$3,$J$15,$N$1,$N$2,$J$16,$D92)</f>
        <v>0</v>
      </c>
      <c r="O92" s="55"/>
      <c r="P92" s="57"/>
      <c r="Q92" s="109">
        <f ca="1">IF(xflag=1,_xll.DBSW(SAISIE!Q92,Server&amp;Cube1,$J$13,$J$14,$J$15,$J$17,Q$22,$J$16,$D92),_xll.DBRW(Server&amp;Cube1,$J$13,$J$14,$J$15,$J$17,Q$22,$J$16,$D92))</f>
        <v>0</v>
      </c>
      <c r="R92" s="109">
        <f ca="1">IF(xflag=1,_xll.DBSW(SAISIE!R92,Server&amp;Cube1,$J$13,$J$14,$J$15,$J$17,R$22,$J$16,$D92),_xll.DBRW(Server&amp;Cube1,$J$13,$J$14,$J$15,$J$17,R$22,$J$16,$D92))</f>
        <v>0</v>
      </c>
      <c r="S92" s="109">
        <f ca="1">IF(xflag=1,_xll.DBSW(SAISIE!S92,Server&amp;Cube1,$J$13,$J$14,$J$15,$J$17,S$22,$J$16,$D92),_xll.DBRW(Server&amp;Cube1,$J$13,$J$14,$J$15,$J$17,S$22,$J$16,$D92))</f>
        <v>0</v>
      </c>
      <c r="T92" s="109">
        <f ca="1">IF(xflag=1,_xll.DBSW(SAISIE!T92,Server&amp;Cube1,$J$13,$J$14,$J$15,$J$17,T$22,$J$16,$D92),_xll.DBRW(Server&amp;Cube1,$J$13,$J$14,$J$15,$J$17,T$22,$J$16,$D92))</f>
        <v>0</v>
      </c>
      <c r="U92" s="109">
        <f ca="1">IF(xflag=1,_xll.DBSW(SAISIE!U92,Server&amp;Cube1,$J$13,$J$14,$J$15,$J$17,U$22,$J$16,$D92),_xll.DBRW(Server&amp;Cube1,$J$13,$J$14,$J$15,$J$17,U$22,$J$16,$D92))</f>
        <v>0</v>
      </c>
      <c r="V92" s="109">
        <f ca="1">IF(xflag=1,_xll.DBSW(SAISIE!V92,Server&amp;Cube1,$J$13,$J$14,$J$15,$J$17,V$22,$J$16,$D92),_xll.DBRW(Server&amp;Cube1,$J$13,$J$14,$J$15,$J$17,V$22,$J$16,$D92))</f>
        <v>0</v>
      </c>
      <c r="W92" s="109">
        <f ca="1">IF(xflag=1,_xll.DBSW(SAISIE!W92,Server&amp;Cube1,$J$13,$J$14,$J$15,$J$17,W$22,$J$16,$D92),_xll.DBRW(Server&amp;Cube1,$J$13,$J$14,$J$15,$J$17,W$22,$J$16,$D92))</f>
        <v>0</v>
      </c>
      <c r="X92" s="109">
        <f ca="1">IF(xflag=1,_xll.DBSW(SAISIE!X92,Server&amp;Cube1,$J$13,$J$14,$J$15,$J$17,X$22,$J$16,$D92),_xll.DBRW(Server&amp;Cube1,$J$13,$J$14,$J$15,$J$17,X$22,$J$16,$D92))</f>
        <v>0</v>
      </c>
      <c r="Y92" s="109">
        <f ca="1">IF(xflag=1,_xll.DBSW(SAISIE!Y92,Server&amp;Cube1,$J$13,$J$14,$J$15,$J$17,Y$22,$J$16,$D92),_xll.DBRW(Server&amp;Cube1,$J$13,$J$14,$J$15,$J$17,Y$22,$J$16,$D92))</f>
        <v>0</v>
      </c>
      <c r="Z92" s="109">
        <f ca="1">IF(xflag=1,_xll.DBSW(SAISIE!Z92,Server&amp;Cube1,$J$13,$J$14,$J$15,$J$17,Z$22,$J$16,$D92),_xll.DBRW(Server&amp;Cube1,$J$13,$J$14,$J$15,$J$17,Z$22,$J$16,$D92))</f>
        <v>0</v>
      </c>
      <c r="AA92" s="109">
        <f ca="1">IF(xflag=1,_xll.DBSW(SAISIE!AA92,Server&amp;Cube1,$J$13,$J$14,$J$15,$J$17,AA$22,$J$16,$D92),_xll.DBRW(Server&amp;Cube1,$J$13,$J$14,$J$15,$J$17,AA$22,$J$16,$D92))</f>
        <v>0</v>
      </c>
      <c r="AB92" s="109">
        <f ca="1">IF(xflag=1,_xll.DBSW(SAISIE!AB92,Server&amp;Cube1,$J$13,$J$14,$J$15,$J$17,AB$22,$J$16,$D92),_xll.DBRW(Server&amp;Cube1,$J$13,$J$14,$J$15,$J$17,AB$22,$J$16,$D92))</f>
        <v>0</v>
      </c>
      <c r="AC92" s="31"/>
      <c r="AF92" s="90" t="str">
        <f ca="1">IF(xflag=1,_xll.DBSW(#REF!,Server&amp;Cube1,$J$13,$J$14,$J$15,#REF!,AF$2,$J$16,$D92),_xll.DBRW(Server&amp;Cube1,$J$13,$J$14,$J$15,#REF!,AF$2,$J$16,$D92))</f>
        <v>*KEY_ERR</v>
      </c>
    </row>
    <row r="93" spans="1:35" s="19" customFormat="1" ht="15.75" x14ac:dyDescent="0.25">
      <c r="A93"/>
      <c r="B93" s="204" t="s">
        <v>133</v>
      </c>
      <c r="C93" s="214" t="s">
        <v>237</v>
      </c>
      <c r="D93" s="226" t="str">
        <f t="shared" si="16"/>
        <v>606400</v>
      </c>
      <c r="E93"/>
      <c r="F93" s="228"/>
      <c r="G93" s="171"/>
      <c r="H93" s="107"/>
      <c r="I93" s="305" t="str">
        <f ca="1">_xll.DBRA(Server&amp;$D$22,$D93,"French")</f>
        <v>Achat petit mobilier</v>
      </c>
      <c r="J93" s="305" t="str">
        <f ca="1">_xll.DBRA(Server&amp;$D$22,$D93,"French")</f>
        <v>Achat petit mobilier</v>
      </c>
      <c r="K93" s="37"/>
      <c r="L93" s="54">
        <f ca="1">_xll.DBRW(Server&amp;Cube1,$J$13,$L$3,$J$15,$L$1,$L$2,$J$16,$D93)</f>
        <v>0</v>
      </c>
      <c r="M93" s="37"/>
      <c r="N93" s="54">
        <f ca="1">_xll.DBRW(Server&amp;Cube1,$J$13,$N$3,$J$15,$N$1,$N$2,$J$16,$D93)</f>
        <v>0</v>
      </c>
      <c r="O93" s="55"/>
      <c r="P93" s="57"/>
      <c r="Q93" s="109">
        <f ca="1">IF(xflag=1,_xll.DBSW(SAISIE!Q93,Server&amp;Cube1,$J$13,$J$14,$J$15,$J$17,Q$22,$J$16,$D93),_xll.DBRW(Server&amp;Cube1,$J$13,$J$14,$J$15,$J$17,Q$22,$J$16,$D93))</f>
        <v>0</v>
      </c>
      <c r="R93" s="109">
        <f ca="1">IF(xflag=1,_xll.DBSW(SAISIE!R93,Server&amp;Cube1,$J$13,$J$14,$J$15,$J$17,R$22,$J$16,$D93),_xll.DBRW(Server&amp;Cube1,$J$13,$J$14,$J$15,$J$17,R$22,$J$16,$D93))</f>
        <v>0</v>
      </c>
      <c r="S93" s="109">
        <f ca="1">IF(xflag=1,_xll.DBSW(SAISIE!S93,Server&amp;Cube1,$J$13,$J$14,$J$15,$J$17,S$22,$J$16,$D93),_xll.DBRW(Server&amp;Cube1,$J$13,$J$14,$J$15,$J$17,S$22,$J$16,$D93))</f>
        <v>0</v>
      </c>
      <c r="T93" s="109">
        <f ca="1">IF(xflag=1,_xll.DBSW(SAISIE!T93,Server&amp;Cube1,$J$13,$J$14,$J$15,$J$17,T$22,$J$16,$D93),_xll.DBRW(Server&amp;Cube1,$J$13,$J$14,$J$15,$J$17,T$22,$J$16,$D93))</f>
        <v>0</v>
      </c>
      <c r="U93" s="109">
        <f ca="1">IF(xflag=1,_xll.DBSW(SAISIE!U93,Server&amp;Cube1,$J$13,$J$14,$J$15,$J$17,U$22,$J$16,$D93),_xll.DBRW(Server&amp;Cube1,$J$13,$J$14,$J$15,$J$17,U$22,$J$16,$D93))</f>
        <v>0</v>
      </c>
      <c r="V93" s="109">
        <f ca="1">IF(xflag=1,_xll.DBSW(SAISIE!V93,Server&amp;Cube1,$J$13,$J$14,$J$15,$J$17,V$22,$J$16,$D93),_xll.DBRW(Server&amp;Cube1,$J$13,$J$14,$J$15,$J$17,V$22,$J$16,$D93))</f>
        <v>0</v>
      </c>
      <c r="W93" s="109">
        <f ca="1">IF(xflag=1,_xll.DBSW(SAISIE!W93,Server&amp;Cube1,$J$13,$J$14,$J$15,$J$17,W$22,$J$16,$D93),_xll.DBRW(Server&amp;Cube1,$J$13,$J$14,$J$15,$J$17,W$22,$J$16,$D93))</f>
        <v>0</v>
      </c>
      <c r="X93" s="109">
        <f ca="1">IF(xflag=1,_xll.DBSW(SAISIE!X93,Server&amp;Cube1,$J$13,$J$14,$J$15,$J$17,X$22,$J$16,$D93),_xll.DBRW(Server&amp;Cube1,$J$13,$J$14,$J$15,$J$17,X$22,$J$16,$D93))</f>
        <v>0</v>
      </c>
      <c r="Y93" s="109">
        <f ca="1">IF(xflag=1,_xll.DBSW(SAISIE!Y93,Server&amp;Cube1,$J$13,$J$14,$J$15,$J$17,Y$22,$J$16,$D93),_xll.DBRW(Server&amp;Cube1,$J$13,$J$14,$J$15,$J$17,Y$22,$J$16,$D93))</f>
        <v>0</v>
      </c>
      <c r="Z93" s="109">
        <f ca="1">IF(xflag=1,_xll.DBSW(SAISIE!Z93,Server&amp;Cube1,$J$13,$J$14,$J$15,$J$17,Z$22,$J$16,$D93),_xll.DBRW(Server&amp;Cube1,$J$13,$J$14,$J$15,$J$17,Z$22,$J$16,$D93))</f>
        <v>0</v>
      </c>
      <c r="AA93" s="109">
        <f ca="1">IF(xflag=1,_xll.DBSW(SAISIE!AA93,Server&amp;Cube1,$J$13,$J$14,$J$15,$J$17,AA$22,$J$16,$D93),_xll.DBRW(Server&amp;Cube1,$J$13,$J$14,$J$15,$J$17,AA$22,$J$16,$D93))</f>
        <v>0</v>
      </c>
      <c r="AB93" s="109">
        <f ca="1">IF(xflag=1,_xll.DBSW(SAISIE!AB93,Server&amp;Cube1,$J$13,$J$14,$J$15,$J$17,AB$22,$J$16,$D93),_xll.DBRW(Server&amp;Cube1,$J$13,$J$14,$J$15,$J$17,AB$22,$J$16,$D93))</f>
        <v>0</v>
      </c>
      <c r="AC93" s="31"/>
      <c r="AF93" s="90" t="str">
        <f ca="1">IF(xflag=1,_xll.DBSW(#REF!,Server&amp;Cube1,$J$13,$J$14,$J$15,#REF!,AF$2,$J$16,$D93),_xll.DBRW(Server&amp;Cube1,$J$13,$J$14,$J$15,#REF!,AF$2,$J$16,$D93))</f>
        <v>*KEY_ERR</v>
      </c>
    </row>
    <row r="94" spans="1:35" s="19" customFormat="1" ht="15.75" x14ac:dyDescent="0.25">
      <c r="A94"/>
      <c r="B94" s="204" t="s">
        <v>48</v>
      </c>
      <c r="C94" s="214" t="s">
        <v>182</v>
      </c>
      <c r="D94" s="226" t="str">
        <f t="shared" si="16"/>
        <v>606450</v>
      </c>
      <c r="E94"/>
      <c r="F94" s="228"/>
      <c r="G94" s="171"/>
      <c r="H94" s="107"/>
      <c r="I94" s="305" t="str">
        <f ca="1">_xll.DBRA(Server&amp;$D$22,$D94,"French")</f>
        <v>Fournitures de bureau (coûts directs)</v>
      </c>
      <c r="J94" s="305" t="str">
        <f ca="1">_xll.DBRA(Server&amp;$D$22,$D94,"French")</f>
        <v>Fournitures de bureau (coûts directs)</v>
      </c>
      <c r="K94" s="37"/>
      <c r="L94" s="54">
        <f ca="1">_xll.DBRW(Server&amp;Cube1,$J$13,$L$3,$J$15,$L$1,$L$2,$J$16,$D94)</f>
        <v>0</v>
      </c>
      <c r="M94" s="37"/>
      <c r="N94" s="54">
        <f ca="1">_xll.DBRW(Server&amp;Cube1,$J$13,$N$3,$J$15,$N$1,$N$2,$J$16,$D94)</f>
        <v>0</v>
      </c>
      <c r="O94" s="55"/>
      <c r="P94" s="57"/>
      <c r="Q94" s="109">
        <f ca="1">IF(xflag=1,_xll.DBSW(SAISIE!Q94,Server&amp;Cube1,$J$13,$J$14,$J$15,$J$17,Q$22,$J$16,$D94),_xll.DBRW(Server&amp;Cube1,$J$13,$J$14,$J$15,$J$17,Q$22,$J$16,$D94))</f>
        <v>0</v>
      </c>
      <c r="R94" s="109">
        <f ca="1">IF(xflag=1,_xll.DBSW(SAISIE!R94,Server&amp;Cube1,$J$13,$J$14,$J$15,$J$17,R$22,$J$16,$D94),_xll.DBRW(Server&amp;Cube1,$J$13,$J$14,$J$15,$J$17,R$22,$J$16,$D94))</f>
        <v>-1444.9100000000003</v>
      </c>
      <c r="S94" s="109">
        <f ca="1">IF(xflag=1,_xll.DBSW(SAISIE!S94,Server&amp;Cube1,$J$13,$J$14,$J$15,$J$17,S$22,$J$16,$D94),_xll.DBRW(Server&amp;Cube1,$J$13,$J$14,$J$15,$J$17,S$22,$J$16,$D94))</f>
        <v>-1642.02</v>
      </c>
      <c r="T94" s="109">
        <f ca="1">IF(xflag=1,_xll.DBSW(SAISIE!T94,Server&amp;Cube1,$J$13,$J$14,$J$15,$J$17,T$22,$J$16,$D94),_xll.DBRW(Server&amp;Cube1,$J$13,$J$14,$J$15,$J$17,T$22,$J$16,$D94))</f>
        <v>-1110.6300000000001</v>
      </c>
      <c r="U94" s="109">
        <f ca="1">IF(xflag=1,_xll.DBSW(SAISIE!U94,Server&amp;Cube1,$J$13,$J$14,$J$15,$J$17,U$22,$J$16,$D94),_xll.DBRW(Server&amp;Cube1,$J$13,$J$14,$J$15,$J$17,U$22,$J$16,$D94))</f>
        <v>0</v>
      </c>
      <c r="V94" s="109">
        <f ca="1">IF(xflag=1,_xll.DBSW(SAISIE!V94,Server&amp;Cube1,$J$13,$J$14,$J$15,$J$17,V$22,$J$16,$D94),_xll.DBRW(Server&amp;Cube1,$J$13,$J$14,$J$15,$J$17,V$22,$J$16,$D94))</f>
        <v>-261.8300000000001</v>
      </c>
      <c r="W94" s="109">
        <f ca="1">IF(xflag=1,_xll.DBSW(SAISIE!W94,Server&amp;Cube1,$J$13,$J$14,$J$15,$J$17,W$22,$J$16,$D94),_xll.DBRW(Server&amp;Cube1,$J$13,$J$14,$J$15,$J$17,W$22,$J$16,$D94))</f>
        <v>0</v>
      </c>
      <c r="X94" s="109">
        <f ca="1">IF(xflag=1,_xll.DBSW(SAISIE!X94,Server&amp;Cube1,$J$13,$J$14,$J$15,$J$17,X$22,$J$16,$D94),_xll.DBRW(Server&amp;Cube1,$J$13,$J$14,$J$15,$J$17,X$22,$J$16,$D94))</f>
        <v>0</v>
      </c>
      <c r="Y94" s="109">
        <f ca="1">IF(xflag=1,_xll.DBSW(SAISIE!Y94,Server&amp;Cube1,$J$13,$J$14,$J$15,$J$17,Y$22,$J$16,$D94),_xll.DBRW(Server&amp;Cube1,$J$13,$J$14,$J$15,$J$17,Y$22,$J$16,$D94))</f>
        <v>0</v>
      </c>
      <c r="Z94" s="109">
        <f ca="1">IF(xflag=1,_xll.DBSW(SAISIE!Z94,Server&amp;Cube1,$J$13,$J$14,$J$15,$J$17,Z$22,$J$16,$D94),_xll.DBRW(Server&amp;Cube1,$J$13,$J$14,$J$15,$J$17,Z$22,$J$16,$D94))</f>
        <v>0</v>
      </c>
      <c r="AA94" s="109">
        <f ca="1">IF(xflag=1,_xll.DBSW(SAISIE!AA94,Server&amp;Cube1,$J$13,$J$14,$J$15,$J$17,AA$22,$J$16,$D94),_xll.DBRW(Server&amp;Cube1,$J$13,$J$14,$J$15,$J$17,AA$22,$J$16,$D94))</f>
        <v>0</v>
      </c>
      <c r="AB94" s="109">
        <f ca="1">IF(xflag=1,_xll.DBSW(SAISIE!AB94,Server&amp;Cube1,$J$13,$J$14,$J$15,$J$17,AB$22,$J$16,$D94),_xll.DBRW(Server&amp;Cube1,$J$13,$J$14,$J$15,$J$17,AB$22,$J$16,$D94))</f>
        <v>0</v>
      </c>
      <c r="AC94" s="31"/>
      <c r="AF94" s="90" t="str">
        <f ca="1">IF(xflag=1,_xll.DBSW(#REF!,Server&amp;Cube1,$J$13,$J$14,$J$15,#REF!,AF$2,$J$16,$D94),_xll.DBRW(Server&amp;Cube1,$J$13,$J$14,$J$15,#REF!,AF$2,$J$16,$D94))</f>
        <v>*KEY_ERR</v>
      </c>
      <c r="AI94" s="19">
        <v>11</v>
      </c>
    </row>
    <row r="95" spans="1:35" s="19" customFormat="1" ht="15.75" x14ac:dyDescent="0.25">
      <c r="A95"/>
      <c r="B95" s="204" t="s">
        <v>49</v>
      </c>
      <c r="C95" s="214" t="s">
        <v>238</v>
      </c>
      <c r="D95" s="226" t="str">
        <f t="shared" si="16"/>
        <v>606460</v>
      </c>
      <c r="E95"/>
      <c r="F95" s="228"/>
      <c r="G95" s="171"/>
      <c r="H95" s="107"/>
      <c r="I95" s="305" t="s">
        <v>238</v>
      </c>
      <c r="J95" s="305"/>
      <c r="K95" s="37"/>
      <c r="L95" s="54">
        <f ca="1">_xll.DBRW(Server&amp;Cube1,$J$13,$L$3,$J$15,$L$1,$L$2,$J$16,$D95)</f>
        <v>0</v>
      </c>
      <c r="M95" s="37"/>
      <c r="N95" s="54">
        <f ca="1">_xll.DBRW(Server&amp;Cube1,$J$13,$N$3,$J$15,$N$1,$N$2,$J$16,$D95)</f>
        <v>0</v>
      </c>
      <c r="O95" s="55"/>
      <c r="P95" s="57"/>
      <c r="Q95" s="109">
        <f ca="1">IF(xflag=1,_xll.DBSW(SAISIE!Q95,Server&amp;Cube1,$J$13,$J$14,$J$15,$J$17,Q$22,$J$16,$D95),_xll.DBRW(Server&amp;Cube1,$J$13,$J$14,$J$15,$J$17,Q$22,$J$16,$D95))</f>
        <v>0</v>
      </c>
      <c r="R95" s="109">
        <f ca="1">IF(xflag=1,_xll.DBSW(SAISIE!R95,Server&amp;Cube1,$J$13,$J$14,$J$15,$J$17,R$22,$J$16,$D95),_xll.DBRW(Server&amp;Cube1,$J$13,$J$14,$J$15,$J$17,R$22,$J$16,$D95))</f>
        <v>-407.68</v>
      </c>
      <c r="S95" s="109">
        <f ca="1">IF(xflag=1,_xll.DBSW(SAISIE!S95,Server&amp;Cube1,$J$13,$J$14,$J$15,$J$17,S$22,$J$16,$D95),_xll.DBRW(Server&amp;Cube1,$J$13,$J$14,$J$15,$J$17,S$22,$J$16,$D95))</f>
        <v>-138.18</v>
      </c>
      <c r="T95" s="109">
        <f ca="1">IF(xflag=1,_xll.DBSW(SAISIE!T95,Server&amp;Cube1,$J$13,$J$14,$J$15,$J$17,T$22,$J$16,$D95),_xll.DBRW(Server&amp;Cube1,$J$13,$J$14,$J$15,$J$17,T$22,$J$16,$D95))</f>
        <v>-267.15999999999997</v>
      </c>
      <c r="U95" s="109">
        <f ca="1">IF(xflag=1,_xll.DBSW(SAISIE!U95,Server&amp;Cube1,$J$13,$J$14,$J$15,$J$17,U$22,$J$16,$D95),_xll.DBRW(Server&amp;Cube1,$J$13,$J$14,$J$15,$J$17,U$22,$J$16,$D95))</f>
        <v>-176.36</v>
      </c>
      <c r="V95" s="109">
        <f ca="1">IF(xflag=1,_xll.DBSW(SAISIE!V95,Server&amp;Cube1,$J$13,$J$14,$J$15,$J$17,V$22,$J$16,$D95),_xll.DBRW(Server&amp;Cube1,$J$13,$J$14,$J$15,$J$17,V$22,$J$16,$D95))</f>
        <v>0</v>
      </c>
      <c r="W95" s="109">
        <f ca="1">IF(xflag=1,_xll.DBSW(SAISIE!W95,Server&amp;Cube1,$J$13,$J$14,$J$15,$J$17,W$22,$J$16,$D95),_xll.DBRW(Server&amp;Cube1,$J$13,$J$14,$J$15,$J$17,W$22,$J$16,$D95))</f>
        <v>0</v>
      </c>
      <c r="X95" s="109">
        <f ca="1">IF(xflag=1,_xll.DBSW(SAISIE!X95,Server&amp;Cube1,$J$13,$J$14,$J$15,$J$17,X$22,$J$16,$D95),_xll.DBRW(Server&amp;Cube1,$J$13,$J$14,$J$15,$J$17,X$22,$J$16,$D95))</f>
        <v>0</v>
      </c>
      <c r="Y95" s="109">
        <f ca="1">IF(xflag=1,_xll.DBSW(SAISIE!Y95,Server&amp;Cube1,$J$13,$J$14,$J$15,$J$17,Y$22,$J$16,$D95),_xll.DBRW(Server&amp;Cube1,$J$13,$J$14,$J$15,$J$17,Y$22,$J$16,$D95))</f>
        <v>0</v>
      </c>
      <c r="Z95" s="109">
        <f ca="1">IF(xflag=1,_xll.DBSW(SAISIE!Z95,Server&amp;Cube1,$J$13,$J$14,$J$15,$J$17,Z$22,$J$16,$D95),_xll.DBRW(Server&amp;Cube1,$J$13,$J$14,$J$15,$J$17,Z$22,$J$16,$D95))</f>
        <v>0</v>
      </c>
      <c r="AA95" s="109">
        <f ca="1">IF(xflag=1,_xll.DBSW(SAISIE!AA95,Server&amp;Cube1,$J$13,$J$14,$J$15,$J$17,AA$22,$J$16,$D95),_xll.DBRW(Server&amp;Cube1,$J$13,$J$14,$J$15,$J$17,AA$22,$J$16,$D95))</f>
        <v>0</v>
      </c>
      <c r="AB95" s="109">
        <f ca="1">IF(xflag=1,_xll.DBSW(SAISIE!AB95,Server&amp;Cube1,$J$13,$J$14,$J$15,$J$17,AB$22,$J$16,$D95),_xll.DBRW(Server&amp;Cube1,$J$13,$J$14,$J$15,$J$17,AB$22,$J$16,$D95))</f>
        <v>0</v>
      </c>
      <c r="AC95" s="31"/>
      <c r="AF95" s="90" t="str">
        <f ca="1">IF(xflag=1,_xll.DBSW(#REF!,Server&amp;Cube1,$J$13,$J$14,$J$15,#REF!,AF$2,$J$16,$D95),_xll.DBRW(Server&amp;Cube1,$J$13,$J$14,$J$15,#REF!,AF$2,$J$16,$D95))</f>
        <v>*KEY_ERR</v>
      </c>
    </row>
    <row r="96" spans="1:35" s="19" customFormat="1" ht="15.75" x14ac:dyDescent="0.25">
      <c r="A96"/>
      <c r="B96" s="204" t="s">
        <v>50</v>
      </c>
      <c r="C96" s="214" t="s">
        <v>239</v>
      </c>
      <c r="D96" s="226" t="str">
        <f t="shared" si="16"/>
        <v>606470</v>
      </c>
      <c r="E96"/>
      <c r="F96" s="228"/>
      <c r="G96" s="171"/>
      <c r="H96" s="107"/>
      <c r="I96" s="305" t="str">
        <f ca="1">_xll.DBRA(Server&amp;$D$22,$D96,"French")</f>
        <v>Achats fournitures informatiques</v>
      </c>
      <c r="J96" s="305" t="str">
        <f ca="1">_xll.DBRA(Server&amp;$D$22,$D96,"French")</f>
        <v>Achats fournitures informatiques</v>
      </c>
      <c r="K96" s="37"/>
      <c r="L96" s="54">
        <f ca="1">_xll.DBRW(Server&amp;Cube1,$J$13,$L$3,$J$15,$L$1,$L$2,$J$16,$D96)</f>
        <v>0</v>
      </c>
      <c r="M96" s="37"/>
      <c r="N96" s="54">
        <f ca="1">_xll.DBRW(Server&amp;Cube1,$J$13,$N$3,$J$15,$N$1,$N$2,$J$16,$D96)</f>
        <v>0</v>
      </c>
      <c r="O96" s="55"/>
      <c r="P96" s="57"/>
      <c r="Q96" s="109">
        <f ca="1">IF(xflag=1,_xll.DBSW(SAISIE!Q96,Server&amp;Cube1,$J$13,$J$14,$J$15,$J$17,Q$22,$J$16,$D96),_xll.DBRW(Server&amp;Cube1,$J$13,$J$14,$J$15,$J$17,Q$22,$J$16,$D96))</f>
        <v>0</v>
      </c>
      <c r="R96" s="109">
        <f ca="1">IF(xflag=1,_xll.DBSW(SAISIE!R96,Server&amp;Cube1,$J$13,$J$14,$J$15,$J$17,R$22,$J$16,$D96),_xll.DBRW(Server&amp;Cube1,$J$13,$J$14,$J$15,$J$17,R$22,$J$16,$D96))</f>
        <v>-686</v>
      </c>
      <c r="S96" s="109">
        <f ca="1">IF(xflag=1,_xll.DBSW(SAISIE!S96,Server&amp;Cube1,$J$13,$J$14,$J$15,$J$17,S$22,$J$16,$D96),_xll.DBRW(Server&amp;Cube1,$J$13,$J$14,$J$15,$J$17,S$22,$J$16,$D96))</f>
        <v>-755.38000000000011</v>
      </c>
      <c r="T96" s="109">
        <f ca="1">IF(xflag=1,_xll.DBSW(SAISIE!T96,Server&amp;Cube1,$J$13,$J$14,$J$15,$J$17,T$22,$J$16,$D96),_xll.DBRW(Server&amp;Cube1,$J$13,$J$14,$J$15,$J$17,T$22,$J$16,$D96))</f>
        <v>0</v>
      </c>
      <c r="U96" s="109">
        <f ca="1">IF(xflag=1,_xll.DBSW(SAISIE!U96,Server&amp;Cube1,$J$13,$J$14,$J$15,$J$17,U$22,$J$16,$D96),_xll.DBRW(Server&amp;Cube1,$J$13,$J$14,$J$15,$J$17,U$22,$J$16,$D96))</f>
        <v>0</v>
      </c>
      <c r="V96" s="109">
        <f ca="1">IF(xflag=1,_xll.DBSW(SAISIE!V96,Server&amp;Cube1,$J$13,$J$14,$J$15,$J$17,V$22,$J$16,$D96),_xll.DBRW(Server&amp;Cube1,$J$13,$J$14,$J$15,$J$17,V$22,$J$16,$D96))</f>
        <v>-2638.15</v>
      </c>
      <c r="W96" s="109">
        <f ca="1">IF(xflag=1,_xll.DBSW(SAISIE!W96,Server&amp;Cube1,$J$13,$J$14,$J$15,$J$17,W$22,$J$16,$D96),_xll.DBRW(Server&amp;Cube1,$J$13,$J$14,$J$15,$J$17,W$22,$J$16,$D96))</f>
        <v>0</v>
      </c>
      <c r="X96" s="109">
        <f ca="1">IF(xflag=1,_xll.DBSW(SAISIE!X96,Server&amp;Cube1,$J$13,$J$14,$J$15,$J$17,X$22,$J$16,$D96),_xll.DBRW(Server&amp;Cube1,$J$13,$J$14,$J$15,$J$17,X$22,$J$16,$D96))</f>
        <v>0</v>
      </c>
      <c r="Y96" s="109">
        <f ca="1">IF(xflag=1,_xll.DBSW(SAISIE!Y96,Server&amp;Cube1,$J$13,$J$14,$J$15,$J$17,Y$22,$J$16,$D96),_xll.DBRW(Server&amp;Cube1,$J$13,$J$14,$J$15,$J$17,Y$22,$J$16,$D96))</f>
        <v>0</v>
      </c>
      <c r="Z96" s="109">
        <f ca="1">IF(xflag=1,_xll.DBSW(SAISIE!Z96,Server&amp;Cube1,$J$13,$J$14,$J$15,$J$17,Z$22,$J$16,$D96),_xll.DBRW(Server&amp;Cube1,$J$13,$J$14,$J$15,$J$17,Z$22,$J$16,$D96))</f>
        <v>0</v>
      </c>
      <c r="AA96" s="109">
        <f ca="1">IF(xflag=1,_xll.DBSW(SAISIE!AA96,Server&amp;Cube1,$J$13,$J$14,$J$15,$J$17,AA$22,$J$16,$D96),_xll.DBRW(Server&amp;Cube1,$J$13,$J$14,$J$15,$J$17,AA$22,$J$16,$D96))</f>
        <v>0</v>
      </c>
      <c r="AB96" s="109">
        <f ca="1">IF(xflag=1,_xll.DBSW(SAISIE!AB96,Server&amp;Cube1,$J$13,$J$14,$J$15,$J$17,AB$22,$J$16,$D96),_xll.DBRW(Server&amp;Cube1,$J$13,$J$14,$J$15,$J$17,AB$22,$J$16,$D96))</f>
        <v>0</v>
      </c>
      <c r="AC96" s="31"/>
      <c r="AF96" s="90" t="str">
        <f ca="1">IF(xflag=1,_xll.DBSW(#REF!,Server&amp;Cube1,$J$13,$J$14,$J$15,#REF!,AF$2,$J$16,$D96),_xll.DBRW(Server&amp;Cube1,$J$13,$J$14,$J$15,#REF!,AF$2,$J$16,$D96))</f>
        <v>*KEY_ERR</v>
      </c>
    </row>
    <row r="97" spans="1:32" s="19" customFormat="1" ht="15.75" x14ac:dyDescent="0.25">
      <c r="A97"/>
      <c r="B97" s="204" t="s">
        <v>38</v>
      </c>
      <c r="C97" s="214" t="s">
        <v>240</v>
      </c>
      <c r="D97" s="226" t="str">
        <f t="shared" si="16"/>
        <v>613200b</v>
      </c>
      <c r="E97"/>
      <c r="F97" s="228"/>
      <c r="G97" s="171"/>
      <c r="H97" s="107"/>
      <c r="I97" s="305" t="str">
        <f ca="1">_xll.DBRA(Server&amp;$D$22,$D97,"French")</f>
        <v>Location bureau structure</v>
      </c>
      <c r="J97" s="305" t="str">
        <f ca="1">_xll.DBRA(Server&amp;$D$22,$D97,"French")</f>
        <v>Location bureau structure</v>
      </c>
      <c r="K97" s="37"/>
      <c r="L97" s="54">
        <f ca="1">_xll.DBRW(Server&amp;Cube1,$J$13,$L$3,$J$15,$L$1,$L$2,$J$16,$D97)</f>
        <v>0</v>
      </c>
      <c r="M97" s="37"/>
      <c r="N97" s="54">
        <f ca="1">_xll.DBRW(Server&amp;Cube1,$J$13,$N$3,$J$15,$N$1,$N$2,$J$16,$D97)</f>
        <v>0</v>
      </c>
      <c r="O97" s="55"/>
      <c r="P97" s="57"/>
      <c r="Q97" s="109">
        <f ca="1">IF(xflag=1,_xll.DBSW(SAISIE!Q97,Server&amp;Cube1,$J$13,$J$14,$J$15,$J$17,Q$22,$J$16,$D97),_xll.DBRW(Server&amp;Cube1,$J$13,$J$14,$J$15,$J$17,Q$22,$J$16,$D97))</f>
        <v>0</v>
      </c>
      <c r="R97" s="109">
        <f ca="1">IF(xflag=1,_xll.DBSW(SAISIE!R97,Server&amp;Cube1,$J$13,$J$14,$J$15,$J$17,R$22,$J$16,$D97),_xll.DBRW(Server&amp;Cube1,$J$13,$J$14,$J$15,$J$17,R$22,$J$16,$D97))</f>
        <v>7124</v>
      </c>
      <c r="S97" s="109">
        <f ca="1">IF(xflag=1,_xll.DBSW(SAISIE!S97,Server&amp;Cube1,$J$13,$J$14,$J$15,$J$17,S$22,$J$16,$D97),_xll.DBRW(Server&amp;Cube1,$J$13,$J$14,$J$15,$J$17,S$22,$J$16,$D97))</f>
        <v>-60604.61</v>
      </c>
      <c r="T97" s="109">
        <f ca="1">IF(xflag=1,_xll.DBSW(SAISIE!T97,Server&amp;Cube1,$J$13,$J$14,$J$15,$J$17,T$22,$J$16,$D97),_xll.DBRW(Server&amp;Cube1,$J$13,$J$14,$J$15,$J$17,T$22,$J$16,$D97))</f>
        <v>-16060.199999999997</v>
      </c>
      <c r="U97" s="109">
        <f ca="1">IF(xflag=1,_xll.DBSW(SAISIE!U97,Server&amp;Cube1,$J$13,$J$14,$J$15,$J$17,U$22,$J$16,$D97),_xll.DBRW(Server&amp;Cube1,$J$13,$J$14,$J$15,$J$17,U$22,$J$16,$D97))</f>
        <v>19809.199999999997</v>
      </c>
      <c r="V97" s="109">
        <f ca="1">IF(xflag=1,_xll.DBSW(SAISIE!V97,Server&amp;Cube1,$J$13,$J$14,$J$15,$J$17,V$22,$J$16,$D97),_xll.DBRW(Server&amp;Cube1,$J$13,$J$14,$J$15,$J$17,V$22,$J$16,$D97))</f>
        <v>-61837.61</v>
      </c>
      <c r="W97" s="109">
        <f ca="1">IF(xflag=1,_xll.DBSW(SAISIE!W97,Server&amp;Cube1,$J$13,$J$14,$J$15,$J$17,W$22,$J$16,$D97),_xll.DBRW(Server&amp;Cube1,$J$13,$J$14,$J$15,$J$17,W$22,$J$16,$D97))</f>
        <v>0</v>
      </c>
      <c r="X97" s="109">
        <f ca="1">IF(xflag=1,_xll.DBSW(SAISIE!X97,Server&amp;Cube1,$J$13,$J$14,$J$15,$J$17,X$22,$J$16,$D97),_xll.DBRW(Server&amp;Cube1,$J$13,$J$14,$J$15,$J$17,X$22,$J$16,$D97))</f>
        <v>0</v>
      </c>
      <c r="Y97" s="109">
        <f ca="1">IF(xflag=1,_xll.DBSW(SAISIE!Y97,Server&amp;Cube1,$J$13,$J$14,$J$15,$J$17,Y$22,$J$16,$D97),_xll.DBRW(Server&amp;Cube1,$J$13,$J$14,$J$15,$J$17,Y$22,$J$16,$D97))</f>
        <v>0</v>
      </c>
      <c r="Z97" s="109">
        <f ca="1">IF(xflag=1,_xll.DBSW(SAISIE!Z97,Server&amp;Cube1,$J$13,$J$14,$J$15,$J$17,Z$22,$J$16,$D97),_xll.DBRW(Server&amp;Cube1,$J$13,$J$14,$J$15,$J$17,Z$22,$J$16,$D97))</f>
        <v>0</v>
      </c>
      <c r="AA97" s="109">
        <f ca="1">IF(xflag=1,_xll.DBSW(SAISIE!AA97,Server&amp;Cube1,$J$13,$J$14,$J$15,$J$17,AA$22,$J$16,$D97),_xll.DBRW(Server&amp;Cube1,$J$13,$J$14,$J$15,$J$17,AA$22,$J$16,$D97))</f>
        <v>0</v>
      </c>
      <c r="AB97" s="109">
        <f ca="1">IF(xflag=1,_xll.DBSW(SAISIE!AB97,Server&amp;Cube1,$J$13,$J$14,$J$15,$J$17,AB$22,$J$16,$D97),_xll.DBRW(Server&amp;Cube1,$J$13,$J$14,$J$15,$J$17,AB$22,$J$16,$D97))</f>
        <v>0</v>
      </c>
      <c r="AC97" s="31"/>
      <c r="AF97" s="90" t="str">
        <f ca="1">IF(xflag=1,_xll.DBSW(#REF!,Server&amp;Cube1,$J$13,$J$14,$J$15,#REF!,AF$2,$J$16,$D97),_xll.DBRW(Server&amp;Cube1,$J$13,$J$14,$J$15,#REF!,AF$2,$J$16,$D97))</f>
        <v>*KEY_ERR</v>
      </c>
    </row>
    <row r="98" spans="1:32" s="19" customFormat="1" ht="15.75" x14ac:dyDescent="0.25">
      <c r="A98"/>
      <c r="B98" s="204" t="s">
        <v>153</v>
      </c>
      <c r="C98" s="214" t="s">
        <v>241</v>
      </c>
      <c r="D98" s="226" t="str">
        <f t="shared" si="16"/>
        <v xml:space="preserve">613580b </v>
      </c>
      <c r="E98"/>
      <c r="F98" s="228"/>
      <c r="G98" s="171"/>
      <c r="H98" s="107"/>
      <c r="I98" s="305" t="str">
        <f ca="1">_xll.DBRA(Server&amp;$D$22,$D98,"French")</f>
        <v>Location mobilière diverse</v>
      </c>
      <c r="J98" s="305" t="str">
        <f ca="1">_xll.DBRA(Server&amp;$D$22,$D98,"French")</f>
        <v>Location mobilière diverse</v>
      </c>
      <c r="K98" s="37"/>
      <c r="L98" s="54">
        <f ca="1">_xll.DBRW(Server&amp;Cube1,$J$13,$L$3,$J$15,$L$1,$L$2,$J$16,$D98)</f>
        <v>0</v>
      </c>
      <c r="M98" s="37"/>
      <c r="N98" s="54">
        <f ca="1">_xll.DBRW(Server&amp;Cube1,$J$13,$N$3,$J$15,$N$1,$N$2,$J$16,$D98)</f>
        <v>0</v>
      </c>
      <c r="O98" s="55"/>
      <c r="P98" s="57"/>
      <c r="Q98" s="109">
        <f ca="1">IF(xflag=1,_xll.DBSW(SAISIE!Q98,Server&amp;Cube1,$J$13,$J$14,$J$15,$J$17,Q$22,$J$16,$D98),_xll.DBRW(Server&amp;Cube1,$J$13,$J$14,$J$15,$J$17,Q$22,$J$16,$D98))</f>
        <v>0</v>
      </c>
      <c r="R98" s="109">
        <f ca="1">IF(xflag=1,_xll.DBSW(SAISIE!R98,Server&amp;Cube1,$J$13,$J$14,$J$15,$J$17,R$22,$J$16,$D98),_xll.DBRW(Server&amp;Cube1,$J$13,$J$14,$J$15,$J$17,R$22,$J$16,$D98))</f>
        <v>-63</v>
      </c>
      <c r="S98" s="109">
        <f ca="1">IF(xflag=1,_xll.DBSW(SAISIE!S98,Server&amp;Cube1,$J$13,$J$14,$J$15,$J$17,S$22,$J$16,$D98),_xll.DBRW(Server&amp;Cube1,$J$13,$J$14,$J$15,$J$17,S$22,$J$16,$D98))</f>
        <v>0</v>
      </c>
      <c r="T98" s="109">
        <f ca="1">IF(xflag=1,_xll.DBSW(SAISIE!T98,Server&amp;Cube1,$J$13,$J$14,$J$15,$J$17,T$22,$J$16,$D98),_xll.DBRW(Server&amp;Cube1,$J$13,$J$14,$J$15,$J$17,T$22,$J$16,$D98))</f>
        <v>0</v>
      </c>
      <c r="U98" s="109">
        <f ca="1">IF(xflag=1,_xll.DBSW(SAISIE!U98,Server&amp;Cube1,$J$13,$J$14,$J$15,$J$17,U$22,$J$16,$D98),_xll.DBRW(Server&amp;Cube1,$J$13,$J$14,$J$15,$J$17,U$22,$J$16,$D98))</f>
        <v>0</v>
      </c>
      <c r="V98" s="109">
        <f ca="1">IF(xflag=1,_xll.DBSW(SAISIE!V98,Server&amp;Cube1,$J$13,$J$14,$J$15,$J$17,V$22,$J$16,$D98),_xll.DBRW(Server&amp;Cube1,$J$13,$J$14,$J$15,$J$17,V$22,$J$16,$D98))</f>
        <v>0</v>
      </c>
      <c r="W98" s="109">
        <f ca="1">IF(xflag=1,_xll.DBSW(SAISIE!W98,Server&amp;Cube1,$J$13,$J$14,$J$15,$J$17,W$22,$J$16,$D98),_xll.DBRW(Server&amp;Cube1,$J$13,$J$14,$J$15,$J$17,W$22,$J$16,$D98))</f>
        <v>0</v>
      </c>
      <c r="X98" s="109">
        <f ca="1">IF(xflag=1,_xll.DBSW(SAISIE!X98,Server&amp;Cube1,$J$13,$J$14,$J$15,$J$17,X$22,$J$16,$D98),_xll.DBRW(Server&amp;Cube1,$J$13,$J$14,$J$15,$J$17,X$22,$J$16,$D98))</f>
        <v>0</v>
      </c>
      <c r="Y98" s="109">
        <f ca="1">IF(xflag=1,_xll.DBSW(SAISIE!Y98,Server&amp;Cube1,$J$13,$J$14,$J$15,$J$17,Y$22,$J$16,$D98),_xll.DBRW(Server&amp;Cube1,$J$13,$J$14,$J$15,$J$17,Y$22,$J$16,$D98))</f>
        <v>0</v>
      </c>
      <c r="Z98" s="109">
        <f ca="1">IF(xflag=1,_xll.DBSW(SAISIE!Z98,Server&amp;Cube1,$J$13,$J$14,$J$15,$J$17,Z$22,$J$16,$D98),_xll.DBRW(Server&amp;Cube1,$J$13,$J$14,$J$15,$J$17,Z$22,$J$16,$D98))</f>
        <v>0</v>
      </c>
      <c r="AA98" s="109">
        <f ca="1">IF(xflag=1,_xll.DBSW(SAISIE!AA98,Server&amp;Cube1,$J$13,$J$14,$J$15,$J$17,AA$22,$J$16,$D98),_xll.DBRW(Server&amp;Cube1,$J$13,$J$14,$J$15,$J$17,AA$22,$J$16,$D98))</f>
        <v>0</v>
      </c>
      <c r="AB98" s="109">
        <f ca="1">IF(xflag=1,_xll.DBSW(SAISIE!AB98,Server&amp;Cube1,$J$13,$J$14,$J$15,$J$17,AB$22,$J$16,$D98),_xll.DBRW(Server&amp;Cube1,$J$13,$J$14,$J$15,$J$17,AB$22,$J$16,$D98))</f>
        <v>0</v>
      </c>
      <c r="AC98" s="31"/>
      <c r="AF98" s="90" t="str">
        <f ca="1">IF(xflag=1,_xll.DBSW(#REF!,Server&amp;Cube1,$J$13,$J$14,$J$15,#REF!,AF$2,$J$16,$D98),_xll.DBRW(Server&amp;Cube1,$J$13,$J$14,$J$15,#REF!,AF$2,$J$16,$D98))</f>
        <v>*KEY_ERR</v>
      </c>
    </row>
    <row r="99" spans="1:32" s="19" customFormat="1" ht="15.75" x14ac:dyDescent="0.25">
      <c r="A99"/>
      <c r="B99" s="204" t="s">
        <v>300</v>
      </c>
      <c r="C99" s="214" t="s">
        <v>241</v>
      </c>
      <c r="D99" s="226" t="str">
        <f t="shared" si="16"/>
        <v>615200</v>
      </c>
      <c r="E99"/>
      <c r="F99" s="228"/>
      <c r="G99" s="171"/>
      <c r="H99" s="107"/>
      <c r="I99" s="305" t="str">
        <f ca="1">_xll.DBRA(Server&amp;$D$22,$D99,"French")</f>
        <v>Entretien réparation immobilier</v>
      </c>
      <c r="J99" s="305" t="str">
        <f ca="1">_xll.DBRA(Server&amp;$D$22,$D99,"French")</f>
        <v>Entretien réparation immobilier</v>
      </c>
      <c r="K99" s="37"/>
      <c r="L99" s="54">
        <f ca="1">_xll.DBRW(Server&amp;Cube1,$J$13,$L$3,$J$15,$L$1,$L$2,$J$16,$D99)</f>
        <v>0</v>
      </c>
      <c r="M99" s="37"/>
      <c r="N99" s="54">
        <f ca="1">_xll.DBRW(Server&amp;Cube1,$J$13,$N$3,$J$15,$N$1,$N$2,$J$16,$D99)</f>
        <v>0</v>
      </c>
      <c r="O99" s="55"/>
      <c r="P99" s="57"/>
      <c r="Q99" s="109">
        <f ca="1">IF(xflag=1,_xll.DBSW(SAISIE!Q99,Server&amp;Cube1,$J$13,$J$14,$J$15,$J$17,Q$22,$J$16,$D99),_xll.DBRW(Server&amp;Cube1,$J$13,$J$14,$J$15,$J$17,Q$22,$J$16,$D99))</f>
        <v>0</v>
      </c>
      <c r="R99" s="109">
        <f ca="1">IF(xflag=1,_xll.DBSW(SAISIE!R99,Server&amp;Cube1,$J$13,$J$14,$J$15,$J$17,R$22,$J$16,$D99),_xll.DBRW(Server&amp;Cube1,$J$13,$J$14,$J$15,$J$17,R$22,$J$16,$D99))</f>
        <v>-550.23</v>
      </c>
      <c r="S99" s="109">
        <f ca="1">IF(xflag=1,_xll.DBSW(SAISIE!S99,Server&amp;Cube1,$J$13,$J$14,$J$15,$J$17,S$22,$J$16,$D99),_xll.DBRW(Server&amp;Cube1,$J$13,$J$14,$J$15,$J$17,S$22,$J$16,$D99))</f>
        <v>0</v>
      </c>
      <c r="T99" s="109">
        <f ca="1">IF(xflag=1,_xll.DBSW(SAISIE!T99,Server&amp;Cube1,$J$13,$J$14,$J$15,$J$17,T$22,$J$16,$D99),_xll.DBRW(Server&amp;Cube1,$J$13,$J$14,$J$15,$J$17,T$22,$J$16,$D99))</f>
        <v>-1650</v>
      </c>
      <c r="U99" s="109">
        <f ca="1">IF(xflag=1,_xll.DBSW(SAISIE!U99,Server&amp;Cube1,$J$13,$J$14,$J$15,$J$17,U$22,$J$16,$D99),_xll.DBRW(Server&amp;Cube1,$J$13,$J$14,$J$15,$J$17,U$22,$J$16,$D99))</f>
        <v>1650</v>
      </c>
      <c r="V99" s="109">
        <f ca="1">IF(xflag=1,_xll.DBSW(SAISIE!V99,Server&amp;Cube1,$J$13,$J$14,$J$15,$J$17,V$22,$J$16,$D99),_xll.DBRW(Server&amp;Cube1,$J$13,$J$14,$J$15,$J$17,V$22,$J$16,$D99))</f>
        <v>-2008.5199999999998</v>
      </c>
      <c r="W99" s="109">
        <f ca="1">IF(xflag=1,_xll.DBSW(SAISIE!W99,Server&amp;Cube1,$J$13,$J$14,$J$15,$J$17,W$22,$J$16,$D99),_xll.DBRW(Server&amp;Cube1,$J$13,$J$14,$J$15,$J$17,W$22,$J$16,$D99))</f>
        <v>0</v>
      </c>
      <c r="X99" s="109">
        <f ca="1">IF(xflag=1,_xll.DBSW(SAISIE!X99,Server&amp;Cube1,$J$13,$J$14,$J$15,$J$17,X$22,$J$16,$D99),_xll.DBRW(Server&amp;Cube1,$J$13,$J$14,$J$15,$J$17,X$22,$J$16,$D99))</f>
        <v>0</v>
      </c>
      <c r="Y99" s="109">
        <f ca="1">IF(xflag=1,_xll.DBSW(SAISIE!Y99,Server&amp;Cube1,$J$13,$J$14,$J$15,$J$17,Y$22,$J$16,$D99),_xll.DBRW(Server&amp;Cube1,$J$13,$J$14,$J$15,$J$17,Y$22,$J$16,$D99))</f>
        <v>0</v>
      </c>
      <c r="Z99" s="109">
        <f ca="1">IF(xflag=1,_xll.DBSW(SAISIE!Z99,Server&amp;Cube1,$J$13,$J$14,$J$15,$J$17,Z$22,$J$16,$D99),_xll.DBRW(Server&amp;Cube1,$J$13,$J$14,$J$15,$J$17,Z$22,$J$16,$D99))</f>
        <v>0</v>
      </c>
      <c r="AA99" s="109">
        <f ca="1">IF(xflag=1,_xll.DBSW(SAISIE!AA99,Server&amp;Cube1,$J$13,$J$14,$J$15,$J$17,AA$22,$J$16,$D99),_xll.DBRW(Server&amp;Cube1,$J$13,$J$14,$J$15,$J$17,AA$22,$J$16,$D99))</f>
        <v>0</v>
      </c>
      <c r="AB99" s="109">
        <f ca="1">IF(xflag=1,_xll.DBSW(SAISIE!AB99,Server&amp;Cube1,$J$13,$J$14,$J$15,$J$17,AB$22,$J$16,$D99),_xll.DBRW(Server&amp;Cube1,$J$13,$J$14,$J$15,$J$17,AB$22,$J$16,$D99))</f>
        <v>0</v>
      </c>
      <c r="AC99" s="31"/>
      <c r="AF99" s="90" t="str">
        <f ca="1">IF(xflag=1,_xll.DBSW(#REF!,Server&amp;Cube1,$J$13,$J$14,$J$15,#REF!,AF$2,$J$16,$D99),_xll.DBRW(Server&amp;Cube1,$J$13,$J$14,$J$15,#REF!,AF$2,$J$16,$D99))</f>
        <v>*KEY_ERR</v>
      </c>
    </row>
    <row r="100" spans="1:32" s="19" customFormat="1" ht="15.75" x14ac:dyDescent="0.25">
      <c r="A100"/>
      <c r="B100" s="204" t="s">
        <v>180</v>
      </c>
      <c r="C100" s="214" t="s">
        <v>242</v>
      </c>
      <c r="D100" s="226" t="str">
        <f t="shared" si="16"/>
        <v>615580a</v>
      </c>
      <c r="E100"/>
      <c r="F100" s="228"/>
      <c r="G100" s="171"/>
      <c r="H100" s="107"/>
      <c r="I100" s="305" t="str">
        <f ca="1">_xll.DBRA(Server&amp;$D$22,$D100,"French")</f>
        <v>Entretiens et réparations divers</v>
      </c>
      <c r="J100" s="305" t="str">
        <f ca="1">_xll.DBRA(Server&amp;$D$22,$D100,"French")</f>
        <v>Entretiens et réparations divers</v>
      </c>
      <c r="K100" s="37"/>
      <c r="L100" s="54">
        <f ca="1">_xll.DBRW(Server&amp;Cube1,$J$13,$L$3,$J$15,$L$1,$L$2,$J$16,$D100)</f>
        <v>0</v>
      </c>
      <c r="M100" s="37"/>
      <c r="N100" s="54">
        <f ca="1">_xll.DBRW(Server&amp;Cube1,$J$13,$N$3,$J$15,$N$1,$N$2,$J$16,$D100)</f>
        <v>0</v>
      </c>
      <c r="O100" s="55"/>
      <c r="P100" s="57"/>
      <c r="Q100" s="109">
        <f ca="1">IF(xflag=1,_xll.DBSW(SAISIE!Q100,Server&amp;Cube1,$J$13,$J$14,$J$15,$J$17,Q$22,$J$16,$D100),_xll.DBRW(Server&amp;Cube1,$J$13,$J$14,$J$15,$J$17,Q$22,$J$16,$D100))</f>
        <v>0</v>
      </c>
      <c r="R100" s="109">
        <f ca="1">IF(xflag=1,_xll.DBSW(SAISIE!R100,Server&amp;Cube1,$J$13,$J$14,$J$15,$J$17,R$22,$J$16,$D100),_xll.DBRW(Server&amp;Cube1,$J$13,$J$14,$J$15,$J$17,R$22,$J$16,$D100))</f>
        <v>0</v>
      </c>
      <c r="S100" s="109">
        <f ca="1">IF(xflag=1,_xll.DBSW(SAISIE!S100,Server&amp;Cube1,$J$13,$J$14,$J$15,$J$17,S$22,$J$16,$D100),_xll.DBRW(Server&amp;Cube1,$J$13,$J$14,$J$15,$J$17,S$22,$J$16,$D100))</f>
        <v>0</v>
      </c>
      <c r="T100" s="109">
        <f ca="1">IF(xflag=1,_xll.DBSW(SAISIE!T100,Server&amp;Cube1,$J$13,$J$14,$J$15,$J$17,T$22,$J$16,$D100),_xll.DBRW(Server&amp;Cube1,$J$13,$J$14,$J$15,$J$17,T$22,$J$16,$D100))</f>
        <v>0</v>
      </c>
      <c r="U100" s="109">
        <f ca="1">IF(xflag=1,_xll.DBSW(SAISIE!U100,Server&amp;Cube1,$J$13,$J$14,$J$15,$J$17,U$22,$J$16,$D100),_xll.DBRW(Server&amp;Cube1,$J$13,$J$14,$J$15,$J$17,U$22,$J$16,$D100))</f>
        <v>0</v>
      </c>
      <c r="V100" s="109">
        <f ca="1">IF(xflag=1,_xll.DBSW(SAISIE!V100,Server&amp;Cube1,$J$13,$J$14,$J$15,$J$17,V$22,$J$16,$D100),_xll.DBRW(Server&amp;Cube1,$J$13,$J$14,$J$15,$J$17,V$22,$J$16,$D100))</f>
        <v>0</v>
      </c>
      <c r="W100" s="109">
        <f ca="1">IF(xflag=1,_xll.DBSW(SAISIE!W100,Server&amp;Cube1,$J$13,$J$14,$J$15,$J$17,W$22,$J$16,$D100),_xll.DBRW(Server&amp;Cube1,$J$13,$J$14,$J$15,$J$17,W$22,$J$16,$D100))</f>
        <v>0</v>
      </c>
      <c r="X100" s="109">
        <f ca="1">IF(xflag=1,_xll.DBSW(SAISIE!X100,Server&amp;Cube1,$J$13,$J$14,$J$15,$J$17,X$22,$J$16,$D100),_xll.DBRW(Server&amp;Cube1,$J$13,$J$14,$J$15,$J$17,X$22,$J$16,$D100))</f>
        <v>0</v>
      </c>
      <c r="Y100" s="109">
        <f ca="1">IF(xflag=1,_xll.DBSW(SAISIE!Y100,Server&amp;Cube1,$J$13,$J$14,$J$15,$J$17,Y$22,$J$16,$D100),_xll.DBRW(Server&amp;Cube1,$J$13,$J$14,$J$15,$J$17,Y$22,$J$16,$D100))</f>
        <v>0</v>
      </c>
      <c r="Z100" s="109">
        <f ca="1">IF(xflag=1,_xll.DBSW(SAISIE!Z100,Server&amp;Cube1,$J$13,$J$14,$J$15,$J$17,Z$22,$J$16,$D100),_xll.DBRW(Server&amp;Cube1,$J$13,$J$14,$J$15,$J$17,Z$22,$J$16,$D100))</f>
        <v>0</v>
      </c>
      <c r="AA100" s="109">
        <f ca="1">IF(xflag=1,_xll.DBSW(SAISIE!AA100,Server&amp;Cube1,$J$13,$J$14,$J$15,$J$17,AA$22,$J$16,$D100),_xll.DBRW(Server&amp;Cube1,$J$13,$J$14,$J$15,$J$17,AA$22,$J$16,$D100))</f>
        <v>0</v>
      </c>
      <c r="AB100" s="109">
        <f ca="1">IF(xflag=1,_xll.DBSW(SAISIE!AB100,Server&amp;Cube1,$J$13,$J$14,$J$15,$J$17,AB$22,$J$16,$D100),_xll.DBRW(Server&amp;Cube1,$J$13,$J$14,$J$15,$J$17,AB$22,$J$16,$D100))</f>
        <v>0</v>
      </c>
      <c r="AC100" s="31"/>
      <c r="AF100" s="90" t="str">
        <f ca="1">IF(xflag=1,_xll.DBSW(#REF!,Server&amp;Cube1,$J$13,$J$14,$J$15,#REF!,AF$2,$J$16,$D100),_xll.DBRW(Server&amp;Cube1,$J$13,$J$14,$J$15,#REF!,AF$2,$J$16,$D100))</f>
        <v>*KEY_ERR</v>
      </c>
    </row>
    <row r="101" spans="1:32" s="19" customFormat="1" ht="15.75" x14ac:dyDescent="0.25">
      <c r="A101"/>
      <c r="B101" s="204" t="s">
        <v>170</v>
      </c>
      <c r="C101" s="214" t="s">
        <v>243</v>
      </c>
      <c r="D101" s="226" t="str">
        <f t="shared" si="16"/>
        <v>618100b</v>
      </c>
      <c r="E101"/>
      <c r="F101" s="228"/>
      <c r="G101" s="171"/>
      <c r="H101" s="107"/>
      <c r="I101" s="305" t="str">
        <f ca="1">_xll.DBRA(Server&amp;$D$22,$D101,"French")</f>
        <v>Reprographie et documentation technique</v>
      </c>
      <c r="J101" s="305" t="str">
        <f ca="1">_xll.DBRA(Server&amp;$D$22,$D101,"French")</f>
        <v>Reprographie et documentation technique</v>
      </c>
      <c r="K101" s="37"/>
      <c r="L101" s="54">
        <f ca="1">_xll.DBRW(Server&amp;Cube1,$J$13,$L$3,$J$15,$L$1,$L$2,$J$16,$D101)</f>
        <v>0</v>
      </c>
      <c r="M101" s="37"/>
      <c r="N101" s="54">
        <f ca="1">_xll.DBRW(Server&amp;Cube1,$J$13,$N$3,$J$15,$N$1,$N$2,$J$16,$D101)</f>
        <v>0</v>
      </c>
      <c r="O101" s="55"/>
      <c r="P101" s="57"/>
      <c r="Q101" s="109">
        <f ca="1">IF(xflag=1,_xll.DBSW(SAISIE!Q101,Server&amp;Cube1,$J$13,$J$14,$J$15,$J$17,Q$22,$J$16,$D101),_xll.DBRW(Server&amp;Cube1,$J$13,$J$14,$J$15,$J$17,Q$22,$J$16,$D101))</f>
        <v>0</v>
      </c>
      <c r="R101" s="109">
        <f ca="1">IF(xflag=1,_xll.DBSW(SAISIE!R101,Server&amp;Cube1,$J$13,$J$14,$J$15,$J$17,R$22,$J$16,$D101),_xll.DBRW(Server&amp;Cube1,$J$13,$J$14,$J$15,$J$17,R$22,$J$16,$D101))</f>
        <v>-1251.95</v>
      </c>
      <c r="S101" s="109">
        <f ca="1">IF(xflag=1,_xll.DBSW(SAISIE!S101,Server&amp;Cube1,$J$13,$J$14,$J$15,$J$17,S$22,$J$16,$D101),_xll.DBRW(Server&amp;Cube1,$J$13,$J$14,$J$15,$J$17,S$22,$J$16,$D101))</f>
        <v>0</v>
      </c>
      <c r="T101" s="109">
        <f ca="1">IF(xflag=1,_xll.DBSW(SAISIE!T101,Server&amp;Cube1,$J$13,$J$14,$J$15,$J$17,T$22,$J$16,$D101),_xll.DBRW(Server&amp;Cube1,$J$13,$J$14,$J$15,$J$17,T$22,$J$16,$D101))</f>
        <v>-27.360000000000014</v>
      </c>
      <c r="U101" s="109">
        <f ca="1">IF(xflag=1,_xll.DBSW(SAISIE!U101,Server&amp;Cube1,$J$13,$J$14,$J$15,$J$17,U$22,$J$16,$D101),_xll.DBRW(Server&amp;Cube1,$J$13,$J$14,$J$15,$J$17,U$22,$J$16,$D101))</f>
        <v>0</v>
      </c>
      <c r="V101" s="109">
        <f ca="1">IF(xflag=1,_xll.DBSW(SAISIE!V101,Server&amp;Cube1,$J$13,$J$14,$J$15,$J$17,V$22,$J$16,$D101),_xll.DBRW(Server&amp;Cube1,$J$13,$J$14,$J$15,$J$17,V$22,$J$16,$D101))</f>
        <v>-191.36</v>
      </c>
      <c r="W101" s="109">
        <f ca="1">IF(xflag=1,_xll.DBSW(SAISIE!W101,Server&amp;Cube1,$J$13,$J$14,$J$15,$J$17,W$22,$J$16,$D101),_xll.DBRW(Server&amp;Cube1,$J$13,$J$14,$J$15,$J$17,W$22,$J$16,$D101))</f>
        <v>0</v>
      </c>
      <c r="X101" s="109">
        <f ca="1">IF(xflag=1,_xll.DBSW(SAISIE!X101,Server&amp;Cube1,$J$13,$J$14,$J$15,$J$17,X$22,$J$16,$D101),_xll.DBRW(Server&amp;Cube1,$J$13,$J$14,$J$15,$J$17,X$22,$J$16,$D101))</f>
        <v>0</v>
      </c>
      <c r="Y101" s="109">
        <f ca="1">IF(xflag=1,_xll.DBSW(SAISIE!Y101,Server&amp;Cube1,$J$13,$J$14,$J$15,$J$17,Y$22,$J$16,$D101),_xll.DBRW(Server&amp;Cube1,$J$13,$J$14,$J$15,$J$17,Y$22,$J$16,$D101))</f>
        <v>0</v>
      </c>
      <c r="Z101" s="109">
        <f ca="1">IF(xflag=1,_xll.DBSW(SAISIE!Z101,Server&amp;Cube1,$J$13,$J$14,$J$15,$J$17,Z$22,$J$16,$D101),_xll.DBRW(Server&amp;Cube1,$J$13,$J$14,$J$15,$J$17,Z$22,$J$16,$D101))</f>
        <v>0</v>
      </c>
      <c r="AA101" s="109">
        <f ca="1">IF(xflag=1,_xll.DBSW(SAISIE!AA101,Server&amp;Cube1,$J$13,$J$14,$J$15,$J$17,AA$22,$J$16,$D101),_xll.DBRW(Server&amp;Cube1,$J$13,$J$14,$J$15,$J$17,AA$22,$J$16,$D101))</f>
        <v>0</v>
      </c>
      <c r="AB101" s="109">
        <f ca="1">IF(xflag=1,_xll.DBSW(SAISIE!AB101,Server&amp;Cube1,$J$13,$J$14,$J$15,$J$17,AB$22,$J$16,$D101),_xll.DBRW(Server&amp;Cube1,$J$13,$J$14,$J$15,$J$17,AB$22,$J$16,$D101))</f>
        <v>0</v>
      </c>
      <c r="AC101" s="31"/>
      <c r="AF101" s="90" t="str">
        <f ca="1">IF(xflag=1,_xll.DBSW(#REF!,Server&amp;Cube1,$J$13,$J$14,$J$15,#REF!,AF$2,$J$16,$D101),_xll.DBRW(Server&amp;Cube1,$J$13,$J$14,$J$15,#REF!,AF$2,$J$16,$D101))</f>
        <v>*KEY_ERR</v>
      </c>
    </row>
    <row r="102" spans="1:32" s="19" customFormat="1" ht="15.75" x14ac:dyDescent="0.25">
      <c r="A102"/>
      <c r="B102" s="204" t="s">
        <v>179</v>
      </c>
      <c r="C102" s="214" t="s">
        <v>244</v>
      </c>
      <c r="D102" s="226" t="str">
        <f t="shared" si="16"/>
        <v>618880</v>
      </c>
      <c r="E102"/>
      <c r="F102" s="228"/>
      <c r="G102" s="171"/>
      <c r="H102" s="107"/>
      <c r="I102" s="305" t="str">
        <f ca="1">_xll.DBRA(Server&amp;$D$22,$D102,"French")</f>
        <v>Documentation technique</v>
      </c>
      <c r="J102" s="305" t="str">
        <f ca="1">_xll.DBRA(Server&amp;$D$22,$D102,"French")</f>
        <v>Documentation technique</v>
      </c>
      <c r="K102" s="37"/>
      <c r="L102" s="54">
        <f ca="1">_xll.DBRW(Server&amp;Cube1,$J$13,$L$3,$J$15,$L$1,$L$2,$J$16,$D102)</f>
        <v>-4355.04</v>
      </c>
      <c r="M102" s="37"/>
      <c r="N102" s="54">
        <f ca="1">_xll.DBRW(Server&amp;Cube1,$J$13,$N$3,$J$15,$N$1,$N$2,$J$16,$D102)</f>
        <v>-589.20000000000005</v>
      </c>
      <c r="O102" s="55"/>
      <c r="P102" s="57"/>
      <c r="Q102" s="109">
        <f ca="1">IF(xflag=1,_xll.DBSW(SAISIE!Q102,Server&amp;Cube1,$J$13,$J$14,$J$15,$J$17,Q$22,$J$16,$D102),_xll.DBRW(Server&amp;Cube1,$J$13,$J$14,$J$15,$J$17,Q$22,$J$16,$D102))</f>
        <v>0</v>
      </c>
      <c r="R102" s="109">
        <f ca="1">IF(xflag=1,_xll.DBSW(SAISIE!R102,Server&amp;Cube1,$J$13,$J$14,$J$15,$J$17,R$22,$J$16,$D102),_xll.DBRW(Server&amp;Cube1,$J$13,$J$14,$J$15,$J$17,R$22,$J$16,$D102))</f>
        <v>2030.9999999999986</v>
      </c>
      <c r="S102" s="109">
        <f ca="1">IF(xflag=1,_xll.DBSW(SAISIE!S102,Server&amp;Cube1,$J$13,$J$14,$J$15,$J$17,S$22,$J$16,$D102),_xll.DBRW(Server&amp;Cube1,$J$13,$J$14,$J$15,$J$17,S$22,$J$16,$D102))</f>
        <v>-43618.5</v>
      </c>
      <c r="T102" s="109">
        <f ca="1">IF(xflag=1,_xll.DBSW(SAISIE!T102,Server&amp;Cube1,$J$13,$J$14,$J$15,$J$17,T$22,$J$16,$D102),_xll.DBRW(Server&amp;Cube1,$J$13,$J$14,$J$15,$J$17,T$22,$J$16,$D102))</f>
        <v>1489.0299999999997</v>
      </c>
      <c r="U102" s="109">
        <f ca="1">IF(xflag=1,_xll.DBSW(SAISIE!U102,Server&amp;Cube1,$J$13,$J$14,$J$15,$J$17,U$22,$J$16,$D102),_xll.DBRW(Server&amp;Cube1,$J$13,$J$14,$J$15,$J$17,U$22,$J$16,$D102))</f>
        <v>-3933.0999999999985</v>
      </c>
      <c r="V102" s="109">
        <f ca="1">IF(xflag=1,_xll.DBSW(SAISIE!V102,Server&amp;Cube1,$J$13,$J$14,$J$15,$J$17,V$22,$J$16,$D102),_xll.DBRW(Server&amp;Cube1,$J$13,$J$14,$J$15,$J$17,V$22,$J$16,$D102))</f>
        <v>-22183.900000000009</v>
      </c>
      <c r="W102" s="109">
        <f ca="1">IF(xflag=1,_xll.DBSW(SAISIE!W102,Server&amp;Cube1,$J$13,$J$14,$J$15,$J$17,W$22,$J$16,$D102),_xll.DBRW(Server&amp;Cube1,$J$13,$J$14,$J$15,$J$17,W$22,$J$16,$D102))</f>
        <v>0</v>
      </c>
      <c r="X102" s="109">
        <f ca="1">IF(xflag=1,_xll.DBSW(SAISIE!X102,Server&amp;Cube1,$J$13,$J$14,$J$15,$J$17,X$22,$J$16,$D102),_xll.DBRW(Server&amp;Cube1,$J$13,$J$14,$J$15,$J$17,X$22,$J$16,$D102))</f>
        <v>0</v>
      </c>
      <c r="Y102" s="109">
        <f ca="1">IF(xflag=1,_xll.DBSW(SAISIE!Y102,Server&amp;Cube1,$J$13,$J$14,$J$15,$J$17,Y$22,$J$16,$D102),_xll.DBRW(Server&amp;Cube1,$J$13,$J$14,$J$15,$J$17,Y$22,$J$16,$D102))</f>
        <v>0</v>
      </c>
      <c r="Z102" s="109">
        <f ca="1">IF(xflag=1,_xll.DBSW(SAISIE!Z102,Server&amp;Cube1,$J$13,$J$14,$J$15,$J$17,Z$22,$J$16,$D102),_xll.DBRW(Server&amp;Cube1,$J$13,$J$14,$J$15,$J$17,Z$22,$J$16,$D102))</f>
        <v>0</v>
      </c>
      <c r="AA102" s="109">
        <f ca="1">IF(xflag=1,_xll.DBSW(SAISIE!AA102,Server&amp;Cube1,$J$13,$J$14,$J$15,$J$17,AA$22,$J$16,$D102),_xll.DBRW(Server&amp;Cube1,$J$13,$J$14,$J$15,$J$17,AA$22,$J$16,$D102))</f>
        <v>0</v>
      </c>
      <c r="AB102" s="109">
        <f ca="1">IF(xflag=1,_xll.DBSW(SAISIE!AB102,Server&amp;Cube1,$J$13,$J$14,$J$15,$J$17,AB$22,$J$16,$D102),_xll.DBRW(Server&amp;Cube1,$J$13,$J$14,$J$15,$J$17,AB$22,$J$16,$D102))</f>
        <v>0</v>
      </c>
      <c r="AC102" s="31"/>
      <c r="AF102" s="90" t="str">
        <f ca="1">IF(xflag=1,_xll.DBSW(#REF!,Server&amp;Cube1,$J$13,$J$14,$J$15,#REF!,AF$2,$J$16,$D102),_xll.DBRW(Server&amp;Cube1,$J$13,$J$14,$J$15,#REF!,AF$2,$J$16,$D102))</f>
        <v>*KEY_ERR</v>
      </c>
    </row>
    <row r="103" spans="1:32" s="19" customFormat="1" ht="15.75" x14ac:dyDescent="0.25">
      <c r="A103"/>
      <c r="B103" s="204" t="s">
        <v>161</v>
      </c>
      <c r="C103" s="214" t="s">
        <v>245</v>
      </c>
      <c r="D103" s="226" t="str">
        <f t="shared" si="16"/>
        <v>623100b</v>
      </c>
      <c r="E103"/>
      <c r="F103" s="228"/>
      <c r="G103" s="171"/>
      <c r="H103" s="107"/>
      <c r="I103" s="305" t="str">
        <f ca="1">_xll.DBRA(Server&amp;$D$22,$D103,"French")</f>
        <v>Frais de publicité et marketing</v>
      </c>
      <c r="J103" s="305" t="str">
        <f ca="1">_xll.DBRA(Server&amp;$D$22,$D103,"French")</f>
        <v>Frais de publicité et marketing</v>
      </c>
      <c r="K103" s="37"/>
      <c r="L103" s="54">
        <f ca="1">_xll.DBRW(Server&amp;Cube1,$J$13,$L$3,$J$15,$L$1,$L$2,$J$16,$D103)</f>
        <v>0</v>
      </c>
      <c r="M103" s="37"/>
      <c r="N103" s="54">
        <f ca="1">_xll.DBRW(Server&amp;Cube1,$J$13,$N$3,$J$15,$N$1,$N$2,$J$16,$D103)</f>
        <v>0</v>
      </c>
      <c r="O103" s="55"/>
      <c r="P103" s="57"/>
      <c r="Q103" s="109">
        <f ca="1">IF(xflag=1,_xll.DBSW(SAISIE!Q103,Server&amp;Cube1,$J$13,$J$14,$J$15,$J$17,Q$22,$J$16,$D103),_xll.DBRW(Server&amp;Cube1,$J$13,$J$14,$J$15,$J$17,Q$22,$J$16,$D103))</f>
        <v>0</v>
      </c>
      <c r="R103" s="109">
        <f ca="1">IF(xflag=1,_xll.DBSW(SAISIE!R103,Server&amp;Cube1,$J$13,$J$14,$J$15,$J$17,R$22,$J$16,$D103),_xll.DBRW(Server&amp;Cube1,$J$13,$J$14,$J$15,$J$17,R$22,$J$16,$D103))</f>
        <v>0</v>
      </c>
      <c r="S103" s="109">
        <f ca="1">IF(xflag=1,_xll.DBSW(SAISIE!S103,Server&amp;Cube1,$J$13,$J$14,$J$15,$J$17,S$22,$J$16,$D103),_xll.DBRW(Server&amp;Cube1,$J$13,$J$14,$J$15,$J$17,S$22,$J$16,$D103))</f>
        <v>0</v>
      </c>
      <c r="T103" s="109">
        <f ca="1">IF(xflag=1,_xll.DBSW(SAISIE!T103,Server&amp;Cube1,$J$13,$J$14,$J$15,$J$17,T$22,$J$16,$D103),_xll.DBRW(Server&amp;Cube1,$J$13,$J$14,$J$15,$J$17,T$22,$J$16,$D103))</f>
        <v>0</v>
      </c>
      <c r="U103" s="109">
        <f ca="1">IF(xflag=1,_xll.DBSW(SAISIE!U103,Server&amp;Cube1,$J$13,$J$14,$J$15,$J$17,U$22,$J$16,$D103),_xll.DBRW(Server&amp;Cube1,$J$13,$J$14,$J$15,$J$17,U$22,$J$16,$D103))</f>
        <v>0</v>
      </c>
      <c r="V103" s="109">
        <f ca="1">IF(xflag=1,_xll.DBSW(SAISIE!V103,Server&amp;Cube1,$J$13,$J$14,$J$15,$J$17,V$22,$J$16,$D103),_xll.DBRW(Server&amp;Cube1,$J$13,$J$14,$J$15,$J$17,V$22,$J$16,$D103))</f>
        <v>0</v>
      </c>
      <c r="W103" s="109">
        <f ca="1">IF(xflag=1,_xll.DBSW(SAISIE!W103,Server&amp;Cube1,$J$13,$J$14,$J$15,$J$17,W$22,$J$16,$D103),_xll.DBRW(Server&amp;Cube1,$J$13,$J$14,$J$15,$J$17,W$22,$J$16,$D103))</f>
        <v>0</v>
      </c>
      <c r="X103" s="109">
        <f ca="1">IF(xflag=1,_xll.DBSW(SAISIE!X103,Server&amp;Cube1,$J$13,$J$14,$J$15,$J$17,X$22,$J$16,$D103),_xll.DBRW(Server&amp;Cube1,$J$13,$J$14,$J$15,$J$17,X$22,$J$16,$D103))</f>
        <v>0</v>
      </c>
      <c r="Y103" s="109">
        <f ca="1">IF(xflag=1,_xll.DBSW(SAISIE!Y103,Server&amp;Cube1,$J$13,$J$14,$J$15,$J$17,Y$22,$J$16,$D103),_xll.DBRW(Server&amp;Cube1,$J$13,$J$14,$J$15,$J$17,Y$22,$J$16,$D103))</f>
        <v>0</v>
      </c>
      <c r="Z103" s="109">
        <f ca="1">IF(xflag=1,_xll.DBSW(SAISIE!Z103,Server&amp;Cube1,$J$13,$J$14,$J$15,$J$17,Z$22,$J$16,$D103),_xll.DBRW(Server&amp;Cube1,$J$13,$J$14,$J$15,$J$17,Z$22,$J$16,$D103))</f>
        <v>0</v>
      </c>
      <c r="AA103" s="109">
        <f ca="1">IF(xflag=1,_xll.DBSW(SAISIE!AA103,Server&amp;Cube1,$J$13,$J$14,$J$15,$J$17,AA$22,$J$16,$D103),_xll.DBRW(Server&amp;Cube1,$J$13,$J$14,$J$15,$J$17,AA$22,$J$16,$D103))</f>
        <v>0</v>
      </c>
      <c r="AB103" s="109">
        <f ca="1">IF(xflag=1,_xll.DBSW(SAISIE!AB103,Server&amp;Cube1,$J$13,$J$14,$J$15,$J$17,AB$22,$J$16,$D103),_xll.DBRW(Server&amp;Cube1,$J$13,$J$14,$J$15,$J$17,AB$22,$J$16,$D103))</f>
        <v>0</v>
      </c>
      <c r="AC103" s="31"/>
      <c r="AF103" s="90" t="str">
        <f ca="1">IF(xflag=1,_xll.DBSW(#REF!,Server&amp;Cube1,$J$13,$J$14,$J$15,#REF!,AF$2,$J$16,$D103),_xll.DBRW(Server&amp;Cube1,$J$13,$J$14,$J$15,#REF!,AF$2,$J$16,$D103))</f>
        <v>*KEY_ERR</v>
      </c>
    </row>
    <row r="104" spans="1:32" s="19" customFormat="1" ht="15.75" x14ac:dyDescent="0.25">
      <c r="A104"/>
      <c r="B104" s="204" t="s">
        <v>135</v>
      </c>
      <c r="C104" s="214" t="s">
        <v>301</v>
      </c>
      <c r="D104" s="226" t="str">
        <f>B104</f>
        <v>623400</v>
      </c>
      <c r="E104"/>
      <c r="F104" s="228"/>
      <c r="G104" s="171"/>
      <c r="H104" s="107"/>
      <c r="I104" s="305" t="str">
        <f ca="1">_xll.DBRA(Server&amp;$D$22,$D104,"French")</f>
        <v>Cadeaux Stagiaires (coûts directs)</v>
      </c>
      <c r="J104" s="305" t="str">
        <f ca="1">_xll.DBRA(Server&amp;$D$22,$D104,"French")</f>
        <v>Cadeaux Stagiaires (coûts directs)</v>
      </c>
      <c r="K104" s="37"/>
      <c r="L104" s="54">
        <f ca="1">_xll.DBRW(Server&amp;Cube1,$J$13,$L$3,$J$15,$L$1,$L$2,$J$16,$D104)</f>
        <v>-455.97</v>
      </c>
      <c r="M104" s="37"/>
      <c r="N104" s="54">
        <f ca="1">_xll.DBRW(Server&amp;Cube1,$J$13,$N$3,$J$15,$N$1,$N$2,$J$16,$D104)</f>
        <v>-143</v>
      </c>
      <c r="O104" s="55"/>
      <c r="P104" s="57"/>
      <c r="Q104" s="109">
        <f ca="1">IF(xflag=1,_xll.DBSW(SAISIE!Q104,Server&amp;Cube1,$J$13,$J$14,$J$15,$J$17,Q$22,$J$16,$D104),_xll.DBRW(Server&amp;Cube1,$J$13,$J$14,$J$15,$J$17,Q$22,$J$16,$D104))</f>
        <v>0</v>
      </c>
      <c r="R104" s="109">
        <f ca="1">IF(xflag=1,_xll.DBSW(SAISIE!R104,Server&amp;Cube1,$J$13,$J$14,$J$15,$J$17,R$22,$J$16,$D104),_xll.DBRW(Server&amp;Cube1,$J$13,$J$14,$J$15,$J$17,R$22,$J$16,$D104))</f>
        <v>0</v>
      </c>
      <c r="S104" s="109">
        <f ca="1">IF(xflag=1,_xll.DBSW(SAISIE!S104,Server&amp;Cube1,$J$13,$J$14,$J$15,$J$17,S$22,$J$16,$D104),_xll.DBRW(Server&amp;Cube1,$J$13,$J$14,$J$15,$J$17,S$22,$J$16,$D104))</f>
        <v>0</v>
      </c>
      <c r="T104" s="109">
        <f ca="1">IF(xflag=1,_xll.DBSW(SAISIE!T104,Server&amp;Cube1,$J$13,$J$14,$J$15,$J$17,T$22,$J$16,$D104),_xll.DBRW(Server&amp;Cube1,$J$13,$J$14,$J$15,$J$17,T$22,$J$16,$D104))</f>
        <v>0</v>
      </c>
      <c r="U104" s="109">
        <f ca="1">IF(xflag=1,_xll.DBSW(SAISIE!U104,Server&amp;Cube1,$J$13,$J$14,$J$15,$J$17,U$22,$J$16,$D104),_xll.DBRW(Server&amp;Cube1,$J$13,$J$14,$J$15,$J$17,U$22,$J$16,$D104))</f>
        <v>-1200</v>
      </c>
      <c r="V104" s="109">
        <f ca="1">IF(xflag=1,_xll.DBSW(SAISIE!V104,Server&amp;Cube1,$J$13,$J$14,$J$15,$J$17,V$22,$J$16,$D104),_xll.DBRW(Server&amp;Cube1,$J$13,$J$14,$J$15,$J$17,V$22,$J$16,$D104))</f>
        <v>0</v>
      </c>
      <c r="W104" s="109">
        <f ca="1">IF(xflag=1,_xll.DBSW(SAISIE!W104,Server&amp;Cube1,$J$13,$J$14,$J$15,$J$17,W$22,$J$16,$D104),_xll.DBRW(Server&amp;Cube1,$J$13,$J$14,$J$15,$J$17,W$22,$J$16,$D104))</f>
        <v>0</v>
      </c>
      <c r="X104" s="109">
        <f ca="1">IF(xflag=1,_xll.DBSW(SAISIE!X104,Server&amp;Cube1,$J$13,$J$14,$J$15,$J$17,X$22,$J$16,$D104),_xll.DBRW(Server&amp;Cube1,$J$13,$J$14,$J$15,$J$17,X$22,$J$16,$D104))</f>
        <v>0</v>
      </c>
      <c r="Y104" s="109">
        <f ca="1">IF(xflag=1,_xll.DBSW(SAISIE!Y104,Server&amp;Cube1,$J$13,$J$14,$J$15,$J$17,Y$22,$J$16,$D104),_xll.DBRW(Server&amp;Cube1,$J$13,$J$14,$J$15,$J$17,Y$22,$J$16,$D104))</f>
        <v>0</v>
      </c>
      <c r="Z104" s="109">
        <f ca="1">IF(xflag=1,_xll.DBSW(SAISIE!Z104,Server&amp;Cube1,$J$13,$J$14,$J$15,$J$17,Z$22,$J$16,$D104),_xll.DBRW(Server&amp;Cube1,$J$13,$J$14,$J$15,$J$17,Z$22,$J$16,$D104))</f>
        <v>0</v>
      </c>
      <c r="AA104" s="109">
        <f ca="1">IF(xflag=1,_xll.DBSW(SAISIE!AA104,Server&amp;Cube1,$J$13,$J$14,$J$15,$J$17,AA$22,$J$16,$D104),_xll.DBRW(Server&amp;Cube1,$J$13,$J$14,$J$15,$J$17,AA$22,$J$16,$D104))</f>
        <v>0</v>
      </c>
      <c r="AB104" s="109">
        <f ca="1">IF(xflag=1,_xll.DBSW(SAISIE!AB104,Server&amp;Cube1,$J$13,$J$14,$J$15,$J$17,AB$22,$J$16,$D104),_xll.DBRW(Server&amp;Cube1,$J$13,$J$14,$J$15,$J$17,AB$22,$J$16,$D104))</f>
        <v>0</v>
      </c>
      <c r="AC104" s="31"/>
      <c r="AF104" s="90" t="str">
        <f ca="1">IF(xflag=1,_xll.DBSW(#REF!,Server&amp;Cube1,$J$13,$J$14,$J$15,#REF!,AF$2,$J$16,$D104),_xll.DBRW(Server&amp;Cube1,$J$13,$J$14,$J$15,#REF!,AF$2,$J$16,$D104))</f>
        <v>*KEY_ERR</v>
      </c>
    </row>
    <row r="105" spans="1:32" s="19" customFormat="1" ht="15.75" x14ac:dyDescent="0.25">
      <c r="A105"/>
      <c r="B105" s="204" t="s">
        <v>30</v>
      </c>
      <c r="C105" s="214" t="s">
        <v>246</v>
      </c>
      <c r="D105" s="226" t="str">
        <f t="shared" si="16"/>
        <v>623600</v>
      </c>
      <c r="E105"/>
      <c r="F105" s="228"/>
      <c r="G105" s="171"/>
      <c r="H105" s="107"/>
      <c r="I105" s="305" t="str">
        <f ca="1">_xll.DBRA(Server&amp;$D$22,$D105,"French")</f>
        <v>Catalogue "Siège"</v>
      </c>
      <c r="J105" s="305" t="str">
        <f ca="1">_xll.DBRA(Server&amp;$D$22,$D105,"French")</f>
        <v>Catalogue "Siège"</v>
      </c>
      <c r="K105" s="37"/>
      <c r="L105" s="54">
        <f ca="1">_xll.DBRW(Server&amp;Cube1,$J$13,$L$3,$J$15,$L$1,$L$2,$J$16,$D105)</f>
        <v>0</v>
      </c>
      <c r="M105" s="37"/>
      <c r="N105" s="54">
        <f ca="1">_xll.DBRW(Server&amp;Cube1,$J$13,$N$3,$J$15,$N$1,$N$2,$J$16,$D105)</f>
        <v>0</v>
      </c>
      <c r="O105" s="55"/>
      <c r="P105" s="57"/>
      <c r="Q105" s="109">
        <f ca="1">IF(xflag=1,_xll.DBSW(SAISIE!Q105,Server&amp;Cube1,$J$13,$J$14,$J$15,$J$17,Q$22,$J$16,$D105),_xll.DBRW(Server&amp;Cube1,$J$13,$J$14,$J$15,$J$17,Q$22,$J$16,$D105))</f>
        <v>0</v>
      </c>
      <c r="R105" s="109">
        <f ca="1">IF(xflag=1,_xll.DBSW(SAISIE!R105,Server&amp;Cube1,$J$13,$J$14,$J$15,$J$17,R$22,$J$16,$D105),_xll.DBRW(Server&amp;Cube1,$J$13,$J$14,$J$15,$J$17,R$22,$J$16,$D105))</f>
        <v>15257</v>
      </c>
      <c r="S105" s="109">
        <f ca="1">IF(xflag=1,_xll.DBSW(SAISIE!S105,Server&amp;Cube1,$J$13,$J$14,$J$15,$J$17,S$22,$J$16,$D105),_xll.DBRW(Server&amp;Cube1,$J$13,$J$14,$J$15,$J$17,S$22,$J$16,$D105))</f>
        <v>-16265</v>
      </c>
      <c r="T105" s="109">
        <f ca="1">IF(xflag=1,_xll.DBSW(SAISIE!T105,Server&amp;Cube1,$J$13,$J$14,$J$15,$J$17,T$22,$J$16,$D105),_xll.DBRW(Server&amp;Cube1,$J$13,$J$14,$J$15,$J$17,T$22,$J$16,$D105))</f>
        <v>0</v>
      </c>
      <c r="U105" s="109">
        <f ca="1">IF(xflag=1,_xll.DBSW(SAISIE!U105,Server&amp;Cube1,$J$13,$J$14,$J$15,$J$17,U$22,$J$16,$D105),_xll.DBRW(Server&amp;Cube1,$J$13,$J$14,$J$15,$J$17,U$22,$J$16,$D105))</f>
        <v>16265</v>
      </c>
      <c r="V105" s="109">
        <f ca="1">IF(xflag=1,_xll.DBSW(SAISIE!V105,Server&amp;Cube1,$J$13,$J$14,$J$15,$J$17,V$22,$J$16,$D105),_xll.DBRW(Server&amp;Cube1,$J$13,$J$14,$J$15,$J$17,V$22,$J$16,$D105))</f>
        <v>0</v>
      </c>
      <c r="W105" s="109">
        <f ca="1">IF(xflag=1,_xll.DBSW(SAISIE!W105,Server&amp;Cube1,$J$13,$J$14,$J$15,$J$17,W$22,$J$16,$D105),_xll.DBRW(Server&amp;Cube1,$J$13,$J$14,$J$15,$J$17,W$22,$J$16,$D105))</f>
        <v>0</v>
      </c>
      <c r="X105" s="109">
        <f ca="1">IF(xflag=1,_xll.DBSW(SAISIE!X105,Server&amp;Cube1,$J$13,$J$14,$J$15,$J$17,X$22,$J$16,$D105),_xll.DBRW(Server&amp;Cube1,$J$13,$J$14,$J$15,$J$17,X$22,$J$16,$D105))</f>
        <v>0</v>
      </c>
      <c r="Y105" s="109">
        <f ca="1">IF(xflag=1,_xll.DBSW(SAISIE!Y105,Server&amp;Cube1,$J$13,$J$14,$J$15,$J$17,Y$22,$J$16,$D105),_xll.DBRW(Server&amp;Cube1,$J$13,$J$14,$J$15,$J$17,Y$22,$J$16,$D105))</f>
        <v>0</v>
      </c>
      <c r="Z105" s="109">
        <f ca="1">IF(xflag=1,_xll.DBSW(SAISIE!Z105,Server&amp;Cube1,$J$13,$J$14,$J$15,$J$17,Z$22,$J$16,$D105),_xll.DBRW(Server&amp;Cube1,$J$13,$J$14,$J$15,$J$17,Z$22,$J$16,$D105))</f>
        <v>0</v>
      </c>
      <c r="AA105" s="109">
        <f ca="1">IF(xflag=1,_xll.DBSW(SAISIE!AA105,Server&amp;Cube1,$J$13,$J$14,$J$15,$J$17,AA$22,$J$16,$D105),_xll.DBRW(Server&amp;Cube1,$J$13,$J$14,$J$15,$J$17,AA$22,$J$16,$D105))</f>
        <v>0</v>
      </c>
      <c r="AB105" s="109">
        <f ca="1">IF(xflag=1,_xll.DBSW(SAISIE!AB105,Server&amp;Cube1,$J$13,$J$14,$J$15,$J$17,AB$22,$J$16,$D105),_xll.DBRW(Server&amp;Cube1,$J$13,$J$14,$J$15,$J$17,AB$22,$J$16,$D105))</f>
        <v>0</v>
      </c>
      <c r="AC105" s="31"/>
      <c r="AF105" s="90" t="str">
        <f ca="1">IF(xflag=1,_xll.DBSW(#REF!,Server&amp;Cube1,$J$13,$J$14,$J$15,#REF!,AF$2,$J$16,$D105),_xll.DBRW(Server&amp;Cube1,$J$13,$J$14,$J$15,#REF!,AF$2,$J$16,$D105))</f>
        <v>*KEY_ERR</v>
      </c>
    </row>
    <row r="106" spans="1:32" s="19" customFormat="1" ht="15.75" x14ac:dyDescent="0.25">
      <c r="A106"/>
      <c r="B106" s="204" t="s">
        <v>84</v>
      </c>
      <c r="C106" s="214" t="s">
        <v>247</v>
      </c>
      <c r="D106" s="226" t="str">
        <f t="shared" si="16"/>
        <v>624100a</v>
      </c>
      <c r="E106"/>
      <c r="F106" s="228"/>
      <c r="G106" s="171"/>
      <c r="H106" s="107"/>
      <c r="I106" s="305" t="str">
        <f ca="1">_xll.DBRA(Server&amp;$D$22,$D106,"French")</f>
        <v>Autre transport sur achat</v>
      </c>
      <c r="J106" s="305" t="str">
        <f ca="1">_xll.DBRA(Server&amp;$D$22,$D106,"French")</f>
        <v>Autre transport sur achat</v>
      </c>
      <c r="K106" s="37"/>
      <c r="L106" s="54">
        <f ca="1">_xll.DBRW(Server&amp;Cube1,$J$13,$L$3,$J$15,$L$1,$L$2,$J$16,$D106)</f>
        <v>0</v>
      </c>
      <c r="M106" s="37"/>
      <c r="N106" s="54">
        <f ca="1">_xll.DBRW(Server&amp;Cube1,$J$13,$N$3,$J$15,$N$1,$N$2,$J$16,$D106)</f>
        <v>0</v>
      </c>
      <c r="O106" s="55"/>
      <c r="P106" s="57"/>
      <c r="Q106" s="109">
        <f ca="1">IF(xflag=1,_xll.DBSW(SAISIE!Q106,Server&amp;Cube1,$J$13,$J$14,$J$15,$J$17,Q$22,$J$16,$D106),_xll.DBRW(Server&amp;Cube1,$J$13,$J$14,$J$15,$J$17,Q$22,$J$16,$D106))</f>
        <v>0</v>
      </c>
      <c r="R106" s="109">
        <f ca="1">IF(xflag=1,_xll.DBSW(SAISIE!R106,Server&amp;Cube1,$J$13,$J$14,$J$15,$J$17,R$22,$J$16,$D106),_xll.DBRW(Server&amp;Cube1,$J$13,$J$14,$J$15,$J$17,R$22,$J$16,$D106))</f>
        <v>-12.69</v>
      </c>
      <c r="S106" s="109">
        <f ca="1">IF(xflag=1,_xll.DBSW(SAISIE!S106,Server&amp;Cube1,$J$13,$J$14,$J$15,$J$17,S$22,$J$16,$D106),_xll.DBRW(Server&amp;Cube1,$J$13,$J$14,$J$15,$J$17,S$22,$J$16,$D106))</f>
        <v>-12.69</v>
      </c>
      <c r="T106" s="109">
        <f ca="1">IF(xflag=1,_xll.DBSW(SAISIE!T106,Server&amp;Cube1,$J$13,$J$14,$J$15,$J$17,T$22,$J$16,$D106),_xll.DBRW(Server&amp;Cube1,$J$13,$J$14,$J$15,$J$17,T$22,$J$16,$D106))</f>
        <v>0</v>
      </c>
      <c r="U106" s="109">
        <f ca="1">IF(xflag=1,_xll.DBSW(SAISIE!U106,Server&amp;Cube1,$J$13,$J$14,$J$15,$J$17,U$22,$J$16,$D106),_xll.DBRW(Server&amp;Cube1,$J$13,$J$14,$J$15,$J$17,U$22,$J$16,$D106))</f>
        <v>0</v>
      </c>
      <c r="V106" s="109">
        <f ca="1">IF(xflag=1,_xll.DBSW(SAISIE!V106,Server&amp;Cube1,$J$13,$J$14,$J$15,$J$17,V$22,$J$16,$D106),_xll.DBRW(Server&amp;Cube1,$J$13,$J$14,$J$15,$J$17,V$22,$J$16,$D106))</f>
        <v>0</v>
      </c>
      <c r="W106" s="109">
        <f ca="1">IF(xflag=1,_xll.DBSW(SAISIE!W106,Server&amp;Cube1,$J$13,$J$14,$J$15,$J$17,W$22,$J$16,$D106),_xll.DBRW(Server&amp;Cube1,$J$13,$J$14,$J$15,$J$17,W$22,$J$16,$D106))</f>
        <v>0</v>
      </c>
      <c r="X106" s="109">
        <f ca="1">IF(xflag=1,_xll.DBSW(SAISIE!X106,Server&amp;Cube1,$J$13,$J$14,$J$15,$J$17,X$22,$J$16,$D106),_xll.DBRW(Server&amp;Cube1,$J$13,$J$14,$J$15,$J$17,X$22,$J$16,$D106))</f>
        <v>0</v>
      </c>
      <c r="Y106" s="109">
        <f ca="1">IF(xflag=1,_xll.DBSW(SAISIE!Y106,Server&amp;Cube1,$J$13,$J$14,$J$15,$J$17,Y$22,$J$16,$D106),_xll.DBRW(Server&amp;Cube1,$J$13,$J$14,$J$15,$J$17,Y$22,$J$16,$D106))</f>
        <v>0</v>
      </c>
      <c r="Z106" s="109">
        <f ca="1">IF(xflag=1,_xll.DBSW(SAISIE!Z106,Server&amp;Cube1,$J$13,$J$14,$J$15,$J$17,Z$22,$J$16,$D106),_xll.DBRW(Server&amp;Cube1,$J$13,$J$14,$J$15,$J$17,Z$22,$J$16,$D106))</f>
        <v>0</v>
      </c>
      <c r="AA106" s="109">
        <f ca="1">IF(xflag=1,_xll.DBSW(SAISIE!AA106,Server&amp;Cube1,$J$13,$J$14,$J$15,$J$17,AA$22,$J$16,$D106),_xll.DBRW(Server&amp;Cube1,$J$13,$J$14,$J$15,$J$17,AA$22,$J$16,$D106))</f>
        <v>0</v>
      </c>
      <c r="AB106" s="109">
        <f ca="1">IF(xflag=1,_xll.DBSW(SAISIE!AB106,Server&amp;Cube1,$J$13,$J$14,$J$15,$J$17,AB$22,$J$16,$D106),_xll.DBRW(Server&amp;Cube1,$J$13,$J$14,$J$15,$J$17,AB$22,$J$16,$D106))</f>
        <v>0</v>
      </c>
      <c r="AC106" s="31"/>
      <c r="AF106" s="90" t="str">
        <f ca="1">IF(xflag=1,_xll.DBSW(#REF!,Server&amp;Cube1,$J$13,$J$14,$J$15,#REF!,AF$2,$J$16,$D106),_xll.DBRW(Server&amp;Cube1,$J$13,$J$14,$J$15,#REF!,AF$2,$J$16,$D106))</f>
        <v>*KEY_ERR</v>
      </c>
    </row>
    <row r="107" spans="1:32" s="19" customFormat="1" ht="15.75" x14ac:dyDescent="0.25">
      <c r="A107"/>
      <c r="B107" s="204" t="s">
        <v>173</v>
      </c>
      <c r="C107" s="214" t="s">
        <v>248</v>
      </c>
      <c r="D107" s="226" t="str">
        <f t="shared" si="16"/>
        <v>625200</v>
      </c>
      <c r="E107"/>
      <c r="F107" s="228"/>
      <c r="G107" s="171"/>
      <c r="H107" s="107"/>
      <c r="I107" s="305" t="str">
        <f ca="1">_xll.DBRA(Server&amp;$D$22,$D107,"French")</f>
        <v>Frais de colloques, séminaires, conférences</v>
      </c>
      <c r="J107" s="305" t="str">
        <f ca="1">_xll.DBRA(Server&amp;$D$22,$D107,"French")</f>
        <v>Frais de colloques, séminaires, conférences</v>
      </c>
      <c r="K107" s="37"/>
      <c r="L107" s="54">
        <f ca="1">_xll.DBRW(Server&amp;Cube1,$J$13,$L$3,$J$15,$L$1,$L$2,$J$16,$D107)</f>
        <v>0</v>
      </c>
      <c r="M107" s="37"/>
      <c r="N107" s="54">
        <f ca="1">_xll.DBRW(Server&amp;Cube1,$J$13,$N$3,$J$15,$N$1,$N$2,$J$16,$D107)</f>
        <v>0</v>
      </c>
      <c r="O107" s="55"/>
      <c r="P107" s="57"/>
      <c r="Q107" s="109">
        <f ca="1">IF(xflag=1,_xll.DBSW(SAISIE!Q107,Server&amp;Cube1,$J$13,$J$14,$J$15,$J$17,Q$22,$J$16,$D107),_xll.DBRW(Server&amp;Cube1,$J$13,$J$14,$J$15,$J$17,Q$22,$J$16,$D107))</f>
        <v>0</v>
      </c>
      <c r="R107" s="109">
        <f ca="1">IF(xflag=1,_xll.DBSW(SAISIE!R107,Server&amp;Cube1,$J$13,$J$14,$J$15,$J$17,R$22,$J$16,$D107),_xll.DBRW(Server&amp;Cube1,$J$13,$J$14,$J$15,$J$17,R$22,$J$16,$D107))</f>
        <v>-3069.33</v>
      </c>
      <c r="S107" s="109">
        <f ca="1">IF(xflag=1,_xll.DBSW(SAISIE!S107,Server&amp;Cube1,$J$13,$J$14,$J$15,$J$17,S$22,$J$16,$D107),_xll.DBRW(Server&amp;Cube1,$J$13,$J$14,$J$15,$J$17,S$22,$J$16,$D107))</f>
        <v>0</v>
      </c>
      <c r="T107" s="109">
        <f ca="1">IF(xflag=1,_xll.DBSW(SAISIE!T107,Server&amp;Cube1,$J$13,$J$14,$J$15,$J$17,T$22,$J$16,$D107),_xll.DBRW(Server&amp;Cube1,$J$13,$J$14,$J$15,$J$17,T$22,$J$16,$D107))</f>
        <v>0</v>
      </c>
      <c r="U107" s="109">
        <f ca="1">IF(xflag=1,_xll.DBSW(SAISIE!U107,Server&amp;Cube1,$J$13,$J$14,$J$15,$J$17,U$22,$J$16,$D107),_xll.DBRW(Server&amp;Cube1,$J$13,$J$14,$J$15,$J$17,U$22,$J$16,$D107))</f>
        <v>0</v>
      </c>
      <c r="V107" s="109">
        <f ca="1">IF(xflag=1,_xll.DBSW(SAISIE!V107,Server&amp;Cube1,$J$13,$J$14,$J$15,$J$17,V$22,$J$16,$D107),_xll.DBRW(Server&amp;Cube1,$J$13,$J$14,$J$15,$J$17,V$22,$J$16,$D107))</f>
        <v>-616.15000000000009</v>
      </c>
      <c r="W107" s="109">
        <f ca="1">IF(xflag=1,_xll.DBSW(SAISIE!W107,Server&amp;Cube1,$J$13,$J$14,$J$15,$J$17,W$22,$J$16,$D107),_xll.DBRW(Server&amp;Cube1,$J$13,$J$14,$J$15,$J$17,W$22,$J$16,$D107))</f>
        <v>0</v>
      </c>
      <c r="X107" s="109">
        <f ca="1">IF(xflag=1,_xll.DBSW(SAISIE!X107,Server&amp;Cube1,$J$13,$J$14,$J$15,$J$17,X$22,$J$16,$D107),_xll.DBRW(Server&amp;Cube1,$J$13,$J$14,$J$15,$J$17,X$22,$J$16,$D107))</f>
        <v>0</v>
      </c>
      <c r="Y107" s="109">
        <f ca="1">IF(xflag=1,_xll.DBSW(SAISIE!Y107,Server&amp;Cube1,$J$13,$J$14,$J$15,$J$17,Y$22,$J$16,$D107),_xll.DBRW(Server&amp;Cube1,$J$13,$J$14,$J$15,$J$17,Y$22,$J$16,$D107))</f>
        <v>0</v>
      </c>
      <c r="Z107" s="109">
        <f ca="1">IF(xflag=1,_xll.DBSW(SAISIE!Z107,Server&amp;Cube1,$J$13,$J$14,$J$15,$J$17,Z$22,$J$16,$D107),_xll.DBRW(Server&amp;Cube1,$J$13,$J$14,$J$15,$J$17,Z$22,$J$16,$D107))</f>
        <v>0</v>
      </c>
      <c r="AA107" s="109">
        <f ca="1">IF(xflag=1,_xll.DBSW(SAISIE!AA107,Server&amp;Cube1,$J$13,$J$14,$J$15,$J$17,AA$22,$J$16,$D107),_xll.DBRW(Server&amp;Cube1,$J$13,$J$14,$J$15,$J$17,AA$22,$J$16,$D107))</f>
        <v>0</v>
      </c>
      <c r="AB107" s="109">
        <f ca="1">IF(xflag=1,_xll.DBSW(SAISIE!AB107,Server&amp;Cube1,$J$13,$J$14,$J$15,$J$17,AB$22,$J$16,$D107),_xll.DBRW(Server&amp;Cube1,$J$13,$J$14,$J$15,$J$17,AB$22,$J$16,$D107))</f>
        <v>0</v>
      </c>
      <c r="AC107" s="31"/>
      <c r="AF107" s="90" t="str">
        <f ca="1">IF(xflag=1,_xll.DBSW(#REF!,Server&amp;Cube1,$J$13,$J$14,$J$15,#REF!,AF$2,$J$16,$D107),_xll.DBRW(Server&amp;Cube1,$J$13,$J$14,$J$15,#REF!,AF$2,$J$16,$D107))</f>
        <v>*KEY_ERR</v>
      </c>
    </row>
    <row r="108" spans="1:32" s="19" customFormat="1" ht="15.75" x14ac:dyDescent="0.25">
      <c r="A108"/>
      <c r="B108" s="204" t="s">
        <v>134</v>
      </c>
      <c r="C108" s="214" t="s">
        <v>249</v>
      </c>
      <c r="D108" s="226" t="str">
        <f t="shared" si="16"/>
        <v>625500</v>
      </c>
      <c r="E108"/>
      <c r="F108" s="228"/>
      <c r="G108" s="171"/>
      <c r="H108" s="107"/>
      <c r="I108" s="305" t="str">
        <f ca="1">_xll.DBRA(Server&amp;$D$22,$D108,"French")</f>
        <v>Frais de déménagements</v>
      </c>
      <c r="J108" s="305" t="str">
        <f ca="1">_xll.DBRA(Server&amp;$D$22,$D108,"French")</f>
        <v>Frais de déménagements</v>
      </c>
      <c r="K108" s="37"/>
      <c r="L108" s="54">
        <f ca="1">_xll.DBRW(Server&amp;Cube1,$J$13,$L$3,$J$15,$L$1,$L$2,$J$16,$D108)</f>
        <v>0</v>
      </c>
      <c r="M108" s="37"/>
      <c r="N108" s="54">
        <f ca="1">_xll.DBRW(Server&amp;Cube1,$J$13,$N$3,$J$15,$N$1,$N$2,$J$16,$D108)</f>
        <v>0</v>
      </c>
      <c r="O108" s="55"/>
      <c r="P108" s="57"/>
      <c r="Q108" s="109">
        <f ca="1">IF(xflag=1,_xll.DBSW(SAISIE!Q108,Server&amp;Cube1,$J$13,$J$14,$J$15,$J$17,Q$22,$J$16,$D108),_xll.DBRW(Server&amp;Cube1,$J$13,$J$14,$J$15,$J$17,Q$22,$J$16,$D108))</f>
        <v>0</v>
      </c>
      <c r="R108" s="109">
        <f ca="1">IF(xflag=1,_xll.DBSW(SAISIE!R108,Server&amp;Cube1,$J$13,$J$14,$J$15,$J$17,R$22,$J$16,$D108),_xll.DBRW(Server&amp;Cube1,$J$13,$J$14,$J$15,$J$17,R$22,$J$16,$D108))</f>
        <v>0</v>
      </c>
      <c r="S108" s="109">
        <f ca="1">IF(xflag=1,_xll.DBSW(SAISIE!S108,Server&amp;Cube1,$J$13,$J$14,$J$15,$J$17,S$22,$J$16,$D108),_xll.DBRW(Server&amp;Cube1,$J$13,$J$14,$J$15,$J$17,S$22,$J$16,$D108))</f>
        <v>0</v>
      </c>
      <c r="T108" s="109">
        <f ca="1">IF(xflag=1,_xll.DBSW(SAISIE!T108,Server&amp;Cube1,$J$13,$J$14,$J$15,$J$17,T$22,$J$16,$D108),_xll.DBRW(Server&amp;Cube1,$J$13,$J$14,$J$15,$J$17,T$22,$J$16,$D108))</f>
        <v>0</v>
      </c>
      <c r="U108" s="109">
        <f ca="1">IF(xflag=1,_xll.DBSW(SAISIE!U108,Server&amp;Cube1,$J$13,$J$14,$J$15,$J$17,U$22,$J$16,$D108),_xll.DBRW(Server&amp;Cube1,$J$13,$J$14,$J$15,$J$17,U$22,$J$16,$D108))</f>
        <v>0</v>
      </c>
      <c r="V108" s="109">
        <f ca="1">IF(xflag=1,_xll.DBSW(SAISIE!V108,Server&amp;Cube1,$J$13,$J$14,$J$15,$J$17,V$22,$J$16,$D108),_xll.DBRW(Server&amp;Cube1,$J$13,$J$14,$J$15,$J$17,V$22,$J$16,$D108))</f>
        <v>0</v>
      </c>
      <c r="W108" s="109">
        <f ca="1">IF(xflag=1,_xll.DBSW(SAISIE!W108,Server&amp;Cube1,$J$13,$J$14,$J$15,$J$17,W$22,$J$16,$D108),_xll.DBRW(Server&amp;Cube1,$J$13,$J$14,$J$15,$J$17,W$22,$J$16,$D108))</f>
        <v>0</v>
      </c>
      <c r="X108" s="109">
        <f ca="1">IF(xflag=1,_xll.DBSW(SAISIE!X108,Server&amp;Cube1,$J$13,$J$14,$J$15,$J$17,X$22,$J$16,$D108),_xll.DBRW(Server&amp;Cube1,$J$13,$J$14,$J$15,$J$17,X$22,$J$16,$D108))</f>
        <v>0</v>
      </c>
      <c r="Y108" s="109">
        <f ca="1">IF(xflag=1,_xll.DBSW(SAISIE!Y108,Server&amp;Cube1,$J$13,$J$14,$J$15,$J$17,Y$22,$J$16,$D108),_xll.DBRW(Server&amp;Cube1,$J$13,$J$14,$J$15,$J$17,Y$22,$J$16,$D108))</f>
        <v>0</v>
      </c>
      <c r="Z108" s="109">
        <f ca="1">IF(xflag=1,_xll.DBSW(SAISIE!Z108,Server&amp;Cube1,$J$13,$J$14,$J$15,$J$17,Z$22,$J$16,$D108),_xll.DBRW(Server&amp;Cube1,$J$13,$J$14,$J$15,$J$17,Z$22,$J$16,$D108))</f>
        <v>0</v>
      </c>
      <c r="AA108" s="109">
        <f ca="1">IF(xflag=1,_xll.DBSW(SAISIE!AA108,Server&amp;Cube1,$J$13,$J$14,$J$15,$J$17,AA$22,$J$16,$D108),_xll.DBRW(Server&amp;Cube1,$J$13,$J$14,$J$15,$J$17,AA$22,$J$16,$D108))</f>
        <v>0</v>
      </c>
      <c r="AB108" s="109">
        <f ca="1">IF(xflag=1,_xll.DBSW(SAISIE!AB108,Server&amp;Cube1,$J$13,$J$14,$J$15,$J$17,AB$22,$J$16,$D108),_xll.DBRW(Server&amp;Cube1,$J$13,$J$14,$J$15,$J$17,AB$22,$J$16,$D108))</f>
        <v>0</v>
      </c>
      <c r="AC108" s="31"/>
      <c r="AF108" s="90" t="str">
        <f ca="1">IF(xflag=1,_xll.DBSW(#REF!,Server&amp;Cube1,$J$13,$J$14,$J$15,#REF!,AF$2,$J$16,$D108),_xll.DBRW(Server&amp;Cube1,$J$13,$J$14,$J$15,#REF!,AF$2,$J$16,$D108))</f>
        <v>*KEY_ERR</v>
      </c>
    </row>
    <row r="109" spans="1:32" s="19" customFormat="1" ht="15.75" x14ac:dyDescent="0.25">
      <c r="A109"/>
      <c r="B109" s="204" t="s">
        <v>51</v>
      </c>
      <c r="C109" s="214" t="s">
        <v>250</v>
      </c>
      <c r="D109" s="226" t="str">
        <f t="shared" si="16"/>
        <v>625600</v>
      </c>
      <c r="E109"/>
      <c r="F109" s="228"/>
      <c r="G109" s="171"/>
      <c r="H109" s="107"/>
      <c r="I109" s="305" t="str">
        <f ca="1">_xll.DBRA(Server&amp;$D$22,$D109,"French")</f>
        <v>Frais de missions</v>
      </c>
      <c r="J109" s="305" t="str">
        <f ca="1">_xll.DBRA(Server&amp;$D$22,$D109,"French")</f>
        <v>Frais de missions</v>
      </c>
      <c r="K109" s="37"/>
      <c r="L109" s="54">
        <f ca="1">_xll.DBRW(Server&amp;Cube1,$J$13,$L$3,$J$15,$L$1,$L$2,$J$16,$D109)</f>
        <v>0</v>
      </c>
      <c r="M109" s="37"/>
      <c r="N109" s="54">
        <f ca="1">_xll.DBRW(Server&amp;Cube1,$J$13,$N$3,$J$15,$N$1,$N$2,$J$16,$D109)</f>
        <v>0</v>
      </c>
      <c r="O109" s="55"/>
      <c r="P109" s="57"/>
      <c r="Q109" s="109">
        <f ca="1">IF(xflag=1,_xll.DBSW(SAISIE!Q109,Server&amp;Cube1,$J$13,$J$14,$J$15,$J$17,Q$22,$J$16,$D109),_xll.DBRW(Server&amp;Cube1,$J$13,$J$14,$J$15,$J$17,Q$22,$J$16,$D109))</f>
        <v>0</v>
      </c>
      <c r="R109" s="109">
        <f ca="1">IF(xflag=1,_xll.DBSW(SAISIE!R109,Server&amp;Cube1,$J$13,$J$14,$J$15,$J$17,R$22,$J$16,$D109),_xll.DBRW(Server&amp;Cube1,$J$13,$J$14,$J$15,$J$17,R$22,$J$16,$D109))</f>
        <v>13575.41</v>
      </c>
      <c r="S109" s="109">
        <f ca="1">IF(xflag=1,_xll.DBSW(SAISIE!S109,Server&amp;Cube1,$J$13,$J$14,$J$15,$J$17,S$22,$J$16,$D109),_xll.DBRW(Server&amp;Cube1,$J$13,$J$14,$J$15,$J$17,S$22,$J$16,$D109))</f>
        <v>-39712.86</v>
      </c>
      <c r="T109" s="109">
        <f ca="1">IF(xflag=1,_xll.DBSW(SAISIE!T109,Server&amp;Cube1,$J$13,$J$14,$J$15,$J$17,T$22,$J$16,$D109),_xll.DBRW(Server&amp;Cube1,$J$13,$J$14,$J$15,$J$17,T$22,$J$16,$D109))</f>
        <v>4.2632564145606011E-13</v>
      </c>
      <c r="U109" s="109">
        <f ca="1">IF(xflag=1,_xll.DBSW(SAISIE!U109,Server&amp;Cube1,$J$13,$J$14,$J$15,$J$17,U$22,$J$16,$D109),_xll.DBRW(Server&amp;Cube1,$J$13,$J$14,$J$15,$J$17,U$22,$J$16,$D109))</f>
        <v>9000</v>
      </c>
      <c r="V109" s="109">
        <f ca="1">IF(xflag=1,_xll.DBSW(SAISIE!V109,Server&amp;Cube1,$J$13,$J$14,$J$15,$J$17,V$22,$J$16,$D109),_xll.DBRW(Server&amp;Cube1,$J$13,$J$14,$J$15,$J$17,V$22,$J$16,$D109))</f>
        <v>-30460.03</v>
      </c>
      <c r="W109" s="109">
        <f ca="1">IF(xflag=1,_xll.DBSW(SAISIE!W109,Server&amp;Cube1,$J$13,$J$14,$J$15,$J$17,W$22,$J$16,$D109),_xll.DBRW(Server&amp;Cube1,$J$13,$J$14,$J$15,$J$17,W$22,$J$16,$D109))</f>
        <v>0</v>
      </c>
      <c r="X109" s="109">
        <f ca="1">IF(xflag=1,_xll.DBSW(SAISIE!X109,Server&amp;Cube1,$J$13,$J$14,$J$15,$J$17,X$22,$J$16,$D109),_xll.DBRW(Server&amp;Cube1,$J$13,$J$14,$J$15,$J$17,X$22,$J$16,$D109))</f>
        <v>0</v>
      </c>
      <c r="Y109" s="109">
        <f ca="1">IF(xflag=1,_xll.DBSW(SAISIE!Y109,Server&amp;Cube1,$J$13,$J$14,$J$15,$J$17,Y$22,$J$16,$D109),_xll.DBRW(Server&amp;Cube1,$J$13,$J$14,$J$15,$J$17,Y$22,$J$16,$D109))</f>
        <v>0</v>
      </c>
      <c r="Z109" s="109">
        <f ca="1">IF(xflag=1,_xll.DBSW(SAISIE!Z109,Server&amp;Cube1,$J$13,$J$14,$J$15,$J$17,Z$22,$J$16,$D109),_xll.DBRW(Server&amp;Cube1,$J$13,$J$14,$J$15,$J$17,Z$22,$J$16,$D109))</f>
        <v>0</v>
      </c>
      <c r="AA109" s="109">
        <f ca="1">IF(xflag=1,_xll.DBSW(SAISIE!AA109,Server&amp;Cube1,$J$13,$J$14,$J$15,$J$17,AA$22,$J$16,$D109),_xll.DBRW(Server&amp;Cube1,$J$13,$J$14,$J$15,$J$17,AA$22,$J$16,$D109))</f>
        <v>0</v>
      </c>
      <c r="AB109" s="109">
        <f ca="1">IF(xflag=1,_xll.DBSW(SAISIE!AB109,Server&amp;Cube1,$J$13,$J$14,$J$15,$J$17,AB$22,$J$16,$D109),_xll.DBRW(Server&amp;Cube1,$J$13,$J$14,$J$15,$J$17,AB$22,$J$16,$D109))</f>
        <v>0</v>
      </c>
      <c r="AC109" s="31"/>
      <c r="AF109" s="90" t="str">
        <f ca="1">IF(xflag=1,_xll.DBSW(#REF!,Server&amp;Cube1,$J$13,$J$14,$J$15,#REF!,AF$2,$J$16,$D109),_xll.DBRW(Server&amp;Cube1,$J$13,$J$14,$J$15,#REF!,AF$2,$J$16,$D109))</f>
        <v>*KEY_ERR</v>
      </c>
    </row>
    <row r="110" spans="1:32" s="19" customFormat="1" ht="15.75" x14ac:dyDescent="0.25">
      <c r="A110"/>
      <c r="B110" s="204" t="s">
        <v>52</v>
      </c>
      <c r="C110" s="214" t="s">
        <v>251</v>
      </c>
      <c r="D110" s="226" t="str">
        <f t="shared" si="16"/>
        <v>625700</v>
      </c>
      <c r="E110"/>
      <c r="F110" s="228"/>
      <c r="G110" s="171"/>
      <c r="H110" s="107"/>
      <c r="I110" s="305" t="str">
        <f ca="1">_xll.DBRA(Server&amp;$D$22,$D110,"French")</f>
        <v>Frais de réceptions</v>
      </c>
      <c r="J110" s="305" t="str">
        <f ca="1">_xll.DBRA(Server&amp;$D$22,$D110,"French")</f>
        <v>Frais de réceptions</v>
      </c>
      <c r="K110" s="37"/>
      <c r="L110" s="54">
        <f ca="1">_xll.DBRW(Server&amp;Cube1,$J$13,$L$3,$J$15,$L$1,$L$2,$J$16,$D110)</f>
        <v>0</v>
      </c>
      <c r="M110" s="37"/>
      <c r="N110" s="54">
        <f ca="1">_xll.DBRW(Server&amp;Cube1,$J$13,$N$3,$J$15,$N$1,$N$2,$J$16,$D110)</f>
        <v>0</v>
      </c>
      <c r="O110" s="55"/>
      <c r="P110" s="57"/>
      <c r="Q110" s="109">
        <f ca="1">IF(xflag=1,_xll.DBSW(SAISIE!Q110,Server&amp;Cube1,$J$13,$J$14,$J$15,$J$17,Q$22,$J$16,$D110),_xll.DBRW(Server&amp;Cube1,$J$13,$J$14,$J$15,$J$17,Q$22,$J$16,$D110))</f>
        <v>0</v>
      </c>
      <c r="R110" s="109">
        <f ca="1">IF(xflag=1,_xll.DBSW(SAISIE!R110,Server&amp;Cube1,$J$13,$J$14,$J$15,$J$17,R$22,$J$16,$D110),_xll.DBRW(Server&amp;Cube1,$J$13,$J$14,$J$15,$J$17,R$22,$J$16,$D110))</f>
        <v>6571.11</v>
      </c>
      <c r="S110" s="109">
        <f ca="1">IF(xflag=1,_xll.DBSW(SAISIE!S110,Server&amp;Cube1,$J$13,$J$14,$J$15,$J$17,S$22,$J$16,$D110),_xll.DBRW(Server&amp;Cube1,$J$13,$J$14,$J$15,$J$17,S$22,$J$16,$D110))</f>
        <v>-10752.31</v>
      </c>
      <c r="T110" s="109">
        <f ca="1">IF(xflag=1,_xll.DBSW(SAISIE!T110,Server&amp;Cube1,$J$13,$J$14,$J$15,$J$17,T$22,$J$16,$D110),_xll.DBRW(Server&amp;Cube1,$J$13,$J$14,$J$15,$J$17,T$22,$J$16,$D110))</f>
        <v>-1.9895196601282805E-13</v>
      </c>
      <c r="U110" s="109">
        <f ca="1">IF(xflag=1,_xll.DBSW(SAISIE!U110,Server&amp;Cube1,$J$13,$J$14,$J$15,$J$17,U$22,$J$16,$D110),_xll.DBRW(Server&amp;Cube1,$J$13,$J$14,$J$15,$J$17,U$22,$J$16,$D110))</f>
        <v>5300</v>
      </c>
      <c r="V110" s="109">
        <f ca="1">IF(xflag=1,_xll.DBSW(SAISIE!V110,Server&amp;Cube1,$J$13,$J$14,$J$15,$J$17,V$22,$J$16,$D110),_xll.DBRW(Server&amp;Cube1,$J$13,$J$14,$J$15,$J$17,V$22,$J$16,$D110))</f>
        <v>-7729.4199999999992</v>
      </c>
      <c r="W110" s="109">
        <f ca="1">IF(xflag=1,_xll.DBSW(SAISIE!W110,Server&amp;Cube1,$J$13,$J$14,$J$15,$J$17,W$22,$J$16,$D110),_xll.DBRW(Server&amp;Cube1,$J$13,$J$14,$J$15,$J$17,W$22,$J$16,$D110))</f>
        <v>0</v>
      </c>
      <c r="X110" s="109">
        <f ca="1">IF(xflag=1,_xll.DBSW(SAISIE!X110,Server&amp;Cube1,$J$13,$J$14,$J$15,$J$17,X$22,$J$16,$D110),_xll.DBRW(Server&amp;Cube1,$J$13,$J$14,$J$15,$J$17,X$22,$J$16,$D110))</f>
        <v>0</v>
      </c>
      <c r="Y110" s="109">
        <f ca="1">IF(xflag=1,_xll.DBSW(SAISIE!Y110,Server&amp;Cube1,$J$13,$J$14,$J$15,$J$17,Y$22,$J$16,$D110),_xll.DBRW(Server&amp;Cube1,$J$13,$J$14,$J$15,$J$17,Y$22,$J$16,$D110))</f>
        <v>0</v>
      </c>
      <c r="Z110" s="109">
        <f ca="1">IF(xflag=1,_xll.DBSW(SAISIE!Z110,Server&amp;Cube1,$J$13,$J$14,$J$15,$J$17,Z$22,$J$16,$D110),_xll.DBRW(Server&amp;Cube1,$J$13,$J$14,$J$15,$J$17,Z$22,$J$16,$D110))</f>
        <v>0</v>
      </c>
      <c r="AA110" s="109">
        <f ca="1">IF(xflag=1,_xll.DBSW(SAISIE!AA110,Server&amp;Cube1,$J$13,$J$14,$J$15,$J$17,AA$22,$J$16,$D110),_xll.DBRW(Server&amp;Cube1,$J$13,$J$14,$J$15,$J$17,AA$22,$J$16,$D110))</f>
        <v>0</v>
      </c>
      <c r="AB110" s="109">
        <f ca="1">IF(xflag=1,_xll.DBSW(SAISIE!AB110,Server&amp;Cube1,$J$13,$J$14,$J$15,$J$17,AB$22,$J$16,$D110),_xll.DBRW(Server&amp;Cube1,$J$13,$J$14,$J$15,$J$17,AB$22,$J$16,$D110))</f>
        <v>0</v>
      </c>
      <c r="AC110" s="31"/>
      <c r="AF110" s="90" t="str">
        <f ca="1">IF(xflag=1,_xll.DBSW(#REF!,Server&amp;Cube1,$J$13,$J$14,$J$15,#REF!,AF$2,$J$16,$D110),_xll.DBRW(Server&amp;Cube1,$J$13,$J$14,$J$15,#REF!,AF$2,$J$16,$D110))</f>
        <v>*KEY_ERR</v>
      </c>
    </row>
    <row r="111" spans="1:32" s="19" customFormat="1" ht="15.75" x14ac:dyDescent="0.25">
      <c r="A111"/>
      <c r="B111" s="204" t="s">
        <v>47</v>
      </c>
      <c r="C111" s="214" t="s">
        <v>252</v>
      </c>
      <c r="D111" s="226" t="str">
        <f t="shared" si="16"/>
        <v>626100</v>
      </c>
      <c r="E111"/>
      <c r="F111" s="228"/>
      <c r="G111" s="171"/>
      <c r="H111" s="107"/>
      <c r="I111" s="305" t="str">
        <f ca="1">_xll.DBRA(Server&amp;$D$22,$D111,"French")</f>
        <v>Frais d'affranchissements</v>
      </c>
      <c r="J111" s="305" t="str">
        <f ca="1">_xll.DBRA(Server&amp;$D$22,$D111,"French")</f>
        <v>Frais d'affranchissements</v>
      </c>
      <c r="K111" s="37"/>
      <c r="L111" s="54">
        <f ca="1">_xll.DBRW(Server&amp;Cube1,$J$13,$L$3,$J$15,$L$1,$L$2,$J$16,$D111)</f>
        <v>0</v>
      </c>
      <c r="M111" s="37"/>
      <c r="N111" s="54">
        <f ca="1">_xll.DBRW(Server&amp;Cube1,$J$13,$N$3,$J$15,$N$1,$N$2,$J$16,$D111)</f>
        <v>0</v>
      </c>
      <c r="O111" s="55"/>
      <c r="P111" s="57"/>
      <c r="Q111" s="109">
        <f ca="1">IF(xflag=1,_xll.DBSW(SAISIE!Q111,Server&amp;Cube1,$J$13,$J$14,$J$15,$J$17,Q$22,$J$16,$D111),_xll.DBRW(Server&amp;Cube1,$J$13,$J$14,$J$15,$J$17,Q$22,$J$16,$D111))</f>
        <v>0</v>
      </c>
      <c r="R111" s="109">
        <f ca="1">IF(xflag=1,_xll.DBSW(SAISIE!R111,Server&amp;Cube1,$J$13,$J$14,$J$15,$J$17,R$22,$J$16,$D111),_xll.DBRW(Server&amp;Cube1,$J$13,$J$14,$J$15,$J$17,R$22,$J$16,$D111))</f>
        <v>0</v>
      </c>
      <c r="S111" s="109">
        <f ca="1">IF(xflag=1,_xll.DBSW(SAISIE!S111,Server&amp;Cube1,$J$13,$J$14,$J$15,$J$17,S$22,$J$16,$D111),_xll.DBRW(Server&amp;Cube1,$J$13,$J$14,$J$15,$J$17,S$22,$J$16,$D111))</f>
        <v>-150.30000000000001</v>
      </c>
      <c r="T111" s="109">
        <f ca="1">IF(xflag=1,_xll.DBSW(SAISIE!T111,Server&amp;Cube1,$J$13,$J$14,$J$15,$J$17,T$22,$J$16,$D111),_xll.DBRW(Server&amp;Cube1,$J$13,$J$14,$J$15,$J$17,T$22,$J$16,$D111))</f>
        <v>-40</v>
      </c>
      <c r="U111" s="109">
        <f ca="1">IF(xflag=1,_xll.DBSW(SAISIE!U111,Server&amp;Cube1,$J$13,$J$14,$J$15,$J$17,U$22,$J$16,$D111),_xll.DBRW(Server&amp;Cube1,$J$13,$J$14,$J$15,$J$17,U$22,$J$16,$D111))</f>
        <v>40</v>
      </c>
      <c r="V111" s="109">
        <f ca="1">IF(xflag=1,_xll.DBSW(SAISIE!V111,Server&amp;Cube1,$J$13,$J$14,$J$15,$J$17,V$22,$J$16,$D111),_xll.DBRW(Server&amp;Cube1,$J$13,$J$14,$J$15,$J$17,V$22,$J$16,$D111))</f>
        <v>-136.25</v>
      </c>
      <c r="W111" s="109">
        <f ca="1">IF(xflag=1,_xll.DBSW(SAISIE!W111,Server&amp;Cube1,$J$13,$J$14,$J$15,$J$17,W$22,$J$16,$D111),_xll.DBRW(Server&amp;Cube1,$J$13,$J$14,$J$15,$J$17,W$22,$J$16,$D111))</f>
        <v>0</v>
      </c>
      <c r="X111" s="109">
        <f ca="1">IF(xflag=1,_xll.DBSW(SAISIE!X111,Server&amp;Cube1,$J$13,$J$14,$J$15,$J$17,X$22,$J$16,$D111),_xll.DBRW(Server&amp;Cube1,$J$13,$J$14,$J$15,$J$17,X$22,$J$16,$D111))</f>
        <v>0</v>
      </c>
      <c r="Y111" s="109">
        <f ca="1">IF(xflag=1,_xll.DBSW(SAISIE!Y111,Server&amp;Cube1,$J$13,$J$14,$J$15,$J$17,Y$22,$J$16,$D111),_xll.DBRW(Server&amp;Cube1,$J$13,$J$14,$J$15,$J$17,Y$22,$J$16,$D111))</f>
        <v>0</v>
      </c>
      <c r="Z111" s="109">
        <f ca="1">IF(xflag=1,_xll.DBSW(SAISIE!Z111,Server&amp;Cube1,$J$13,$J$14,$J$15,$J$17,Z$22,$J$16,$D111),_xll.DBRW(Server&amp;Cube1,$J$13,$J$14,$J$15,$J$17,Z$22,$J$16,$D111))</f>
        <v>0</v>
      </c>
      <c r="AA111" s="109">
        <f ca="1">IF(xflag=1,_xll.DBSW(SAISIE!AA111,Server&amp;Cube1,$J$13,$J$14,$J$15,$J$17,AA$22,$J$16,$D111),_xll.DBRW(Server&amp;Cube1,$J$13,$J$14,$J$15,$J$17,AA$22,$J$16,$D111))</f>
        <v>0</v>
      </c>
      <c r="AB111" s="109">
        <f ca="1">IF(xflag=1,_xll.DBSW(SAISIE!AB111,Server&amp;Cube1,$J$13,$J$14,$J$15,$J$17,AB$22,$J$16,$D111),_xll.DBRW(Server&amp;Cube1,$J$13,$J$14,$J$15,$J$17,AB$22,$J$16,$D111))</f>
        <v>0</v>
      </c>
      <c r="AC111" s="31"/>
      <c r="AF111" s="90" t="str">
        <f ca="1">IF(xflag=1,_xll.DBSW(#REF!,Server&amp;Cube1,$J$13,$J$14,$J$15,#REF!,AF$2,$J$16,$D111),_xll.DBRW(Server&amp;Cube1,$J$13,$J$14,$J$15,#REF!,AF$2,$J$16,$D111))</f>
        <v>*KEY_ERR</v>
      </c>
    </row>
    <row r="112" spans="1:32" s="19" customFormat="1" ht="15.75" x14ac:dyDescent="0.25">
      <c r="A112"/>
      <c r="B112" s="204" t="s">
        <v>163</v>
      </c>
      <c r="C112" s="214" t="s">
        <v>253</v>
      </c>
      <c r="D112" s="226" t="str">
        <f t="shared" si="16"/>
        <v>626200</v>
      </c>
      <c r="E112"/>
      <c r="F112" s="228"/>
      <c r="G112" s="171"/>
      <c r="H112" s="107"/>
      <c r="I112" s="305" t="str">
        <f ca="1">_xll.DBRA(Server&amp;$D$22,$D112,"French")</f>
        <v>Webconférence</v>
      </c>
      <c r="J112" s="305" t="str">
        <f ca="1">_xll.DBRA(Server&amp;$D$22,$D112,"French")</f>
        <v>Webconférence</v>
      </c>
      <c r="K112" s="37"/>
      <c r="L112" s="54">
        <f ca="1">_xll.DBRW(Server&amp;Cube1,$J$13,$L$3,$J$15,$L$1,$L$2,$J$16,$D112)</f>
        <v>0</v>
      </c>
      <c r="M112" s="37"/>
      <c r="N112" s="54">
        <f ca="1">_xll.DBRW(Server&amp;Cube1,$J$13,$N$3,$J$15,$N$1,$N$2,$J$16,$D112)</f>
        <v>0</v>
      </c>
      <c r="O112" s="55"/>
      <c r="P112" s="57"/>
      <c r="Q112" s="109">
        <f ca="1">IF(xflag=1,_xll.DBSW(SAISIE!Q112,Server&amp;Cube1,$J$13,$J$14,$J$15,$J$17,Q$22,$J$16,$D112),_xll.DBRW(Server&amp;Cube1,$J$13,$J$14,$J$15,$J$17,Q$22,$J$16,$D112))</f>
        <v>0</v>
      </c>
      <c r="R112" s="109">
        <f ca="1">IF(xflag=1,_xll.DBSW(SAISIE!R112,Server&amp;Cube1,$J$13,$J$14,$J$15,$J$17,R$22,$J$16,$D112),_xll.DBRW(Server&amp;Cube1,$J$13,$J$14,$J$15,$J$17,R$22,$J$16,$D112))</f>
        <v>0</v>
      </c>
      <c r="S112" s="109">
        <f ca="1">IF(xflag=1,_xll.DBSW(SAISIE!S112,Server&amp;Cube1,$J$13,$J$14,$J$15,$J$17,S$22,$J$16,$D112),_xll.DBRW(Server&amp;Cube1,$J$13,$J$14,$J$15,$J$17,S$22,$J$16,$D112))</f>
        <v>-45</v>
      </c>
      <c r="T112" s="109">
        <f ca="1">IF(xflag=1,_xll.DBSW(SAISIE!T112,Server&amp;Cube1,$J$13,$J$14,$J$15,$J$17,T$22,$J$16,$D112),_xll.DBRW(Server&amp;Cube1,$J$13,$J$14,$J$15,$J$17,T$22,$J$16,$D112))</f>
        <v>0</v>
      </c>
      <c r="U112" s="109">
        <f ca="1">IF(xflag=1,_xll.DBSW(SAISIE!U112,Server&amp;Cube1,$J$13,$J$14,$J$15,$J$17,U$22,$J$16,$D112),_xll.DBRW(Server&amp;Cube1,$J$13,$J$14,$J$15,$J$17,U$22,$J$16,$D112))</f>
        <v>0</v>
      </c>
      <c r="V112" s="109">
        <f ca="1">IF(xflag=1,_xll.DBSW(SAISIE!V112,Server&amp;Cube1,$J$13,$J$14,$J$15,$J$17,V$22,$J$16,$D112),_xll.DBRW(Server&amp;Cube1,$J$13,$J$14,$J$15,$J$17,V$22,$J$16,$D112))</f>
        <v>0</v>
      </c>
      <c r="W112" s="109">
        <f ca="1">IF(xflag=1,_xll.DBSW(SAISIE!W112,Server&amp;Cube1,$J$13,$J$14,$J$15,$J$17,W$22,$J$16,$D112),_xll.DBRW(Server&amp;Cube1,$J$13,$J$14,$J$15,$J$17,W$22,$J$16,$D112))</f>
        <v>0</v>
      </c>
      <c r="X112" s="109">
        <f ca="1">IF(xflag=1,_xll.DBSW(SAISIE!X112,Server&amp;Cube1,$J$13,$J$14,$J$15,$J$17,X$22,$J$16,$D112),_xll.DBRW(Server&amp;Cube1,$J$13,$J$14,$J$15,$J$17,X$22,$J$16,$D112))</f>
        <v>0</v>
      </c>
      <c r="Y112" s="109">
        <f ca="1">IF(xflag=1,_xll.DBSW(SAISIE!Y112,Server&amp;Cube1,$J$13,$J$14,$J$15,$J$17,Y$22,$J$16,$D112),_xll.DBRW(Server&amp;Cube1,$J$13,$J$14,$J$15,$J$17,Y$22,$J$16,$D112))</f>
        <v>0</v>
      </c>
      <c r="Z112" s="109">
        <f ca="1">IF(xflag=1,_xll.DBSW(SAISIE!Z112,Server&amp;Cube1,$J$13,$J$14,$J$15,$J$17,Z$22,$J$16,$D112),_xll.DBRW(Server&amp;Cube1,$J$13,$J$14,$J$15,$J$17,Z$22,$J$16,$D112))</f>
        <v>0</v>
      </c>
      <c r="AA112" s="109">
        <f ca="1">IF(xflag=1,_xll.DBSW(SAISIE!AA112,Server&amp;Cube1,$J$13,$J$14,$J$15,$J$17,AA$22,$J$16,$D112),_xll.DBRW(Server&amp;Cube1,$J$13,$J$14,$J$15,$J$17,AA$22,$J$16,$D112))</f>
        <v>0</v>
      </c>
      <c r="AB112" s="109">
        <f ca="1">IF(xflag=1,_xll.DBSW(SAISIE!AB112,Server&amp;Cube1,$J$13,$J$14,$J$15,$J$17,AB$22,$J$16,$D112),_xll.DBRW(Server&amp;Cube1,$J$13,$J$14,$J$15,$J$17,AB$22,$J$16,$D112))</f>
        <v>0</v>
      </c>
      <c r="AC112" s="31"/>
      <c r="AF112" s="90" t="str">
        <f ca="1">IF(xflag=1,_xll.DBSW(#REF!,Server&amp;Cube1,$J$13,$J$14,$J$15,#REF!,AF$2,$J$16,$D112),_xll.DBRW(Server&amp;Cube1,$J$13,$J$14,$J$15,#REF!,AF$2,$J$16,$D112))</f>
        <v>*KEY_ERR</v>
      </c>
    </row>
    <row r="113" spans="1:35" s="19" customFormat="1" ht="15.75" x14ac:dyDescent="0.25">
      <c r="A113"/>
      <c r="B113" s="204" t="s">
        <v>164</v>
      </c>
      <c r="C113" s="214" t="s">
        <v>254</v>
      </c>
      <c r="D113" s="226" t="str">
        <f t="shared" si="16"/>
        <v>626600</v>
      </c>
      <c r="E113"/>
      <c r="F113" s="228"/>
      <c r="G113" s="171"/>
      <c r="H113" s="107"/>
      <c r="I113" s="305" t="str">
        <f ca="1">_xll.DBRA(Server&amp;$D$22,$D113,"French")</f>
        <v>Télécom &amp; internet</v>
      </c>
      <c r="J113" s="305" t="str">
        <f ca="1">_xll.DBRA(Server&amp;$D$22,$D113,"French")</f>
        <v>Télécom &amp; internet</v>
      </c>
      <c r="K113" s="37"/>
      <c r="L113" s="54">
        <f ca="1">_xll.DBRW(Server&amp;Cube1,$J$13,$L$3,$J$15,$L$1,$L$2,$J$16,$D113)</f>
        <v>0</v>
      </c>
      <c r="M113" s="37"/>
      <c r="N113" s="54">
        <f ca="1">_xll.DBRW(Server&amp;Cube1,$J$13,$N$3,$J$15,$N$1,$N$2,$J$16,$D113)</f>
        <v>0</v>
      </c>
      <c r="O113" s="55"/>
      <c r="P113" s="57"/>
      <c r="Q113" s="109">
        <f ca="1">IF(xflag=1,_xll.DBSW(SAISIE!Q113,Server&amp;Cube1,$J$13,$J$14,$J$15,$J$17,Q$22,$J$16,$D113),_xll.DBRW(Server&amp;Cube1,$J$13,$J$14,$J$15,$J$17,Q$22,$J$16,$D113))</f>
        <v>0</v>
      </c>
      <c r="R113" s="109">
        <f ca="1">IF(xflag=1,_xll.DBSW(SAISIE!R113,Server&amp;Cube1,$J$13,$J$14,$J$15,$J$17,R$22,$J$16,$D113),_xll.DBRW(Server&amp;Cube1,$J$13,$J$14,$J$15,$J$17,R$22,$J$16,$D113))</f>
        <v>0</v>
      </c>
      <c r="S113" s="109">
        <f ca="1">IF(xflag=1,_xll.DBSW(SAISIE!S113,Server&amp;Cube1,$J$13,$J$14,$J$15,$J$17,S$22,$J$16,$D113),_xll.DBRW(Server&amp;Cube1,$J$13,$J$14,$J$15,$J$17,S$22,$J$16,$D113))</f>
        <v>-60</v>
      </c>
      <c r="T113" s="109">
        <f ca="1">IF(xflag=1,_xll.DBSW(SAISIE!T113,Server&amp;Cube1,$J$13,$J$14,$J$15,$J$17,T$22,$J$16,$D113),_xll.DBRW(Server&amp;Cube1,$J$13,$J$14,$J$15,$J$17,T$22,$J$16,$D113))</f>
        <v>0</v>
      </c>
      <c r="U113" s="109">
        <f ca="1">IF(xflag=1,_xll.DBSW(SAISIE!U113,Server&amp;Cube1,$J$13,$J$14,$J$15,$J$17,U$22,$J$16,$D113),_xll.DBRW(Server&amp;Cube1,$J$13,$J$14,$J$15,$J$17,U$22,$J$16,$D113))</f>
        <v>0</v>
      </c>
      <c r="V113" s="109">
        <f ca="1">IF(xflag=1,_xll.DBSW(SAISIE!V113,Server&amp;Cube1,$J$13,$J$14,$J$15,$J$17,V$22,$J$16,$D113),_xll.DBRW(Server&amp;Cube1,$J$13,$J$14,$J$15,$J$17,V$22,$J$16,$D113))</f>
        <v>0</v>
      </c>
      <c r="W113" s="109">
        <f ca="1">IF(xflag=1,_xll.DBSW(SAISIE!W113,Server&amp;Cube1,$J$13,$J$14,$J$15,$J$17,W$22,$J$16,$D113),_xll.DBRW(Server&amp;Cube1,$J$13,$J$14,$J$15,$J$17,W$22,$J$16,$D113))</f>
        <v>0</v>
      </c>
      <c r="X113" s="109">
        <f ca="1">IF(xflag=1,_xll.DBSW(SAISIE!X113,Server&amp;Cube1,$J$13,$J$14,$J$15,$J$17,X$22,$J$16,$D113),_xll.DBRW(Server&amp;Cube1,$J$13,$J$14,$J$15,$J$17,X$22,$J$16,$D113))</f>
        <v>0</v>
      </c>
      <c r="Y113" s="109">
        <f ca="1">IF(xflag=1,_xll.DBSW(SAISIE!Y113,Server&amp;Cube1,$J$13,$J$14,$J$15,$J$17,Y$22,$J$16,$D113),_xll.DBRW(Server&amp;Cube1,$J$13,$J$14,$J$15,$J$17,Y$22,$J$16,$D113))</f>
        <v>0</v>
      </c>
      <c r="Z113" s="109">
        <f ca="1">IF(xflag=1,_xll.DBSW(SAISIE!Z113,Server&amp;Cube1,$J$13,$J$14,$J$15,$J$17,Z$22,$J$16,$D113),_xll.DBRW(Server&amp;Cube1,$J$13,$J$14,$J$15,$J$17,Z$22,$J$16,$D113))</f>
        <v>0</v>
      </c>
      <c r="AA113" s="109">
        <f ca="1">IF(xflag=1,_xll.DBSW(SAISIE!AA113,Server&amp;Cube1,$J$13,$J$14,$J$15,$J$17,AA$22,$J$16,$D113),_xll.DBRW(Server&amp;Cube1,$J$13,$J$14,$J$15,$J$17,AA$22,$J$16,$D113))</f>
        <v>0</v>
      </c>
      <c r="AB113" s="109">
        <f ca="1">IF(xflag=1,_xll.DBSW(SAISIE!AB113,Server&amp;Cube1,$J$13,$J$14,$J$15,$J$17,AB$22,$J$16,$D113),_xll.DBRW(Server&amp;Cube1,$J$13,$J$14,$J$15,$J$17,AB$22,$J$16,$D113))</f>
        <v>0</v>
      </c>
      <c r="AC113" s="31"/>
      <c r="AF113" s="90" t="str">
        <f ca="1">IF(xflag=1,_xll.DBSW(#REF!,Server&amp;Cube1,$J$13,$J$14,$J$15,#REF!,AF$2,$J$16,$D113),_xll.DBRW(Server&amp;Cube1,$J$13,$J$14,$J$15,#REF!,AF$2,$J$16,$D113))</f>
        <v>*KEY_ERR</v>
      </c>
    </row>
    <row r="114" spans="1:35" s="19" customFormat="1" ht="15.75" x14ac:dyDescent="0.25">
      <c r="A114"/>
      <c r="B114" s="204"/>
      <c r="C114" s="214"/>
      <c r="D114" s="226" t="s">
        <v>299</v>
      </c>
      <c r="E114"/>
      <c r="F114" s="228"/>
      <c r="G114" s="171"/>
      <c r="H114" s="107"/>
      <c r="I114" s="305" t="str">
        <f ca="1">_xll.DBRA(Server&amp;$D$22,$D114,"French")</f>
        <v>Formation du personnel</v>
      </c>
      <c r="J114" s="305" t="str">
        <f ca="1">_xll.DBRA(Server&amp;$D$22,$D114,"French")</f>
        <v>Formation du personnel</v>
      </c>
      <c r="K114" s="37"/>
      <c r="L114" s="54">
        <f ca="1">_xll.DBRW(Server&amp;Cube1,$J$13,$L$3,$J$15,$L$1,$L$2,$J$16,$D114)</f>
        <v>0</v>
      </c>
      <c r="M114" s="37"/>
      <c r="N114" s="54">
        <f ca="1">_xll.DBRW(Server&amp;Cube1,$J$13,$N$3,$J$15,$N$1,$N$2,$J$16,$D114)</f>
        <v>0</v>
      </c>
      <c r="O114" s="55"/>
      <c r="P114" s="57"/>
      <c r="Q114" s="109">
        <f ca="1">IF(xflag=1,_xll.DBSW(SAISIE!Q114,Server&amp;Cube1,$J$13,$J$14,$J$15,$J$17,Q$22,$J$16,$D114),_xll.DBRW(Server&amp;Cube1,$J$13,$J$14,$J$15,$J$17,Q$22,$J$16,$D114))</f>
        <v>0</v>
      </c>
      <c r="R114" s="109">
        <f ca="1">IF(xflag=1,_xll.DBSW(SAISIE!R114,Server&amp;Cube1,$J$13,$J$14,$J$15,$J$17,R$22,$J$16,$D114),_xll.DBRW(Server&amp;Cube1,$J$13,$J$14,$J$15,$J$17,R$22,$J$16,$D114))</f>
        <v>0</v>
      </c>
      <c r="S114" s="109">
        <f ca="1">IF(xflag=1,_xll.DBSW(SAISIE!S114,Server&amp;Cube1,$J$13,$J$14,$J$15,$J$17,S$22,$J$16,$D114),_xll.DBRW(Server&amp;Cube1,$J$13,$J$14,$J$15,$J$17,S$22,$J$16,$D114))</f>
        <v>0</v>
      </c>
      <c r="T114" s="109">
        <f ca="1">IF(xflag=1,_xll.DBSW(SAISIE!T114,Server&amp;Cube1,$J$13,$J$14,$J$15,$J$17,T$22,$J$16,$D114),_xll.DBRW(Server&amp;Cube1,$J$13,$J$14,$J$15,$J$17,T$22,$J$16,$D114))</f>
        <v>0</v>
      </c>
      <c r="U114" s="109">
        <f ca="1">IF(xflag=1,_xll.DBSW(SAISIE!U114,Server&amp;Cube1,$J$13,$J$14,$J$15,$J$17,U$22,$J$16,$D114),_xll.DBRW(Server&amp;Cube1,$J$13,$J$14,$J$15,$J$17,U$22,$J$16,$D114))</f>
        <v>0</v>
      </c>
      <c r="V114" s="109">
        <f ca="1">IF(xflag=1,_xll.DBSW(SAISIE!V114,Server&amp;Cube1,$J$13,$J$14,$J$15,$J$17,V$22,$J$16,$D114),_xll.DBRW(Server&amp;Cube1,$J$13,$J$14,$J$15,$J$17,V$22,$J$16,$D114))</f>
        <v>0</v>
      </c>
      <c r="W114" s="109">
        <f ca="1">IF(xflag=1,_xll.DBSW(SAISIE!W114,Server&amp;Cube1,$J$13,$J$14,$J$15,$J$17,W$22,$J$16,$D114),_xll.DBRW(Server&amp;Cube1,$J$13,$J$14,$J$15,$J$17,W$22,$J$16,$D114))</f>
        <v>0</v>
      </c>
      <c r="X114" s="109">
        <f ca="1">IF(xflag=1,_xll.DBSW(SAISIE!X114,Server&amp;Cube1,$J$13,$J$14,$J$15,$J$17,X$22,$J$16,$D114),_xll.DBRW(Server&amp;Cube1,$J$13,$J$14,$J$15,$J$17,X$22,$J$16,$D114))</f>
        <v>0</v>
      </c>
      <c r="Y114" s="109">
        <f ca="1">IF(xflag=1,_xll.DBSW(SAISIE!Y114,Server&amp;Cube1,$J$13,$J$14,$J$15,$J$17,Y$22,$J$16,$D114),_xll.DBRW(Server&amp;Cube1,$J$13,$J$14,$J$15,$J$17,Y$22,$J$16,$D114))</f>
        <v>0</v>
      </c>
      <c r="Z114" s="109">
        <f ca="1">IF(xflag=1,_xll.DBSW(SAISIE!Z114,Server&amp;Cube1,$J$13,$J$14,$J$15,$J$17,Z$22,$J$16,$D114),_xll.DBRW(Server&amp;Cube1,$J$13,$J$14,$J$15,$J$17,Z$22,$J$16,$D114))</f>
        <v>0</v>
      </c>
      <c r="AA114" s="109">
        <f ca="1">IF(xflag=1,_xll.DBSW(SAISIE!AA114,Server&amp;Cube1,$J$13,$J$14,$J$15,$J$17,AA$22,$J$16,$D114),_xll.DBRW(Server&amp;Cube1,$J$13,$J$14,$J$15,$J$17,AA$22,$J$16,$D114))</f>
        <v>0</v>
      </c>
      <c r="AB114" s="109">
        <f ca="1">IF(xflag=1,_xll.DBSW(SAISIE!AB114,Server&amp;Cube1,$J$13,$J$14,$J$15,$J$17,AB$22,$J$16,$D114),_xll.DBRW(Server&amp;Cube1,$J$13,$J$14,$J$15,$J$17,AB$22,$J$16,$D114))</f>
        <v>0</v>
      </c>
      <c r="AC114" s="31"/>
      <c r="AF114" s="90" t="str">
        <f ca="1">IF(xflag=1,_xll.DBSW(#REF!,Server&amp;Cube1,$J$13,$J$14,$J$15,#REF!,AF$2,$J$16,$D114),_xll.DBRW(Server&amp;Cube1,$J$13,$J$14,$J$15,#REF!,AF$2,$J$16,$D114))</f>
        <v>*KEY_ERR</v>
      </c>
    </row>
    <row r="115" spans="1:35" s="19" customFormat="1" ht="15.75" x14ac:dyDescent="0.25">
      <c r="A115"/>
      <c r="B115" s="204" t="s">
        <v>149</v>
      </c>
      <c r="C115" s="214" t="s">
        <v>255</v>
      </c>
      <c r="D115" s="226" t="str">
        <f t="shared" si="16"/>
        <v>628880</v>
      </c>
      <c r="E115"/>
      <c r="F115" s="228"/>
      <c r="G115" s="171"/>
      <c r="H115" s="107"/>
      <c r="I115" s="305" t="str">
        <f ca="1">_xll.DBRA(Server&amp;$D$22,$D115,"French")</f>
        <v>Projets pédagogiques</v>
      </c>
      <c r="J115" s="305" t="str">
        <f ca="1">_xll.DBRA(Server&amp;$D$22,$D115,"French")</f>
        <v>Projets pédagogiques</v>
      </c>
      <c r="K115" s="37"/>
      <c r="L115" s="54">
        <f ca="1">_xll.DBRW(Server&amp;Cube1,$J$13,$L$3,$J$15,$L$1,$L$2,$J$16,$D115)</f>
        <v>0</v>
      </c>
      <c r="M115" s="37"/>
      <c r="N115" s="54">
        <f ca="1">_xll.DBRW(Server&amp;Cube1,$J$13,$N$3,$J$15,$N$1,$N$2,$J$16,$D115)</f>
        <v>0</v>
      </c>
      <c r="O115" s="55"/>
      <c r="P115" s="57"/>
      <c r="Q115" s="109">
        <f ca="1">IF(xflag=1,_xll.DBSW(SAISIE!Q115,Server&amp;Cube1,$J$13,$J$14,$J$15,$J$17,Q$22,$J$16,$D115),_xll.DBRW(Server&amp;Cube1,$J$13,$J$14,$J$15,$J$17,Q$22,$J$16,$D115))</f>
        <v>0</v>
      </c>
      <c r="R115" s="109">
        <f ca="1">IF(xflag=1,_xll.DBSW(SAISIE!R115,Server&amp;Cube1,$J$13,$J$14,$J$15,$J$17,R$22,$J$16,$D115),_xll.DBRW(Server&amp;Cube1,$J$13,$J$14,$J$15,$J$17,R$22,$J$16,$D115))</f>
        <v>-9648.83</v>
      </c>
      <c r="S115" s="109">
        <f ca="1">IF(xflag=1,_xll.DBSW(SAISIE!S115,Server&amp;Cube1,$J$13,$J$14,$J$15,$J$17,S$22,$J$16,$D115),_xll.DBRW(Server&amp;Cube1,$J$13,$J$14,$J$15,$J$17,S$22,$J$16,$D115))</f>
        <v>-14439.42</v>
      </c>
      <c r="T115" s="109">
        <f ca="1">IF(xflag=1,_xll.DBSW(SAISIE!T115,Server&amp;Cube1,$J$13,$J$14,$J$15,$J$17,T$22,$J$16,$D115),_xll.DBRW(Server&amp;Cube1,$J$13,$J$14,$J$15,$J$17,T$22,$J$16,$D115))</f>
        <v>-2459.41</v>
      </c>
      <c r="U115" s="109">
        <f ca="1">IF(xflag=1,_xll.DBSW(SAISIE!U115,Server&amp;Cube1,$J$13,$J$14,$J$15,$J$17,U$22,$J$16,$D115),_xll.DBRW(Server&amp;Cube1,$J$13,$J$14,$J$15,$J$17,U$22,$J$16,$D115))</f>
        <v>-24379.420000000002</v>
      </c>
      <c r="V115" s="109">
        <f ca="1">IF(xflag=1,_xll.DBSW(SAISIE!V115,Server&amp;Cube1,$J$13,$J$14,$J$15,$J$17,V$22,$J$16,$D115),_xll.DBRW(Server&amp;Cube1,$J$13,$J$14,$J$15,$J$17,V$22,$J$16,$D115))</f>
        <v>-20439.419999999998</v>
      </c>
      <c r="W115" s="109">
        <f ca="1">IF(xflag=1,_xll.DBSW(SAISIE!W115,Server&amp;Cube1,$J$13,$J$14,$J$15,$J$17,W$22,$J$16,$D115),_xll.DBRW(Server&amp;Cube1,$J$13,$J$14,$J$15,$J$17,W$22,$J$16,$D115))</f>
        <v>0</v>
      </c>
      <c r="X115" s="109">
        <f ca="1">IF(xflag=1,_xll.DBSW(SAISIE!X115,Server&amp;Cube1,$J$13,$J$14,$J$15,$J$17,X$22,$J$16,$D115),_xll.DBRW(Server&amp;Cube1,$J$13,$J$14,$J$15,$J$17,X$22,$J$16,$D115))</f>
        <v>0</v>
      </c>
      <c r="Y115" s="109">
        <f ca="1">IF(xflag=1,_xll.DBSW(SAISIE!Y115,Server&amp;Cube1,$J$13,$J$14,$J$15,$J$17,Y$22,$J$16,$D115),_xll.DBRW(Server&amp;Cube1,$J$13,$J$14,$J$15,$J$17,Y$22,$J$16,$D115))</f>
        <v>0</v>
      </c>
      <c r="Z115" s="109">
        <f ca="1">IF(xflag=1,_xll.DBSW(SAISIE!Z115,Server&amp;Cube1,$J$13,$J$14,$J$15,$J$17,Z$22,$J$16,$D115),_xll.DBRW(Server&amp;Cube1,$J$13,$J$14,$J$15,$J$17,Z$22,$J$16,$D115))</f>
        <v>0</v>
      </c>
      <c r="AA115" s="109">
        <f ca="1">IF(xflag=1,_xll.DBSW(SAISIE!AA115,Server&amp;Cube1,$J$13,$J$14,$J$15,$J$17,AA$22,$J$16,$D115),_xll.DBRW(Server&amp;Cube1,$J$13,$J$14,$J$15,$J$17,AA$22,$J$16,$D115))</f>
        <v>0</v>
      </c>
      <c r="AB115" s="109">
        <f ca="1">IF(xflag=1,_xll.DBSW(SAISIE!AB115,Server&amp;Cube1,$J$13,$J$14,$J$15,$J$17,AB$22,$J$16,$D115),_xll.DBRW(Server&amp;Cube1,$J$13,$J$14,$J$15,$J$17,AB$22,$J$16,$D115))</f>
        <v>0</v>
      </c>
      <c r="AC115" s="31"/>
      <c r="AF115" s="90" t="str">
        <f ca="1">IF(xflag=1,_xll.DBSW(#REF!,Server&amp;Cube1,$J$13,$J$14,$J$15,#REF!,AF$2,$J$16,$D115),_xll.DBRW(Server&amp;Cube1,$J$13,$J$14,$J$15,#REF!,AF$2,$J$16,$D115))</f>
        <v>*KEY_ERR</v>
      </c>
    </row>
    <row r="116" spans="1:35" s="19" customFormat="1" ht="15.75" x14ac:dyDescent="0.25">
      <c r="A116"/>
      <c r="B116" s="204" t="s">
        <v>174</v>
      </c>
      <c r="C116" s="214" t="s">
        <v>256</v>
      </c>
      <c r="D116" s="226" t="str">
        <f t="shared" si="16"/>
        <v>651100</v>
      </c>
      <c r="E116"/>
      <c r="F116" s="228"/>
      <c r="G116" s="171"/>
      <c r="H116" s="107"/>
      <c r="I116" s="305" t="str">
        <f ca="1">_xll.DBRA(Server&amp;$D$22,$D116,"French")</f>
        <v>Licences</v>
      </c>
      <c r="J116" s="305" t="str">
        <f ca="1">_xll.DBRA(Server&amp;$D$22,$D116,"French")</f>
        <v>Licences</v>
      </c>
      <c r="K116" s="37"/>
      <c r="L116" s="54">
        <f ca="1">_xll.DBRW(Server&amp;Cube1,$J$13,$L$3,$J$15,$L$1,$L$2,$J$16,$D116)</f>
        <v>0</v>
      </c>
      <c r="M116" s="37"/>
      <c r="N116" s="54">
        <f ca="1">_xll.DBRW(Server&amp;Cube1,$J$13,$N$3,$J$15,$N$1,$N$2,$J$16,$D116)</f>
        <v>0</v>
      </c>
      <c r="O116" s="55"/>
      <c r="P116" s="57"/>
      <c r="Q116" s="109">
        <f ca="1">IF(xflag=1,_xll.DBSW(SAISIE!Q116,Server&amp;Cube1,$J$13,$J$14,$J$15,$J$17,Q$22,$J$16,$D116),_xll.DBRW(Server&amp;Cube1,$J$13,$J$14,$J$15,$J$17,Q$22,$J$16,$D116))</f>
        <v>0</v>
      </c>
      <c r="R116" s="109">
        <f ca="1">IF(xflag=1,_xll.DBSW(SAISIE!R116,Server&amp;Cube1,$J$13,$J$14,$J$15,$J$17,R$22,$J$16,$D116),_xll.DBRW(Server&amp;Cube1,$J$13,$J$14,$J$15,$J$17,R$22,$J$16,$D116))</f>
        <v>-173.68</v>
      </c>
      <c r="S116" s="109">
        <f ca="1">IF(xflag=1,_xll.DBSW(SAISIE!S116,Server&amp;Cube1,$J$13,$J$14,$J$15,$J$17,S$22,$J$16,$D116),_xll.DBRW(Server&amp;Cube1,$J$13,$J$14,$J$15,$J$17,S$22,$J$16,$D116))</f>
        <v>-876</v>
      </c>
      <c r="T116" s="109">
        <f ca="1">IF(xflag=1,_xll.DBSW(SAISIE!T116,Server&amp;Cube1,$J$13,$J$14,$J$15,$J$17,T$22,$J$16,$D116),_xll.DBRW(Server&amp;Cube1,$J$13,$J$14,$J$15,$J$17,T$22,$J$16,$D116))</f>
        <v>-292</v>
      </c>
      <c r="U116" s="109">
        <f ca="1">IF(xflag=1,_xll.DBSW(SAISIE!U116,Server&amp;Cube1,$J$13,$J$14,$J$15,$J$17,U$22,$J$16,$D116),_xll.DBRW(Server&amp;Cube1,$J$13,$J$14,$J$15,$J$17,U$22,$J$16,$D116))</f>
        <v>-292</v>
      </c>
      <c r="V116" s="109">
        <f ca="1">IF(xflag=1,_xll.DBSW(SAISIE!V116,Server&amp;Cube1,$J$13,$J$14,$J$15,$J$17,V$22,$J$16,$D116),_xll.DBRW(Server&amp;Cube1,$J$13,$J$14,$J$15,$J$17,V$22,$J$16,$D116))</f>
        <v>-292</v>
      </c>
      <c r="W116" s="109">
        <f ca="1">IF(xflag=1,_xll.DBSW(SAISIE!W116,Server&amp;Cube1,$J$13,$J$14,$J$15,$J$17,W$22,$J$16,$D116),_xll.DBRW(Server&amp;Cube1,$J$13,$J$14,$J$15,$J$17,W$22,$J$16,$D116))</f>
        <v>0</v>
      </c>
      <c r="X116" s="109">
        <f ca="1">IF(xflag=1,_xll.DBSW(SAISIE!X116,Server&amp;Cube1,$J$13,$J$14,$J$15,$J$17,X$22,$J$16,$D116),_xll.DBRW(Server&amp;Cube1,$J$13,$J$14,$J$15,$J$17,X$22,$J$16,$D116))</f>
        <v>0</v>
      </c>
      <c r="Y116" s="109">
        <f ca="1">IF(xflag=1,_xll.DBSW(SAISIE!Y116,Server&amp;Cube1,$J$13,$J$14,$J$15,$J$17,Y$22,$J$16,$D116),_xll.DBRW(Server&amp;Cube1,$J$13,$J$14,$J$15,$J$17,Y$22,$J$16,$D116))</f>
        <v>0</v>
      </c>
      <c r="Z116" s="109">
        <f ca="1">IF(xflag=1,_xll.DBSW(SAISIE!Z116,Server&amp;Cube1,$J$13,$J$14,$J$15,$J$17,Z$22,$J$16,$D116),_xll.DBRW(Server&amp;Cube1,$J$13,$J$14,$J$15,$J$17,Z$22,$J$16,$D116))</f>
        <v>0</v>
      </c>
      <c r="AA116" s="109">
        <f ca="1">IF(xflag=1,_xll.DBSW(SAISIE!AA116,Server&amp;Cube1,$J$13,$J$14,$J$15,$J$17,AA$22,$J$16,$D116),_xll.DBRW(Server&amp;Cube1,$J$13,$J$14,$J$15,$J$17,AA$22,$J$16,$D116))</f>
        <v>0</v>
      </c>
      <c r="AB116" s="109">
        <f ca="1">IF(xflag=1,_xll.DBSW(SAISIE!AB116,Server&amp;Cube1,$J$13,$J$14,$J$15,$J$17,AB$22,$J$16,$D116),_xll.DBRW(Server&amp;Cube1,$J$13,$J$14,$J$15,$J$17,AB$22,$J$16,$D116))</f>
        <v>0</v>
      </c>
      <c r="AC116" s="31"/>
      <c r="AF116" s="90" t="str">
        <f ca="1">IF(xflag=1,_xll.DBSW(#REF!,Server&amp;Cube1,$J$13,$J$14,$J$15,#REF!,AF$2,$J$16,$D116),_xll.DBRW(Server&amp;Cube1,$J$13,$J$14,$J$15,#REF!,AF$2,$J$16,$D116))</f>
        <v>*KEY_ERR</v>
      </c>
    </row>
    <row r="117" spans="1:35" s="19" customFormat="1" ht="15.75" x14ac:dyDescent="0.25">
      <c r="A117"/>
      <c r="B117" s="204" t="s">
        <v>136</v>
      </c>
      <c r="C117" s="214" t="s">
        <v>257</v>
      </c>
      <c r="D117" s="226" t="str">
        <f t="shared" si="16"/>
        <v>681110</v>
      </c>
      <c r="E117"/>
      <c r="F117" s="228"/>
      <c r="G117" s="171"/>
      <c r="H117" s="107"/>
      <c r="I117" s="305" t="str">
        <f ca="1">_xll.DBRA(Server&amp;$D$22,$D117,"French")</f>
        <v>Dot.Amort. Immob. Incorporelles</v>
      </c>
      <c r="J117" s="305" t="str">
        <f ca="1">_xll.DBRA(Server&amp;$D$22,$D117,"French")</f>
        <v>Dot.Amort. Immob. Incorporelles</v>
      </c>
      <c r="K117" s="37"/>
      <c r="L117" s="54">
        <f ca="1">_xll.DBRW(Server&amp;Cube1,$J$13,$L$3,$J$15,$L$1,$L$2,$J$16,$D117)</f>
        <v>0</v>
      </c>
      <c r="M117" s="37"/>
      <c r="N117" s="54">
        <f ca="1">_xll.DBRW(Server&amp;Cube1,$J$13,$N$3,$J$15,$N$1,$N$2,$J$16,$D117)</f>
        <v>0</v>
      </c>
      <c r="O117" s="55"/>
      <c r="P117" s="57"/>
      <c r="Q117" s="109">
        <f ca="1">IF(xflag=1,_xll.DBSW(SAISIE!Q117,Server&amp;Cube1,$J$13,$J$14,$J$15,$J$17,Q$22,$J$16,$D117),_xll.DBRW(Server&amp;Cube1,$J$13,$J$14,$J$15,$J$17,Q$22,$J$16,$D117))</f>
        <v>0</v>
      </c>
      <c r="R117" s="109">
        <f ca="1">IF(xflag=1,_xll.DBSW(SAISIE!R117,Server&amp;Cube1,$J$13,$J$14,$J$15,$J$17,R$22,$J$16,$D117),_xll.DBRW(Server&amp;Cube1,$J$13,$J$14,$J$15,$J$17,R$22,$J$16,$D117))</f>
        <v>0</v>
      </c>
      <c r="S117" s="109">
        <f ca="1">IF(xflag=1,_xll.DBSW(SAISIE!S117,Server&amp;Cube1,$J$13,$J$14,$J$15,$J$17,S$22,$J$16,$D117),_xll.DBRW(Server&amp;Cube1,$J$13,$J$14,$J$15,$J$17,S$22,$J$16,$D117))</f>
        <v>0</v>
      </c>
      <c r="T117" s="109">
        <f ca="1">IF(xflag=1,_xll.DBSW(SAISIE!T117,Server&amp;Cube1,$J$13,$J$14,$J$15,$J$17,T$22,$J$16,$D117),_xll.DBRW(Server&amp;Cube1,$J$13,$J$14,$J$15,$J$17,T$22,$J$16,$D117))</f>
        <v>0</v>
      </c>
      <c r="U117" s="109">
        <f ca="1">IF(xflag=1,_xll.DBSW(SAISIE!U117,Server&amp;Cube1,$J$13,$J$14,$J$15,$J$17,U$22,$J$16,$D117),_xll.DBRW(Server&amp;Cube1,$J$13,$J$14,$J$15,$J$17,U$22,$J$16,$D117))</f>
        <v>0</v>
      </c>
      <c r="V117" s="109">
        <f ca="1">IF(xflag=1,_xll.DBSW(SAISIE!V117,Server&amp;Cube1,$J$13,$J$14,$J$15,$J$17,V$22,$J$16,$D117),_xll.DBRW(Server&amp;Cube1,$J$13,$J$14,$J$15,$J$17,V$22,$J$16,$D117))</f>
        <v>0</v>
      </c>
      <c r="W117" s="109">
        <f ca="1">IF(xflag=1,_xll.DBSW(SAISIE!W117,Server&amp;Cube1,$J$13,$J$14,$J$15,$J$17,W$22,$J$16,$D117),_xll.DBRW(Server&amp;Cube1,$J$13,$J$14,$J$15,$J$17,W$22,$J$16,$D117))</f>
        <v>0</v>
      </c>
      <c r="X117" s="109">
        <f ca="1">IF(xflag=1,_xll.DBSW(SAISIE!X117,Server&amp;Cube1,$J$13,$J$14,$J$15,$J$17,X$22,$J$16,$D117),_xll.DBRW(Server&amp;Cube1,$J$13,$J$14,$J$15,$J$17,X$22,$J$16,$D117))</f>
        <v>0</v>
      </c>
      <c r="Y117" s="109">
        <f ca="1">IF(xflag=1,_xll.DBSW(SAISIE!Y117,Server&amp;Cube1,$J$13,$J$14,$J$15,$J$17,Y$22,$J$16,$D117),_xll.DBRW(Server&amp;Cube1,$J$13,$J$14,$J$15,$J$17,Y$22,$J$16,$D117))</f>
        <v>0</v>
      </c>
      <c r="Z117" s="109">
        <f ca="1">IF(xflag=1,_xll.DBSW(SAISIE!Z117,Server&amp;Cube1,$J$13,$J$14,$J$15,$J$17,Z$22,$J$16,$D117),_xll.DBRW(Server&amp;Cube1,$J$13,$J$14,$J$15,$J$17,Z$22,$J$16,$D117))</f>
        <v>0</v>
      </c>
      <c r="AA117" s="109">
        <f ca="1">IF(xflag=1,_xll.DBSW(SAISIE!AA117,Server&amp;Cube1,$J$13,$J$14,$J$15,$J$17,AA$22,$J$16,$D117),_xll.DBRW(Server&amp;Cube1,$J$13,$J$14,$J$15,$J$17,AA$22,$J$16,$D117))</f>
        <v>0</v>
      </c>
      <c r="AB117" s="109">
        <f ca="1">IF(xflag=1,_xll.DBSW(SAISIE!AB117,Server&amp;Cube1,$J$13,$J$14,$J$15,$J$17,AB$22,$J$16,$D117),_xll.DBRW(Server&amp;Cube1,$J$13,$J$14,$J$15,$J$17,AB$22,$J$16,$D117))</f>
        <v>0</v>
      </c>
      <c r="AC117" s="31"/>
      <c r="AF117" s="90" t="str">
        <f ca="1">IF(xflag=1,_xll.DBSW(#REF!,Server&amp;Cube1,$J$13,$J$14,$J$15,#REF!,AF$2,$J$16,$D117),_xll.DBRW(Server&amp;Cube1,$J$13,$J$14,$J$15,#REF!,AF$2,$J$16,$D117))</f>
        <v>*KEY_ERR</v>
      </c>
    </row>
    <row r="118" spans="1:35" s="19" customFormat="1" ht="15.75" x14ac:dyDescent="0.25">
      <c r="A118"/>
      <c r="B118" s="204" t="s">
        <v>37</v>
      </c>
      <c r="C118" s="214" t="s">
        <v>258</v>
      </c>
      <c r="D118" s="226" t="str">
        <f t="shared" si="16"/>
        <v>681120</v>
      </c>
      <c r="E118"/>
      <c r="F118" s="228"/>
      <c r="G118" s="171"/>
      <c r="H118" s="107"/>
      <c r="I118" s="305" t="str">
        <f ca="1">_xll.DBRA(Server&amp;$D$22,$D118,"French")</f>
        <v>Dot.Amort. Immob. Corporelles</v>
      </c>
      <c r="J118" s="305" t="str">
        <f ca="1">_xll.DBRA(Server&amp;$D$22,$D118,"French")</f>
        <v>Dot.Amort. Immob. Corporelles</v>
      </c>
      <c r="K118" s="37"/>
      <c r="L118" s="54">
        <f ca="1">_xll.DBRW(Server&amp;Cube1,$J$13,$L$3,$J$15,$L$1,$L$2,$J$16,$D118)</f>
        <v>0</v>
      </c>
      <c r="M118" s="37"/>
      <c r="N118" s="54">
        <f ca="1">_xll.DBRW(Server&amp;Cube1,$J$13,$N$3,$J$15,$N$1,$N$2,$J$16,$D118)</f>
        <v>0</v>
      </c>
      <c r="O118" s="55"/>
      <c r="P118" s="57"/>
      <c r="Q118" s="109">
        <f ca="1">IF(xflag=1,_xll.DBSW(SAISIE!Q118,Server&amp;Cube1,$J$13,$J$14,$J$15,$J$17,Q$22,$J$16,$D118),_xll.DBRW(Server&amp;Cube1,$J$13,$J$14,$J$15,$J$17,Q$22,$J$16,$D118))</f>
        <v>0</v>
      </c>
      <c r="R118" s="109">
        <f ca="1">IF(xflag=1,_xll.DBSW(SAISIE!R118,Server&amp;Cube1,$J$13,$J$14,$J$15,$J$17,R$22,$J$16,$D118),_xll.DBRW(Server&amp;Cube1,$J$13,$J$14,$J$15,$J$17,R$22,$J$16,$D118))</f>
        <v>0</v>
      </c>
      <c r="S118" s="109">
        <f ca="1">IF(xflag=1,_xll.DBSW(SAISIE!S118,Server&amp;Cube1,$J$13,$J$14,$J$15,$J$17,S$22,$J$16,$D118),_xll.DBRW(Server&amp;Cube1,$J$13,$J$14,$J$15,$J$17,S$22,$J$16,$D118))</f>
        <v>-668.37</v>
      </c>
      <c r="T118" s="109">
        <f ca="1">IF(xflag=1,_xll.DBSW(SAISIE!T118,Server&amp;Cube1,$J$13,$J$14,$J$15,$J$17,T$22,$J$16,$D118),_xll.DBRW(Server&amp;Cube1,$J$13,$J$14,$J$15,$J$17,T$22,$J$16,$D118))</f>
        <v>0</v>
      </c>
      <c r="U118" s="109">
        <f ca="1">IF(xflag=1,_xll.DBSW(SAISIE!U118,Server&amp;Cube1,$J$13,$J$14,$J$15,$J$17,U$22,$J$16,$D118),_xll.DBRW(Server&amp;Cube1,$J$13,$J$14,$J$15,$J$17,U$22,$J$16,$D118))</f>
        <v>0</v>
      </c>
      <c r="V118" s="109">
        <f ca="1">IF(xflag=1,_xll.DBSW(SAISIE!V118,Server&amp;Cube1,$J$13,$J$14,$J$15,$J$17,V$22,$J$16,$D118),_xll.DBRW(Server&amp;Cube1,$J$13,$J$14,$J$15,$J$17,V$22,$J$16,$D118))</f>
        <v>-816.41</v>
      </c>
      <c r="W118" s="109">
        <f ca="1">IF(xflag=1,_xll.DBSW(SAISIE!W118,Server&amp;Cube1,$J$13,$J$14,$J$15,$J$17,W$22,$J$16,$D118),_xll.DBRW(Server&amp;Cube1,$J$13,$J$14,$J$15,$J$17,W$22,$J$16,$D118))</f>
        <v>0</v>
      </c>
      <c r="X118" s="109">
        <f ca="1">IF(xflag=1,_xll.DBSW(SAISIE!X118,Server&amp;Cube1,$J$13,$J$14,$J$15,$J$17,X$22,$J$16,$D118),_xll.DBRW(Server&amp;Cube1,$J$13,$J$14,$J$15,$J$17,X$22,$J$16,$D118))</f>
        <v>0</v>
      </c>
      <c r="Y118" s="109">
        <f ca="1">IF(xflag=1,_xll.DBSW(SAISIE!Y118,Server&amp;Cube1,$J$13,$J$14,$J$15,$J$17,Y$22,$J$16,$D118),_xll.DBRW(Server&amp;Cube1,$J$13,$J$14,$J$15,$J$17,Y$22,$J$16,$D118))</f>
        <v>0</v>
      </c>
      <c r="Z118" s="109">
        <f ca="1">IF(xflag=1,_xll.DBSW(SAISIE!Z118,Server&amp;Cube1,$J$13,$J$14,$J$15,$J$17,Z$22,$J$16,$D118),_xll.DBRW(Server&amp;Cube1,$J$13,$J$14,$J$15,$J$17,Z$22,$J$16,$D118))</f>
        <v>0</v>
      </c>
      <c r="AA118" s="109">
        <f ca="1">IF(xflag=1,_xll.DBSW(SAISIE!AA118,Server&amp;Cube1,$J$13,$J$14,$J$15,$J$17,AA$22,$J$16,$D118),_xll.DBRW(Server&amp;Cube1,$J$13,$J$14,$J$15,$J$17,AA$22,$J$16,$D118))</f>
        <v>0</v>
      </c>
      <c r="AB118" s="109">
        <f ca="1">IF(xflag=1,_xll.DBSW(SAISIE!AB118,Server&amp;Cube1,$J$13,$J$14,$J$15,$J$17,AB$22,$J$16,$D118),_xll.DBRW(Server&amp;Cube1,$J$13,$J$14,$J$15,$J$17,AB$22,$J$16,$D118))</f>
        <v>0</v>
      </c>
      <c r="AC118" s="31"/>
      <c r="AF118" s="90" t="str">
        <f ca="1">IF(xflag=1,_xll.DBSW(#REF!,Server&amp;Cube1,$J$13,$J$14,$J$15,#REF!,AF$2,$J$16,$D118),_xll.DBRW(Server&amp;Cube1,$J$13,$J$14,$J$15,#REF!,AF$2,$J$16,$D118))</f>
        <v>*KEY_ERR</v>
      </c>
    </row>
    <row r="119" spans="1:35" s="19" customFormat="1" ht="15.75" x14ac:dyDescent="0.25">
      <c r="A119"/>
      <c r="B119" s="204" t="s">
        <v>137</v>
      </c>
      <c r="C119" s="214" t="s">
        <v>259</v>
      </c>
      <c r="D119" s="226" t="str">
        <f t="shared" si="16"/>
        <v>681740</v>
      </c>
      <c r="E119"/>
      <c r="F119" s="228"/>
      <c r="G119" s="171"/>
      <c r="H119" s="107"/>
      <c r="I119" s="305" t="str">
        <f ca="1">_xll.DBRA(Server&amp;$D$22,$D119,"French")</f>
        <v>Dot. Aux dépréciations créances</v>
      </c>
      <c r="J119" s="305" t="str">
        <f ca="1">_xll.DBRA(Server&amp;$D$22,$D119,"French")</f>
        <v>Dot. Aux dépréciations créances</v>
      </c>
      <c r="K119" s="37"/>
      <c r="L119" s="54">
        <f ca="1">_xll.DBRW(Server&amp;Cube1,$J$13,$L$3,$J$15,$L$1,$L$2,$J$16,$D119)</f>
        <v>0</v>
      </c>
      <c r="M119" s="37"/>
      <c r="N119" s="54">
        <f ca="1">_xll.DBRW(Server&amp;Cube1,$J$13,$N$3,$J$15,$N$1,$N$2,$J$16,$D119)</f>
        <v>0</v>
      </c>
      <c r="O119" s="55"/>
      <c r="P119" s="57"/>
      <c r="Q119" s="109">
        <f ca="1">IF(xflag=1,_xll.DBSW(SAISIE!Q119,Server&amp;Cube1,$J$13,$J$14,$J$15,$J$17,Q$22,$J$16,$D119),_xll.DBRW(Server&amp;Cube1,$J$13,$J$14,$J$15,$J$17,Q$22,$J$16,$D119))</f>
        <v>0</v>
      </c>
      <c r="R119" s="109">
        <f ca="1">IF(xflag=1,_xll.DBSW(SAISIE!R119,Server&amp;Cube1,$J$13,$J$14,$J$15,$J$17,R$22,$J$16,$D119),_xll.DBRW(Server&amp;Cube1,$J$13,$J$14,$J$15,$J$17,R$22,$J$16,$D119))</f>
        <v>0</v>
      </c>
      <c r="S119" s="109">
        <f ca="1">IF(xflag=1,_xll.DBSW(SAISIE!S119,Server&amp;Cube1,$J$13,$J$14,$J$15,$J$17,S$22,$J$16,$D119),_xll.DBRW(Server&amp;Cube1,$J$13,$J$14,$J$15,$J$17,S$22,$J$16,$D119))</f>
        <v>0</v>
      </c>
      <c r="T119" s="109">
        <f ca="1">IF(xflag=1,_xll.DBSW(SAISIE!T119,Server&amp;Cube1,$J$13,$J$14,$J$15,$J$17,T$22,$J$16,$D119),_xll.DBRW(Server&amp;Cube1,$J$13,$J$14,$J$15,$J$17,T$22,$J$16,$D119))</f>
        <v>0</v>
      </c>
      <c r="U119" s="109">
        <f ca="1">IF(xflag=1,_xll.DBSW(SAISIE!U119,Server&amp;Cube1,$J$13,$J$14,$J$15,$J$17,U$22,$J$16,$D119),_xll.DBRW(Server&amp;Cube1,$J$13,$J$14,$J$15,$J$17,U$22,$J$16,$D119))</f>
        <v>0</v>
      </c>
      <c r="V119" s="109">
        <f ca="1">IF(xflag=1,_xll.DBSW(SAISIE!V119,Server&amp;Cube1,$J$13,$J$14,$J$15,$J$17,V$22,$J$16,$D119),_xll.DBRW(Server&amp;Cube1,$J$13,$J$14,$J$15,$J$17,V$22,$J$16,$D119))</f>
        <v>0</v>
      </c>
      <c r="W119" s="109">
        <f ca="1">IF(xflag=1,_xll.DBSW(SAISIE!W119,Server&amp;Cube1,$J$13,$J$14,$J$15,$J$17,W$22,$J$16,$D119),_xll.DBRW(Server&amp;Cube1,$J$13,$J$14,$J$15,$J$17,W$22,$J$16,$D119))</f>
        <v>0</v>
      </c>
      <c r="X119" s="109">
        <f ca="1">IF(xflag=1,_xll.DBSW(SAISIE!X119,Server&amp;Cube1,$J$13,$J$14,$J$15,$J$17,X$22,$J$16,$D119),_xll.DBRW(Server&amp;Cube1,$J$13,$J$14,$J$15,$J$17,X$22,$J$16,$D119))</f>
        <v>0</v>
      </c>
      <c r="Y119" s="109">
        <f ca="1">IF(xflag=1,_xll.DBSW(SAISIE!Y119,Server&amp;Cube1,$J$13,$J$14,$J$15,$J$17,Y$22,$J$16,$D119),_xll.DBRW(Server&amp;Cube1,$J$13,$J$14,$J$15,$J$17,Y$22,$J$16,$D119))</f>
        <v>0</v>
      </c>
      <c r="Z119" s="109">
        <f ca="1">IF(xflag=1,_xll.DBSW(SAISIE!Z119,Server&amp;Cube1,$J$13,$J$14,$J$15,$J$17,Z$22,$J$16,$D119),_xll.DBRW(Server&amp;Cube1,$J$13,$J$14,$J$15,$J$17,Z$22,$J$16,$D119))</f>
        <v>0</v>
      </c>
      <c r="AA119" s="109">
        <f ca="1">IF(xflag=1,_xll.DBSW(SAISIE!AA119,Server&amp;Cube1,$J$13,$J$14,$J$15,$J$17,AA$22,$J$16,$D119),_xll.DBRW(Server&amp;Cube1,$J$13,$J$14,$J$15,$J$17,AA$22,$J$16,$D119))</f>
        <v>0</v>
      </c>
      <c r="AB119" s="109">
        <f ca="1">IF(xflag=1,_xll.DBSW(SAISIE!AB119,Server&amp;Cube1,$J$13,$J$14,$J$15,$J$17,AB$22,$J$16,$D119),_xll.DBRW(Server&amp;Cube1,$J$13,$J$14,$J$15,$J$17,AB$22,$J$16,$D119))</f>
        <v>0</v>
      </c>
      <c r="AC119" s="31"/>
      <c r="AF119" s="90" t="str">
        <f ca="1">IF(xflag=1,_xll.DBSW(#REF!,Server&amp;Cube1,$J$13,$J$14,$J$15,#REF!,AF$2,$J$16,$D119),_xll.DBRW(Server&amp;Cube1,$J$13,$J$14,$J$15,#REF!,AF$2,$J$16,$D119))</f>
        <v>*KEY_ERR</v>
      </c>
    </row>
    <row r="120" spans="1:35" s="19" customFormat="1" ht="15.75" x14ac:dyDescent="0.25">
      <c r="A120"/>
      <c r="B120" s="204" t="s">
        <v>85</v>
      </c>
      <c r="C120" s="214" t="s">
        <v>260</v>
      </c>
      <c r="D120" s="226" t="str">
        <f t="shared" si="16"/>
        <v>TBD_X1</v>
      </c>
      <c r="E120"/>
      <c r="F120" s="228"/>
      <c r="G120" s="171"/>
      <c r="H120" s="107"/>
      <c r="I120" s="305" t="str">
        <f ca="1">_xll.DBRA(Server&amp;$D$22,$D120,"French")</f>
        <v>Divers (Autres frais)</v>
      </c>
      <c r="J120" s="305" t="str">
        <f ca="1">_xll.DBRA(Server&amp;$D$22,$D120,"French")</f>
        <v>Divers (Autres frais)</v>
      </c>
      <c r="K120" s="37"/>
      <c r="L120" s="54">
        <f ca="1">_xll.DBRW(Server&amp;Cube1,$J$13,$L$3,$J$15,$L$1,$L$2,$J$16,$D120)</f>
        <v>0</v>
      </c>
      <c r="M120" s="37"/>
      <c r="N120" s="54">
        <f ca="1">_xll.DBRW(Server&amp;Cube1,$J$13,$N$3,$J$15,$N$1,$N$2,$J$16,$D120)</f>
        <v>0</v>
      </c>
      <c r="O120" s="55"/>
      <c r="P120" s="57"/>
      <c r="Q120" s="109">
        <f ca="1">IF(xflag=1,_xll.DBSW(SAISIE!Q120,Server&amp;Cube1,$J$13,$J$14,$J$15,$J$17,Q$22,$J$16,$D120),_xll.DBRW(Server&amp;Cube1,$J$13,$J$14,$J$15,$J$17,Q$22,$J$16,$D120))</f>
        <v>0</v>
      </c>
      <c r="R120" s="109">
        <f ca="1">IF(xflag=1,_xll.DBSW(SAISIE!R120,Server&amp;Cube1,$J$13,$J$14,$J$15,$J$17,R$22,$J$16,$D120),_xll.DBRW(Server&amp;Cube1,$J$13,$J$14,$J$15,$J$17,R$22,$J$16,$D120))</f>
        <v>0</v>
      </c>
      <c r="S120" s="109">
        <f ca="1">IF(xflag=1,_xll.DBSW(SAISIE!S120,Server&amp;Cube1,$J$13,$J$14,$J$15,$J$17,S$22,$J$16,$D120),_xll.DBRW(Server&amp;Cube1,$J$13,$J$14,$J$15,$J$17,S$22,$J$16,$D120))</f>
        <v>0</v>
      </c>
      <c r="T120" s="109">
        <f ca="1">IF(xflag=1,_xll.DBSW(SAISIE!T120,Server&amp;Cube1,$J$13,$J$14,$J$15,$J$17,T$22,$J$16,$D120),_xll.DBRW(Server&amp;Cube1,$J$13,$J$14,$J$15,$J$17,T$22,$J$16,$D120))</f>
        <v>0</v>
      </c>
      <c r="U120" s="109">
        <f ca="1">IF(xflag=1,_xll.DBSW(SAISIE!U120,Server&amp;Cube1,$J$13,$J$14,$J$15,$J$17,U$22,$J$16,$D120),_xll.DBRW(Server&amp;Cube1,$J$13,$J$14,$J$15,$J$17,U$22,$J$16,$D120))</f>
        <v>0</v>
      </c>
      <c r="V120" s="109">
        <f ca="1">IF(xflag=1,_xll.DBSW(SAISIE!V120,Server&amp;Cube1,$J$13,$J$14,$J$15,$J$17,V$22,$J$16,$D120),_xll.DBRW(Server&amp;Cube1,$J$13,$J$14,$J$15,$J$17,V$22,$J$16,$D120))</f>
        <v>0</v>
      </c>
      <c r="W120" s="109">
        <f ca="1">IF(xflag=1,_xll.DBSW(SAISIE!W120,Server&amp;Cube1,$J$13,$J$14,$J$15,$J$17,W$22,$J$16,$D120),_xll.DBRW(Server&amp;Cube1,$J$13,$J$14,$J$15,$J$17,W$22,$J$16,$D120))</f>
        <v>0</v>
      </c>
      <c r="X120" s="109">
        <f ca="1">IF(xflag=1,_xll.DBSW(SAISIE!X120,Server&amp;Cube1,$J$13,$J$14,$J$15,$J$17,X$22,$J$16,$D120),_xll.DBRW(Server&amp;Cube1,$J$13,$J$14,$J$15,$J$17,X$22,$J$16,$D120))</f>
        <v>0</v>
      </c>
      <c r="Y120" s="109">
        <f ca="1">IF(xflag=1,_xll.DBSW(SAISIE!Y120,Server&amp;Cube1,$J$13,$J$14,$J$15,$J$17,Y$22,$J$16,$D120),_xll.DBRW(Server&amp;Cube1,$J$13,$J$14,$J$15,$J$17,Y$22,$J$16,$D120))</f>
        <v>0</v>
      </c>
      <c r="Z120" s="109">
        <f ca="1">IF(xflag=1,_xll.DBSW(SAISIE!Z120,Server&amp;Cube1,$J$13,$J$14,$J$15,$J$17,Z$22,$J$16,$D120),_xll.DBRW(Server&amp;Cube1,$J$13,$J$14,$J$15,$J$17,Z$22,$J$16,$D120))</f>
        <v>0</v>
      </c>
      <c r="AA120" s="109">
        <f ca="1">IF(xflag=1,_xll.DBSW(SAISIE!AA120,Server&amp;Cube1,$J$13,$J$14,$J$15,$J$17,AA$22,$J$16,$D120),_xll.DBRW(Server&amp;Cube1,$J$13,$J$14,$J$15,$J$17,AA$22,$J$16,$D120))</f>
        <v>0</v>
      </c>
      <c r="AB120" s="109">
        <f ca="1">IF(xflag=1,_xll.DBSW(SAISIE!AB120,Server&amp;Cube1,$J$13,$J$14,$J$15,$J$17,AB$22,$J$16,$D120),_xll.DBRW(Server&amp;Cube1,$J$13,$J$14,$J$15,$J$17,AB$22,$J$16,$D120))</f>
        <v>0</v>
      </c>
      <c r="AC120" s="31"/>
      <c r="AF120" s="90" t="str">
        <f ca="1">IF(xflag=1,_xll.DBSW(#REF!,Server&amp;Cube1,$J$13,$J$14,$J$15,#REF!,AF$2,$J$16,$D120),_xll.DBRW(Server&amp;Cube1,$J$13,$J$14,$J$15,#REF!,AF$2,$J$16,$D120))</f>
        <v>*KEY_ERR</v>
      </c>
    </row>
    <row r="121" spans="1:35" s="19" customFormat="1" ht="15.75" x14ac:dyDescent="0.25">
      <c r="A121"/>
      <c r="B121" s="204" t="s">
        <v>54</v>
      </c>
      <c r="C121" s="273" t="s">
        <v>261</v>
      </c>
      <c r="D121" s="226" t="str">
        <f t="shared" si="16"/>
        <v>658000</v>
      </c>
      <c r="E121"/>
      <c r="F121" s="228"/>
      <c r="G121" s="171"/>
      <c r="H121" s="107"/>
      <c r="I121" s="316" t="str">
        <f ca="1">_xll.DBRA(Server&amp;$D$22,$D121,"French")</f>
        <v>Charges diverses de gestion courante</v>
      </c>
      <c r="J121" s="316" t="str">
        <f ca="1">_xll.DBRA(Server&amp;$D$22,$D121,"French")</f>
        <v>Charges diverses de gestion courante</v>
      </c>
      <c r="K121" s="274"/>
      <c r="L121" s="275">
        <f ca="1">_xll.DBRW(Server&amp;Cube1,$J$13,$L$3,$J$15,$L$1,$L$2,$J$16,$D121)</f>
        <v>0</v>
      </c>
      <c r="M121" s="274"/>
      <c r="N121" s="275">
        <f ca="1">_xll.DBRW(Server&amp;Cube1,$J$13,$N$3,$J$15,$N$1,$N$2,$J$16,$D121)</f>
        <v>0</v>
      </c>
      <c r="O121" s="276"/>
      <c r="P121" s="277"/>
      <c r="Q121" s="111">
        <f ca="1">IF(xflag=1,_xll.DBSW(SAISIE!Q121,Server&amp;Cube1,$J$13,$J$14,$J$15,$J$17,Q$22,$J$16,$D121),_xll.DBRW(Server&amp;Cube1,$J$13,$J$14,$J$15,$J$17,Q$22,$J$16,$D121))</f>
        <v>0</v>
      </c>
      <c r="R121" s="111">
        <f ca="1">IF(xflag=1,_xll.DBSW(SAISIE!R121,Server&amp;Cube1,$J$13,$J$14,$J$15,$J$17,R$22,$J$16,$D121),_xll.DBRW(Server&amp;Cube1,$J$13,$J$14,$J$15,$J$17,R$22,$J$16,$D121))</f>
        <v>-0.57000000000000006</v>
      </c>
      <c r="S121" s="111">
        <f ca="1">IF(xflag=1,_xll.DBSW(SAISIE!S121,Server&amp;Cube1,$J$13,$J$14,$J$15,$J$17,S$22,$J$16,$D121),_xll.DBRW(Server&amp;Cube1,$J$13,$J$14,$J$15,$J$17,S$22,$J$16,$D121))</f>
        <v>-474.36</v>
      </c>
      <c r="T121" s="111">
        <f ca="1">IF(xflag=1,_xll.DBSW(SAISIE!T121,Server&amp;Cube1,$J$13,$J$14,$J$15,$J$17,T$22,$J$16,$D121),_xll.DBRW(Server&amp;Cube1,$J$13,$J$14,$J$15,$J$17,T$22,$J$16,$D121))</f>
        <v>-0.42999999999999994</v>
      </c>
      <c r="U121" s="111">
        <f ca="1">IF(xflag=1,_xll.DBSW(SAISIE!U121,Server&amp;Cube1,$J$13,$J$14,$J$15,$J$17,U$22,$J$16,$D121),_xll.DBRW(Server&amp;Cube1,$J$13,$J$14,$J$15,$J$17,U$22,$J$16,$D121))</f>
        <v>-0.24</v>
      </c>
      <c r="V121" s="111">
        <f ca="1">IF(xflag=1,_xll.DBSW(SAISIE!V121,Server&amp;Cube1,$J$13,$J$14,$J$15,$J$17,V$22,$J$16,$D121),_xll.DBRW(Server&amp;Cube1,$J$13,$J$14,$J$15,$J$17,V$22,$J$16,$D121))</f>
        <v>0</v>
      </c>
      <c r="W121" s="111">
        <f ca="1">IF(xflag=1,_xll.DBSW(SAISIE!W121,Server&amp;Cube1,$J$13,$J$14,$J$15,$J$17,W$22,$J$16,$D121),_xll.DBRW(Server&amp;Cube1,$J$13,$J$14,$J$15,$J$17,W$22,$J$16,$D121))</f>
        <v>0</v>
      </c>
      <c r="X121" s="111">
        <f ca="1">IF(xflag=1,_xll.DBSW(SAISIE!X121,Server&amp;Cube1,$J$13,$J$14,$J$15,$J$17,X$22,$J$16,$D121),_xll.DBRW(Server&amp;Cube1,$J$13,$J$14,$J$15,$J$17,X$22,$J$16,$D121))</f>
        <v>0</v>
      </c>
      <c r="Y121" s="111">
        <f ca="1">IF(xflag=1,_xll.DBSW(SAISIE!Y121,Server&amp;Cube1,$J$13,$J$14,$J$15,$J$17,Y$22,$J$16,$D121),_xll.DBRW(Server&amp;Cube1,$J$13,$J$14,$J$15,$J$17,Y$22,$J$16,$D121))</f>
        <v>0</v>
      </c>
      <c r="Z121" s="111">
        <f ca="1">IF(xflag=1,_xll.DBSW(SAISIE!Z121,Server&amp;Cube1,$J$13,$J$14,$J$15,$J$17,Z$22,$J$16,$D121),_xll.DBRW(Server&amp;Cube1,$J$13,$J$14,$J$15,$J$17,Z$22,$J$16,$D121))</f>
        <v>0</v>
      </c>
      <c r="AA121" s="111">
        <f ca="1">IF(xflag=1,_xll.DBSW(SAISIE!AA121,Server&amp;Cube1,$J$13,$J$14,$J$15,$J$17,AA$22,$J$16,$D121),_xll.DBRW(Server&amp;Cube1,$J$13,$J$14,$J$15,$J$17,AA$22,$J$16,$D121))</f>
        <v>0</v>
      </c>
      <c r="AB121" s="111">
        <f ca="1">IF(xflag=1,_xll.DBSW(SAISIE!AB121,Server&amp;Cube1,$J$13,$J$14,$J$15,$J$17,AB$22,$J$16,$D121),_xll.DBRW(Server&amp;Cube1,$J$13,$J$14,$J$15,$J$17,AB$22,$J$16,$D121))</f>
        <v>0</v>
      </c>
      <c r="AC121" s="31"/>
      <c r="AF121" s="90" t="str">
        <f ca="1">IF(xflag=1,_xll.DBSW(#REF!,Server&amp;Cube1,$J$13,$J$14,$J$15,#REF!,AF$2,$J$16,$D121),_xll.DBRW(Server&amp;Cube1,$J$13,$J$14,$J$15,#REF!,AF$2,$J$16,$D121))</f>
        <v>*KEY_ERR</v>
      </c>
    </row>
    <row r="122" spans="1:35" ht="11.25" customHeight="1" x14ac:dyDescent="0.25">
      <c r="B122" s="272"/>
      <c r="C122" s="208"/>
      <c r="D122" s="267"/>
      <c r="E122"/>
      <c r="F122" s="228"/>
      <c r="G122" s="171"/>
      <c r="H122" s="278" t="str">
        <f ca="1">_xll.DBRA(Server&amp;$D$22,$D122,"French")</f>
        <v/>
      </c>
      <c r="I122" s="278"/>
      <c r="J122" s="278"/>
      <c r="K122" s="279"/>
      <c r="L122" s="280" t="str">
        <f ca="1">_xll.DBRW(Server&amp;Cube1,$J$13,$L$3,$J$15,$L$1,$L$2,$J$16,$D122)</f>
        <v/>
      </c>
      <c r="M122" s="279"/>
      <c r="N122" s="280" t="str">
        <f ca="1">_xll.DBRW(Server&amp;Cube1,$J$13,$N$3,$J$15,$N$1,$N$2,$J$16,$D122)</f>
        <v/>
      </c>
      <c r="O122" s="281"/>
      <c r="P122" s="282"/>
      <c r="Q122" s="280" t="str">
        <f ca="1">_xll.DBRW(Server&amp;Cube1,$J$13,$J$14,$J$15,$J$17,Q$1,$J$16,$D122)</f>
        <v/>
      </c>
      <c r="R122" s="280" t="str">
        <f ca="1">_xll.DBRW(Server&amp;Cube1,$J$13,$J$14,$J$15,$J$17,R$1,$J$16,$D122)</f>
        <v/>
      </c>
      <c r="S122" s="280" t="str">
        <f ca="1">_xll.DBRW(Server&amp;Cube1,$J$13,$J$14,$J$15,$J$17,S$1,$J$16,$D122)</f>
        <v/>
      </c>
      <c r="T122" s="280" t="str">
        <f ca="1">_xll.DBRW(Server&amp;Cube1,$J$13,$J$14,$J$15,$J$17,T$1,$J$16,$D122)</f>
        <v/>
      </c>
      <c r="U122" s="280" t="str">
        <f ca="1">_xll.DBRW(Server&amp;Cube1,$J$13,$J$14,$J$15,$J$17,U$1,$J$16,$D122)</f>
        <v/>
      </c>
      <c r="V122" s="280" t="str">
        <f ca="1">_xll.DBRW(Server&amp;Cube1,$J$13,$J$14,$J$15,$J$17,V$1,$J$16,$D122)</f>
        <v/>
      </c>
      <c r="W122" s="280" t="str">
        <f ca="1">_xll.DBRW(Server&amp;Cube1,$J$13,$J$14,$J$15,$J$17,W$1,$J$16,$D122)</f>
        <v/>
      </c>
      <c r="X122" s="280" t="str">
        <f ca="1">_xll.DBRW(Server&amp;Cube1,$J$13,$J$14,$J$15,$J$17,X$1,$J$16,$D122)</f>
        <v/>
      </c>
      <c r="Y122" s="280" t="str">
        <f ca="1">_xll.DBRW(Server&amp;Cube1,$J$13,$J$14,$J$15,$J$17,Y$1,$J$16,$D122)</f>
        <v/>
      </c>
      <c r="Z122" s="280" t="str">
        <f ca="1">_xll.DBRW(Server&amp;Cube1,$J$13,$J$14,$J$15,$J$17,Z$1,$J$16,$D122)</f>
        <v/>
      </c>
      <c r="AA122" s="280" t="str">
        <f ca="1">_xll.DBRW(Server&amp;Cube1,$J$13,$J$14,$J$15,$J$17,AA$1,$J$16,$D122)</f>
        <v/>
      </c>
      <c r="AB122" s="280" t="str">
        <f ca="1">_xll.DBRW(Server&amp;Cube1,$J$13,$J$14,$J$15,$J$17,AB$1,$J$16,$D122)</f>
        <v/>
      </c>
    </row>
    <row r="123" spans="1:35" s="19" customFormat="1" ht="15.75" x14ac:dyDescent="0.25">
      <c r="A123"/>
      <c r="B123" s="203" t="s">
        <v>33</v>
      </c>
      <c r="C123" s="215"/>
      <c r="D123" s="226" t="str">
        <f>B123</f>
        <v>Cout_structure</v>
      </c>
      <c r="E123"/>
      <c r="F123" s="228"/>
      <c r="G123" s="171"/>
      <c r="H123" s="105"/>
      <c r="I123" s="317" t="str">
        <f ca="1">_xll.DBRA(Server&amp;$D$22,$D123,"French")</f>
        <v>Coûts de structure</v>
      </c>
      <c r="J123" s="317" t="str">
        <f ca="1">_xll.DBRA(Server&amp;$D$22,$D123,"French")</f>
        <v>Coûts de structure</v>
      </c>
      <c r="K123" s="39"/>
      <c r="L123" s="67">
        <f ca="1">+L71+L75+L78+L85+L90</f>
        <v>-10311.01</v>
      </c>
      <c r="M123" s="39"/>
      <c r="N123" s="67">
        <f ca="1">+N71+N75+N78+N85+N90</f>
        <v>-732.2</v>
      </c>
      <c r="O123" s="68"/>
      <c r="P123" s="69"/>
      <c r="Q123" s="269">
        <f t="shared" ref="Q123:AB123" ca="1" si="18">+Q71+Q75+Q78+Q85+Q90</f>
        <v>0</v>
      </c>
      <c r="R123" s="269">
        <f t="shared" ca="1" si="18"/>
        <v>67272.729999999981</v>
      </c>
      <c r="S123" s="269">
        <f t="shared" ca="1" si="18"/>
        <v>-746726.59000000008</v>
      </c>
      <c r="T123" s="269">
        <f t="shared" ca="1" si="18"/>
        <v>-188237.94000000003</v>
      </c>
      <c r="U123" s="269">
        <f t="shared" ca="1" si="18"/>
        <v>324735.44</v>
      </c>
      <c r="V123" s="269">
        <f t="shared" ca="1" si="18"/>
        <v>-864144.8</v>
      </c>
      <c r="W123" s="269">
        <f t="shared" ca="1" si="18"/>
        <v>0</v>
      </c>
      <c r="X123" s="269">
        <f t="shared" ca="1" si="18"/>
        <v>0</v>
      </c>
      <c r="Y123" s="269">
        <f t="shared" ca="1" si="18"/>
        <v>0</v>
      </c>
      <c r="Z123" s="269">
        <f t="shared" ca="1" si="18"/>
        <v>0</v>
      </c>
      <c r="AA123" s="269">
        <f ca="1">+AA71+AA75+AA78+AA85+AA90</f>
        <v>0</v>
      </c>
      <c r="AB123" s="269">
        <f t="shared" ca="1" si="18"/>
        <v>0</v>
      </c>
      <c r="AC123" s="31"/>
    </row>
    <row r="124" spans="1:35" ht="11.25" customHeight="1" thickBot="1" x14ac:dyDescent="0.3">
      <c r="B124" s="272"/>
      <c r="C124" s="208"/>
      <c r="D124" s="267"/>
      <c r="E124"/>
      <c r="F124" s="228"/>
      <c r="G124" s="171"/>
      <c r="H124" s="278"/>
      <c r="I124" s="278"/>
      <c r="J124" s="278"/>
      <c r="K124" s="279"/>
      <c r="L124" s="280"/>
      <c r="M124" s="279"/>
      <c r="N124" s="280"/>
      <c r="O124" s="281"/>
      <c r="P124" s="282"/>
      <c r="Q124" s="280"/>
      <c r="R124" s="280"/>
      <c r="S124" s="280"/>
      <c r="T124" s="280"/>
      <c r="U124" s="280"/>
      <c r="V124" s="280"/>
      <c r="W124" s="280"/>
      <c r="X124" s="280"/>
      <c r="Y124" s="280"/>
      <c r="Z124" s="280"/>
      <c r="AA124" s="280"/>
      <c r="AB124" s="280"/>
    </row>
    <row r="125" spans="1:35" s="19" customFormat="1" ht="17.25" thickTop="1" thickBot="1" x14ac:dyDescent="0.3">
      <c r="A125"/>
      <c r="B125" s="198" t="s">
        <v>167</v>
      </c>
      <c r="C125" s="219" t="s">
        <v>262</v>
      </c>
      <c r="D125" s="226" t="str">
        <f t="shared" si="16"/>
        <v>706025i</v>
      </c>
      <c r="E125"/>
      <c r="F125" s="228"/>
      <c r="G125" s="171"/>
      <c r="H125" s="107"/>
      <c r="I125" s="305" t="str">
        <f ca="1">_xll.DBRA(Server&amp;$D$22,$D125,"French")</f>
        <v>Produits structures</v>
      </c>
      <c r="J125" s="305" t="str">
        <f ca="1">_xll.DBRA(Server&amp;$D$22,$D125,"French")</f>
        <v>Produits structures</v>
      </c>
      <c r="K125" s="37"/>
      <c r="L125" s="54">
        <f ca="1">_xll.DBRW(Server&amp;Cube1,$J$13,$L$3,$J$15,$L$1,$L$2,$J$16,$D125)</f>
        <v>0</v>
      </c>
      <c r="M125" s="37"/>
      <c r="N125" s="54">
        <f ca="1">_xll.DBRW(Server&amp;Cube1,$J$13,$N$3,$J$15,$N$1,$N$2,$J$16,$D125)</f>
        <v>0</v>
      </c>
      <c r="O125" s="55"/>
      <c r="P125" s="57"/>
      <c r="Q125" s="116">
        <f ca="1">IF(xflag=1,_xll.DBSW(SAISIE!Q125,Server&amp;Cube1,$J$13,$J$14,$J$15,$J$17,Q$22,$J$16,$D125),_xll.DBRW(Server&amp;Cube1,$J$13,$J$14,$J$15,$J$17,Q$22,$J$16,$D125))</f>
        <v>0</v>
      </c>
      <c r="R125" s="116">
        <f ca="1">IF(xflag=1,_xll.DBSW(SAISIE!R125,Server&amp;Cube1,$J$13,$J$14,$J$15,$J$17,R$22,$J$16,$D125),_xll.DBRW(Server&amp;Cube1,$J$13,$J$14,$J$15,$J$17,R$22,$J$16,$D125))</f>
        <v>0</v>
      </c>
      <c r="S125" s="116">
        <f ca="1">IF(xflag=1,_xll.DBSW(SAISIE!S125,Server&amp;Cube1,$J$13,$J$14,$J$15,$J$17,S$22,$J$16,$D125),_xll.DBRW(Server&amp;Cube1,$J$13,$J$14,$J$15,$J$17,S$22,$J$16,$D125))</f>
        <v>0</v>
      </c>
      <c r="T125" s="116">
        <f ca="1">IF(xflag=1,_xll.DBSW(SAISIE!T125,Server&amp;Cube1,$J$13,$J$14,$J$15,$J$17,T$22,$J$16,$D125),_xll.DBRW(Server&amp;Cube1,$J$13,$J$14,$J$15,$J$17,T$22,$J$16,$D125))</f>
        <v>0</v>
      </c>
      <c r="U125" s="116">
        <f ca="1">IF(xflag=1,_xll.DBSW(SAISIE!U125,Server&amp;Cube1,$J$13,$J$14,$J$15,$J$17,U$22,$J$16,$D125),_xll.DBRW(Server&amp;Cube1,$J$13,$J$14,$J$15,$J$17,U$22,$J$16,$D125))</f>
        <v>0</v>
      </c>
      <c r="V125" s="116">
        <f ca="1">IF(xflag=1,_xll.DBSW(SAISIE!V125,Server&amp;Cube1,$J$13,$J$14,$J$15,$J$17,V$22,$J$16,$D125),_xll.DBRW(Server&amp;Cube1,$J$13,$J$14,$J$15,$J$17,V$22,$J$16,$D125))</f>
        <v>10.8</v>
      </c>
      <c r="W125" s="116">
        <f ca="1">IF(xflag=1,_xll.DBSW(SAISIE!W125,Server&amp;Cube1,$J$13,$J$14,$J$15,$J$17,W$22,$J$16,$D125),_xll.DBRW(Server&amp;Cube1,$J$13,$J$14,$J$15,$J$17,W$22,$J$16,$D125))</f>
        <v>0</v>
      </c>
      <c r="X125" s="116">
        <f ca="1">IF(xflag=1,_xll.DBSW(SAISIE!X125,Server&amp;Cube1,$J$13,$J$14,$J$15,$J$17,X$22,$J$16,$D125),_xll.DBRW(Server&amp;Cube1,$J$13,$J$14,$J$15,$J$17,X$22,$J$16,$D125))</f>
        <v>0</v>
      </c>
      <c r="Y125" s="116">
        <f ca="1">IF(xflag=1,_xll.DBSW(SAISIE!Y125,Server&amp;Cube1,$J$13,$J$14,$J$15,$J$17,Y$22,$J$16,$D125),_xll.DBRW(Server&amp;Cube1,$J$13,$J$14,$J$15,$J$17,Y$22,$J$16,$D125))</f>
        <v>0</v>
      </c>
      <c r="Z125" s="116">
        <f ca="1">IF(xflag=1,_xll.DBSW(SAISIE!Z125,Server&amp;Cube1,$J$13,$J$14,$J$15,$J$17,Z$22,$J$16,$D125),_xll.DBRW(Server&amp;Cube1,$J$13,$J$14,$J$15,$J$17,Z$22,$J$16,$D125))</f>
        <v>0</v>
      </c>
      <c r="AA125" s="116">
        <f ca="1">IF(xflag=1,_xll.DBSW(SAISIE!AA125,Server&amp;Cube1,$J$13,$J$14,$J$15,$J$17,AA$22,$J$16,$D125),_xll.DBRW(Server&amp;Cube1,$J$13,$J$14,$J$15,$J$17,AA$22,$J$16,$D125))</f>
        <v>0</v>
      </c>
      <c r="AB125" s="116">
        <f ca="1">IF(xflag=1,_xll.DBSW(SAISIE!AB125,Server&amp;Cube1,$J$13,$J$14,$J$15,$J$17,AB$22,$J$16,$D125),_xll.DBRW(Server&amp;Cube1,$J$13,$J$14,$J$15,$J$17,AB$22,$J$16,$D125))</f>
        <v>0</v>
      </c>
      <c r="AC125" s="31"/>
      <c r="AF125" s="56" t="str">
        <f ca="1">IF(xflag=1,_xll.DBSW(#REF!,Server&amp;Cube1,$J$13,$J$14,$J$15,#REF!,AF$2,$J$16,$D125),_xll.DBRW(Server&amp;Cube1,$J$13,$J$14,$J$15,#REF!,AF$2,$J$16,$D125))</f>
        <v>*KEY_ERR</v>
      </c>
    </row>
    <row r="126" spans="1:35" s="19" customFormat="1" ht="17.25" thickTop="1" thickBot="1" x14ac:dyDescent="0.3">
      <c r="A126"/>
      <c r="B126" s="198" t="s">
        <v>165</v>
      </c>
      <c r="C126" s="219" t="s">
        <v>263</v>
      </c>
      <c r="D126" s="226" t="str">
        <f t="shared" si="16"/>
        <v>740100</v>
      </c>
      <c r="E126"/>
      <c r="F126" s="228"/>
      <c r="G126" s="171"/>
      <c r="H126" s="107"/>
      <c r="I126" s="305" t="str">
        <f ca="1">_xll.DBRA(Server&amp;$D$22,$D126,"French")</f>
        <v>Subvention OPCA Transport</v>
      </c>
      <c r="J126" s="305" t="str">
        <f ca="1">_xll.DBRA(Server&amp;$D$22,$D126,"French")</f>
        <v>Subvention OPCA Transport</v>
      </c>
      <c r="K126" s="37"/>
      <c r="L126" s="54">
        <f ca="1">_xll.DBRW(Server&amp;Cube1,$J$13,$L$3,$J$15,$L$1,$L$2,$J$16,$D126)</f>
        <v>0</v>
      </c>
      <c r="M126" s="37"/>
      <c r="N126" s="54">
        <f ca="1">_xll.DBRW(Server&amp;Cube1,$J$13,$N$3,$J$15,$N$1,$N$2,$J$16,$D126)</f>
        <v>0</v>
      </c>
      <c r="O126" s="55"/>
      <c r="P126" s="57"/>
      <c r="Q126" s="109">
        <f ca="1">IF(xflag=1,_xll.DBSW(SAISIE!Q126,Server&amp;Cube1,$J$13,$J$14,$J$15,$J$17,Q$22,$J$16,$D126),_xll.DBRW(Server&amp;Cube1,$J$13,$J$14,$J$15,$J$17,Q$22,$J$16,$D126))</f>
        <v>0</v>
      </c>
      <c r="R126" s="109">
        <f ca="1">IF(xflag=1,_xll.DBSW(SAISIE!R126,Server&amp;Cube1,$J$13,$J$14,$J$15,$J$17,R$22,$J$16,$D126),_xll.DBRW(Server&amp;Cube1,$J$13,$J$14,$J$15,$J$17,R$22,$J$16,$D126))</f>
        <v>0</v>
      </c>
      <c r="S126" s="109">
        <f ca="1">IF(xflag=1,_xll.DBSW(SAISIE!S126,Server&amp;Cube1,$J$13,$J$14,$J$15,$J$17,S$22,$J$16,$D126),_xll.DBRW(Server&amp;Cube1,$J$13,$J$14,$J$15,$J$17,S$22,$J$16,$D126))</f>
        <v>0</v>
      </c>
      <c r="T126" s="109">
        <f ca="1">IF(xflag=1,_xll.DBSW(SAISIE!T126,Server&amp;Cube1,$J$13,$J$14,$J$15,$J$17,T$22,$J$16,$D126),_xll.DBRW(Server&amp;Cube1,$J$13,$J$14,$J$15,$J$17,T$22,$J$16,$D126))</f>
        <v>0</v>
      </c>
      <c r="U126" s="109">
        <f ca="1">IF(xflag=1,_xll.DBSW(SAISIE!U126,Server&amp;Cube1,$J$13,$J$14,$J$15,$J$17,U$22,$J$16,$D126),_xll.DBRW(Server&amp;Cube1,$J$13,$J$14,$J$15,$J$17,U$22,$J$16,$D126))</f>
        <v>0</v>
      </c>
      <c r="V126" s="109">
        <f ca="1">IF(xflag=1,_xll.DBSW(SAISIE!V126,Server&amp;Cube1,$J$13,$J$14,$J$15,$J$17,V$22,$J$16,$D126),_xll.DBRW(Server&amp;Cube1,$J$13,$J$14,$J$15,$J$17,V$22,$J$16,$D126))</f>
        <v>0</v>
      </c>
      <c r="W126" s="109">
        <f ca="1">IF(xflag=1,_xll.DBSW(SAISIE!W126,Server&amp;Cube1,$J$13,$J$14,$J$15,$J$17,W$22,$J$16,$D126),_xll.DBRW(Server&amp;Cube1,$J$13,$J$14,$J$15,$J$17,W$22,$J$16,$D126))</f>
        <v>0</v>
      </c>
      <c r="X126" s="109">
        <f ca="1">IF(xflag=1,_xll.DBSW(SAISIE!X126,Server&amp;Cube1,$J$13,$J$14,$J$15,$J$17,X$22,$J$16,$D126),_xll.DBRW(Server&amp;Cube1,$J$13,$J$14,$J$15,$J$17,X$22,$J$16,$D126))</f>
        <v>0</v>
      </c>
      <c r="Y126" s="109">
        <f ca="1">IF(xflag=1,_xll.DBSW(SAISIE!Y126,Server&amp;Cube1,$J$13,$J$14,$J$15,$J$17,Y$22,$J$16,$D126),_xll.DBRW(Server&amp;Cube1,$J$13,$J$14,$J$15,$J$17,Y$22,$J$16,$D126))</f>
        <v>0</v>
      </c>
      <c r="Z126" s="109">
        <f ca="1">IF(xflag=1,_xll.DBSW(SAISIE!Z126,Server&amp;Cube1,$J$13,$J$14,$J$15,$J$17,Z$22,$J$16,$D126),_xll.DBRW(Server&amp;Cube1,$J$13,$J$14,$J$15,$J$17,Z$22,$J$16,$D126))</f>
        <v>0</v>
      </c>
      <c r="AA126" s="109">
        <f ca="1">IF(xflag=1,_xll.DBSW(SAISIE!AA126,Server&amp;Cube1,$J$13,$J$14,$J$15,$J$17,AA$22,$J$16,$D126),_xll.DBRW(Server&amp;Cube1,$J$13,$J$14,$J$15,$J$17,AA$22,$J$16,$D126))</f>
        <v>0</v>
      </c>
      <c r="AB126" s="109">
        <f ca="1">IF(xflag=1,_xll.DBSW(SAISIE!AB126,Server&amp;Cube1,$J$13,$J$14,$J$15,$J$17,AB$22,$J$16,$D126),_xll.DBRW(Server&amp;Cube1,$J$13,$J$14,$J$15,$J$17,AB$22,$J$16,$D126))</f>
        <v>0</v>
      </c>
      <c r="AC126" s="31"/>
      <c r="AF126" s="56" t="str">
        <f ca="1">IF(xflag=1,_xll.DBSW(#REF!,Server&amp;Cube1,$J$13,$J$14,$J$15,#REF!,AF$2,$J$16,$D126),_xll.DBRW(Server&amp;Cube1,$J$13,$J$14,$J$15,#REF!,AF$2,$J$16,$D126))</f>
        <v>*KEY_ERR</v>
      </c>
    </row>
    <row r="127" spans="1:35" s="19" customFormat="1" ht="17.25" thickTop="1" thickBot="1" x14ac:dyDescent="0.3">
      <c r="A127"/>
      <c r="B127" s="200" t="s">
        <v>140</v>
      </c>
      <c r="C127" s="219" t="s">
        <v>264</v>
      </c>
      <c r="D127" s="226" t="str">
        <f t="shared" si="16"/>
        <v>758000</v>
      </c>
      <c r="E127"/>
      <c r="F127" s="228"/>
      <c r="G127" s="171"/>
      <c r="H127" s="107"/>
      <c r="I127" s="305" t="str">
        <f ca="1">_xll.DBRA(Server&amp;$D$22,$D127,"French")</f>
        <v>Produits divers de gestion courante</v>
      </c>
      <c r="J127" s="305" t="str">
        <f ca="1">_xll.DBRA(Server&amp;$D$22,$D127,"French")</f>
        <v>Produits divers de gestion courante</v>
      </c>
      <c r="K127" s="37"/>
      <c r="L127" s="54">
        <f ca="1">_xll.DBRW(Server&amp;Cube1,$J$13,$L$3,$J$15,$L$1,$L$2,$J$16,$D127)</f>
        <v>0</v>
      </c>
      <c r="M127" s="37"/>
      <c r="N127" s="54">
        <f ca="1">_xll.DBRW(Server&amp;Cube1,$J$13,$N$3,$J$15,$N$1,$N$2,$J$16,$D127)</f>
        <v>0</v>
      </c>
      <c r="O127" s="55"/>
      <c r="P127" s="57"/>
      <c r="Q127" s="109">
        <f ca="1">IF(xflag=1,_xll.DBSW(SAISIE!Q127,Server&amp;Cube1,$J$13,$J$14,$J$15,$J$17,Q$22,$J$16,$D127),_xll.DBRW(Server&amp;Cube1,$J$13,$J$14,$J$15,$J$17,Q$22,$J$16,$D127))</f>
        <v>0</v>
      </c>
      <c r="R127" s="109">
        <f ca="1">IF(xflag=1,_xll.DBSW(SAISIE!R127,Server&amp;Cube1,$J$13,$J$14,$J$15,$J$17,R$22,$J$16,$D127),_xll.DBRW(Server&amp;Cube1,$J$13,$J$14,$J$15,$J$17,R$22,$J$16,$D127))</f>
        <v>0.01</v>
      </c>
      <c r="S127" s="109">
        <f ca="1">IF(xflag=1,_xll.DBSW(SAISIE!S127,Server&amp;Cube1,$J$13,$J$14,$J$15,$J$17,S$22,$J$16,$D127),_xll.DBRW(Server&amp;Cube1,$J$13,$J$14,$J$15,$J$17,S$22,$J$16,$D127))</f>
        <v>125000</v>
      </c>
      <c r="T127" s="109">
        <f ca="1">IF(xflag=1,_xll.DBSW(SAISIE!T127,Server&amp;Cube1,$J$13,$J$14,$J$15,$J$17,T$22,$J$16,$D127),_xll.DBRW(Server&amp;Cube1,$J$13,$J$14,$J$15,$J$17,T$22,$J$16,$D127))</f>
        <v>41666.67000000002</v>
      </c>
      <c r="U127" s="109">
        <f ca="1">IF(xflag=1,_xll.DBSW(SAISIE!U127,Server&amp;Cube1,$J$13,$J$14,$J$15,$J$17,U$22,$J$16,$D127),_xll.DBRW(Server&amp;Cube1,$J$13,$J$14,$J$15,$J$17,U$22,$J$16,$D127))</f>
        <v>-41666.670000000027</v>
      </c>
      <c r="V127" s="109">
        <f ca="1">IF(xflag=1,_xll.DBSW(SAISIE!V127,Server&amp;Cube1,$J$13,$J$14,$J$15,$J$17,V$22,$J$16,$D127),_xll.DBRW(Server&amp;Cube1,$J$13,$J$14,$J$15,$J$17,V$22,$J$16,$D127))</f>
        <v>125000.00000000001</v>
      </c>
      <c r="W127" s="109">
        <f ca="1">IF(xflag=1,_xll.DBSW(SAISIE!W127,Server&amp;Cube1,$J$13,$J$14,$J$15,$J$17,W$22,$J$16,$D127),_xll.DBRW(Server&amp;Cube1,$J$13,$J$14,$J$15,$J$17,W$22,$J$16,$D127))</f>
        <v>0</v>
      </c>
      <c r="X127" s="109">
        <f ca="1">IF(xflag=1,_xll.DBSW(SAISIE!X127,Server&amp;Cube1,$J$13,$J$14,$J$15,$J$17,X$22,$J$16,$D127),_xll.DBRW(Server&amp;Cube1,$J$13,$J$14,$J$15,$J$17,X$22,$J$16,$D127))</f>
        <v>0</v>
      </c>
      <c r="Y127" s="109">
        <f ca="1">IF(xflag=1,_xll.DBSW(SAISIE!Y127,Server&amp;Cube1,$J$13,$J$14,$J$15,$J$17,Y$22,$J$16,$D127),_xll.DBRW(Server&amp;Cube1,$J$13,$J$14,$J$15,$J$17,Y$22,$J$16,$D127))</f>
        <v>0</v>
      </c>
      <c r="Z127" s="109">
        <f ca="1">IF(xflag=1,_xll.DBSW(SAISIE!Z127,Server&amp;Cube1,$J$13,$J$14,$J$15,$J$17,Z$22,$J$16,$D127),_xll.DBRW(Server&amp;Cube1,$J$13,$J$14,$J$15,$J$17,Z$22,$J$16,$D127))</f>
        <v>0</v>
      </c>
      <c r="AA127" s="109">
        <f ca="1">IF(xflag=1,_xll.DBSW(SAISIE!AA127,Server&amp;Cube1,$J$13,$J$14,$J$15,$J$17,AA$22,$J$16,$D127),_xll.DBRW(Server&amp;Cube1,$J$13,$J$14,$J$15,$J$17,AA$22,$J$16,$D127))</f>
        <v>0</v>
      </c>
      <c r="AB127" s="109">
        <f ca="1">IF(xflag=1,_xll.DBSW(SAISIE!AB127,Server&amp;Cube1,$J$13,$J$14,$J$15,$J$17,AB$22,$J$16,$D127),_xll.DBRW(Server&amp;Cube1,$J$13,$J$14,$J$15,$J$17,AB$22,$J$16,$D127))</f>
        <v>0</v>
      </c>
      <c r="AC127" s="31"/>
      <c r="AF127" s="56" t="str">
        <f ca="1">IF(xflag=1,_xll.DBSW(#REF!,Server&amp;Cube1,$J$13,$J$14,$J$15,#REF!,AF$2,$J$16,$D127),_xll.DBRW(Server&amp;Cube1,$J$13,$J$14,$J$15,#REF!,AF$2,$J$16,$D127))</f>
        <v>*KEY_ERR</v>
      </c>
    </row>
    <row r="128" spans="1:35" s="19" customFormat="1" ht="17.25" thickTop="1" thickBot="1" x14ac:dyDescent="0.3">
      <c r="A128"/>
      <c r="B128" s="200" t="s">
        <v>141</v>
      </c>
      <c r="C128" s="219" t="s">
        <v>265</v>
      </c>
      <c r="D128" s="226" t="str">
        <f t="shared" si="16"/>
        <v>758500</v>
      </c>
      <c r="E128"/>
      <c r="F128" s="228"/>
      <c r="G128" s="170"/>
      <c r="H128" s="107"/>
      <c r="I128" s="305" t="str">
        <f ca="1">_xll.DBRA(Server&amp;$D$22,$D128,"French")</f>
        <v>Ports et frais accessoires facturés</v>
      </c>
      <c r="J128" s="305" t="str">
        <f ca="1">_xll.DBRA(Server&amp;$D$22,$D128,"French")</f>
        <v>Ports et frais accessoires facturés</v>
      </c>
      <c r="K128" s="37"/>
      <c r="L128" s="54">
        <f ca="1">_xll.DBRW(Server&amp;Cube1,$J$13,$L$3,$J$15,$L$1,$L$2,$J$16,$D128)</f>
        <v>0</v>
      </c>
      <c r="M128" s="37"/>
      <c r="N128" s="54">
        <f ca="1">_xll.DBRW(Server&amp;Cube1,$J$13,$N$3,$J$15,$N$1,$N$2,$J$16,$D128)</f>
        <v>0</v>
      </c>
      <c r="O128" s="55"/>
      <c r="P128" s="57"/>
      <c r="Q128" s="109">
        <f ca="1">IF(xflag=1,_xll.DBSW(SAISIE!Q128,Server&amp;Cube1,$J$13,$J$14,$J$15,$J$17,Q$22,$J$16,$D128),_xll.DBRW(Server&amp;Cube1,$J$13,$J$14,$J$15,$J$17,Q$22,$J$16,$D128))</f>
        <v>0</v>
      </c>
      <c r="R128" s="109">
        <f ca="1">IF(xflag=1,_xll.DBSW(SAISIE!R128,Server&amp;Cube1,$J$13,$J$14,$J$15,$J$17,R$22,$J$16,$D128),_xll.DBRW(Server&amp;Cube1,$J$13,$J$14,$J$15,$J$17,R$22,$J$16,$D128))</f>
        <v>0</v>
      </c>
      <c r="S128" s="109">
        <f ca="1">IF(xflag=1,_xll.DBSW(SAISIE!S128,Server&amp;Cube1,$J$13,$J$14,$J$15,$J$17,S$22,$J$16,$D128),_xll.DBRW(Server&amp;Cube1,$J$13,$J$14,$J$15,$J$17,S$22,$J$16,$D128))</f>
        <v>0</v>
      </c>
      <c r="T128" s="109">
        <f ca="1">IF(xflag=1,_xll.DBSW(SAISIE!T128,Server&amp;Cube1,$J$13,$J$14,$J$15,$J$17,T$22,$J$16,$D128),_xll.DBRW(Server&amp;Cube1,$J$13,$J$14,$J$15,$J$17,T$22,$J$16,$D128))</f>
        <v>0</v>
      </c>
      <c r="U128" s="109">
        <f ca="1">IF(xflag=1,_xll.DBSW(SAISIE!U128,Server&amp;Cube1,$J$13,$J$14,$J$15,$J$17,U$22,$J$16,$D128),_xll.DBRW(Server&amp;Cube1,$J$13,$J$14,$J$15,$J$17,U$22,$J$16,$D128))</f>
        <v>0</v>
      </c>
      <c r="V128" s="109">
        <f ca="1">IF(xflag=1,_xll.DBSW(SAISIE!V128,Server&amp;Cube1,$J$13,$J$14,$J$15,$J$17,V$22,$J$16,$D128),_xll.DBRW(Server&amp;Cube1,$J$13,$J$14,$J$15,$J$17,V$22,$J$16,$D128))</f>
        <v>0</v>
      </c>
      <c r="W128" s="109">
        <f ca="1">IF(xflag=1,_xll.DBSW(SAISIE!W128,Server&amp;Cube1,$J$13,$J$14,$J$15,$J$17,W$22,$J$16,$D128),_xll.DBRW(Server&amp;Cube1,$J$13,$J$14,$J$15,$J$17,W$22,$J$16,$D128))</f>
        <v>0</v>
      </c>
      <c r="X128" s="109">
        <f ca="1">IF(xflag=1,_xll.DBSW(SAISIE!X128,Server&amp;Cube1,$J$13,$J$14,$J$15,$J$17,X$22,$J$16,$D128),_xll.DBRW(Server&amp;Cube1,$J$13,$J$14,$J$15,$J$17,X$22,$J$16,$D128))</f>
        <v>0</v>
      </c>
      <c r="Y128" s="109">
        <f ca="1">IF(xflag=1,_xll.DBSW(SAISIE!Y128,Server&amp;Cube1,$J$13,$J$14,$J$15,$J$17,Y$22,$J$16,$D128),_xll.DBRW(Server&amp;Cube1,$J$13,$J$14,$J$15,$J$17,Y$22,$J$16,$D128))</f>
        <v>0</v>
      </c>
      <c r="Z128" s="109">
        <f ca="1">IF(xflag=1,_xll.DBSW(SAISIE!Z128,Server&amp;Cube1,$J$13,$J$14,$J$15,$J$17,Z$22,$J$16,$D128),_xll.DBRW(Server&amp;Cube1,$J$13,$J$14,$J$15,$J$17,Z$22,$J$16,$D128))</f>
        <v>0</v>
      </c>
      <c r="AA128" s="109">
        <f ca="1">IF(xflag=1,_xll.DBSW(SAISIE!AA128,Server&amp;Cube1,$J$13,$J$14,$J$15,$J$17,AA$22,$J$16,$D128),_xll.DBRW(Server&amp;Cube1,$J$13,$J$14,$J$15,$J$17,AA$22,$J$16,$D128))</f>
        <v>0</v>
      </c>
      <c r="AB128" s="109">
        <f ca="1">IF(xflag=1,_xll.DBSW(SAISIE!AB128,Server&amp;Cube1,$J$13,$J$14,$J$15,$J$17,AB$22,$J$16,$D128),_xll.DBRW(Server&amp;Cube1,$J$13,$J$14,$J$15,$J$17,AB$22,$J$16,$D128))</f>
        <v>0</v>
      </c>
      <c r="AC128" s="31"/>
      <c r="AF128" s="56" t="str">
        <f ca="1">IF(xflag=1,_xll.DBSW(#REF!,Server&amp;Cube1,$J$13,$J$14,$J$15,#REF!,AF$2,$J$16,$D128),_xll.DBRW(Server&amp;Cube1,$J$13,$J$14,$J$15,#REF!,AF$2,$J$16,$D128))</f>
        <v>*KEY_ERR</v>
      </c>
      <c r="AI128" s="19">
        <v>12</v>
      </c>
    </row>
    <row r="129" spans="1:35" s="19" customFormat="1" ht="17.25" thickTop="1" thickBot="1" x14ac:dyDescent="0.3">
      <c r="A129"/>
      <c r="B129" s="200" t="s">
        <v>142</v>
      </c>
      <c r="C129" s="219" t="s">
        <v>266</v>
      </c>
      <c r="D129" s="226" t="str">
        <f t="shared" si="16"/>
        <v>758810</v>
      </c>
      <c r="E129"/>
      <c r="F129" s="228"/>
      <c r="G129" s="170"/>
      <c r="H129" s="107"/>
      <c r="I129" s="305" t="str">
        <f ca="1">_xll.DBRA(Server&amp;$D$22,$D129,"French")</f>
        <v>Remise forfaitaire annuelle</v>
      </c>
      <c r="J129" s="305" t="str">
        <f ca="1">_xll.DBRA(Server&amp;$D$22,$D129,"French")</f>
        <v>Remise forfaitaire annuelle</v>
      </c>
      <c r="K129" s="37"/>
      <c r="L129" s="54">
        <f ca="1">_xll.DBRW(Server&amp;Cube1,$J$13,$L$3,$J$15,$L$1,$L$2,$J$16,$D129)</f>
        <v>0</v>
      </c>
      <c r="M129" s="37"/>
      <c r="N129" s="54">
        <f ca="1">_xll.DBRW(Server&amp;Cube1,$J$13,$N$3,$J$15,$N$1,$N$2,$J$16,$D129)</f>
        <v>0</v>
      </c>
      <c r="O129" s="55"/>
      <c r="P129" s="57"/>
      <c r="Q129" s="109">
        <f ca="1">IF(xflag=1,_xll.DBSW(SAISIE!Q129,Server&amp;Cube1,$J$13,$J$14,$J$15,$J$17,Q$22,$J$16,$D129),_xll.DBRW(Server&amp;Cube1,$J$13,$J$14,$J$15,$J$17,Q$22,$J$16,$D129))</f>
        <v>0</v>
      </c>
      <c r="R129" s="109">
        <f ca="1">IF(xflag=1,_xll.DBSW(SAISIE!R129,Server&amp;Cube1,$J$13,$J$14,$J$15,$J$17,R$22,$J$16,$D129),_xll.DBRW(Server&amp;Cube1,$J$13,$J$14,$J$15,$J$17,R$22,$J$16,$D129))</f>
        <v>1530</v>
      </c>
      <c r="S129" s="109">
        <f ca="1">IF(xflag=1,_xll.DBSW(SAISIE!S129,Server&amp;Cube1,$J$13,$J$14,$J$15,$J$17,S$22,$J$16,$D129),_xll.DBRW(Server&amp;Cube1,$J$13,$J$14,$J$15,$J$17,S$22,$J$16,$D129))</f>
        <v>12769.939999999999</v>
      </c>
      <c r="T129" s="109">
        <f ca="1">IF(xflag=1,_xll.DBSW(SAISIE!T129,Server&amp;Cube1,$J$13,$J$14,$J$15,$J$17,T$22,$J$16,$D129),_xll.DBRW(Server&amp;Cube1,$J$13,$J$14,$J$15,$J$17,T$22,$J$16,$D129))</f>
        <v>4256.6500000000015</v>
      </c>
      <c r="U129" s="109">
        <f ca="1">IF(xflag=1,_xll.DBSW(SAISIE!U129,Server&amp;Cube1,$J$13,$J$14,$J$15,$J$17,U$22,$J$16,$D129),_xll.DBRW(Server&amp;Cube1,$J$13,$J$14,$J$15,$J$17,U$22,$J$16,$D129))</f>
        <v>-17026.59</v>
      </c>
      <c r="V129" s="109">
        <f ca="1">IF(xflag=1,_xll.DBSW(SAISIE!V129,Server&amp;Cube1,$J$13,$J$14,$J$15,$J$17,V$22,$J$16,$D129),_xll.DBRW(Server&amp;Cube1,$J$13,$J$14,$J$15,$J$17,V$22,$J$16,$D129))</f>
        <v>25539.88</v>
      </c>
      <c r="W129" s="109">
        <f ca="1">IF(xflag=1,_xll.DBSW(SAISIE!W129,Server&amp;Cube1,$J$13,$J$14,$J$15,$J$17,W$22,$J$16,$D129),_xll.DBRW(Server&amp;Cube1,$J$13,$J$14,$J$15,$J$17,W$22,$J$16,$D129))</f>
        <v>0</v>
      </c>
      <c r="X129" s="109">
        <f ca="1">IF(xflag=1,_xll.DBSW(SAISIE!X129,Server&amp;Cube1,$J$13,$J$14,$J$15,$J$17,X$22,$J$16,$D129),_xll.DBRW(Server&amp;Cube1,$J$13,$J$14,$J$15,$J$17,X$22,$J$16,$D129))</f>
        <v>0</v>
      </c>
      <c r="Y129" s="109">
        <f ca="1">IF(xflag=1,_xll.DBSW(SAISIE!Y129,Server&amp;Cube1,$J$13,$J$14,$J$15,$J$17,Y$22,$J$16,$D129),_xll.DBRW(Server&amp;Cube1,$J$13,$J$14,$J$15,$J$17,Y$22,$J$16,$D129))</f>
        <v>0</v>
      </c>
      <c r="Z129" s="109">
        <f ca="1">IF(xflag=1,_xll.DBSW(SAISIE!Z129,Server&amp;Cube1,$J$13,$J$14,$J$15,$J$17,Z$22,$J$16,$D129),_xll.DBRW(Server&amp;Cube1,$J$13,$J$14,$J$15,$J$17,Z$22,$J$16,$D129))</f>
        <v>0</v>
      </c>
      <c r="AA129" s="109">
        <f ca="1">IF(xflag=1,_xll.DBSW(SAISIE!AA129,Server&amp;Cube1,$J$13,$J$14,$J$15,$J$17,AA$22,$J$16,$D129),_xll.DBRW(Server&amp;Cube1,$J$13,$J$14,$J$15,$J$17,AA$22,$J$16,$D129))</f>
        <v>0</v>
      </c>
      <c r="AB129" s="109">
        <f ca="1">IF(xflag=1,_xll.DBSW(SAISIE!AB129,Server&amp;Cube1,$J$13,$J$14,$J$15,$J$17,AB$22,$J$16,$D129),_xll.DBRW(Server&amp;Cube1,$J$13,$J$14,$J$15,$J$17,AB$22,$J$16,$D129))</f>
        <v>0</v>
      </c>
      <c r="AC129" s="31"/>
      <c r="AF129" s="56" t="str">
        <f ca="1">IF(xflag=1,_xll.DBSW(#REF!,Server&amp;Cube1,$J$13,$J$14,$J$15,#REF!,AF$2,$J$16,$D129),_xll.DBRW(Server&amp;Cube1,$J$13,$J$14,$J$15,#REF!,AF$2,$J$16,$D129))</f>
        <v>*KEY_ERR</v>
      </c>
    </row>
    <row r="130" spans="1:35" s="19" customFormat="1" ht="17.25" thickTop="1" thickBot="1" x14ac:dyDescent="0.3">
      <c r="A130"/>
      <c r="B130" s="200" t="s">
        <v>168</v>
      </c>
      <c r="C130" s="219" t="s">
        <v>267</v>
      </c>
      <c r="D130" s="226" t="str">
        <f t="shared" si="16"/>
        <v>758870</v>
      </c>
      <c r="E130"/>
      <c r="F130" s="228"/>
      <c r="G130" s="170"/>
      <c r="H130" s="107"/>
      <c r="I130" s="305" t="str">
        <f ca="1">_xll.DBRA(Server&amp;$D$22,$D130,"French")</f>
        <v>Refacturation Personnel MAD</v>
      </c>
      <c r="J130" s="305" t="str">
        <f ca="1">_xll.DBRA(Server&amp;$D$22,$D130,"French")</f>
        <v>Refacturation Personnel MAD</v>
      </c>
      <c r="K130" s="37"/>
      <c r="L130" s="54">
        <f ca="1">_xll.DBRW(Server&amp;Cube1,$J$13,$L$3,$J$15,$L$1,$L$2,$J$16,$D130)</f>
        <v>0</v>
      </c>
      <c r="M130" s="37"/>
      <c r="N130" s="54">
        <f ca="1">_xll.DBRW(Server&amp;Cube1,$J$13,$N$3,$J$15,$N$1,$N$2,$J$16,$D130)</f>
        <v>0</v>
      </c>
      <c r="O130" s="55"/>
      <c r="P130" s="57"/>
      <c r="Q130" s="109">
        <f ca="1">IF(xflag=1,_xll.DBSW(SAISIE!Q130,Server&amp;Cube1,$J$13,$J$14,$J$15,$J$17,Q$22,$J$16,$D130),_xll.DBRW(Server&amp;Cube1,$J$13,$J$14,$J$15,$J$17,Q$22,$J$16,$D130))</f>
        <v>0</v>
      </c>
      <c r="R130" s="109">
        <f ca="1">IF(xflag=1,_xll.DBSW(SAISIE!R130,Server&amp;Cube1,$J$13,$J$14,$J$15,$J$17,R$22,$J$16,$D130),_xll.DBRW(Server&amp;Cube1,$J$13,$J$14,$J$15,$J$17,R$22,$J$16,$D130))</f>
        <v>0</v>
      </c>
      <c r="S130" s="109">
        <f ca="1">IF(xflag=1,_xll.DBSW(SAISIE!S130,Server&amp;Cube1,$J$13,$J$14,$J$15,$J$17,S$22,$J$16,$D130),_xll.DBRW(Server&amp;Cube1,$J$13,$J$14,$J$15,$J$17,S$22,$J$16,$D130))</f>
        <v>0</v>
      </c>
      <c r="T130" s="109">
        <f ca="1">IF(xflag=1,_xll.DBSW(SAISIE!T130,Server&amp;Cube1,$J$13,$J$14,$J$15,$J$17,T$22,$J$16,$D130),_xll.DBRW(Server&amp;Cube1,$J$13,$J$14,$J$15,$J$17,T$22,$J$16,$D130))</f>
        <v>0</v>
      </c>
      <c r="U130" s="109">
        <f ca="1">IF(xflag=1,_xll.DBSW(SAISIE!U130,Server&amp;Cube1,$J$13,$J$14,$J$15,$J$17,U$22,$J$16,$D130),_xll.DBRW(Server&amp;Cube1,$J$13,$J$14,$J$15,$J$17,U$22,$J$16,$D130))</f>
        <v>0</v>
      </c>
      <c r="V130" s="109">
        <f ca="1">IF(xflag=1,_xll.DBSW(SAISIE!V130,Server&amp;Cube1,$J$13,$J$14,$J$15,$J$17,V$22,$J$16,$D130),_xll.DBRW(Server&amp;Cube1,$J$13,$J$14,$J$15,$J$17,V$22,$J$16,$D130))</f>
        <v>1608</v>
      </c>
      <c r="W130" s="109">
        <f ca="1">IF(xflag=1,_xll.DBSW(SAISIE!W130,Server&amp;Cube1,$J$13,$J$14,$J$15,$J$17,W$22,$J$16,$D130),_xll.DBRW(Server&amp;Cube1,$J$13,$J$14,$J$15,$J$17,W$22,$J$16,$D130))</f>
        <v>0</v>
      </c>
      <c r="X130" s="109">
        <f ca="1">IF(xflag=1,_xll.DBSW(SAISIE!X130,Server&amp;Cube1,$J$13,$J$14,$J$15,$J$17,X$22,$J$16,$D130),_xll.DBRW(Server&amp;Cube1,$J$13,$J$14,$J$15,$J$17,X$22,$J$16,$D130))</f>
        <v>0</v>
      </c>
      <c r="Y130" s="109">
        <f ca="1">IF(xflag=1,_xll.DBSW(SAISIE!Y130,Server&amp;Cube1,$J$13,$J$14,$J$15,$J$17,Y$22,$J$16,$D130),_xll.DBRW(Server&amp;Cube1,$J$13,$J$14,$J$15,$J$17,Y$22,$J$16,$D130))</f>
        <v>0</v>
      </c>
      <c r="Z130" s="109">
        <f ca="1">IF(xflag=1,_xll.DBSW(SAISIE!Z130,Server&amp;Cube1,$J$13,$J$14,$J$15,$J$17,Z$22,$J$16,$D130),_xll.DBRW(Server&amp;Cube1,$J$13,$J$14,$J$15,$J$17,Z$22,$J$16,$D130))</f>
        <v>0</v>
      </c>
      <c r="AA130" s="109">
        <f ca="1">IF(xflag=1,_xll.DBSW(SAISIE!AA130,Server&amp;Cube1,$J$13,$J$14,$J$15,$J$17,AA$22,$J$16,$D130),_xll.DBRW(Server&amp;Cube1,$J$13,$J$14,$J$15,$J$17,AA$22,$J$16,$D130))</f>
        <v>0</v>
      </c>
      <c r="AB130" s="109">
        <f ca="1">IF(xflag=1,_xll.DBSW(SAISIE!AB130,Server&amp;Cube1,$J$13,$J$14,$J$15,$J$17,AB$22,$J$16,$D130),_xll.DBRW(Server&amp;Cube1,$J$13,$J$14,$J$15,$J$17,AB$22,$J$16,$D130))</f>
        <v>0</v>
      </c>
      <c r="AC130" s="31"/>
      <c r="AF130" s="56" t="str">
        <f ca="1">IF(xflag=1,_xll.DBSW(#REF!,Server&amp;Cube1,$J$13,$J$14,$J$15,#REF!,AF$2,$J$16,$D130),_xll.DBRW(Server&amp;Cube1,$J$13,$J$14,$J$15,#REF!,AF$2,$J$16,$D130))</f>
        <v>*KEY_ERR</v>
      </c>
    </row>
    <row r="131" spans="1:35" s="19" customFormat="1" ht="16.5" thickTop="1" x14ac:dyDescent="0.25">
      <c r="A131"/>
      <c r="B131" s="200" t="s">
        <v>129</v>
      </c>
      <c r="C131" s="219" t="s">
        <v>268</v>
      </c>
      <c r="D131" s="226" t="str">
        <f t="shared" si="16"/>
        <v>781740</v>
      </c>
      <c r="E131"/>
      <c r="F131" s="228"/>
      <c r="G131" s="170"/>
      <c r="H131" s="107"/>
      <c r="I131" s="305" t="str">
        <f ca="1">_xll.DBRA(Server&amp;$D$22,$D131,"French")</f>
        <v>Reprise sur provision d'exploitation (Douteux)</v>
      </c>
      <c r="J131" s="305" t="str">
        <f ca="1">_xll.DBRA(Server&amp;$D$22,$D131,"French")</f>
        <v>Reprise sur provision d'exploitation (Douteux)</v>
      </c>
      <c r="K131" s="37"/>
      <c r="L131" s="54">
        <f ca="1">_xll.DBRW(Server&amp;Cube1,$J$13,$L$3,$J$15,$L$1,$L$2,$J$16,$D131)</f>
        <v>0</v>
      </c>
      <c r="M131" s="37"/>
      <c r="N131" s="54">
        <f ca="1">_xll.DBRW(Server&amp;Cube1,$J$13,$N$3,$J$15,$N$1,$N$2,$J$16,$D131)</f>
        <v>0</v>
      </c>
      <c r="O131" s="55"/>
      <c r="P131" s="57"/>
      <c r="Q131" s="111">
        <f ca="1">IF(xflag=1,_xll.DBSW(SAISIE!Q131,Server&amp;Cube1,$J$13,$J$14,$J$15,$J$17,Q$22,$J$16,$D131),_xll.DBRW(Server&amp;Cube1,$J$13,$J$14,$J$15,$J$17,Q$22,$J$16,$D131))</f>
        <v>0</v>
      </c>
      <c r="R131" s="111">
        <f ca="1">IF(xflag=1,_xll.DBSW(SAISIE!R131,Server&amp;Cube1,$J$13,$J$14,$J$15,$J$17,R$22,$J$16,$D131),_xll.DBRW(Server&amp;Cube1,$J$13,$J$14,$J$15,$J$17,R$22,$J$16,$D131))</f>
        <v>0</v>
      </c>
      <c r="S131" s="111">
        <f ca="1">IF(xflag=1,_xll.DBSW(SAISIE!S131,Server&amp;Cube1,$J$13,$J$14,$J$15,$J$17,S$22,$J$16,$D131),_xll.DBRW(Server&amp;Cube1,$J$13,$J$14,$J$15,$J$17,S$22,$J$16,$D131))</f>
        <v>0</v>
      </c>
      <c r="T131" s="111">
        <f ca="1">IF(xflag=1,_xll.DBSW(SAISIE!T131,Server&amp;Cube1,$J$13,$J$14,$J$15,$J$17,T$22,$J$16,$D131),_xll.DBRW(Server&amp;Cube1,$J$13,$J$14,$J$15,$J$17,T$22,$J$16,$D131))</f>
        <v>0</v>
      </c>
      <c r="U131" s="111">
        <f ca="1">IF(xflag=1,_xll.DBSW(SAISIE!U131,Server&amp;Cube1,$J$13,$J$14,$J$15,$J$17,U$22,$J$16,$D131),_xll.DBRW(Server&amp;Cube1,$J$13,$J$14,$J$15,$J$17,U$22,$J$16,$D131))</f>
        <v>0</v>
      </c>
      <c r="V131" s="111">
        <f ca="1">IF(xflag=1,_xll.DBSW(SAISIE!V131,Server&amp;Cube1,$J$13,$J$14,$J$15,$J$17,V$22,$J$16,$D131),_xll.DBRW(Server&amp;Cube1,$J$13,$J$14,$J$15,$J$17,V$22,$J$16,$D131))</f>
        <v>0</v>
      </c>
      <c r="W131" s="111">
        <f ca="1">IF(xflag=1,_xll.DBSW(SAISIE!W131,Server&amp;Cube1,$J$13,$J$14,$J$15,$J$17,W$22,$J$16,$D131),_xll.DBRW(Server&amp;Cube1,$J$13,$J$14,$J$15,$J$17,W$22,$J$16,$D131))</f>
        <v>0</v>
      </c>
      <c r="X131" s="111">
        <f ca="1">IF(xflag=1,_xll.DBSW(SAISIE!X131,Server&amp;Cube1,$J$13,$J$14,$J$15,$J$17,X$22,$J$16,$D131),_xll.DBRW(Server&amp;Cube1,$J$13,$J$14,$J$15,$J$17,X$22,$J$16,$D131))</f>
        <v>0</v>
      </c>
      <c r="Y131" s="111">
        <f ca="1">IF(xflag=1,_xll.DBSW(SAISIE!Y131,Server&amp;Cube1,$J$13,$J$14,$J$15,$J$17,Y$22,$J$16,$D131),_xll.DBRW(Server&amp;Cube1,$J$13,$J$14,$J$15,$J$17,Y$22,$J$16,$D131))</f>
        <v>0</v>
      </c>
      <c r="Z131" s="111">
        <f ca="1">IF(xflag=1,_xll.DBSW(SAISIE!Z131,Server&amp;Cube1,$J$13,$J$14,$J$15,$J$17,Z$22,$J$16,$D131),_xll.DBRW(Server&amp;Cube1,$J$13,$J$14,$J$15,$J$17,Z$22,$J$16,$D131))</f>
        <v>0</v>
      </c>
      <c r="AA131" s="111">
        <f ca="1">IF(xflag=1,_xll.DBSW(SAISIE!AA131,Server&amp;Cube1,$J$13,$J$14,$J$15,$J$17,AA$22,$J$16,$D131),_xll.DBRW(Server&amp;Cube1,$J$13,$J$14,$J$15,$J$17,AA$22,$J$16,$D131))</f>
        <v>0</v>
      </c>
      <c r="AB131" s="111">
        <f ca="1">IF(xflag=1,_xll.DBSW(SAISIE!AB131,Server&amp;Cube1,$J$13,$J$14,$J$15,$J$17,AB$22,$J$16,$D131),_xll.DBRW(Server&amp;Cube1,$J$13,$J$14,$J$15,$J$17,AB$22,$J$16,$D131))</f>
        <v>0</v>
      </c>
      <c r="AC131" s="31"/>
      <c r="AF131" s="56" t="str">
        <f ca="1">IF(xflag=1,_xll.DBSW(#REF!,Server&amp;Cube1,$J$13,$J$14,$J$15,#REF!,AF$2,$J$16,$D131),_xll.DBRW(Server&amp;Cube1,$J$13,$J$14,$J$15,#REF!,AF$2,$J$16,$D131))</f>
        <v>*KEY_ERR</v>
      </c>
    </row>
    <row r="132" spans="1:35" s="228" customFormat="1" ht="28.5" x14ac:dyDescent="0.25">
      <c r="B132" s="272"/>
      <c r="C132" s="208"/>
      <c r="D132" s="230"/>
      <c r="E132"/>
      <c r="G132" s="233"/>
      <c r="H132" s="271"/>
      <c r="AC132" s="231"/>
    </row>
    <row r="133" spans="1:35" s="19" customFormat="1" ht="15.75" x14ac:dyDescent="0.25">
      <c r="A133"/>
      <c r="B133" s="203" t="s">
        <v>143</v>
      </c>
      <c r="C133" s="221"/>
      <c r="D133" s="226" t="str">
        <f t="shared" si="16"/>
        <v>Produit_structure</v>
      </c>
      <c r="E133"/>
      <c r="F133" s="228"/>
      <c r="G133" s="170"/>
      <c r="H133" s="107"/>
      <c r="I133" s="317" t="str">
        <f ca="1">_xll.DBRA(Server&amp;$D$22,$D133,"French")</f>
        <v>Produits de structure</v>
      </c>
      <c r="J133" s="317" t="str">
        <f ca="1">_xll.DBRA(Server&amp;$D$22,$D133,"French")</f>
        <v>Produits de structure</v>
      </c>
      <c r="K133" s="39"/>
      <c r="L133" s="67">
        <f ca="1">SUM(L125:L131)</f>
        <v>0</v>
      </c>
      <c r="M133" s="39"/>
      <c r="N133" s="67">
        <f ca="1">SUM(N125:N131)</f>
        <v>0</v>
      </c>
      <c r="O133" s="68"/>
      <c r="P133" s="69"/>
      <c r="Q133" s="269">
        <f t="shared" ref="Q133:AB133" ca="1" si="19">SUM(Q125:Q131)</f>
        <v>0</v>
      </c>
      <c r="R133" s="269">
        <f t="shared" ca="1" si="19"/>
        <v>1530.01</v>
      </c>
      <c r="S133" s="269">
        <f t="shared" ca="1" si="19"/>
        <v>137769.94</v>
      </c>
      <c r="T133" s="269">
        <f t="shared" ca="1" si="19"/>
        <v>45923.320000000022</v>
      </c>
      <c r="U133" s="269">
        <f t="shared" ca="1" si="19"/>
        <v>-58693.260000000024</v>
      </c>
      <c r="V133" s="269">
        <f t="shared" ca="1" si="19"/>
        <v>152158.68000000002</v>
      </c>
      <c r="W133" s="269">
        <f t="shared" ca="1" si="19"/>
        <v>0</v>
      </c>
      <c r="X133" s="269">
        <f t="shared" ca="1" si="19"/>
        <v>0</v>
      </c>
      <c r="Y133" s="269">
        <f t="shared" ca="1" si="19"/>
        <v>0</v>
      </c>
      <c r="Z133" s="269">
        <f t="shared" ca="1" si="19"/>
        <v>0</v>
      </c>
      <c r="AA133" s="269">
        <f ca="1">SUM(AA125:AA131)</f>
        <v>0</v>
      </c>
      <c r="AB133" s="269">
        <f t="shared" ca="1" si="19"/>
        <v>0</v>
      </c>
      <c r="AC133" s="31"/>
    </row>
    <row r="134" spans="1:35" s="228" customFormat="1" x14ac:dyDescent="0.25">
      <c r="B134" s="229"/>
      <c r="C134" s="209"/>
      <c r="D134" s="230"/>
      <c r="E134"/>
      <c r="G134" s="240"/>
      <c r="H134" s="271"/>
      <c r="AC134" s="231"/>
    </row>
    <row r="135" spans="1:35" s="228" customFormat="1" x14ac:dyDescent="0.25">
      <c r="B135" s="229"/>
      <c r="C135" s="232"/>
      <c r="D135" s="230"/>
      <c r="E135"/>
      <c r="G135" s="285"/>
      <c r="H135" s="271"/>
      <c r="AC135" s="231"/>
    </row>
    <row r="136" spans="1:35" s="19" customFormat="1" ht="15.75" x14ac:dyDescent="0.25">
      <c r="A136"/>
      <c r="B136" s="200" t="s">
        <v>19</v>
      </c>
      <c r="C136" s="222" t="s">
        <v>269</v>
      </c>
      <c r="D136" s="226" t="str">
        <f t="shared" si="16"/>
        <v>Resultat_exploitation</v>
      </c>
      <c r="E136"/>
      <c r="F136" s="228"/>
      <c r="G136" s="170"/>
      <c r="H136" s="107"/>
      <c r="I136" s="311" t="str">
        <f ca="1">_xll.DBRA(Server&amp;$D$22,$D136,"French")</f>
        <v>RESULTAT d'exploitation</v>
      </c>
      <c r="J136" s="311" t="str">
        <f ca="1">_xll.DBRA(Server&amp;$D$22,$D136,"French")</f>
        <v>RESULTAT d'exploitation</v>
      </c>
      <c r="K136" s="254"/>
      <c r="L136" s="255">
        <f ca="1">L133+L123+L67</f>
        <v>1275011.8600000001</v>
      </c>
      <c r="M136" s="254"/>
      <c r="N136" s="255">
        <f ca="1">N133+N123+N67</f>
        <v>1368890.3300000008</v>
      </c>
      <c r="O136" s="256"/>
      <c r="P136" s="257"/>
      <c r="Q136" s="255">
        <f t="shared" ref="Q136:V136" ca="1" si="20">Q133+Q123+Q67</f>
        <v>0</v>
      </c>
      <c r="R136" s="255">
        <f t="shared" ca="1" si="20"/>
        <v>452193.12999999989</v>
      </c>
      <c r="S136" s="255">
        <f t="shared" ca="1" si="20"/>
        <v>-439010.12000000034</v>
      </c>
      <c r="T136" s="255">
        <f t="shared" ca="1" si="20"/>
        <v>-155434.90000000002</v>
      </c>
      <c r="U136" s="255">
        <f t="shared" ca="1" si="20"/>
        <v>238848.36999999994</v>
      </c>
      <c r="V136" s="255">
        <f t="shared" ca="1" si="20"/>
        <v>-450125.02999999991</v>
      </c>
      <c r="W136" s="255">
        <f t="shared" ref="W136:AB136" ca="1" si="21">W133+W123+W67</f>
        <v>0</v>
      </c>
      <c r="X136" s="255">
        <f t="shared" ca="1" si="21"/>
        <v>0</v>
      </c>
      <c r="Y136" s="255">
        <f t="shared" ca="1" si="21"/>
        <v>0</v>
      </c>
      <c r="Z136" s="255">
        <f t="shared" ca="1" si="21"/>
        <v>0</v>
      </c>
      <c r="AA136" s="255">
        <f t="shared" ca="1" si="21"/>
        <v>0</v>
      </c>
      <c r="AB136" s="255">
        <f t="shared" ca="1" si="21"/>
        <v>0</v>
      </c>
      <c r="AC136" s="258"/>
    </row>
    <row r="137" spans="1:35" s="19" customFormat="1" ht="15.75" customHeight="1" x14ac:dyDescent="0.25">
      <c r="A137"/>
      <c r="B137" s="205" t="s">
        <v>127</v>
      </c>
      <c r="C137" s="211"/>
      <c r="D137" s="226" t="str">
        <f t="shared" si="16"/>
        <v>Calc excel</v>
      </c>
      <c r="E137"/>
      <c r="F137" s="228"/>
      <c r="G137" s="171"/>
      <c r="H137" s="107"/>
      <c r="I137" s="318" t="s">
        <v>77</v>
      </c>
      <c r="J137" s="318"/>
      <c r="K137" s="228"/>
      <c r="L137" s="287">
        <f ca="1">IF(ISERROR(L136/L42),"-",L136/L42)</f>
        <v>0.48616390955637184</v>
      </c>
      <c r="M137" s="228"/>
      <c r="N137" s="287">
        <f ca="1">IF(ISERROR(N136/N42),"-",N136/N42)</f>
        <v>0.53491175527079382</v>
      </c>
      <c r="O137" s="228"/>
      <c r="P137" s="228"/>
      <c r="Q137" s="287" t="str">
        <f t="shared" ref="Q137:AB137" ca="1" si="22">IF(ISERROR(Q136/Q42),"-",Q136/Q42)</f>
        <v>-</v>
      </c>
      <c r="R137" s="287">
        <f t="shared" ca="1" si="22"/>
        <v>-4.3638470144396102</v>
      </c>
      <c r="S137" s="287">
        <f t="shared" ca="1" si="22"/>
        <v>-0.32794114161418841</v>
      </c>
      <c r="T137" s="287">
        <f t="shared" ca="1" si="22"/>
        <v>-4.9883182743909051</v>
      </c>
      <c r="U137" s="287">
        <f t="shared" ca="1" si="22"/>
        <v>-0.31744247669818754</v>
      </c>
      <c r="V137" s="287">
        <f t="shared" ca="1" si="22"/>
        <v>-0.39934381904039784</v>
      </c>
      <c r="W137" s="287" t="str">
        <f t="shared" ca="1" si="22"/>
        <v>-</v>
      </c>
      <c r="X137" s="287" t="str">
        <f t="shared" ca="1" si="22"/>
        <v>-</v>
      </c>
      <c r="Y137" s="287" t="str">
        <f t="shared" ca="1" si="22"/>
        <v>-</v>
      </c>
      <c r="Z137" s="287" t="str">
        <f t="shared" ca="1" si="22"/>
        <v>-</v>
      </c>
      <c r="AA137" s="287" t="str">
        <f t="shared" ca="1" si="22"/>
        <v>-</v>
      </c>
      <c r="AB137" s="287" t="str">
        <f t="shared" ca="1" si="22"/>
        <v>-</v>
      </c>
      <c r="AC137" s="31"/>
    </row>
    <row r="138" spans="1:35" s="19" customFormat="1" ht="8.25" customHeight="1" x14ac:dyDescent="0.25">
      <c r="A138"/>
      <c r="B138" s="202"/>
      <c r="C138" s="212"/>
      <c r="D138" s="226"/>
      <c r="E138"/>
      <c r="F138" s="228"/>
      <c r="G138" s="171"/>
      <c r="H138" s="107"/>
      <c r="I138" s="228"/>
      <c r="J138" s="228"/>
      <c r="K138" s="228"/>
      <c r="L138" s="228"/>
      <c r="M138" s="228"/>
      <c r="N138" s="228"/>
      <c r="O138" s="228"/>
      <c r="P138" s="228"/>
      <c r="Q138" s="228"/>
      <c r="R138" s="228"/>
      <c r="S138" s="228"/>
      <c r="T138" s="228"/>
      <c r="U138" s="228"/>
      <c r="V138" s="228"/>
      <c r="W138" s="228"/>
      <c r="X138" s="228"/>
      <c r="Y138" s="228"/>
      <c r="Z138" s="228"/>
      <c r="AA138" s="228"/>
      <c r="AB138" s="228"/>
      <c r="AC138" s="31"/>
    </row>
    <row r="139" spans="1:35" s="19" customFormat="1" ht="15.75" thickBot="1" x14ac:dyDescent="0.3">
      <c r="A139"/>
      <c r="B139" s="202"/>
      <c r="C139" s="215"/>
      <c r="D139" s="226"/>
      <c r="E139"/>
      <c r="F139" s="228"/>
      <c r="G139" s="171"/>
      <c r="H139" s="107"/>
      <c r="I139" s="228"/>
      <c r="J139" s="228"/>
      <c r="K139" s="228"/>
      <c r="L139" s="228"/>
      <c r="M139" s="228"/>
      <c r="N139" s="228"/>
      <c r="O139" s="228"/>
      <c r="P139" s="228"/>
      <c r="Q139" s="228"/>
      <c r="R139" s="228"/>
      <c r="S139" s="228"/>
      <c r="T139" s="228"/>
      <c r="U139" s="228"/>
      <c r="V139" s="228"/>
      <c r="W139" s="228"/>
      <c r="X139" s="228"/>
      <c r="Y139" s="228"/>
      <c r="Z139" s="228"/>
      <c r="AA139" s="228"/>
      <c r="AB139" s="228"/>
      <c r="AC139" s="31"/>
    </row>
    <row r="140" spans="1:35" s="19" customFormat="1" ht="16.5" thickTop="1" x14ac:dyDescent="0.25">
      <c r="B140" s="200" t="s">
        <v>128</v>
      </c>
      <c r="C140" s="219" t="s">
        <v>270</v>
      </c>
      <c r="D140" s="226" t="str">
        <f t="shared" si="16"/>
        <v>Produits_financiers</v>
      </c>
      <c r="E140"/>
      <c r="F140" s="228"/>
      <c r="G140" s="171"/>
      <c r="H140" s="107"/>
      <c r="I140" s="315" t="str">
        <f ca="1">_xll.DBRA(Server&amp;$D$22,$D140,"French")</f>
        <v>Produits financiers</v>
      </c>
      <c r="J140" s="315" t="str">
        <f ca="1">_xll.DBRA(Server&amp;$D$22,$D140,"French")</f>
        <v>Produits financiers</v>
      </c>
      <c r="K140" s="39"/>
      <c r="L140" s="67">
        <f ca="1">+L141</f>
        <v>0</v>
      </c>
      <c r="M140" s="228"/>
      <c r="N140" s="67">
        <f ca="1">+N141</f>
        <v>0</v>
      </c>
      <c r="O140" s="228"/>
      <c r="P140" s="228"/>
      <c r="Q140" s="288">
        <f t="shared" ref="Q140:AB140" ca="1" si="23">+Q141</f>
        <v>0</v>
      </c>
      <c r="R140" s="288">
        <f t="shared" ca="1" si="23"/>
        <v>0</v>
      </c>
      <c r="S140" s="288">
        <f t="shared" ca="1" si="23"/>
        <v>0</v>
      </c>
      <c r="T140" s="288">
        <f t="shared" ca="1" si="23"/>
        <v>0</v>
      </c>
      <c r="U140" s="288">
        <f t="shared" ca="1" si="23"/>
        <v>0</v>
      </c>
      <c r="V140" s="288">
        <f t="shared" ca="1" si="23"/>
        <v>0</v>
      </c>
      <c r="W140" s="288">
        <f t="shared" ca="1" si="23"/>
        <v>0</v>
      </c>
      <c r="X140" s="288">
        <f t="shared" ca="1" si="23"/>
        <v>0</v>
      </c>
      <c r="Y140" s="288">
        <f t="shared" ca="1" si="23"/>
        <v>0</v>
      </c>
      <c r="Z140" s="288">
        <f t="shared" ca="1" si="23"/>
        <v>0</v>
      </c>
      <c r="AA140" s="288">
        <f t="shared" ca="1" si="23"/>
        <v>0</v>
      </c>
      <c r="AB140" s="288">
        <f t="shared" ca="1" si="23"/>
        <v>0</v>
      </c>
    </row>
    <row r="141" spans="1:35" s="19" customFormat="1" ht="16.5" thickBot="1" x14ac:dyDescent="0.3">
      <c r="B141" s="204" t="s">
        <v>138</v>
      </c>
      <c r="C141" s="214" t="s">
        <v>271</v>
      </c>
      <c r="D141" s="226" t="str">
        <f t="shared" si="16"/>
        <v>768000</v>
      </c>
      <c r="E141"/>
      <c r="F141" s="228"/>
      <c r="G141" s="171"/>
      <c r="H141" s="107"/>
      <c r="I141" s="316" t="str">
        <f ca="1">_xll.DBRA(Server&amp;$D$22,$D141,"French")</f>
        <v>Produits financiers divers</v>
      </c>
      <c r="J141" s="316" t="str">
        <f ca="1">_xll.DBRA(Server&amp;$D$22,$D141,"French")</f>
        <v>Produits financiers divers</v>
      </c>
      <c r="K141" s="274"/>
      <c r="L141" s="275">
        <f ca="1">_xll.DBRW(Server&amp;Cube1,$J$13,$L$3,$J$15,$L$1,$L$2,$J$16,$D141)</f>
        <v>0</v>
      </c>
      <c r="M141" s="274"/>
      <c r="N141" s="275">
        <f ca="1">_xll.DBRW(Server&amp;Cube1,$J$13,$N$3,$J$15,$N$1,$N$2,$J$16,$D141)</f>
        <v>0</v>
      </c>
      <c r="O141" s="276"/>
      <c r="P141" s="228"/>
      <c r="Q141" s="291">
        <f ca="1">IF(xflag=1,_xll.DBSW(SAISIE!Q141,Server&amp;Cube1,$J$13,$J$14,$J$15,$J$17,Q$22,$J$16,$D141),_xll.DBRW(Server&amp;Cube1,$J$13,$J$14,$J$15,$J$17,Q$22,$J$16,$D141))</f>
        <v>0</v>
      </c>
      <c r="R141" s="291">
        <f ca="1">IF(xflag=1,_xll.DBSW(SAISIE!R141,Server&amp;Cube1,$J$13,$J$14,$J$15,$J$17,R$22,$J$16,$D141),_xll.DBRW(Server&amp;Cube1,$J$13,$J$14,$J$15,$J$17,R$22,$J$16,$D141))</f>
        <v>0</v>
      </c>
      <c r="S141" s="291">
        <f ca="1">IF(xflag=1,_xll.DBSW(SAISIE!S141,Server&amp;Cube1,$J$13,$J$14,$J$15,$J$17,S$22,$J$16,$D141),_xll.DBRW(Server&amp;Cube1,$J$13,$J$14,$J$15,$J$17,S$22,$J$16,$D141))</f>
        <v>0</v>
      </c>
      <c r="T141" s="291">
        <f ca="1">IF(xflag=1,_xll.DBSW(SAISIE!T141,Server&amp;Cube1,$J$13,$J$14,$J$15,$J$17,T$22,$J$16,$D141),_xll.DBRW(Server&amp;Cube1,$J$13,$J$14,$J$15,$J$17,T$22,$J$16,$D141))</f>
        <v>0</v>
      </c>
      <c r="U141" s="291">
        <f ca="1">IF(xflag=1,_xll.DBSW(SAISIE!U141,Server&amp;Cube1,$J$13,$J$14,$J$15,$J$17,U$22,$J$16,$D141),_xll.DBRW(Server&amp;Cube1,$J$13,$J$14,$J$15,$J$17,U$22,$J$16,$D141))</f>
        <v>0</v>
      </c>
      <c r="V141" s="291">
        <f ca="1">IF(xflag=1,_xll.DBSW(SAISIE!V141,Server&amp;Cube1,$J$13,$J$14,$J$15,$J$17,V$22,$J$16,$D141),_xll.DBRW(Server&amp;Cube1,$J$13,$J$14,$J$15,$J$17,V$22,$J$16,$D141))</f>
        <v>0</v>
      </c>
      <c r="W141" s="291">
        <f ca="1">IF(xflag=1,_xll.DBSW(SAISIE!W141,Server&amp;Cube1,$J$13,$J$14,$J$15,$J$17,W$22,$J$16,$D141),_xll.DBRW(Server&amp;Cube1,$J$13,$J$14,$J$15,$J$17,W$22,$J$16,$D141))</f>
        <v>0</v>
      </c>
      <c r="X141" s="291">
        <f ca="1">IF(xflag=1,_xll.DBSW(SAISIE!X141,Server&amp;Cube1,$J$13,$J$14,$J$15,$J$17,X$22,$J$16,$D141),_xll.DBRW(Server&amp;Cube1,$J$13,$J$14,$J$15,$J$17,X$22,$J$16,$D141))</f>
        <v>0</v>
      </c>
      <c r="Y141" s="291">
        <f ca="1">IF(xflag=1,_xll.DBSW(SAISIE!Y141,Server&amp;Cube1,$J$13,$J$14,$J$15,$J$17,Y$22,$J$16,$D141),_xll.DBRW(Server&amp;Cube1,$J$13,$J$14,$J$15,$J$17,Y$22,$J$16,$D141))</f>
        <v>0</v>
      </c>
      <c r="Z141" s="291">
        <f ca="1">IF(xflag=1,_xll.DBSW(SAISIE!Z141,Server&amp;Cube1,$J$13,$J$14,$J$15,$J$17,Z$22,$J$16,$D141),_xll.DBRW(Server&amp;Cube1,$J$13,$J$14,$J$15,$J$17,Z$22,$J$16,$D141))</f>
        <v>0</v>
      </c>
      <c r="AA141" s="291">
        <f ca="1">IF(xflag=1,_xll.DBSW(SAISIE!AA141,Server&amp;Cube1,$J$13,$J$14,$J$15,$J$17,AA$22,$J$16,$D141),_xll.DBRW(Server&amp;Cube1,$J$13,$J$14,$J$15,$J$17,AA$22,$J$16,$D141))</f>
        <v>0</v>
      </c>
      <c r="AB141" s="291">
        <f ca="1">IF(xflag=1,_xll.DBSW(SAISIE!AB141,Server&amp;Cube1,$J$13,$J$14,$J$15,$J$17,AB$22,$J$16,$D141),_xll.DBRW(Server&amp;Cube1,$J$13,$J$14,$J$15,$J$17,AB$22,$J$16,$D141))</f>
        <v>0</v>
      </c>
      <c r="AF141" s="56" t="str">
        <f ca="1">IF(xflag=1,_xll.DBSW(#REF!,Server&amp;Cube1,$J$13,$J$14,$J$15,#REF!,AF$2,$J$16,$D141),_xll.DBRW(Server&amp;Cube1,$J$13,$J$14,$J$15,#REF!,AF$2,$J$16,$D141))</f>
        <v>*KEY_ERR</v>
      </c>
      <c r="AI141" s="19">
        <v>13</v>
      </c>
    </row>
    <row r="142" spans="1:35" s="19" customFormat="1" ht="16.5" thickTop="1" x14ac:dyDescent="0.25">
      <c r="B142" s="200" t="s">
        <v>53</v>
      </c>
      <c r="C142" s="219" t="s">
        <v>272</v>
      </c>
      <c r="D142" s="226" t="str">
        <f t="shared" si="16"/>
        <v>Charges_financieres</v>
      </c>
      <c r="E142"/>
      <c r="F142" s="228"/>
      <c r="G142" s="171"/>
      <c r="H142" s="107"/>
      <c r="I142" s="315" t="str">
        <f ca="1">_xll.DBRA(Server&amp;$D$22,$D142,"French")</f>
        <v>Charges financières</v>
      </c>
      <c r="J142" s="315" t="str">
        <f ca="1">_xll.DBRA(Server&amp;$D$22,$D142,"French")</f>
        <v>Charges financières</v>
      </c>
      <c r="K142" s="39"/>
      <c r="L142" s="67">
        <f ca="1">SUM(L143:L144)</f>
        <v>0</v>
      </c>
      <c r="M142" s="228"/>
      <c r="N142" s="67">
        <f ca="1">SUM(N143:N144)</f>
        <v>0</v>
      </c>
      <c r="O142" s="228"/>
      <c r="P142" s="228"/>
      <c r="Q142" s="290">
        <f t="shared" ref="Q142:AB142" ca="1" si="24">SUM(Q143:Q144)</f>
        <v>0</v>
      </c>
      <c r="R142" s="290">
        <f t="shared" ca="1" si="24"/>
        <v>-206.49</v>
      </c>
      <c r="S142" s="290">
        <f ca="1">SUM(S143:S144)</f>
        <v>-30</v>
      </c>
      <c r="T142" s="290">
        <f ca="1">SUM(T143:T144)</f>
        <v>0</v>
      </c>
      <c r="U142" s="290">
        <f t="shared" ca="1" si="24"/>
        <v>-4.339999999999975</v>
      </c>
      <c r="V142" s="290">
        <f t="shared" ca="1" si="24"/>
        <v>-1.5100000000000193</v>
      </c>
      <c r="W142" s="290">
        <f t="shared" ca="1" si="24"/>
        <v>0</v>
      </c>
      <c r="X142" s="290">
        <f t="shared" ca="1" si="24"/>
        <v>0</v>
      </c>
      <c r="Y142" s="290">
        <f t="shared" ca="1" si="24"/>
        <v>0</v>
      </c>
      <c r="Z142" s="290">
        <f t="shared" ca="1" si="24"/>
        <v>0</v>
      </c>
      <c r="AA142" s="290">
        <f t="shared" ca="1" si="24"/>
        <v>0</v>
      </c>
      <c r="AB142" s="290">
        <f t="shared" ca="1" si="24"/>
        <v>0</v>
      </c>
    </row>
    <row r="143" spans="1:35" s="19" customFormat="1" ht="16.5" thickBot="1" x14ac:dyDescent="0.3">
      <c r="B143" s="204" t="s">
        <v>55</v>
      </c>
      <c r="C143" s="213" t="s">
        <v>273</v>
      </c>
      <c r="D143" s="226" t="str">
        <f t="shared" si="16"/>
        <v>627700</v>
      </c>
      <c r="E143"/>
      <c r="F143" s="228"/>
      <c r="G143" s="171"/>
      <c r="H143" s="107"/>
      <c r="I143" s="316" t="str">
        <f ca="1">_xll.DBRA(Server&amp;$D$22,$D143,"French")</f>
        <v>Frais de tenue de compte</v>
      </c>
      <c r="J143" s="316" t="str">
        <f ca="1">_xll.DBRA(Server&amp;$D$22,$D143,"French")</f>
        <v>Frais de tenue de compte</v>
      </c>
      <c r="K143" s="274"/>
      <c r="L143" s="275">
        <f ca="1">_xll.DBRW(Server&amp;Cube1,$J$13,$L$3,$J$15,$L$1,$L$2,$J$16,$D143)</f>
        <v>0</v>
      </c>
      <c r="M143" s="274"/>
      <c r="N143" s="275">
        <f ca="1">_xll.DBRW(Server&amp;Cube1,$J$13,$N$3,$J$15,$N$1,$N$2,$J$16,$D143)</f>
        <v>0</v>
      </c>
      <c r="O143" s="276"/>
      <c r="P143" s="228"/>
      <c r="Q143" s="289">
        <f ca="1">IF(xflag=1,_xll.DBSW(SAISIE!Q143,Server&amp;Cube1,$J$13,$J$14,$J$15,$J$17,Q$22,$J$16,$D143),_xll.DBRW(Server&amp;Cube1,$J$13,$J$14,$J$15,$J$17,Q$22,$J$16,$D143))</f>
        <v>0</v>
      </c>
      <c r="R143" s="289">
        <f ca="1">IF(xflag=1,_xll.DBSW(SAISIE!R143,Server&amp;Cube1,$J$13,$J$14,$J$15,$J$17,R$22,$J$16,$D143),_xll.DBRW(Server&amp;Cube1,$J$13,$J$14,$J$15,$J$17,R$22,$J$16,$D143))</f>
        <v>-206.49</v>
      </c>
      <c r="S143" s="289">
        <f ca="1">IF(xflag=1,_xll.DBSW(SAISIE!S143,Server&amp;Cube1,$J$13,$J$14,$J$15,$J$17,S$22,$J$16,$D143),_xll.DBRW(Server&amp;Cube1,$J$13,$J$14,$J$15,$J$17,S$22,$J$16,$D143))</f>
        <v>-30</v>
      </c>
      <c r="T143" s="289">
        <f ca="1">IF(xflag=1,_xll.DBSW(SAISIE!T143,Server&amp;Cube1,$J$13,$J$14,$J$15,$J$17,T$22,$J$16,$D143),_xll.DBRW(Server&amp;Cube1,$J$13,$J$14,$J$15,$J$17,T$22,$J$16,$D143))</f>
        <v>0</v>
      </c>
      <c r="U143" s="289">
        <f ca="1">IF(xflag=1,_xll.DBSW(SAISIE!U143,Server&amp;Cube1,$J$13,$J$14,$J$15,$J$17,U$22,$J$16,$D143),_xll.DBRW(Server&amp;Cube1,$J$13,$J$14,$J$15,$J$17,U$22,$J$16,$D143))</f>
        <v>-4.339999999999975</v>
      </c>
      <c r="V143" s="289">
        <f ca="1">IF(xflag=1,_xll.DBSW(SAISIE!V143,Server&amp;Cube1,$J$13,$J$14,$J$15,$J$17,V$22,$J$16,$D143),_xll.DBRW(Server&amp;Cube1,$J$13,$J$14,$J$15,$J$17,V$22,$J$16,$D143))</f>
        <v>-1.5100000000000193</v>
      </c>
      <c r="W143" s="289">
        <f ca="1">IF(xflag=1,_xll.DBSW(SAISIE!W143,Server&amp;Cube1,$J$13,$J$14,$J$15,$J$17,W$22,$J$16,$D143),_xll.DBRW(Server&amp;Cube1,$J$13,$J$14,$J$15,$J$17,W$22,$J$16,$D143))</f>
        <v>0</v>
      </c>
      <c r="X143" s="289">
        <f ca="1">IF(xflag=1,_xll.DBSW(SAISIE!X143,Server&amp;Cube1,$J$13,$J$14,$J$15,$J$17,X$22,$J$16,$D143),_xll.DBRW(Server&amp;Cube1,$J$13,$J$14,$J$15,$J$17,X$22,$J$16,$D143))</f>
        <v>0</v>
      </c>
      <c r="Y143" s="289">
        <f ca="1">IF(xflag=1,_xll.DBSW(SAISIE!Y143,Server&amp;Cube1,$J$13,$J$14,$J$15,$J$17,Y$22,$J$16,$D143),_xll.DBRW(Server&amp;Cube1,$J$13,$J$14,$J$15,$J$17,Y$22,$J$16,$D143))</f>
        <v>0</v>
      </c>
      <c r="Z143" s="289">
        <f ca="1">IF(xflag=1,_xll.DBSW(SAISIE!Z143,Server&amp;Cube1,$J$13,$J$14,$J$15,$J$17,Z$22,$J$16,$D143),_xll.DBRW(Server&amp;Cube1,$J$13,$J$14,$J$15,$J$17,Z$22,$J$16,$D143))</f>
        <v>0</v>
      </c>
      <c r="AA143" s="289">
        <f ca="1">IF(xflag=1,_xll.DBSW(SAISIE!AA143,Server&amp;Cube1,$J$13,$J$14,$J$15,$J$17,AA$22,$J$16,$D143),_xll.DBRW(Server&amp;Cube1,$J$13,$J$14,$J$15,$J$17,AA$22,$J$16,$D143))</f>
        <v>0</v>
      </c>
      <c r="AB143" s="289">
        <f ca="1">IF(xflag=1,_xll.DBSW(SAISIE!AB143,Server&amp;Cube1,$J$13,$J$14,$J$15,$J$17,AB$22,$J$16,$D143),_xll.DBRW(Server&amp;Cube1,$J$13,$J$14,$J$15,$J$17,AB$22,$J$16,$D143))</f>
        <v>0</v>
      </c>
      <c r="AF143" s="56" t="str">
        <f ca="1">IF(xflag=1,_xll.DBSW(#REF!,Server&amp;Cube1,$J$13,$J$14,$J$15,#REF!,AF$2,$J$16,$D143),_xll.DBRW(Server&amp;Cube1,$J$13,$J$14,$J$15,#REF!,AF$2,$J$16,$D143))</f>
        <v>*KEY_ERR</v>
      </c>
    </row>
    <row r="144" spans="1:35" s="19" customFormat="1" ht="16.5" thickTop="1" x14ac:dyDescent="0.25">
      <c r="B144" s="204" t="s">
        <v>139</v>
      </c>
      <c r="C144" s="214" t="s">
        <v>274</v>
      </c>
      <c r="D144" s="226" t="str">
        <f t="shared" si="16"/>
        <v>668000</v>
      </c>
      <c r="E144"/>
      <c r="F144" s="228"/>
      <c r="G144" s="171"/>
      <c r="H144" s="107"/>
      <c r="I144" s="316" t="str">
        <f ca="1">_xll.DBRA(Server&amp;$D$22,$D144,"French")</f>
        <v>Autres charges financières</v>
      </c>
      <c r="J144" s="316" t="str">
        <f ca="1">_xll.DBRA(Server&amp;$D$22,$D144,"French")</f>
        <v>Autres charges financières</v>
      </c>
      <c r="K144" s="274"/>
      <c r="L144" s="275">
        <f ca="1">_xll.DBRW(Server&amp;Cube1,$J$13,$L$3,$J$15,$L$1,$L$2,$J$16,$D144)</f>
        <v>0</v>
      </c>
      <c r="M144" s="274"/>
      <c r="N144" s="275">
        <f ca="1">_xll.DBRW(Server&amp;Cube1,$J$13,$N$3,$J$15,$N$1,$N$2,$J$16,$D144)</f>
        <v>0</v>
      </c>
      <c r="O144" s="276"/>
      <c r="P144" s="228"/>
      <c r="Q144" s="283">
        <f ca="1">IF(xflag=1,_xll.DBSW(SAISIE!Q144,Server&amp;Cube1,$J$13,$J$14,$J$15,$J$17,Q$22,$J$16,$D144),_xll.DBRW(Server&amp;Cube1,$J$13,$J$14,$J$15,$J$17,Q$22,$J$16,$D144))</f>
        <v>0</v>
      </c>
      <c r="R144" s="283">
        <f ca="1">IF(xflag=1,_xll.DBSW(SAISIE!R144,Server&amp;Cube1,$J$13,$J$14,$J$15,$J$17,R$22,$J$16,$D144),_xll.DBRW(Server&amp;Cube1,$J$13,$J$14,$J$15,$J$17,R$22,$J$16,$D144))</f>
        <v>0</v>
      </c>
      <c r="S144" s="283">
        <f ca="1">IF(xflag=1,_xll.DBSW(SAISIE!S144,Server&amp;Cube1,$J$13,$J$14,$J$15,$J$17,S$22,$J$16,$D144),_xll.DBRW(Server&amp;Cube1,$J$13,$J$14,$J$15,$J$17,S$22,$J$16,$D144))</f>
        <v>0</v>
      </c>
      <c r="T144" s="283">
        <f ca="1">IF(xflag=1,_xll.DBSW(SAISIE!T144,Server&amp;Cube1,$J$13,$J$14,$J$15,$J$17,T$22,$J$16,$D144),_xll.DBRW(Server&amp;Cube1,$J$13,$J$14,$J$15,$J$17,T$22,$J$16,$D144))</f>
        <v>0</v>
      </c>
      <c r="U144" s="283">
        <f ca="1">IF(xflag=1,_xll.DBSW(SAISIE!U144,Server&amp;Cube1,$J$13,$J$14,$J$15,$J$17,U$22,$J$16,$D144),_xll.DBRW(Server&amp;Cube1,$J$13,$J$14,$J$15,$J$17,U$22,$J$16,$D144))</f>
        <v>0</v>
      </c>
      <c r="V144" s="283">
        <f ca="1">IF(xflag=1,_xll.DBSW(SAISIE!V144,Server&amp;Cube1,$J$13,$J$14,$J$15,$J$17,V$22,$J$16,$D144),_xll.DBRW(Server&amp;Cube1,$J$13,$J$14,$J$15,$J$17,V$22,$J$16,$D144))</f>
        <v>0</v>
      </c>
      <c r="W144" s="283">
        <f ca="1">IF(xflag=1,_xll.DBSW(SAISIE!W144,Server&amp;Cube1,$J$13,$J$14,$J$15,$J$17,W$22,$J$16,$D144),_xll.DBRW(Server&amp;Cube1,$J$13,$J$14,$J$15,$J$17,W$22,$J$16,$D144))</f>
        <v>0</v>
      </c>
      <c r="X144" s="283">
        <f ca="1">IF(xflag=1,_xll.DBSW(SAISIE!X144,Server&amp;Cube1,$J$13,$J$14,$J$15,$J$17,X$22,$J$16,$D144),_xll.DBRW(Server&amp;Cube1,$J$13,$J$14,$J$15,$J$17,X$22,$J$16,$D144))</f>
        <v>0</v>
      </c>
      <c r="Y144" s="283">
        <f ca="1">IF(xflag=1,_xll.DBSW(SAISIE!Y144,Server&amp;Cube1,$J$13,$J$14,$J$15,$J$17,Y$22,$J$16,$D144),_xll.DBRW(Server&amp;Cube1,$J$13,$J$14,$J$15,$J$17,Y$22,$J$16,$D144))</f>
        <v>0</v>
      </c>
      <c r="Z144" s="283">
        <f ca="1">IF(xflag=1,_xll.DBSW(SAISIE!Z144,Server&amp;Cube1,$J$13,$J$14,$J$15,$J$17,Z$22,$J$16,$D144),_xll.DBRW(Server&amp;Cube1,$J$13,$J$14,$J$15,$J$17,Z$22,$J$16,$D144))</f>
        <v>0</v>
      </c>
      <c r="AA144" s="283">
        <f ca="1">IF(xflag=1,_xll.DBSW(SAISIE!AA144,Server&amp;Cube1,$J$13,$J$14,$J$15,$J$17,AA$22,$J$16,$D144),_xll.DBRW(Server&amp;Cube1,$J$13,$J$14,$J$15,$J$17,AA$22,$J$16,$D144))</f>
        <v>0</v>
      </c>
      <c r="AB144" s="283">
        <f ca="1">IF(xflag=1,_xll.DBSW(SAISIE!AB144,Server&amp;Cube1,$J$13,$J$14,$J$15,$J$17,AB$22,$J$16,$D144),_xll.DBRW(Server&amp;Cube1,$J$13,$J$14,$J$15,$J$17,AB$22,$J$16,$D144))</f>
        <v>0</v>
      </c>
      <c r="AF144" s="56" t="str">
        <f ca="1">IF(xflag=1,_xll.DBSW(#REF!,Server&amp;Cube1,$J$13,$J$14,$J$15,#REF!,AF$2,$J$16,$D144),_xll.DBRW(Server&amp;Cube1,$J$13,$J$14,$J$15,#REF!,AF$2,$J$16,$D144))</f>
        <v>*KEY_ERR</v>
      </c>
      <c r="AI144" s="19">
        <v>14</v>
      </c>
    </row>
    <row r="145" spans="2:35" s="19" customFormat="1" ht="20.25" customHeight="1" x14ac:dyDescent="0.25">
      <c r="B145" s="202"/>
      <c r="C145" s="208"/>
      <c r="D145" s="226"/>
      <c r="E145"/>
      <c r="F145" s="228"/>
      <c r="G145" s="171"/>
      <c r="H145" s="107"/>
      <c r="I145" s="228"/>
      <c r="J145" s="228"/>
      <c r="K145" s="228"/>
      <c r="L145" s="228"/>
      <c r="M145" s="228"/>
      <c r="N145" s="228"/>
      <c r="O145" s="228"/>
      <c r="P145" s="228"/>
      <c r="Q145" s="228"/>
      <c r="R145" s="228"/>
      <c r="S145" s="228"/>
      <c r="T145" s="228"/>
      <c r="U145" s="228"/>
      <c r="V145" s="228"/>
      <c r="W145" s="228"/>
      <c r="X145" s="228"/>
      <c r="Y145" s="228"/>
      <c r="Z145" s="228"/>
      <c r="AA145" s="228"/>
      <c r="AB145" s="228"/>
    </row>
    <row r="146" spans="2:35" s="19" customFormat="1" ht="15.75" x14ac:dyDescent="0.25">
      <c r="B146" s="203" t="s">
        <v>67</v>
      </c>
      <c r="C146" s="221"/>
      <c r="D146" s="226" t="str">
        <f t="shared" si="16"/>
        <v>Resultat_financier</v>
      </c>
      <c r="E146"/>
      <c r="F146" s="228"/>
      <c r="G146" s="171"/>
      <c r="H146" s="107"/>
      <c r="I146" s="315" t="str">
        <f ca="1">_xll.DBRA(Server&amp;$D$22,$D146,"French")</f>
        <v>RESULTAT financier</v>
      </c>
      <c r="J146" s="315" t="str">
        <f ca="1">_xll.DBRA(Server&amp;$D$22,$D146,"French")</f>
        <v>RESULTAT financier</v>
      </c>
      <c r="K146" s="39"/>
      <c r="L146" s="67">
        <f ca="1">+L140+L142</f>
        <v>0</v>
      </c>
      <c r="M146" s="228"/>
      <c r="N146" s="67">
        <f ca="1">+N140+N142</f>
        <v>0</v>
      </c>
      <c r="O146" s="228"/>
      <c r="P146" s="228"/>
      <c r="Q146" s="290">
        <f t="shared" ref="Q146:AB146" ca="1" si="25">+Q140+Q142</f>
        <v>0</v>
      </c>
      <c r="R146" s="290">
        <f t="shared" ca="1" si="25"/>
        <v>-206.49</v>
      </c>
      <c r="S146" s="290">
        <f t="shared" ca="1" si="25"/>
        <v>-30</v>
      </c>
      <c r="T146" s="290">
        <f ca="1">+T140+T142</f>
        <v>0</v>
      </c>
      <c r="U146" s="290">
        <f t="shared" ca="1" si="25"/>
        <v>-4.339999999999975</v>
      </c>
      <c r="V146" s="290">
        <f t="shared" ca="1" si="25"/>
        <v>-1.5100000000000193</v>
      </c>
      <c r="W146" s="290">
        <f t="shared" ca="1" si="25"/>
        <v>0</v>
      </c>
      <c r="X146" s="290">
        <f t="shared" ca="1" si="25"/>
        <v>0</v>
      </c>
      <c r="Y146" s="290">
        <f t="shared" ca="1" si="25"/>
        <v>0</v>
      </c>
      <c r="Z146" s="290">
        <f t="shared" ca="1" si="25"/>
        <v>0</v>
      </c>
      <c r="AA146" s="290">
        <f t="shared" ca="1" si="25"/>
        <v>0</v>
      </c>
      <c r="AB146" s="290">
        <f t="shared" ca="1" si="25"/>
        <v>0</v>
      </c>
    </row>
    <row r="147" spans="2:35" s="19" customFormat="1" x14ac:dyDescent="0.25">
      <c r="B147" s="202"/>
      <c r="C147" s="215"/>
      <c r="D147" s="226"/>
      <c r="E147"/>
      <c r="F147" s="228"/>
      <c r="G147" s="171"/>
      <c r="H147" s="107"/>
      <c r="I147" s="228"/>
      <c r="J147" s="228"/>
      <c r="K147" s="228"/>
      <c r="L147" s="228"/>
      <c r="M147" s="228"/>
      <c r="N147" s="228"/>
      <c r="O147" s="228"/>
      <c r="P147" s="228"/>
      <c r="Q147" s="228"/>
      <c r="R147" s="228"/>
      <c r="S147" s="228"/>
      <c r="T147" s="228"/>
      <c r="U147" s="228"/>
      <c r="V147" s="228"/>
      <c r="W147" s="228"/>
      <c r="X147" s="228"/>
      <c r="Y147" s="228"/>
      <c r="Z147" s="228"/>
      <c r="AA147" s="228"/>
      <c r="AB147" s="228"/>
    </row>
    <row r="148" spans="2:35" s="19" customFormat="1" ht="15.75" thickBot="1" x14ac:dyDescent="0.3">
      <c r="B148" s="202"/>
      <c r="C148" s="215"/>
      <c r="D148" s="226"/>
      <c r="E148"/>
      <c r="F148" s="228"/>
      <c r="G148" s="171"/>
      <c r="H148" s="107"/>
      <c r="I148" s="228"/>
      <c r="J148" s="228"/>
      <c r="K148" s="228"/>
      <c r="L148" s="228"/>
      <c r="M148" s="228"/>
      <c r="N148" s="228"/>
      <c r="O148" s="228"/>
      <c r="P148" s="228"/>
      <c r="Q148" s="228"/>
      <c r="R148" s="228"/>
      <c r="S148" s="228"/>
      <c r="T148" s="228"/>
      <c r="U148" s="228"/>
      <c r="V148" s="228"/>
      <c r="W148" s="228"/>
      <c r="X148" s="228"/>
      <c r="Y148" s="228"/>
      <c r="Z148" s="228"/>
      <c r="AA148" s="228"/>
      <c r="AB148" s="228"/>
    </row>
    <row r="149" spans="2:35" s="19" customFormat="1" ht="16.5" thickTop="1" x14ac:dyDescent="0.25">
      <c r="B149" s="200" t="s">
        <v>162</v>
      </c>
      <c r="C149" s="219" t="s">
        <v>162</v>
      </c>
      <c r="D149" s="226" t="str">
        <f t="shared" ref="D149:D180" si="26">B149</f>
        <v>Produits exceptionnels</v>
      </c>
      <c r="E149"/>
      <c r="F149" s="228"/>
      <c r="G149" s="171"/>
      <c r="H149" s="107"/>
      <c r="I149" s="315" t="str">
        <f ca="1">_xll.DBRA(Server&amp;$D$22,$D149,"French")</f>
        <v>Produits exceptionnels</v>
      </c>
      <c r="J149" s="315" t="str">
        <f ca="1">_xll.DBRA(Server&amp;$D$22,$D149,"French")</f>
        <v>Produits exceptionnels</v>
      </c>
      <c r="K149" s="39"/>
      <c r="L149" s="67">
        <f ca="1">+L150</f>
        <v>0</v>
      </c>
      <c r="M149" s="228"/>
      <c r="N149" s="67">
        <f ca="1">+N150</f>
        <v>0</v>
      </c>
      <c r="O149" s="228"/>
      <c r="P149" s="228"/>
      <c r="Q149" s="290">
        <f t="shared" ref="Q149:AB149" ca="1" si="27">+Q150</f>
        <v>0</v>
      </c>
      <c r="R149" s="290">
        <f t="shared" ca="1" si="27"/>
        <v>0</v>
      </c>
      <c r="S149" s="290">
        <f t="shared" ca="1" si="27"/>
        <v>0</v>
      </c>
      <c r="T149" s="290">
        <f t="shared" ca="1" si="27"/>
        <v>0</v>
      </c>
      <c r="U149" s="290">
        <f t="shared" ca="1" si="27"/>
        <v>0</v>
      </c>
      <c r="V149" s="290">
        <f t="shared" ca="1" si="27"/>
        <v>0</v>
      </c>
      <c r="W149" s="290">
        <f t="shared" ca="1" si="27"/>
        <v>0</v>
      </c>
      <c r="X149" s="290">
        <f t="shared" ca="1" si="27"/>
        <v>0</v>
      </c>
      <c r="Y149" s="290">
        <f t="shared" ca="1" si="27"/>
        <v>0</v>
      </c>
      <c r="Z149" s="290">
        <f t="shared" ca="1" si="27"/>
        <v>0</v>
      </c>
      <c r="AA149" s="290">
        <f t="shared" ca="1" si="27"/>
        <v>0</v>
      </c>
      <c r="AB149" s="290">
        <f t="shared" ca="1" si="27"/>
        <v>0</v>
      </c>
    </row>
    <row r="150" spans="2:35" s="19" customFormat="1" ht="16.5" thickBot="1" x14ac:dyDescent="0.3">
      <c r="B150" s="200" t="s">
        <v>150</v>
      </c>
      <c r="C150" s="214" t="s">
        <v>275</v>
      </c>
      <c r="D150" s="226" t="str">
        <f t="shared" si="26"/>
        <v>772888</v>
      </c>
      <c r="E150"/>
      <c r="F150" s="228"/>
      <c r="G150" s="171"/>
      <c r="H150" s="107"/>
      <c r="I150" s="316" t="str">
        <f ca="1">_xll.DBRA(Server&amp;$D$22,$D150,"French")</f>
        <v>Autres produits exceptionnels</v>
      </c>
      <c r="J150" s="316" t="str">
        <f ca="1">_xll.DBRA(Server&amp;$D$22,$D150,"French")</f>
        <v>Autres produits exceptionnels</v>
      </c>
      <c r="K150" s="274"/>
      <c r="L150" s="275">
        <f ca="1">_xll.DBRW(Server&amp;Cube1,$J$13,$L$3,$J$15,$L$1,$L$2,$J$16,$D150)</f>
        <v>0</v>
      </c>
      <c r="M150" s="274"/>
      <c r="N150" s="275">
        <f ca="1">_xll.DBRW(Server&amp;Cube1,$J$13,$N$3,$J$15,$N$1,$N$2,$J$16,$D150)</f>
        <v>0</v>
      </c>
      <c r="O150" s="276"/>
      <c r="P150" s="228"/>
      <c r="Q150" s="291">
        <f ca="1">IF(xflag=1,_xll.DBSW(SAISIE!Q150,Server&amp;Cube1,$J$13,$J$14,$J$15,$J$17,Q$22,$J$16,$D150),_xll.DBRW(Server&amp;Cube1,$J$13,$J$14,$J$15,$J$17,Q$22,$J$16,$D150))</f>
        <v>0</v>
      </c>
      <c r="R150" s="291">
        <f ca="1">IF(xflag=1,_xll.DBSW(SAISIE!R150,Server&amp;Cube1,$J$13,$J$14,$J$15,$J$17,R$22,$J$16,$D150),_xll.DBRW(Server&amp;Cube1,$J$13,$J$14,$J$15,$J$17,R$22,$J$16,$D150))</f>
        <v>0</v>
      </c>
      <c r="S150" s="291">
        <f ca="1">IF(xflag=1,_xll.DBSW(SAISIE!S150,Server&amp;Cube1,$J$13,$J$14,$J$15,$J$17,S$22,$J$16,$D150),_xll.DBRW(Server&amp;Cube1,$J$13,$J$14,$J$15,$J$17,S$22,$J$16,$D150))</f>
        <v>0</v>
      </c>
      <c r="T150" s="291">
        <f ca="1">IF(xflag=1,_xll.DBSW(SAISIE!T150,Server&amp;Cube1,$J$13,$J$14,$J$15,$J$17,T$22,$J$16,$D150),_xll.DBRW(Server&amp;Cube1,$J$13,$J$14,$J$15,$J$17,T$22,$J$16,$D150))</f>
        <v>0</v>
      </c>
      <c r="U150" s="291">
        <f ca="1">IF(xflag=1,_xll.DBSW(SAISIE!U150,Server&amp;Cube1,$J$13,$J$14,$J$15,$J$17,U$22,$J$16,$D150),_xll.DBRW(Server&amp;Cube1,$J$13,$J$14,$J$15,$J$17,U$22,$J$16,$D150))</f>
        <v>0</v>
      </c>
      <c r="V150" s="291">
        <f ca="1">IF(xflag=1,_xll.DBSW(SAISIE!V150,Server&amp;Cube1,$J$13,$J$14,$J$15,$J$17,V$22,$J$16,$D150),_xll.DBRW(Server&amp;Cube1,$J$13,$J$14,$J$15,$J$17,V$22,$J$16,$D150))</f>
        <v>0</v>
      </c>
      <c r="W150" s="291">
        <f ca="1">IF(xflag=1,_xll.DBSW(SAISIE!W150,Server&amp;Cube1,$J$13,$J$14,$J$15,$J$17,W$22,$J$16,$D150),_xll.DBRW(Server&amp;Cube1,$J$13,$J$14,$J$15,$J$17,W$22,$J$16,$D150))</f>
        <v>0</v>
      </c>
      <c r="X150" s="291">
        <f ca="1">IF(xflag=1,_xll.DBSW(SAISIE!X150,Server&amp;Cube1,$J$13,$J$14,$J$15,$J$17,X$22,$J$16,$D150),_xll.DBRW(Server&amp;Cube1,$J$13,$J$14,$J$15,$J$17,X$22,$J$16,$D150))</f>
        <v>0</v>
      </c>
      <c r="Y150" s="291">
        <f ca="1">IF(xflag=1,_xll.DBSW(SAISIE!Y150,Server&amp;Cube1,$J$13,$J$14,$J$15,$J$17,Y$22,$J$16,$D150),_xll.DBRW(Server&amp;Cube1,$J$13,$J$14,$J$15,$J$17,Y$22,$J$16,$D150))</f>
        <v>0</v>
      </c>
      <c r="Z150" s="291">
        <f ca="1">IF(xflag=1,_xll.DBSW(SAISIE!Z150,Server&amp;Cube1,$J$13,$J$14,$J$15,$J$17,Z$22,$J$16,$D150),_xll.DBRW(Server&amp;Cube1,$J$13,$J$14,$J$15,$J$17,Z$22,$J$16,$D150))</f>
        <v>0</v>
      </c>
      <c r="AA150" s="291">
        <f ca="1">IF(xflag=1,_xll.DBSW(SAISIE!AA150,Server&amp;Cube1,$J$13,$J$14,$J$15,$J$17,AA$22,$J$16,$D150),_xll.DBRW(Server&amp;Cube1,$J$13,$J$14,$J$15,$J$17,AA$22,$J$16,$D150))</f>
        <v>0</v>
      </c>
      <c r="AB150" s="291">
        <f ca="1">IF(xflag=1,_xll.DBSW(SAISIE!AB150,Server&amp;Cube1,$J$13,$J$14,$J$15,$J$17,AB$22,$J$16,$D150),_xll.DBRW(Server&amp;Cube1,$J$13,$J$14,$J$15,$J$17,AB$22,$J$16,$D150))</f>
        <v>0</v>
      </c>
      <c r="AF150" s="56" t="str">
        <f ca="1">IF(xflag=1,_xll.DBSW(#REF!,Server&amp;Cube1,$J$13,$J$14,$J$15,#REF!,AF$2,$J$16,$D150),_xll.DBRW(Server&amp;Cube1,$J$13,$J$14,$J$15,#REF!,AF$2,$J$16,$D150))</f>
        <v>*KEY_ERR</v>
      </c>
      <c r="AI150" s="19">
        <v>15</v>
      </c>
    </row>
    <row r="151" spans="2:35" s="19" customFormat="1" ht="16.5" thickTop="1" x14ac:dyDescent="0.25">
      <c r="B151" s="200" t="s">
        <v>58</v>
      </c>
      <c r="C151" s="219" t="s">
        <v>276</v>
      </c>
      <c r="D151" s="226" t="str">
        <f t="shared" si="26"/>
        <v>Charges_exceptionnelles</v>
      </c>
      <c r="E151"/>
      <c r="F151" s="228"/>
      <c r="G151" s="171"/>
      <c r="H151" s="107"/>
      <c r="I151" s="315" t="str">
        <f ca="1">_xll.DBRA(Server&amp;$D$22,$D151,"French")</f>
        <v>Charges exceptionnelles</v>
      </c>
      <c r="J151" s="315" t="str">
        <f ca="1">_xll.DBRA(Server&amp;$D$22,$D151,"French")</f>
        <v>Charges exceptionnelles</v>
      </c>
      <c r="K151" s="39"/>
      <c r="L151" s="67">
        <f ca="1">SUM(L152:L153)</f>
        <v>0</v>
      </c>
      <c r="M151" s="228"/>
      <c r="N151" s="67">
        <f ca="1">SUM(N152:N153)</f>
        <v>0</v>
      </c>
      <c r="O151" s="228"/>
      <c r="P151" s="228"/>
      <c r="Q151" s="290">
        <f t="shared" ref="Q151:AB151" ca="1" si="28">SUM(Q152:Q153)</f>
        <v>0</v>
      </c>
      <c r="R151" s="290">
        <f t="shared" ca="1" si="28"/>
        <v>0</v>
      </c>
      <c r="S151" s="290">
        <f t="shared" ca="1" si="28"/>
        <v>0</v>
      </c>
      <c r="T151" s="290">
        <f t="shared" ca="1" si="28"/>
        <v>0</v>
      </c>
      <c r="U151" s="290">
        <f t="shared" ca="1" si="28"/>
        <v>0</v>
      </c>
      <c r="V151" s="290">
        <f t="shared" ca="1" si="28"/>
        <v>0</v>
      </c>
      <c r="W151" s="290">
        <f t="shared" ca="1" si="28"/>
        <v>0</v>
      </c>
      <c r="X151" s="290">
        <f t="shared" ca="1" si="28"/>
        <v>0</v>
      </c>
      <c r="Y151" s="290">
        <f t="shared" ca="1" si="28"/>
        <v>0</v>
      </c>
      <c r="Z151" s="290">
        <f t="shared" ca="1" si="28"/>
        <v>0</v>
      </c>
      <c r="AA151" s="290">
        <f t="shared" ca="1" si="28"/>
        <v>0</v>
      </c>
      <c r="AB151" s="290">
        <f t="shared" ca="1" si="28"/>
        <v>0</v>
      </c>
    </row>
    <row r="152" spans="2:35" s="19" customFormat="1" ht="15.75" x14ac:dyDescent="0.25">
      <c r="B152" s="200" t="s">
        <v>151</v>
      </c>
      <c r="C152" s="214" t="s">
        <v>277</v>
      </c>
      <c r="D152" s="226" t="str">
        <f t="shared" si="26"/>
        <v>671200</v>
      </c>
      <c r="E152"/>
      <c r="F152" s="228"/>
      <c r="G152" s="171"/>
      <c r="H152" s="107"/>
      <c r="I152" s="316" t="str">
        <f ca="1">_xll.DBRA(Server&amp;$D$22,$D152,"French")</f>
        <v>Pénalités amendes fiscales et pénales</v>
      </c>
      <c r="J152" s="316" t="str">
        <f ca="1">_xll.DBRA(Server&amp;$D$22,$D152,"French")</f>
        <v>Pénalités amendes fiscales et pénales</v>
      </c>
      <c r="K152" s="274"/>
      <c r="L152" s="275">
        <f ca="1">_xll.DBRW(Server&amp;Cube1,$J$13,$L$3,$J$15,$L$1,$L$2,$J$16,$D152)</f>
        <v>0</v>
      </c>
      <c r="M152" s="274"/>
      <c r="N152" s="275">
        <f ca="1">_xll.DBRW(Server&amp;Cube1,$J$13,$N$3,$J$15,$N$1,$N$2,$J$16,$D152)</f>
        <v>0</v>
      </c>
      <c r="O152" s="276"/>
      <c r="P152" s="228"/>
      <c r="Q152" s="289">
        <f ca="1">IF(xflag=1,_xll.DBSW(SAISIE!Q152,Server&amp;Cube1,$J$13,$J$14,$J$15,$J$17,Q$22,$J$16,$D152),_xll.DBRW(Server&amp;Cube1,$J$13,$J$14,$J$15,$J$17,Q$22,$J$16,$D152))</f>
        <v>0</v>
      </c>
      <c r="R152" s="289">
        <f ca="1">IF(xflag=1,_xll.DBSW(SAISIE!R152,Server&amp;Cube1,$J$13,$J$14,$J$15,$J$17,R$22,$J$16,$D152),_xll.DBRW(Server&amp;Cube1,$J$13,$J$14,$J$15,$J$17,R$22,$J$16,$D152))</f>
        <v>0</v>
      </c>
      <c r="S152" s="289">
        <f ca="1">IF(xflag=1,_xll.DBSW(SAISIE!S152,Server&amp;Cube1,$J$13,$J$14,$J$15,$J$17,S$22,$J$16,$D152),_xll.DBRW(Server&amp;Cube1,$J$13,$J$14,$J$15,$J$17,S$22,$J$16,$D152))</f>
        <v>0</v>
      </c>
      <c r="T152" s="289">
        <f ca="1">IF(xflag=1,_xll.DBSW(SAISIE!T152,Server&amp;Cube1,$J$13,$J$14,$J$15,$J$17,T$22,$J$16,$D152),_xll.DBRW(Server&amp;Cube1,$J$13,$J$14,$J$15,$J$17,T$22,$J$16,$D152))</f>
        <v>0</v>
      </c>
      <c r="U152" s="289">
        <f ca="1">IF(xflag=1,_xll.DBSW(SAISIE!U152,Server&amp;Cube1,$J$13,$J$14,$J$15,$J$17,U$22,$J$16,$D152),_xll.DBRW(Server&amp;Cube1,$J$13,$J$14,$J$15,$J$17,U$22,$J$16,$D152))</f>
        <v>0</v>
      </c>
      <c r="V152" s="289">
        <f ca="1">IF(xflag=1,_xll.DBSW(SAISIE!V152,Server&amp;Cube1,$J$13,$J$14,$J$15,$J$17,V$22,$J$16,$D152),_xll.DBRW(Server&amp;Cube1,$J$13,$J$14,$J$15,$J$17,V$22,$J$16,$D152))</f>
        <v>0</v>
      </c>
      <c r="W152" s="289">
        <f ca="1">IF(xflag=1,_xll.DBSW(SAISIE!W152,Server&amp;Cube1,$J$13,$J$14,$J$15,$J$17,W$22,$J$16,$D152),_xll.DBRW(Server&amp;Cube1,$J$13,$J$14,$J$15,$J$17,W$22,$J$16,$D152))</f>
        <v>0</v>
      </c>
      <c r="X152" s="289">
        <f ca="1">IF(xflag=1,_xll.DBSW(SAISIE!X152,Server&amp;Cube1,$J$13,$J$14,$J$15,$J$17,X$22,$J$16,$D152),_xll.DBRW(Server&amp;Cube1,$J$13,$J$14,$J$15,$J$17,X$22,$J$16,$D152))</f>
        <v>0</v>
      </c>
      <c r="Y152" s="289">
        <f ca="1">IF(xflag=1,_xll.DBSW(SAISIE!Y152,Server&amp;Cube1,$J$13,$J$14,$J$15,$J$17,Y$22,$J$16,$D152),_xll.DBRW(Server&amp;Cube1,$J$13,$J$14,$J$15,$J$17,Y$22,$J$16,$D152))</f>
        <v>0</v>
      </c>
      <c r="Z152" s="289">
        <f ca="1">IF(xflag=1,_xll.DBSW(SAISIE!Z152,Server&amp;Cube1,$J$13,$J$14,$J$15,$J$17,Z$22,$J$16,$D152),_xll.DBRW(Server&amp;Cube1,$J$13,$J$14,$J$15,$J$17,Z$22,$J$16,$D152))</f>
        <v>0</v>
      </c>
      <c r="AA152" s="289">
        <f ca="1">IF(xflag=1,_xll.DBSW(SAISIE!AA152,Server&amp;Cube1,$J$13,$J$14,$J$15,$J$17,AA$22,$J$16,$D152),_xll.DBRW(Server&amp;Cube1,$J$13,$J$14,$J$15,$J$17,AA$22,$J$16,$D152))</f>
        <v>0</v>
      </c>
      <c r="AB152" s="289">
        <f ca="1">IF(xflag=1,_xll.DBSW(SAISIE!AB152,Server&amp;Cube1,$J$13,$J$14,$J$15,$J$17,AB$22,$J$16,$D152),_xll.DBRW(Server&amp;Cube1,$J$13,$J$14,$J$15,$J$17,AB$22,$J$16,$D152))</f>
        <v>0</v>
      </c>
      <c r="AF152" s="56" t="str">
        <f ca="1">IF(xflag=1,_xll.DBSW(#REF!,Server&amp;Cube1,$J$13,$J$14,$J$15,#REF!,AF$2,$J$16,$D152),_xll.DBRW(Server&amp;Cube1,$J$13,$J$14,$J$15,#REF!,AF$2,$J$16,$D152))</f>
        <v>*KEY_ERR</v>
      </c>
      <c r="AI152" s="19">
        <v>16</v>
      </c>
    </row>
    <row r="153" spans="2:35" s="19" customFormat="1" ht="15.75" x14ac:dyDescent="0.25">
      <c r="B153" s="200" t="s">
        <v>152</v>
      </c>
      <c r="C153" s="214" t="s">
        <v>278</v>
      </c>
      <c r="D153" s="226" t="str">
        <f t="shared" si="26"/>
        <v>672888</v>
      </c>
      <c r="E153"/>
      <c r="F153" s="228"/>
      <c r="G153" s="171"/>
      <c r="H153" s="107"/>
      <c r="I153" s="316" t="str">
        <f ca="1">_xll.DBRA(Server&amp;$D$22,$D153,"French")</f>
        <v>Charges exceptionnelles sur exe. ant.</v>
      </c>
      <c r="J153" s="316" t="str">
        <f ca="1">_xll.DBRA(Server&amp;$D$22,$D153,"French")</f>
        <v>Charges exceptionnelles sur exe. ant.</v>
      </c>
      <c r="K153" s="274"/>
      <c r="L153" s="275">
        <f ca="1">_xll.DBRW(Server&amp;Cube1,$J$13,$L$3,$J$15,$L$1,$L$2,$J$16,$D153)</f>
        <v>0</v>
      </c>
      <c r="M153" s="274"/>
      <c r="N153" s="275">
        <f ca="1">_xll.DBRW(Server&amp;Cube1,$J$13,$N$3,$J$15,$N$1,$N$2,$J$16,$D153)</f>
        <v>0</v>
      </c>
      <c r="O153" s="276"/>
      <c r="P153" s="228"/>
      <c r="Q153" s="283">
        <f ca="1">IF(xflag=1,_xll.DBSW(SAISIE!Q153,Server&amp;Cube1,$J$13,$J$14,$J$15,$J$17,Q$22,$J$16,$D153),_xll.DBRW(Server&amp;Cube1,$J$13,$J$14,$J$15,$J$17,Q$22,$J$16,$D153))</f>
        <v>0</v>
      </c>
      <c r="R153" s="283">
        <f ca="1">IF(xflag=1,_xll.DBSW(SAISIE!R153,Server&amp;Cube1,$J$13,$J$14,$J$15,$J$17,R$22,$J$16,$D153),_xll.DBRW(Server&amp;Cube1,$J$13,$J$14,$J$15,$J$17,R$22,$J$16,$D153))</f>
        <v>0</v>
      </c>
      <c r="S153" s="283">
        <f ca="1">IF(xflag=1,_xll.DBSW(SAISIE!S153,Server&amp;Cube1,$J$13,$J$14,$J$15,$J$17,S$22,$J$16,$D153),_xll.DBRW(Server&amp;Cube1,$J$13,$J$14,$J$15,$J$17,S$22,$J$16,$D153))</f>
        <v>0</v>
      </c>
      <c r="T153" s="283">
        <f ca="1">IF(xflag=1,_xll.DBSW(SAISIE!T153,Server&amp;Cube1,$J$13,$J$14,$J$15,$J$17,T$22,$J$16,$D153),_xll.DBRW(Server&amp;Cube1,$J$13,$J$14,$J$15,$J$17,T$22,$J$16,$D153))</f>
        <v>0</v>
      </c>
      <c r="U153" s="283">
        <f ca="1">IF(xflag=1,_xll.DBSW(SAISIE!U153,Server&amp;Cube1,$J$13,$J$14,$J$15,$J$17,U$22,$J$16,$D153),_xll.DBRW(Server&amp;Cube1,$J$13,$J$14,$J$15,$J$17,U$22,$J$16,$D153))</f>
        <v>0</v>
      </c>
      <c r="V153" s="283">
        <f ca="1">IF(xflag=1,_xll.DBSW(SAISIE!V153,Server&amp;Cube1,$J$13,$J$14,$J$15,$J$17,V$22,$J$16,$D153),_xll.DBRW(Server&amp;Cube1,$J$13,$J$14,$J$15,$J$17,V$22,$J$16,$D153))</f>
        <v>0</v>
      </c>
      <c r="W153" s="283">
        <f ca="1">IF(xflag=1,_xll.DBSW(SAISIE!W153,Server&amp;Cube1,$J$13,$J$14,$J$15,$J$17,W$22,$J$16,$D153),_xll.DBRW(Server&amp;Cube1,$J$13,$J$14,$J$15,$J$17,W$22,$J$16,$D153))</f>
        <v>0</v>
      </c>
      <c r="X153" s="283">
        <f ca="1">IF(xflag=1,_xll.DBSW(SAISIE!X153,Server&amp;Cube1,$J$13,$J$14,$J$15,$J$17,X$22,$J$16,$D153),_xll.DBRW(Server&amp;Cube1,$J$13,$J$14,$J$15,$J$17,X$22,$J$16,$D153))</f>
        <v>0</v>
      </c>
      <c r="Y153" s="283">
        <f ca="1">IF(xflag=1,_xll.DBSW(SAISIE!Y153,Server&amp;Cube1,$J$13,$J$14,$J$15,$J$17,Y$22,$J$16,$D153),_xll.DBRW(Server&amp;Cube1,$J$13,$J$14,$J$15,$J$17,Y$22,$J$16,$D153))</f>
        <v>0</v>
      </c>
      <c r="Z153" s="283">
        <f ca="1">IF(xflag=1,_xll.DBSW(SAISIE!Z153,Server&amp;Cube1,$J$13,$J$14,$J$15,$J$17,Z$22,$J$16,$D153),_xll.DBRW(Server&amp;Cube1,$J$13,$J$14,$J$15,$J$17,Z$22,$J$16,$D153))</f>
        <v>0</v>
      </c>
      <c r="AA153" s="283">
        <f ca="1">IF(xflag=1,_xll.DBSW(SAISIE!AA153,Server&amp;Cube1,$J$13,$J$14,$J$15,$J$17,AA$22,$J$16,$D153),_xll.DBRW(Server&amp;Cube1,$J$13,$J$14,$J$15,$J$17,AA$22,$J$16,$D153))</f>
        <v>0</v>
      </c>
      <c r="AB153" s="283">
        <f ca="1">IF(xflag=1,_xll.DBSW(SAISIE!AB153,Server&amp;Cube1,$J$13,$J$14,$J$15,$J$17,AB$22,$J$16,$D153),_xll.DBRW(Server&amp;Cube1,$J$13,$J$14,$J$15,$J$17,AB$22,$J$16,$D153))</f>
        <v>0</v>
      </c>
      <c r="AF153" s="56" t="str">
        <f ca="1">IF(xflag=1,_xll.DBSW(#REF!,Server&amp;Cube1,$J$13,$J$14,$J$15,#REF!,AF$2,$J$16,$D153),_xll.DBRW(Server&amp;Cube1,$J$13,$J$14,$J$15,#REF!,AF$2,$J$16,$D153))</f>
        <v>*KEY_ERR</v>
      </c>
    </row>
    <row r="154" spans="2:35" s="19" customFormat="1" ht="28.5" x14ac:dyDescent="0.25">
      <c r="B154" s="202"/>
      <c r="C154" s="208"/>
      <c r="D154" s="226"/>
      <c r="E154"/>
      <c r="F154" s="228"/>
      <c r="G154" s="171"/>
      <c r="H154" s="107"/>
      <c r="I154" s="228"/>
      <c r="J154" s="228"/>
      <c r="K154" s="228"/>
      <c r="L154" s="228"/>
      <c r="M154" s="228"/>
      <c r="N154" s="228"/>
      <c r="O154" s="228"/>
      <c r="P154" s="228"/>
      <c r="Q154" s="228"/>
      <c r="R154" s="228"/>
      <c r="S154" s="228"/>
      <c r="T154" s="228"/>
      <c r="U154" s="228"/>
      <c r="V154" s="228"/>
      <c r="W154" s="228"/>
      <c r="X154" s="228"/>
      <c r="Y154" s="228"/>
      <c r="Z154" s="228"/>
      <c r="AA154" s="228"/>
      <c r="AB154" s="228"/>
    </row>
    <row r="155" spans="2:35" s="19" customFormat="1" ht="15.75" x14ac:dyDescent="0.25">
      <c r="B155" s="203" t="s">
        <v>56</v>
      </c>
      <c r="C155" s="221"/>
      <c r="D155" s="226" t="str">
        <f t="shared" si="26"/>
        <v>Resultat_exceptionnel</v>
      </c>
      <c r="E155"/>
      <c r="F155" s="228"/>
      <c r="G155" s="171"/>
      <c r="H155" s="107"/>
      <c r="I155" s="315" t="str">
        <f ca="1">_xll.DBRA(Server&amp;$D$22,$D155,"French")</f>
        <v>RESULTAT exceptionnel</v>
      </c>
      <c r="J155" s="315" t="str">
        <f ca="1">_xll.DBRA(Server&amp;$D$22,$D155,"French")</f>
        <v>RESULTAT exceptionnel</v>
      </c>
      <c r="K155" s="39"/>
      <c r="L155" s="290">
        <f ca="1">L149+L151</f>
        <v>0</v>
      </c>
      <c r="M155" s="228"/>
      <c r="N155" s="290">
        <f ca="1">N149+N151</f>
        <v>0</v>
      </c>
      <c r="O155" s="228"/>
      <c r="P155" s="228"/>
      <c r="Q155" s="290">
        <f t="shared" ref="Q155:AB155" ca="1" si="29">Q149+Q151</f>
        <v>0</v>
      </c>
      <c r="R155" s="290">
        <f t="shared" ca="1" si="29"/>
        <v>0</v>
      </c>
      <c r="S155" s="290">
        <f t="shared" ca="1" si="29"/>
        <v>0</v>
      </c>
      <c r="T155" s="290">
        <f t="shared" ca="1" si="29"/>
        <v>0</v>
      </c>
      <c r="U155" s="290">
        <f t="shared" ca="1" si="29"/>
        <v>0</v>
      </c>
      <c r="V155" s="290">
        <f t="shared" ca="1" si="29"/>
        <v>0</v>
      </c>
      <c r="W155" s="290">
        <f t="shared" ca="1" si="29"/>
        <v>0</v>
      </c>
      <c r="X155" s="290">
        <f t="shared" ca="1" si="29"/>
        <v>0</v>
      </c>
      <c r="Y155" s="290">
        <f t="shared" ca="1" si="29"/>
        <v>0</v>
      </c>
      <c r="Z155" s="290">
        <f t="shared" ca="1" si="29"/>
        <v>0</v>
      </c>
      <c r="AA155" s="290">
        <f t="shared" ca="1" si="29"/>
        <v>0</v>
      </c>
      <c r="AB155" s="290">
        <f t="shared" ca="1" si="29"/>
        <v>0</v>
      </c>
    </row>
    <row r="156" spans="2:35" s="19" customFormat="1" x14ac:dyDescent="0.25">
      <c r="B156" s="200"/>
      <c r="C156" s="209"/>
      <c r="D156" s="226"/>
      <c r="E156"/>
      <c r="F156" s="228"/>
      <c r="G156" s="171"/>
      <c r="H156" s="107"/>
      <c r="I156" s="228"/>
      <c r="J156" s="228"/>
      <c r="K156" s="228"/>
      <c r="L156" s="228"/>
      <c r="M156" s="228"/>
      <c r="N156" s="228"/>
      <c r="O156" s="228"/>
      <c r="P156" s="228"/>
      <c r="Q156" s="228"/>
      <c r="R156" s="228"/>
      <c r="S156" s="228"/>
      <c r="T156" s="228"/>
      <c r="U156" s="228"/>
      <c r="V156" s="228"/>
      <c r="W156" s="228"/>
      <c r="X156" s="228"/>
      <c r="Y156" s="228"/>
      <c r="Z156" s="228"/>
      <c r="AA156" s="228"/>
      <c r="AB156" s="228"/>
    </row>
    <row r="157" spans="2:35" s="19" customFormat="1" x14ac:dyDescent="0.25">
      <c r="B157" s="200"/>
      <c r="C157" s="209"/>
      <c r="D157" s="226"/>
      <c r="E157"/>
      <c r="F157" s="228"/>
      <c r="G157" s="171"/>
      <c r="H157" s="107"/>
      <c r="I157" s="228"/>
      <c r="J157" s="228"/>
      <c r="K157" s="228"/>
      <c r="L157" s="228"/>
      <c r="M157" s="228"/>
      <c r="N157" s="228"/>
      <c r="O157" s="228"/>
      <c r="P157" s="228"/>
      <c r="Q157" s="228"/>
      <c r="R157" s="228"/>
      <c r="S157" s="228"/>
      <c r="T157" s="228"/>
      <c r="U157" s="228"/>
      <c r="V157" s="228"/>
      <c r="W157" s="228"/>
      <c r="X157" s="228"/>
      <c r="Y157" s="228"/>
      <c r="Z157" s="228"/>
      <c r="AA157" s="228"/>
      <c r="AB157" s="228"/>
    </row>
    <row r="158" spans="2:35" s="19" customFormat="1" x14ac:dyDescent="0.25">
      <c r="B158" s="200"/>
      <c r="C158" s="210"/>
      <c r="D158" s="226"/>
      <c r="E158"/>
      <c r="F158" s="228"/>
      <c r="G158" s="171"/>
      <c r="H158" s="107"/>
      <c r="I158" s="228"/>
      <c r="J158" s="228"/>
      <c r="K158" s="228"/>
      <c r="L158" s="228"/>
      <c r="M158" s="228"/>
      <c r="N158" s="228"/>
      <c r="O158" s="228"/>
      <c r="P158" s="228"/>
      <c r="Q158" s="228"/>
      <c r="R158" s="228"/>
      <c r="S158" s="228"/>
      <c r="T158" s="228"/>
      <c r="U158" s="228"/>
      <c r="V158" s="228"/>
      <c r="W158" s="228"/>
      <c r="X158" s="228"/>
      <c r="Y158" s="228"/>
      <c r="Z158" s="228"/>
      <c r="AA158" s="228"/>
      <c r="AB158" s="228"/>
    </row>
    <row r="159" spans="2:35" s="19" customFormat="1" ht="15.75" x14ac:dyDescent="0.25">
      <c r="B159" s="200" t="s">
        <v>18</v>
      </c>
      <c r="C159" s="222" t="s">
        <v>279</v>
      </c>
      <c r="D159" s="226" t="str">
        <f t="shared" si="26"/>
        <v>Resultat_avt_imp_taxes</v>
      </c>
      <c r="E159"/>
      <c r="F159" s="228"/>
      <c r="G159" s="171"/>
      <c r="H159" s="107"/>
      <c r="I159" s="311" t="str">
        <f ca="1">_xll.DBRA(Server&amp;$D$22,$D159,"French")</f>
        <v>RESULTAT avant Impôts et Taxes</v>
      </c>
      <c r="J159" s="311" t="str">
        <f ca="1">_xll.DBRA(Server&amp;$D$22,$D159,"French")</f>
        <v>RESULTAT avant Impôts et Taxes</v>
      </c>
      <c r="K159" s="228"/>
      <c r="L159" s="255">
        <f ca="1">L136+L146+L155</f>
        <v>1275011.8600000001</v>
      </c>
      <c r="M159" s="254"/>
      <c r="N159" s="255">
        <f ca="1">N136+N146+N155</f>
        <v>1368890.3300000008</v>
      </c>
      <c r="O159" s="256"/>
      <c r="P159" s="257"/>
      <c r="Q159" s="255">
        <f t="shared" ref="Q159:V159" ca="1" si="30">Q136+Q146+Q155</f>
        <v>0</v>
      </c>
      <c r="R159" s="255">
        <f t="shared" ca="1" si="30"/>
        <v>451986.6399999999</v>
      </c>
      <c r="S159" s="255">
        <f t="shared" ca="1" si="30"/>
        <v>-439040.12000000034</v>
      </c>
      <c r="T159" s="255">
        <f ca="1">T136+T146+T155</f>
        <v>-155434.90000000002</v>
      </c>
      <c r="U159" s="255">
        <f t="shared" ca="1" si="30"/>
        <v>238844.02999999994</v>
      </c>
      <c r="V159" s="255">
        <f t="shared" ca="1" si="30"/>
        <v>-450126.53999999992</v>
      </c>
      <c r="W159" s="255">
        <f t="shared" ref="W159:AB159" ca="1" si="31">W136+W146+W155</f>
        <v>0</v>
      </c>
      <c r="X159" s="255">
        <f t="shared" ca="1" si="31"/>
        <v>0</v>
      </c>
      <c r="Y159" s="255">
        <f t="shared" ca="1" si="31"/>
        <v>0</v>
      </c>
      <c r="Z159" s="255">
        <f t="shared" ca="1" si="31"/>
        <v>0</v>
      </c>
      <c r="AA159" s="255">
        <f t="shared" ca="1" si="31"/>
        <v>0</v>
      </c>
      <c r="AB159" s="255">
        <f t="shared" ca="1" si="31"/>
        <v>0</v>
      </c>
    </row>
    <row r="160" spans="2:35" s="19" customFormat="1" ht="15.75" x14ac:dyDescent="0.25">
      <c r="B160" s="205" t="s">
        <v>127</v>
      </c>
      <c r="C160" s="211"/>
      <c r="D160" s="226" t="str">
        <f t="shared" si="26"/>
        <v>Calc excel</v>
      </c>
      <c r="E160"/>
      <c r="F160" s="228"/>
      <c r="G160" s="171"/>
      <c r="H160" s="107"/>
      <c r="I160" s="318" t="s">
        <v>77</v>
      </c>
      <c r="J160" s="318"/>
      <c r="K160" s="228"/>
      <c r="L160" s="287">
        <f ca="1">IF(ISERROR(L159/L42),"-",L159/L42)</f>
        <v>0.48616390955637184</v>
      </c>
      <c r="M160" s="228"/>
      <c r="N160" s="287">
        <f ca="1">IF(ISERROR(N159/N42),"-",N159/N42)</f>
        <v>0.53491175527079382</v>
      </c>
      <c r="O160" s="228"/>
      <c r="P160" s="228"/>
      <c r="Q160" s="287" t="str">
        <f t="shared" ref="Q160:AB160" ca="1" si="32">IF(ISERROR(Q159/Q42),"-",Q159/Q42)</f>
        <v>-</v>
      </c>
      <c r="R160" s="287">
        <f t="shared" ca="1" si="32"/>
        <v>-4.3618543022327456</v>
      </c>
      <c r="S160" s="287">
        <f t="shared" ca="1" si="32"/>
        <v>-0.32796355165395796</v>
      </c>
      <c r="T160" s="287">
        <f t="shared" ca="1" si="32"/>
        <v>-4.9883182743909051</v>
      </c>
      <c r="U160" s="287">
        <f t="shared" ca="1" si="32"/>
        <v>-0.31743670860209849</v>
      </c>
      <c r="V160" s="287">
        <f t="shared" ca="1" si="32"/>
        <v>-0.39934515868855458</v>
      </c>
      <c r="W160" s="287" t="str">
        <f t="shared" ca="1" si="32"/>
        <v>-</v>
      </c>
      <c r="X160" s="287" t="str">
        <f t="shared" ca="1" si="32"/>
        <v>-</v>
      </c>
      <c r="Y160" s="287" t="str">
        <f t="shared" ca="1" si="32"/>
        <v>-</v>
      </c>
      <c r="Z160" s="287" t="str">
        <f t="shared" ca="1" si="32"/>
        <v>-</v>
      </c>
      <c r="AA160" s="287" t="str">
        <f t="shared" ca="1" si="32"/>
        <v>-</v>
      </c>
      <c r="AB160" s="287" t="str">
        <f t="shared" ca="1" si="32"/>
        <v>-</v>
      </c>
    </row>
    <row r="161" spans="2:35" s="19" customFormat="1" x14ac:dyDescent="0.25">
      <c r="B161" s="202"/>
      <c r="C161" s="212"/>
      <c r="D161" s="226"/>
      <c r="E161"/>
      <c r="F161" s="228"/>
      <c r="G161" s="171"/>
      <c r="H161" s="107"/>
      <c r="I161" s="228"/>
      <c r="J161" s="228"/>
      <c r="K161" s="228"/>
      <c r="L161" s="228"/>
      <c r="M161" s="228"/>
      <c r="N161" s="228"/>
      <c r="O161" s="228"/>
      <c r="P161" s="228"/>
      <c r="Q161" s="228"/>
      <c r="R161" s="228"/>
      <c r="S161" s="228"/>
      <c r="T161" s="228"/>
      <c r="U161" s="228"/>
      <c r="V161" s="228"/>
      <c r="W161" s="228"/>
      <c r="X161" s="228"/>
      <c r="Y161" s="228"/>
      <c r="Z161" s="228"/>
      <c r="AA161" s="228"/>
      <c r="AB161" s="228"/>
    </row>
    <row r="162" spans="2:35" s="19" customFormat="1" ht="15.75" thickBot="1" x14ac:dyDescent="0.3">
      <c r="B162" s="202"/>
      <c r="C162" s="215"/>
      <c r="D162" s="226"/>
      <c r="E162"/>
      <c r="F162" s="228"/>
      <c r="G162" s="171"/>
      <c r="H162" s="107"/>
      <c r="I162" s="228"/>
      <c r="J162" s="228"/>
      <c r="K162" s="228"/>
      <c r="L162" s="228"/>
      <c r="M162" s="228"/>
      <c r="N162" s="228"/>
      <c r="O162" s="228"/>
      <c r="P162" s="228"/>
      <c r="Q162" s="228"/>
      <c r="R162" s="228"/>
      <c r="S162" s="228"/>
      <c r="T162" s="228"/>
      <c r="U162" s="228"/>
      <c r="V162" s="228"/>
      <c r="W162" s="228"/>
      <c r="X162" s="228"/>
      <c r="Y162" s="228"/>
      <c r="Z162" s="228"/>
      <c r="AA162" s="228"/>
      <c r="AB162" s="228"/>
    </row>
    <row r="163" spans="2:35" s="19" customFormat="1" ht="16.5" thickTop="1" x14ac:dyDescent="0.25">
      <c r="B163" s="200" t="s">
        <v>59</v>
      </c>
      <c r="C163" s="219" t="s">
        <v>280</v>
      </c>
      <c r="D163" s="226" t="str">
        <f t="shared" si="26"/>
        <v>Impots_Taxes</v>
      </c>
      <c r="E163"/>
      <c r="F163" s="228"/>
      <c r="G163" s="171"/>
      <c r="H163" s="107"/>
      <c r="I163" s="315" t="str">
        <f ca="1">_xll.DBRA(Server&amp;$D$22,$D163,"French")</f>
        <v>Impôts et Taxes</v>
      </c>
      <c r="J163" s="315" t="str">
        <f ca="1">_xll.DBRA(Server&amp;$D$22,$D163,"French")</f>
        <v>Impôts et Taxes</v>
      </c>
      <c r="K163" s="39"/>
      <c r="L163" s="67">
        <f ca="1">SUM(L164:L166)</f>
        <v>0</v>
      </c>
      <c r="M163" s="228"/>
      <c r="N163" s="67">
        <f ca="1">SUM(N164:N166)</f>
        <v>0</v>
      </c>
      <c r="O163" s="228"/>
      <c r="P163" s="228"/>
      <c r="Q163" s="290">
        <f t="shared" ref="Q163:AB163" ca="1" si="33">SUM(Q164:Q166)</f>
        <v>0</v>
      </c>
      <c r="R163" s="290">
        <f t="shared" ca="1" si="33"/>
        <v>3616.5</v>
      </c>
      <c r="S163" s="290">
        <f t="shared" ca="1" si="33"/>
        <v>-7217.88</v>
      </c>
      <c r="T163" s="290">
        <f t="shared" ca="1" si="33"/>
        <v>-379.97000000000031</v>
      </c>
      <c r="U163" s="290">
        <f t="shared" ca="1" si="33"/>
        <v>4524.47</v>
      </c>
      <c r="V163" s="290">
        <f t="shared" ca="1" si="33"/>
        <v>-8428.73</v>
      </c>
      <c r="W163" s="290">
        <f t="shared" ca="1" si="33"/>
        <v>0</v>
      </c>
      <c r="X163" s="290">
        <f t="shared" ca="1" si="33"/>
        <v>0</v>
      </c>
      <c r="Y163" s="290">
        <f t="shared" ca="1" si="33"/>
        <v>0</v>
      </c>
      <c r="Z163" s="290">
        <f t="shared" ca="1" si="33"/>
        <v>0</v>
      </c>
      <c r="AA163" s="290">
        <f t="shared" ca="1" si="33"/>
        <v>0</v>
      </c>
      <c r="AB163" s="290">
        <f t="shared" ca="1" si="33"/>
        <v>0</v>
      </c>
    </row>
    <row r="164" spans="2:35" s="19" customFormat="1" ht="15.75" x14ac:dyDescent="0.25">
      <c r="B164" s="204" t="s">
        <v>60</v>
      </c>
      <c r="C164" s="214" t="s">
        <v>281</v>
      </c>
      <c r="D164" s="226" t="str">
        <f t="shared" si="26"/>
        <v>635115</v>
      </c>
      <c r="E164"/>
      <c r="F164" s="228"/>
      <c r="G164" s="171"/>
      <c r="H164" s="107"/>
      <c r="I164" s="316" t="str">
        <f ca="1">_xll.DBRA(Server&amp;$D$22,$D164,"French")</f>
        <v>CVAE</v>
      </c>
      <c r="J164" s="316" t="str">
        <f ca="1">_xll.DBRA(Server&amp;$D$22,$D164,"French")</f>
        <v>CVAE</v>
      </c>
      <c r="K164" s="274"/>
      <c r="L164" s="275">
        <f ca="1">_xll.DBRW(Server&amp;Cube1,$J$13,$L$3,$J$15,$L$1,$L$2,$J$16,$D164)</f>
        <v>0</v>
      </c>
      <c r="M164" s="274"/>
      <c r="N164" s="275">
        <f ca="1">_xll.DBRW(Server&amp;Cube1,$J$13,$N$3,$J$15,$N$1,$N$2,$J$16,$D164)</f>
        <v>0</v>
      </c>
      <c r="O164" s="276"/>
      <c r="P164" s="228"/>
      <c r="Q164" s="289">
        <f ca="1">IF(xflag=1,_xll.DBSW(SAISIE!Q164,Server&amp;Cube1,$J$13,$J$14,$J$15,$J$17,Q$22,$J$16,$D164),_xll.DBRW(Server&amp;Cube1,$J$13,$J$14,$J$15,$J$17,Q$22,$J$16,$D164))</f>
        <v>0</v>
      </c>
      <c r="R164" s="289">
        <f ca="1">IF(xflag=1,_xll.DBSW(SAISIE!R164,Server&amp;Cube1,$J$13,$J$14,$J$15,$J$17,R$22,$J$16,$D164),_xll.DBRW(Server&amp;Cube1,$J$13,$J$14,$J$15,$J$17,R$22,$J$16,$D164))</f>
        <v>0</v>
      </c>
      <c r="S164" s="289">
        <f ca="1">IF(xflag=1,_xll.DBSW(SAISIE!S164,Server&amp;Cube1,$J$13,$J$14,$J$15,$J$17,S$22,$J$16,$D164),_xll.DBRW(Server&amp;Cube1,$J$13,$J$14,$J$15,$J$17,S$22,$J$16,$D164))</f>
        <v>-2437.2399999999998</v>
      </c>
      <c r="T164" s="289">
        <f ca="1">IF(xflag=1,_xll.DBSW(SAISIE!T164,Server&amp;Cube1,$J$13,$J$14,$J$15,$J$17,T$22,$J$16,$D164),_xll.DBRW(Server&amp;Cube1,$J$13,$J$14,$J$15,$J$17,T$22,$J$16,$D164))</f>
        <v>-812.41000000000031</v>
      </c>
      <c r="U164" s="289">
        <f ca="1">IF(xflag=1,_xll.DBSW(SAISIE!U164,Server&amp;Cube1,$J$13,$J$14,$J$15,$J$17,U$22,$J$16,$D164),_xll.DBRW(Server&amp;Cube1,$J$13,$J$14,$J$15,$J$17,U$22,$J$16,$D164))</f>
        <v>3249.65</v>
      </c>
      <c r="V164" s="289">
        <f ca="1">IF(xflag=1,_xll.DBSW(SAISIE!V164,Server&amp;Cube1,$J$13,$J$14,$J$15,$J$17,V$22,$J$16,$D164),_xll.DBRW(Server&amp;Cube1,$J$13,$J$14,$J$15,$J$17,V$22,$J$16,$D164))</f>
        <v>-4874.4799999999996</v>
      </c>
      <c r="W164" s="289">
        <f ca="1">IF(xflag=1,_xll.DBSW(SAISIE!W164,Server&amp;Cube1,$J$13,$J$14,$J$15,$J$17,W$22,$J$16,$D164),_xll.DBRW(Server&amp;Cube1,$J$13,$J$14,$J$15,$J$17,W$22,$J$16,$D164))</f>
        <v>0</v>
      </c>
      <c r="X164" s="289">
        <f ca="1">IF(xflag=1,_xll.DBSW(SAISIE!X164,Server&amp;Cube1,$J$13,$J$14,$J$15,$J$17,X$22,$J$16,$D164),_xll.DBRW(Server&amp;Cube1,$J$13,$J$14,$J$15,$J$17,X$22,$J$16,$D164))</f>
        <v>0</v>
      </c>
      <c r="Y164" s="289">
        <f ca="1">IF(xflag=1,_xll.DBSW(SAISIE!Y164,Server&amp;Cube1,$J$13,$J$14,$J$15,$J$17,Y$22,$J$16,$D164),_xll.DBRW(Server&amp;Cube1,$J$13,$J$14,$J$15,$J$17,Y$22,$J$16,$D164))</f>
        <v>0</v>
      </c>
      <c r="Z164" s="289">
        <f ca="1">IF(xflag=1,_xll.DBSW(SAISIE!Z164,Server&amp;Cube1,$J$13,$J$14,$J$15,$J$17,Z$22,$J$16,$D164),_xll.DBRW(Server&amp;Cube1,$J$13,$J$14,$J$15,$J$17,Z$22,$J$16,$D164))</f>
        <v>0</v>
      </c>
      <c r="AA164" s="289">
        <f ca="1">IF(xflag=1,_xll.DBSW(SAISIE!AA164,Server&amp;Cube1,$J$13,$J$14,$J$15,$J$17,AA$22,$J$16,$D164),_xll.DBRW(Server&amp;Cube1,$J$13,$J$14,$J$15,$J$17,AA$22,$J$16,$D164))</f>
        <v>0</v>
      </c>
      <c r="AB164" s="289">
        <f ca="1">IF(xflag=1,_xll.DBSW(SAISIE!AB164,Server&amp;Cube1,$J$13,$J$14,$J$15,$J$17,AB$22,$J$16,$D164),_xll.DBRW(Server&amp;Cube1,$J$13,$J$14,$J$15,$J$17,AB$22,$J$16,$D164))</f>
        <v>0</v>
      </c>
      <c r="AF164" s="56" t="str">
        <f ca="1">IF(xflag=1,_xll.DBSW(#REF!,Server&amp;Cube1,$J$13,$J$14,$J$15,#REF!,AF$2,$J$16,$D164),_xll.DBRW(Server&amp;Cube1,$J$13,$J$14,$J$15,#REF!,AF$2,$J$16,$D164))</f>
        <v>*KEY_ERR</v>
      </c>
    </row>
    <row r="165" spans="2:35" s="19" customFormat="1" ht="16.5" thickBot="1" x14ac:dyDescent="0.3">
      <c r="B165" s="204" t="s">
        <v>62</v>
      </c>
      <c r="C165" s="213" t="s">
        <v>282</v>
      </c>
      <c r="D165" s="226" t="str">
        <f t="shared" si="26"/>
        <v>635140</v>
      </c>
      <c r="E165"/>
      <c r="F165" s="228"/>
      <c r="G165" s="171"/>
      <c r="H165" s="107"/>
      <c r="I165" s="316" t="str">
        <f ca="1">_xll.DBRA(Server&amp;$D$22,$D165,"French")</f>
        <v>Taxe sur les véhicules de sociétés</v>
      </c>
      <c r="J165" s="316" t="str">
        <f ca="1">_xll.DBRA(Server&amp;$D$22,$D165,"French")</f>
        <v>Taxe sur les véhicules de sociétés</v>
      </c>
      <c r="K165" s="274"/>
      <c r="L165" s="275">
        <f ca="1">_xll.DBRW(Server&amp;Cube1,$J$13,$L$3,$J$15,$L$1,$L$2,$J$16,$D165)</f>
        <v>0</v>
      </c>
      <c r="M165" s="274"/>
      <c r="N165" s="275">
        <f ca="1">_xll.DBRW(Server&amp;Cube1,$J$13,$N$3,$J$15,$N$1,$N$2,$J$16,$D165)</f>
        <v>0</v>
      </c>
      <c r="O165" s="276"/>
      <c r="P165" s="228"/>
      <c r="Q165" s="284">
        <f ca="1">IF(xflag=1,_xll.DBSW(SAISIE!Q165,Server&amp;Cube1,$J$13,$J$14,$J$15,$J$17,Q$22,$J$16,$D165),_xll.DBRW(Server&amp;Cube1,$J$13,$J$14,$J$15,$J$17,Q$22,$J$16,$D165))</f>
        <v>0</v>
      </c>
      <c r="R165" s="284">
        <f ca="1">IF(xflag=1,_xll.DBSW(SAISIE!R165,Server&amp;Cube1,$J$13,$J$14,$J$15,$J$17,R$22,$J$16,$D165),_xll.DBRW(Server&amp;Cube1,$J$13,$J$14,$J$15,$J$17,R$22,$J$16,$D165))</f>
        <v>3616.5</v>
      </c>
      <c r="S165" s="284">
        <f ca="1">IF(xflag=1,_xll.DBSW(SAISIE!S165,Server&amp;Cube1,$J$13,$J$14,$J$15,$J$17,S$22,$J$16,$D165),_xll.DBRW(Server&amp;Cube1,$J$13,$J$14,$J$15,$J$17,S$22,$J$16,$D165))</f>
        <v>-4780.6400000000003</v>
      </c>
      <c r="T165" s="284">
        <f ca="1">IF(xflag=1,_xll.DBSW(SAISIE!T165,Server&amp;Cube1,$J$13,$J$14,$J$15,$J$17,T$22,$J$16,$D165),_xll.DBRW(Server&amp;Cube1,$J$13,$J$14,$J$15,$J$17,T$22,$J$16,$D165))</f>
        <v>432.44</v>
      </c>
      <c r="U165" s="284">
        <f ca="1">IF(xflag=1,_xll.DBSW(SAISIE!U165,Server&amp;Cube1,$J$13,$J$14,$J$15,$J$17,U$22,$J$16,$D165),_xll.DBRW(Server&amp;Cube1,$J$13,$J$14,$J$15,$J$17,U$22,$J$16,$D165))</f>
        <v>1274.82</v>
      </c>
      <c r="V165" s="284">
        <f ca="1">IF(xflag=1,_xll.DBSW(SAISIE!V165,Server&amp;Cube1,$J$13,$J$14,$J$15,$J$17,V$22,$J$16,$D165),_xll.DBRW(Server&amp;Cube1,$J$13,$J$14,$J$15,$J$17,V$22,$J$16,$D165))</f>
        <v>-3554.25</v>
      </c>
      <c r="W165" s="284">
        <f ca="1">IF(xflag=1,_xll.DBSW(SAISIE!W165,Server&amp;Cube1,$J$13,$J$14,$J$15,$J$17,W$22,$J$16,$D165),_xll.DBRW(Server&amp;Cube1,$J$13,$J$14,$J$15,$J$17,W$22,$J$16,$D165))</f>
        <v>0</v>
      </c>
      <c r="X165" s="284">
        <f ca="1">IF(xflag=1,_xll.DBSW(SAISIE!X165,Server&amp;Cube1,$J$13,$J$14,$J$15,$J$17,X$22,$J$16,$D165),_xll.DBRW(Server&amp;Cube1,$J$13,$J$14,$J$15,$J$17,X$22,$J$16,$D165))</f>
        <v>0</v>
      </c>
      <c r="Y165" s="284">
        <f ca="1">IF(xflag=1,_xll.DBSW(SAISIE!Y165,Server&amp;Cube1,$J$13,$J$14,$J$15,$J$17,Y$22,$J$16,$D165),_xll.DBRW(Server&amp;Cube1,$J$13,$J$14,$J$15,$J$17,Y$22,$J$16,$D165))</f>
        <v>0</v>
      </c>
      <c r="Z165" s="284">
        <f ca="1">IF(xflag=1,_xll.DBSW(SAISIE!Z165,Server&amp;Cube1,$J$13,$J$14,$J$15,$J$17,Z$22,$J$16,$D165),_xll.DBRW(Server&amp;Cube1,$J$13,$J$14,$J$15,$J$17,Z$22,$J$16,$D165))</f>
        <v>0</v>
      </c>
      <c r="AA165" s="284">
        <f ca="1">IF(xflag=1,_xll.DBSW(SAISIE!AA165,Server&amp;Cube1,$J$13,$J$14,$J$15,$J$17,AA$22,$J$16,$D165),_xll.DBRW(Server&amp;Cube1,$J$13,$J$14,$J$15,$J$17,AA$22,$J$16,$D165))</f>
        <v>0</v>
      </c>
      <c r="AB165" s="284">
        <f ca="1">IF(xflag=1,_xll.DBSW(SAISIE!AB165,Server&amp;Cube1,$J$13,$J$14,$J$15,$J$17,AB$22,$J$16,$D165),_xll.DBRW(Server&amp;Cube1,$J$13,$J$14,$J$15,$J$17,AB$22,$J$16,$D165))</f>
        <v>0</v>
      </c>
      <c r="AF165" s="56" t="str">
        <f ca="1">IF(xflag=1,_xll.DBSW(#REF!,Server&amp;Cube1,$J$13,$J$14,$J$15,#REF!,AF$2,$J$16,$D165),_xll.DBRW(Server&amp;Cube1,$J$13,$J$14,$J$15,#REF!,AF$2,$J$16,$D165))</f>
        <v>*KEY_ERR</v>
      </c>
      <c r="AI165" s="19">
        <v>17</v>
      </c>
    </row>
    <row r="166" spans="2:35" s="19" customFormat="1" ht="16.5" thickTop="1" x14ac:dyDescent="0.25">
      <c r="B166" s="204" t="s">
        <v>61</v>
      </c>
      <c r="C166" s="214" t="s">
        <v>283</v>
      </c>
      <c r="D166" s="226" t="str">
        <f t="shared" si="26"/>
        <v>637100</v>
      </c>
      <c r="E166"/>
      <c r="F166" s="228"/>
      <c r="G166" s="171"/>
      <c r="H166" s="107"/>
      <c r="I166" s="316" t="str">
        <f ca="1">_xll.DBRA(Server&amp;$D$22,$D166,"French")</f>
        <v>Organic</v>
      </c>
      <c r="J166" s="316" t="str">
        <f ca="1">_xll.DBRA(Server&amp;$D$22,$D166,"French")</f>
        <v>Organic</v>
      </c>
      <c r="K166" s="274"/>
      <c r="L166" s="275">
        <f ca="1">_xll.DBRW(Server&amp;Cube1,$J$13,$L$3,$J$15,$L$1,$L$2,$J$16,$D166)</f>
        <v>0</v>
      </c>
      <c r="M166" s="274"/>
      <c r="N166" s="275">
        <f ca="1">_xll.DBRW(Server&amp;Cube1,$J$13,$N$3,$J$15,$N$1,$N$2,$J$16,$D166)</f>
        <v>0</v>
      </c>
      <c r="O166" s="276"/>
      <c r="P166" s="228"/>
      <c r="Q166" s="283">
        <f ca="1">IF(xflag=1,_xll.DBSW(SAISIE!Q166,Server&amp;Cube1,$J$13,$J$14,$J$15,$J$17,Q$22,$J$16,$D166),_xll.DBRW(Server&amp;Cube1,$J$13,$J$14,$J$15,$J$17,Q$22,$J$16,$D166))</f>
        <v>0</v>
      </c>
      <c r="R166" s="283">
        <f ca="1">IF(xflag=1,_xll.DBSW(SAISIE!R166,Server&amp;Cube1,$J$13,$J$14,$J$15,$J$17,R$22,$J$16,$D166),_xll.DBRW(Server&amp;Cube1,$J$13,$J$14,$J$15,$J$17,R$22,$J$16,$D166))</f>
        <v>0</v>
      </c>
      <c r="S166" s="283">
        <f ca="1">IF(xflag=1,_xll.DBSW(SAISIE!S166,Server&amp;Cube1,$J$13,$J$14,$J$15,$J$17,S$22,$J$16,$D166),_xll.DBRW(Server&amp;Cube1,$J$13,$J$14,$J$15,$J$17,S$22,$J$16,$D166))</f>
        <v>0</v>
      </c>
      <c r="T166" s="283">
        <f ca="1">IF(xflag=1,_xll.DBSW(SAISIE!T166,Server&amp;Cube1,$J$13,$J$14,$J$15,$J$17,T$22,$J$16,$D166),_xll.DBRW(Server&amp;Cube1,$J$13,$J$14,$J$15,$J$17,T$22,$J$16,$D166))</f>
        <v>0</v>
      </c>
      <c r="U166" s="283">
        <f ca="1">IF(xflag=1,_xll.DBSW(SAISIE!U166,Server&amp;Cube1,$J$13,$J$14,$J$15,$J$17,U$22,$J$16,$D166),_xll.DBRW(Server&amp;Cube1,$J$13,$J$14,$J$15,$J$17,U$22,$J$16,$D166))</f>
        <v>0</v>
      </c>
      <c r="V166" s="283">
        <f ca="1">IF(xflag=1,_xll.DBSW(SAISIE!V166,Server&amp;Cube1,$J$13,$J$14,$J$15,$J$17,V$22,$J$16,$D166),_xll.DBRW(Server&amp;Cube1,$J$13,$J$14,$J$15,$J$17,V$22,$J$16,$D166))</f>
        <v>0</v>
      </c>
      <c r="W166" s="283">
        <f ca="1">IF(xflag=1,_xll.DBSW(SAISIE!W166,Server&amp;Cube1,$J$13,$J$14,$J$15,$J$17,W$22,$J$16,$D166),_xll.DBRW(Server&amp;Cube1,$J$13,$J$14,$J$15,$J$17,W$22,$J$16,$D166))</f>
        <v>0</v>
      </c>
      <c r="X166" s="283">
        <f ca="1">IF(xflag=1,_xll.DBSW(SAISIE!X166,Server&amp;Cube1,$J$13,$J$14,$J$15,$J$17,X$22,$J$16,$D166),_xll.DBRW(Server&amp;Cube1,$J$13,$J$14,$J$15,$J$17,X$22,$J$16,$D166))</f>
        <v>0</v>
      </c>
      <c r="Y166" s="283">
        <f ca="1">IF(xflag=1,_xll.DBSW(SAISIE!Y166,Server&amp;Cube1,$J$13,$J$14,$J$15,$J$17,Y$22,$J$16,$D166),_xll.DBRW(Server&amp;Cube1,$J$13,$J$14,$J$15,$J$17,Y$22,$J$16,$D166))</f>
        <v>0</v>
      </c>
      <c r="Z166" s="283">
        <f ca="1">IF(xflag=1,_xll.DBSW(SAISIE!Z166,Server&amp;Cube1,$J$13,$J$14,$J$15,$J$17,Z$22,$J$16,$D166),_xll.DBRW(Server&amp;Cube1,$J$13,$J$14,$J$15,$J$17,Z$22,$J$16,$D166))</f>
        <v>0</v>
      </c>
      <c r="AA166" s="283">
        <f ca="1">IF(xflag=1,_xll.DBSW(SAISIE!AA166,Server&amp;Cube1,$J$13,$J$14,$J$15,$J$17,AA$22,$J$16,$D166),_xll.DBRW(Server&amp;Cube1,$J$13,$J$14,$J$15,$J$17,AA$22,$J$16,$D166))</f>
        <v>0</v>
      </c>
      <c r="AB166" s="283">
        <f ca="1">IF(xflag=1,_xll.DBSW(SAISIE!AB166,Server&amp;Cube1,$J$13,$J$14,$J$15,$J$17,AB$22,$J$16,$D166),_xll.DBRW(Server&amp;Cube1,$J$13,$J$14,$J$15,$J$17,AB$22,$J$16,$D166))</f>
        <v>0</v>
      </c>
      <c r="AF166" s="56" t="str">
        <f ca="1">IF(xflag=1,_xll.DBSW(#REF!,Server&amp;Cube1,$J$13,$J$14,$J$15,#REF!,AF$2,$J$16,$D166),_xll.DBRW(Server&amp;Cube1,$J$13,$J$14,$J$15,#REF!,AF$2,$J$16,$D166))</f>
        <v>*KEY_ERR</v>
      </c>
    </row>
    <row r="167" spans="2:35" s="19" customFormat="1" x14ac:dyDescent="0.25">
      <c r="B167" s="200"/>
      <c r="C167" s="209"/>
      <c r="D167" s="226"/>
      <c r="E167"/>
      <c r="F167" s="228"/>
      <c r="G167" s="171"/>
      <c r="H167" s="107"/>
      <c r="I167" s="228"/>
      <c r="J167" s="228"/>
      <c r="K167" s="228"/>
      <c r="L167" s="228"/>
      <c r="M167" s="228"/>
      <c r="N167" s="228"/>
      <c r="O167" s="228"/>
      <c r="P167" s="228"/>
      <c r="Q167" s="228"/>
      <c r="R167" s="228"/>
      <c r="S167" s="228"/>
      <c r="T167" s="228"/>
      <c r="U167" s="228"/>
      <c r="V167" s="228"/>
      <c r="W167" s="228"/>
      <c r="X167" s="228"/>
      <c r="Y167" s="228"/>
      <c r="Z167" s="228"/>
      <c r="AA167" s="228"/>
      <c r="AB167" s="228"/>
    </row>
    <row r="168" spans="2:35" s="19" customFormat="1" x14ac:dyDescent="0.25">
      <c r="B168" s="200"/>
      <c r="C168" s="209"/>
      <c r="D168" s="226"/>
      <c r="E168"/>
      <c r="F168" s="228"/>
      <c r="G168" s="171"/>
      <c r="H168" s="107"/>
      <c r="I168" s="228"/>
      <c r="J168" s="228"/>
      <c r="K168" s="228"/>
      <c r="L168" s="228"/>
      <c r="M168" s="228"/>
      <c r="N168" s="228"/>
      <c r="O168" s="228"/>
      <c r="P168" s="228"/>
      <c r="Q168" s="228"/>
      <c r="R168" s="228"/>
      <c r="S168" s="228"/>
      <c r="T168" s="228"/>
      <c r="U168" s="228"/>
      <c r="V168" s="228"/>
      <c r="W168" s="228"/>
      <c r="X168" s="228"/>
      <c r="Y168" s="228"/>
      <c r="Z168" s="228"/>
      <c r="AA168" s="228"/>
      <c r="AB168" s="228"/>
    </row>
    <row r="169" spans="2:35" s="19" customFormat="1" x14ac:dyDescent="0.25">
      <c r="B169" s="200"/>
      <c r="C169" s="210"/>
      <c r="D169" s="226"/>
      <c r="E169"/>
      <c r="F169" s="228"/>
      <c r="G169" s="171"/>
      <c r="H169" s="107"/>
      <c r="I169" s="228"/>
      <c r="J169" s="228"/>
      <c r="K169" s="228"/>
      <c r="L169" s="228"/>
      <c r="M169" s="228"/>
      <c r="N169" s="228"/>
      <c r="O169" s="228"/>
      <c r="P169" s="228"/>
      <c r="Q169" s="228"/>
      <c r="R169" s="228"/>
      <c r="S169" s="228"/>
      <c r="T169" s="228"/>
      <c r="U169" s="228"/>
      <c r="V169" s="228"/>
      <c r="W169" s="228"/>
      <c r="X169" s="228"/>
      <c r="Y169" s="228"/>
      <c r="Z169" s="228"/>
      <c r="AA169" s="228"/>
      <c r="AB169" s="228"/>
    </row>
    <row r="170" spans="2:35" s="19" customFormat="1" ht="15.75" x14ac:dyDescent="0.25">
      <c r="B170" s="200" t="s">
        <v>17</v>
      </c>
      <c r="C170" s="222" t="s">
        <v>284</v>
      </c>
      <c r="D170" s="226" t="str">
        <f t="shared" si="26"/>
        <v>Resultat_net</v>
      </c>
      <c r="E170"/>
      <c r="F170" s="228"/>
      <c r="G170" s="171"/>
      <c r="H170" s="107"/>
      <c r="I170" s="311" t="str">
        <f ca="1">_xll.DBRA(Server&amp;$D$22,$D170,"French")</f>
        <v>RESULTAT NET</v>
      </c>
      <c r="J170" s="311" t="str">
        <f ca="1">_xll.DBRA(Server&amp;$D$22,$D170,"French")</f>
        <v>RESULTAT NET</v>
      </c>
      <c r="K170" s="228"/>
      <c r="L170" s="255">
        <f ca="1">L159+L163</f>
        <v>1275011.8600000001</v>
      </c>
      <c r="M170" s="254"/>
      <c r="N170" s="255">
        <f ca="1">N159+N163</f>
        <v>1368890.3300000008</v>
      </c>
      <c r="O170" s="256"/>
      <c r="P170" s="257"/>
      <c r="Q170" s="255">
        <f t="shared" ref="Q170:AB170" ca="1" si="34">Q159+Q163</f>
        <v>0</v>
      </c>
      <c r="R170" s="255">
        <f t="shared" ca="1" si="34"/>
        <v>455603.1399999999</v>
      </c>
      <c r="S170" s="255">
        <f t="shared" ca="1" si="34"/>
        <v>-446258.00000000035</v>
      </c>
      <c r="T170" s="255">
        <f ca="1">T159+T163</f>
        <v>-155814.87000000002</v>
      </c>
      <c r="U170" s="255">
        <f t="shared" ca="1" si="34"/>
        <v>243368.49999999994</v>
      </c>
      <c r="V170" s="255">
        <f t="shared" ca="1" si="34"/>
        <v>-458555.2699999999</v>
      </c>
      <c r="W170" s="255">
        <f t="shared" ca="1" si="34"/>
        <v>0</v>
      </c>
      <c r="X170" s="255">
        <f t="shared" ca="1" si="34"/>
        <v>0</v>
      </c>
      <c r="Y170" s="255">
        <f t="shared" ca="1" si="34"/>
        <v>0</v>
      </c>
      <c r="Z170" s="255">
        <f t="shared" ca="1" si="34"/>
        <v>0</v>
      </c>
      <c r="AA170" s="255">
        <f ca="1">AA159+AA163</f>
        <v>0</v>
      </c>
      <c r="AB170" s="255">
        <f t="shared" ca="1" si="34"/>
        <v>0</v>
      </c>
    </row>
    <row r="171" spans="2:35" s="19" customFormat="1" ht="15.75" x14ac:dyDescent="0.25">
      <c r="B171" s="205" t="s">
        <v>127</v>
      </c>
      <c r="C171" s="211"/>
      <c r="D171" s="226" t="str">
        <f t="shared" si="26"/>
        <v>Calc excel</v>
      </c>
      <c r="E171"/>
      <c r="F171" s="228"/>
      <c r="G171" s="171"/>
      <c r="H171" s="107"/>
      <c r="I171" s="318" t="s">
        <v>77</v>
      </c>
      <c r="J171" s="318"/>
      <c r="K171" s="228"/>
      <c r="L171" s="287">
        <f ca="1">IF(ISERROR(L170/L42),"-",L170/L42)</f>
        <v>0.48616390955637184</v>
      </c>
      <c r="M171" s="228"/>
      <c r="N171" s="287">
        <f ca="1">IF(ISERROR(N170/N42),"-",N170/N42)</f>
        <v>0.53491175527079382</v>
      </c>
      <c r="O171" s="228"/>
      <c r="P171" s="228"/>
      <c r="Q171" s="287" t="str">
        <f t="shared" ref="Q171:AB171" ca="1" si="35">IF(ISERROR(Q170/Q42),"-",Q170/Q42)</f>
        <v>-</v>
      </c>
      <c r="R171" s="287">
        <f t="shared" ca="1" si="35"/>
        <v>-4.3967549932886243</v>
      </c>
      <c r="S171" s="287">
        <f t="shared" ca="1" si="35"/>
        <v>-0.33335531758234749</v>
      </c>
      <c r="T171" s="287">
        <f t="shared" ca="1" si="35"/>
        <v>-5.0005125196647802</v>
      </c>
      <c r="U171" s="287">
        <f t="shared" ca="1" si="35"/>
        <v>-0.32344997535600872</v>
      </c>
      <c r="V171" s="287">
        <f t="shared" ca="1" si="35"/>
        <v>-0.40682299485300955</v>
      </c>
      <c r="W171" s="287" t="str">
        <f t="shared" ca="1" si="35"/>
        <v>-</v>
      </c>
      <c r="X171" s="287" t="str">
        <f t="shared" ca="1" si="35"/>
        <v>-</v>
      </c>
      <c r="Y171" s="287" t="str">
        <f t="shared" ca="1" si="35"/>
        <v>-</v>
      </c>
      <c r="Z171" s="287" t="str">
        <f t="shared" ca="1" si="35"/>
        <v>-</v>
      </c>
      <c r="AA171" s="287" t="str">
        <f t="shared" ca="1" si="35"/>
        <v>-</v>
      </c>
      <c r="AB171" s="287" t="str">
        <f t="shared" ca="1" si="35"/>
        <v>-</v>
      </c>
    </row>
    <row r="172" spans="2:35" s="19" customFormat="1" x14ac:dyDescent="0.25">
      <c r="B172" s="202"/>
      <c r="C172" s="212"/>
      <c r="D172" s="226"/>
      <c r="E172"/>
      <c r="F172" s="228"/>
      <c r="G172" s="171"/>
      <c r="H172" s="107"/>
      <c r="I172" s="228"/>
      <c r="J172" s="228"/>
      <c r="K172" s="228"/>
      <c r="L172" s="228"/>
      <c r="M172" s="228"/>
      <c r="N172" s="228"/>
      <c r="O172" s="228"/>
      <c r="P172" s="228"/>
      <c r="Q172" s="228"/>
      <c r="R172" s="228"/>
      <c r="S172" s="228"/>
      <c r="T172" s="228"/>
      <c r="U172" s="228"/>
      <c r="V172" s="228"/>
      <c r="W172" s="228"/>
      <c r="X172" s="228"/>
      <c r="Y172" s="228"/>
      <c r="Z172" s="228"/>
      <c r="AA172" s="228"/>
      <c r="AB172" s="228"/>
    </row>
    <row r="173" spans="2:35" s="19" customFormat="1" x14ac:dyDescent="0.25">
      <c r="B173" s="202"/>
      <c r="C173" s="215"/>
      <c r="D173" s="226"/>
      <c r="E173"/>
      <c r="F173" s="228"/>
      <c r="G173" s="171"/>
      <c r="H173" s="107"/>
      <c r="I173" s="228"/>
      <c r="J173" s="228"/>
      <c r="K173" s="228"/>
      <c r="L173" s="228"/>
      <c r="M173" s="228"/>
      <c r="N173" s="228"/>
      <c r="O173" s="228"/>
      <c r="P173" s="228"/>
      <c r="Q173" s="228"/>
      <c r="R173" s="228"/>
      <c r="S173" s="228"/>
      <c r="T173" s="228"/>
      <c r="U173" s="228"/>
      <c r="V173" s="228"/>
      <c r="W173" s="228"/>
      <c r="X173" s="228"/>
      <c r="Y173" s="228"/>
      <c r="Z173" s="228"/>
      <c r="AA173" s="228"/>
      <c r="AB173" s="228"/>
    </row>
    <row r="174" spans="2:35" s="19" customFormat="1" x14ac:dyDescent="0.25">
      <c r="B174" s="202"/>
      <c r="C174" s="215"/>
      <c r="D174" s="226"/>
      <c r="E174"/>
      <c r="F174" s="228"/>
      <c r="G174" s="171"/>
      <c r="H174" s="107"/>
      <c r="I174" s="228" t="s">
        <v>290</v>
      </c>
      <c r="J174" s="228"/>
      <c r="K174" s="228"/>
      <c r="L174" s="228"/>
      <c r="M174" s="228"/>
      <c r="N174" s="228"/>
      <c r="O174" s="228"/>
      <c r="P174" s="228"/>
      <c r="Q174" s="228"/>
      <c r="R174" s="228"/>
      <c r="S174" s="228"/>
      <c r="T174" s="228"/>
      <c r="U174" s="228"/>
      <c r="V174" s="228"/>
      <c r="W174" s="228"/>
      <c r="X174" s="228"/>
      <c r="Y174" s="228"/>
      <c r="Z174" s="228"/>
      <c r="AA174" s="228"/>
      <c r="AB174" s="228"/>
    </row>
    <row r="175" spans="2:35" s="19" customFormat="1" x14ac:dyDescent="0.25">
      <c r="B175" s="202"/>
      <c r="C175" s="215"/>
      <c r="D175" s="226"/>
      <c r="E175"/>
      <c r="F175" s="228"/>
      <c r="G175" s="171"/>
      <c r="H175" s="107"/>
      <c r="I175" s="228"/>
      <c r="J175" s="228"/>
      <c r="K175" s="228"/>
      <c r="L175" s="228"/>
      <c r="M175" s="228"/>
      <c r="N175" s="228"/>
      <c r="O175" s="228"/>
      <c r="P175" s="228"/>
      <c r="Q175" s="228"/>
      <c r="R175" s="228"/>
      <c r="S175" s="228"/>
      <c r="T175" s="228"/>
      <c r="U175" s="228"/>
      <c r="V175" s="228"/>
      <c r="W175" s="228"/>
      <c r="X175" s="228"/>
      <c r="Y175" s="228"/>
      <c r="Z175" s="228"/>
      <c r="AA175" s="228"/>
      <c r="AB175" s="228"/>
    </row>
    <row r="176" spans="2:35" s="19" customFormat="1" ht="15.75" x14ac:dyDescent="0.25">
      <c r="B176" s="204" t="s">
        <v>121</v>
      </c>
      <c r="C176" s="223" t="s">
        <v>285</v>
      </c>
      <c r="D176" s="226" t="str">
        <f t="shared" si="26"/>
        <v>Nb_Stagiaire</v>
      </c>
      <c r="E176"/>
      <c r="F176" s="228"/>
      <c r="G176" s="171"/>
      <c r="H176" s="107"/>
      <c r="I176" s="316" t="str">
        <f ca="1">_xll.DBRA(Server&amp;$D$22,$D176,"French")</f>
        <v>Nombre de stagiaires</v>
      </c>
      <c r="J176" s="316" t="str">
        <f ca="1">_xll.DBRA(Server&amp;$D$22,$D176,"French")</f>
        <v>Nombre de stagiaires</v>
      </c>
      <c r="K176" s="274"/>
      <c r="L176" s="275">
        <f ca="1">_xll.DBRW(Server&amp;Cube1,$J$13,$L$3,$J$15,$L$1,$L$2,$J$16,$D176)</f>
        <v>0</v>
      </c>
      <c r="M176" s="274"/>
      <c r="N176" s="275">
        <f ca="1">_xll.DBRW(Server&amp;Cube1,$J$13,$N$3,$J$15,$N$1,$N$2,$J$16,$D176)</f>
        <v>0</v>
      </c>
      <c r="O176" s="276"/>
      <c r="P176" s="228"/>
      <c r="Q176" s="289">
        <f ca="1">IF(xflag=1,_xll.DBSW(SAISIE!Q176,Server&amp;Cube1,$J$13,$J$14,$J$15,$J$17,Q$22,$J$16,$D176),_xll.DBRW(Server&amp;Cube1,$J$13,$J$14,$J$15,$J$17,Q$22,$J$16,$D176))</f>
        <v>0</v>
      </c>
      <c r="R176" s="289">
        <f ca="1">IF(xflag=1,_xll.DBSW(SAISIE!R176,Server&amp;Cube1,$J$13,$J$14,$J$15,$J$17,R$22,$J$16,$D176),_xll.DBRW(Server&amp;Cube1,$J$13,$J$14,$J$15,$J$17,R$22,$J$16,$D176))</f>
        <v>0</v>
      </c>
      <c r="S176" s="289">
        <f ca="1">IF(xflag=1,_xll.DBSW(SAISIE!S176,Server&amp;Cube1,$J$13,$J$14,$J$15,$J$17,S$22,$J$16,$D176),_xll.DBRW(Server&amp;Cube1,$J$13,$J$14,$J$15,$J$17,S$22,$J$16,$D176))</f>
        <v>0</v>
      </c>
      <c r="T176" s="289">
        <f ca="1">IF(xflag=1,_xll.DBSW(SAISIE!T176,Server&amp;Cube1,$J$13,$J$14,$J$15,$J$17,T$22,$J$16,$D176),_xll.DBRW(Server&amp;Cube1,$J$13,$J$14,$J$15,$J$17,T$22,$J$16,$D176))</f>
        <v>0</v>
      </c>
      <c r="U176" s="289">
        <f ca="1">IF(xflag=1,_xll.DBSW(SAISIE!U176,Server&amp;Cube1,$J$13,$J$14,$J$15,$J$17,U$22,$J$16,$D176),_xll.DBRW(Server&amp;Cube1,$J$13,$J$14,$J$15,$J$17,U$22,$J$16,$D176))</f>
        <v>0</v>
      </c>
      <c r="V176" s="289">
        <f ca="1">IF(xflag=1,_xll.DBSW(SAISIE!V176,Server&amp;Cube1,$J$13,$J$14,$J$15,$J$17,V$22,$J$16,$D176),_xll.DBRW(Server&amp;Cube1,$J$13,$J$14,$J$15,$J$17,V$22,$J$16,$D176))</f>
        <v>0</v>
      </c>
      <c r="W176" s="289">
        <f ca="1">IF(xflag=1,_xll.DBSW(SAISIE!W176,Server&amp;Cube1,$J$13,$J$14,$J$15,$J$17,W$22,$J$16,$D176),_xll.DBRW(Server&amp;Cube1,$J$13,$J$14,$J$15,$J$17,W$22,$J$16,$D176))</f>
        <v>0</v>
      </c>
      <c r="X176" s="289">
        <f ca="1">IF(xflag=1,_xll.DBSW(SAISIE!X176,Server&amp;Cube1,$J$13,$J$14,$J$15,$J$17,X$22,$J$16,$D176),_xll.DBRW(Server&amp;Cube1,$J$13,$J$14,$J$15,$J$17,X$22,$J$16,$D176))</f>
        <v>0</v>
      </c>
      <c r="Y176" s="289">
        <f ca="1">IF(xflag=1,_xll.DBSW(SAISIE!Y176,Server&amp;Cube1,$J$13,$J$14,$J$15,$J$17,Y$22,$J$16,$D176),_xll.DBRW(Server&amp;Cube1,$J$13,$J$14,$J$15,$J$17,Y$22,$J$16,$D176))</f>
        <v>0</v>
      </c>
      <c r="Z176" s="289">
        <f ca="1">IF(xflag=1,_xll.DBSW(SAISIE!Z176,Server&amp;Cube1,$J$13,$J$14,$J$15,$J$17,Z$22,$J$16,$D176),_xll.DBRW(Server&amp;Cube1,$J$13,$J$14,$J$15,$J$17,Z$22,$J$16,$D176))</f>
        <v>0</v>
      </c>
      <c r="AA176" s="289">
        <f ca="1">IF(xflag=1,_xll.DBSW(SAISIE!AA176,Server&amp;Cube1,$J$13,$J$14,$J$15,$J$17,AA$22,$J$16,$D176),_xll.DBRW(Server&amp;Cube1,$J$13,$J$14,$J$15,$J$17,AA$22,$J$16,$D176))</f>
        <v>0</v>
      </c>
      <c r="AB176" s="289">
        <f ca="1">IF(xflag=1,_xll.DBSW(SAISIE!AB176,Server&amp;Cube1,$J$13,$J$14,$J$15,$J$17,AB$22,$J$16,$D176),_xll.DBRW(Server&amp;Cube1,$J$13,$J$14,$J$15,$J$17,AB$22,$J$16,$D176))</f>
        <v>0</v>
      </c>
      <c r="AF176" s="56" t="str">
        <f ca="1">IF(xflag=1,_xll.DBSW(#REF!,Server&amp;Cube1,$J$13,$J$14,$J$15,#REF!,AF$2,$J$16,$D176),_xll.DBRW(Server&amp;Cube1,$J$13,$J$14,$J$15,#REF!,AF$2,$J$16,$D176))</f>
        <v>*KEY_ERR</v>
      </c>
    </row>
    <row r="177" spans="2:35" s="19" customFormat="1" ht="15.75" x14ac:dyDescent="0.25">
      <c r="B177" s="204" t="s">
        <v>122</v>
      </c>
      <c r="C177" s="224" t="s">
        <v>286</v>
      </c>
      <c r="D177" s="226" t="str">
        <f t="shared" si="26"/>
        <v>Nb_Session</v>
      </c>
      <c r="E177"/>
      <c r="F177" s="228"/>
      <c r="G177" s="171"/>
      <c r="H177" s="107"/>
      <c r="I177" s="316" t="str">
        <f ca="1">_xll.DBRA(Server&amp;$D$22,$D177,"French")</f>
        <v>Nombre de sessions</v>
      </c>
      <c r="J177" s="316" t="str">
        <f ca="1">_xll.DBRA(Server&amp;$D$22,$D177,"French")</f>
        <v>Nombre de sessions</v>
      </c>
      <c r="K177" s="274"/>
      <c r="L177" s="275">
        <f ca="1">_xll.DBRW(Server&amp;Cube1,$J$13,$L$3,$J$15,$L$1,$L$2,$J$16,$D177)</f>
        <v>0</v>
      </c>
      <c r="M177" s="274"/>
      <c r="N177" s="275">
        <f ca="1">_xll.DBRW(Server&amp;Cube1,$J$13,$N$3,$J$15,$N$1,$N$2,$J$16,$D177)</f>
        <v>0</v>
      </c>
      <c r="O177" s="276"/>
      <c r="P177" s="228"/>
      <c r="Q177" s="284">
        <f ca="1">IF(xflag=1,_xll.DBSW(SAISIE!Q177,Server&amp;Cube1,$J$13,$J$14,$J$15,$J$17,Q$22,$J$16,$D177),_xll.DBRW(Server&amp;Cube1,$J$13,$J$14,$J$15,$J$17,Q$22,$J$16,$D177))</f>
        <v>0</v>
      </c>
      <c r="R177" s="284">
        <f ca="1">IF(xflag=1,_xll.DBSW(SAISIE!R177,Server&amp;Cube1,$J$13,$J$14,$J$15,$J$17,R$22,$J$16,$D177),_xll.DBRW(Server&amp;Cube1,$J$13,$J$14,$J$15,$J$17,R$22,$J$16,$D177))</f>
        <v>0</v>
      </c>
      <c r="S177" s="284">
        <f ca="1">IF(xflag=1,_xll.DBSW(SAISIE!S177,Server&amp;Cube1,$J$13,$J$14,$J$15,$J$17,S$22,$J$16,$D177),_xll.DBRW(Server&amp;Cube1,$J$13,$J$14,$J$15,$J$17,S$22,$J$16,$D177))</f>
        <v>0</v>
      </c>
      <c r="T177" s="284">
        <f ca="1">IF(xflag=1,_xll.DBSW(SAISIE!T177,Server&amp;Cube1,$J$13,$J$14,$J$15,$J$17,T$22,$J$16,$D177),_xll.DBRW(Server&amp;Cube1,$J$13,$J$14,$J$15,$J$17,T$22,$J$16,$D177))</f>
        <v>0</v>
      </c>
      <c r="U177" s="284">
        <f ca="1">IF(xflag=1,_xll.DBSW(SAISIE!U177,Server&amp;Cube1,$J$13,$J$14,$J$15,$J$17,U$22,$J$16,$D177),_xll.DBRW(Server&amp;Cube1,$J$13,$J$14,$J$15,$J$17,U$22,$J$16,$D177))</f>
        <v>0</v>
      </c>
      <c r="V177" s="284">
        <f ca="1">IF(xflag=1,_xll.DBSW(SAISIE!V177,Server&amp;Cube1,$J$13,$J$14,$J$15,$J$17,V$22,$J$16,$D177),_xll.DBRW(Server&amp;Cube1,$J$13,$J$14,$J$15,$J$17,V$22,$J$16,$D177))</f>
        <v>0</v>
      </c>
      <c r="W177" s="284">
        <f ca="1">IF(xflag=1,_xll.DBSW(SAISIE!W177,Server&amp;Cube1,$J$13,$J$14,$J$15,$J$17,W$22,$J$16,$D177),_xll.DBRW(Server&amp;Cube1,$J$13,$J$14,$J$15,$J$17,W$22,$J$16,$D177))</f>
        <v>0</v>
      </c>
      <c r="X177" s="284">
        <f ca="1">IF(xflag=1,_xll.DBSW(SAISIE!X177,Server&amp;Cube1,$J$13,$J$14,$J$15,$J$17,X$22,$J$16,$D177),_xll.DBRW(Server&amp;Cube1,$J$13,$J$14,$J$15,$J$17,X$22,$J$16,$D177))</f>
        <v>0</v>
      </c>
      <c r="Y177" s="284">
        <f ca="1">IF(xflag=1,_xll.DBSW(SAISIE!Y177,Server&amp;Cube1,$J$13,$J$14,$J$15,$J$17,Y$22,$J$16,$D177),_xll.DBRW(Server&amp;Cube1,$J$13,$J$14,$J$15,$J$17,Y$22,$J$16,$D177))</f>
        <v>0</v>
      </c>
      <c r="Z177" s="284">
        <f ca="1">IF(xflag=1,_xll.DBSW(SAISIE!Z177,Server&amp;Cube1,$J$13,$J$14,$J$15,$J$17,Z$22,$J$16,$D177),_xll.DBRW(Server&amp;Cube1,$J$13,$J$14,$J$15,$J$17,Z$22,$J$16,$D177))</f>
        <v>0</v>
      </c>
      <c r="AA177" s="284">
        <f ca="1">IF(xflag=1,_xll.DBSW(SAISIE!AA177,Server&amp;Cube1,$J$13,$J$14,$J$15,$J$17,AA$22,$J$16,$D177),_xll.DBRW(Server&amp;Cube1,$J$13,$J$14,$J$15,$J$17,AA$22,$J$16,$D177))</f>
        <v>0</v>
      </c>
      <c r="AB177" s="284">
        <f ca="1">IF(xflag=1,_xll.DBSW(SAISIE!AB177,Server&amp;Cube1,$J$13,$J$14,$J$15,$J$17,AB$22,$J$16,$D177),_xll.DBRW(Server&amp;Cube1,$J$13,$J$14,$J$15,$J$17,AB$22,$J$16,$D177))</f>
        <v>0</v>
      </c>
      <c r="AF177" s="56" t="str">
        <f ca="1">IF(xflag=1,_xll.DBSW(#REF!,Server&amp;Cube1,$J$13,$J$14,$J$15,#REF!,AF$2,$J$16,$D177),_xll.DBRW(Server&amp;Cube1,$J$13,$J$14,$J$15,#REF!,AF$2,$J$16,$D177))</f>
        <v>*KEY_ERR</v>
      </c>
    </row>
    <row r="178" spans="2:35" s="19" customFormat="1" ht="15.75" x14ac:dyDescent="0.25">
      <c r="B178" s="204" t="s">
        <v>123</v>
      </c>
      <c r="C178" s="224" t="s">
        <v>287</v>
      </c>
      <c r="D178" s="226" t="str">
        <f t="shared" si="26"/>
        <v>Nb_hr_Formation</v>
      </c>
      <c r="E178"/>
      <c r="F178" s="228"/>
      <c r="G178" s="171"/>
      <c r="H178" s="107"/>
      <c r="I178" s="316" t="str">
        <f ca="1">_xll.DBRA(Server&amp;$D$22,$D178,"French")</f>
        <v>Heures de formation</v>
      </c>
      <c r="J178" s="316" t="str">
        <f ca="1">_xll.DBRA(Server&amp;$D$22,$D178,"French")</f>
        <v>Heures de formation</v>
      </c>
      <c r="K178" s="274"/>
      <c r="L178" s="275">
        <f ca="1">_xll.DBRW(Server&amp;Cube1,$J$13,$L$3,$J$15,$L$1,$L$2,$J$16,$D178)</f>
        <v>0</v>
      </c>
      <c r="M178" s="274"/>
      <c r="N178" s="275">
        <f ca="1">_xll.DBRW(Server&amp;Cube1,$J$13,$N$3,$J$15,$N$1,$N$2,$J$16,$D178)</f>
        <v>0</v>
      </c>
      <c r="O178" s="276"/>
      <c r="P178" s="228"/>
      <c r="Q178" s="284">
        <f ca="1">IF(xflag=1,_xll.DBSW(SAISIE!Q178,Server&amp;Cube1,$J$13,$J$14,$J$15,$J$17,Q$22,$J$16,$D178),_xll.DBRW(Server&amp;Cube1,$J$13,$J$14,$J$15,$J$17,Q$22,$J$16,$D178))</f>
        <v>0</v>
      </c>
      <c r="R178" s="284">
        <f ca="1">IF(xflag=1,_xll.DBSW(SAISIE!R178,Server&amp;Cube1,$J$13,$J$14,$J$15,$J$17,R$22,$J$16,$D178),_xll.DBRW(Server&amp;Cube1,$J$13,$J$14,$J$15,$J$17,R$22,$J$16,$D178))</f>
        <v>0</v>
      </c>
      <c r="S178" s="284">
        <f ca="1">IF(xflag=1,_xll.DBSW(SAISIE!S178,Server&amp;Cube1,$J$13,$J$14,$J$15,$J$17,S$22,$J$16,$D178),_xll.DBRW(Server&amp;Cube1,$J$13,$J$14,$J$15,$J$17,S$22,$J$16,$D178))</f>
        <v>0</v>
      </c>
      <c r="T178" s="284">
        <f ca="1">IF(xflag=1,_xll.DBSW(SAISIE!T178,Server&amp;Cube1,$J$13,$J$14,$J$15,$J$17,T$22,$J$16,$D178),_xll.DBRW(Server&amp;Cube1,$J$13,$J$14,$J$15,$J$17,T$22,$J$16,$D178))</f>
        <v>0</v>
      </c>
      <c r="U178" s="284">
        <f ca="1">IF(xflag=1,_xll.DBSW(SAISIE!U178,Server&amp;Cube1,$J$13,$J$14,$J$15,$J$17,U$22,$J$16,$D178),_xll.DBRW(Server&amp;Cube1,$J$13,$J$14,$J$15,$J$17,U$22,$J$16,$D178))</f>
        <v>0</v>
      </c>
      <c r="V178" s="284">
        <f ca="1">IF(xflag=1,_xll.DBSW(SAISIE!V178,Server&amp;Cube1,$J$13,$J$14,$J$15,$J$17,V$22,$J$16,$D178),_xll.DBRW(Server&amp;Cube1,$J$13,$J$14,$J$15,$J$17,V$22,$J$16,$D178))</f>
        <v>0</v>
      </c>
      <c r="W178" s="284">
        <f ca="1">IF(xflag=1,_xll.DBSW(SAISIE!W178,Server&amp;Cube1,$J$13,$J$14,$J$15,$J$17,W$22,$J$16,$D178),_xll.DBRW(Server&amp;Cube1,$J$13,$J$14,$J$15,$J$17,W$22,$J$16,$D178))</f>
        <v>0</v>
      </c>
      <c r="X178" s="284">
        <f ca="1">IF(xflag=1,_xll.DBSW(SAISIE!X178,Server&amp;Cube1,$J$13,$J$14,$J$15,$J$17,X$22,$J$16,$D178),_xll.DBRW(Server&amp;Cube1,$J$13,$J$14,$J$15,$J$17,X$22,$J$16,$D178))</f>
        <v>0</v>
      </c>
      <c r="Y178" s="284">
        <f ca="1">IF(xflag=1,_xll.DBSW(SAISIE!Y178,Server&amp;Cube1,$J$13,$J$14,$J$15,$J$17,Y$22,$J$16,$D178),_xll.DBRW(Server&amp;Cube1,$J$13,$J$14,$J$15,$J$17,Y$22,$J$16,$D178))</f>
        <v>0</v>
      </c>
      <c r="Z178" s="284">
        <f ca="1">IF(xflag=1,_xll.DBSW(SAISIE!Z178,Server&amp;Cube1,$J$13,$J$14,$J$15,$J$17,Z$22,$J$16,$D178),_xll.DBRW(Server&amp;Cube1,$J$13,$J$14,$J$15,$J$17,Z$22,$J$16,$D178))</f>
        <v>0</v>
      </c>
      <c r="AA178" s="284">
        <f ca="1">IF(xflag=1,_xll.DBSW(SAISIE!AA178,Server&amp;Cube1,$J$13,$J$14,$J$15,$J$17,AA$22,$J$16,$D178),_xll.DBRW(Server&amp;Cube1,$J$13,$J$14,$J$15,$J$17,AA$22,$J$16,$D178))</f>
        <v>0</v>
      </c>
      <c r="AB178" s="284">
        <f ca="1">IF(xflag=1,_xll.DBSW(SAISIE!AB178,Server&amp;Cube1,$J$13,$J$14,$J$15,$J$17,AB$22,$J$16,$D178),_xll.DBRW(Server&amp;Cube1,$J$13,$J$14,$J$15,$J$17,AB$22,$J$16,$D178))</f>
        <v>0</v>
      </c>
      <c r="AF178" s="56" t="str">
        <f ca="1">IF(xflag=1,_xll.DBSW(#REF!,Server&amp;Cube1,$J$13,$J$14,$J$15,#REF!,AF$2,$J$16,$D178),_xll.DBRW(Server&amp;Cube1,$J$13,$J$14,$J$15,#REF!,AF$2,$J$16,$D178))</f>
        <v>*KEY_ERR</v>
      </c>
    </row>
    <row r="179" spans="2:35" s="19" customFormat="1" ht="15.75" x14ac:dyDescent="0.25">
      <c r="B179" s="204" t="s">
        <v>124</v>
      </c>
      <c r="C179" s="224" t="s">
        <v>288</v>
      </c>
      <c r="D179" s="226" t="str">
        <f t="shared" si="26"/>
        <v>Nb_jr_Formateur_Moniteur</v>
      </c>
      <c r="E179"/>
      <c r="F179" s="228"/>
      <c r="G179" s="171"/>
      <c r="H179" s="107"/>
      <c r="I179" s="316" t="str">
        <f ca="1">_xll.DBRA(Server&amp;$D$22,$D179,"French")</f>
        <v>Total journées formateurs  internes</v>
      </c>
      <c r="J179" s="316" t="str">
        <f ca="1">_xll.DBRA(Server&amp;$D$22,$D179,"French")</f>
        <v>Total journées formateurs  internes</v>
      </c>
      <c r="K179" s="274"/>
      <c r="L179" s="275">
        <f ca="1">_xll.DBRW(Server&amp;Cube1,$J$13,$L$3,$J$15,$L$1,$L$2,$J$16,$D179)</f>
        <v>0</v>
      </c>
      <c r="M179" s="274"/>
      <c r="N179" s="275">
        <f ca="1">_xll.DBRW(Server&amp;Cube1,$J$13,$N$3,$J$15,$N$1,$N$2,$J$16,$D179)</f>
        <v>0</v>
      </c>
      <c r="O179" s="276"/>
      <c r="P179" s="228"/>
      <c r="Q179" s="284">
        <f ca="1">IF(xflag=1,_xll.DBSW(SAISIE!Q179,Server&amp;Cube1,$J$13,$J$14,$J$15,$J$17,Q$22,$J$16,$D179),_xll.DBRW(Server&amp;Cube1,$J$13,$J$14,$J$15,$J$17,Q$22,$J$16,$D179))</f>
        <v>0</v>
      </c>
      <c r="R179" s="284">
        <f ca="1">IF(xflag=1,_xll.DBSW(SAISIE!R179,Server&amp;Cube1,$J$13,$J$14,$J$15,$J$17,R$22,$J$16,$D179),_xll.DBRW(Server&amp;Cube1,$J$13,$J$14,$J$15,$J$17,R$22,$J$16,$D179))</f>
        <v>0</v>
      </c>
      <c r="S179" s="284">
        <f ca="1">IF(xflag=1,_xll.DBSW(SAISIE!S179,Server&amp;Cube1,$J$13,$J$14,$J$15,$J$17,S$22,$J$16,$D179),_xll.DBRW(Server&amp;Cube1,$J$13,$J$14,$J$15,$J$17,S$22,$J$16,$D179))</f>
        <v>0</v>
      </c>
      <c r="T179" s="284">
        <f ca="1">IF(xflag=1,_xll.DBSW(SAISIE!T179,Server&amp;Cube1,$J$13,$J$14,$J$15,$J$17,T$22,$J$16,$D179),_xll.DBRW(Server&amp;Cube1,$J$13,$J$14,$J$15,$J$17,T$22,$J$16,$D179))</f>
        <v>0</v>
      </c>
      <c r="U179" s="284">
        <f ca="1">IF(xflag=1,_xll.DBSW(SAISIE!U179,Server&amp;Cube1,$J$13,$J$14,$J$15,$J$17,U$22,$J$16,$D179),_xll.DBRW(Server&amp;Cube1,$J$13,$J$14,$J$15,$J$17,U$22,$J$16,$D179))</f>
        <v>0</v>
      </c>
      <c r="V179" s="284">
        <f ca="1">IF(xflag=1,_xll.DBSW(SAISIE!V179,Server&amp;Cube1,$J$13,$J$14,$J$15,$J$17,V$22,$J$16,$D179),_xll.DBRW(Server&amp;Cube1,$J$13,$J$14,$J$15,$J$17,V$22,$J$16,$D179))</f>
        <v>0</v>
      </c>
      <c r="W179" s="284">
        <f ca="1">IF(xflag=1,_xll.DBSW(SAISIE!W179,Server&amp;Cube1,$J$13,$J$14,$J$15,$J$17,W$22,$J$16,$D179),_xll.DBRW(Server&amp;Cube1,$J$13,$J$14,$J$15,$J$17,W$22,$J$16,$D179))</f>
        <v>0</v>
      </c>
      <c r="X179" s="284">
        <f ca="1">IF(xflag=1,_xll.DBSW(SAISIE!X179,Server&amp;Cube1,$J$13,$J$14,$J$15,$J$17,X$22,$J$16,$D179),_xll.DBRW(Server&amp;Cube1,$J$13,$J$14,$J$15,$J$17,X$22,$J$16,$D179))</f>
        <v>0</v>
      </c>
      <c r="Y179" s="284">
        <f ca="1">IF(xflag=1,_xll.DBSW(SAISIE!Y179,Server&amp;Cube1,$J$13,$J$14,$J$15,$J$17,Y$22,$J$16,$D179),_xll.DBRW(Server&amp;Cube1,$J$13,$J$14,$J$15,$J$17,Y$22,$J$16,$D179))</f>
        <v>0</v>
      </c>
      <c r="Z179" s="284">
        <f ca="1">IF(xflag=1,_xll.DBSW(SAISIE!Z179,Server&amp;Cube1,$J$13,$J$14,$J$15,$J$17,Z$22,$J$16,$D179),_xll.DBRW(Server&amp;Cube1,$J$13,$J$14,$J$15,$J$17,Z$22,$J$16,$D179))</f>
        <v>0</v>
      </c>
      <c r="AA179" s="284">
        <f ca="1">IF(xflag=1,_xll.DBSW(SAISIE!AA179,Server&amp;Cube1,$J$13,$J$14,$J$15,$J$17,AA$22,$J$16,$D179),_xll.DBRW(Server&amp;Cube1,$J$13,$J$14,$J$15,$J$17,AA$22,$J$16,$D179))</f>
        <v>0</v>
      </c>
      <c r="AB179" s="284">
        <f ca="1">IF(xflag=1,_xll.DBSW(SAISIE!AB179,Server&amp;Cube1,$J$13,$J$14,$J$15,$J$17,AB$22,$J$16,$D179),_xll.DBRW(Server&amp;Cube1,$J$13,$J$14,$J$15,$J$17,AB$22,$J$16,$D179))</f>
        <v>0</v>
      </c>
      <c r="AF179" s="56" t="str">
        <f ca="1">IF(xflag=1,_xll.DBSW(#REF!,Server&amp;Cube1,$J$13,$J$14,$J$15,#REF!,AF$2,$J$16,$D179),_xll.DBRW(Server&amp;Cube1,$J$13,$J$14,$J$15,#REF!,AF$2,$J$16,$D179))</f>
        <v>*KEY_ERR</v>
      </c>
      <c r="AI179" s="19">
        <v>18</v>
      </c>
    </row>
    <row r="180" spans="2:35" s="19" customFormat="1" ht="15.75" x14ac:dyDescent="0.25">
      <c r="B180" s="204" t="s">
        <v>125</v>
      </c>
      <c r="C180" s="225" t="s">
        <v>289</v>
      </c>
      <c r="D180" s="226" t="str">
        <f t="shared" si="26"/>
        <v>Nb_jr_production</v>
      </c>
      <c r="E180"/>
      <c r="F180" s="228"/>
      <c r="G180" s="171"/>
      <c r="H180" s="107"/>
      <c r="I180" s="316" t="str">
        <f ca="1">_xll.DBRA(Server&amp;$D$22,$D180,"French")</f>
        <v>Total journées formateurs externes</v>
      </c>
      <c r="J180" s="316" t="str">
        <f ca="1">_xll.DBRA(Server&amp;$D$22,$D180,"French")</f>
        <v>Total journées formateurs externes</v>
      </c>
      <c r="K180" s="274"/>
      <c r="L180" s="275">
        <f ca="1">_xll.DBRW(Server&amp;Cube1,$J$13,$L$3,$J$15,$L$1,$L$2,$J$16,$D180)</f>
        <v>0</v>
      </c>
      <c r="M180" s="274"/>
      <c r="N180" s="275">
        <f ca="1">_xll.DBRW(Server&amp;Cube1,$J$13,$N$3,$J$15,$N$1,$N$2,$J$16,$D180)</f>
        <v>0</v>
      </c>
      <c r="O180" s="276"/>
      <c r="P180" s="228"/>
      <c r="Q180" s="283">
        <f ca="1">IF(xflag=1,_xll.DBSW(SAISIE!Q180,Server&amp;Cube1,$J$13,$J$14,$J$15,$J$17,Q$22,$J$16,$D180),_xll.DBRW(Server&amp;Cube1,$J$13,$J$14,$J$15,$J$17,Q$22,$J$16,$D180))</f>
        <v>0</v>
      </c>
      <c r="R180" s="283">
        <f ca="1">IF(xflag=1,_xll.DBSW(SAISIE!R180,Server&amp;Cube1,$J$13,$J$14,$J$15,$J$17,R$22,$J$16,$D180),_xll.DBRW(Server&amp;Cube1,$J$13,$J$14,$J$15,$J$17,R$22,$J$16,$D180))</f>
        <v>0</v>
      </c>
      <c r="S180" s="283">
        <f ca="1">IF(xflag=1,_xll.DBSW(SAISIE!S180,Server&amp;Cube1,$J$13,$J$14,$J$15,$J$17,S$22,$J$16,$D180),_xll.DBRW(Server&amp;Cube1,$J$13,$J$14,$J$15,$J$17,S$22,$J$16,$D180))</f>
        <v>0</v>
      </c>
      <c r="T180" s="283">
        <f ca="1">IF(xflag=1,_xll.DBSW(SAISIE!T180,Server&amp;Cube1,$J$13,$J$14,$J$15,$J$17,T$22,$J$16,$D180),_xll.DBRW(Server&amp;Cube1,$J$13,$J$14,$J$15,$J$17,T$22,$J$16,$D180))</f>
        <v>0</v>
      </c>
      <c r="U180" s="283">
        <f ca="1">IF(xflag=1,_xll.DBSW(SAISIE!U180,Server&amp;Cube1,$J$13,$J$14,$J$15,$J$17,U$22,$J$16,$D180),_xll.DBRW(Server&amp;Cube1,$J$13,$J$14,$J$15,$J$17,U$22,$J$16,$D180))</f>
        <v>0</v>
      </c>
      <c r="V180" s="283">
        <f ca="1">IF(xflag=1,_xll.DBSW(SAISIE!V180,Server&amp;Cube1,$J$13,$J$14,$J$15,$J$17,V$22,$J$16,$D180),_xll.DBRW(Server&amp;Cube1,$J$13,$J$14,$J$15,$J$17,V$22,$J$16,$D180))</f>
        <v>0</v>
      </c>
      <c r="W180" s="283">
        <f ca="1">IF(xflag=1,_xll.DBSW(SAISIE!W180,Server&amp;Cube1,$J$13,$J$14,$J$15,$J$17,W$22,$J$16,$D180),_xll.DBRW(Server&amp;Cube1,$J$13,$J$14,$J$15,$J$17,W$22,$J$16,$D180))</f>
        <v>0</v>
      </c>
      <c r="X180" s="283">
        <f ca="1">IF(xflag=1,_xll.DBSW(SAISIE!X180,Server&amp;Cube1,$J$13,$J$14,$J$15,$J$17,X$22,$J$16,$D180),_xll.DBRW(Server&amp;Cube1,$J$13,$J$14,$J$15,$J$17,X$22,$J$16,$D180))</f>
        <v>0</v>
      </c>
      <c r="Y180" s="283">
        <f ca="1">IF(xflag=1,_xll.DBSW(SAISIE!Y180,Server&amp;Cube1,$J$13,$J$14,$J$15,$J$17,Y$22,$J$16,$D180),_xll.DBRW(Server&amp;Cube1,$J$13,$J$14,$J$15,$J$17,Y$22,$J$16,$D180))</f>
        <v>0</v>
      </c>
      <c r="Z180" s="283">
        <f ca="1">IF(xflag=1,_xll.DBSW(SAISIE!Z180,Server&amp;Cube1,$J$13,$J$14,$J$15,$J$17,Z$22,$J$16,$D180),_xll.DBRW(Server&amp;Cube1,$J$13,$J$14,$J$15,$J$17,Z$22,$J$16,$D180))</f>
        <v>0</v>
      </c>
      <c r="AA180" s="283">
        <f ca="1">IF(xflag=1,_xll.DBSW(SAISIE!AA180,Server&amp;Cube1,$J$13,$J$14,$J$15,$J$17,AA$22,$J$16,$D180),_xll.DBRW(Server&amp;Cube1,$J$13,$J$14,$J$15,$J$17,AA$22,$J$16,$D180))</f>
        <v>0</v>
      </c>
      <c r="AB180" s="283">
        <f ca="1">IF(xflag=1,_xll.DBSW(SAISIE!AB180,Server&amp;Cube1,$J$13,$J$14,$J$15,$J$17,AB$22,$J$16,$D180),_xll.DBRW(Server&amp;Cube1,$J$13,$J$14,$J$15,$J$17,AB$22,$J$16,$D180))</f>
        <v>0</v>
      </c>
      <c r="AF180" s="56" t="str">
        <f ca="1">IF(xflag=1,_xll.DBSW(#REF!,Server&amp;Cube1,$J$13,$J$14,$J$15,#REF!,AF$2,$J$16,$D180),_xll.DBRW(Server&amp;Cube1,$J$13,$J$14,$J$15,#REF!,AF$2,$J$16,$D180))</f>
        <v>*KEY_ERR</v>
      </c>
    </row>
    <row r="181" spans="2:35" s="228" customFormat="1" x14ac:dyDescent="0.25">
      <c r="B181" s="286"/>
      <c r="C181" s="286"/>
      <c r="G181" s="285"/>
    </row>
    <row r="182" spans="2:35" x14ac:dyDescent="0.25">
      <c r="B182" s="286"/>
      <c r="C182" s="286"/>
      <c r="G182" s="271"/>
    </row>
    <row r="183" spans="2:35" x14ac:dyDescent="0.25">
      <c r="B183" s="286"/>
      <c r="C183" s="286"/>
      <c r="G183" s="271"/>
    </row>
    <row r="184" spans="2:35" x14ac:dyDescent="0.25">
      <c r="B184" s="286"/>
      <c r="C184" s="286"/>
      <c r="G184" s="271"/>
    </row>
    <row r="185" spans="2:35" x14ac:dyDescent="0.25">
      <c r="B185" s="286"/>
      <c r="C185" s="286"/>
      <c r="G185" s="271"/>
    </row>
    <row r="186" spans="2:35" x14ac:dyDescent="0.25">
      <c r="B186" s="286"/>
      <c r="C186" s="286"/>
      <c r="G186" s="271"/>
    </row>
    <row r="187" spans="2:35" x14ac:dyDescent="0.25">
      <c r="B187" s="286"/>
      <c r="C187" s="286"/>
      <c r="G187" s="271"/>
    </row>
    <row r="188" spans="2:35" x14ac:dyDescent="0.25">
      <c r="B188" s="286"/>
      <c r="C188" s="286"/>
      <c r="G188" s="271"/>
    </row>
    <row r="189" spans="2:35" x14ac:dyDescent="0.25">
      <c r="B189" s="286"/>
      <c r="C189" s="286"/>
      <c r="G189" s="271"/>
    </row>
    <row r="190" spans="2:35" x14ac:dyDescent="0.25">
      <c r="B190" s="286"/>
      <c r="C190" s="286"/>
      <c r="G190" s="271"/>
    </row>
    <row r="191" spans="2:35" x14ac:dyDescent="0.25">
      <c r="B191" s="286"/>
      <c r="C191" s="286"/>
      <c r="G191" s="271"/>
    </row>
    <row r="192" spans="2:35" x14ac:dyDescent="0.25">
      <c r="B192" s="286"/>
      <c r="C192" s="286"/>
      <c r="G192" s="271"/>
    </row>
    <row r="193" spans="2:7" x14ac:dyDescent="0.25">
      <c r="B193" s="286"/>
      <c r="C193" s="286"/>
      <c r="G193" s="271"/>
    </row>
    <row r="194" spans="2:7" x14ac:dyDescent="0.25">
      <c r="B194" s="286"/>
      <c r="C194" s="286"/>
      <c r="G194" s="271"/>
    </row>
    <row r="195" spans="2:7" x14ac:dyDescent="0.25">
      <c r="B195" s="286"/>
      <c r="C195" s="286"/>
      <c r="G195" s="271"/>
    </row>
    <row r="196" spans="2:7" x14ac:dyDescent="0.25">
      <c r="B196" s="286"/>
      <c r="C196" s="286"/>
      <c r="G196" s="271"/>
    </row>
    <row r="197" spans="2:7" x14ac:dyDescent="0.25">
      <c r="B197" s="286"/>
      <c r="C197" s="286"/>
      <c r="G197" s="271"/>
    </row>
    <row r="198" spans="2:7" x14ac:dyDescent="0.25">
      <c r="B198" s="286"/>
      <c r="C198" s="286"/>
      <c r="G198" s="271"/>
    </row>
    <row r="199" spans="2:7" x14ac:dyDescent="0.25">
      <c r="B199" s="286"/>
      <c r="C199" s="286"/>
      <c r="G199" s="271"/>
    </row>
    <row r="200" spans="2:7" x14ac:dyDescent="0.25">
      <c r="B200" s="286"/>
      <c r="C200" s="286"/>
      <c r="G200" s="271"/>
    </row>
    <row r="201" spans="2:7" x14ac:dyDescent="0.25">
      <c r="B201" s="286"/>
      <c r="C201" s="286"/>
      <c r="G201" s="271"/>
    </row>
    <row r="202" spans="2:7" x14ac:dyDescent="0.25">
      <c r="B202" s="286"/>
      <c r="C202" s="286"/>
      <c r="G202" s="271"/>
    </row>
    <row r="203" spans="2:7" x14ac:dyDescent="0.25">
      <c r="B203" s="286"/>
      <c r="C203" s="286"/>
      <c r="G203" s="271"/>
    </row>
    <row r="204" spans="2:7" x14ac:dyDescent="0.25">
      <c r="B204" s="286"/>
      <c r="C204" s="286"/>
      <c r="G204" s="271"/>
    </row>
    <row r="205" spans="2:7" x14ac:dyDescent="0.25">
      <c r="B205" s="286"/>
      <c r="C205" s="286"/>
      <c r="G205" s="271"/>
    </row>
    <row r="206" spans="2:7" x14ac:dyDescent="0.25">
      <c r="B206" s="286"/>
      <c r="C206" s="286"/>
      <c r="G206" s="271"/>
    </row>
    <row r="207" spans="2:7" x14ac:dyDescent="0.25">
      <c r="B207" s="286"/>
      <c r="C207" s="286"/>
      <c r="G207" s="271"/>
    </row>
    <row r="208" spans="2:7" x14ac:dyDescent="0.25">
      <c r="B208" s="286"/>
      <c r="C208" s="286"/>
      <c r="G208" s="271"/>
    </row>
    <row r="209" spans="2:7" x14ac:dyDescent="0.25">
      <c r="B209" s="286"/>
      <c r="C209" s="286"/>
      <c r="G209" s="271"/>
    </row>
    <row r="210" spans="2:7" x14ac:dyDescent="0.25">
      <c r="B210" s="286"/>
      <c r="C210" s="286"/>
      <c r="G210" s="271"/>
    </row>
    <row r="211" spans="2:7" x14ac:dyDescent="0.25">
      <c r="B211" s="286"/>
      <c r="C211" s="286"/>
      <c r="G211" s="271"/>
    </row>
    <row r="212" spans="2:7" x14ac:dyDescent="0.25">
      <c r="B212" s="286"/>
      <c r="C212" s="286"/>
      <c r="G212" s="271"/>
    </row>
    <row r="213" spans="2:7" x14ac:dyDescent="0.25">
      <c r="B213" s="286"/>
      <c r="C213" s="286"/>
      <c r="G213" s="271"/>
    </row>
    <row r="214" spans="2:7" x14ac:dyDescent="0.25">
      <c r="B214" s="286"/>
      <c r="C214" s="286"/>
      <c r="G214" s="271"/>
    </row>
    <row r="215" spans="2:7" x14ac:dyDescent="0.25">
      <c r="B215" s="286"/>
      <c r="C215" s="286"/>
      <c r="G215" s="271"/>
    </row>
    <row r="216" spans="2:7" x14ac:dyDescent="0.25">
      <c r="B216" s="286"/>
      <c r="C216" s="286"/>
      <c r="G216" s="271"/>
    </row>
    <row r="217" spans="2:7" x14ac:dyDescent="0.25">
      <c r="B217" s="286"/>
      <c r="C217" s="286"/>
      <c r="G217" s="271"/>
    </row>
    <row r="218" spans="2:7" x14ac:dyDescent="0.25">
      <c r="B218" s="286"/>
      <c r="C218" s="286"/>
      <c r="G218" s="271"/>
    </row>
    <row r="219" spans="2:7" x14ac:dyDescent="0.25">
      <c r="B219" s="286"/>
      <c r="C219" s="286"/>
      <c r="G219" s="271"/>
    </row>
    <row r="220" spans="2:7" x14ac:dyDescent="0.25">
      <c r="B220" s="286"/>
      <c r="C220" s="286"/>
      <c r="G220" s="271"/>
    </row>
    <row r="221" spans="2:7" x14ac:dyDescent="0.25">
      <c r="B221" s="286"/>
      <c r="C221" s="286"/>
      <c r="G221" s="271"/>
    </row>
    <row r="222" spans="2:7" x14ac:dyDescent="0.25">
      <c r="B222" s="286"/>
      <c r="C222" s="286"/>
      <c r="G222" s="271"/>
    </row>
    <row r="223" spans="2:7" x14ac:dyDescent="0.25">
      <c r="B223" s="286"/>
      <c r="C223" s="286"/>
      <c r="G223" s="271"/>
    </row>
    <row r="224" spans="2:7" x14ac:dyDescent="0.25">
      <c r="B224" s="286"/>
      <c r="C224" s="286"/>
      <c r="G224" s="271"/>
    </row>
    <row r="225" spans="2:7" x14ac:dyDescent="0.25">
      <c r="B225" s="286"/>
      <c r="C225" s="286"/>
      <c r="G225" s="271"/>
    </row>
    <row r="226" spans="2:7" x14ac:dyDescent="0.25">
      <c r="B226" s="286"/>
      <c r="C226" s="286"/>
      <c r="G226" s="271"/>
    </row>
    <row r="227" spans="2:7" x14ac:dyDescent="0.25">
      <c r="B227" s="286"/>
      <c r="C227" s="286"/>
      <c r="G227" s="271"/>
    </row>
    <row r="228" spans="2:7" x14ac:dyDescent="0.25">
      <c r="B228" s="286"/>
      <c r="C228" s="286"/>
      <c r="G228" s="271"/>
    </row>
    <row r="229" spans="2:7" x14ac:dyDescent="0.25">
      <c r="B229" s="286"/>
      <c r="C229" s="286"/>
      <c r="G229" s="271"/>
    </row>
    <row r="230" spans="2:7" x14ac:dyDescent="0.25">
      <c r="B230" s="286"/>
      <c r="C230" s="286"/>
      <c r="G230" s="271"/>
    </row>
    <row r="231" spans="2:7" x14ac:dyDescent="0.25">
      <c r="B231" s="286"/>
      <c r="C231" s="286"/>
      <c r="G231" s="271"/>
    </row>
    <row r="232" spans="2:7" x14ac:dyDescent="0.25">
      <c r="B232" s="286"/>
      <c r="C232" s="286"/>
      <c r="G232" s="271"/>
    </row>
    <row r="233" spans="2:7" x14ac:dyDescent="0.25">
      <c r="B233" s="286"/>
      <c r="C233" s="286"/>
      <c r="G233" s="271"/>
    </row>
    <row r="234" spans="2:7" x14ac:dyDescent="0.25">
      <c r="B234" s="286"/>
      <c r="C234" s="286"/>
      <c r="G234" s="271"/>
    </row>
    <row r="235" spans="2:7" x14ac:dyDescent="0.25">
      <c r="B235" s="286"/>
      <c r="C235" s="286"/>
      <c r="G235" s="271"/>
    </row>
    <row r="236" spans="2:7" x14ac:dyDescent="0.25">
      <c r="B236" s="286"/>
      <c r="C236" s="286"/>
      <c r="G236" s="271"/>
    </row>
    <row r="237" spans="2:7" x14ac:dyDescent="0.25">
      <c r="B237" s="286"/>
      <c r="C237" s="286"/>
      <c r="G237" s="271"/>
    </row>
    <row r="238" spans="2:7" x14ac:dyDescent="0.25">
      <c r="B238" s="286"/>
      <c r="C238" s="286"/>
      <c r="G238" s="271"/>
    </row>
    <row r="239" spans="2:7" x14ac:dyDescent="0.25">
      <c r="B239" s="286"/>
      <c r="C239" s="286"/>
      <c r="G239" s="271"/>
    </row>
    <row r="240" spans="2:7" x14ac:dyDescent="0.25">
      <c r="B240" s="286"/>
      <c r="C240" s="286"/>
      <c r="G240" s="271"/>
    </row>
    <row r="241" spans="2:7" x14ac:dyDescent="0.25">
      <c r="B241" s="286"/>
      <c r="C241" s="286"/>
      <c r="G241" s="271"/>
    </row>
    <row r="242" spans="2:7" x14ac:dyDescent="0.25">
      <c r="B242" s="286"/>
      <c r="C242" s="286"/>
      <c r="G242" s="271"/>
    </row>
    <row r="243" spans="2:7" x14ac:dyDescent="0.25">
      <c r="B243" s="286"/>
      <c r="C243" s="286"/>
      <c r="G243" s="271"/>
    </row>
    <row r="244" spans="2:7" x14ac:dyDescent="0.25">
      <c r="B244" s="286"/>
      <c r="C244" s="286"/>
      <c r="G244" s="271"/>
    </row>
    <row r="245" spans="2:7" x14ac:dyDescent="0.25">
      <c r="B245" s="286"/>
      <c r="C245" s="286"/>
      <c r="G245" s="271"/>
    </row>
    <row r="246" spans="2:7" x14ac:dyDescent="0.25">
      <c r="B246" s="286"/>
      <c r="C246" s="286"/>
      <c r="G246" s="271"/>
    </row>
    <row r="247" spans="2:7" x14ac:dyDescent="0.25">
      <c r="B247" s="286"/>
      <c r="C247" s="286"/>
      <c r="G247" s="271"/>
    </row>
    <row r="248" spans="2:7" x14ac:dyDescent="0.25">
      <c r="B248" s="286"/>
      <c r="C248" s="286"/>
      <c r="G248" s="271"/>
    </row>
    <row r="249" spans="2:7" x14ac:dyDescent="0.25">
      <c r="B249" s="286"/>
      <c r="C249" s="286"/>
      <c r="G249" s="271"/>
    </row>
    <row r="250" spans="2:7" x14ac:dyDescent="0.25">
      <c r="B250" s="286"/>
      <c r="C250" s="286"/>
      <c r="G250" s="271"/>
    </row>
    <row r="251" spans="2:7" x14ac:dyDescent="0.25">
      <c r="B251" s="286"/>
      <c r="C251" s="286"/>
      <c r="G251" s="271"/>
    </row>
    <row r="252" spans="2:7" x14ac:dyDescent="0.25">
      <c r="B252" s="286"/>
      <c r="C252" s="286"/>
      <c r="G252" s="271"/>
    </row>
    <row r="253" spans="2:7" x14ac:dyDescent="0.25">
      <c r="B253" s="286"/>
      <c r="C253" s="286"/>
      <c r="G253" s="271"/>
    </row>
    <row r="254" spans="2:7" x14ac:dyDescent="0.25">
      <c r="B254" s="286"/>
      <c r="C254" s="286"/>
      <c r="G254" s="271"/>
    </row>
    <row r="255" spans="2:7" x14ac:dyDescent="0.25">
      <c r="B255" s="286"/>
      <c r="C255" s="286"/>
      <c r="G255" s="271"/>
    </row>
    <row r="256" spans="2:7" x14ac:dyDescent="0.25">
      <c r="B256" s="286"/>
      <c r="C256" s="286"/>
      <c r="G256" s="271"/>
    </row>
    <row r="257" spans="2:7" x14ac:dyDescent="0.25">
      <c r="B257" s="286"/>
      <c r="C257" s="286"/>
      <c r="G257" s="271"/>
    </row>
    <row r="258" spans="2:7" x14ac:dyDescent="0.25">
      <c r="B258" s="286"/>
      <c r="C258" s="286"/>
      <c r="G258" s="271"/>
    </row>
    <row r="259" spans="2:7" x14ac:dyDescent="0.25">
      <c r="B259" s="286"/>
      <c r="C259" s="286"/>
      <c r="G259" s="271"/>
    </row>
    <row r="260" spans="2:7" x14ac:dyDescent="0.25">
      <c r="B260" s="286"/>
      <c r="C260" s="286"/>
      <c r="G260" s="271"/>
    </row>
    <row r="261" spans="2:7" x14ac:dyDescent="0.25">
      <c r="B261" s="286"/>
      <c r="C261" s="286"/>
      <c r="G261" s="271"/>
    </row>
    <row r="262" spans="2:7" x14ac:dyDescent="0.25">
      <c r="B262" s="286"/>
      <c r="C262" s="286"/>
      <c r="G262" s="271"/>
    </row>
    <row r="263" spans="2:7" x14ac:dyDescent="0.25">
      <c r="B263" s="286"/>
      <c r="C263" s="286"/>
      <c r="G263" s="271"/>
    </row>
    <row r="264" spans="2:7" x14ac:dyDescent="0.25">
      <c r="B264" s="286"/>
      <c r="C264" s="286"/>
      <c r="G264" s="271"/>
    </row>
    <row r="265" spans="2:7" x14ac:dyDescent="0.25">
      <c r="B265" s="286"/>
      <c r="C265" s="286"/>
      <c r="G265" s="271"/>
    </row>
    <row r="266" spans="2:7" x14ac:dyDescent="0.25">
      <c r="B266" s="286"/>
      <c r="C266" s="286"/>
      <c r="G266" s="271"/>
    </row>
    <row r="267" spans="2:7" x14ac:dyDescent="0.25">
      <c r="B267" s="286"/>
      <c r="C267" s="286"/>
      <c r="G267" s="271"/>
    </row>
    <row r="268" spans="2:7" x14ac:dyDescent="0.25">
      <c r="B268" s="286"/>
      <c r="C268" s="286"/>
      <c r="G268" s="271"/>
    </row>
    <row r="269" spans="2:7" x14ac:dyDescent="0.25">
      <c r="B269" s="286"/>
      <c r="C269" s="286"/>
      <c r="G269" s="271"/>
    </row>
    <row r="270" spans="2:7" x14ac:dyDescent="0.25">
      <c r="B270" s="286"/>
      <c r="C270" s="286"/>
      <c r="G270" s="271"/>
    </row>
    <row r="271" spans="2:7" x14ac:dyDescent="0.25">
      <c r="B271" s="286"/>
      <c r="C271" s="286"/>
      <c r="G271" s="271"/>
    </row>
    <row r="272" spans="2:7" x14ac:dyDescent="0.25">
      <c r="B272" s="286"/>
      <c r="C272" s="286"/>
      <c r="G272" s="271"/>
    </row>
    <row r="273" spans="2:7" x14ac:dyDescent="0.25">
      <c r="B273" s="286"/>
      <c r="C273" s="286"/>
      <c r="G273" s="271"/>
    </row>
    <row r="274" spans="2:7" x14ac:dyDescent="0.25">
      <c r="B274" s="286"/>
      <c r="C274" s="286"/>
      <c r="G274" s="271"/>
    </row>
    <row r="275" spans="2:7" x14ac:dyDescent="0.25">
      <c r="B275" s="286"/>
      <c r="C275" s="286"/>
      <c r="G275" s="271"/>
    </row>
    <row r="276" spans="2:7" x14ac:dyDescent="0.25">
      <c r="B276" s="286"/>
      <c r="C276" s="286"/>
      <c r="G276" s="271"/>
    </row>
    <row r="277" spans="2:7" x14ac:dyDescent="0.25">
      <c r="B277" s="286"/>
      <c r="C277" s="286"/>
      <c r="G277" s="271"/>
    </row>
    <row r="278" spans="2:7" x14ac:dyDescent="0.25">
      <c r="B278" s="286"/>
      <c r="C278" s="286"/>
      <c r="G278" s="271"/>
    </row>
    <row r="279" spans="2:7" x14ac:dyDescent="0.25">
      <c r="B279" s="286"/>
      <c r="C279" s="286"/>
      <c r="G279" s="271"/>
    </row>
    <row r="280" spans="2:7" x14ac:dyDescent="0.25">
      <c r="B280" s="286"/>
      <c r="C280" s="286"/>
      <c r="G280" s="271"/>
    </row>
    <row r="281" spans="2:7" x14ac:dyDescent="0.25">
      <c r="B281" s="286"/>
      <c r="C281" s="286"/>
      <c r="G281" s="271"/>
    </row>
    <row r="282" spans="2:7" x14ac:dyDescent="0.25">
      <c r="B282" s="286"/>
      <c r="C282" s="286"/>
      <c r="G282" s="271"/>
    </row>
    <row r="283" spans="2:7" x14ac:dyDescent="0.25">
      <c r="B283" s="286"/>
      <c r="C283" s="286"/>
      <c r="G283" s="271"/>
    </row>
    <row r="284" spans="2:7" x14ac:dyDescent="0.25">
      <c r="B284" s="286"/>
      <c r="C284" s="286"/>
      <c r="G284" s="271"/>
    </row>
    <row r="285" spans="2:7" x14ac:dyDescent="0.25">
      <c r="B285" s="286"/>
      <c r="C285" s="286"/>
      <c r="G285" s="271"/>
    </row>
    <row r="286" spans="2:7" x14ac:dyDescent="0.25">
      <c r="B286" s="286"/>
      <c r="C286" s="286"/>
      <c r="G286" s="271"/>
    </row>
    <row r="287" spans="2:7" x14ac:dyDescent="0.25">
      <c r="B287" s="286"/>
      <c r="C287" s="286"/>
      <c r="G287" s="271"/>
    </row>
    <row r="288" spans="2:7" x14ac:dyDescent="0.25">
      <c r="B288" s="286"/>
      <c r="C288" s="286"/>
      <c r="G288" s="271"/>
    </row>
    <row r="289" spans="2:7" x14ac:dyDescent="0.25">
      <c r="B289" s="286"/>
      <c r="C289" s="286"/>
      <c r="G289" s="271"/>
    </row>
    <row r="290" spans="2:7" x14ac:dyDescent="0.25">
      <c r="B290" s="286"/>
      <c r="C290" s="286"/>
      <c r="G290" s="271"/>
    </row>
    <row r="291" spans="2:7" x14ac:dyDescent="0.25">
      <c r="B291" s="286"/>
      <c r="C291" s="286"/>
      <c r="G291" s="271"/>
    </row>
    <row r="292" spans="2:7" x14ac:dyDescent="0.25">
      <c r="B292" s="286"/>
      <c r="C292" s="286"/>
      <c r="G292" s="271"/>
    </row>
    <row r="293" spans="2:7" x14ac:dyDescent="0.25">
      <c r="B293" s="286"/>
      <c r="C293" s="286"/>
      <c r="G293" s="271"/>
    </row>
    <row r="294" spans="2:7" x14ac:dyDescent="0.25">
      <c r="B294" s="286"/>
      <c r="C294" s="286"/>
      <c r="G294" s="271"/>
    </row>
    <row r="295" spans="2:7" x14ac:dyDescent="0.25">
      <c r="B295" s="286"/>
      <c r="C295" s="286"/>
      <c r="G295" s="271"/>
    </row>
    <row r="296" spans="2:7" x14ac:dyDescent="0.25">
      <c r="B296" s="286"/>
      <c r="C296" s="286"/>
      <c r="G296" s="271"/>
    </row>
    <row r="297" spans="2:7" x14ac:dyDescent="0.25">
      <c r="B297" s="286"/>
      <c r="C297" s="286"/>
      <c r="G297" s="271"/>
    </row>
    <row r="298" spans="2:7" x14ac:dyDescent="0.25">
      <c r="B298" s="286"/>
      <c r="C298" s="286"/>
      <c r="G298" s="271"/>
    </row>
    <row r="299" spans="2:7" x14ac:dyDescent="0.25">
      <c r="B299" s="286"/>
      <c r="C299" s="286"/>
      <c r="G299" s="271"/>
    </row>
    <row r="300" spans="2:7" x14ac:dyDescent="0.25">
      <c r="B300" s="286"/>
      <c r="C300" s="286"/>
      <c r="G300" s="271"/>
    </row>
    <row r="301" spans="2:7" x14ac:dyDescent="0.25">
      <c r="B301" s="286"/>
      <c r="C301" s="286"/>
      <c r="G301" s="271"/>
    </row>
    <row r="302" spans="2:7" x14ac:dyDescent="0.25">
      <c r="B302" s="286"/>
      <c r="C302" s="286"/>
      <c r="G302" s="271"/>
    </row>
    <row r="303" spans="2:7" x14ac:dyDescent="0.25">
      <c r="B303" s="286"/>
      <c r="C303" s="286"/>
      <c r="G303" s="271"/>
    </row>
    <row r="304" spans="2:7" x14ac:dyDescent="0.25">
      <c r="B304" s="286"/>
      <c r="C304" s="286"/>
      <c r="G304" s="271"/>
    </row>
    <row r="305" spans="2:7" x14ac:dyDescent="0.25">
      <c r="B305" s="286"/>
      <c r="C305" s="286"/>
      <c r="G305" s="271"/>
    </row>
    <row r="306" spans="2:7" x14ac:dyDescent="0.25">
      <c r="B306" s="286"/>
      <c r="C306" s="286"/>
      <c r="G306" s="271"/>
    </row>
    <row r="307" spans="2:7" x14ac:dyDescent="0.25">
      <c r="B307" s="286"/>
      <c r="C307" s="286"/>
      <c r="G307" s="271"/>
    </row>
    <row r="308" spans="2:7" x14ac:dyDescent="0.25">
      <c r="B308" s="286"/>
      <c r="C308" s="286"/>
      <c r="G308" s="271"/>
    </row>
    <row r="309" spans="2:7" x14ac:dyDescent="0.25">
      <c r="B309" s="286"/>
      <c r="C309" s="286"/>
      <c r="G309" s="271"/>
    </row>
    <row r="310" spans="2:7" x14ac:dyDescent="0.25">
      <c r="B310" s="286"/>
      <c r="C310" s="286"/>
      <c r="G310" s="271"/>
    </row>
    <row r="311" spans="2:7" x14ac:dyDescent="0.25">
      <c r="B311" s="286"/>
      <c r="C311" s="286"/>
      <c r="G311" s="271"/>
    </row>
    <row r="312" spans="2:7" x14ac:dyDescent="0.25">
      <c r="B312" s="286"/>
      <c r="C312" s="286"/>
      <c r="G312" s="271"/>
    </row>
    <row r="313" spans="2:7" x14ac:dyDescent="0.25">
      <c r="B313" s="286"/>
      <c r="C313" s="286"/>
      <c r="G313" s="271"/>
    </row>
    <row r="314" spans="2:7" x14ac:dyDescent="0.25">
      <c r="B314" s="286"/>
      <c r="C314" s="286"/>
      <c r="G314" s="271"/>
    </row>
    <row r="315" spans="2:7" x14ac:dyDescent="0.25">
      <c r="B315" s="286"/>
      <c r="C315" s="286"/>
      <c r="G315" s="271"/>
    </row>
    <row r="316" spans="2:7" x14ac:dyDescent="0.25">
      <c r="B316" s="286"/>
      <c r="C316" s="286"/>
      <c r="G316" s="271"/>
    </row>
    <row r="317" spans="2:7" x14ac:dyDescent="0.25">
      <c r="B317" s="286"/>
      <c r="C317" s="286"/>
      <c r="G317" s="271"/>
    </row>
    <row r="318" spans="2:7" x14ac:dyDescent="0.25">
      <c r="B318" s="286"/>
      <c r="C318" s="286"/>
      <c r="G318" s="271"/>
    </row>
    <row r="319" spans="2:7" x14ac:dyDescent="0.25">
      <c r="B319" s="286"/>
      <c r="C319" s="286"/>
      <c r="G319" s="271"/>
    </row>
    <row r="320" spans="2:7" x14ac:dyDescent="0.25">
      <c r="B320" s="286"/>
      <c r="C320" s="286"/>
      <c r="G320" s="271"/>
    </row>
    <row r="321" spans="2:7" x14ac:dyDescent="0.25">
      <c r="B321" s="286"/>
      <c r="C321" s="286"/>
      <c r="G321" s="271"/>
    </row>
    <row r="322" spans="2:7" x14ac:dyDescent="0.25">
      <c r="B322" s="286"/>
      <c r="C322" s="286"/>
      <c r="G322" s="271"/>
    </row>
    <row r="323" spans="2:7" x14ac:dyDescent="0.25">
      <c r="B323" s="286"/>
      <c r="C323" s="286"/>
      <c r="G323" s="271"/>
    </row>
    <row r="324" spans="2:7" x14ac:dyDescent="0.25">
      <c r="B324" s="286"/>
      <c r="C324" s="286"/>
      <c r="G324" s="271"/>
    </row>
    <row r="325" spans="2:7" x14ac:dyDescent="0.25">
      <c r="B325" s="286"/>
      <c r="C325" s="286"/>
      <c r="G325" s="271"/>
    </row>
    <row r="326" spans="2:7" x14ac:dyDescent="0.25">
      <c r="B326" s="286"/>
      <c r="C326" s="286"/>
      <c r="G326" s="271"/>
    </row>
    <row r="327" spans="2:7" x14ac:dyDescent="0.25">
      <c r="B327" s="286"/>
      <c r="C327" s="286"/>
      <c r="G327" s="271"/>
    </row>
    <row r="328" spans="2:7" x14ac:dyDescent="0.25">
      <c r="B328" s="286"/>
      <c r="C328" s="286"/>
      <c r="G328" s="271"/>
    </row>
    <row r="329" spans="2:7" x14ac:dyDescent="0.25">
      <c r="B329" s="286"/>
      <c r="C329" s="286"/>
      <c r="G329" s="271"/>
    </row>
    <row r="330" spans="2:7" x14ac:dyDescent="0.25">
      <c r="B330" s="286"/>
      <c r="C330" s="286"/>
      <c r="G330" s="271"/>
    </row>
    <row r="331" spans="2:7" x14ac:dyDescent="0.25">
      <c r="B331" s="286"/>
      <c r="C331" s="286"/>
      <c r="G331" s="271"/>
    </row>
    <row r="332" spans="2:7" x14ac:dyDescent="0.25">
      <c r="B332" s="286"/>
      <c r="C332" s="286"/>
      <c r="G332" s="271"/>
    </row>
    <row r="333" spans="2:7" x14ac:dyDescent="0.25">
      <c r="B333" s="286"/>
      <c r="C333" s="286"/>
      <c r="G333" s="271"/>
    </row>
    <row r="334" spans="2:7" x14ac:dyDescent="0.25">
      <c r="B334" s="286"/>
      <c r="C334" s="286"/>
      <c r="G334" s="271"/>
    </row>
    <row r="335" spans="2:7" x14ac:dyDescent="0.25">
      <c r="B335" s="286"/>
      <c r="C335" s="286"/>
      <c r="G335" s="271"/>
    </row>
    <row r="336" spans="2:7" x14ac:dyDescent="0.25">
      <c r="B336" s="286"/>
      <c r="C336" s="286"/>
      <c r="G336" s="271"/>
    </row>
    <row r="337" spans="2:7" x14ac:dyDescent="0.25">
      <c r="B337" s="286"/>
      <c r="C337" s="286"/>
      <c r="G337" s="271"/>
    </row>
    <row r="338" spans="2:7" x14ac:dyDescent="0.25">
      <c r="B338" s="286"/>
      <c r="C338" s="286"/>
      <c r="G338" s="271"/>
    </row>
    <row r="339" spans="2:7" x14ac:dyDescent="0.25">
      <c r="B339" s="286"/>
      <c r="C339" s="286"/>
      <c r="G339" s="271"/>
    </row>
    <row r="340" spans="2:7" x14ac:dyDescent="0.25">
      <c r="B340" s="286"/>
      <c r="C340" s="286"/>
      <c r="G340" s="271"/>
    </row>
    <row r="341" spans="2:7" x14ac:dyDescent="0.25">
      <c r="B341" s="286"/>
      <c r="C341" s="286"/>
      <c r="G341" s="271"/>
    </row>
    <row r="342" spans="2:7" x14ac:dyDescent="0.25">
      <c r="B342" s="286"/>
      <c r="C342" s="286"/>
      <c r="G342" s="271"/>
    </row>
    <row r="343" spans="2:7" x14ac:dyDescent="0.25">
      <c r="B343" s="286"/>
      <c r="C343" s="286"/>
      <c r="G343" s="271"/>
    </row>
    <row r="344" spans="2:7" x14ac:dyDescent="0.25">
      <c r="B344" s="286"/>
      <c r="C344" s="286"/>
      <c r="G344" s="271"/>
    </row>
    <row r="345" spans="2:7" x14ac:dyDescent="0.25">
      <c r="B345" s="286"/>
      <c r="C345" s="286"/>
      <c r="G345" s="271"/>
    </row>
    <row r="346" spans="2:7" x14ac:dyDescent="0.25">
      <c r="B346" s="286"/>
      <c r="C346" s="286"/>
      <c r="G346" s="271"/>
    </row>
    <row r="347" spans="2:7" x14ac:dyDescent="0.25">
      <c r="B347" s="286"/>
      <c r="C347" s="286"/>
      <c r="G347" s="271"/>
    </row>
    <row r="348" spans="2:7" x14ac:dyDescent="0.25">
      <c r="B348" s="286"/>
      <c r="C348" s="286"/>
      <c r="G348" s="271"/>
    </row>
    <row r="349" spans="2:7" x14ac:dyDescent="0.25">
      <c r="B349" s="286"/>
      <c r="C349" s="286"/>
      <c r="G349" s="271"/>
    </row>
    <row r="350" spans="2:7" x14ac:dyDescent="0.25">
      <c r="B350" s="286"/>
      <c r="C350" s="286"/>
      <c r="G350" s="271"/>
    </row>
    <row r="351" spans="2:7" x14ac:dyDescent="0.25">
      <c r="B351" s="286"/>
      <c r="C351" s="286"/>
      <c r="G351" s="271"/>
    </row>
    <row r="352" spans="2:7" x14ac:dyDescent="0.25">
      <c r="B352" s="286"/>
      <c r="C352" s="286"/>
      <c r="G352" s="271"/>
    </row>
    <row r="353" spans="2:7" x14ac:dyDescent="0.25">
      <c r="B353" s="286"/>
      <c r="C353" s="286"/>
      <c r="G353" s="271"/>
    </row>
    <row r="354" spans="2:7" x14ac:dyDescent="0.25">
      <c r="B354" s="286"/>
      <c r="C354" s="286"/>
      <c r="G354" s="271"/>
    </row>
    <row r="355" spans="2:7" x14ac:dyDescent="0.25">
      <c r="B355" s="286"/>
      <c r="C355" s="286"/>
      <c r="G355" s="271"/>
    </row>
    <row r="356" spans="2:7" x14ac:dyDescent="0.25">
      <c r="B356" s="286"/>
      <c r="C356" s="286"/>
      <c r="G356" s="271"/>
    </row>
    <row r="357" spans="2:7" x14ac:dyDescent="0.25">
      <c r="B357" s="286"/>
      <c r="C357" s="286"/>
      <c r="G357" s="271"/>
    </row>
    <row r="358" spans="2:7" x14ac:dyDescent="0.25">
      <c r="B358" s="286"/>
      <c r="C358" s="286"/>
      <c r="G358" s="271"/>
    </row>
    <row r="359" spans="2:7" x14ac:dyDescent="0.25">
      <c r="B359" s="286"/>
      <c r="C359" s="286"/>
      <c r="G359" s="271"/>
    </row>
    <row r="360" spans="2:7" x14ac:dyDescent="0.25">
      <c r="B360" s="286"/>
      <c r="C360" s="286"/>
      <c r="G360" s="271"/>
    </row>
    <row r="361" spans="2:7" x14ac:dyDescent="0.25">
      <c r="B361" s="286"/>
      <c r="C361" s="286"/>
      <c r="G361" s="271"/>
    </row>
    <row r="362" spans="2:7" x14ac:dyDescent="0.25">
      <c r="B362" s="286"/>
      <c r="C362" s="286"/>
      <c r="G362" s="271"/>
    </row>
    <row r="363" spans="2:7" x14ac:dyDescent="0.25">
      <c r="B363" s="286"/>
      <c r="C363" s="286"/>
      <c r="G363" s="271"/>
    </row>
    <row r="364" spans="2:7" x14ac:dyDescent="0.25">
      <c r="B364" s="286"/>
      <c r="C364" s="286"/>
      <c r="G364" s="271"/>
    </row>
    <row r="365" spans="2:7" x14ac:dyDescent="0.25">
      <c r="B365" s="286"/>
      <c r="C365" s="286"/>
      <c r="G365" s="271"/>
    </row>
    <row r="366" spans="2:7" x14ac:dyDescent="0.25">
      <c r="B366" s="286"/>
      <c r="C366" s="286"/>
      <c r="G366" s="271"/>
    </row>
    <row r="367" spans="2:7" x14ac:dyDescent="0.25">
      <c r="B367" s="286"/>
      <c r="C367" s="286"/>
      <c r="G367" s="271"/>
    </row>
    <row r="368" spans="2:7" x14ac:dyDescent="0.25">
      <c r="B368" s="286"/>
      <c r="C368" s="286"/>
      <c r="G368" s="271"/>
    </row>
    <row r="369" spans="2:7" x14ac:dyDescent="0.25">
      <c r="B369" s="286"/>
      <c r="C369" s="286"/>
      <c r="G369" s="271"/>
    </row>
    <row r="370" spans="2:7" x14ac:dyDescent="0.25">
      <c r="B370" s="286"/>
      <c r="C370" s="286"/>
      <c r="G370" s="271"/>
    </row>
    <row r="371" spans="2:7" x14ac:dyDescent="0.25">
      <c r="B371" s="286"/>
      <c r="C371" s="286"/>
      <c r="G371" s="271"/>
    </row>
    <row r="372" spans="2:7" x14ac:dyDescent="0.25">
      <c r="B372" s="286"/>
      <c r="C372" s="286"/>
      <c r="G372" s="271"/>
    </row>
    <row r="373" spans="2:7" x14ac:dyDescent="0.25">
      <c r="B373" s="286"/>
      <c r="C373" s="286"/>
      <c r="G373" s="271"/>
    </row>
    <row r="374" spans="2:7" x14ac:dyDescent="0.25">
      <c r="B374" s="286"/>
      <c r="C374" s="286"/>
      <c r="G374" s="271"/>
    </row>
    <row r="375" spans="2:7" x14ac:dyDescent="0.25">
      <c r="B375" s="286"/>
      <c r="C375" s="286"/>
      <c r="G375" s="271"/>
    </row>
    <row r="376" spans="2:7" x14ac:dyDescent="0.25">
      <c r="B376" s="286"/>
      <c r="C376" s="286"/>
      <c r="G376" s="271"/>
    </row>
    <row r="377" spans="2:7" x14ac:dyDescent="0.25">
      <c r="B377" s="286"/>
      <c r="C377" s="286"/>
      <c r="G377" s="271"/>
    </row>
    <row r="378" spans="2:7" x14ac:dyDescent="0.25">
      <c r="B378" s="286"/>
      <c r="C378" s="286"/>
      <c r="G378" s="271"/>
    </row>
    <row r="379" spans="2:7" x14ac:dyDescent="0.25">
      <c r="B379" s="286"/>
      <c r="C379" s="286"/>
      <c r="G379" s="271"/>
    </row>
    <row r="380" spans="2:7" x14ac:dyDescent="0.25">
      <c r="B380" s="286"/>
      <c r="C380" s="286"/>
      <c r="G380" s="271"/>
    </row>
    <row r="381" spans="2:7" x14ac:dyDescent="0.25">
      <c r="B381" s="286"/>
      <c r="C381" s="286"/>
      <c r="G381" s="271"/>
    </row>
    <row r="382" spans="2:7" x14ac:dyDescent="0.25">
      <c r="B382" s="286"/>
      <c r="C382" s="286"/>
      <c r="G382" s="271"/>
    </row>
    <row r="383" spans="2:7" x14ac:dyDescent="0.25">
      <c r="B383" s="286"/>
      <c r="C383" s="286"/>
      <c r="G383" s="271"/>
    </row>
    <row r="384" spans="2:7" x14ac:dyDescent="0.25">
      <c r="B384" s="286"/>
      <c r="C384" s="286"/>
      <c r="G384" s="271"/>
    </row>
    <row r="385" spans="2:7" x14ac:dyDescent="0.25">
      <c r="B385" s="286"/>
      <c r="C385" s="286"/>
      <c r="G385" s="271"/>
    </row>
    <row r="386" spans="2:7" x14ac:dyDescent="0.25">
      <c r="B386" s="286"/>
      <c r="C386" s="286"/>
      <c r="G386" s="271"/>
    </row>
    <row r="387" spans="2:7" x14ac:dyDescent="0.25">
      <c r="B387" s="286"/>
      <c r="C387" s="286"/>
      <c r="G387" s="271"/>
    </row>
    <row r="388" spans="2:7" x14ac:dyDescent="0.25">
      <c r="B388" s="286"/>
      <c r="C388" s="286"/>
      <c r="G388" s="271"/>
    </row>
    <row r="389" spans="2:7" x14ac:dyDescent="0.25">
      <c r="B389" s="286"/>
      <c r="C389" s="286"/>
      <c r="G389" s="271"/>
    </row>
    <row r="390" spans="2:7" x14ac:dyDescent="0.25">
      <c r="B390" s="286"/>
      <c r="C390" s="286"/>
      <c r="G390" s="271"/>
    </row>
    <row r="391" spans="2:7" x14ac:dyDescent="0.25">
      <c r="B391" s="286"/>
      <c r="C391" s="286"/>
      <c r="G391" s="271"/>
    </row>
    <row r="392" spans="2:7" x14ac:dyDescent="0.25">
      <c r="B392" s="286"/>
      <c r="C392" s="286"/>
      <c r="G392" s="271"/>
    </row>
    <row r="393" spans="2:7" x14ac:dyDescent="0.25">
      <c r="B393" s="286"/>
      <c r="C393" s="286"/>
      <c r="G393" s="271"/>
    </row>
    <row r="394" spans="2:7" x14ac:dyDescent="0.25">
      <c r="B394" s="286"/>
      <c r="C394" s="286"/>
      <c r="G394" s="271"/>
    </row>
    <row r="395" spans="2:7" x14ac:dyDescent="0.25">
      <c r="B395" s="286"/>
      <c r="C395" s="286"/>
      <c r="G395" s="271"/>
    </row>
    <row r="396" spans="2:7" x14ac:dyDescent="0.25">
      <c r="B396" s="286"/>
      <c r="C396" s="286"/>
      <c r="G396" s="271"/>
    </row>
    <row r="397" spans="2:7" x14ac:dyDescent="0.25">
      <c r="B397" s="286"/>
      <c r="C397" s="286"/>
      <c r="G397" s="271"/>
    </row>
    <row r="398" spans="2:7" x14ac:dyDescent="0.25">
      <c r="B398" s="286"/>
      <c r="C398" s="286"/>
      <c r="G398" s="271"/>
    </row>
    <row r="399" spans="2:7" x14ac:dyDescent="0.25">
      <c r="B399" s="286"/>
      <c r="C399" s="286"/>
      <c r="G399" s="271"/>
    </row>
    <row r="400" spans="2:7" x14ac:dyDescent="0.25">
      <c r="B400" s="286"/>
      <c r="C400" s="286"/>
      <c r="G400" s="271"/>
    </row>
    <row r="401" spans="2:7" x14ac:dyDescent="0.25">
      <c r="B401" s="286"/>
      <c r="C401" s="286"/>
      <c r="G401" s="271"/>
    </row>
    <row r="402" spans="2:7" x14ac:dyDescent="0.25">
      <c r="B402" s="286"/>
      <c r="C402" s="286"/>
      <c r="G402" s="271"/>
    </row>
    <row r="403" spans="2:7" x14ac:dyDescent="0.25">
      <c r="B403" s="286"/>
      <c r="C403" s="286"/>
      <c r="G403" s="271"/>
    </row>
    <row r="404" spans="2:7" x14ac:dyDescent="0.25">
      <c r="B404" s="286"/>
      <c r="C404" s="286"/>
      <c r="G404" s="271"/>
    </row>
    <row r="405" spans="2:7" x14ac:dyDescent="0.25">
      <c r="B405" s="286"/>
      <c r="C405" s="286"/>
      <c r="G405" s="271"/>
    </row>
    <row r="406" spans="2:7" x14ac:dyDescent="0.25">
      <c r="B406" s="286"/>
      <c r="C406" s="286"/>
      <c r="G406" s="271"/>
    </row>
    <row r="407" spans="2:7" x14ac:dyDescent="0.25">
      <c r="B407" s="286"/>
      <c r="C407" s="286"/>
      <c r="G407" s="271"/>
    </row>
    <row r="408" spans="2:7" x14ac:dyDescent="0.25">
      <c r="B408" s="286"/>
      <c r="C408" s="286"/>
      <c r="G408" s="271"/>
    </row>
    <row r="409" spans="2:7" x14ac:dyDescent="0.25">
      <c r="B409" s="286"/>
      <c r="C409" s="286"/>
      <c r="G409" s="271"/>
    </row>
    <row r="410" spans="2:7" x14ac:dyDescent="0.25">
      <c r="B410" s="286"/>
      <c r="C410" s="286"/>
      <c r="G410" s="271"/>
    </row>
    <row r="411" spans="2:7" x14ac:dyDescent="0.25">
      <c r="B411" s="286"/>
      <c r="C411" s="286"/>
      <c r="G411" s="271"/>
    </row>
    <row r="412" spans="2:7" x14ac:dyDescent="0.25">
      <c r="B412" s="286"/>
      <c r="C412" s="286"/>
      <c r="G412" s="271"/>
    </row>
    <row r="413" spans="2:7" x14ac:dyDescent="0.25">
      <c r="B413" s="286"/>
      <c r="C413" s="286"/>
      <c r="G413" s="271"/>
    </row>
    <row r="414" spans="2:7" x14ac:dyDescent="0.25">
      <c r="B414" s="286"/>
      <c r="C414" s="286"/>
      <c r="G414" s="271"/>
    </row>
    <row r="415" spans="2:7" x14ac:dyDescent="0.25">
      <c r="B415" s="286"/>
      <c r="C415" s="286"/>
      <c r="G415" s="271"/>
    </row>
    <row r="416" spans="2:7" x14ac:dyDescent="0.25">
      <c r="B416" s="286"/>
      <c r="C416" s="286"/>
      <c r="G416" s="271"/>
    </row>
    <row r="417" spans="2:7" x14ac:dyDescent="0.25">
      <c r="B417" s="286"/>
      <c r="C417" s="286"/>
      <c r="G417" s="271"/>
    </row>
    <row r="418" spans="2:7" x14ac:dyDescent="0.25">
      <c r="B418" s="286"/>
      <c r="C418" s="286"/>
      <c r="G418" s="271"/>
    </row>
    <row r="419" spans="2:7" x14ac:dyDescent="0.25">
      <c r="B419" s="286"/>
      <c r="C419" s="286"/>
      <c r="G419" s="271"/>
    </row>
    <row r="420" spans="2:7" x14ac:dyDescent="0.25">
      <c r="B420" s="286"/>
      <c r="C420" s="286"/>
      <c r="G420" s="271"/>
    </row>
    <row r="421" spans="2:7" x14ac:dyDescent="0.25">
      <c r="B421" s="286"/>
      <c r="C421" s="286"/>
      <c r="G421" s="271"/>
    </row>
    <row r="422" spans="2:7" x14ac:dyDescent="0.25">
      <c r="B422" s="286"/>
      <c r="C422" s="286"/>
      <c r="G422" s="271"/>
    </row>
    <row r="423" spans="2:7" x14ac:dyDescent="0.25">
      <c r="B423" s="286"/>
      <c r="C423" s="286"/>
      <c r="G423" s="271"/>
    </row>
    <row r="424" spans="2:7" x14ac:dyDescent="0.25">
      <c r="B424" s="286"/>
      <c r="C424" s="286"/>
      <c r="G424" s="271"/>
    </row>
    <row r="425" spans="2:7" x14ac:dyDescent="0.25">
      <c r="B425" s="286"/>
      <c r="C425" s="286"/>
      <c r="G425" s="271"/>
    </row>
    <row r="426" spans="2:7" x14ac:dyDescent="0.25">
      <c r="B426" s="286"/>
      <c r="C426" s="286"/>
      <c r="G426" s="271"/>
    </row>
    <row r="427" spans="2:7" x14ac:dyDescent="0.25">
      <c r="B427" s="286"/>
      <c r="C427" s="286"/>
      <c r="G427" s="271"/>
    </row>
    <row r="428" spans="2:7" x14ac:dyDescent="0.25">
      <c r="B428" s="286"/>
      <c r="C428" s="286"/>
      <c r="G428" s="271"/>
    </row>
    <row r="429" spans="2:7" x14ac:dyDescent="0.25">
      <c r="B429" s="286"/>
      <c r="C429" s="286"/>
      <c r="G429" s="271"/>
    </row>
    <row r="430" spans="2:7" x14ac:dyDescent="0.25">
      <c r="B430" s="286"/>
      <c r="C430" s="286"/>
      <c r="G430" s="271"/>
    </row>
    <row r="431" spans="2:7" x14ac:dyDescent="0.25">
      <c r="B431" s="286"/>
      <c r="C431" s="286"/>
      <c r="G431" s="271"/>
    </row>
    <row r="432" spans="2:7" x14ac:dyDescent="0.25">
      <c r="B432" s="286"/>
      <c r="C432" s="286"/>
      <c r="G432" s="271"/>
    </row>
    <row r="433" spans="2:7" x14ac:dyDescent="0.25">
      <c r="B433" s="286"/>
      <c r="C433" s="286"/>
      <c r="G433" s="271"/>
    </row>
    <row r="434" spans="2:7" x14ac:dyDescent="0.25">
      <c r="B434" s="286"/>
      <c r="C434" s="286"/>
      <c r="G434" s="271"/>
    </row>
    <row r="435" spans="2:7" x14ac:dyDescent="0.25">
      <c r="B435" s="286"/>
      <c r="C435" s="286"/>
      <c r="G435" s="271"/>
    </row>
    <row r="436" spans="2:7" x14ac:dyDescent="0.25">
      <c r="B436" s="286"/>
      <c r="C436" s="286"/>
      <c r="G436" s="271"/>
    </row>
    <row r="437" spans="2:7" x14ac:dyDescent="0.25">
      <c r="B437" s="286"/>
      <c r="C437" s="286"/>
      <c r="G437" s="271"/>
    </row>
    <row r="438" spans="2:7" x14ac:dyDescent="0.25">
      <c r="B438" s="286"/>
      <c r="C438" s="286"/>
      <c r="G438" s="271"/>
    </row>
    <row r="439" spans="2:7" x14ac:dyDescent="0.25">
      <c r="B439" s="286"/>
      <c r="C439" s="286"/>
      <c r="G439" s="271"/>
    </row>
    <row r="440" spans="2:7" x14ac:dyDescent="0.25">
      <c r="B440" s="286"/>
      <c r="C440" s="286"/>
      <c r="G440" s="271"/>
    </row>
    <row r="441" spans="2:7" x14ac:dyDescent="0.25">
      <c r="B441" s="286"/>
      <c r="C441" s="286"/>
      <c r="G441" s="271"/>
    </row>
    <row r="442" spans="2:7" x14ac:dyDescent="0.25">
      <c r="B442" s="286"/>
      <c r="C442" s="286"/>
      <c r="G442" s="271"/>
    </row>
    <row r="443" spans="2:7" x14ac:dyDescent="0.25">
      <c r="B443" s="286"/>
      <c r="C443" s="286"/>
      <c r="G443" s="271"/>
    </row>
    <row r="444" spans="2:7" x14ac:dyDescent="0.25">
      <c r="B444" s="286"/>
      <c r="C444" s="286"/>
      <c r="G444" s="271"/>
    </row>
    <row r="445" spans="2:7" x14ac:dyDescent="0.25">
      <c r="B445" s="286"/>
      <c r="C445" s="286"/>
      <c r="G445" s="271"/>
    </row>
    <row r="446" spans="2:7" x14ac:dyDescent="0.25">
      <c r="B446" s="286"/>
      <c r="C446" s="286"/>
      <c r="G446" s="271"/>
    </row>
    <row r="447" spans="2:7" x14ac:dyDescent="0.25">
      <c r="B447" s="286"/>
      <c r="C447" s="286"/>
      <c r="G447" s="271"/>
    </row>
    <row r="448" spans="2:7" x14ac:dyDescent="0.25">
      <c r="B448" s="286"/>
      <c r="C448" s="286"/>
      <c r="G448" s="271"/>
    </row>
    <row r="449" spans="2:7" x14ac:dyDescent="0.25">
      <c r="B449" s="286"/>
      <c r="C449" s="286"/>
      <c r="G449" s="271"/>
    </row>
    <row r="450" spans="2:7" x14ac:dyDescent="0.25">
      <c r="B450" s="286"/>
      <c r="C450" s="286"/>
      <c r="G450" s="271"/>
    </row>
    <row r="451" spans="2:7" x14ac:dyDescent="0.25">
      <c r="B451" s="286"/>
      <c r="C451" s="286"/>
      <c r="G451" s="271"/>
    </row>
    <row r="452" spans="2:7" x14ac:dyDescent="0.25">
      <c r="B452" s="286"/>
      <c r="C452" s="286"/>
      <c r="G452" s="271"/>
    </row>
    <row r="453" spans="2:7" x14ac:dyDescent="0.25">
      <c r="B453" s="286"/>
      <c r="C453" s="286"/>
      <c r="G453" s="271"/>
    </row>
    <row r="454" spans="2:7" x14ac:dyDescent="0.25">
      <c r="B454" s="286"/>
      <c r="C454" s="286"/>
      <c r="G454" s="271"/>
    </row>
    <row r="455" spans="2:7" x14ac:dyDescent="0.25">
      <c r="B455" s="286"/>
      <c r="C455" s="286"/>
      <c r="G455" s="271"/>
    </row>
    <row r="456" spans="2:7" x14ac:dyDescent="0.25">
      <c r="B456" s="286"/>
      <c r="C456" s="286"/>
      <c r="G456" s="271"/>
    </row>
    <row r="457" spans="2:7" x14ac:dyDescent="0.25">
      <c r="B457" s="286"/>
      <c r="C457" s="286"/>
      <c r="G457" s="271"/>
    </row>
    <row r="458" spans="2:7" x14ac:dyDescent="0.25">
      <c r="B458" s="286"/>
      <c r="C458" s="286"/>
      <c r="G458" s="271"/>
    </row>
    <row r="459" spans="2:7" x14ac:dyDescent="0.25">
      <c r="B459" s="286"/>
      <c r="C459" s="286"/>
      <c r="G459" s="271"/>
    </row>
    <row r="460" spans="2:7" x14ac:dyDescent="0.25">
      <c r="B460" s="286"/>
      <c r="C460" s="286"/>
      <c r="G460" s="271"/>
    </row>
    <row r="461" spans="2:7" x14ac:dyDescent="0.25">
      <c r="B461" s="286"/>
      <c r="C461" s="286"/>
      <c r="G461" s="271"/>
    </row>
    <row r="462" spans="2:7" x14ac:dyDescent="0.25">
      <c r="B462" s="286"/>
      <c r="C462" s="286"/>
      <c r="G462" s="271"/>
    </row>
    <row r="463" spans="2:7" x14ac:dyDescent="0.25">
      <c r="B463" s="286"/>
      <c r="C463" s="286"/>
      <c r="G463" s="271"/>
    </row>
    <row r="464" spans="2:7" x14ac:dyDescent="0.25">
      <c r="B464" s="286"/>
      <c r="C464" s="286"/>
      <c r="G464" s="271"/>
    </row>
    <row r="465" spans="2:7" x14ac:dyDescent="0.25">
      <c r="B465" s="286"/>
      <c r="C465" s="286"/>
      <c r="G465" s="271"/>
    </row>
    <row r="466" spans="2:7" x14ac:dyDescent="0.25">
      <c r="B466" s="286"/>
      <c r="C466" s="286"/>
      <c r="G466" s="271"/>
    </row>
    <row r="467" spans="2:7" x14ac:dyDescent="0.25">
      <c r="B467" s="286"/>
      <c r="C467" s="286"/>
      <c r="G467" s="271"/>
    </row>
    <row r="468" spans="2:7" x14ac:dyDescent="0.25">
      <c r="B468" s="286"/>
      <c r="C468" s="286"/>
      <c r="G468" s="271"/>
    </row>
    <row r="469" spans="2:7" x14ac:dyDescent="0.25">
      <c r="B469" s="286"/>
      <c r="C469" s="286"/>
      <c r="G469" s="271"/>
    </row>
    <row r="470" spans="2:7" x14ac:dyDescent="0.25">
      <c r="B470" s="286"/>
      <c r="C470" s="286"/>
      <c r="G470" s="271"/>
    </row>
    <row r="471" spans="2:7" x14ac:dyDescent="0.25">
      <c r="B471" s="286"/>
      <c r="C471" s="286"/>
      <c r="G471" s="271"/>
    </row>
    <row r="472" spans="2:7" x14ac:dyDescent="0.25">
      <c r="B472" s="286"/>
      <c r="C472" s="286"/>
      <c r="G472" s="271"/>
    </row>
    <row r="473" spans="2:7" x14ac:dyDescent="0.25">
      <c r="B473" s="286"/>
      <c r="C473" s="286"/>
      <c r="G473" s="271"/>
    </row>
    <row r="474" spans="2:7" x14ac:dyDescent="0.25">
      <c r="B474" s="286"/>
      <c r="C474" s="286"/>
      <c r="G474" s="271"/>
    </row>
    <row r="475" spans="2:7" x14ac:dyDescent="0.25">
      <c r="B475" s="286"/>
      <c r="C475" s="286"/>
      <c r="G475" s="271"/>
    </row>
    <row r="476" spans="2:7" x14ac:dyDescent="0.25">
      <c r="B476" s="286"/>
      <c r="C476" s="286"/>
      <c r="G476" s="271"/>
    </row>
    <row r="477" spans="2:7" x14ac:dyDescent="0.25">
      <c r="B477" s="286"/>
      <c r="C477" s="286"/>
      <c r="G477" s="271"/>
    </row>
    <row r="478" spans="2:7" x14ac:dyDescent="0.25">
      <c r="B478" s="286"/>
      <c r="C478" s="286"/>
      <c r="G478" s="271"/>
    </row>
    <row r="479" spans="2:7" x14ac:dyDescent="0.25">
      <c r="B479" s="286"/>
      <c r="C479" s="286"/>
      <c r="G479" s="271"/>
    </row>
    <row r="480" spans="2:7" x14ac:dyDescent="0.25">
      <c r="B480" s="286"/>
      <c r="C480" s="286"/>
      <c r="G480" s="271"/>
    </row>
    <row r="481" spans="2:7" x14ac:dyDescent="0.25">
      <c r="B481" s="286"/>
      <c r="C481" s="286"/>
      <c r="G481" s="271"/>
    </row>
    <row r="482" spans="2:7" x14ac:dyDescent="0.25">
      <c r="B482" s="286"/>
      <c r="C482" s="286"/>
      <c r="G482" s="271"/>
    </row>
    <row r="483" spans="2:7" x14ac:dyDescent="0.25">
      <c r="B483" s="286"/>
      <c r="C483" s="286"/>
      <c r="G483" s="271"/>
    </row>
    <row r="484" spans="2:7" x14ac:dyDescent="0.25">
      <c r="B484" s="286"/>
      <c r="C484" s="286"/>
      <c r="G484" s="271"/>
    </row>
    <row r="485" spans="2:7" x14ac:dyDescent="0.25">
      <c r="B485" s="286"/>
      <c r="C485" s="286"/>
      <c r="G485" s="271"/>
    </row>
    <row r="486" spans="2:7" x14ac:dyDescent="0.25">
      <c r="B486" s="286"/>
      <c r="C486" s="286"/>
      <c r="G486" s="271"/>
    </row>
    <row r="487" spans="2:7" x14ac:dyDescent="0.25">
      <c r="B487" s="286"/>
      <c r="C487" s="286"/>
      <c r="G487" s="271"/>
    </row>
    <row r="488" spans="2:7" x14ac:dyDescent="0.25">
      <c r="B488" s="286"/>
      <c r="C488" s="286"/>
      <c r="G488" s="271"/>
    </row>
    <row r="489" spans="2:7" x14ac:dyDescent="0.25">
      <c r="B489" s="286"/>
      <c r="C489" s="286"/>
      <c r="G489" s="271"/>
    </row>
    <row r="490" spans="2:7" x14ac:dyDescent="0.25">
      <c r="B490" s="286"/>
      <c r="C490" s="286"/>
      <c r="G490" s="271"/>
    </row>
    <row r="491" spans="2:7" x14ac:dyDescent="0.25">
      <c r="B491" s="286"/>
      <c r="C491" s="286"/>
      <c r="G491" s="271"/>
    </row>
    <row r="492" spans="2:7" x14ac:dyDescent="0.25">
      <c r="B492" s="286"/>
      <c r="C492" s="286"/>
      <c r="G492" s="271"/>
    </row>
    <row r="493" spans="2:7" x14ac:dyDescent="0.25">
      <c r="B493" s="286"/>
      <c r="C493" s="286"/>
      <c r="G493" s="271"/>
    </row>
    <row r="494" spans="2:7" x14ac:dyDescent="0.25">
      <c r="B494" s="286"/>
      <c r="C494" s="286"/>
      <c r="G494" s="271"/>
    </row>
    <row r="495" spans="2:7" x14ac:dyDescent="0.25">
      <c r="B495" s="286"/>
      <c r="C495" s="286"/>
      <c r="G495" s="271"/>
    </row>
    <row r="496" spans="2:7" x14ac:dyDescent="0.25">
      <c r="B496" s="286"/>
      <c r="C496" s="286"/>
      <c r="G496" s="271"/>
    </row>
    <row r="497" spans="2:7" x14ac:dyDescent="0.25">
      <c r="B497" s="286"/>
      <c r="C497" s="286"/>
      <c r="G497" s="271"/>
    </row>
    <row r="498" spans="2:7" x14ac:dyDescent="0.25">
      <c r="B498" s="286"/>
      <c r="C498" s="286"/>
      <c r="G498" s="271"/>
    </row>
    <row r="499" spans="2:7" x14ac:dyDescent="0.25">
      <c r="B499" s="286"/>
      <c r="C499" s="286"/>
      <c r="G499" s="271"/>
    </row>
    <row r="500" spans="2:7" x14ac:dyDescent="0.25">
      <c r="B500" s="286"/>
      <c r="C500" s="286"/>
      <c r="G500" s="271"/>
    </row>
    <row r="501" spans="2:7" x14ac:dyDescent="0.25">
      <c r="B501" s="286"/>
      <c r="C501" s="286"/>
      <c r="G501" s="271"/>
    </row>
    <row r="502" spans="2:7" x14ac:dyDescent="0.25">
      <c r="B502" s="286"/>
      <c r="C502" s="286"/>
      <c r="G502" s="271"/>
    </row>
    <row r="503" spans="2:7" x14ac:dyDescent="0.25">
      <c r="B503" s="286"/>
      <c r="C503" s="286"/>
      <c r="G503" s="271"/>
    </row>
    <row r="504" spans="2:7" x14ac:dyDescent="0.25">
      <c r="B504" s="286"/>
      <c r="C504" s="286"/>
      <c r="G504" s="271"/>
    </row>
    <row r="505" spans="2:7" x14ac:dyDescent="0.25">
      <c r="B505" s="286"/>
      <c r="C505" s="286"/>
      <c r="G505" s="271"/>
    </row>
    <row r="506" spans="2:7" x14ac:dyDescent="0.25">
      <c r="B506" s="286"/>
      <c r="C506" s="286"/>
      <c r="G506" s="271"/>
    </row>
    <row r="507" spans="2:7" x14ac:dyDescent="0.25">
      <c r="B507" s="286"/>
      <c r="C507" s="286"/>
      <c r="G507" s="271"/>
    </row>
    <row r="508" spans="2:7" x14ac:dyDescent="0.25">
      <c r="B508" s="286"/>
      <c r="C508" s="286"/>
      <c r="G508" s="271"/>
    </row>
    <row r="509" spans="2:7" x14ac:dyDescent="0.25">
      <c r="B509" s="286"/>
      <c r="C509" s="286"/>
      <c r="G509" s="271"/>
    </row>
    <row r="510" spans="2:7" x14ac:dyDescent="0.25">
      <c r="B510" s="286"/>
      <c r="C510" s="286"/>
      <c r="G510" s="271"/>
    </row>
    <row r="511" spans="2:7" x14ac:dyDescent="0.25">
      <c r="B511" s="286"/>
      <c r="C511" s="286"/>
      <c r="G511" s="271"/>
    </row>
    <row r="512" spans="2:7" x14ac:dyDescent="0.25">
      <c r="B512" s="286"/>
      <c r="C512" s="286"/>
      <c r="G512" s="271"/>
    </row>
    <row r="513" spans="2:7" x14ac:dyDescent="0.25">
      <c r="B513" s="286"/>
      <c r="C513" s="286"/>
      <c r="G513" s="271"/>
    </row>
    <row r="514" spans="2:7" x14ac:dyDescent="0.25">
      <c r="B514" s="286"/>
      <c r="C514" s="286"/>
      <c r="G514" s="271"/>
    </row>
    <row r="515" spans="2:7" x14ac:dyDescent="0.25">
      <c r="B515" s="286"/>
      <c r="C515" s="286"/>
      <c r="G515" s="271"/>
    </row>
    <row r="516" spans="2:7" x14ac:dyDescent="0.25">
      <c r="B516" s="286"/>
      <c r="C516" s="286"/>
      <c r="G516" s="271"/>
    </row>
    <row r="517" spans="2:7" x14ac:dyDescent="0.25">
      <c r="B517" s="286"/>
      <c r="C517" s="286"/>
      <c r="G517" s="271"/>
    </row>
    <row r="518" spans="2:7" x14ac:dyDescent="0.25">
      <c r="B518" s="286"/>
      <c r="C518" s="286"/>
      <c r="G518" s="271"/>
    </row>
    <row r="519" spans="2:7" x14ac:dyDescent="0.25">
      <c r="B519" s="286"/>
      <c r="C519" s="286"/>
      <c r="G519" s="271"/>
    </row>
    <row r="520" spans="2:7" x14ac:dyDescent="0.25">
      <c r="B520" s="286"/>
      <c r="C520" s="286"/>
      <c r="G520" s="271"/>
    </row>
    <row r="521" spans="2:7" x14ac:dyDescent="0.25">
      <c r="B521" s="286"/>
      <c r="C521" s="286"/>
      <c r="G521" s="271"/>
    </row>
    <row r="522" spans="2:7" x14ac:dyDescent="0.25">
      <c r="B522" s="286"/>
      <c r="C522" s="286"/>
      <c r="G522" s="271"/>
    </row>
    <row r="523" spans="2:7" x14ac:dyDescent="0.25">
      <c r="B523" s="286"/>
      <c r="C523" s="286"/>
      <c r="G523" s="271"/>
    </row>
    <row r="524" spans="2:7" x14ac:dyDescent="0.25">
      <c r="B524" s="286"/>
      <c r="C524" s="286"/>
      <c r="G524" s="271"/>
    </row>
    <row r="525" spans="2:7" x14ac:dyDescent="0.25">
      <c r="B525" s="286"/>
      <c r="C525" s="286"/>
      <c r="G525" s="271"/>
    </row>
    <row r="526" spans="2:7" x14ac:dyDescent="0.25">
      <c r="B526" s="286"/>
      <c r="C526" s="286"/>
      <c r="G526" s="271"/>
    </row>
    <row r="527" spans="2:7" x14ac:dyDescent="0.25">
      <c r="B527" s="286"/>
      <c r="C527" s="286"/>
      <c r="G527" s="271"/>
    </row>
    <row r="528" spans="2:7" x14ac:dyDescent="0.25">
      <c r="B528" s="286"/>
      <c r="C528" s="286"/>
      <c r="G528" s="271"/>
    </row>
    <row r="529" spans="2:7" x14ac:dyDescent="0.25">
      <c r="B529" s="286"/>
      <c r="C529" s="286"/>
      <c r="G529" s="271"/>
    </row>
    <row r="530" spans="2:7" x14ac:dyDescent="0.25">
      <c r="B530" s="286"/>
      <c r="C530" s="286"/>
      <c r="G530" s="271"/>
    </row>
    <row r="531" spans="2:7" x14ac:dyDescent="0.25">
      <c r="B531" s="286"/>
      <c r="C531" s="286"/>
      <c r="G531" s="271"/>
    </row>
    <row r="532" spans="2:7" x14ac:dyDescent="0.25">
      <c r="B532" s="286"/>
      <c r="C532" s="286"/>
      <c r="G532" s="271"/>
    </row>
    <row r="533" spans="2:7" x14ac:dyDescent="0.25">
      <c r="B533" s="286"/>
      <c r="C533" s="286"/>
      <c r="G533" s="271"/>
    </row>
    <row r="534" spans="2:7" x14ac:dyDescent="0.25">
      <c r="B534" s="286"/>
      <c r="C534" s="286"/>
      <c r="G534" s="271"/>
    </row>
    <row r="535" spans="2:7" x14ac:dyDescent="0.25">
      <c r="B535" s="286"/>
      <c r="C535" s="286"/>
      <c r="G535" s="271"/>
    </row>
    <row r="536" spans="2:7" x14ac:dyDescent="0.25">
      <c r="B536" s="286"/>
      <c r="C536" s="286"/>
      <c r="G536" s="271"/>
    </row>
    <row r="537" spans="2:7" x14ac:dyDescent="0.25">
      <c r="B537" s="286"/>
      <c r="C537" s="286"/>
      <c r="G537" s="271"/>
    </row>
    <row r="538" spans="2:7" x14ac:dyDescent="0.25">
      <c r="B538" s="286"/>
      <c r="C538" s="286"/>
      <c r="G538" s="271"/>
    </row>
    <row r="539" spans="2:7" x14ac:dyDescent="0.25">
      <c r="B539" s="286"/>
      <c r="C539" s="286"/>
      <c r="G539" s="271"/>
    </row>
    <row r="540" spans="2:7" x14ac:dyDescent="0.25">
      <c r="B540" s="286"/>
      <c r="C540" s="286"/>
      <c r="G540" s="271"/>
    </row>
    <row r="541" spans="2:7" x14ac:dyDescent="0.25">
      <c r="B541" s="286"/>
      <c r="C541" s="286"/>
      <c r="G541" s="271"/>
    </row>
    <row r="542" spans="2:7" x14ac:dyDescent="0.25">
      <c r="B542" s="286"/>
      <c r="C542" s="286"/>
      <c r="G542" s="271"/>
    </row>
    <row r="543" spans="2:7" x14ac:dyDescent="0.25">
      <c r="B543" s="286"/>
      <c r="C543" s="286"/>
      <c r="G543" s="271"/>
    </row>
    <row r="544" spans="2:7" x14ac:dyDescent="0.25">
      <c r="B544" s="286"/>
      <c r="C544" s="286"/>
      <c r="G544" s="271"/>
    </row>
    <row r="545" spans="2:7" x14ac:dyDescent="0.25">
      <c r="B545" s="286"/>
      <c r="C545" s="286"/>
      <c r="G545" s="271"/>
    </row>
    <row r="546" spans="2:7" x14ac:dyDescent="0.25">
      <c r="B546" s="286"/>
      <c r="C546" s="286"/>
      <c r="G546" s="271"/>
    </row>
    <row r="547" spans="2:7" x14ac:dyDescent="0.25">
      <c r="B547" s="286"/>
      <c r="C547" s="286"/>
      <c r="G547" s="271"/>
    </row>
    <row r="548" spans="2:7" x14ac:dyDescent="0.25">
      <c r="B548" s="286"/>
      <c r="C548" s="286"/>
      <c r="G548" s="271"/>
    </row>
    <row r="549" spans="2:7" x14ac:dyDescent="0.25">
      <c r="B549" s="286"/>
      <c r="C549" s="286"/>
      <c r="G549" s="271"/>
    </row>
    <row r="550" spans="2:7" x14ac:dyDescent="0.25">
      <c r="B550" s="286"/>
      <c r="C550" s="286"/>
      <c r="G550" s="271"/>
    </row>
    <row r="551" spans="2:7" x14ac:dyDescent="0.25">
      <c r="B551" s="286"/>
      <c r="C551" s="286"/>
      <c r="G551" s="271"/>
    </row>
    <row r="552" spans="2:7" x14ac:dyDescent="0.25">
      <c r="B552" s="286"/>
      <c r="C552" s="286"/>
      <c r="G552" s="271"/>
    </row>
    <row r="553" spans="2:7" x14ac:dyDescent="0.25">
      <c r="B553" s="286"/>
      <c r="C553" s="286"/>
      <c r="G553" s="271"/>
    </row>
    <row r="554" spans="2:7" x14ac:dyDescent="0.25">
      <c r="B554" s="286"/>
      <c r="C554" s="286"/>
      <c r="G554" s="271"/>
    </row>
    <row r="555" spans="2:7" x14ac:dyDescent="0.25">
      <c r="B555" s="286"/>
      <c r="C555" s="286"/>
      <c r="G555" s="271"/>
    </row>
    <row r="556" spans="2:7" x14ac:dyDescent="0.25">
      <c r="B556" s="286"/>
      <c r="C556" s="286"/>
      <c r="G556" s="271"/>
    </row>
    <row r="557" spans="2:7" x14ac:dyDescent="0.25">
      <c r="B557" s="286"/>
      <c r="C557" s="286"/>
      <c r="G557" s="271"/>
    </row>
    <row r="558" spans="2:7" x14ac:dyDescent="0.25">
      <c r="B558" s="286"/>
      <c r="C558" s="286"/>
      <c r="G558" s="271"/>
    </row>
    <row r="559" spans="2:7" x14ac:dyDescent="0.25">
      <c r="B559" s="286"/>
      <c r="C559" s="286"/>
      <c r="G559" s="271"/>
    </row>
    <row r="560" spans="2:7" x14ac:dyDescent="0.25">
      <c r="B560" s="286"/>
      <c r="C560" s="286"/>
      <c r="G560" s="271"/>
    </row>
    <row r="561" spans="2:7" x14ac:dyDescent="0.25">
      <c r="B561" s="286"/>
      <c r="C561" s="286"/>
      <c r="G561" s="271"/>
    </row>
    <row r="562" spans="2:7" x14ac:dyDescent="0.25">
      <c r="B562" s="286"/>
      <c r="C562" s="286"/>
      <c r="G562" s="271"/>
    </row>
    <row r="563" spans="2:7" x14ac:dyDescent="0.25">
      <c r="B563" s="286"/>
      <c r="C563" s="286"/>
      <c r="G563" s="271"/>
    </row>
    <row r="564" spans="2:7" x14ac:dyDescent="0.25">
      <c r="B564" s="286"/>
      <c r="C564" s="286"/>
      <c r="G564" s="271"/>
    </row>
    <row r="565" spans="2:7" x14ac:dyDescent="0.25">
      <c r="B565" s="286"/>
      <c r="C565" s="286"/>
      <c r="G565" s="271"/>
    </row>
    <row r="566" spans="2:7" x14ac:dyDescent="0.25">
      <c r="B566" s="286"/>
      <c r="C566" s="286"/>
      <c r="G566" s="271"/>
    </row>
    <row r="567" spans="2:7" x14ac:dyDescent="0.25">
      <c r="B567" s="286"/>
      <c r="C567" s="286"/>
      <c r="G567" s="271"/>
    </row>
    <row r="568" spans="2:7" x14ac:dyDescent="0.25">
      <c r="B568" s="286"/>
      <c r="C568" s="286"/>
      <c r="G568" s="271"/>
    </row>
  </sheetData>
  <sheetProtection formatColumns="0" formatRows="0"/>
  <mergeCells count="131">
    <mergeCell ref="I53:J53"/>
    <mergeCell ref="I39:J39"/>
    <mergeCell ref="I40:J40"/>
    <mergeCell ref="I131:J131"/>
    <mergeCell ref="I133:J133"/>
    <mergeCell ref="I120:J120"/>
    <mergeCell ref="I121:J121"/>
    <mergeCell ref="I128:J128"/>
    <mergeCell ref="I129:J129"/>
    <mergeCell ref="I130:J130"/>
    <mergeCell ref="I97:J97"/>
    <mergeCell ref="I98:J98"/>
    <mergeCell ref="I100:J100"/>
    <mergeCell ref="I101:J101"/>
    <mergeCell ref="I102:J102"/>
    <mergeCell ref="I103:J103"/>
    <mergeCell ref="I105:J105"/>
    <mergeCell ref="I106:J106"/>
    <mergeCell ref="I110:J110"/>
    <mergeCell ref="I111:J111"/>
    <mergeCell ref="I117:J117"/>
    <mergeCell ref="I123:J123"/>
    <mergeCell ref="I125:J125"/>
    <mergeCell ref="I80:J80"/>
    <mergeCell ref="I69:J69"/>
    <mergeCell ref="I73:J73"/>
    <mergeCell ref="I77:J77"/>
    <mergeCell ref="I83:J83"/>
    <mergeCell ref="I115:J115"/>
    <mergeCell ref="I79:J79"/>
    <mergeCell ref="I86:J86"/>
    <mergeCell ref="I87:J87"/>
    <mergeCell ref="I91:J91"/>
    <mergeCell ref="I76:J76"/>
    <mergeCell ref="I78:J78"/>
    <mergeCell ref="I114:J114"/>
    <mergeCell ref="I99:J99"/>
    <mergeCell ref="I104:J104"/>
    <mergeCell ref="I118:J118"/>
    <mergeCell ref="I119:J119"/>
    <mergeCell ref="I112:J112"/>
    <mergeCell ref="I36:J36"/>
    <mergeCell ref="I37:J37"/>
    <mergeCell ref="I38:J38"/>
    <mergeCell ref="I107:J107"/>
    <mergeCell ref="I108:J108"/>
    <mergeCell ref="I109:J109"/>
    <mergeCell ref="I54:J54"/>
    <mergeCell ref="I55:J55"/>
    <mergeCell ref="I66:J66"/>
    <mergeCell ref="I67:J67"/>
    <mergeCell ref="I56:J56"/>
    <mergeCell ref="I57:J57"/>
    <mergeCell ref="I58:J58"/>
    <mergeCell ref="I59:J59"/>
    <mergeCell ref="I60:J60"/>
    <mergeCell ref="I82:J82"/>
    <mergeCell ref="I84:J84"/>
    <mergeCell ref="I85:J85"/>
    <mergeCell ref="I89:J89"/>
    <mergeCell ref="I90:J90"/>
    <mergeCell ref="I113:J113"/>
    <mergeCell ref="I42:J42"/>
    <mergeCell ref="I45:J45"/>
    <mergeCell ref="I46:J46"/>
    <mergeCell ref="I47:J47"/>
    <mergeCell ref="I49:J49"/>
    <mergeCell ref="I50:J50"/>
    <mergeCell ref="I51:J51"/>
    <mergeCell ref="I52:J52"/>
    <mergeCell ref="I44:J44"/>
    <mergeCell ref="I48:J48"/>
    <mergeCell ref="I35:J35"/>
    <mergeCell ref="I8:AB8"/>
    <mergeCell ref="I9:AB9"/>
    <mergeCell ref="P20:AB20"/>
    <mergeCell ref="I24:J24"/>
    <mergeCell ref="I27:J27"/>
    <mergeCell ref="I28:J28"/>
    <mergeCell ref="I29:J29"/>
    <mergeCell ref="I30:J30"/>
    <mergeCell ref="I32:J32"/>
    <mergeCell ref="I33:J33"/>
    <mergeCell ref="I34:J34"/>
    <mergeCell ref="I25:J25"/>
    <mergeCell ref="I26:J26"/>
    <mergeCell ref="I136:J136"/>
    <mergeCell ref="I137:J137"/>
    <mergeCell ref="I140:J140"/>
    <mergeCell ref="I141:J141"/>
    <mergeCell ref="I142:J142"/>
    <mergeCell ref="I143:J143"/>
    <mergeCell ref="I61:J61"/>
    <mergeCell ref="I62:J62"/>
    <mergeCell ref="I64:J64"/>
    <mergeCell ref="I75:J75"/>
    <mergeCell ref="I70:J70"/>
    <mergeCell ref="I71:J71"/>
    <mergeCell ref="I72:J72"/>
    <mergeCell ref="I74:J74"/>
    <mergeCell ref="I88:J88"/>
    <mergeCell ref="I126:J126"/>
    <mergeCell ref="I127:J127"/>
    <mergeCell ref="I116:J116"/>
    <mergeCell ref="I92:J92"/>
    <mergeCell ref="I93:J93"/>
    <mergeCell ref="I94:J94"/>
    <mergeCell ref="I95:J95"/>
    <mergeCell ref="I96:J96"/>
    <mergeCell ref="I81:J81"/>
    <mergeCell ref="I144:J144"/>
    <mergeCell ref="I146:J146"/>
    <mergeCell ref="I149:J149"/>
    <mergeCell ref="I151:J151"/>
    <mergeCell ref="I150:J150"/>
    <mergeCell ref="I152:J152"/>
    <mergeCell ref="I153:J153"/>
    <mergeCell ref="I155:J155"/>
    <mergeCell ref="I163:J163"/>
    <mergeCell ref="I178:J178"/>
    <mergeCell ref="I179:J179"/>
    <mergeCell ref="I180:J180"/>
    <mergeCell ref="I164:J164"/>
    <mergeCell ref="I165:J165"/>
    <mergeCell ref="I166:J166"/>
    <mergeCell ref="I159:J159"/>
    <mergeCell ref="I160:J160"/>
    <mergeCell ref="I170:J170"/>
    <mergeCell ref="I171:J171"/>
    <mergeCell ref="I176:J176"/>
    <mergeCell ref="I177:J177"/>
  </mergeCells>
  <printOptions horizontalCentered="1"/>
  <pageMargins left="0.70866141732283472" right="0.70866141732283472" top="0.74803149606299213" bottom="0.74803149606299213" header="0.31496062992125984" footer="0.31496062992125984"/>
  <pageSetup paperSize="8" scale="23" orientation="portrait" r:id="rId1"/>
  <ignoredErrors>
    <ignoredError sqref="AF35:AF37 AF39:AF40 AF45:AF47 AF50:AF52 AF72:AF74 AF76:AF77 AF79:AF84 AF86:AF89 AF115:AF121 AF54:AF62 AF105:AF113 AF91:AF98 AF100:AF103" unlockedFormula="1"/>
    <ignoredError sqref="B35:B37 B47:B48 B51:B52 B54:B55 B61 B72 B77 B80 B84 B88:B89 B91:B96 B102 B105 B115:B119 B121 B126:B131 B141 B143:B144 B150 B107:B113" numberStoredAsText="1"/>
    <ignoredError sqref="N141 N150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3" tint="-0.249977111117893"/>
    <pageSetUpPr fitToPage="1"/>
  </sheetPr>
  <dimension ref="A1:AP199"/>
  <sheetViews>
    <sheetView zoomScale="70" zoomScaleNormal="70" workbookViewId="0">
      <pane xSplit="9" ySplit="23" topLeftCell="J89" activePane="bottomRight" state="frozen"/>
      <selection activeCell="J28" sqref="J28"/>
      <selection pane="topRight" activeCell="J28" sqref="J28"/>
      <selection pane="bottomLeft" activeCell="J28" sqref="J28"/>
      <selection pane="bottomRight" activeCell="J97" sqref="J97"/>
    </sheetView>
  </sheetViews>
  <sheetFormatPr baseColWidth="10" defaultRowHeight="15" x14ac:dyDescent="0.25"/>
  <cols>
    <col min="1" max="1" width="25.28515625" style="19" hidden="1" customWidth="1"/>
    <col min="2" max="2" width="35.7109375" style="19" hidden="1" customWidth="1"/>
    <col min="3" max="3" width="12.28515625" style="19" hidden="1" customWidth="1"/>
    <col min="4" max="4" width="2" style="19" customWidth="1"/>
    <col min="5" max="5" width="5" style="19" customWidth="1"/>
    <col min="6" max="6" width="3" style="19" customWidth="1"/>
    <col min="7" max="8" width="33.140625" style="19" customWidth="1"/>
    <col min="9" max="9" width="2" style="19" customWidth="1"/>
    <col min="10" max="10" width="18.7109375" style="19" customWidth="1"/>
    <col min="11" max="11" width="0.5703125" style="19" customWidth="1"/>
    <col min="12" max="12" width="18.7109375" style="19" customWidth="1"/>
    <col min="13" max="13" width="2" style="19" customWidth="1"/>
    <col min="14" max="14" width="18.7109375" style="19" customWidth="1"/>
    <col min="15" max="15" width="0.85546875" style="19" customWidth="1"/>
    <col min="16" max="27" width="13.85546875" style="19" customWidth="1"/>
    <col min="28" max="28" width="5.85546875" style="19" customWidth="1"/>
    <col min="29" max="29" width="11.42578125" style="19" customWidth="1"/>
    <col min="30" max="30" width="20.5703125" style="19" customWidth="1"/>
    <col min="31" max="31" width="16" style="19" hidden="1" customWidth="1"/>
    <col min="32" max="42" width="11.42578125" style="19" hidden="1" customWidth="1"/>
    <col min="43" max="16384" width="11.42578125" style="19"/>
  </cols>
  <sheetData>
    <row r="1" spans="1:42" x14ac:dyDescent="0.25">
      <c r="G1" s="35" t="str">
        <f ca="1">Contexte!$E$7</f>
        <v>Total_2020</v>
      </c>
      <c r="I1" s="35"/>
      <c r="J1" s="35" t="s">
        <v>64</v>
      </c>
      <c r="K1" s="35"/>
      <c r="L1" s="35" t="s">
        <v>82</v>
      </c>
      <c r="M1" s="35"/>
      <c r="N1" s="19" t="str">
        <f ca="1">$H$17</f>
        <v>FC_2_Tot</v>
      </c>
      <c r="O1" s="36"/>
      <c r="P1" s="36" t="str">
        <f ca="1">$G$2&amp;".01"</f>
        <v>2020.01</v>
      </c>
      <c r="Q1" s="36" t="str">
        <f ca="1">$G$2&amp;".02"</f>
        <v>2020.02</v>
      </c>
      <c r="R1" s="36" t="str">
        <f ca="1">$G$2&amp;".03"</f>
        <v>2020.03</v>
      </c>
      <c r="S1" s="36" t="str">
        <f ca="1">$G$2&amp;".04"</f>
        <v>2020.04</v>
      </c>
      <c r="T1" s="36" t="str">
        <f ca="1">$G$2&amp;".05"</f>
        <v>2020.05</v>
      </c>
      <c r="U1" s="36" t="str">
        <f ca="1">$G$2&amp;".06"</f>
        <v>2020.06</v>
      </c>
      <c r="V1" s="36" t="str">
        <f ca="1">$G$2&amp;".07"</f>
        <v>2020.07</v>
      </c>
      <c r="W1" s="36" t="str">
        <f ca="1">$G$2&amp;".08"</f>
        <v>2020.08</v>
      </c>
      <c r="X1" s="36" t="str">
        <f ca="1">$G$2&amp;".09"</f>
        <v>2020.09</v>
      </c>
      <c r="Y1" s="36" t="str">
        <f ca="1">$G$2&amp;".10"</f>
        <v>2020.10</v>
      </c>
      <c r="Z1" s="36" t="str">
        <f ca="1">$G$2&amp;".11"</f>
        <v>2020.11</v>
      </c>
      <c r="AA1" s="36" t="str">
        <f ca="1">$G$2&amp;".12"</f>
        <v>2020.12</v>
      </c>
      <c r="AE1" s="19" t="str">
        <f ca="1">"Man_"&amp;_xll.SUBNM(Server&amp;"Phase","",Phase)</f>
        <v>Man_FC_2</v>
      </c>
    </row>
    <row r="2" spans="1:42" x14ac:dyDescent="0.25">
      <c r="C2" s="19" t="s">
        <v>79</v>
      </c>
      <c r="G2" s="19" t="str">
        <f ca="1">RIGHT(G1,4)</f>
        <v>2020</v>
      </c>
      <c r="J2" s="19" t="str">
        <f ca="1">$G$4</f>
        <v>2018</v>
      </c>
      <c r="L2" s="19" t="str">
        <f ca="1">$G$3</f>
        <v>2019</v>
      </c>
      <c r="N2" s="36" t="str">
        <f ca="1">$G$2</f>
        <v>2020</v>
      </c>
      <c r="AE2" s="36" t="str">
        <f ca="1">$G$2&amp;".01"</f>
        <v>2020.01</v>
      </c>
      <c r="AF2" s="36" t="str">
        <f ca="1">$G$2&amp;".02"</f>
        <v>2020.02</v>
      </c>
      <c r="AG2" s="36" t="str">
        <f ca="1">$G$2&amp;".03"</f>
        <v>2020.03</v>
      </c>
      <c r="AH2" s="36" t="str">
        <f ca="1">$G$2&amp;".04"</f>
        <v>2020.04</v>
      </c>
      <c r="AI2" s="36" t="str">
        <f ca="1">$G$2&amp;".05"</f>
        <v>2020.05</v>
      </c>
      <c r="AJ2" s="36" t="str">
        <f ca="1">$G$2&amp;".06"</f>
        <v>2020.06</v>
      </c>
      <c r="AK2" s="36" t="str">
        <f ca="1">$G$2&amp;".07"</f>
        <v>2020.07</v>
      </c>
      <c r="AL2" s="36" t="str">
        <f ca="1">$G$2&amp;".08"</f>
        <v>2020.08</v>
      </c>
      <c r="AM2" s="36" t="str">
        <f ca="1">$G$2&amp;".09"</f>
        <v>2020.09</v>
      </c>
      <c r="AN2" s="36" t="str">
        <f ca="1">$G$2&amp;".10"</f>
        <v>2020.10</v>
      </c>
      <c r="AO2" s="36" t="str">
        <f ca="1">$G$2&amp;".11"</f>
        <v>2020.11</v>
      </c>
      <c r="AP2" s="36" t="str">
        <f ca="1">$G$2&amp;".12"</f>
        <v>2020.12</v>
      </c>
    </row>
    <row r="3" spans="1:42" ht="23.25" x14ac:dyDescent="0.35">
      <c r="C3" s="19" t="s">
        <v>80</v>
      </c>
      <c r="G3" s="19" t="str">
        <f ca="1">_xll.DBRA(Server&amp;$B$12,$G$2,"Prior Year")</f>
        <v>2019</v>
      </c>
      <c r="J3" s="172" t="str">
        <f ca="1">"All_"&amp;LEFT(_xll.SUBNM(Server&amp;"GIE_Type_Formation","",$H$14),3)</f>
        <v>All_PFC</v>
      </c>
      <c r="L3" s="19" t="str">
        <f ca="1">"All_"&amp;LEFT(_xll.SUBNM(Server&amp;"GIE_Type_Formation","",$H$14),3)</f>
        <v>All_PFC</v>
      </c>
      <c r="N3" s="19" t="str">
        <f ca="1">"Man_"&amp;_xll.SUBNM(Server&amp;"Phase","",Phase)</f>
        <v>Man_FC_2</v>
      </c>
      <c r="AD3" s="19" t="s">
        <v>83</v>
      </c>
      <c r="AE3" s="91">
        <v>0</v>
      </c>
    </row>
    <row r="4" spans="1:42" x14ac:dyDescent="0.25">
      <c r="C4" s="19" t="s">
        <v>81</v>
      </c>
      <c r="G4" s="19" t="str">
        <f ca="1">_xll.DBRA(Server&amp;$B$12,$G$3,"Prior Year")</f>
        <v>2018</v>
      </c>
    </row>
    <row r="5" spans="1:42" ht="14.25" customHeight="1" x14ac:dyDescent="0.25"/>
    <row r="6" spans="1:42" ht="8.25" customHeight="1" x14ac:dyDescent="0.25"/>
    <row r="7" spans="1:42" ht="44.25" customHeight="1" x14ac:dyDescent="0.25">
      <c r="A7"/>
      <c r="B7"/>
      <c r="C7"/>
      <c r="E7" s="27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9"/>
    </row>
    <row r="8" spans="1:42" ht="39" customHeight="1" x14ac:dyDescent="0.25">
      <c r="A8"/>
      <c r="B8"/>
      <c r="C8"/>
      <c r="E8" s="30"/>
      <c r="F8" s="23"/>
      <c r="G8" s="307" t="s">
        <v>101</v>
      </c>
      <c r="H8" s="307"/>
      <c r="I8" s="307"/>
      <c r="J8" s="307"/>
      <c r="K8" s="307"/>
      <c r="L8" s="307"/>
      <c r="M8" s="307"/>
      <c r="N8" s="307"/>
      <c r="O8" s="307"/>
      <c r="P8" s="307"/>
      <c r="Q8" s="307"/>
      <c r="R8" s="307"/>
      <c r="S8" s="307"/>
      <c r="T8" s="307"/>
      <c r="U8" s="307"/>
      <c r="V8" s="307"/>
      <c r="W8" s="307"/>
      <c r="X8" s="307"/>
      <c r="Y8" s="307"/>
      <c r="Z8" s="307"/>
      <c r="AA8" s="307"/>
      <c r="AB8" s="31"/>
    </row>
    <row r="9" spans="1:42" ht="23.25" customHeight="1" x14ac:dyDescent="0.25">
      <c r="A9"/>
      <c r="B9"/>
      <c r="C9"/>
      <c r="E9" s="30"/>
      <c r="F9" s="23"/>
      <c r="G9" s="308" t="str">
        <f ca="1">_xll.DBRA(Server&amp;$B$14,$H14,"French")</f>
        <v>PFC - Autres (Saisie)</v>
      </c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1"/>
    </row>
    <row r="10" spans="1:42" x14ac:dyDescent="0.25">
      <c r="A10"/>
      <c r="B10"/>
      <c r="C10"/>
      <c r="E10" s="30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31"/>
    </row>
    <row r="11" spans="1:42" ht="18.75" x14ac:dyDescent="0.25">
      <c r="A11"/>
      <c r="B11"/>
      <c r="C11"/>
      <c r="E11" s="30"/>
      <c r="F11" s="23"/>
      <c r="G11" s="16"/>
      <c r="H11" s="14"/>
      <c r="I11" s="14"/>
      <c r="J11" s="14"/>
      <c r="K11" s="14"/>
      <c r="L11" s="14"/>
      <c r="M11" s="14"/>
      <c r="N11" s="24"/>
      <c r="O11" s="24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31"/>
    </row>
    <row r="12" spans="1:42" ht="15.75" hidden="1" x14ac:dyDescent="0.25">
      <c r="A12"/>
      <c r="B12" t="s">
        <v>63</v>
      </c>
      <c r="C12"/>
      <c r="E12" s="30"/>
      <c r="F12" s="23"/>
      <c r="G12" s="40" t="s">
        <v>98</v>
      </c>
      <c r="H12" s="92" t="str">
        <f ca="1">Periode</f>
        <v>Total_2020</v>
      </c>
      <c r="I12" s="15"/>
      <c r="J12" s="15"/>
      <c r="K12" s="15"/>
      <c r="L12" s="15"/>
      <c r="M12" s="15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31"/>
    </row>
    <row r="13" spans="1:42" ht="15.75" hidden="1" x14ac:dyDescent="0.25">
      <c r="A13"/>
      <c r="B13" t="s">
        <v>0</v>
      </c>
      <c r="C13"/>
      <c r="E13" s="30"/>
      <c r="F13" s="23"/>
      <c r="G13" s="41" t="s">
        <v>99</v>
      </c>
      <c r="H13" s="93" t="str">
        <f ca="1">Antenne</f>
        <v>Tot_GIE</v>
      </c>
      <c r="I13" s="15"/>
      <c r="J13" s="15"/>
      <c r="K13" s="15"/>
      <c r="L13" s="15"/>
      <c r="M13" s="15"/>
      <c r="N13" s="24"/>
      <c r="O13" s="24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31"/>
    </row>
    <row r="14" spans="1:42" ht="23.25" customHeight="1" x14ac:dyDescent="0.25">
      <c r="A14"/>
      <c r="B14" t="s">
        <v>111</v>
      </c>
      <c r="C14"/>
      <c r="E14" s="30"/>
      <c r="F14" s="23"/>
      <c r="G14" s="133" t="s">
        <v>65</v>
      </c>
      <c r="H14" s="132" t="str">
        <f ca="1">_xll.SUBNM(Server&amp;"GIE_Type_ Formation","GIE - SAISIE","PFC - Autres (Saisie)","French")</f>
        <v>PFC - Autres (Saisie)</v>
      </c>
      <c r="I14" s="15"/>
      <c r="J14" s="15"/>
      <c r="K14" s="15"/>
      <c r="L14" s="15"/>
      <c r="M14" s="15"/>
      <c r="N14" s="24"/>
      <c r="O14" s="24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31"/>
    </row>
    <row r="15" spans="1:42" ht="15.75" hidden="1" x14ac:dyDescent="0.25">
      <c r="A15"/>
      <c r="B15"/>
      <c r="C15"/>
      <c r="E15" s="30"/>
      <c r="F15" s="23"/>
      <c r="G15" s="41" t="s">
        <v>100</v>
      </c>
      <c r="H15" s="93" t="str">
        <f ca="1">Partenaire</f>
        <v>Tot_Part</v>
      </c>
      <c r="I15" s="15"/>
      <c r="J15" s="15"/>
      <c r="K15" s="15"/>
      <c r="L15" s="15"/>
      <c r="M15" s="15"/>
      <c r="N15" s="24"/>
      <c r="O15" s="24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31"/>
    </row>
    <row r="16" spans="1:42" ht="15.75" hidden="1" x14ac:dyDescent="0.25">
      <c r="A16"/>
      <c r="B16" t="s">
        <v>1</v>
      </c>
      <c r="C16"/>
      <c r="E16" s="30"/>
      <c r="F16" s="23"/>
      <c r="G16" s="41" t="s">
        <v>66</v>
      </c>
      <c r="H16" s="93" t="str">
        <f ca="1">Nature_Analytique</f>
        <v>Tot_nat_ana</v>
      </c>
      <c r="I16" s="15"/>
      <c r="J16" s="15"/>
      <c r="K16" s="15"/>
      <c r="L16" s="15"/>
      <c r="M16" s="15"/>
      <c r="N16" s="24"/>
      <c r="O16" s="24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31"/>
    </row>
    <row r="17" spans="1:42" ht="15.75" hidden="1" x14ac:dyDescent="0.25">
      <c r="A17"/>
      <c r="B17" t="s">
        <v>2</v>
      </c>
      <c r="C17"/>
      <c r="E17" s="30"/>
      <c r="F17" s="23"/>
      <c r="G17" s="42" t="s">
        <v>2</v>
      </c>
      <c r="H17" s="94" t="str">
        <f ca="1">_xll.SUBNM(Server&amp;"Phase","",Phase)&amp;"_Tot"</f>
        <v>FC_2_Tot</v>
      </c>
      <c r="I17" s="15"/>
      <c r="J17" s="15"/>
      <c r="K17" s="15"/>
      <c r="L17" s="15"/>
      <c r="M17" s="15"/>
      <c r="N17" s="24"/>
      <c r="O17" s="24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31"/>
    </row>
    <row r="18" spans="1:42" ht="3" customHeight="1" x14ac:dyDescent="0.25">
      <c r="A18"/>
      <c r="B18"/>
      <c r="C18"/>
      <c r="E18" s="30"/>
      <c r="F18" s="23"/>
      <c r="G18" s="23"/>
      <c r="H18" s="104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31"/>
    </row>
    <row r="19" spans="1:42" ht="30.75" customHeight="1" x14ac:dyDescent="0.3">
      <c r="A19"/>
      <c r="B19"/>
      <c r="C19"/>
      <c r="E19" s="30"/>
      <c r="F19" s="23"/>
      <c r="G19" s="89"/>
      <c r="H19" s="88"/>
      <c r="I19" s="23"/>
      <c r="J19" s="131"/>
      <c r="K19" s="23"/>
      <c r="L19" s="23"/>
      <c r="M19" s="23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31"/>
    </row>
    <row r="20" spans="1:42" ht="25.5" customHeight="1" x14ac:dyDescent="0.25">
      <c r="A20"/>
      <c r="B20"/>
      <c r="C20"/>
      <c r="E20" s="30"/>
      <c r="F20" s="23"/>
      <c r="G20" s="23"/>
      <c r="H20" s="23"/>
      <c r="I20" s="104"/>
      <c r="J20" s="104"/>
      <c r="K20" s="104"/>
      <c r="L20" s="104"/>
      <c r="M20" s="104"/>
      <c r="N20" s="309" t="str">
        <f ca="1">_xll.DBRA(Server&amp;$B$17,N$1,"French")&amp;" - "&amp;G2</f>
        <v>Estimé 2 - 2020</v>
      </c>
      <c r="O20" s="309"/>
      <c r="P20" s="309"/>
      <c r="Q20" s="309"/>
      <c r="R20" s="309"/>
      <c r="S20" s="309"/>
      <c r="T20" s="309"/>
      <c r="U20" s="309"/>
      <c r="V20" s="309"/>
      <c r="W20" s="309"/>
      <c r="X20" s="309"/>
      <c r="Y20" s="309"/>
      <c r="Z20" s="309"/>
      <c r="AA20" s="309"/>
      <c r="AB20" s="31"/>
    </row>
    <row r="21" spans="1:42" ht="3" customHeight="1" x14ac:dyDescent="0.25">
      <c r="A21"/>
      <c r="B21"/>
      <c r="C21"/>
      <c r="E21" s="30"/>
      <c r="F21" s="23"/>
      <c r="G21" s="23"/>
      <c r="H21" s="104"/>
      <c r="I21" s="23"/>
      <c r="J21" s="23"/>
      <c r="K21" s="23"/>
      <c r="L21" s="23"/>
      <c r="M21" s="23"/>
      <c r="N21" s="320" t="str">
        <f ca="1">_xll.DBRA(Server&amp;$B$12,N$2,"French")</f>
        <v>2020</v>
      </c>
      <c r="O21" s="128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31"/>
    </row>
    <row r="22" spans="1:42" ht="39" customHeight="1" x14ac:dyDescent="0.3">
      <c r="A22"/>
      <c r="B22" t="s">
        <v>68</v>
      </c>
      <c r="C22"/>
      <c r="E22" s="30"/>
      <c r="F22" s="23"/>
      <c r="G22" s="23"/>
      <c r="H22" s="25"/>
      <c r="I22" s="25"/>
      <c r="J22" s="48" t="str">
        <f ca="1">_xll.DBRA(Server&amp;$B$17,J$1,"French")&amp;" - "&amp;$J$2</f>
        <v>Réalisé - 2018</v>
      </c>
      <c r="K22" s="25"/>
      <c r="L22" s="48" t="str">
        <f ca="1">_xll.DBRA(Server&amp;$B$17,L$1,"French")&amp;" - "&amp;$L$2</f>
        <v>Estimé 2 - 2019</v>
      </c>
      <c r="M22" s="47"/>
      <c r="N22" s="320"/>
      <c r="O22" s="129"/>
      <c r="P22" s="48" t="str">
        <f ca="1">_xll.DBRA(Server&amp;$B$12,P$1,"French")</f>
        <v>janv-20</v>
      </c>
      <c r="Q22" s="48" t="str">
        <f ca="1">_xll.DBRA(Server&amp;$B$12,Q$1,"French")</f>
        <v>févr-20</v>
      </c>
      <c r="R22" s="48" t="str">
        <f ca="1">_xll.DBRA(Server&amp;$B$12,R$1,"French")</f>
        <v>mars-20</v>
      </c>
      <c r="S22" s="48" t="str">
        <f ca="1">_xll.DBRA(Server&amp;$B$12,S$1,"French")</f>
        <v>avr-20</v>
      </c>
      <c r="T22" s="48" t="str">
        <f ca="1">_xll.DBRA(Server&amp;$B$12,T$1,"French")</f>
        <v>mai-20</v>
      </c>
      <c r="U22" s="48" t="str">
        <f ca="1">_xll.DBRA(Server&amp;$B$12,U$1,"French")</f>
        <v>juin-20</v>
      </c>
      <c r="V22" s="48" t="str">
        <f ca="1">_xll.DBRA(Server&amp;$B$12,V$1,"French")</f>
        <v>juil-20</v>
      </c>
      <c r="W22" s="48" t="str">
        <f ca="1">_xll.DBRA(Server&amp;$B$12,W$1,"French")</f>
        <v>août-20</v>
      </c>
      <c r="X22" s="48" t="str">
        <f ca="1">_xll.DBRA(Server&amp;$B$12,X$1,"French")</f>
        <v>sept-20</v>
      </c>
      <c r="Y22" s="48" t="str">
        <f ca="1">_xll.DBRA(Server&amp;$B$12,Y$1,"French")</f>
        <v>oct-20</v>
      </c>
      <c r="Z22" s="48" t="str">
        <f ca="1">_xll.DBRA(Server&amp;$B$12,Z$1,"French")</f>
        <v>nov-20</v>
      </c>
      <c r="AA22" s="48" t="str">
        <f ca="1">_xll.DBRA(Server&amp;$B$12,AA$1,"French")</f>
        <v>déc-20</v>
      </c>
      <c r="AB22" s="31"/>
    </row>
    <row r="23" spans="1:42" ht="11.25" customHeight="1" x14ac:dyDescent="0.25">
      <c r="A23" s="17"/>
      <c r="B23" s="17"/>
      <c r="C23" s="17"/>
      <c r="E23" s="167"/>
      <c r="F23" s="104"/>
      <c r="G23" s="26"/>
      <c r="H23" s="26"/>
      <c r="I23" s="26"/>
      <c r="J23" s="44"/>
      <c r="K23" s="26"/>
      <c r="L23" s="44"/>
      <c r="M23" s="26"/>
      <c r="N23" s="18"/>
      <c r="O23" s="18"/>
      <c r="P23" s="44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6"/>
      <c r="AB23" s="168"/>
    </row>
    <row r="24" spans="1:42" ht="21" customHeight="1" x14ac:dyDescent="0.25">
      <c r="A24"/>
      <c r="B24" s="12" t="s">
        <v>115</v>
      </c>
      <c r="C24" s="12"/>
      <c r="D24" s="21"/>
      <c r="E24" s="169"/>
      <c r="F24" s="105"/>
      <c r="G24" s="306" t="str">
        <f ca="1">_xll.DBRA(Server&amp;$B$22,$B24,"French")</f>
        <v>Prestations pédagogiques</v>
      </c>
      <c r="H24" s="306" t="str">
        <f ca="1">_xll.DBRA(Server&amp;$B$22,$B24,"French")</f>
        <v>Prestations pédagogiques</v>
      </c>
      <c r="I24" s="39"/>
      <c r="J24" s="67">
        <f ca="1">_xll.DBRW(Server&amp;Cube1,$H$13,$J$3,$H$15,$J$1,$J$2,$H$16,$B24)</f>
        <v>2459192.34</v>
      </c>
      <c r="K24" s="39"/>
      <c r="L24" s="67">
        <f ca="1">_xll.DBRW(Server&amp;Cube1,$H$13,$L$3,$H$15,$L$1,$L$2,$H$16,$B24)</f>
        <v>0</v>
      </c>
      <c r="M24" s="68"/>
      <c r="N24" s="136">
        <f ca="1">_xll.DBRW(Server&amp;Cube1,$H$13,$H$14,$H$15,$N$1,N$2,$H$16,$B24)</f>
        <v>0</v>
      </c>
      <c r="O24" s="69"/>
      <c r="P24" s="148">
        <v>0</v>
      </c>
      <c r="Q24" s="149">
        <v>0</v>
      </c>
      <c r="R24" s="149">
        <v>0</v>
      </c>
      <c r="S24" s="149">
        <v>0</v>
      </c>
      <c r="T24" s="149">
        <v>0</v>
      </c>
      <c r="U24" s="149">
        <v>0</v>
      </c>
      <c r="V24" s="149">
        <v>0</v>
      </c>
      <c r="W24" s="149">
        <v>0</v>
      </c>
      <c r="X24" s="149">
        <v>0</v>
      </c>
      <c r="Y24" s="149">
        <v>0</v>
      </c>
      <c r="Z24" s="149">
        <v>0</v>
      </c>
      <c r="AA24" s="150">
        <v>0</v>
      </c>
      <c r="AB24" s="31"/>
      <c r="AE24" s="67">
        <f ca="1">_xll.DBRW(Server&amp;Cube1,$H$13,$H$14,$H$15,$H$17,AE$2,$H$16,$B24)</f>
        <v>0</v>
      </c>
      <c r="AF24" s="70">
        <f ca="1">_xll.DBRW(Server&amp;Cube1,$H$13,$H$14,$H$15,$H$17,AF$2,$H$16,$B24)</f>
        <v>0</v>
      </c>
      <c r="AG24" s="70">
        <f ca="1">_xll.DBRW(Server&amp;Cube1,$H$13,$H$14,$H$15,$H$17,AG$2,$H$16,$B24)</f>
        <v>0</v>
      </c>
      <c r="AH24" s="70">
        <f ca="1">_xll.DBRW(Server&amp;Cube1,$H$13,$H$14,$H$15,$H$17,AH$2,$H$16,$B24)</f>
        <v>0</v>
      </c>
      <c r="AI24" s="70">
        <f ca="1">_xll.DBRW(Server&amp;Cube1,$H$13,$H$14,$H$15,$H$17,AI$2,$H$16,$B24)</f>
        <v>0</v>
      </c>
      <c r="AJ24" s="70">
        <f ca="1">_xll.DBRW(Server&amp;Cube1,$H$13,$H$14,$H$15,$H$17,AJ$2,$H$16,$B24)</f>
        <v>0</v>
      </c>
      <c r="AK24" s="70">
        <f ca="1">_xll.DBRW(Server&amp;Cube1,$H$13,$H$14,$H$15,$H$17,AK$2,$H$16,$B24)</f>
        <v>0</v>
      </c>
      <c r="AL24" s="70">
        <f ca="1">_xll.DBRW(Server&amp;Cube1,$H$13,$H$14,$H$15,$H$17,AL$2,$H$16,$B24)</f>
        <v>0</v>
      </c>
      <c r="AM24" s="70">
        <f ca="1">_xll.DBRW(Server&amp;Cube1,$H$13,$H$14,$H$15,$H$17,AM$2,$H$16,$B24)</f>
        <v>0</v>
      </c>
      <c r="AN24" s="70">
        <f ca="1">_xll.DBRW(Server&amp;Cube1,$H$13,$H$14,$H$15,$H$17,AN$2,$H$16,$B24)</f>
        <v>0</v>
      </c>
      <c r="AO24" s="70">
        <f ca="1">_xll.DBRW(Server&amp;Cube1,$H$13,$H$14,$H$15,$H$17,AO$2,$H$16,$B24)</f>
        <v>0</v>
      </c>
      <c r="AP24" s="71">
        <f ca="1">_xll.DBRW(Server&amp;Cube1,$H$13,$H$14,$H$15,$H$17,AP$2,$H$16,$B24)</f>
        <v>0</v>
      </c>
    </row>
    <row r="25" spans="1:42" ht="21" customHeight="1" x14ac:dyDescent="0.25">
      <c r="A25"/>
      <c r="B25" s="138" t="s">
        <v>115</v>
      </c>
      <c r="C25" s="12"/>
      <c r="D25" s="21"/>
      <c r="E25" s="169"/>
      <c r="F25" s="105"/>
      <c r="G25" s="319" t="s">
        <v>102</v>
      </c>
      <c r="H25" s="319"/>
      <c r="I25" s="127"/>
      <c r="J25" s="137"/>
      <c r="K25" s="127"/>
      <c r="L25" s="137"/>
      <c r="M25" s="134"/>
      <c r="N25" s="108">
        <f ca="1">_xll.DBRW(Server&amp;Cube1,$H$13,$H$14,$H$15,$N$3,N$2,$H$16,$B25)</f>
        <v>0</v>
      </c>
      <c r="O25" s="135"/>
      <c r="P25" s="151">
        <v>0</v>
      </c>
      <c r="Q25" s="152">
        <v>0</v>
      </c>
      <c r="R25" s="152">
        <v>0</v>
      </c>
      <c r="S25" s="152">
        <v>0</v>
      </c>
      <c r="T25" s="152">
        <v>0</v>
      </c>
      <c r="U25" s="152">
        <v>0</v>
      </c>
      <c r="V25" s="152">
        <v>0</v>
      </c>
      <c r="W25" s="152">
        <v>0</v>
      </c>
      <c r="X25" s="152">
        <v>0</v>
      </c>
      <c r="Y25" s="152">
        <v>0</v>
      </c>
      <c r="Z25" s="152">
        <v>0</v>
      </c>
      <c r="AA25" s="159">
        <v>0</v>
      </c>
      <c r="AB25" s="31"/>
      <c r="AE25" s="90">
        <f ca="1">IF($AE$3=1,_xll.DBSW(P25,Server&amp;Cube1,$H$13,$H$14,$H$15,$AE$1,AE$2,$H$16,$B25),_xll.DBRW(Server&amp;Cube1,$H$13,$H$14,$H$15,$AE$1,AE$2,$H$16,$B25))</f>
        <v>0</v>
      </c>
      <c r="AF25" s="90">
        <f ca="1">IF($AE$3=1,_xll.DBSW(Q25,Server&amp;Cube1,$H$13,$H$14,$H$15,$AE$1,AF$2,$H$16,$B25),_xll.DBRW(Server&amp;Cube1,$H$13,$H$14,$H$15,$AE$1,AF$2,$H$16,$B25))</f>
        <v>0</v>
      </c>
      <c r="AG25" s="90">
        <f ca="1">IF($AE$3=1,_xll.DBSW(R25,Server&amp;Cube1,$H$13,$H$14,$H$15,$AE$1,AG$2,$H$16,$B25),_xll.DBRW(Server&amp;Cube1,$H$13,$H$14,$H$15,$AE$1,AG$2,$H$16,$B25))</f>
        <v>0</v>
      </c>
      <c r="AH25" s="90">
        <f ca="1">IF($AE$3=1,_xll.DBSW(S25,Server&amp;Cube1,$H$13,$H$14,$H$15,$AE$1,AH$2,$H$16,$B25),_xll.DBRW(Server&amp;Cube1,$H$13,$H$14,$H$15,$AE$1,AH$2,$H$16,$B25))</f>
        <v>0</v>
      </c>
      <c r="AI25" s="90">
        <f ca="1">IF($AE$3=1,_xll.DBSW(T25,Server&amp;Cube1,$H$13,$H$14,$H$15,$AE$1,AI$2,$H$16,$B25),_xll.DBRW(Server&amp;Cube1,$H$13,$H$14,$H$15,$AE$1,AI$2,$H$16,$B25))</f>
        <v>0</v>
      </c>
      <c r="AJ25" s="90">
        <f ca="1">IF($AE$3=1,_xll.DBSW(U25,Server&amp;Cube1,$H$13,$H$14,$H$15,$AE$1,AJ$2,$H$16,$B25),_xll.DBRW(Server&amp;Cube1,$H$13,$H$14,$H$15,$AE$1,AJ$2,$H$16,$B25))</f>
        <v>0</v>
      </c>
      <c r="AK25" s="90">
        <f ca="1">IF($AE$3=1,_xll.DBSW(V25,Server&amp;Cube1,$H$13,$H$14,$H$15,$AE$1,AK$2,$H$16,$B25),_xll.DBRW(Server&amp;Cube1,$H$13,$H$14,$H$15,$AE$1,AK$2,$H$16,$B25))</f>
        <v>0</v>
      </c>
      <c r="AL25" s="90">
        <f ca="1">IF($AE$3=1,_xll.DBSW(W25,Server&amp;Cube1,$H$13,$H$14,$H$15,$AE$1,AL$2,$H$16,$B25),_xll.DBRW(Server&amp;Cube1,$H$13,$H$14,$H$15,$AE$1,AL$2,$H$16,$B25))</f>
        <v>0</v>
      </c>
      <c r="AM25" s="90">
        <f ca="1">IF($AE$3=1,_xll.DBSW(X25,Server&amp;Cube1,$H$13,$H$14,$H$15,$AE$1,AM$2,$H$16,$B25),_xll.DBRW(Server&amp;Cube1,$H$13,$H$14,$H$15,$AE$1,AM$2,$H$16,$B25))</f>
        <v>0</v>
      </c>
      <c r="AN25" s="90">
        <f ca="1">IF($AE$3=1,_xll.DBSW(Y25,Server&amp;Cube1,$H$13,$H$14,$H$15,$AE$1,AN$2,$H$16,$B25),_xll.DBRW(Server&amp;Cube1,$H$13,$H$14,$H$15,$AE$1,AN$2,$H$16,$B25))</f>
        <v>0</v>
      </c>
      <c r="AO25" s="90">
        <f ca="1">IF($AE$3=1,_xll.DBSW(Z25,Server&amp;Cube1,$H$13,$H$14,$H$15,$AE$1,AO$2,$H$16,$B25),_xll.DBRW(Server&amp;Cube1,$H$13,$H$14,$H$15,$AE$1,AO$2,$H$16,$B25))</f>
        <v>0</v>
      </c>
      <c r="AP25" s="90">
        <f ca="1">IF($AE$3=1,_xll.DBSW(AA25,Server&amp;Cube1,$H$13,$H$14,$H$15,$AE$1,AP$2,$H$16,$B25),_xll.DBRW(Server&amp;Cube1,$H$13,$H$14,$H$15,$AE$1,AP$2,$H$16,$B25))</f>
        <v>0</v>
      </c>
    </row>
    <row r="26" spans="1:42" ht="3" customHeight="1" x14ac:dyDescent="0.25">
      <c r="A26"/>
      <c r="B26" s="11"/>
      <c r="C26" s="11"/>
      <c r="D26" s="20"/>
      <c r="E26" s="170"/>
      <c r="F26" s="106"/>
      <c r="G26" s="43"/>
      <c r="H26" s="43"/>
      <c r="I26" s="38"/>
      <c r="J26" s="62"/>
      <c r="K26" s="38"/>
      <c r="L26" s="62"/>
      <c r="M26" s="63"/>
      <c r="N26" s="113"/>
      <c r="O26" s="64"/>
      <c r="P26" s="153"/>
      <c r="Q26" s="154"/>
      <c r="R26" s="154"/>
      <c r="S26" s="154"/>
      <c r="T26" s="154"/>
      <c r="U26" s="154"/>
      <c r="V26" s="154"/>
      <c r="W26" s="154"/>
      <c r="X26" s="154"/>
      <c r="Y26" s="154"/>
      <c r="Z26" s="154"/>
      <c r="AA26" s="155"/>
      <c r="AB26" s="31"/>
    </row>
    <row r="27" spans="1:42" ht="21" customHeight="1" x14ac:dyDescent="0.25">
      <c r="A27"/>
      <c r="B27" s="12" t="s">
        <v>116</v>
      </c>
      <c r="C27" s="12"/>
      <c r="D27" s="21"/>
      <c r="E27" s="169"/>
      <c r="F27" s="105"/>
      <c r="G27" s="306" t="str">
        <f ca="1">_xll.DBRA(Server&amp;$B$22,$B27,"French")</f>
        <v>Frais de déplacement formateurs / jour</v>
      </c>
      <c r="H27" s="306" t="str">
        <f ca="1">_xll.DBRA(Server&amp;$B$22,$B27,"French")</f>
        <v>Frais de déplacement formateurs / jour</v>
      </c>
      <c r="I27" s="39"/>
      <c r="J27" s="67">
        <f ca="1">_xll.DBRW(Server&amp;Cube1,$H$13,$J$3,$H$15,$J$1,$J$2,$H$16,$B27)</f>
        <v>21981.65</v>
      </c>
      <c r="K27" s="39"/>
      <c r="L27" s="67">
        <f ca="1">_xll.DBRW(Server&amp;Cube1,$H$13,$L$3,$H$15,$L$1,$L$2,$H$16,$B27)</f>
        <v>0</v>
      </c>
      <c r="M27" s="68"/>
      <c r="N27" s="197">
        <f ca="1">_xll.DBRW(Server&amp;Cube1,$H$13,$H$14,$H$15,$N$1,N$2,$H$16,$B27)</f>
        <v>0</v>
      </c>
      <c r="O27" s="69"/>
      <c r="P27" s="148">
        <v>0</v>
      </c>
      <c r="Q27" s="149">
        <v>0</v>
      </c>
      <c r="R27" s="149">
        <v>0</v>
      </c>
      <c r="S27" s="149">
        <v>0</v>
      </c>
      <c r="T27" s="149">
        <v>0</v>
      </c>
      <c r="U27" s="149">
        <v>0</v>
      </c>
      <c r="V27" s="149">
        <v>0</v>
      </c>
      <c r="W27" s="149">
        <v>0</v>
      </c>
      <c r="X27" s="149">
        <v>0</v>
      </c>
      <c r="Y27" s="149">
        <v>0</v>
      </c>
      <c r="Z27" s="149">
        <v>0</v>
      </c>
      <c r="AA27" s="150">
        <v>0</v>
      </c>
      <c r="AB27" s="31"/>
      <c r="AE27" s="67">
        <f ca="1">_xll.DBRW(Server&amp;Cube1,$H$13,$H$14,$H$15,$H$17,AE$2,$H$16,$B27)</f>
        <v>0</v>
      </c>
      <c r="AF27" s="70">
        <f ca="1">_xll.DBRW(Server&amp;Cube1,$H$13,$H$14,$H$15,$H$17,AF$2,$H$16,$B27)</f>
        <v>0</v>
      </c>
      <c r="AG27" s="70">
        <f ca="1">_xll.DBRW(Server&amp;Cube1,$H$13,$H$14,$H$15,$H$17,AG$2,$H$16,$B27)</f>
        <v>0</v>
      </c>
      <c r="AH27" s="70">
        <f ca="1">_xll.DBRW(Server&amp;Cube1,$H$13,$H$14,$H$15,$H$17,AH$2,$H$16,$B27)</f>
        <v>0</v>
      </c>
      <c r="AI27" s="70">
        <f ca="1">_xll.DBRW(Server&amp;Cube1,$H$13,$H$14,$H$15,$H$17,AI$2,$H$16,$B27)</f>
        <v>0</v>
      </c>
      <c r="AJ27" s="70">
        <f ca="1">_xll.DBRW(Server&amp;Cube1,$H$13,$H$14,$H$15,$H$17,AJ$2,$H$16,$B27)</f>
        <v>0</v>
      </c>
      <c r="AK27" s="70">
        <f ca="1">_xll.DBRW(Server&amp;Cube1,$H$13,$H$14,$H$15,$H$17,AK$2,$H$16,$B27)</f>
        <v>0</v>
      </c>
      <c r="AL27" s="70">
        <f ca="1">_xll.DBRW(Server&amp;Cube1,$H$13,$H$14,$H$15,$H$17,AL$2,$H$16,$B27)</f>
        <v>0</v>
      </c>
      <c r="AM27" s="70">
        <f ca="1">_xll.DBRW(Server&amp;Cube1,$H$13,$H$14,$H$15,$H$17,AM$2,$H$16,$B27)</f>
        <v>0</v>
      </c>
      <c r="AN27" s="70">
        <f ca="1">_xll.DBRW(Server&amp;Cube1,$H$13,$H$14,$H$15,$H$17,AN$2,$H$16,$B27)</f>
        <v>0</v>
      </c>
      <c r="AO27" s="70">
        <f ca="1">_xll.DBRW(Server&amp;Cube1,$H$13,$H$14,$H$15,$H$17,AO$2,$H$16,$B27)</f>
        <v>0</v>
      </c>
      <c r="AP27" s="71">
        <f ca="1">_xll.DBRW(Server&amp;Cube1,$H$13,$H$14,$H$15,$H$17,AP$2,$H$16,$B27)</f>
        <v>0</v>
      </c>
    </row>
    <row r="28" spans="1:42" ht="21" customHeight="1" x14ac:dyDescent="0.25">
      <c r="A28"/>
      <c r="B28" s="138" t="s">
        <v>116</v>
      </c>
      <c r="C28" s="12"/>
      <c r="D28" s="21"/>
      <c r="E28" s="169"/>
      <c r="F28" s="105"/>
      <c r="G28" s="319" t="s">
        <v>102</v>
      </c>
      <c r="H28" s="319"/>
      <c r="I28" s="127"/>
      <c r="J28" s="137"/>
      <c r="K28" s="127"/>
      <c r="L28" s="137"/>
      <c r="M28" s="134"/>
      <c r="N28" s="108">
        <f ca="1">_xll.DBRW(Server&amp;Cube1,$H$13,$H$14,$H$15,$N$3,N$2,$H$16,$B28)</f>
        <v>0</v>
      </c>
      <c r="O28" s="135"/>
      <c r="P28" s="151">
        <v>0</v>
      </c>
      <c r="Q28" s="152">
        <v>0</v>
      </c>
      <c r="R28" s="152">
        <v>0</v>
      </c>
      <c r="S28" s="152">
        <v>0</v>
      </c>
      <c r="T28" s="152">
        <v>0</v>
      </c>
      <c r="U28" s="152">
        <v>0</v>
      </c>
      <c r="V28" s="152">
        <v>0</v>
      </c>
      <c r="W28" s="152">
        <v>0</v>
      </c>
      <c r="X28" s="152">
        <v>0</v>
      </c>
      <c r="Y28" s="152">
        <v>0</v>
      </c>
      <c r="Z28" s="152">
        <v>0</v>
      </c>
      <c r="AA28" s="159">
        <v>0</v>
      </c>
      <c r="AB28" s="31"/>
      <c r="AE28" s="90">
        <f ca="1">IF($AE$3=1,_xll.DBSW(P28,Server&amp;Cube1,$H$13,$H$14,$H$15,$AE$1,AE$2,$H$16,$B28),_xll.DBRW(Server&amp;Cube1,$H$13,$H$14,$H$15,$AE$1,AE$2,$H$16,$B28))</f>
        <v>0</v>
      </c>
      <c r="AF28" s="90">
        <f ca="1">IF($AE$3=1,_xll.DBSW(Q28,Server&amp;Cube1,$H$13,$H$14,$H$15,$AE$1,AF$2,$H$16,$B28),_xll.DBRW(Server&amp;Cube1,$H$13,$H$14,$H$15,$AE$1,AF$2,$H$16,$B28))</f>
        <v>0</v>
      </c>
      <c r="AG28" s="90">
        <f ca="1">IF($AE$3=1,_xll.DBSW(R28,Server&amp;Cube1,$H$13,$H$14,$H$15,$AE$1,AG$2,$H$16,$B28),_xll.DBRW(Server&amp;Cube1,$H$13,$H$14,$H$15,$AE$1,AG$2,$H$16,$B28))</f>
        <v>0</v>
      </c>
      <c r="AH28" s="90">
        <f ca="1">IF($AE$3=1,_xll.DBSW(S28,Server&amp;Cube1,$H$13,$H$14,$H$15,$AE$1,AH$2,$H$16,$B28),_xll.DBRW(Server&amp;Cube1,$H$13,$H$14,$H$15,$AE$1,AH$2,$H$16,$B28))</f>
        <v>0</v>
      </c>
      <c r="AI28" s="90">
        <f ca="1">IF($AE$3=1,_xll.DBSW(T28,Server&amp;Cube1,$H$13,$H$14,$H$15,$AE$1,AI$2,$H$16,$B28),_xll.DBRW(Server&amp;Cube1,$H$13,$H$14,$H$15,$AE$1,AI$2,$H$16,$B28))</f>
        <v>0</v>
      </c>
      <c r="AJ28" s="90">
        <f ca="1">IF($AE$3=1,_xll.DBSW(U28,Server&amp;Cube1,$H$13,$H$14,$H$15,$AE$1,AJ$2,$H$16,$B28),_xll.DBRW(Server&amp;Cube1,$H$13,$H$14,$H$15,$AE$1,AJ$2,$H$16,$B28))</f>
        <v>0</v>
      </c>
      <c r="AK28" s="90">
        <f ca="1">IF($AE$3=1,_xll.DBSW(V28,Server&amp;Cube1,$H$13,$H$14,$H$15,$AE$1,AK$2,$H$16,$B28),_xll.DBRW(Server&amp;Cube1,$H$13,$H$14,$H$15,$AE$1,AK$2,$H$16,$B28))</f>
        <v>0</v>
      </c>
      <c r="AL28" s="90">
        <f ca="1">IF($AE$3=1,_xll.DBSW(W28,Server&amp;Cube1,$H$13,$H$14,$H$15,$AE$1,AL$2,$H$16,$B28),_xll.DBRW(Server&amp;Cube1,$H$13,$H$14,$H$15,$AE$1,AL$2,$H$16,$B28))</f>
        <v>0</v>
      </c>
      <c r="AM28" s="90">
        <f ca="1">IF($AE$3=1,_xll.DBSW(X28,Server&amp;Cube1,$H$13,$H$14,$H$15,$AE$1,AM$2,$H$16,$B28),_xll.DBRW(Server&amp;Cube1,$H$13,$H$14,$H$15,$AE$1,AM$2,$H$16,$B28))</f>
        <v>0</v>
      </c>
      <c r="AN28" s="90">
        <f ca="1">IF($AE$3=1,_xll.DBSW(Y28,Server&amp;Cube1,$H$13,$H$14,$H$15,$AE$1,AN$2,$H$16,$B28),_xll.DBRW(Server&amp;Cube1,$H$13,$H$14,$H$15,$AE$1,AN$2,$H$16,$B28))</f>
        <v>0</v>
      </c>
      <c r="AO28" s="90">
        <f ca="1">IF($AE$3=1,_xll.DBSW(Z28,Server&amp;Cube1,$H$13,$H$14,$H$15,$AE$1,AO$2,$H$16,$B28),_xll.DBRW(Server&amp;Cube1,$H$13,$H$14,$H$15,$AE$1,AO$2,$H$16,$B28))</f>
        <v>0</v>
      </c>
      <c r="AP28" s="90">
        <f ca="1">IF($AE$3=1,_xll.DBSW(AA28,Server&amp;Cube1,$H$13,$H$14,$H$15,$AE$1,AP$2,$H$16,$B28),_xll.DBRW(Server&amp;Cube1,$H$13,$H$14,$H$15,$AE$1,AP$2,$H$16,$B28))</f>
        <v>0</v>
      </c>
    </row>
    <row r="29" spans="1:42" ht="3" customHeight="1" x14ac:dyDescent="0.25">
      <c r="A29"/>
      <c r="B29" s="11"/>
      <c r="C29" s="11"/>
      <c r="D29" s="20"/>
      <c r="E29" s="170"/>
      <c r="F29" s="106"/>
      <c r="G29" s="43"/>
      <c r="H29" s="43"/>
      <c r="I29" s="38"/>
      <c r="J29" s="62"/>
      <c r="K29" s="38"/>
      <c r="L29" s="62"/>
      <c r="M29" s="63"/>
      <c r="N29" s="112"/>
      <c r="O29" s="64"/>
      <c r="P29" s="153"/>
      <c r="Q29" s="154"/>
      <c r="R29" s="154"/>
      <c r="S29" s="154"/>
      <c r="T29" s="154"/>
      <c r="U29" s="154"/>
      <c r="V29" s="154"/>
      <c r="W29" s="154"/>
      <c r="X29" s="154"/>
      <c r="Y29" s="154"/>
      <c r="Z29" s="154"/>
      <c r="AA29" s="155"/>
      <c r="AB29" s="31"/>
    </row>
    <row r="30" spans="1:42" ht="21" customHeight="1" x14ac:dyDescent="0.25">
      <c r="A30"/>
      <c r="B30" s="12" t="s">
        <v>22</v>
      </c>
      <c r="C30" s="12"/>
      <c r="D30" s="21"/>
      <c r="E30" s="169"/>
      <c r="F30" s="105"/>
      <c r="G30" s="306" t="str">
        <f ca="1">_xll.DBRA(Server&amp;$B$22,$B30,"French")</f>
        <v>Subventions</v>
      </c>
      <c r="H30" s="306" t="str">
        <f ca="1">_xll.DBRA(Server&amp;$B$22,$B30,"French")</f>
        <v>Subventions</v>
      </c>
      <c r="I30" s="39"/>
      <c r="J30" s="67">
        <f ca="1">_xll.DBRW(Server&amp;Cube1,$H$13,$J$3,$H$15,$J$1,$J$2,$H$16,$B30)</f>
        <v>33761.5</v>
      </c>
      <c r="K30" s="39"/>
      <c r="L30" s="67">
        <f ca="1">_xll.DBRW(Server&amp;Cube1,$H$13,$L$3,$H$15,$L$1,$L$2,$H$16,$B30)</f>
        <v>0</v>
      </c>
      <c r="M30" s="68"/>
      <c r="N30" s="108">
        <f ca="1">_xll.DBRW(Server&amp;Cube1,$H$13,$H$14,$H$15,$N$1,N$2,$H$16,$B30)</f>
        <v>0</v>
      </c>
      <c r="O30" s="69"/>
      <c r="P30" s="148">
        <v>0</v>
      </c>
      <c r="Q30" s="149">
        <v>0</v>
      </c>
      <c r="R30" s="149">
        <v>0</v>
      </c>
      <c r="S30" s="149">
        <v>0</v>
      </c>
      <c r="T30" s="149">
        <v>0</v>
      </c>
      <c r="U30" s="149">
        <v>0</v>
      </c>
      <c r="V30" s="149">
        <v>0</v>
      </c>
      <c r="W30" s="149">
        <v>0</v>
      </c>
      <c r="X30" s="149">
        <v>0</v>
      </c>
      <c r="Y30" s="149">
        <v>0</v>
      </c>
      <c r="Z30" s="149">
        <v>0</v>
      </c>
      <c r="AA30" s="150">
        <v>0</v>
      </c>
      <c r="AB30" s="31"/>
      <c r="AE30" s="67">
        <f ca="1">_xll.DBRW(Server&amp;Cube1,$H$13,$H$14,$H$15,$H$17,AE$2,$H$16,$B30)</f>
        <v>0</v>
      </c>
      <c r="AF30" s="70">
        <f ca="1">_xll.DBRW(Server&amp;Cube1,$H$13,$H$14,$H$15,$H$17,AF$2,$H$16,$B30)</f>
        <v>0</v>
      </c>
      <c r="AG30" s="70">
        <f ca="1">_xll.DBRW(Server&amp;Cube1,$H$13,$H$14,$H$15,$H$17,AG$2,$H$16,$B30)</f>
        <v>0</v>
      </c>
      <c r="AH30" s="70">
        <f ca="1">_xll.DBRW(Server&amp;Cube1,$H$13,$H$14,$H$15,$H$17,AH$2,$H$16,$B30)</f>
        <v>0</v>
      </c>
      <c r="AI30" s="70">
        <f ca="1">_xll.DBRW(Server&amp;Cube1,$H$13,$H$14,$H$15,$H$17,AI$2,$H$16,$B30)</f>
        <v>0</v>
      </c>
      <c r="AJ30" s="70">
        <f ca="1">_xll.DBRW(Server&amp;Cube1,$H$13,$H$14,$H$15,$H$17,AJ$2,$H$16,$B30)</f>
        <v>0</v>
      </c>
      <c r="AK30" s="70">
        <f ca="1">_xll.DBRW(Server&amp;Cube1,$H$13,$H$14,$H$15,$H$17,AK$2,$H$16,$B30)</f>
        <v>0</v>
      </c>
      <c r="AL30" s="70">
        <f ca="1">_xll.DBRW(Server&amp;Cube1,$H$13,$H$14,$H$15,$H$17,AL$2,$H$16,$B30)</f>
        <v>0</v>
      </c>
      <c r="AM30" s="70">
        <f ca="1">_xll.DBRW(Server&amp;Cube1,$H$13,$H$14,$H$15,$H$17,AM$2,$H$16,$B30)</f>
        <v>0</v>
      </c>
      <c r="AN30" s="70">
        <f ca="1">_xll.DBRW(Server&amp;Cube1,$H$13,$H$14,$H$15,$H$17,AN$2,$H$16,$B30)</f>
        <v>0</v>
      </c>
      <c r="AO30" s="70">
        <f ca="1">_xll.DBRW(Server&amp;Cube1,$H$13,$H$14,$H$15,$H$17,AO$2,$H$16,$B30)</f>
        <v>0</v>
      </c>
      <c r="AP30" s="71">
        <f ca="1">_xll.DBRW(Server&amp;Cube1,$H$13,$H$14,$H$15,$H$17,AP$2,$H$16,$B30)</f>
        <v>0</v>
      </c>
    </row>
    <row r="31" spans="1:42" ht="21" customHeight="1" x14ac:dyDescent="0.25">
      <c r="A31"/>
      <c r="B31" s="13" t="s">
        <v>23</v>
      </c>
      <c r="C31" s="13"/>
      <c r="D31" s="22"/>
      <c r="E31" s="171"/>
      <c r="F31" s="107"/>
      <c r="G31" s="305" t="str">
        <f ca="1">_xll.DBRA(Server&amp;$B$22,$B31,"French")</f>
        <v>Dédit formation</v>
      </c>
      <c r="H31" s="305" t="str">
        <f ca="1">_xll.DBRA(Server&amp;$B$22,$B31,"French")</f>
        <v>Dédit formation</v>
      </c>
      <c r="I31" s="37"/>
      <c r="J31" s="54">
        <f ca="1">_xll.DBRW(Server&amp;Cube1,$H$13,$J$3,$H$15,$J$1,$J$2,$H$16,$B31)</f>
        <v>33761.5</v>
      </c>
      <c r="K31" s="37"/>
      <c r="L31" s="54">
        <f ca="1">_xll.DBRW(Server&amp;Cube1,$H$13,$L$3,$H$15,$L$1,$L$2,$H$16,$B31)</f>
        <v>0</v>
      </c>
      <c r="M31" s="55"/>
      <c r="N31" s="139">
        <f ca="1">_xll.DBRW(Server&amp;Cube1,$H$13,$H$14,$H$15,$N$1,N$2,$H$16,$B31)</f>
        <v>0</v>
      </c>
      <c r="O31" s="57"/>
      <c r="P31" s="156">
        <v>0</v>
      </c>
      <c r="Q31" s="157">
        <v>0</v>
      </c>
      <c r="R31" s="157">
        <v>0</v>
      </c>
      <c r="S31" s="157">
        <v>0</v>
      </c>
      <c r="T31" s="157">
        <v>0</v>
      </c>
      <c r="U31" s="157">
        <v>0</v>
      </c>
      <c r="V31" s="157">
        <v>0</v>
      </c>
      <c r="W31" s="157">
        <v>0</v>
      </c>
      <c r="X31" s="157">
        <v>0</v>
      </c>
      <c r="Y31" s="157">
        <v>0</v>
      </c>
      <c r="Z31" s="157">
        <v>0</v>
      </c>
      <c r="AA31" s="158">
        <v>0</v>
      </c>
      <c r="AB31" s="31"/>
      <c r="AE31" s="67">
        <f ca="1">_xll.DBRW(Server&amp;Cube1,$H$13,$H$14,$H$15,$H$17,AE$2,$H$16,$B31)</f>
        <v>0</v>
      </c>
      <c r="AF31" s="70">
        <f ca="1">_xll.DBRW(Server&amp;Cube1,$H$13,$H$14,$H$15,$H$17,AF$2,$H$16,$B31)</f>
        <v>0</v>
      </c>
      <c r="AG31" s="70">
        <f ca="1">_xll.DBRW(Server&amp;Cube1,$H$13,$H$14,$H$15,$H$17,AG$2,$H$16,$B31)</f>
        <v>0</v>
      </c>
      <c r="AH31" s="70">
        <f ca="1">_xll.DBRW(Server&amp;Cube1,$H$13,$H$14,$H$15,$H$17,AH$2,$H$16,$B31)</f>
        <v>0</v>
      </c>
      <c r="AI31" s="70">
        <f ca="1">_xll.DBRW(Server&amp;Cube1,$H$13,$H$14,$H$15,$H$17,AI$2,$H$16,$B31)</f>
        <v>0</v>
      </c>
      <c r="AJ31" s="70">
        <f ca="1">_xll.DBRW(Server&amp;Cube1,$H$13,$H$14,$H$15,$H$17,AJ$2,$H$16,$B31)</f>
        <v>0</v>
      </c>
      <c r="AK31" s="70">
        <f ca="1">_xll.DBRW(Server&amp;Cube1,$H$13,$H$14,$H$15,$H$17,AK$2,$H$16,$B31)</f>
        <v>0</v>
      </c>
      <c r="AL31" s="70">
        <f ca="1">_xll.DBRW(Server&amp;Cube1,$H$13,$H$14,$H$15,$H$17,AL$2,$H$16,$B31)</f>
        <v>0</v>
      </c>
      <c r="AM31" s="70">
        <f ca="1">_xll.DBRW(Server&amp;Cube1,$H$13,$H$14,$H$15,$H$17,AM$2,$H$16,$B31)</f>
        <v>0</v>
      </c>
      <c r="AN31" s="70">
        <f ca="1">_xll.DBRW(Server&amp;Cube1,$H$13,$H$14,$H$15,$H$17,AN$2,$H$16,$B31)</f>
        <v>0</v>
      </c>
      <c r="AO31" s="70">
        <f ca="1">_xll.DBRW(Server&amp;Cube1,$H$13,$H$14,$H$15,$H$17,AO$2,$H$16,$B31)</f>
        <v>0</v>
      </c>
      <c r="AP31" s="71">
        <f ca="1">_xll.DBRW(Server&amp;Cube1,$H$13,$H$14,$H$15,$H$17,AP$2,$H$16,$B31)</f>
        <v>0</v>
      </c>
    </row>
    <row r="32" spans="1:42" ht="21" customHeight="1" x14ac:dyDescent="0.25">
      <c r="A32"/>
      <c r="B32" s="138" t="s">
        <v>23</v>
      </c>
      <c r="C32" s="12"/>
      <c r="D32" s="21"/>
      <c r="E32" s="169"/>
      <c r="F32" s="105"/>
      <c r="G32" s="319" t="s">
        <v>102</v>
      </c>
      <c r="H32" s="319"/>
      <c r="I32" s="127"/>
      <c r="J32" s="137"/>
      <c r="K32" s="127"/>
      <c r="L32" s="137"/>
      <c r="M32" s="134"/>
      <c r="N32" s="108">
        <f ca="1">_xll.DBRW(Server&amp;Cube1,$H$13,$H$14,$H$15,$N$3,N$2,$H$16,$B32)</f>
        <v>0</v>
      </c>
      <c r="O32" s="135"/>
      <c r="P32" s="151">
        <v>0</v>
      </c>
      <c r="Q32" s="152">
        <v>0</v>
      </c>
      <c r="R32" s="152">
        <v>0</v>
      </c>
      <c r="S32" s="152">
        <v>0</v>
      </c>
      <c r="T32" s="152">
        <v>0</v>
      </c>
      <c r="U32" s="152">
        <v>0</v>
      </c>
      <c r="V32" s="152">
        <v>0</v>
      </c>
      <c r="W32" s="152">
        <v>0</v>
      </c>
      <c r="X32" s="152">
        <v>0</v>
      </c>
      <c r="Y32" s="152">
        <v>0</v>
      </c>
      <c r="Z32" s="152">
        <v>0</v>
      </c>
      <c r="AA32" s="159">
        <v>0</v>
      </c>
      <c r="AB32" s="31"/>
      <c r="AE32" s="90">
        <f ca="1">IF($AE$3=1,_xll.DBSW(P32,Server&amp;Cube1,$H$13,$H$14,$H$15,$AE$1,AE$2,$H$16,$B32),_xll.DBRW(Server&amp;Cube1,$H$13,$H$14,$H$15,$AE$1,AE$2,$H$16,$B32))</f>
        <v>0</v>
      </c>
      <c r="AF32" s="90">
        <f ca="1">IF($AE$3=1,_xll.DBSW(Q32,Server&amp;Cube1,$H$13,$H$14,$H$15,$AE$1,AF$2,$H$16,$B32),_xll.DBRW(Server&amp;Cube1,$H$13,$H$14,$H$15,$AE$1,AF$2,$H$16,$B32))</f>
        <v>0</v>
      </c>
      <c r="AG32" s="90">
        <f ca="1">IF($AE$3=1,_xll.DBSW(R32,Server&amp;Cube1,$H$13,$H$14,$H$15,$AE$1,AG$2,$H$16,$B32),_xll.DBRW(Server&amp;Cube1,$H$13,$H$14,$H$15,$AE$1,AG$2,$H$16,$B32))</f>
        <v>0</v>
      </c>
      <c r="AH32" s="90">
        <f ca="1">IF($AE$3=1,_xll.DBSW(S32,Server&amp;Cube1,$H$13,$H$14,$H$15,$AE$1,AH$2,$H$16,$B32),_xll.DBRW(Server&amp;Cube1,$H$13,$H$14,$H$15,$AE$1,AH$2,$H$16,$B32))</f>
        <v>0</v>
      </c>
      <c r="AI32" s="90">
        <f ca="1">IF($AE$3=1,_xll.DBSW(T32,Server&amp;Cube1,$H$13,$H$14,$H$15,$AE$1,AI$2,$H$16,$B32),_xll.DBRW(Server&amp;Cube1,$H$13,$H$14,$H$15,$AE$1,AI$2,$H$16,$B32))</f>
        <v>0</v>
      </c>
      <c r="AJ32" s="90">
        <f ca="1">IF($AE$3=1,_xll.DBSW(U32,Server&amp;Cube1,$H$13,$H$14,$H$15,$AE$1,AJ$2,$H$16,$B32),_xll.DBRW(Server&amp;Cube1,$H$13,$H$14,$H$15,$AE$1,AJ$2,$H$16,$B32))</f>
        <v>0</v>
      </c>
      <c r="AK32" s="90">
        <f ca="1">IF($AE$3=1,_xll.DBSW(V32,Server&amp;Cube1,$H$13,$H$14,$H$15,$AE$1,AK$2,$H$16,$B32),_xll.DBRW(Server&amp;Cube1,$H$13,$H$14,$H$15,$AE$1,AK$2,$H$16,$B32))</f>
        <v>0</v>
      </c>
      <c r="AL32" s="90">
        <f ca="1">IF($AE$3=1,_xll.DBSW(W32,Server&amp;Cube1,$H$13,$H$14,$H$15,$AE$1,AL$2,$H$16,$B32),_xll.DBRW(Server&amp;Cube1,$H$13,$H$14,$H$15,$AE$1,AL$2,$H$16,$B32))</f>
        <v>0</v>
      </c>
      <c r="AM32" s="90">
        <f ca="1">IF($AE$3=1,_xll.DBSW(X32,Server&amp;Cube1,$H$13,$H$14,$H$15,$AE$1,AM$2,$H$16,$B32),_xll.DBRW(Server&amp;Cube1,$H$13,$H$14,$H$15,$AE$1,AM$2,$H$16,$B32))</f>
        <v>0</v>
      </c>
      <c r="AN32" s="90">
        <f ca="1">IF($AE$3=1,_xll.DBSW(Y32,Server&amp;Cube1,$H$13,$H$14,$H$15,$AE$1,AN$2,$H$16,$B32),_xll.DBRW(Server&amp;Cube1,$H$13,$H$14,$H$15,$AE$1,AN$2,$H$16,$B32))</f>
        <v>0</v>
      </c>
      <c r="AO32" s="90">
        <f ca="1">IF($AE$3=1,_xll.DBSW(Z32,Server&amp;Cube1,$H$13,$H$14,$H$15,$AE$1,AO$2,$H$16,$B32),_xll.DBRW(Server&amp;Cube1,$H$13,$H$14,$H$15,$AE$1,AO$2,$H$16,$B32))</f>
        <v>0</v>
      </c>
      <c r="AP32" s="90">
        <f ca="1">IF($AE$3=1,_xll.DBSW(AA32,Server&amp;Cube1,$H$13,$H$14,$H$15,$AE$1,AP$2,$H$16,$B32),_xll.DBRW(Server&amp;Cube1,$H$13,$H$14,$H$15,$AE$1,AP$2,$H$16,$B32))</f>
        <v>0</v>
      </c>
    </row>
    <row r="33" spans="1:42" ht="21" customHeight="1" x14ac:dyDescent="0.25">
      <c r="A33" t="s">
        <v>69</v>
      </c>
      <c r="B33" s="13">
        <v>751100</v>
      </c>
      <c r="C33" s="13"/>
      <c r="D33" s="22"/>
      <c r="E33" s="171"/>
      <c r="F33" s="107"/>
      <c r="G33" s="305" t="s">
        <v>69</v>
      </c>
      <c r="H33" s="305"/>
      <c r="I33" s="37"/>
      <c r="J33" s="54">
        <f ca="1">_xll.DBRW(Server&amp;Cube1,$H$13,$J$3,$H$15,$J$1,$J$2,$H$16,$B33)</f>
        <v>0</v>
      </c>
      <c r="K33" s="37"/>
      <c r="L33" s="54">
        <f ca="1">_xll.DBRW(Server&amp;Cube1,$H$13,$L$3,$H$15,$L$1,$L$2,$H$16,$B33)</f>
        <v>0</v>
      </c>
      <c r="M33" s="55"/>
      <c r="N33" s="139">
        <f ca="1">_xll.DBRW(Server&amp;Cube1,$H$13,$H$14,$H$15,$N$1,N$2,$H$16,$B33)</f>
        <v>0</v>
      </c>
      <c r="O33" s="57"/>
      <c r="P33" s="156">
        <v>0</v>
      </c>
      <c r="Q33" s="157">
        <v>0</v>
      </c>
      <c r="R33" s="157">
        <v>0</v>
      </c>
      <c r="S33" s="157">
        <v>0</v>
      </c>
      <c r="T33" s="157">
        <v>0</v>
      </c>
      <c r="U33" s="157">
        <v>0</v>
      </c>
      <c r="V33" s="157">
        <v>0</v>
      </c>
      <c r="W33" s="157">
        <v>0</v>
      </c>
      <c r="X33" s="157">
        <v>0</v>
      </c>
      <c r="Y33" s="157">
        <v>0</v>
      </c>
      <c r="Z33" s="157">
        <v>0</v>
      </c>
      <c r="AA33" s="158">
        <v>0</v>
      </c>
      <c r="AB33" s="31"/>
      <c r="AE33" s="67">
        <f ca="1">_xll.DBRW(Server&amp;Cube1,$H$13,$H$14,$H$15,$H$17,AE$2,$H$16,$B33)</f>
        <v>0</v>
      </c>
      <c r="AF33" s="70">
        <f ca="1">_xll.DBRW(Server&amp;Cube1,$H$13,$H$14,$H$15,$H$17,AF$2,$H$16,$B33)</f>
        <v>0</v>
      </c>
      <c r="AG33" s="70">
        <f ca="1">_xll.DBRW(Server&amp;Cube1,$H$13,$H$14,$H$15,$H$17,AG$2,$H$16,$B33)</f>
        <v>0</v>
      </c>
      <c r="AH33" s="70">
        <f ca="1">_xll.DBRW(Server&amp;Cube1,$H$13,$H$14,$H$15,$H$17,AH$2,$H$16,$B33)</f>
        <v>0</v>
      </c>
      <c r="AI33" s="70">
        <f ca="1">_xll.DBRW(Server&amp;Cube1,$H$13,$H$14,$H$15,$H$17,AI$2,$H$16,$B33)</f>
        <v>0</v>
      </c>
      <c r="AJ33" s="70">
        <f ca="1">_xll.DBRW(Server&amp;Cube1,$H$13,$H$14,$H$15,$H$17,AJ$2,$H$16,$B33)</f>
        <v>0</v>
      </c>
      <c r="AK33" s="70">
        <f ca="1">_xll.DBRW(Server&amp;Cube1,$H$13,$H$14,$H$15,$H$17,AK$2,$H$16,$B33)</f>
        <v>0</v>
      </c>
      <c r="AL33" s="70">
        <f ca="1">_xll.DBRW(Server&amp;Cube1,$H$13,$H$14,$H$15,$H$17,AL$2,$H$16,$B33)</f>
        <v>0</v>
      </c>
      <c r="AM33" s="70">
        <f ca="1">_xll.DBRW(Server&amp;Cube1,$H$13,$H$14,$H$15,$H$17,AM$2,$H$16,$B33)</f>
        <v>0</v>
      </c>
      <c r="AN33" s="70">
        <f ca="1">_xll.DBRW(Server&amp;Cube1,$H$13,$H$14,$H$15,$H$17,AN$2,$H$16,$B33)</f>
        <v>0</v>
      </c>
      <c r="AO33" s="70">
        <f ca="1">_xll.DBRW(Server&amp;Cube1,$H$13,$H$14,$H$15,$H$17,AO$2,$H$16,$B33)</f>
        <v>0</v>
      </c>
      <c r="AP33" s="71">
        <f ca="1">_xll.DBRW(Server&amp;Cube1,$H$13,$H$14,$H$15,$H$17,AP$2,$H$16,$B33)</f>
        <v>0</v>
      </c>
    </row>
    <row r="34" spans="1:42" ht="21" customHeight="1" x14ac:dyDescent="0.25">
      <c r="A34"/>
      <c r="B34" s="138">
        <v>751100</v>
      </c>
      <c r="C34" s="12"/>
      <c r="D34" s="21"/>
      <c r="E34" s="169"/>
      <c r="F34" s="105"/>
      <c r="G34" s="319" t="s">
        <v>102</v>
      </c>
      <c r="H34" s="319"/>
      <c r="I34" s="127"/>
      <c r="J34" s="137"/>
      <c r="K34" s="127"/>
      <c r="L34" s="137"/>
      <c r="M34" s="134"/>
      <c r="N34" s="108">
        <f ca="1">_xll.DBRW(Server&amp;Cube1,$H$13,$H$14,$H$15,$N$3,N$2,$H$16,$B34)</f>
        <v>0</v>
      </c>
      <c r="O34" s="135"/>
      <c r="P34" s="151">
        <v>0</v>
      </c>
      <c r="Q34" s="152">
        <v>0</v>
      </c>
      <c r="R34" s="152">
        <v>0</v>
      </c>
      <c r="S34" s="152">
        <v>0</v>
      </c>
      <c r="T34" s="152">
        <v>0</v>
      </c>
      <c r="U34" s="152">
        <v>0</v>
      </c>
      <c r="V34" s="152">
        <v>0</v>
      </c>
      <c r="W34" s="152">
        <v>0</v>
      </c>
      <c r="X34" s="152">
        <v>0</v>
      </c>
      <c r="Y34" s="152">
        <v>0</v>
      </c>
      <c r="Z34" s="152">
        <v>0</v>
      </c>
      <c r="AA34" s="159">
        <v>0</v>
      </c>
      <c r="AB34" s="31"/>
      <c r="AE34" s="90">
        <f ca="1">IF($AE$3=1,_xll.DBSW(P34,Server&amp;Cube1,$H$13,$H$14,$H$15,$AE$1,AE$2,$H$16,$B34),_xll.DBRW(Server&amp;Cube1,$H$13,$H$14,$H$15,$AE$1,AE$2,$H$16,$B34))</f>
        <v>0</v>
      </c>
      <c r="AF34" s="90">
        <f ca="1">IF($AE$3=1,_xll.DBSW(Q34,Server&amp;Cube1,$H$13,$H$14,$H$15,$AE$1,AF$2,$H$16,$B34),_xll.DBRW(Server&amp;Cube1,$H$13,$H$14,$H$15,$AE$1,AF$2,$H$16,$B34))</f>
        <v>0</v>
      </c>
      <c r="AG34" s="90">
        <f ca="1">IF($AE$3=1,_xll.DBSW(R34,Server&amp;Cube1,$H$13,$H$14,$H$15,$AE$1,AG$2,$H$16,$B34),_xll.DBRW(Server&amp;Cube1,$H$13,$H$14,$H$15,$AE$1,AG$2,$H$16,$B34))</f>
        <v>0</v>
      </c>
      <c r="AH34" s="90">
        <f ca="1">IF($AE$3=1,_xll.DBSW(S34,Server&amp;Cube1,$H$13,$H$14,$H$15,$AE$1,AH$2,$H$16,$B34),_xll.DBRW(Server&amp;Cube1,$H$13,$H$14,$H$15,$AE$1,AH$2,$H$16,$B34))</f>
        <v>0</v>
      </c>
      <c r="AI34" s="90">
        <f ca="1">IF($AE$3=1,_xll.DBSW(T34,Server&amp;Cube1,$H$13,$H$14,$H$15,$AE$1,AI$2,$H$16,$B34),_xll.DBRW(Server&amp;Cube1,$H$13,$H$14,$H$15,$AE$1,AI$2,$H$16,$B34))</f>
        <v>0</v>
      </c>
      <c r="AJ34" s="90">
        <f ca="1">IF($AE$3=1,_xll.DBSW(U34,Server&amp;Cube1,$H$13,$H$14,$H$15,$AE$1,AJ$2,$H$16,$B34),_xll.DBRW(Server&amp;Cube1,$H$13,$H$14,$H$15,$AE$1,AJ$2,$H$16,$B34))</f>
        <v>0</v>
      </c>
      <c r="AK34" s="90">
        <f ca="1">IF($AE$3=1,_xll.DBSW(V34,Server&amp;Cube1,$H$13,$H$14,$H$15,$AE$1,AK$2,$H$16,$B34),_xll.DBRW(Server&amp;Cube1,$H$13,$H$14,$H$15,$AE$1,AK$2,$H$16,$B34))</f>
        <v>0</v>
      </c>
      <c r="AL34" s="90">
        <f ca="1">IF($AE$3=1,_xll.DBSW(W34,Server&amp;Cube1,$H$13,$H$14,$H$15,$AE$1,AL$2,$H$16,$B34),_xll.DBRW(Server&amp;Cube1,$H$13,$H$14,$H$15,$AE$1,AL$2,$H$16,$B34))</f>
        <v>0</v>
      </c>
      <c r="AM34" s="90">
        <f ca="1">IF($AE$3=1,_xll.DBSW(X34,Server&amp;Cube1,$H$13,$H$14,$H$15,$AE$1,AM$2,$H$16,$B34),_xll.DBRW(Server&amp;Cube1,$H$13,$H$14,$H$15,$AE$1,AM$2,$H$16,$B34))</f>
        <v>0</v>
      </c>
      <c r="AN34" s="90">
        <f ca="1">IF($AE$3=1,_xll.DBSW(Y34,Server&amp;Cube1,$H$13,$H$14,$H$15,$AE$1,AN$2,$H$16,$B34),_xll.DBRW(Server&amp;Cube1,$H$13,$H$14,$H$15,$AE$1,AN$2,$H$16,$B34))</f>
        <v>0</v>
      </c>
      <c r="AO34" s="90">
        <f ca="1">IF($AE$3=1,_xll.DBSW(Z34,Server&amp;Cube1,$H$13,$H$14,$H$15,$AE$1,AO$2,$H$16,$B34),_xll.DBRW(Server&amp;Cube1,$H$13,$H$14,$H$15,$AE$1,AO$2,$H$16,$B34))</f>
        <v>0</v>
      </c>
      <c r="AP34" s="90">
        <f ca="1">IF($AE$3=1,_xll.DBSW(AA34,Server&amp;Cube1,$H$13,$H$14,$H$15,$AE$1,AP$2,$H$16,$B34),_xll.DBRW(Server&amp;Cube1,$H$13,$H$14,$H$15,$AE$1,AP$2,$H$16,$B34))</f>
        <v>0</v>
      </c>
    </row>
    <row r="35" spans="1:42" ht="21" customHeight="1" x14ac:dyDescent="0.25">
      <c r="A35"/>
      <c r="B35" s="13" t="s">
        <v>24</v>
      </c>
      <c r="C35" s="13"/>
      <c r="D35" s="22"/>
      <c r="E35" s="171"/>
      <c r="F35" s="107"/>
      <c r="G35" s="305" t="str">
        <f ca="1">_xll.DBRA(Server&amp;$B$22,$B35,"French")</f>
        <v>R.R.R. sur prest. de service</v>
      </c>
      <c r="H35" s="305" t="str">
        <f ca="1">_xll.DBRA(Server&amp;$B$22,$B35,"French")</f>
        <v>R.R.R. sur prest. de service</v>
      </c>
      <c r="I35" s="37"/>
      <c r="J35" s="54">
        <f ca="1">_xll.DBRW(Server&amp;Cube1,$H$13,$J$3,$H$15,$J$1,$J$2,$H$16,$B35)</f>
        <v>0</v>
      </c>
      <c r="K35" s="37"/>
      <c r="L35" s="54">
        <f ca="1">_xll.DBRW(Server&amp;Cube1,$H$13,$L$3,$H$15,$L$1,$L$2,$H$16,$B35)</f>
        <v>0</v>
      </c>
      <c r="M35" s="55"/>
      <c r="N35" s="139">
        <f ca="1">_xll.DBRW(Server&amp;Cube1,$H$13,$H$14,$H$15,$N$1,N$2,$H$16,$B35)</f>
        <v>0</v>
      </c>
      <c r="O35" s="57"/>
      <c r="P35" s="156">
        <v>0</v>
      </c>
      <c r="Q35" s="157">
        <v>0</v>
      </c>
      <c r="R35" s="157">
        <v>0</v>
      </c>
      <c r="S35" s="157">
        <v>0</v>
      </c>
      <c r="T35" s="157">
        <v>0</v>
      </c>
      <c r="U35" s="157">
        <v>0</v>
      </c>
      <c r="V35" s="157">
        <v>0</v>
      </c>
      <c r="W35" s="157">
        <v>0</v>
      </c>
      <c r="X35" s="157">
        <v>0</v>
      </c>
      <c r="Y35" s="157">
        <v>0</v>
      </c>
      <c r="Z35" s="157">
        <v>0</v>
      </c>
      <c r="AA35" s="158">
        <v>0</v>
      </c>
      <c r="AB35" s="31"/>
      <c r="AE35" s="67">
        <f ca="1">_xll.DBRW(Server&amp;Cube1,$H$13,$H$14,$H$15,$H$17,AE$2,$H$16,$B35)</f>
        <v>0</v>
      </c>
      <c r="AF35" s="70">
        <f ca="1">_xll.DBRW(Server&amp;Cube1,$H$13,$H$14,$H$15,$H$17,AF$2,$H$16,$B35)</f>
        <v>0</v>
      </c>
      <c r="AG35" s="70">
        <f ca="1">_xll.DBRW(Server&amp;Cube1,$H$13,$H$14,$H$15,$H$17,AG$2,$H$16,$B35)</f>
        <v>0</v>
      </c>
      <c r="AH35" s="70">
        <f ca="1">_xll.DBRW(Server&amp;Cube1,$H$13,$H$14,$H$15,$H$17,AH$2,$H$16,$B35)</f>
        <v>0</v>
      </c>
      <c r="AI35" s="70">
        <f ca="1">_xll.DBRW(Server&amp;Cube1,$H$13,$H$14,$H$15,$H$17,AI$2,$H$16,$B35)</f>
        <v>0</v>
      </c>
      <c r="AJ35" s="70">
        <f ca="1">_xll.DBRW(Server&amp;Cube1,$H$13,$H$14,$H$15,$H$17,AJ$2,$H$16,$B35)</f>
        <v>0</v>
      </c>
      <c r="AK35" s="70">
        <f ca="1">_xll.DBRW(Server&amp;Cube1,$H$13,$H$14,$H$15,$H$17,AK$2,$H$16,$B35)</f>
        <v>0</v>
      </c>
      <c r="AL35" s="70">
        <f ca="1">_xll.DBRW(Server&amp;Cube1,$H$13,$H$14,$H$15,$H$17,AL$2,$H$16,$B35)</f>
        <v>0</v>
      </c>
      <c r="AM35" s="70">
        <f ca="1">_xll.DBRW(Server&amp;Cube1,$H$13,$H$14,$H$15,$H$17,AM$2,$H$16,$B35)</f>
        <v>0</v>
      </c>
      <c r="AN35" s="70">
        <f ca="1">_xll.DBRW(Server&amp;Cube1,$H$13,$H$14,$H$15,$H$17,AN$2,$H$16,$B35)</f>
        <v>0</v>
      </c>
      <c r="AO35" s="70">
        <f ca="1">_xll.DBRW(Server&amp;Cube1,$H$13,$H$14,$H$15,$H$17,AO$2,$H$16,$B35)</f>
        <v>0</v>
      </c>
      <c r="AP35" s="71">
        <f ca="1">_xll.DBRW(Server&amp;Cube1,$H$13,$H$14,$H$15,$H$17,AP$2,$H$16,$B35)</f>
        <v>0</v>
      </c>
    </row>
    <row r="36" spans="1:42" ht="21" customHeight="1" x14ac:dyDescent="0.25">
      <c r="A36"/>
      <c r="B36" s="138" t="s">
        <v>24</v>
      </c>
      <c r="C36" s="12"/>
      <c r="D36" s="21"/>
      <c r="E36" s="169"/>
      <c r="F36" s="105"/>
      <c r="G36" s="319" t="s">
        <v>102</v>
      </c>
      <c r="H36" s="319"/>
      <c r="I36" s="127"/>
      <c r="J36" s="137"/>
      <c r="K36" s="127"/>
      <c r="L36" s="137"/>
      <c r="M36" s="134"/>
      <c r="N36" s="108">
        <f ca="1">_xll.DBRW(Server&amp;Cube1,$H$13,$H$14,$H$15,$N$3,N$2,$H$16,$B36)</f>
        <v>0</v>
      </c>
      <c r="O36" s="135"/>
      <c r="P36" s="151">
        <v>0</v>
      </c>
      <c r="Q36" s="152">
        <v>0</v>
      </c>
      <c r="R36" s="152">
        <v>0</v>
      </c>
      <c r="S36" s="152">
        <v>0</v>
      </c>
      <c r="T36" s="152">
        <v>0</v>
      </c>
      <c r="U36" s="152">
        <v>0</v>
      </c>
      <c r="V36" s="152">
        <v>0</v>
      </c>
      <c r="W36" s="152">
        <v>0</v>
      </c>
      <c r="X36" s="152">
        <v>0</v>
      </c>
      <c r="Y36" s="152">
        <v>0</v>
      </c>
      <c r="Z36" s="152">
        <v>0</v>
      </c>
      <c r="AA36" s="159">
        <v>0</v>
      </c>
      <c r="AB36" s="31"/>
      <c r="AE36" s="90">
        <f ca="1">IF($AE$3=1,_xll.DBSW(P36,Server&amp;Cube1,$H$13,$H$14,$H$15,$AE$1,AE$2,$H$16,$B36),_xll.DBRW(Server&amp;Cube1,$H$13,$H$14,$H$15,$AE$1,AE$2,$H$16,$B36))</f>
        <v>0</v>
      </c>
      <c r="AF36" s="90">
        <f ca="1">IF($AE$3=1,_xll.DBSW(Q36,Server&amp;Cube1,$H$13,$H$14,$H$15,$AE$1,AF$2,$H$16,$B36),_xll.DBRW(Server&amp;Cube1,$H$13,$H$14,$H$15,$AE$1,AF$2,$H$16,$B36))</f>
        <v>0</v>
      </c>
      <c r="AG36" s="90">
        <f ca="1">IF($AE$3=1,_xll.DBSW(R36,Server&amp;Cube1,$H$13,$H$14,$H$15,$AE$1,AG$2,$H$16,$B36),_xll.DBRW(Server&amp;Cube1,$H$13,$H$14,$H$15,$AE$1,AG$2,$H$16,$B36))</f>
        <v>0</v>
      </c>
      <c r="AH36" s="90">
        <f ca="1">IF($AE$3=1,_xll.DBSW(S36,Server&amp;Cube1,$H$13,$H$14,$H$15,$AE$1,AH$2,$H$16,$B36),_xll.DBRW(Server&amp;Cube1,$H$13,$H$14,$H$15,$AE$1,AH$2,$H$16,$B36))</f>
        <v>0</v>
      </c>
      <c r="AI36" s="90">
        <f ca="1">IF($AE$3=1,_xll.DBSW(T36,Server&amp;Cube1,$H$13,$H$14,$H$15,$AE$1,AI$2,$H$16,$B36),_xll.DBRW(Server&amp;Cube1,$H$13,$H$14,$H$15,$AE$1,AI$2,$H$16,$B36))</f>
        <v>0</v>
      </c>
      <c r="AJ36" s="90">
        <f ca="1">IF($AE$3=1,_xll.DBSW(U36,Server&amp;Cube1,$H$13,$H$14,$H$15,$AE$1,AJ$2,$H$16,$B36),_xll.DBRW(Server&amp;Cube1,$H$13,$H$14,$H$15,$AE$1,AJ$2,$H$16,$B36))</f>
        <v>0</v>
      </c>
      <c r="AK36" s="90">
        <f ca="1">IF($AE$3=1,_xll.DBSW(V36,Server&amp;Cube1,$H$13,$H$14,$H$15,$AE$1,AK$2,$H$16,$B36),_xll.DBRW(Server&amp;Cube1,$H$13,$H$14,$H$15,$AE$1,AK$2,$H$16,$B36))</f>
        <v>0</v>
      </c>
      <c r="AL36" s="90">
        <f ca="1">IF($AE$3=1,_xll.DBSW(W36,Server&amp;Cube1,$H$13,$H$14,$H$15,$AE$1,AL$2,$H$16,$B36),_xll.DBRW(Server&amp;Cube1,$H$13,$H$14,$H$15,$AE$1,AL$2,$H$16,$B36))</f>
        <v>0</v>
      </c>
      <c r="AM36" s="90">
        <f ca="1">IF($AE$3=1,_xll.DBSW(X36,Server&amp;Cube1,$H$13,$H$14,$H$15,$AE$1,AM$2,$H$16,$B36),_xll.DBRW(Server&amp;Cube1,$H$13,$H$14,$H$15,$AE$1,AM$2,$H$16,$B36))</f>
        <v>0</v>
      </c>
      <c r="AN36" s="90">
        <f ca="1">IF($AE$3=1,_xll.DBSW(Y36,Server&amp;Cube1,$H$13,$H$14,$H$15,$AE$1,AN$2,$H$16,$B36),_xll.DBRW(Server&amp;Cube1,$H$13,$H$14,$H$15,$AE$1,AN$2,$H$16,$B36))</f>
        <v>0</v>
      </c>
      <c r="AO36" s="90">
        <f ca="1">IF($AE$3=1,_xll.DBSW(Z36,Server&amp;Cube1,$H$13,$H$14,$H$15,$AE$1,AO$2,$H$16,$B36),_xll.DBRW(Server&amp;Cube1,$H$13,$H$14,$H$15,$AE$1,AO$2,$H$16,$B36))</f>
        <v>0</v>
      </c>
      <c r="AP36" s="90">
        <f ca="1">IF($AE$3=1,_xll.DBSW(AA36,Server&amp;Cube1,$H$13,$H$14,$H$15,$AE$1,AP$2,$H$16,$B36),_xll.DBRW(Server&amp;Cube1,$H$13,$H$14,$H$15,$AE$1,AP$2,$H$16,$B36))</f>
        <v>0</v>
      </c>
    </row>
    <row r="37" spans="1:42" ht="3" customHeight="1" x14ac:dyDescent="0.25">
      <c r="A37"/>
      <c r="B37" s="11"/>
      <c r="C37" s="11"/>
      <c r="D37" s="20"/>
      <c r="E37" s="170"/>
      <c r="F37" s="106"/>
      <c r="G37" s="43"/>
      <c r="H37" s="43"/>
      <c r="I37" s="38"/>
      <c r="J37" s="62"/>
      <c r="K37" s="38"/>
      <c r="L37" s="62"/>
      <c r="M37" s="63"/>
      <c r="N37" s="113"/>
      <c r="O37" s="64"/>
      <c r="P37" s="153"/>
      <c r="Q37" s="154"/>
      <c r="R37" s="154"/>
      <c r="S37" s="154"/>
      <c r="T37" s="154"/>
      <c r="U37" s="154"/>
      <c r="V37" s="154"/>
      <c r="W37" s="154"/>
      <c r="X37" s="154"/>
      <c r="Y37" s="154"/>
      <c r="Z37" s="154"/>
      <c r="AA37" s="155"/>
      <c r="AB37" s="31"/>
    </row>
    <row r="38" spans="1:42" ht="21" customHeight="1" x14ac:dyDescent="0.25">
      <c r="A38"/>
      <c r="B38" s="12" t="s">
        <v>87</v>
      </c>
      <c r="C38" s="12"/>
      <c r="D38" s="21"/>
      <c r="E38" s="169"/>
      <c r="F38" s="105"/>
      <c r="G38" s="306" t="str">
        <f ca="1">_xll.DBRA(Server&amp;$B$22,$B38,"French")</f>
        <v>Autres produits des opérations courantes</v>
      </c>
      <c r="H38" s="306" t="str">
        <f ca="1">_xll.DBRA(Server&amp;$B$22,$B38,"French")</f>
        <v>Autres produits des opérations courantes</v>
      </c>
      <c r="I38" s="39"/>
      <c r="J38" s="67">
        <f ca="1">_xll.DBRW(Server&amp;Cube1,$H$13,$J$3,$H$15,$J$1,$J$2,$H$16,$B38)</f>
        <v>107661.2</v>
      </c>
      <c r="K38" s="39"/>
      <c r="L38" s="67">
        <f ca="1">_xll.DBRW(Server&amp;Cube1,$H$13,$L$3,$H$15,$L$1,$L$2,$H$16,$B38)</f>
        <v>0</v>
      </c>
      <c r="M38" s="68"/>
      <c r="N38" s="110">
        <f ca="1">_xll.DBRW(Server&amp;Cube1,$H$13,$H$14,$H$15,$N$1,N$2,$H$16,$B38)</f>
        <v>0</v>
      </c>
      <c r="O38" s="69"/>
      <c r="P38" s="148">
        <v>0</v>
      </c>
      <c r="Q38" s="149">
        <v>0</v>
      </c>
      <c r="R38" s="149">
        <v>0</v>
      </c>
      <c r="S38" s="149">
        <v>0</v>
      </c>
      <c r="T38" s="149">
        <v>0</v>
      </c>
      <c r="U38" s="149">
        <v>0</v>
      </c>
      <c r="V38" s="149">
        <v>0</v>
      </c>
      <c r="W38" s="149">
        <v>0</v>
      </c>
      <c r="X38" s="149">
        <v>0</v>
      </c>
      <c r="Y38" s="149">
        <v>0</v>
      </c>
      <c r="Z38" s="149">
        <v>0</v>
      </c>
      <c r="AA38" s="150">
        <v>0</v>
      </c>
      <c r="AB38" s="31"/>
      <c r="AE38" s="67">
        <f ca="1">_xll.DBRW(Server&amp;Cube1,$H$13,$H$14,$H$15,$H$17,AE$2,$H$16,$B38)</f>
        <v>0</v>
      </c>
      <c r="AF38" s="70">
        <f ca="1">_xll.DBRW(Server&amp;Cube1,$H$13,$H$14,$H$15,$H$17,AF$2,$H$16,$B38)</f>
        <v>0</v>
      </c>
      <c r="AG38" s="70">
        <f ca="1">_xll.DBRW(Server&amp;Cube1,$H$13,$H$14,$H$15,$H$17,AG$2,$H$16,$B38)</f>
        <v>0</v>
      </c>
      <c r="AH38" s="70">
        <f ca="1">_xll.DBRW(Server&amp;Cube1,$H$13,$H$14,$H$15,$H$17,AH$2,$H$16,$B38)</f>
        <v>0</v>
      </c>
      <c r="AI38" s="70">
        <f ca="1">_xll.DBRW(Server&amp;Cube1,$H$13,$H$14,$H$15,$H$17,AI$2,$H$16,$B38)</f>
        <v>0</v>
      </c>
      <c r="AJ38" s="70">
        <f ca="1">_xll.DBRW(Server&amp;Cube1,$H$13,$H$14,$H$15,$H$17,AJ$2,$H$16,$B38)</f>
        <v>0</v>
      </c>
      <c r="AK38" s="70">
        <f ca="1">_xll.DBRW(Server&amp;Cube1,$H$13,$H$14,$H$15,$H$17,AK$2,$H$16,$B38)</f>
        <v>0</v>
      </c>
      <c r="AL38" s="70">
        <f ca="1">_xll.DBRW(Server&amp;Cube1,$H$13,$H$14,$H$15,$H$17,AL$2,$H$16,$B38)</f>
        <v>0</v>
      </c>
      <c r="AM38" s="70">
        <f ca="1">_xll.DBRW(Server&amp;Cube1,$H$13,$H$14,$H$15,$H$17,AM$2,$H$16,$B38)</f>
        <v>0</v>
      </c>
      <c r="AN38" s="70">
        <f ca="1">_xll.DBRW(Server&amp;Cube1,$H$13,$H$14,$H$15,$H$17,AN$2,$H$16,$B38)</f>
        <v>0</v>
      </c>
      <c r="AO38" s="70">
        <f ca="1">_xll.DBRW(Server&amp;Cube1,$H$13,$H$14,$H$15,$H$17,AO$2,$H$16,$B38)</f>
        <v>0</v>
      </c>
      <c r="AP38" s="71">
        <f ca="1">_xll.DBRW(Server&amp;Cube1,$H$13,$H$14,$H$15,$H$17,AP$2,$H$16,$B38)</f>
        <v>0</v>
      </c>
    </row>
    <row r="39" spans="1:42" ht="21" customHeight="1" x14ac:dyDescent="0.25">
      <c r="A39"/>
      <c r="B39" s="13" t="s">
        <v>70</v>
      </c>
      <c r="C39" s="12"/>
      <c r="D39" s="22"/>
      <c r="E39" s="171"/>
      <c r="F39" s="107"/>
      <c r="G39" s="305" t="str">
        <f ca="1">_xll.DBRA(Server&amp;$B$22,$B39,"French")</f>
        <v>Cartes CQC (produit)</v>
      </c>
      <c r="H39" s="305" t="str">
        <f ca="1">_xll.DBRA(Server&amp;$B$22,$B39,"French")</f>
        <v>Cartes CQC (produit)</v>
      </c>
      <c r="I39" s="37"/>
      <c r="J39" s="54">
        <f ca="1">_xll.DBRW(Server&amp;Cube1,$H$13,$J$3,$H$15,$J$1,$J$2,$H$16,$B39)</f>
        <v>97.199999999999989</v>
      </c>
      <c r="K39" s="37"/>
      <c r="L39" s="54">
        <f ca="1">_xll.DBRW(Server&amp;Cube1,$H$13,$L$3,$H$15,$L$1,$L$2,$H$16,$B39)</f>
        <v>0</v>
      </c>
      <c r="M39" s="55"/>
      <c r="N39" s="139">
        <f ca="1">_xll.DBRW(Server&amp;Cube1,$H$13,$H$14,$H$15,$N$1,N$2,$H$16,$B39)</f>
        <v>0</v>
      </c>
      <c r="O39" s="57"/>
      <c r="P39" s="156">
        <v>0</v>
      </c>
      <c r="Q39" s="157">
        <v>0</v>
      </c>
      <c r="R39" s="157">
        <v>0</v>
      </c>
      <c r="S39" s="157">
        <v>0</v>
      </c>
      <c r="T39" s="157">
        <v>0</v>
      </c>
      <c r="U39" s="157">
        <v>0</v>
      </c>
      <c r="V39" s="157">
        <v>0</v>
      </c>
      <c r="W39" s="157">
        <v>0</v>
      </c>
      <c r="X39" s="157">
        <v>0</v>
      </c>
      <c r="Y39" s="157">
        <v>0</v>
      </c>
      <c r="Z39" s="157">
        <v>0</v>
      </c>
      <c r="AA39" s="158">
        <v>0</v>
      </c>
      <c r="AB39" s="31"/>
      <c r="AE39" s="67">
        <f ca="1">_xll.DBRW(Server&amp;Cube1,$H$13,$H$14,$H$15,$H$17,AE$2,$H$16,$B39)</f>
        <v>0</v>
      </c>
      <c r="AF39" s="70">
        <f ca="1">_xll.DBRW(Server&amp;Cube1,$H$13,$H$14,$H$15,$H$17,AF$2,$H$16,$B39)</f>
        <v>0</v>
      </c>
      <c r="AG39" s="70">
        <f ca="1">_xll.DBRW(Server&amp;Cube1,$H$13,$H$14,$H$15,$H$17,AG$2,$H$16,$B39)</f>
        <v>0</v>
      </c>
      <c r="AH39" s="70">
        <f ca="1">_xll.DBRW(Server&amp;Cube1,$H$13,$H$14,$H$15,$H$17,AH$2,$H$16,$B39)</f>
        <v>0</v>
      </c>
      <c r="AI39" s="70">
        <f ca="1">_xll.DBRW(Server&amp;Cube1,$H$13,$H$14,$H$15,$H$17,AI$2,$H$16,$B39)</f>
        <v>0</v>
      </c>
      <c r="AJ39" s="70">
        <f ca="1">_xll.DBRW(Server&amp;Cube1,$H$13,$H$14,$H$15,$H$17,AJ$2,$H$16,$B39)</f>
        <v>0</v>
      </c>
      <c r="AK39" s="70">
        <f ca="1">_xll.DBRW(Server&amp;Cube1,$H$13,$H$14,$H$15,$H$17,AK$2,$H$16,$B39)</f>
        <v>0</v>
      </c>
      <c r="AL39" s="70">
        <f ca="1">_xll.DBRW(Server&amp;Cube1,$H$13,$H$14,$H$15,$H$17,AL$2,$H$16,$B39)</f>
        <v>0</v>
      </c>
      <c r="AM39" s="70">
        <f ca="1">_xll.DBRW(Server&amp;Cube1,$H$13,$H$14,$H$15,$H$17,AM$2,$H$16,$B39)</f>
        <v>0</v>
      </c>
      <c r="AN39" s="70">
        <f ca="1">_xll.DBRW(Server&amp;Cube1,$H$13,$H$14,$H$15,$H$17,AN$2,$H$16,$B39)</f>
        <v>0</v>
      </c>
      <c r="AO39" s="70">
        <f ca="1">_xll.DBRW(Server&amp;Cube1,$H$13,$H$14,$H$15,$H$17,AO$2,$H$16,$B39)</f>
        <v>0</v>
      </c>
      <c r="AP39" s="71">
        <f ca="1">_xll.DBRW(Server&amp;Cube1,$H$13,$H$14,$H$15,$H$17,AP$2,$H$16,$B39)</f>
        <v>0</v>
      </c>
    </row>
    <row r="40" spans="1:42" ht="21" customHeight="1" x14ac:dyDescent="0.25">
      <c r="A40"/>
      <c r="B40" s="138" t="s">
        <v>70</v>
      </c>
      <c r="C40" s="12"/>
      <c r="D40" s="21"/>
      <c r="E40" s="169"/>
      <c r="F40" s="105"/>
      <c r="G40" s="319" t="s">
        <v>102</v>
      </c>
      <c r="H40" s="319"/>
      <c r="I40" s="127"/>
      <c r="J40" s="137"/>
      <c r="K40" s="127"/>
      <c r="L40" s="137"/>
      <c r="M40" s="134"/>
      <c r="N40" s="108">
        <f ca="1">_xll.DBRW(Server&amp;Cube1,$H$13,$H$14,$H$15,$N$3,N$2,$H$16,$B40)</f>
        <v>0</v>
      </c>
      <c r="O40" s="135"/>
      <c r="P40" s="151">
        <v>0</v>
      </c>
      <c r="Q40" s="152">
        <v>0</v>
      </c>
      <c r="R40" s="152">
        <v>0</v>
      </c>
      <c r="S40" s="152">
        <v>0</v>
      </c>
      <c r="T40" s="152">
        <v>0</v>
      </c>
      <c r="U40" s="152">
        <v>0</v>
      </c>
      <c r="V40" s="152">
        <v>0</v>
      </c>
      <c r="W40" s="152">
        <v>0</v>
      </c>
      <c r="X40" s="152">
        <v>0</v>
      </c>
      <c r="Y40" s="152">
        <v>0</v>
      </c>
      <c r="Z40" s="152">
        <v>0</v>
      </c>
      <c r="AA40" s="159">
        <v>0</v>
      </c>
      <c r="AB40" s="31"/>
      <c r="AE40" s="90">
        <f ca="1">IF($AE$3=1,_xll.DBSW(P40,Server&amp;Cube1,$H$13,$H$14,$H$15,$AE$1,AE$2,$H$16,$B40),_xll.DBRW(Server&amp;Cube1,$H$13,$H$14,$H$15,$AE$1,AE$2,$H$16,$B40))</f>
        <v>0</v>
      </c>
      <c r="AF40" s="90">
        <f ca="1">IF($AE$3=1,_xll.DBSW(Q40,Server&amp;Cube1,$H$13,$H$14,$H$15,$AE$1,AF$2,$H$16,$B40),_xll.DBRW(Server&amp;Cube1,$H$13,$H$14,$H$15,$AE$1,AF$2,$H$16,$B40))</f>
        <v>0</v>
      </c>
      <c r="AG40" s="90">
        <f ca="1">IF($AE$3=1,_xll.DBSW(R40,Server&amp;Cube1,$H$13,$H$14,$H$15,$AE$1,AG$2,$H$16,$B40),_xll.DBRW(Server&amp;Cube1,$H$13,$H$14,$H$15,$AE$1,AG$2,$H$16,$B40))</f>
        <v>0</v>
      </c>
      <c r="AH40" s="90">
        <f ca="1">IF($AE$3=1,_xll.DBSW(S40,Server&amp;Cube1,$H$13,$H$14,$H$15,$AE$1,AH$2,$H$16,$B40),_xll.DBRW(Server&amp;Cube1,$H$13,$H$14,$H$15,$AE$1,AH$2,$H$16,$B40))</f>
        <v>0</v>
      </c>
      <c r="AI40" s="90">
        <f ca="1">IF($AE$3=1,_xll.DBSW(T40,Server&amp;Cube1,$H$13,$H$14,$H$15,$AE$1,AI$2,$H$16,$B40),_xll.DBRW(Server&amp;Cube1,$H$13,$H$14,$H$15,$AE$1,AI$2,$H$16,$B40))</f>
        <v>0</v>
      </c>
      <c r="AJ40" s="90">
        <f ca="1">IF($AE$3=1,_xll.DBSW(U40,Server&amp;Cube1,$H$13,$H$14,$H$15,$AE$1,AJ$2,$H$16,$B40),_xll.DBRW(Server&amp;Cube1,$H$13,$H$14,$H$15,$AE$1,AJ$2,$H$16,$B40))</f>
        <v>0</v>
      </c>
      <c r="AK40" s="90">
        <f ca="1">IF($AE$3=1,_xll.DBSW(V40,Server&amp;Cube1,$H$13,$H$14,$H$15,$AE$1,AK$2,$H$16,$B40),_xll.DBRW(Server&amp;Cube1,$H$13,$H$14,$H$15,$AE$1,AK$2,$H$16,$B40))</f>
        <v>0</v>
      </c>
      <c r="AL40" s="90">
        <f ca="1">IF($AE$3=1,_xll.DBSW(W40,Server&amp;Cube1,$H$13,$H$14,$H$15,$AE$1,AL$2,$H$16,$B40),_xll.DBRW(Server&amp;Cube1,$H$13,$H$14,$H$15,$AE$1,AL$2,$H$16,$B40))</f>
        <v>0</v>
      </c>
      <c r="AM40" s="90">
        <f ca="1">IF($AE$3=1,_xll.DBSW(X40,Server&amp;Cube1,$H$13,$H$14,$H$15,$AE$1,AM$2,$H$16,$B40),_xll.DBRW(Server&amp;Cube1,$H$13,$H$14,$H$15,$AE$1,AM$2,$H$16,$B40))</f>
        <v>0</v>
      </c>
      <c r="AN40" s="90">
        <f ca="1">IF($AE$3=1,_xll.DBSW(Y40,Server&amp;Cube1,$H$13,$H$14,$H$15,$AE$1,AN$2,$H$16,$B40),_xll.DBRW(Server&amp;Cube1,$H$13,$H$14,$H$15,$AE$1,AN$2,$H$16,$B40))</f>
        <v>0</v>
      </c>
      <c r="AO40" s="90">
        <f ca="1">IF($AE$3=1,_xll.DBSW(Z40,Server&amp;Cube1,$H$13,$H$14,$H$15,$AE$1,AO$2,$H$16,$B40),_xll.DBRW(Server&amp;Cube1,$H$13,$H$14,$H$15,$AE$1,AO$2,$H$16,$B40))</f>
        <v>0</v>
      </c>
      <c r="AP40" s="90">
        <f ca="1">IF($AE$3=1,_xll.DBSW(AA40,Server&amp;Cube1,$H$13,$H$14,$H$15,$AE$1,AP$2,$H$16,$B40),_xll.DBRW(Server&amp;Cube1,$H$13,$H$14,$H$15,$AE$1,AP$2,$H$16,$B40))</f>
        <v>0</v>
      </c>
    </row>
    <row r="41" spans="1:42" ht="21" customHeight="1" x14ac:dyDescent="0.25">
      <c r="A41"/>
      <c r="B41" s="13" t="s">
        <v>71</v>
      </c>
      <c r="C41" s="12"/>
      <c r="D41" s="22"/>
      <c r="E41" s="171"/>
      <c r="F41" s="107"/>
      <c r="G41" s="305" t="str">
        <f ca="1">_xll.DBRA(Server&amp;$B$22,$B41,"French")</f>
        <v>Frais de déplacement stagiaires / jour</v>
      </c>
      <c r="H41" s="305" t="str">
        <f ca="1">_xll.DBRA(Server&amp;$B$22,$B41,"French")</f>
        <v>Frais de déplacement stagiaires / jour</v>
      </c>
      <c r="I41" s="72"/>
      <c r="J41" s="54">
        <f ca="1">_xll.DBRW(Server&amp;Cube1,$H$13,$J$3,$H$15,$J$1,$J$2,$H$16,$B41)</f>
        <v>107564</v>
      </c>
      <c r="K41" s="37"/>
      <c r="L41" s="54">
        <f ca="1">_xll.DBRW(Server&amp;Cube1,$H$13,$L$3,$H$15,$L$1,$L$2,$H$16,$B41)</f>
        <v>0</v>
      </c>
      <c r="M41" s="55"/>
      <c r="N41" s="139">
        <f ca="1">_xll.DBRW(Server&amp;Cube1,$H$13,$H$14,$H$15,$N$1,N$2,$H$16,$B41)</f>
        <v>0</v>
      </c>
      <c r="O41" s="57"/>
      <c r="P41" s="156">
        <v>0</v>
      </c>
      <c r="Q41" s="157">
        <v>0</v>
      </c>
      <c r="R41" s="157">
        <v>0</v>
      </c>
      <c r="S41" s="157">
        <v>0</v>
      </c>
      <c r="T41" s="157">
        <v>0</v>
      </c>
      <c r="U41" s="157">
        <v>0</v>
      </c>
      <c r="V41" s="157">
        <v>0</v>
      </c>
      <c r="W41" s="157">
        <v>0</v>
      </c>
      <c r="X41" s="157">
        <v>0</v>
      </c>
      <c r="Y41" s="157">
        <v>0</v>
      </c>
      <c r="Z41" s="157">
        <v>0</v>
      </c>
      <c r="AA41" s="158">
        <v>0</v>
      </c>
      <c r="AB41" s="31"/>
      <c r="AE41" s="67">
        <f ca="1">_xll.DBRW(Server&amp;Cube1,$H$13,$H$14,$H$15,$H$17,AE$2,$H$16,$B41)</f>
        <v>0</v>
      </c>
      <c r="AF41" s="70">
        <f ca="1">_xll.DBRW(Server&amp;Cube1,$H$13,$H$14,$H$15,$H$17,AF$2,$H$16,$B41)</f>
        <v>0</v>
      </c>
      <c r="AG41" s="70">
        <f ca="1">_xll.DBRW(Server&amp;Cube1,$H$13,$H$14,$H$15,$H$17,AG$2,$H$16,$B41)</f>
        <v>0</v>
      </c>
      <c r="AH41" s="70">
        <f ca="1">_xll.DBRW(Server&amp;Cube1,$H$13,$H$14,$H$15,$H$17,AH$2,$H$16,$B41)</f>
        <v>0</v>
      </c>
      <c r="AI41" s="70">
        <f ca="1">_xll.DBRW(Server&amp;Cube1,$H$13,$H$14,$H$15,$H$17,AI$2,$H$16,$B41)</f>
        <v>0</v>
      </c>
      <c r="AJ41" s="70">
        <f ca="1">_xll.DBRW(Server&amp;Cube1,$H$13,$H$14,$H$15,$H$17,AJ$2,$H$16,$B41)</f>
        <v>0</v>
      </c>
      <c r="AK41" s="70">
        <f ca="1">_xll.DBRW(Server&amp;Cube1,$H$13,$H$14,$H$15,$H$17,AK$2,$H$16,$B41)</f>
        <v>0</v>
      </c>
      <c r="AL41" s="70">
        <f ca="1">_xll.DBRW(Server&amp;Cube1,$H$13,$H$14,$H$15,$H$17,AL$2,$H$16,$B41)</f>
        <v>0</v>
      </c>
      <c r="AM41" s="70">
        <f ca="1">_xll.DBRW(Server&amp;Cube1,$H$13,$H$14,$H$15,$H$17,AM$2,$H$16,$B41)</f>
        <v>0</v>
      </c>
      <c r="AN41" s="70">
        <f ca="1">_xll.DBRW(Server&amp;Cube1,$H$13,$H$14,$H$15,$H$17,AN$2,$H$16,$B41)</f>
        <v>0</v>
      </c>
      <c r="AO41" s="70">
        <f ca="1">_xll.DBRW(Server&amp;Cube1,$H$13,$H$14,$H$15,$H$17,AO$2,$H$16,$B41)</f>
        <v>0</v>
      </c>
      <c r="AP41" s="71">
        <f ca="1">_xll.DBRW(Server&amp;Cube1,$H$13,$H$14,$H$15,$H$17,AP$2,$H$16,$B41)</f>
        <v>0</v>
      </c>
    </row>
    <row r="42" spans="1:42" ht="21" customHeight="1" x14ac:dyDescent="0.25">
      <c r="A42"/>
      <c r="B42" s="143" t="s">
        <v>71</v>
      </c>
      <c r="C42" s="12"/>
      <c r="D42" s="21"/>
      <c r="E42" s="169"/>
      <c r="F42" s="105"/>
      <c r="G42" s="319" t="s">
        <v>102</v>
      </c>
      <c r="H42" s="319"/>
      <c r="I42" s="127"/>
      <c r="J42" s="137"/>
      <c r="K42" s="127"/>
      <c r="L42" s="137"/>
      <c r="M42" s="134"/>
      <c r="N42" s="108">
        <f ca="1">_xll.DBRW(Server&amp;Cube1,$H$13,$H$14,$H$15,$N$3,N$2,$H$16,$B42)</f>
        <v>0</v>
      </c>
      <c r="O42" s="135"/>
      <c r="P42" s="151">
        <v>0</v>
      </c>
      <c r="Q42" s="152">
        <v>0</v>
      </c>
      <c r="R42" s="152">
        <v>0</v>
      </c>
      <c r="S42" s="152">
        <v>0</v>
      </c>
      <c r="T42" s="152">
        <v>0</v>
      </c>
      <c r="U42" s="152">
        <v>0</v>
      </c>
      <c r="V42" s="152">
        <v>0</v>
      </c>
      <c r="W42" s="152">
        <v>0</v>
      </c>
      <c r="X42" s="152">
        <v>0</v>
      </c>
      <c r="Y42" s="152">
        <v>0</v>
      </c>
      <c r="Z42" s="152">
        <v>0</v>
      </c>
      <c r="AA42" s="159">
        <v>0</v>
      </c>
      <c r="AB42" s="31"/>
      <c r="AE42" s="90">
        <f ca="1">IF($AE$3=1,_xll.DBSW(P42,Server&amp;Cube1,$H$13,$H$14,$H$15,$AE$1,AE$2,$H$16,$B42),_xll.DBRW(Server&amp;Cube1,$H$13,$H$14,$H$15,$AE$1,AE$2,$H$16,$B42))</f>
        <v>0</v>
      </c>
      <c r="AF42" s="90">
        <f ca="1">IF($AE$3=1,_xll.DBSW(Q42,Server&amp;Cube1,$H$13,$H$14,$H$15,$AE$1,AF$2,$H$16,$B42),_xll.DBRW(Server&amp;Cube1,$H$13,$H$14,$H$15,$AE$1,AF$2,$H$16,$B42))</f>
        <v>0</v>
      </c>
      <c r="AG42" s="90">
        <f ca="1">IF($AE$3=1,_xll.DBSW(R42,Server&amp;Cube1,$H$13,$H$14,$H$15,$AE$1,AG$2,$H$16,$B42),_xll.DBRW(Server&amp;Cube1,$H$13,$H$14,$H$15,$AE$1,AG$2,$H$16,$B42))</f>
        <v>0</v>
      </c>
      <c r="AH42" s="90">
        <f ca="1">IF($AE$3=1,_xll.DBSW(S42,Server&amp;Cube1,$H$13,$H$14,$H$15,$AE$1,AH$2,$H$16,$B42),_xll.DBRW(Server&amp;Cube1,$H$13,$H$14,$H$15,$AE$1,AH$2,$H$16,$B42))</f>
        <v>0</v>
      </c>
      <c r="AI42" s="90">
        <f ca="1">IF($AE$3=1,_xll.DBSW(T42,Server&amp;Cube1,$H$13,$H$14,$H$15,$AE$1,AI$2,$H$16,$B42),_xll.DBRW(Server&amp;Cube1,$H$13,$H$14,$H$15,$AE$1,AI$2,$H$16,$B42))</f>
        <v>0</v>
      </c>
      <c r="AJ42" s="90">
        <f ca="1">IF($AE$3=1,_xll.DBSW(U42,Server&amp;Cube1,$H$13,$H$14,$H$15,$AE$1,AJ$2,$H$16,$B42),_xll.DBRW(Server&amp;Cube1,$H$13,$H$14,$H$15,$AE$1,AJ$2,$H$16,$B42))</f>
        <v>0</v>
      </c>
      <c r="AK42" s="90">
        <f ca="1">IF($AE$3=1,_xll.DBSW(V42,Server&amp;Cube1,$H$13,$H$14,$H$15,$AE$1,AK$2,$H$16,$B42),_xll.DBRW(Server&amp;Cube1,$H$13,$H$14,$H$15,$AE$1,AK$2,$H$16,$B42))</f>
        <v>0</v>
      </c>
      <c r="AL42" s="90">
        <f ca="1">IF($AE$3=1,_xll.DBSW(W42,Server&amp;Cube1,$H$13,$H$14,$H$15,$AE$1,AL$2,$H$16,$B42),_xll.DBRW(Server&amp;Cube1,$H$13,$H$14,$H$15,$AE$1,AL$2,$H$16,$B42))</f>
        <v>0</v>
      </c>
      <c r="AM42" s="90">
        <f ca="1">IF($AE$3=1,_xll.DBSW(X42,Server&amp;Cube1,$H$13,$H$14,$H$15,$AE$1,AM$2,$H$16,$B42),_xll.DBRW(Server&amp;Cube1,$H$13,$H$14,$H$15,$AE$1,AM$2,$H$16,$B42))</f>
        <v>0</v>
      </c>
      <c r="AN42" s="90">
        <f ca="1">IF($AE$3=1,_xll.DBSW(Y42,Server&amp;Cube1,$H$13,$H$14,$H$15,$AE$1,AN$2,$H$16,$B42),_xll.DBRW(Server&amp;Cube1,$H$13,$H$14,$H$15,$AE$1,AN$2,$H$16,$B42))</f>
        <v>0</v>
      </c>
      <c r="AO42" s="90">
        <f ca="1">IF($AE$3=1,_xll.DBSW(Z42,Server&amp;Cube1,$H$13,$H$14,$H$15,$AE$1,AO$2,$H$16,$B42),_xll.DBRW(Server&amp;Cube1,$H$13,$H$14,$H$15,$AE$1,AO$2,$H$16,$B42))</f>
        <v>0</v>
      </c>
      <c r="AP42" s="90">
        <f ca="1">IF($AE$3=1,_xll.DBSW(AA42,Server&amp;Cube1,$H$13,$H$14,$H$15,$AE$1,AP$2,$H$16,$B42),_xll.DBRW(Server&amp;Cube1,$H$13,$H$14,$H$15,$AE$1,AP$2,$H$16,$B42))</f>
        <v>0</v>
      </c>
    </row>
    <row r="43" spans="1:42" ht="21" customHeight="1" x14ac:dyDescent="0.25">
      <c r="A43"/>
      <c r="B43" s="13" t="s">
        <v>72</v>
      </c>
      <c r="C43" s="12"/>
      <c r="D43" s="22"/>
      <c r="E43" s="171"/>
      <c r="F43" s="107"/>
      <c r="G43" s="305" t="str">
        <f ca="1">_xll.DBRA(Server&amp;$B$22,$B43,"French")</f>
        <v>Autres</v>
      </c>
      <c r="H43" s="305" t="str">
        <f ca="1">_xll.DBRA(Server&amp;$B$22,$B43,"French")</f>
        <v>Autres</v>
      </c>
      <c r="I43" s="72"/>
      <c r="J43" s="54">
        <f ca="1">_xll.DBRW(Server&amp;Cube1,$H$13,$J$3,$H$15,$J$1,$J$2,$H$16,$B43)</f>
        <v>0</v>
      </c>
      <c r="K43" s="37"/>
      <c r="L43" s="54">
        <f ca="1">_xll.DBRW(Server&amp;Cube1,$H$13,$L$3,$H$15,$L$1,$L$2,$H$16,$B43)</f>
        <v>0</v>
      </c>
      <c r="M43" s="55"/>
      <c r="N43" s="139">
        <f ca="1">_xll.DBRW(Server&amp;Cube1,$H$13,$H$14,$H$15,$N$1,N$2,$H$16,$B43)</f>
        <v>0</v>
      </c>
      <c r="O43" s="57"/>
      <c r="P43" s="156">
        <v>0</v>
      </c>
      <c r="Q43" s="157">
        <v>0</v>
      </c>
      <c r="R43" s="157">
        <v>0</v>
      </c>
      <c r="S43" s="157">
        <v>0</v>
      </c>
      <c r="T43" s="157">
        <v>0</v>
      </c>
      <c r="U43" s="157">
        <v>0</v>
      </c>
      <c r="V43" s="157">
        <v>0</v>
      </c>
      <c r="W43" s="157">
        <v>0</v>
      </c>
      <c r="X43" s="157">
        <v>0</v>
      </c>
      <c r="Y43" s="157">
        <v>0</v>
      </c>
      <c r="Z43" s="157">
        <v>0</v>
      </c>
      <c r="AA43" s="158">
        <v>0</v>
      </c>
      <c r="AB43" s="31"/>
      <c r="AE43" s="67">
        <f ca="1">_xll.DBRW(Server&amp;Cube1,$H$13,$H$14,$H$15,$H$17,AE$2,$H$16,$B43)</f>
        <v>0</v>
      </c>
      <c r="AF43" s="70">
        <f ca="1">_xll.DBRW(Server&amp;Cube1,$H$13,$H$14,$H$15,$H$17,AF$2,$H$16,$B43)</f>
        <v>0</v>
      </c>
      <c r="AG43" s="70">
        <f ca="1">_xll.DBRW(Server&amp;Cube1,$H$13,$H$14,$H$15,$H$17,AG$2,$H$16,$B43)</f>
        <v>0</v>
      </c>
      <c r="AH43" s="70">
        <f ca="1">_xll.DBRW(Server&amp;Cube1,$H$13,$H$14,$H$15,$H$17,AH$2,$H$16,$B43)</f>
        <v>0</v>
      </c>
      <c r="AI43" s="70">
        <f ca="1">_xll.DBRW(Server&amp;Cube1,$H$13,$H$14,$H$15,$H$17,AI$2,$H$16,$B43)</f>
        <v>0</v>
      </c>
      <c r="AJ43" s="70">
        <f ca="1">_xll.DBRW(Server&amp;Cube1,$H$13,$H$14,$H$15,$H$17,AJ$2,$H$16,$B43)</f>
        <v>0</v>
      </c>
      <c r="AK43" s="70">
        <f ca="1">_xll.DBRW(Server&amp;Cube1,$H$13,$H$14,$H$15,$H$17,AK$2,$H$16,$B43)</f>
        <v>0</v>
      </c>
      <c r="AL43" s="70">
        <f ca="1">_xll.DBRW(Server&amp;Cube1,$H$13,$H$14,$H$15,$H$17,AL$2,$H$16,$B43)</f>
        <v>0</v>
      </c>
      <c r="AM43" s="70">
        <f ca="1">_xll.DBRW(Server&amp;Cube1,$H$13,$H$14,$H$15,$H$17,AM$2,$H$16,$B43)</f>
        <v>0</v>
      </c>
      <c r="AN43" s="70">
        <f ca="1">_xll.DBRW(Server&amp;Cube1,$H$13,$H$14,$H$15,$H$17,AN$2,$H$16,$B43)</f>
        <v>0</v>
      </c>
      <c r="AO43" s="70">
        <f ca="1">_xll.DBRW(Server&amp;Cube1,$H$13,$H$14,$H$15,$H$17,AO$2,$H$16,$B43)</f>
        <v>0</v>
      </c>
      <c r="AP43" s="71">
        <f ca="1">_xll.DBRW(Server&amp;Cube1,$H$13,$H$14,$H$15,$H$17,AP$2,$H$16,$B43)</f>
        <v>0</v>
      </c>
    </row>
    <row r="44" spans="1:42" ht="21" customHeight="1" x14ac:dyDescent="0.25">
      <c r="A44"/>
      <c r="B44" s="144" t="s">
        <v>72</v>
      </c>
      <c r="C44" s="12"/>
      <c r="D44" s="21"/>
      <c r="E44" s="169"/>
      <c r="F44" s="105"/>
      <c r="G44" s="319" t="s">
        <v>102</v>
      </c>
      <c r="H44" s="319"/>
      <c r="I44" s="127"/>
      <c r="J44" s="137"/>
      <c r="K44" s="127"/>
      <c r="L44" s="137"/>
      <c r="M44" s="134"/>
      <c r="N44" s="140">
        <f ca="1">_xll.DBRW(Server&amp;Cube1,$H$13,$H$14,$H$15,$N$3,N$2,$H$16,$B44)</f>
        <v>0</v>
      </c>
      <c r="O44" s="135"/>
      <c r="P44" s="151">
        <v>0</v>
      </c>
      <c r="Q44" s="152">
        <v>0</v>
      </c>
      <c r="R44" s="152">
        <v>0</v>
      </c>
      <c r="S44" s="152">
        <v>0</v>
      </c>
      <c r="T44" s="152">
        <v>0</v>
      </c>
      <c r="U44" s="152">
        <v>0</v>
      </c>
      <c r="V44" s="152">
        <v>0</v>
      </c>
      <c r="W44" s="152">
        <v>0</v>
      </c>
      <c r="X44" s="152">
        <v>0</v>
      </c>
      <c r="Y44" s="152">
        <v>0</v>
      </c>
      <c r="Z44" s="152">
        <v>0</v>
      </c>
      <c r="AA44" s="159">
        <v>0</v>
      </c>
      <c r="AB44" s="31"/>
      <c r="AE44" s="90">
        <f ca="1">IF($AE$3=1,_xll.DBSW(P44,Server&amp;Cube1,$H$13,$H$14,$H$15,$AE$1,AE$2,$H$16,$B44),_xll.DBRW(Server&amp;Cube1,$H$13,$H$14,$H$15,$AE$1,AE$2,$H$16,$B44))</f>
        <v>0</v>
      </c>
      <c r="AF44" s="90">
        <f ca="1">IF($AE$3=1,_xll.DBSW(Q44,Server&amp;Cube1,$H$13,$H$14,$H$15,$AE$1,AF$2,$H$16,$B44),_xll.DBRW(Server&amp;Cube1,$H$13,$H$14,$H$15,$AE$1,AF$2,$H$16,$B44))</f>
        <v>0</v>
      </c>
      <c r="AG44" s="90">
        <f ca="1">IF($AE$3=1,_xll.DBSW(R44,Server&amp;Cube1,$H$13,$H$14,$H$15,$AE$1,AG$2,$H$16,$B44),_xll.DBRW(Server&amp;Cube1,$H$13,$H$14,$H$15,$AE$1,AG$2,$H$16,$B44))</f>
        <v>0</v>
      </c>
      <c r="AH44" s="90">
        <f ca="1">IF($AE$3=1,_xll.DBSW(S44,Server&amp;Cube1,$H$13,$H$14,$H$15,$AE$1,AH$2,$H$16,$B44),_xll.DBRW(Server&amp;Cube1,$H$13,$H$14,$H$15,$AE$1,AH$2,$H$16,$B44))</f>
        <v>0</v>
      </c>
      <c r="AI44" s="90">
        <f ca="1">IF($AE$3=1,_xll.DBSW(T44,Server&amp;Cube1,$H$13,$H$14,$H$15,$AE$1,AI$2,$H$16,$B44),_xll.DBRW(Server&amp;Cube1,$H$13,$H$14,$H$15,$AE$1,AI$2,$H$16,$B44))</f>
        <v>0</v>
      </c>
      <c r="AJ44" s="90">
        <f ca="1">IF($AE$3=1,_xll.DBSW(U44,Server&amp;Cube1,$H$13,$H$14,$H$15,$AE$1,AJ$2,$H$16,$B44),_xll.DBRW(Server&amp;Cube1,$H$13,$H$14,$H$15,$AE$1,AJ$2,$H$16,$B44))</f>
        <v>0</v>
      </c>
      <c r="AK44" s="90">
        <f ca="1">IF($AE$3=1,_xll.DBSW(V44,Server&amp;Cube1,$H$13,$H$14,$H$15,$AE$1,AK$2,$H$16,$B44),_xll.DBRW(Server&amp;Cube1,$H$13,$H$14,$H$15,$AE$1,AK$2,$H$16,$B44))</f>
        <v>0</v>
      </c>
      <c r="AL44" s="90">
        <f ca="1">IF($AE$3=1,_xll.DBSW(W44,Server&amp;Cube1,$H$13,$H$14,$H$15,$AE$1,AL$2,$H$16,$B44),_xll.DBRW(Server&amp;Cube1,$H$13,$H$14,$H$15,$AE$1,AL$2,$H$16,$B44))</f>
        <v>0</v>
      </c>
      <c r="AM44" s="90">
        <f ca="1">IF($AE$3=1,_xll.DBSW(X44,Server&amp;Cube1,$H$13,$H$14,$H$15,$AE$1,AM$2,$H$16,$B44),_xll.DBRW(Server&amp;Cube1,$H$13,$H$14,$H$15,$AE$1,AM$2,$H$16,$B44))</f>
        <v>0</v>
      </c>
      <c r="AN44" s="90">
        <f ca="1">IF($AE$3=1,_xll.DBSW(Y44,Server&amp;Cube1,$H$13,$H$14,$H$15,$AE$1,AN$2,$H$16,$B44),_xll.DBRW(Server&amp;Cube1,$H$13,$H$14,$H$15,$AE$1,AN$2,$H$16,$B44))</f>
        <v>0</v>
      </c>
      <c r="AO44" s="90">
        <f ca="1">IF($AE$3=1,_xll.DBSW(Z44,Server&amp;Cube1,$H$13,$H$14,$H$15,$AE$1,AO$2,$H$16,$B44),_xll.DBRW(Server&amp;Cube1,$H$13,$H$14,$H$15,$AE$1,AO$2,$H$16,$B44))</f>
        <v>0</v>
      </c>
      <c r="AP44" s="90">
        <f ca="1">IF($AE$3=1,_xll.DBSW(AA44,Server&amp;Cube1,$H$13,$H$14,$H$15,$AE$1,AP$2,$H$16,$B44),_xll.DBRW(Server&amp;Cube1,$H$13,$H$14,$H$15,$AE$1,AP$2,$H$16,$B44))</f>
        <v>0</v>
      </c>
    </row>
    <row r="45" spans="1:42" ht="2.25" customHeight="1" x14ac:dyDescent="0.25">
      <c r="A45"/>
      <c r="B45" s="11"/>
      <c r="C45" s="12"/>
      <c r="D45" s="20"/>
      <c r="E45" s="170"/>
      <c r="F45" s="106"/>
      <c r="G45" s="80"/>
      <c r="H45" s="80"/>
      <c r="I45" s="38"/>
      <c r="J45" s="62"/>
      <c r="K45" s="38"/>
      <c r="L45" s="62"/>
      <c r="M45" s="63"/>
      <c r="N45" s="64"/>
      <c r="O45" s="64"/>
      <c r="P45" s="62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6"/>
      <c r="AB45" s="31"/>
    </row>
    <row r="46" spans="1:42" ht="22.5" customHeight="1" x14ac:dyDescent="0.25">
      <c r="A46"/>
      <c r="B46" s="12" t="s">
        <v>21</v>
      </c>
      <c r="C46" s="12"/>
      <c r="D46" s="21"/>
      <c r="E46" s="169"/>
      <c r="F46" s="322" t="str">
        <f ca="1">_xll.DBRA(Server&amp;$B$22,$B46,"French")</f>
        <v>Total Produits</v>
      </c>
      <c r="G46" s="323"/>
      <c r="H46" s="324"/>
      <c r="I46" s="39"/>
      <c r="J46" s="51">
        <f ca="1">_xll.DBRW(Server&amp;Cube1,$H$13,$J$3,$H$15,$J$1,$J$2,$H$16,$B46)</f>
        <v>2622596.69</v>
      </c>
      <c r="K46" s="39"/>
      <c r="L46" s="51">
        <f ca="1">_xll.DBRW(Server&amp;Cube1,$H$13,$L$3,$H$15,$L$1,$L$2,$H$16,$B46)</f>
        <v>0</v>
      </c>
      <c r="M46" s="60"/>
      <c r="N46" s="51">
        <f ca="1">_xll.DBRW(Server&amp;Cube1,$H$13,$H$14,$H$15,$N$1,N$2,$H$16,$B46)</f>
        <v>0</v>
      </c>
      <c r="O46" s="61"/>
      <c r="P46" s="49">
        <f ca="1">_xll.DBRW(Server&amp;Cube1,$H$13,$H$14,$H$15,$H$17,P$1,$H$16,$B46)</f>
        <v>0</v>
      </c>
      <c r="Q46" s="50">
        <f ca="1">_xll.DBRW(Server&amp;Cube1,$H$13,$H$14,$H$15,$H$17,Q$1,$H$16,$B46)</f>
        <v>0</v>
      </c>
      <c r="R46" s="50">
        <f ca="1">_xll.DBRW(Server&amp;Cube1,$H$13,$H$14,$H$15,$H$17,R$1,$H$16,$B46)</f>
        <v>0</v>
      </c>
      <c r="S46" s="50">
        <f ca="1">_xll.DBRW(Server&amp;Cube1,$H$13,$H$14,$H$15,$H$17,S$1,$H$16,$B46)</f>
        <v>0</v>
      </c>
      <c r="T46" s="50">
        <f ca="1">_xll.DBRW(Server&amp;Cube1,$H$13,$H$14,$H$15,$H$17,T$1,$H$16,$B46)</f>
        <v>0</v>
      </c>
      <c r="U46" s="50">
        <f ca="1">_xll.DBRW(Server&amp;Cube1,$H$13,$H$14,$H$15,$H$17,U$1,$H$16,$B46)</f>
        <v>0</v>
      </c>
      <c r="V46" s="50">
        <f ca="1">_xll.DBRW(Server&amp;Cube1,$H$13,$H$14,$H$15,$H$17,V$1,$H$16,$B46)</f>
        <v>0</v>
      </c>
      <c r="W46" s="50">
        <f ca="1">_xll.DBRW(Server&amp;Cube1,$H$13,$H$14,$H$15,$H$17,W$1,$H$16,$B46)</f>
        <v>0</v>
      </c>
      <c r="X46" s="50">
        <f ca="1">_xll.DBRW(Server&amp;Cube1,$H$13,$H$14,$H$15,$H$17,X$1,$H$16,$B46)</f>
        <v>0</v>
      </c>
      <c r="Y46" s="50">
        <f ca="1">_xll.DBRW(Server&amp;Cube1,$H$13,$H$14,$H$15,$H$17,Y$1,$H$16,$B46)</f>
        <v>0</v>
      </c>
      <c r="Z46" s="50">
        <f ca="1">_xll.DBRW(Server&amp;Cube1,$H$13,$H$14,$H$15,$H$17,Z$1,$H$16,$B46)</f>
        <v>0</v>
      </c>
      <c r="AA46" s="53">
        <f ca="1">_xll.DBRW(Server&amp;Cube1,$H$13,$H$14,$H$15,$H$17,AA$1,$H$16,$B46)</f>
        <v>0</v>
      </c>
      <c r="AB46" s="31"/>
    </row>
    <row r="47" spans="1:42" ht="15" customHeight="1" x14ac:dyDescent="0.25">
      <c r="A47"/>
      <c r="B47" s="11"/>
      <c r="C47" s="12"/>
      <c r="D47" s="20"/>
      <c r="E47" s="170"/>
      <c r="F47" s="106"/>
      <c r="G47" s="43"/>
      <c r="H47" s="43"/>
      <c r="I47" s="38"/>
      <c r="J47" s="62"/>
      <c r="K47" s="38"/>
      <c r="L47" s="62"/>
      <c r="M47" s="63"/>
      <c r="N47" s="100"/>
      <c r="O47" s="64"/>
      <c r="P47" s="62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6"/>
      <c r="AB47" s="31"/>
    </row>
    <row r="48" spans="1:42" ht="21" customHeight="1" x14ac:dyDescent="0.25">
      <c r="A48"/>
      <c r="B48" s="12" t="s">
        <v>88</v>
      </c>
      <c r="C48" s="12"/>
      <c r="D48" s="21"/>
      <c r="E48" s="169"/>
      <c r="F48" s="105"/>
      <c r="G48" s="306" t="str">
        <f ca="1">_xll.DBRA(Server&amp;$B$22,$B48,"French")</f>
        <v>Formateurs et autres frais de personnel directs (interne groupe)</v>
      </c>
      <c r="H48" s="306" t="str">
        <f ca="1">_xll.DBRA(Server&amp;$B$22,$B48,"French")</f>
        <v>Formateurs et autres frais de personnel directs (interne groupe)</v>
      </c>
      <c r="I48" s="39"/>
      <c r="J48" s="67">
        <f ca="1">_xll.DBRW(Server&amp;Cube1,$H$13,$J$3,$H$15,$J$1,$J$2,$H$16,$B48)</f>
        <v>-253369.30000000002</v>
      </c>
      <c r="K48" s="39"/>
      <c r="L48" s="67">
        <f ca="1">_xll.DBRW(Server&amp;Cube1,$H$13,$L$3,$H$15,$L$1,$L$2,$H$16,$B48)</f>
        <v>0</v>
      </c>
      <c r="M48" s="68"/>
      <c r="N48" s="114">
        <f ca="1">_xll.DBRW(Server&amp;Cube1,$H$13,$H$14,$H$15,$N$1,N$2,$H$16,$B48)</f>
        <v>0</v>
      </c>
      <c r="O48" s="69"/>
      <c r="P48" s="148">
        <v>0</v>
      </c>
      <c r="Q48" s="149">
        <v>0</v>
      </c>
      <c r="R48" s="149">
        <v>0</v>
      </c>
      <c r="S48" s="149">
        <v>0</v>
      </c>
      <c r="T48" s="149">
        <v>0</v>
      </c>
      <c r="U48" s="149">
        <v>0</v>
      </c>
      <c r="V48" s="149">
        <v>0</v>
      </c>
      <c r="W48" s="149">
        <v>0</v>
      </c>
      <c r="X48" s="149">
        <v>0</v>
      </c>
      <c r="Y48" s="149">
        <v>0</v>
      </c>
      <c r="Z48" s="149">
        <v>0</v>
      </c>
      <c r="AA48" s="150">
        <v>0</v>
      </c>
      <c r="AB48" s="31"/>
      <c r="AE48" s="67">
        <f ca="1">_xll.DBRW(Server&amp;Cube1,$H$13,$H$14,$H$15,$H$17,AE$2,$H$16,$B48)</f>
        <v>0</v>
      </c>
      <c r="AF48" s="70">
        <f ca="1">_xll.DBRW(Server&amp;Cube1,$H$13,$H$14,$H$15,$H$17,AF$2,$H$16,$B48)</f>
        <v>0</v>
      </c>
      <c r="AG48" s="70">
        <f ca="1">_xll.DBRW(Server&amp;Cube1,$H$13,$H$14,$H$15,$H$17,AG$2,$H$16,$B48)</f>
        <v>0</v>
      </c>
      <c r="AH48" s="70">
        <f ca="1">_xll.DBRW(Server&amp;Cube1,$H$13,$H$14,$H$15,$H$17,AH$2,$H$16,$B48)</f>
        <v>0</v>
      </c>
      <c r="AI48" s="70">
        <f ca="1">_xll.DBRW(Server&amp;Cube1,$H$13,$H$14,$H$15,$H$17,AI$2,$H$16,$B48)</f>
        <v>0</v>
      </c>
      <c r="AJ48" s="70">
        <f ca="1">_xll.DBRW(Server&amp;Cube1,$H$13,$H$14,$H$15,$H$17,AJ$2,$H$16,$B48)</f>
        <v>0</v>
      </c>
      <c r="AK48" s="70">
        <f ca="1">_xll.DBRW(Server&amp;Cube1,$H$13,$H$14,$H$15,$H$17,AK$2,$H$16,$B48)</f>
        <v>0</v>
      </c>
      <c r="AL48" s="70">
        <f ca="1">_xll.DBRW(Server&amp;Cube1,$H$13,$H$14,$H$15,$H$17,AL$2,$H$16,$B48)</f>
        <v>0</v>
      </c>
      <c r="AM48" s="70">
        <f ca="1">_xll.DBRW(Server&amp;Cube1,$H$13,$H$14,$H$15,$H$17,AM$2,$H$16,$B48)</f>
        <v>0</v>
      </c>
      <c r="AN48" s="70">
        <f ca="1">_xll.DBRW(Server&amp;Cube1,$H$13,$H$14,$H$15,$H$17,AN$2,$H$16,$B48)</f>
        <v>0</v>
      </c>
      <c r="AO48" s="70">
        <f ca="1">_xll.DBRW(Server&amp;Cube1,$H$13,$H$14,$H$15,$H$17,AO$2,$H$16,$B48)</f>
        <v>0</v>
      </c>
      <c r="AP48" s="71">
        <f ca="1">_xll.DBRW(Server&amp;Cube1,$H$13,$H$14,$H$15,$H$17,AP$2,$H$16,$B48)</f>
        <v>0</v>
      </c>
    </row>
    <row r="49" spans="1:42" ht="21" customHeight="1" x14ac:dyDescent="0.25">
      <c r="A49"/>
      <c r="B49" s="13" t="s">
        <v>73</v>
      </c>
      <c r="C49" s="12"/>
      <c r="D49" s="22"/>
      <c r="E49" s="171"/>
      <c r="F49" s="107"/>
      <c r="G49" s="305" t="str">
        <f ca="1">_xll.DBRA(Server&amp;$B$22,$B49,"French")</f>
        <v>MAD formateurs</v>
      </c>
      <c r="H49" s="305" t="str">
        <f ca="1">_xll.DBRA(Server&amp;$B$22,$B49,"French")</f>
        <v>MAD formateurs</v>
      </c>
      <c r="I49" s="37"/>
      <c r="J49" s="54">
        <f ca="1">_xll.DBRW(Server&amp;Cube1,$H$13,$J$3,$H$15,$J$1,$J$2,$H$16,$B49)</f>
        <v>-198202.44999999998</v>
      </c>
      <c r="K49" s="37"/>
      <c r="L49" s="54">
        <f ca="1">_xll.DBRW(Server&amp;Cube1,$H$13,$L$3,$H$15,$L$1,$L$2,$H$16,$B49)</f>
        <v>0</v>
      </c>
      <c r="M49" s="55"/>
      <c r="N49" s="139">
        <f ca="1">_xll.DBRW(Server&amp;Cube1,$H$13,$H$14,$H$15,$N$1,N$2,$H$16,$B49)</f>
        <v>0</v>
      </c>
      <c r="O49" s="57"/>
      <c r="P49" s="156">
        <v>0</v>
      </c>
      <c r="Q49" s="157">
        <v>0</v>
      </c>
      <c r="R49" s="157">
        <v>0</v>
      </c>
      <c r="S49" s="157">
        <v>0</v>
      </c>
      <c r="T49" s="157">
        <v>0</v>
      </c>
      <c r="U49" s="157">
        <v>0</v>
      </c>
      <c r="V49" s="157">
        <v>0</v>
      </c>
      <c r="W49" s="157">
        <v>0</v>
      </c>
      <c r="X49" s="157">
        <v>0</v>
      </c>
      <c r="Y49" s="157">
        <v>0</v>
      </c>
      <c r="Z49" s="157">
        <v>0</v>
      </c>
      <c r="AA49" s="158">
        <v>0</v>
      </c>
      <c r="AB49" s="31"/>
      <c r="AE49" s="67">
        <f ca="1">_xll.DBRW(Server&amp;Cube1,$H$13,$H$14,$H$15,$H$17,AE$2,$H$16,$B49)</f>
        <v>0</v>
      </c>
      <c r="AF49" s="70">
        <f ca="1">_xll.DBRW(Server&amp;Cube1,$H$13,$H$14,$H$15,$H$17,AF$2,$H$16,$B49)</f>
        <v>0</v>
      </c>
      <c r="AG49" s="70">
        <f ca="1">_xll.DBRW(Server&amp;Cube1,$H$13,$H$14,$H$15,$H$17,AG$2,$H$16,$B49)</f>
        <v>0</v>
      </c>
      <c r="AH49" s="70">
        <f ca="1">_xll.DBRW(Server&amp;Cube1,$H$13,$H$14,$H$15,$H$17,AH$2,$H$16,$B49)</f>
        <v>0</v>
      </c>
      <c r="AI49" s="70">
        <f ca="1">_xll.DBRW(Server&amp;Cube1,$H$13,$H$14,$H$15,$H$17,AI$2,$H$16,$B49)</f>
        <v>0</v>
      </c>
      <c r="AJ49" s="70">
        <f ca="1">_xll.DBRW(Server&amp;Cube1,$H$13,$H$14,$H$15,$H$17,AJ$2,$H$16,$B49)</f>
        <v>0</v>
      </c>
      <c r="AK49" s="70">
        <f ca="1">_xll.DBRW(Server&amp;Cube1,$H$13,$H$14,$H$15,$H$17,AK$2,$H$16,$B49)</f>
        <v>0</v>
      </c>
      <c r="AL49" s="70">
        <f ca="1">_xll.DBRW(Server&amp;Cube1,$H$13,$H$14,$H$15,$H$17,AL$2,$H$16,$B49)</f>
        <v>0</v>
      </c>
      <c r="AM49" s="70">
        <f ca="1">_xll.DBRW(Server&amp;Cube1,$H$13,$H$14,$H$15,$H$17,AM$2,$H$16,$B49)</f>
        <v>0</v>
      </c>
      <c r="AN49" s="70">
        <f ca="1">_xll.DBRW(Server&amp;Cube1,$H$13,$H$14,$H$15,$H$17,AN$2,$H$16,$B49)</f>
        <v>0</v>
      </c>
      <c r="AO49" s="70">
        <f ca="1">_xll.DBRW(Server&amp;Cube1,$H$13,$H$14,$H$15,$H$17,AO$2,$H$16,$B49)</f>
        <v>0</v>
      </c>
      <c r="AP49" s="71">
        <f ca="1">_xll.DBRW(Server&amp;Cube1,$H$13,$H$14,$H$15,$H$17,AP$2,$H$16,$B49)</f>
        <v>0</v>
      </c>
    </row>
    <row r="50" spans="1:42" ht="21" customHeight="1" x14ac:dyDescent="0.25">
      <c r="A50"/>
      <c r="B50" s="144" t="s">
        <v>73</v>
      </c>
      <c r="C50" s="12"/>
      <c r="D50" s="21"/>
      <c r="E50" s="169"/>
      <c r="F50" s="105"/>
      <c r="G50" s="319" t="s">
        <v>102</v>
      </c>
      <c r="H50" s="319"/>
      <c r="I50" s="127"/>
      <c r="J50" s="137"/>
      <c r="K50" s="127"/>
      <c r="L50" s="137"/>
      <c r="M50" s="134"/>
      <c r="N50" s="108">
        <f ca="1">_xll.DBRW(Server&amp;Cube1,$H$13,$H$14,$H$15,$N$3,N$2,$H$16,$B50)</f>
        <v>0</v>
      </c>
      <c r="O50" s="135"/>
      <c r="P50" s="151">
        <v>0</v>
      </c>
      <c r="Q50" s="152">
        <v>0</v>
      </c>
      <c r="R50" s="152">
        <v>0</v>
      </c>
      <c r="S50" s="152">
        <v>0</v>
      </c>
      <c r="T50" s="152">
        <v>0</v>
      </c>
      <c r="U50" s="152">
        <v>0</v>
      </c>
      <c r="V50" s="152">
        <v>0</v>
      </c>
      <c r="W50" s="152">
        <v>0</v>
      </c>
      <c r="X50" s="152">
        <v>0</v>
      </c>
      <c r="Y50" s="152">
        <v>0</v>
      </c>
      <c r="Z50" s="152">
        <v>0</v>
      </c>
      <c r="AA50" s="159">
        <v>0</v>
      </c>
      <c r="AB50" s="31"/>
      <c r="AE50" s="90">
        <f ca="1">IF($AE$3=1,_xll.DBSW(P50,Server&amp;Cube1,$H$13,$H$14,$H$15,$AE$1,AE$2,$H$16,$B50),_xll.DBRW(Server&amp;Cube1,$H$13,$H$14,$H$15,$AE$1,AE$2,$H$16,$B50))</f>
        <v>0</v>
      </c>
      <c r="AF50" s="90">
        <f ca="1">IF($AE$3=1,_xll.DBSW(Q50,Server&amp;Cube1,$H$13,$H$14,$H$15,$AE$1,AF$2,$H$16,$B50),_xll.DBRW(Server&amp;Cube1,$H$13,$H$14,$H$15,$AE$1,AF$2,$H$16,$B50))</f>
        <v>0</v>
      </c>
      <c r="AG50" s="90">
        <f ca="1">IF($AE$3=1,_xll.DBSW(R50,Server&amp;Cube1,$H$13,$H$14,$H$15,$AE$1,AG$2,$H$16,$B50),_xll.DBRW(Server&amp;Cube1,$H$13,$H$14,$H$15,$AE$1,AG$2,$H$16,$B50))</f>
        <v>0</v>
      </c>
      <c r="AH50" s="90">
        <f ca="1">IF($AE$3=1,_xll.DBSW(S50,Server&amp;Cube1,$H$13,$H$14,$H$15,$AE$1,AH$2,$H$16,$B50),_xll.DBRW(Server&amp;Cube1,$H$13,$H$14,$H$15,$AE$1,AH$2,$H$16,$B50))</f>
        <v>0</v>
      </c>
      <c r="AI50" s="90">
        <f ca="1">IF($AE$3=1,_xll.DBSW(T50,Server&amp;Cube1,$H$13,$H$14,$H$15,$AE$1,AI$2,$H$16,$B50),_xll.DBRW(Server&amp;Cube1,$H$13,$H$14,$H$15,$AE$1,AI$2,$H$16,$B50))</f>
        <v>0</v>
      </c>
      <c r="AJ50" s="90">
        <f ca="1">IF($AE$3=1,_xll.DBSW(U50,Server&amp;Cube1,$H$13,$H$14,$H$15,$AE$1,AJ$2,$H$16,$B50),_xll.DBRW(Server&amp;Cube1,$H$13,$H$14,$H$15,$AE$1,AJ$2,$H$16,$B50))</f>
        <v>0</v>
      </c>
      <c r="AK50" s="90">
        <f ca="1">IF($AE$3=1,_xll.DBSW(V50,Server&amp;Cube1,$H$13,$H$14,$H$15,$AE$1,AK$2,$H$16,$B50),_xll.DBRW(Server&amp;Cube1,$H$13,$H$14,$H$15,$AE$1,AK$2,$H$16,$B50))</f>
        <v>0</v>
      </c>
      <c r="AL50" s="90">
        <f ca="1">IF($AE$3=1,_xll.DBSW(W50,Server&amp;Cube1,$H$13,$H$14,$H$15,$AE$1,AL$2,$H$16,$B50),_xll.DBRW(Server&amp;Cube1,$H$13,$H$14,$H$15,$AE$1,AL$2,$H$16,$B50))</f>
        <v>0</v>
      </c>
      <c r="AM50" s="90">
        <f ca="1">IF($AE$3=1,_xll.DBSW(X50,Server&amp;Cube1,$H$13,$H$14,$H$15,$AE$1,AM$2,$H$16,$B50),_xll.DBRW(Server&amp;Cube1,$H$13,$H$14,$H$15,$AE$1,AM$2,$H$16,$B50))</f>
        <v>0</v>
      </c>
      <c r="AN50" s="90">
        <f ca="1">IF($AE$3=1,_xll.DBSW(Y50,Server&amp;Cube1,$H$13,$H$14,$H$15,$AE$1,AN$2,$H$16,$B50),_xll.DBRW(Server&amp;Cube1,$H$13,$H$14,$H$15,$AE$1,AN$2,$H$16,$B50))</f>
        <v>0</v>
      </c>
      <c r="AO50" s="90">
        <f ca="1">IF($AE$3=1,_xll.DBSW(Z50,Server&amp;Cube1,$H$13,$H$14,$H$15,$AE$1,AO$2,$H$16,$B50),_xll.DBRW(Server&amp;Cube1,$H$13,$H$14,$H$15,$AE$1,AO$2,$H$16,$B50))</f>
        <v>0</v>
      </c>
      <c r="AP50" s="90">
        <f ca="1">IF($AE$3=1,_xll.DBSW(AA50,Server&amp;Cube1,$H$13,$H$14,$H$15,$AE$1,AP$2,$H$16,$B50),_xll.DBRW(Server&amp;Cube1,$H$13,$H$14,$H$15,$AE$1,AP$2,$H$16,$B50))</f>
        <v>0</v>
      </c>
    </row>
    <row r="51" spans="1:42" ht="21" customHeight="1" x14ac:dyDescent="0.25">
      <c r="A51"/>
      <c r="B51" s="13" t="s">
        <v>74</v>
      </c>
      <c r="C51" s="12"/>
      <c r="D51" s="22"/>
      <c r="E51" s="171"/>
      <c r="F51" s="107"/>
      <c r="G51" s="305" t="str">
        <f ca="1">_xll.DBRA(Server&amp;$B$22,$B51,"French")</f>
        <v>Frais du formateur</v>
      </c>
      <c r="H51" s="305" t="str">
        <f ca="1">_xll.DBRA(Server&amp;$B$22,$B51,"French")</f>
        <v>Frais du formateur</v>
      </c>
      <c r="I51" s="37"/>
      <c r="J51" s="54">
        <f ca="1">_xll.DBRW(Server&amp;Cube1,$H$13,$J$3,$H$15,$J$1,$J$2,$H$16,$B51)</f>
        <v>-55166.85</v>
      </c>
      <c r="K51" s="37"/>
      <c r="L51" s="54">
        <f ca="1">_xll.DBRW(Server&amp;Cube1,$H$13,$L$3,$H$15,$L$1,$L$2,$H$16,$B51)</f>
        <v>0</v>
      </c>
      <c r="M51" s="55"/>
      <c r="N51" s="139">
        <f ca="1">_xll.DBRW(Server&amp;Cube1,$H$13,$H$14,$H$15,$N$1,N$2,$H$16,$B51)</f>
        <v>0</v>
      </c>
      <c r="O51" s="57"/>
      <c r="P51" s="156">
        <v>0</v>
      </c>
      <c r="Q51" s="157">
        <v>0</v>
      </c>
      <c r="R51" s="157">
        <v>0</v>
      </c>
      <c r="S51" s="157">
        <v>0</v>
      </c>
      <c r="T51" s="157">
        <v>0</v>
      </c>
      <c r="U51" s="157">
        <v>0</v>
      </c>
      <c r="V51" s="157">
        <v>0</v>
      </c>
      <c r="W51" s="157">
        <v>0</v>
      </c>
      <c r="X51" s="157">
        <v>0</v>
      </c>
      <c r="Y51" s="157">
        <v>0</v>
      </c>
      <c r="Z51" s="157">
        <v>0</v>
      </c>
      <c r="AA51" s="158">
        <v>0</v>
      </c>
      <c r="AB51" s="31"/>
      <c r="AE51" s="67">
        <f ca="1">_xll.DBRW(Server&amp;Cube1,$H$13,$H$14,$H$15,$H$17,AE$2,$H$16,$B51)</f>
        <v>0</v>
      </c>
      <c r="AF51" s="70">
        <f ca="1">_xll.DBRW(Server&amp;Cube1,$H$13,$H$14,$H$15,$H$17,AF$2,$H$16,$B51)</f>
        <v>0</v>
      </c>
      <c r="AG51" s="70">
        <f ca="1">_xll.DBRW(Server&amp;Cube1,$H$13,$H$14,$H$15,$H$17,AG$2,$H$16,$B51)</f>
        <v>0</v>
      </c>
      <c r="AH51" s="70">
        <f ca="1">_xll.DBRW(Server&amp;Cube1,$H$13,$H$14,$H$15,$H$17,AH$2,$H$16,$B51)</f>
        <v>0</v>
      </c>
      <c r="AI51" s="70">
        <f ca="1">_xll.DBRW(Server&amp;Cube1,$H$13,$H$14,$H$15,$H$17,AI$2,$H$16,$B51)</f>
        <v>0</v>
      </c>
      <c r="AJ51" s="70">
        <f ca="1">_xll.DBRW(Server&amp;Cube1,$H$13,$H$14,$H$15,$H$17,AJ$2,$H$16,$B51)</f>
        <v>0</v>
      </c>
      <c r="AK51" s="70">
        <f ca="1">_xll.DBRW(Server&amp;Cube1,$H$13,$H$14,$H$15,$H$17,AK$2,$H$16,$B51)</f>
        <v>0</v>
      </c>
      <c r="AL51" s="70">
        <f ca="1">_xll.DBRW(Server&amp;Cube1,$H$13,$H$14,$H$15,$H$17,AL$2,$H$16,$B51)</f>
        <v>0</v>
      </c>
      <c r="AM51" s="70">
        <f ca="1">_xll.DBRW(Server&amp;Cube1,$H$13,$H$14,$H$15,$H$17,AM$2,$H$16,$B51)</f>
        <v>0</v>
      </c>
      <c r="AN51" s="70">
        <f ca="1">_xll.DBRW(Server&amp;Cube1,$H$13,$H$14,$H$15,$H$17,AN$2,$H$16,$B51)</f>
        <v>0</v>
      </c>
      <c r="AO51" s="70">
        <f ca="1">_xll.DBRW(Server&amp;Cube1,$H$13,$H$14,$H$15,$H$17,AO$2,$H$16,$B51)</f>
        <v>0</v>
      </c>
      <c r="AP51" s="71">
        <f ca="1">_xll.DBRW(Server&amp;Cube1,$H$13,$H$14,$H$15,$H$17,AP$2,$H$16,$B51)</f>
        <v>0</v>
      </c>
    </row>
    <row r="52" spans="1:42" ht="21" customHeight="1" x14ac:dyDescent="0.25">
      <c r="A52"/>
      <c r="B52" s="144" t="s">
        <v>74</v>
      </c>
      <c r="C52" s="12"/>
      <c r="D52" s="21"/>
      <c r="E52" s="169"/>
      <c r="F52" s="105"/>
      <c r="G52" s="319" t="s">
        <v>102</v>
      </c>
      <c r="H52" s="319"/>
      <c r="I52" s="127"/>
      <c r="J52" s="137"/>
      <c r="K52" s="127"/>
      <c r="L52" s="137"/>
      <c r="M52" s="134"/>
      <c r="N52" s="108">
        <f ca="1">_xll.DBRW(Server&amp;Cube1,$H$13,$H$14,$H$15,$N$3,N$2,$H$16,$B52)</f>
        <v>0</v>
      </c>
      <c r="O52" s="135"/>
      <c r="P52" s="151">
        <v>0</v>
      </c>
      <c r="Q52" s="152">
        <v>0</v>
      </c>
      <c r="R52" s="152">
        <v>0</v>
      </c>
      <c r="S52" s="152">
        <v>0</v>
      </c>
      <c r="T52" s="152">
        <v>0</v>
      </c>
      <c r="U52" s="152">
        <v>0</v>
      </c>
      <c r="V52" s="152">
        <v>0</v>
      </c>
      <c r="W52" s="152">
        <v>0</v>
      </c>
      <c r="X52" s="152">
        <v>0</v>
      </c>
      <c r="Y52" s="152">
        <v>0</v>
      </c>
      <c r="Z52" s="152">
        <v>0</v>
      </c>
      <c r="AA52" s="159">
        <v>0</v>
      </c>
      <c r="AB52" s="31"/>
      <c r="AE52" s="90">
        <f ca="1">IF($AE$3=1,_xll.DBSW(P52,Server&amp;Cube1,$H$13,$H$14,$H$15,$AE$1,AE$2,$H$16,$B52),_xll.DBRW(Server&amp;Cube1,$H$13,$H$14,$H$15,$AE$1,AE$2,$H$16,$B52))</f>
        <v>0</v>
      </c>
      <c r="AF52" s="90">
        <f ca="1">IF($AE$3=1,_xll.DBSW(Q52,Server&amp;Cube1,$H$13,$H$14,$H$15,$AE$1,AF$2,$H$16,$B52),_xll.DBRW(Server&amp;Cube1,$H$13,$H$14,$H$15,$AE$1,AF$2,$H$16,$B52))</f>
        <v>0</v>
      </c>
      <c r="AG52" s="90">
        <f ca="1">IF($AE$3=1,_xll.DBSW(R52,Server&amp;Cube1,$H$13,$H$14,$H$15,$AE$1,AG$2,$H$16,$B52),_xll.DBRW(Server&amp;Cube1,$H$13,$H$14,$H$15,$AE$1,AG$2,$H$16,$B52))</f>
        <v>0</v>
      </c>
      <c r="AH52" s="90">
        <f ca="1">IF($AE$3=1,_xll.DBSW(S52,Server&amp;Cube1,$H$13,$H$14,$H$15,$AE$1,AH$2,$H$16,$B52),_xll.DBRW(Server&amp;Cube1,$H$13,$H$14,$H$15,$AE$1,AH$2,$H$16,$B52))</f>
        <v>0</v>
      </c>
      <c r="AI52" s="90">
        <f ca="1">IF($AE$3=1,_xll.DBSW(T52,Server&amp;Cube1,$H$13,$H$14,$H$15,$AE$1,AI$2,$H$16,$B52),_xll.DBRW(Server&amp;Cube1,$H$13,$H$14,$H$15,$AE$1,AI$2,$H$16,$B52))</f>
        <v>0</v>
      </c>
      <c r="AJ52" s="90">
        <f ca="1">IF($AE$3=1,_xll.DBSW(U52,Server&amp;Cube1,$H$13,$H$14,$H$15,$AE$1,AJ$2,$H$16,$B52),_xll.DBRW(Server&amp;Cube1,$H$13,$H$14,$H$15,$AE$1,AJ$2,$H$16,$B52))</f>
        <v>0</v>
      </c>
      <c r="AK52" s="90">
        <f ca="1">IF($AE$3=1,_xll.DBSW(V52,Server&amp;Cube1,$H$13,$H$14,$H$15,$AE$1,AK$2,$H$16,$B52),_xll.DBRW(Server&amp;Cube1,$H$13,$H$14,$H$15,$AE$1,AK$2,$H$16,$B52))</f>
        <v>0</v>
      </c>
      <c r="AL52" s="90">
        <f ca="1">IF($AE$3=1,_xll.DBSW(W52,Server&amp;Cube1,$H$13,$H$14,$H$15,$AE$1,AL$2,$H$16,$B52),_xll.DBRW(Server&amp;Cube1,$H$13,$H$14,$H$15,$AE$1,AL$2,$H$16,$B52))</f>
        <v>0</v>
      </c>
      <c r="AM52" s="90">
        <f ca="1">IF($AE$3=1,_xll.DBSW(X52,Server&amp;Cube1,$H$13,$H$14,$H$15,$AE$1,AM$2,$H$16,$B52),_xll.DBRW(Server&amp;Cube1,$H$13,$H$14,$H$15,$AE$1,AM$2,$H$16,$B52))</f>
        <v>0</v>
      </c>
      <c r="AN52" s="90">
        <f ca="1">IF($AE$3=1,_xll.DBSW(Y52,Server&amp;Cube1,$H$13,$H$14,$H$15,$AE$1,AN$2,$H$16,$B52),_xll.DBRW(Server&amp;Cube1,$H$13,$H$14,$H$15,$AE$1,AN$2,$H$16,$B52))</f>
        <v>0</v>
      </c>
      <c r="AO52" s="90">
        <f ca="1">IF($AE$3=1,_xll.DBSW(Z52,Server&amp;Cube1,$H$13,$H$14,$H$15,$AE$1,AO$2,$H$16,$B52),_xll.DBRW(Server&amp;Cube1,$H$13,$H$14,$H$15,$AE$1,AO$2,$H$16,$B52))</f>
        <v>0</v>
      </c>
      <c r="AP52" s="90">
        <f ca="1">IF($AE$3=1,_xll.DBSW(AA52,Server&amp;Cube1,$H$13,$H$14,$H$15,$AE$1,AP$2,$H$16,$B52),_xll.DBRW(Server&amp;Cube1,$H$13,$H$14,$H$15,$AE$1,AP$2,$H$16,$B52))</f>
        <v>0</v>
      </c>
    </row>
    <row r="53" spans="1:42" ht="3" customHeight="1" x14ac:dyDescent="0.25">
      <c r="A53"/>
      <c r="B53" s="11"/>
      <c r="C53" s="11"/>
      <c r="D53" s="20"/>
      <c r="E53" s="170"/>
      <c r="F53" s="106"/>
      <c r="G53" s="43"/>
      <c r="H53" s="43"/>
      <c r="I53" s="38"/>
      <c r="J53" s="62"/>
      <c r="K53" s="38"/>
      <c r="L53" s="62"/>
      <c r="M53" s="63"/>
      <c r="N53" s="112"/>
      <c r="O53" s="64"/>
      <c r="P53" s="153"/>
      <c r="Q53" s="154"/>
      <c r="R53" s="154"/>
      <c r="S53" s="154"/>
      <c r="T53" s="154"/>
      <c r="U53" s="154"/>
      <c r="V53" s="154"/>
      <c r="W53" s="154"/>
      <c r="X53" s="154"/>
      <c r="Y53" s="154"/>
      <c r="Z53" s="154"/>
      <c r="AA53" s="155"/>
      <c r="AB53" s="31"/>
    </row>
    <row r="54" spans="1:42" ht="21" customHeight="1" x14ac:dyDescent="0.25">
      <c r="A54"/>
      <c r="B54" s="12" t="s">
        <v>26</v>
      </c>
      <c r="C54" s="12"/>
      <c r="D54" s="21"/>
      <c r="E54" s="169"/>
      <c r="F54" s="105"/>
      <c r="G54" s="306" t="str">
        <f ca="1">_xll.DBRA(Server&amp;$B$22,$B54,"French")</f>
        <v>Honoraires conseil et formation</v>
      </c>
      <c r="H54" s="306" t="str">
        <f ca="1">_xll.DBRA(Server&amp;$B$22,$B54,"French")</f>
        <v>Honoraires conseil et formation</v>
      </c>
      <c r="I54" s="39"/>
      <c r="J54" s="67">
        <f ca="1">_xll.DBRW(Server&amp;Cube1,$H$13,$J$3,$H$15,$J$1,$J$2,$H$16,$B54)</f>
        <v>-791427.6399999999</v>
      </c>
      <c r="K54" s="39"/>
      <c r="L54" s="67">
        <f ca="1">_xll.DBRW(Server&amp;Cube1,$H$13,$L$3,$H$15,$L$1,$L$2,$H$16,$B54)</f>
        <v>0</v>
      </c>
      <c r="M54" s="68"/>
      <c r="N54" s="108">
        <f ca="1">_xll.DBRW(Server&amp;Cube1,$H$13,$H$14,$H$15,$N$1,N$2,$H$16,$B54)</f>
        <v>0</v>
      </c>
      <c r="O54" s="69"/>
      <c r="P54" s="148">
        <v>0</v>
      </c>
      <c r="Q54" s="149">
        <v>0</v>
      </c>
      <c r="R54" s="149">
        <v>0</v>
      </c>
      <c r="S54" s="149">
        <v>0</v>
      </c>
      <c r="T54" s="149">
        <v>0</v>
      </c>
      <c r="U54" s="149">
        <v>0</v>
      </c>
      <c r="V54" s="149">
        <v>0</v>
      </c>
      <c r="W54" s="149">
        <v>0</v>
      </c>
      <c r="X54" s="149">
        <v>0</v>
      </c>
      <c r="Y54" s="149">
        <v>0</v>
      </c>
      <c r="Z54" s="149">
        <v>0</v>
      </c>
      <c r="AA54" s="150">
        <v>0</v>
      </c>
      <c r="AB54" s="31"/>
      <c r="AE54" s="67">
        <f ca="1">_xll.DBRW(Server&amp;Cube1,$H$13,$H$14,$H$15,$H$17,AE$2,$H$16,$B54)</f>
        <v>0</v>
      </c>
      <c r="AF54" s="70">
        <f ca="1">_xll.DBRW(Server&amp;Cube1,$H$13,$H$14,$H$15,$H$17,AF$2,$H$16,$B54)</f>
        <v>0</v>
      </c>
      <c r="AG54" s="70">
        <f ca="1">_xll.DBRW(Server&amp;Cube1,$H$13,$H$14,$H$15,$H$17,AG$2,$H$16,$B54)</f>
        <v>0</v>
      </c>
      <c r="AH54" s="70">
        <f ca="1">_xll.DBRW(Server&amp;Cube1,$H$13,$H$14,$H$15,$H$17,AH$2,$H$16,$B54)</f>
        <v>0</v>
      </c>
      <c r="AI54" s="70">
        <f ca="1">_xll.DBRW(Server&amp;Cube1,$H$13,$H$14,$H$15,$H$17,AI$2,$H$16,$B54)</f>
        <v>0</v>
      </c>
      <c r="AJ54" s="70">
        <f ca="1">_xll.DBRW(Server&amp;Cube1,$H$13,$H$14,$H$15,$H$17,AJ$2,$H$16,$B54)</f>
        <v>0</v>
      </c>
      <c r="AK54" s="70">
        <f ca="1">_xll.DBRW(Server&amp;Cube1,$H$13,$H$14,$H$15,$H$17,AK$2,$H$16,$B54)</f>
        <v>0</v>
      </c>
      <c r="AL54" s="70">
        <f ca="1">_xll.DBRW(Server&amp;Cube1,$H$13,$H$14,$H$15,$H$17,AL$2,$H$16,$B54)</f>
        <v>0</v>
      </c>
      <c r="AM54" s="70">
        <f ca="1">_xll.DBRW(Server&amp;Cube1,$H$13,$H$14,$H$15,$H$17,AM$2,$H$16,$B54)</f>
        <v>0</v>
      </c>
      <c r="AN54" s="70">
        <f ca="1">_xll.DBRW(Server&amp;Cube1,$H$13,$H$14,$H$15,$H$17,AN$2,$H$16,$B54)</f>
        <v>0</v>
      </c>
      <c r="AO54" s="70">
        <f ca="1">_xll.DBRW(Server&amp;Cube1,$H$13,$H$14,$H$15,$H$17,AO$2,$H$16,$B54)</f>
        <v>0</v>
      </c>
      <c r="AP54" s="71">
        <f ca="1">_xll.DBRW(Server&amp;Cube1,$H$13,$H$14,$H$15,$H$17,AP$2,$H$16,$B54)</f>
        <v>0</v>
      </c>
    </row>
    <row r="55" spans="1:42" ht="21" customHeight="1" x14ac:dyDescent="0.25">
      <c r="A55"/>
      <c r="B55" s="143" t="s">
        <v>26</v>
      </c>
      <c r="C55" s="12"/>
      <c r="D55" s="21"/>
      <c r="E55" s="169"/>
      <c r="F55" s="105"/>
      <c r="G55" s="319" t="s">
        <v>102</v>
      </c>
      <c r="H55" s="319"/>
      <c r="I55" s="127"/>
      <c r="J55" s="137"/>
      <c r="K55" s="127"/>
      <c r="L55" s="137"/>
      <c r="M55" s="134"/>
      <c r="N55" s="108">
        <f ca="1">_xll.DBRW(Server&amp;Cube1,$H$13,$H$14,$H$15,$N$3,N$2,$H$16,$B55)</f>
        <v>0</v>
      </c>
      <c r="O55" s="135"/>
      <c r="P55" s="151">
        <v>0</v>
      </c>
      <c r="Q55" s="152">
        <v>0</v>
      </c>
      <c r="R55" s="152">
        <v>0</v>
      </c>
      <c r="S55" s="152">
        <v>0</v>
      </c>
      <c r="T55" s="152">
        <v>0</v>
      </c>
      <c r="U55" s="152">
        <v>0</v>
      </c>
      <c r="V55" s="152">
        <v>0</v>
      </c>
      <c r="W55" s="152">
        <v>0</v>
      </c>
      <c r="X55" s="152">
        <v>0</v>
      </c>
      <c r="Y55" s="152">
        <v>0</v>
      </c>
      <c r="Z55" s="152">
        <v>0</v>
      </c>
      <c r="AA55" s="159">
        <v>0</v>
      </c>
      <c r="AB55" s="31"/>
      <c r="AE55" s="90">
        <f ca="1">IF($AE$3=1,_xll.DBSW(P55,Server&amp;Cube1,$H$13,$H$14,$H$15,$AE$1,AE$2,$H$16,$B55),_xll.DBRW(Server&amp;Cube1,$H$13,$H$14,$H$15,$AE$1,AE$2,$H$16,$B55))</f>
        <v>0</v>
      </c>
      <c r="AF55" s="90">
        <f ca="1">IF($AE$3=1,_xll.DBSW(Q55,Server&amp;Cube1,$H$13,$H$14,$H$15,$AE$1,AF$2,$H$16,$B55),_xll.DBRW(Server&amp;Cube1,$H$13,$H$14,$H$15,$AE$1,AF$2,$H$16,$B55))</f>
        <v>0</v>
      </c>
      <c r="AG55" s="90">
        <f ca="1">IF($AE$3=1,_xll.DBSW(R55,Server&amp;Cube1,$H$13,$H$14,$H$15,$AE$1,AG$2,$H$16,$B55),_xll.DBRW(Server&amp;Cube1,$H$13,$H$14,$H$15,$AE$1,AG$2,$H$16,$B55))</f>
        <v>0</v>
      </c>
      <c r="AH55" s="90">
        <f ca="1">IF($AE$3=1,_xll.DBSW(S55,Server&amp;Cube1,$H$13,$H$14,$H$15,$AE$1,AH$2,$H$16,$B55),_xll.DBRW(Server&amp;Cube1,$H$13,$H$14,$H$15,$AE$1,AH$2,$H$16,$B55))</f>
        <v>0</v>
      </c>
      <c r="AI55" s="90">
        <f ca="1">IF($AE$3=1,_xll.DBSW(T55,Server&amp;Cube1,$H$13,$H$14,$H$15,$AE$1,AI$2,$H$16,$B55),_xll.DBRW(Server&amp;Cube1,$H$13,$H$14,$H$15,$AE$1,AI$2,$H$16,$B55))</f>
        <v>0</v>
      </c>
      <c r="AJ55" s="90">
        <f ca="1">IF($AE$3=1,_xll.DBSW(U55,Server&amp;Cube1,$H$13,$H$14,$H$15,$AE$1,AJ$2,$H$16,$B55),_xll.DBRW(Server&amp;Cube1,$H$13,$H$14,$H$15,$AE$1,AJ$2,$H$16,$B55))</f>
        <v>0</v>
      </c>
      <c r="AK55" s="90">
        <f ca="1">IF($AE$3=1,_xll.DBSW(V55,Server&amp;Cube1,$H$13,$H$14,$H$15,$AE$1,AK$2,$H$16,$B55),_xll.DBRW(Server&amp;Cube1,$H$13,$H$14,$H$15,$AE$1,AK$2,$H$16,$B55))</f>
        <v>0</v>
      </c>
      <c r="AL55" s="90">
        <f ca="1">IF($AE$3=1,_xll.DBSW(W55,Server&amp;Cube1,$H$13,$H$14,$H$15,$AE$1,AL$2,$H$16,$B55),_xll.DBRW(Server&amp;Cube1,$H$13,$H$14,$H$15,$AE$1,AL$2,$H$16,$B55))</f>
        <v>0</v>
      </c>
      <c r="AM55" s="90">
        <f ca="1">IF($AE$3=1,_xll.DBSW(X55,Server&amp;Cube1,$H$13,$H$14,$H$15,$AE$1,AM$2,$H$16,$B55),_xll.DBRW(Server&amp;Cube1,$H$13,$H$14,$H$15,$AE$1,AM$2,$H$16,$B55))</f>
        <v>0</v>
      </c>
      <c r="AN55" s="90">
        <f ca="1">IF($AE$3=1,_xll.DBSW(Y55,Server&amp;Cube1,$H$13,$H$14,$H$15,$AE$1,AN$2,$H$16,$B55),_xll.DBRW(Server&amp;Cube1,$H$13,$H$14,$H$15,$AE$1,AN$2,$H$16,$B55))</f>
        <v>0</v>
      </c>
      <c r="AO55" s="90">
        <f ca="1">IF($AE$3=1,_xll.DBSW(Z55,Server&amp;Cube1,$H$13,$H$14,$H$15,$AE$1,AO$2,$H$16,$B55),_xll.DBRW(Server&amp;Cube1,$H$13,$H$14,$H$15,$AE$1,AO$2,$H$16,$B55))</f>
        <v>0</v>
      </c>
      <c r="AP55" s="90">
        <f ca="1">IF($AE$3=1,_xll.DBSW(AA55,Server&amp;Cube1,$H$13,$H$14,$H$15,$AE$1,AP$2,$H$16,$B55),_xll.DBRW(Server&amp;Cube1,$H$13,$H$14,$H$15,$AE$1,AP$2,$H$16,$B55))</f>
        <v>0</v>
      </c>
    </row>
    <row r="56" spans="1:42" ht="3" customHeight="1" x14ac:dyDescent="0.25">
      <c r="A56"/>
      <c r="B56" s="11"/>
      <c r="C56" s="11"/>
      <c r="D56" s="20"/>
      <c r="E56" s="170"/>
      <c r="F56" s="106"/>
      <c r="G56" s="43"/>
      <c r="H56" s="43"/>
      <c r="I56" s="38"/>
      <c r="J56" s="62"/>
      <c r="K56" s="38"/>
      <c r="L56" s="62"/>
      <c r="M56" s="63"/>
      <c r="N56" s="112"/>
      <c r="O56" s="64"/>
      <c r="P56" s="153"/>
      <c r="Q56" s="154"/>
      <c r="R56" s="154"/>
      <c r="S56" s="154"/>
      <c r="T56" s="154"/>
      <c r="U56" s="154"/>
      <c r="V56" s="154"/>
      <c r="W56" s="154"/>
      <c r="X56" s="154"/>
      <c r="Y56" s="154"/>
      <c r="Z56" s="154"/>
      <c r="AA56" s="155"/>
      <c r="AB56" s="31"/>
    </row>
    <row r="57" spans="1:42" ht="21" customHeight="1" x14ac:dyDescent="0.25">
      <c r="A57"/>
      <c r="B57" s="12" t="s">
        <v>27</v>
      </c>
      <c r="C57" s="12"/>
      <c r="D57" s="21"/>
      <c r="E57" s="169"/>
      <c r="F57" s="105"/>
      <c r="G57" s="306" t="str">
        <f ca="1">_xll.DBRA(Server&amp;$B$22,$B57,"French")</f>
        <v>MAD et location de matériel et de salle</v>
      </c>
      <c r="H57" s="306" t="str">
        <f ca="1">_xll.DBRA(Server&amp;$B$22,$B57,"French")</f>
        <v>MAD et location de matériel et de salle</v>
      </c>
      <c r="I57" s="39"/>
      <c r="J57" s="67">
        <f ca="1">_xll.DBRW(Server&amp;Cube1,$H$13,$J$3,$H$15,$J$1,$J$2,$H$16,$B57)</f>
        <v>-131786.65999999997</v>
      </c>
      <c r="K57" s="39"/>
      <c r="L57" s="67">
        <f ca="1">_xll.DBRW(Server&amp;Cube1,$H$13,$L$3,$H$15,$L$1,$L$2,$H$16,$B57)</f>
        <v>0</v>
      </c>
      <c r="M57" s="68"/>
      <c r="N57" s="108">
        <f ca="1">_xll.DBRW(Server&amp;Cube1,$H$13,$H$14,$H$15,$N$1,N$2,$H$16,$B57)</f>
        <v>0</v>
      </c>
      <c r="O57" s="69"/>
      <c r="P57" s="148">
        <v>0</v>
      </c>
      <c r="Q57" s="149">
        <v>0</v>
      </c>
      <c r="R57" s="149">
        <v>0</v>
      </c>
      <c r="S57" s="149">
        <v>0</v>
      </c>
      <c r="T57" s="149">
        <v>0</v>
      </c>
      <c r="U57" s="149">
        <v>0</v>
      </c>
      <c r="V57" s="149">
        <v>0</v>
      </c>
      <c r="W57" s="149">
        <v>0</v>
      </c>
      <c r="X57" s="149">
        <v>0</v>
      </c>
      <c r="Y57" s="149">
        <v>0</v>
      </c>
      <c r="Z57" s="149">
        <v>0</v>
      </c>
      <c r="AA57" s="150">
        <v>0</v>
      </c>
      <c r="AB57" s="31"/>
      <c r="AE57" s="67">
        <f ca="1">_xll.DBRW(Server&amp;Cube1,$H$13,$H$14,$H$15,$H$17,AE$2,$H$16,$B57)</f>
        <v>0</v>
      </c>
      <c r="AF57" s="70">
        <f ca="1">_xll.DBRW(Server&amp;Cube1,$H$13,$H$14,$H$15,$H$17,AF$2,$H$16,$B57)</f>
        <v>0</v>
      </c>
      <c r="AG57" s="70">
        <f ca="1">_xll.DBRW(Server&amp;Cube1,$H$13,$H$14,$H$15,$H$17,AG$2,$H$16,$B57)</f>
        <v>0</v>
      </c>
      <c r="AH57" s="70">
        <f ca="1">_xll.DBRW(Server&amp;Cube1,$H$13,$H$14,$H$15,$H$17,AH$2,$H$16,$B57)</f>
        <v>0</v>
      </c>
      <c r="AI57" s="70">
        <f ca="1">_xll.DBRW(Server&amp;Cube1,$H$13,$H$14,$H$15,$H$17,AI$2,$H$16,$B57)</f>
        <v>0</v>
      </c>
      <c r="AJ57" s="70">
        <f ca="1">_xll.DBRW(Server&amp;Cube1,$H$13,$H$14,$H$15,$H$17,AJ$2,$H$16,$B57)</f>
        <v>0</v>
      </c>
      <c r="AK57" s="70">
        <f ca="1">_xll.DBRW(Server&amp;Cube1,$H$13,$H$14,$H$15,$H$17,AK$2,$H$16,$B57)</f>
        <v>0</v>
      </c>
      <c r="AL57" s="70">
        <f ca="1">_xll.DBRW(Server&amp;Cube1,$H$13,$H$14,$H$15,$H$17,AL$2,$H$16,$B57)</f>
        <v>0</v>
      </c>
      <c r="AM57" s="70">
        <f ca="1">_xll.DBRW(Server&amp;Cube1,$H$13,$H$14,$H$15,$H$17,AM$2,$H$16,$B57)</f>
        <v>0</v>
      </c>
      <c r="AN57" s="70">
        <f ca="1">_xll.DBRW(Server&amp;Cube1,$H$13,$H$14,$H$15,$H$17,AN$2,$H$16,$B57)</f>
        <v>0</v>
      </c>
      <c r="AO57" s="70">
        <f ca="1">_xll.DBRW(Server&amp;Cube1,$H$13,$H$14,$H$15,$H$17,AO$2,$H$16,$B57)</f>
        <v>0</v>
      </c>
      <c r="AP57" s="71">
        <f ca="1">_xll.DBRW(Server&amp;Cube1,$H$13,$H$14,$H$15,$H$17,AP$2,$H$16,$B57)</f>
        <v>0</v>
      </c>
    </row>
    <row r="58" spans="1:42" ht="21" customHeight="1" x14ac:dyDescent="0.25">
      <c r="A58"/>
      <c r="B58" s="13" t="s">
        <v>28</v>
      </c>
      <c r="C58" s="13"/>
      <c r="D58" s="22"/>
      <c r="E58" s="171"/>
      <c r="F58" s="107"/>
      <c r="G58" s="305" t="str">
        <f ca="1">_xll.DBRA(Server&amp;$B$22,$B58,"French")</f>
        <v>Location et MAD salle de formation</v>
      </c>
      <c r="H58" s="305" t="str">
        <f ca="1">_xll.DBRA(Server&amp;$B$22,$B58,"French")</f>
        <v>Location et MAD salle de formation</v>
      </c>
      <c r="I58" s="37"/>
      <c r="J58" s="54">
        <f ca="1">_xll.DBRW(Server&amp;Cube1,$H$13,$J$3,$H$15,$J$1,$J$2,$H$16,$B58)</f>
        <v>-117829.7</v>
      </c>
      <c r="K58" s="37"/>
      <c r="L58" s="54">
        <f ca="1">_xll.DBRW(Server&amp;Cube1,$H$13,$L$3,$H$15,$L$1,$L$2,$H$16,$B58)</f>
        <v>0</v>
      </c>
      <c r="M58" s="55"/>
      <c r="N58" s="139">
        <f ca="1">_xll.DBRW(Server&amp;Cube1,$H$13,$H$14,$H$15,$N$1,N$2,$H$16,$B58)</f>
        <v>0</v>
      </c>
      <c r="O58" s="57"/>
      <c r="P58" s="156">
        <v>0</v>
      </c>
      <c r="Q58" s="157">
        <v>0</v>
      </c>
      <c r="R58" s="157">
        <v>0</v>
      </c>
      <c r="S58" s="157">
        <v>0</v>
      </c>
      <c r="T58" s="157">
        <v>0</v>
      </c>
      <c r="U58" s="157">
        <v>0</v>
      </c>
      <c r="V58" s="157">
        <v>0</v>
      </c>
      <c r="W58" s="157">
        <v>0</v>
      </c>
      <c r="X58" s="157">
        <v>0</v>
      </c>
      <c r="Y58" s="157">
        <v>0</v>
      </c>
      <c r="Z58" s="157">
        <v>0</v>
      </c>
      <c r="AA58" s="158">
        <v>0</v>
      </c>
      <c r="AB58" s="31"/>
      <c r="AE58" s="67">
        <f ca="1">_xll.DBRW(Server&amp;Cube1,$H$13,$H$14,$H$15,$H$17,AE$2,$H$16,$B58)</f>
        <v>0</v>
      </c>
      <c r="AF58" s="70">
        <f ca="1">_xll.DBRW(Server&amp;Cube1,$H$13,$H$14,$H$15,$H$17,AF$2,$H$16,$B58)</f>
        <v>0</v>
      </c>
      <c r="AG58" s="70">
        <f ca="1">_xll.DBRW(Server&amp;Cube1,$H$13,$H$14,$H$15,$H$17,AG$2,$H$16,$B58)</f>
        <v>0</v>
      </c>
      <c r="AH58" s="70">
        <f ca="1">_xll.DBRW(Server&amp;Cube1,$H$13,$H$14,$H$15,$H$17,AH$2,$H$16,$B58)</f>
        <v>0</v>
      </c>
      <c r="AI58" s="70">
        <f ca="1">_xll.DBRW(Server&amp;Cube1,$H$13,$H$14,$H$15,$H$17,AI$2,$H$16,$B58)</f>
        <v>0</v>
      </c>
      <c r="AJ58" s="70">
        <f ca="1">_xll.DBRW(Server&amp;Cube1,$H$13,$H$14,$H$15,$H$17,AJ$2,$H$16,$B58)</f>
        <v>0</v>
      </c>
      <c r="AK58" s="70">
        <f ca="1">_xll.DBRW(Server&amp;Cube1,$H$13,$H$14,$H$15,$H$17,AK$2,$H$16,$B58)</f>
        <v>0</v>
      </c>
      <c r="AL58" s="70">
        <f ca="1">_xll.DBRW(Server&amp;Cube1,$H$13,$H$14,$H$15,$H$17,AL$2,$H$16,$B58)</f>
        <v>0</v>
      </c>
      <c r="AM58" s="70">
        <f ca="1">_xll.DBRW(Server&amp;Cube1,$H$13,$H$14,$H$15,$H$17,AM$2,$H$16,$B58)</f>
        <v>0</v>
      </c>
      <c r="AN58" s="70">
        <f ca="1">_xll.DBRW(Server&amp;Cube1,$H$13,$H$14,$H$15,$H$17,AN$2,$H$16,$B58)</f>
        <v>0</v>
      </c>
      <c r="AO58" s="70">
        <f ca="1">_xll.DBRW(Server&amp;Cube1,$H$13,$H$14,$H$15,$H$17,AO$2,$H$16,$B58)</f>
        <v>0</v>
      </c>
      <c r="AP58" s="71">
        <f ca="1">_xll.DBRW(Server&amp;Cube1,$H$13,$H$14,$H$15,$H$17,AP$2,$H$16,$B58)</f>
        <v>0</v>
      </c>
    </row>
    <row r="59" spans="1:42" ht="21" customHeight="1" x14ac:dyDescent="0.25">
      <c r="A59"/>
      <c r="B59" s="144" t="s">
        <v>28</v>
      </c>
      <c r="C59" s="12"/>
      <c r="D59" s="21"/>
      <c r="E59" s="169"/>
      <c r="F59" s="105"/>
      <c r="G59" s="319" t="s">
        <v>102</v>
      </c>
      <c r="H59" s="319"/>
      <c r="I59" s="127"/>
      <c r="J59" s="137"/>
      <c r="K59" s="127"/>
      <c r="L59" s="137"/>
      <c r="M59" s="134"/>
      <c r="N59" s="108">
        <f ca="1">_xll.DBRW(Server&amp;Cube1,$H$13,$H$14,$H$15,$N$3,N$2,$H$16,$B59)</f>
        <v>0</v>
      </c>
      <c r="O59" s="135"/>
      <c r="P59" s="151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159">
        <v>0</v>
      </c>
      <c r="AB59" s="31"/>
      <c r="AE59" s="90">
        <f ca="1">IF($AE$3=1,_xll.DBSW(P59,Server&amp;Cube1,$H$13,$H$14,$H$15,$AE$1,AE$2,$H$16,$B59),_xll.DBRW(Server&amp;Cube1,$H$13,$H$14,$H$15,$AE$1,AE$2,$H$16,$B59))</f>
        <v>0</v>
      </c>
      <c r="AF59" s="90">
        <f ca="1">IF($AE$3=1,_xll.DBSW(Q59,Server&amp;Cube1,$H$13,$H$14,$H$15,$AE$1,AF$2,$H$16,$B59),_xll.DBRW(Server&amp;Cube1,$H$13,$H$14,$H$15,$AE$1,AF$2,$H$16,$B59))</f>
        <v>0</v>
      </c>
      <c r="AG59" s="90">
        <f ca="1">IF($AE$3=1,_xll.DBSW(R59,Server&amp;Cube1,$H$13,$H$14,$H$15,$AE$1,AG$2,$H$16,$B59),_xll.DBRW(Server&amp;Cube1,$H$13,$H$14,$H$15,$AE$1,AG$2,$H$16,$B59))</f>
        <v>0</v>
      </c>
      <c r="AH59" s="90">
        <f ca="1">IF($AE$3=1,_xll.DBSW(S59,Server&amp;Cube1,$H$13,$H$14,$H$15,$AE$1,AH$2,$H$16,$B59),_xll.DBRW(Server&amp;Cube1,$H$13,$H$14,$H$15,$AE$1,AH$2,$H$16,$B59))</f>
        <v>0</v>
      </c>
      <c r="AI59" s="90">
        <f ca="1">IF($AE$3=1,_xll.DBSW(T59,Server&amp;Cube1,$H$13,$H$14,$H$15,$AE$1,AI$2,$H$16,$B59),_xll.DBRW(Server&amp;Cube1,$H$13,$H$14,$H$15,$AE$1,AI$2,$H$16,$B59))</f>
        <v>0</v>
      </c>
      <c r="AJ59" s="90">
        <f ca="1">IF($AE$3=1,_xll.DBSW(U59,Server&amp;Cube1,$H$13,$H$14,$H$15,$AE$1,AJ$2,$H$16,$B59),_xll.DBRW(Server&amp;Cube1,$H$13,$H$14,$H$15,$AE$1,AJ$2,$H$16,$B59))</f>
        <v>0</v>
      </c>
      <c r="AK59" s="90">
        <f ca="1">IF($AE$3=1,_xll.DBSW(V59,Server&amp;Cube1,$H$13,$H$14,$H$15,$AE$1,AK$2,$H$16,$B59),_xll.DBRW(Server&amp;Cube1,$H$13,$H$14,$H$15,$AE$1,AK$2,$H$16,$B59))</f>
        <v>0</v>
      </c>
      <c r="AL59" s="90">
        <f ca="1">IF($AE$3=1,_xll.DBSW(W59,Server&amp;Cube1,$H$13,$H$14,$H$15,$AE$1,AL$2,$H$16,$B59),_xll.DBRW(Server&amp;Cube1,$H$13,$H$14,$H$15,$AE$1,AL$2,$H$16,$B59))</f>
        <v>0</v>
      </c>
      <c r="AM59" s="90">
        <f ca="1">IF($AE$3=1,_xll.DBSW(X59,Server&amp;Cube1,$H$13,$H$14,$H$15,$AE$1,AM$2,$H$16,$B59),_xll.DBRW(Server&amp;Cube1,$H$13,$H$14,$H$15,$AE$1,AM$2,$H$16,$B59))</f>
        <v>0</v>
      </c>
      <c r="AN59" s="90">
        <f ca="1">IF($AE$3=1,_xll.DBSW(Y59,Server&amp;Cube1,$H$13,$H$14,$H$15,$AE$1,AN$2,$H$16,$B59),_xll.DBRW(Server&amp;Cube1,$H$13,$H$14,$H$15,$AE$1,AN$2,$H$16,$B59))</f>
        <v>0</v>
      </c>
      <c r="AO59" s="90">
        <f ca="1">IF($AE$3=1,_xll.DBSW(Z59,Server&amp;Cube1,$H$13,$H$14,$H$15,$AE$1,AO$2,$H$16,$B59),_xll.DBRW(Server&amp;Cube1,$H$13,$H$14,$H$15,$AE$1,AO$2,$H$16,$B59))</f>
        <v>0</v>
      </c>
      <c r="AP59" s="90">
        <f ca="1">IF($AE$3=1,_xll.DBSW(AA59,Server&amp;Cube1,$H$13,$H$14,$H$15,$AE$1,AP$2,$H$16,$B59),_xll.DBRW(Server&amp;Cube1,$H$13,$H$14,$H$15,$AE$1,AP$2,$H$16,$B59))</f>
        <v>0</v>
      </c>
    </row>
    <row r="60" spans="1:42" ht="21" customHeight="1" x14ac:dyDescent="0.25">
      <c r="A60"/>
      <c r="B60" s="13">
        <v>613510</v>
      </c>
      <c r="C60" s="13"/>
      <c r="D60" s="22"/>
      <c r="E60" s="171"/>
      <c r="F60" s="107"/>
      <c r="G60" s="305" t="s">
        <v>89</v>
      </c>
      <c r="H60" s="305"/>
      <c r="I60" s="37"/>
      <c r="J60" s="54">
        <f ca="1">_xll.DBRW(Server&amp;Cube1,$H$13,$J$3,$H$15,$J$1,$J$2,$H$16,$B60)</f>
        <v>-1214</v>
      </c>
      <c r="K60" s="37"/>
      <c r="L60" s="54">
        <f ca="1">_xll.DBRW(Server&amp;Cube1,$H$13,$L$3,$H$15,$L$1,$L$2,$H$16,$B60)</f>
        <v>0</v>
      </c>
      <c r="M60" s="55"/>
      <c r="N60" s="139">
        <f ca="1">_xll.DBRW(Server&amp;Cube1,$H$13,$H$14,$H$15,$N$1,N$2,$H$16,$B60)</f>
        <v>0</v>
      </c>
      <c r="O60" s="57"/>
      <c r="P60" s="156">
        <v>0</v>
      </c>
      <c r="Q60" s="157">
        <v>0</v>
      </c>
      <c r="R60" s="157">
        <v>0</v>
      </c>
      <c r="S60" s="157">
        <v>0</v>
      </c>
      <c r="T60" s="157">
        <v>0</v>
      </c>
      <c r="U60" s="157">
        <v>0</v>
      </c>
      <c r="V60" s="157">
        <v>0</v>
      </c>
      <c r="W60" s="157">
        <v>0</v>
      </c>
      <c r="X60" s="157">
        <v>0</v>
      </c>
      <c r="Y60" s="157">
        <v>0</v>
      </c>
      <c r="Z60" s="157">
        <v>0</v>
      </c>
      <c r="AA60" s="158">
        <v>0</v>
      </c>
      <c r="AB60" s="31"/>
      <c r="AE60" s="67">
        <f ca="1">_xll.DBRW(Server&amp;Cube1,$H$13,$H$14,$H$15,$H$17,AE$2,$H$16,$B60)</f>
        <v>0</v>
      </c>
      <c r="AF60" s="70">
        <f ca="1">_xll.DBRW(Server&amp;Cube1,$H$13,$H$14,$H$15,$H$17,AF$2,$H$16,$B60)</f>
        <v>0</v>
      </c>
      <c r="AG60" s="70">
        <f ca="1">_xll.DBRW(Server&amp;Cube1,$H$13,$H$14,$H$15,$H$17,AG$2,$H$16,$B60)</f>
        <v>0</v>
      </c>
      <c r="AH60" s="70">
        <f ca="1">_xll.DBRW(Server&amp;Cube1,$H$13,$H$14,$H$15,$H$17,AH$2,$H$16,$B60)</f>
        <v>0</v>
      </c>
      <c r="AI60" s="70">
        <f ca="1">_xll.DBRW(Server&amp;Cube1,$H$13,$H$14,$H$15,$H$17,AI$2,$H$16,$B60)</f>
        <v>0</v>
      </c>
      <c r="AJ60" s="70">
        <f ca="1">_xll.DBRW(Server&amp;Cube1,$H$13,$H$14,$H$15,$H$17,AJ$2,$H$16,$B60)</f>
        <v>0</v>
      </c>
      <c r="AK60" s="70">
        <f ca="1">_xll.DBRW(Server&amp;Cube1,$H$13,$H$14,$H$15,$H$17,AK$2,$H$16,$B60)</f>
        <v>0</v>
      </c>
      <c r="AL60" s="70">
        <f ca="1">_xll.DBRW(Server&amp;Cube1,$H$13,$H$14,$H$15,$H$17,AL$2,$H$16,$B60)</f>
        <v>0</v>
      </c>
      <c r="AM60" s="70">
        <f ca="1">_xll.DBRW(Server&amp;Cube1,$H$13,$H$14,$H$15,$H$17,AM$2,$H$16,$B60)</f>
        <v>0</v>
      </c>
      <c r="AN60" s="70">
        <f ca="1">_xll.DBRW(Server&amp;Cube1,$H$13,$H$14,$H$15,$H$17,AN$2,$H$16,$B60)</f>
        <v>0</v>
      </c>
      <c r="AO60" s="70">
        <f ca="1">_xll.DBRW(Server&amp;Cube1,$H$13,$H$14,$H$15,$H$17,AO$2,$H$16,$B60)</f>
        <v>0</v>
      </c>
      <c r="AP60" s="71">
        <f ca="1">_xll.DBRW(Server&amp;Cube1,$H$13,$H$14,$H$15,$H$17,AP$2,$H$16,$B60)</f>
        <v>0</v>
      </c>
    </row>
    <row r="61" spans="1:42" ht="21" customHeight="1" x14ac:dyDescent="0.25">
      <c r="A61"/>
      <c r="B61" s="144">
        <v>613510</v>
      </c>
      <c r="C61" s="12"/>
      <c r="D61" s="21"/>
      <c r="E61" s="169"/>
      <c r="F61" s="105"/>
      <c r="G61" s="319" t="s">
        <v>102</v>
      </c>
      <c r="H61" s="319"/>
      <c r="I61" s="127"/>
      <c r="J61" s="137"/>
      <c r="K61" s="127"/>
      <c r="L61" s="137"/>
      <c r="M61" s="134"/>
      <c r="N61" s="108">
        <f ca="1">_xll.DBRW(Server&amp;Cube1,$H$13,$H$14,$H$15,$N$3,N$2,$H$16,$B61)</f>
        <v>0</v>
      </c>
      <c r="O61" s="135"/>
      <c r="P61" s="151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9">
        <v>0</v>
      </c>
      <c r="AB61" s="31"/>
      <c r="AE61" s="90">
        <f ca="1">IF($AE$3=1,_xll.DBSW(P61,Server&amp;Cube1,$H$13,$H$14,$H$15,$AE$1,AE$2,$H$16,$B61),_xll.DBRW(Server&amp;Cube1,$H$13,$H$14,$H$15,$AE$1,AE$2,$H$16,$B61))</f>
        <v>0</v>
      </c>
      <c r="AF61" s="90">
        <f ca="1">IF($AE$3=1,_xll.DBSW(Q61,Server&amp;Cube1,$H$13,$H$14,$H$15,$AE$1,AF$2,$H$16,$B61),_xll.DBRW(Server&amp;Cube1,$H$13,$H$14,$H$15,$AE$1,AF$2,$H$16,$B61))</f>
        <v>0</v>
      </c>
      <c r="AG61" s="90">
        <f ca="1">IF($AE$3=1,_xll.DBSW(R61,Server&amp;Cube1,$H$13,$H$14,$H$15,$AE$1,AG$2,$H$16,$B61),_xll.DBRW(Server&amp;Cube1,$H$13,$H$14,$H$15,$AE$1,AG$2,$H$16,$B61))</f>
        <v>0</v>
      </c>
      <c r="AH61" s="90">
        <f ca="1">IF($AE$3=1,_xll.DBSW(S61,Server&amp;Cube1,$H$13,$H$14,$H$15,$AE$1,AH$2,$H$16,$B61),_xll.DBRW(Server&amp;Cube1,$H$13,$H$14,$H$15,$AE$1,AH$2,$H$16,$B61))</f>
        <v>0</v>
      </c>
      <c r="AI61" s="90">
        <f ca="1">IF($AE$3=1,_xll.DBSW(T61,Server&amp;Cube1,$H$13,$H$14,$H$15,$AE$1,AI$2,$H$16,$B61),_xll.DBRW(Server&amp;Cube1,$H$13,$H$14,$H$15,$AE$1,AI$2,$H$16,$B61))</f>
        <v>0</v>
      </c>
      <c r="AJ61" s="90">
        <f ca="1">IF($AE$3=1,_xll.DBSW(U61,Server&amp;Cube1,$H$13,$H$14,$H$15,$AE$1,AJ$2,$H$16,$B61),_xll.DBRW(Server&amp;Cube1,$H$13,$H$14,$H$15,$AE$1,AJ$2,$H$16,$B61))</f>
        <v>0</v>
      </c>
      <c r="AK61" s="90">
        <f ca="1">IF($AE$3=1,_xll.DBSW(V61,Server&amp;Cube1,$H$13,$H$14,$H$15,$AE$1,AK$2,$H$16,$B61),_xll.DBRW(Server&amp;Cube1,$H$13,$H$14,$H$15,$AE$1,AK$2,$H$16,$B61))</f>
        <v>0</v>
      </c>
      <c r="AL61" s="90">
        <f ca="1">IF($AE$3=1,_xll.DBSW(W61,Server&amp;Cube1,$H$13,$H$14,$H$15,$AE$1,AL$2,$H$16,$B61),_xll.DBRW(Server&amp;Cube1,$H$13,$H$14,$H$15,$AE$1,AL$2,$H$16,$B61))</f>
        <v>0</v>
      </c>
      <c r="AM61" s="90">
        <f ca="1">IF($AE$3=1,_xll.DBSW(X61,Server&amp;Cube1,$H$13,$H$14,$H$15,$AE$1,AM$2,$H$16,$B61),_xll.DBRW(Server&amp;Cube1,$H$13,$H$14,$H$15,$AE$1,AM$2,$H$16,$B61))</f>
        <v>0</v>
      </c>
      <c r="AN61" s="90">
        <f ca="1">IF($AE$3=1,_xll.DBSW(Y61,Server&amp;Cube1,$H$13,$H$14,$H$15,$AE$1,AN$2,$H$16,$B61),_xll.DBRW(Server&amp;Cube1,$H$13,$H$14,$H$15,$AE$1,AN$2,$H$16,$B61))</f>
        <v>0</v>
      </c>
      <c r="AO61" s="90">
        <f ca="1">IF($AE$3=1,_xll.DBSW(Z61,Server&amp;Cube1,$H$13,$H$14,$H$15,$AE$1,AO$2,$H$16,$B61),_xll.DBRW(Server&amp;Cube1,$H$13,$H$14,$H$15,$AE$1,AO$2,$H$16,$B61))</f>
        <v>0</v>
      </c>
      <c r="AP61" s="90">
        <f ca="1">IF($AE$3=1,_xll.DBSW(AA61,Server&amp;Cube1,$H$13,$H$14,$H$15,$AE$1,AP$2,$H$16,$B61),_xll.DBRW(Server&amp;Cube1,$H$13,$H$14,$H$15,$AE$1,AP$2,$H$16,$B61))</f>
        <v>0</v>
      </c>
    </row>
    <row r="62" spans="1:42" ht="3.75" customHeight="1" x14ac:dyDescent="0.25">
      <c r="A62"/>
      <c r="B62" s="11"/>
      <c r="C62" s="11"/>
      <c r="D62" s="20"/>
      <c r="E62" s="170"/>
      <c r="F62" s="106"/>
      <c r="G62" s="43"/>
      <c r="H62" s="43"/>
      <c r="I62" s="38"/>
      <c r="J62" s="62"/>
      <c r="K62" s="38"/>
      <c r="L62" s="62"/>
      <c r="M62" s="63"/>
      <c r="N62" s="112"/>
      <c r="O62" s="64"/>
      <c r="P62" s="153"/>
      <c r="Q62" s="154"/>
      <c r="R62" s="154"/>
      <c r="S62" s="154"/>
      <c r="T62" s="154"/>
      <c r="U62" s="154"/>
      <c r="V62" s="154"/>
      <c r="W62" s="154"/>
      <c r="X62" s="154"/>
      <c r="Y62" s="154"/>
      <c r="Z62" s="154"/>
      <c r="AA62" s="155"/>
      <c r="AB62" s="31"/>
    </row>
    <row r="63" spans="1:42" ht="21" customHeight="1" x14ac:dyDescent="0.25">
      <c r="A63"/>
      <c r="B63" s="12" t="s">
        <v>29</v>
      </c>
      <c r="C63" s="12"/>
      <c r="D63" s="21"/>
      <c r="E63" s="169"/>
      <c r="F63" s="105"/>
      <c r="G63" s="306" t="str">
        <f ca="1">_xll.DBRA(Server&amp;$B$22,$B63,"French")</f>
        <v>Autres coûts directs</v>
      </c>
      <c r="H63" s="306" t="str">
        <f ca="1">_xll.DBRA(Server&amp;$B$22,$B63,"French")</f>
        <v>Autres coûts directs</v>
      </c>
      <c r="I63" s="39"/>
      <c r="J63" s="67">
        <f ca="1">_xll.DBRW(Server&amp;Cube1,$H$13,$J$3,$H$15,$J$1,$J$2,$H$16,$B63)</f>
        <v>-27885</v>
      </c>
      <c r="K63" s="39"/>
      <c r="L63" s="67">
        <f ca="1">_xll.DBRW(Server&amp;Cube1,$H$13,$L$3,$H$15,$L$1,$L$2,$H$16,$B63)</f>
        <v>0</v>
      </c>
      <c r="M63" s="68"/>
      <c r="N63" s="108">
        <f ca="1">_xll.DBRW(Server&amp;Cube1,$H$13,$H$14,$H$15,$N$1,N$2,$H$16,$B63)</f>
        <v>0</v>
      </c>
      <c r="O63" s="69"/>
      <c r="P63" s="148">
        <v>0</v>
      </c>
      <c r="Q63" s="149">
        <v>0</v>
      </c>
      <c r="R63" s="149">
        <v>0</v>
      </c>
      <c r="S63" s="149">
        <v>0</v>
      </c>
      <c r="T63" s="149">
        <v>0</v>
      </c>
      <c r="U63" s="149">
        <v>0</v>
      </c>
      <c r="V63" s="149">
        <v>0</v>
      </c>
      <c r="W63" s="149">
        <v>0</v>
      </c>
      <c r="X63" s="149">
        <v>0</v>
      </c>
      <c r="Y63" s="149">
        <v>0</v>
      </c>
      <c r="Z63" s="149">
        <v>0</v>
      </c>
      <c r="AA63" s="150">
        <v>0</v>
      </c>
      <c r="AB63" s="31"/>
      <c r="AE63" s="67">
        <f ca="1">_xll.DBRW(Server&amp;Cube1,$H$13,$H$14,$H$15,$H$17,AE$2,$H$16,$B63)</f>
        <v>0</v>
      </c>
      <c r="AF63" s="70">
        <f ca="1">_xll.DBRW(Server&amp;Cube1,$H$13,$H$14,$H$15,$H$17,AF$2,$H$16,$B63)</f>
        <v>0</v>
      </c>
      <c r="AG63" s="70">
        <f ca="1">_xll.DBRW(Server&amp;Cube1,$H$13,$H$14,$H$15,$H$17,AG$2,$H$16,$B63)</f>
        <v>0</v>
      </c>
      <c r="AH63" s="70">
        <f ca="1">_xll.DBRW(Server&amp;Cube1,$H$13,$H$14,$H$15,$H$17,AH$2,$H$16,$B63)</f>
        <v>0</v>
      </c>
      <c r="AI63" s="70">
        <f ca="1">_xll.DBRW(Server&amp;Cube1,$H$13,$H$14,$H$15,$H$17,AI$2,$H$16,$B63)</f>
        <v>0</v>
      </c>
      <c r="AJ63" s="70">
        <f ca="1">_xll.DBRW(Server&amp;Cube1,$H$13,$H$14,$H$15,$H$17,AJ$2,$H$16,$B63)</f>
        <v>0</v>
      </c>
      <c r="AK63" s="70">
        <f ca="1">_xll.DBRW(Server&amp;Cube1,$H$13,$H$14,$H$15,$H$17,AK$2,$H$16,$B63)</f>
        <v>0</v>
      </c>
      <c r="AL63" s="70">
        <f ca="1">_xll.DBRW(Server&amp;Cube1,$H$13,$H$14,$H$15,$H$17,AL$2,$H$16,$B63)</f>
        <v>0</v>
      </c>
      <c r="AM63" s="70">
        <f ca="1">_xll.DBRW(Server&amp;Cube1,$H$13,$H$14,$H$15,$H$17,AM$2,$H$16,$B63)</f>
        <v>0</v>
      </c>
      <c r="AN63" s="70">
        <f ca="1">_xll.DBRW(Server&amp;Cube1,$H$13,$H$14,$H$15,$H$17,AN$2,$H$16,$B63)</f>
        <v>0</v>
      </c>
      <c r="AO63" s="70">
        <f ca="1">_xll.DBRW(Server&amp;Cube1,$H$13,$H$14,$H$15,$H$17,AO$2,$H$16,$B63)</f>
        <v>0</v>
      </c>
      <c r="AP63" s="71">
        <f ca="1">_xll.DBRW(Server&amp;Cube1,$H$13,$H$14,$H$15,$H$17,AP$2,$H$16,$B63)</f>
        <v>0</v>
      </c>
    </row>
    <row r="64" spans="1:42" ht="21" customHeight="1" x14ac:dyDescent="0.25">
      <c r="A64"/>
      <c r="B64" s="13" t="s">
        <v>86</v>
      </c>
      <c r="C64" s="13"/>
      <c r="D64" s="22"/>
      <c r="E64" s="171"/>
      <c r="F64" s="107"/>
      <c r="G64" s="305" t="str">
        <f ca="1">_xll.DBRA(Server&amp;$B$22,$B64,"French")</f>
        <v>Documentation technique CQC, livret et DVD</v>
      </c>
      <c r="H64" s="305" t="str">
        <f ca="1">_xll.DBRA(Server&amp;$B$22,$B64,"French")</f>
        <v>Documentation technique CQC, livret et DVD</v>
      </c>
      <c r="I64" s="37"/>
      <c r="J64" s="54">
        <f ca="1">_xll.DBRW(Server&amp;Cube1,$H$13,$J$3,$H$15,$J$1,$J$2,$H$16,$B64)</f>
        <v>-4355.04</v>
      </c>
      <c r="K64" s="37"/>
      <c r="L64" s="54">
        <f ca="1">_xll.DBRW(Server&amp;Cube1,$H$13,$L$3,$H$15,$L$1,$L$2,$H$16,$B64)</f>
        <v>0</v>
      </c>
      <c r="M64" s="55"/>
      <c r="N64" s="115">
        <f ca="1">_xll.DBRW(Server&amp;Cube1,$H$13,$H$14,$H$15,$N$1,N$2,$H$16,$B64)</f>
        <v>0</v>
      </c>
      <c r="O64" s="57"/>
      <c r="P64" s="156">
        <v>0</v>
      </c>
      <c r="Q64" s="157">
        <v>0</v>
      </c>
      <c r="R64" s="157">
        <v>0</v>
      </c>
      <c r="S64" s="157">
        <v>0</v>
      </c>
      <c r="T64" s="157">
        <v>0</v>
      </c>
      <c r="U64" s="157">
        <v>0</v>
      </c>
      <c r="V64" s="157">
        <v>0</v>
      </c>
      <c r="W64" s="157">
        <v>0</v>
      </c>
      <c r="X64" s="157">
        <v>0</v>
      </c>
      <c r="Y64" s="157">
        <v>0</v>
      </c>
      <c r="Z64" s="157">
        <v>0</v>
      </c>
      <c r="AA64" s="158">
        <v>0</v>
      </c>
      <c r="AB64" s="31"/>
      <c r="AE64" s="67">
        <f ca="1">_xll.DBRW(Server&amp;Cube1,$H$13,$H$14,$H$15,$H$17,AE$2,$H$16,$B64)</f>
        <v>0</v>
      </c>
      <c r="AF64" s="70">
        <f ca="1">_xll.DBRW(Server&amp;Cube1,$H$13,$H$14,$H$15,$H$17,AF$2,$H$16,$B64)</f>
        <v>0</v>
      </c>
      <c r="AG64" s="70">
        <f ca="1">_xll.DBRW(Server&amp;Cube1,$H$13,$H$14,$H$15,$H$17,AG$2,$H$16,$B64)</f>
        <v>0</v>
      </c>
      <c r="AH64" s="70">
        <f ca="1">_xll.DBRW(Server&amp;Cube1,$H$13,$H$14,$H$15,$H$17,AH$2,$H$16,$B64)</f>
        <v>0</v>
      </c>
      <c r="AI64" s="70">
        <f ca="1">_xll.DBRW(Server&amp;Cube1,$H$13,$H$14,$H$15,$H$17,AI$2,$H$16,$B64)</f>
        <v>0</v>
      </c>
      <c r="AJ64" s="70">
        <f ca="1">_xll.DBRW(Server&amp;Cube1,$H$13,$H$14,$H$15,$H$17,AJ$2,$H$16,$B64)</f>
        <v>0</v>
      </c>
      <c r="AK64" s="70">
        <f ca="1">_xll.DBRW(Server&amp;Cube1,$H$13,$H$14,$H$15,$H$17,AK$2,$H$16,$B64)</f>
        <v>0</v>
      </c>
      <c r="AL64" s="70">
        <f ca="1">_xll.DBRW(Server&amp;Cube1,$H$13,$H$14,$H$15,$H$17,AL$2,$H$16,$B64)</f>
        <v>0</v>
      </c>
      <c r="AM64" s="70">
        <f ca="1">_xll.DBRW(Server&amp;Cube1,$H$13,$H$14,$H$15,$H$17,AM$2,$H$16,$B64)</f>
        <v>0</v>
      </c>
      <c r="AN64" s="70">
        <f ca="1">_xll.DBRW(Server&amp;Cube1,$H$13,$H$14,$H$15,$H$17,AN$2,$H$16,$B64)</f>
        <v>0</v>
      </c>
      <c r="AO64" s="70">
        <f ca="1">_xll.DBRW(Server&amp;Cube1,$H$13,$H$14,$H$15,$H$17,AO$2,$H$16,$B64)</f>
        <v>0</v>
      </c>
      <c r="AP64" s="71">
        <f ca="1">_xll.DBRW(Server&amp;Cube1,$H$13,$H$14,$H$15,$H$17,AP$2,$H$16,$B64)</f>
        <v>0</v>
      </c>
    </row>
    <row r="65" spans="1:42" ht="21" customHeight="1" x14ac:dyDescent="0.25">
      <c r="A65"/>
      <c r="B65" s="13" t="s">
        <v>75</v>
      </c>
      <c r="C65" s="13"/>
      <c r="D65" s="22"/>
      <c r="E65" s="171"/>
      <c r="F65" s="107"/>
      <c r="G65" s="321" t="str">
        <f ca="1">_xll.DBRA(Server&amp;$B$22,$B65,"French")</f>
        <v>Documentation Livrets,DVD et Autres (coûts directs)</v>
      </c>
      <c r="H65" s="321" t="str">
        <f ca="1">_xll.DBRA(Server&amp;$B$22,$B65,"French")</f>
        <v>Documentation Livrets,DVD et Autres (coûts directs)</v>
      </c>
      <c r="I65" s="37"/>
      <c r="J65" s="73">
        <f ca="1">_xll.DBRW(Server&amp;Cube1,$H$13,$J$3,$H$15,$J$1,$J$2,$H$16,$B65)</f>
        <v>-4355.04</v>
      </c>
      <c r="K65" s="37"/>
      <c r="L65" s="73">
        <f ca="1">_xll.DBRW(Server&amp;Cube1,$H$13,$L$3,$H$15,$L$1,$L$2,$H$16,$B65)</f>
        <v>0</v>
      </c>
      <c r="M65" s="55"/>
      <c r="N65" s="141">
        <f ca="1">_xll.DBRW(Server&amp;Cube1,$H$13,$H$14,$H$15,$N$1,N$2,$H$16,$B65)</f>
        <v>0</v>
      </c>
      <c r="O65" s="57"/>
      <c r="P65" s="160">
        <v>0</v>
      </c>
      <c r="Q65" s="161">
        <v>0</v>
      </c>
      <c r="R65" s="161">
        <v>0</v>
      </c>
      <c r="S65" s="161">
        <v>0</v>
      </c>
      <c r="T65" s="161">
        <v>0</v>
      </c>
      <c r="U65" s="161">
        <v>0</v>
      </c>
      <c r="V65" s="161">
        <v>0</v>
      </c>
      <c r="W65" s="161">
        <v>0</v>
      </c>
      <c r="X65" s="161">
        <v>0</v>
      </c>
      <c r="Y65" s="161">
        <v>0</v>
      </c>
      <c r="Z65" s="161">
        <v>0</v>
      </c>
      <c r="AA65" s="162">
        <v>0</v>
      </c>
      <c r="AB65" s="31"/>
      <c r="AE65" s="67">
        <f ca="1">_xll.DBRW(Server&amp;Cube1,$H$13,$H$14,$H$15,$H$17,AE$2,$H$16,$B65)</f>
        <v>0</v>
      </c>
      <c r="AF65" s="70">
        <f ca="1">_xll.DBRW(Server&amp;Cube1,$H$13,$H$14,$H$15,$H$17,AF$2,$H$16,$B65)</f>
        <v>0</v>
      </c>
      <c r="AG65" s="70">
        <f ca="1">_xll.DBRW(Server&amp;Cube1,$H$13,$H$14,$H$15,$H$17,AG$2,$H$16,$B65)</f>
        <v>0</v>
      </c>
      <c r="AH65" s="70">
        <f ca="1">_xll.DBRW(Server&amp;Cube1,$H$13,$H$14,$H$15,$H$17,AH$2,$H$16,$B65)</f>
        <v>0</v>
      </c>
      <c r="AI65" s="70">
        <f ca="1">_xll.DBRW(Server&amp;Cube1,$H$13,$H$14,$H$15,$H$17,AI$2,$H$16,$B65)</f>
        <v>0</v>
      </c>
      <c r="AJ65" s="70">
        <f ca="1">_xll.DBRW(Server&amp;Cube1,$H$13,$H$14,$H$15,$H$17,AJ$2,$H$16,$B65)</f>
        <v>0</v>
      </c>
      <c r="AK65" s="70">
        <f ca="1">_xll.DBRW(Server&amp;Cube1,$H$13,$H$14,$H$15,$H$17,AK$2,$H$16,$B65)</f>
        <v>0</v>
      </c>
      <c r="AL65" s="70">
        <f ca="1">_xll.DBRW(Server&amp;Cube1,$H$13,$H$14,$H$15,$H$17,AL$2,$H$16,$B65)</f>
        <v>0</v>
      </c>
      <c r="AM65" s="70">
        <f ca="1">_xll.DBRW(Server&amp;Cube1,$H$13,$H$14,$H$15,$H$17,AM$2,$H$16,$B65)</f>
        <v>0</v>
      </c>
      <c r="AN65" s="70">
        <f ca="1">_xll.DBRW(Server&amp;Cube1,$H$13,$H$14,$H$15,$H$17,AN$2,$H$16,$B65)</f>
        <v>0</v>
      </c>
      <c r="AO65" s="70">
        <f ca="1">_xll.DBRW(Server&amp;Cube1,$H$13,$H$14,$H$15,$H$17,AO$2,$H$16,$B65)</f>
        <v>0</v>
      </c>
      <c r="AP65" s="71">
        <f ca="1">_xll.DBRW(Server&amp;Cube1,$H$13,$H$14,$H$15,$H$17,AP$2,$H$16,$B65)</f>
        <v>0</v>
      </c>
    </row>
    <row r="66" spans="1:42" ht="21" customHeight="1" x14ac:dyDescent="0.25">
      <c r="A66"/>
      <c r="B66" s="144" t="s">
        <v>75</v>
      </c>
      <c r="C66" s="12"/>
      <c r="D66" s="21"/>
      <c r="E66" s="169"/>
      <c r="F66" s="105"/>
      <c r="G66" s="319" t="s">
        <v>102</v>
      </c>
      <c r="H66" s="319"/>
      <c r="I66" s="127"/>
      <c r="J66" s="137"/>
      <c r="K66" s="127"/>
      <c r="L66" s="137"/>
      <c r="M66" s="134"/>
      <c r="N66" s="108">
        <f ca="1">_xll.DBRW(Server&amp;Cube1,$H$13,$H$14,$H$15,$N$3,N$2,$H$16,$B66)</f>
        <v>0</v>
      </c>
      <c r="O66" s="135"/>
      <c r="P66" s="151">
        <v>0</v>
      </c>
      <c r="Q66" s="152">
        <v>0</v>
      </c>
      <c r="R66" s="152">
        <v>0</v>
      </c>
      <c r="S66" s="152">
        <v>0</v>
      </c>
      <c r="T66" s="152">
        <v>0</v>
      </c>
      <c r="U66" s="152">
        <v>0</v>
      </c>
      <c r="V66" s="152">
        <v>0</v>
      </c>
      <c r="W66" s="152">
        <v>0</v>
      </c>
      <c r="X66" s="152">
        <v>0</v>
      </c>
      <c r="Y66" s="152">
        <v>0</v>
      </c>
      <c r="Z66" s="152">
        <v>0</v>
      </c>
      <c r="AA66" s="159">
        <v>0</v>
      </c>
      <c r="AB66" s="31"/>
      <c r="AE66" s="90">
        <f ca="1">IF($AE$3=1,_xll.DBSW(P66,Server&amp;Cube1,$H$13,$H$14,$H$15,$AE$1,AE$2,$H$16,$B66),_xll.DBRW(Server&amp;Cube1,$H$13,$H$14,$H$15,$AE$1,AE$2,$H$16,$B66))</f>
        <v>0</v>
      </c>
      <c r="AF66" s="90">
        <f ca="1">IF($AE$3=1,_xll.DBSW(Q66,Server&amp;Cube1,$H$13,$H$14,$H$15,$AE$1,AF$2,$H$16,$B66),_xll.DBRW(Server&amp;Cube1,$H$13,$H$14,$H$15,$AE$1,AF$2,$H$16,$B66))</f>
        <v>0</v>
      </c>
      <c r="AG66" s="90">
        <f ca="1">IF($AE$3=1,_xll.DBSW(R66,Server&amp;Cube1,$H$13,$H$14,$H$15,$AE$1,AG$2,$H$16,$B66),_xll.DBRW(Server&amp;Cube1,$H$13,$H$14,$H$15,$AE$1,AG$2,$H$16,$B66))</f>
        <v>0</v>
      </c>
      <c r="AH66" s="90">
        <f ca="1">IF($AE$3=1,_xll.DBSW(S66,Server&amp;Cube1,$H$13,$H$14,$H$15,$AE$1,AH$2,$H$16,$B66),_xll.DBRW(Server&amp;Cube1,$H$13,$H$14,$H$15,$AE$1,AH$2,$H$16,$B66))</f>
        <v>0</v>
      </c>
      <c r="AI66" s="90">
        <f ca="1">IF($AE$3=1,_xll.DBSW(T66,Server&amp;Cube1,$H$13,$H$14,$H$15,$AE$1,AI$2,$H$16,$B66),_xll.DBRW(Server&amp;Cube1,$H$13,$H$14,$H$15,$AE$1,AI$2,$H$16,$B66))</f>
        <v>0</v>
      </c>
      <c r="AJ66" s="90">
        <f ca="1">IF($AE$3=1,_xll.DBSW(U66,Server&amp;Cube1,$H$13,$H$14,$H$15,$AE$1,AJ$2,$H$16,$B66),_xll.DBRW(Server&amp;Cube1,$H$13,$H$14,$H$15,$AE$1,AJ$2,$H$16,$B66))</f>
        <v>0</v>
      </c>
      <c r="AK66" s="90">
        <f ca="1">IF($AE$3=1,_xll.DBSW(V66,Server&amp;Cube1,$H$13,$H$14,$H$15,$AE$1,AK$2,$H$16,$B66),_xll.DBRW(Server&amp;Cube1,$H$13,$H$14,$H$15,$AE$1,AK$2,$H$16,$B66))</f>
        <v>0</v>
      </c>
      <c r="AL66" s="90">
        <f ca="1">IF($AE$3=1,_xll.DBSW(W66,Server&amp;Cube1,$H$13,$H$14,$H$15,$AE$1,AL$2,$H$16,$B66),_xll.DBRW(Server&amp;Cube1,$H$13,$H$14,$H$15,$AE$1,AL$2,$H$16,$B66))</f>
        <v>0</v>
      </c>
      <c r="AM66" s="90">
        <f ca="1">IF($AE$3=1,_xll.DBSW(X66,Server&amp;Cube1,$H$13,$H$14,$H$15,$AE$1,AM$2,$H$16,$B66),_xll.DBRW(Server&amp;Cube1,$H$13,$H$14,$H$15,$AE$1,AM$2,$H$16,$B66))</f>
        <v>0</v>
      </c>
      <c r="AN66" s="90">
        <f ca="1">IF($AE$3=1,_xll.DBSW(Y66,Server&amp;Cube1,$H$13,$H$14,$H$15,$AE$1,AN$2,$H$16,$B66),_xll.DBRW(Server&amp;Cube1,$H$13,$H$14,$H$15,$AE$1,AN$2,$H$16,$B66))</f>
        <v>0</v>
      </c>
      <c r="AO66" s="90">
        <f ca="1">IF($AE$3=1,_xll.DBSW(Z66,Server&amp;Cube1,$H$13,$H$14,$H$15,$AE$1,AO$2,$H$16,$B66),_xll.DBRW(Server&amp;Cube1,$H$13,$H$14,$H$15,$AE$1,AO$2,$H$16,$B66))</f>
        <v>0</v>
      </c>
      <c r="AP66" s="90">
        <f ca="1">IF($AE$3=1,_xll.DBSW(AA66,Server&amp;Cube1,$H$13,$H$14,$H$15,$AE$1,AP$2,$H$16,$B66),_xll.DBRW(Server&amp;Cube1,$H$13,$H$14,$H$15,$AE$1,AP$2,$H$16,$B66))</f>
        <v>0</v>
      </c>
    </row>
    <row r="67" spans="1:42" ht="21" customHeight="1" x14ac:dyDescent="0.25">
      <c r="A67"/>
      <c r="B67" s="13" t="s">
        <v>76</v>
      </c>
      <c r="C67" s="13"/>
      <c r="D67" s="22"/>
      <c r="E67" s="171"/>
      <c r="F67" s="107"/>
      <c r="G67" s="321" t="str">
        <f ca="1">_xll.DBRA(Server&amp;$B$22,$B67,"French")</f>
        <v>Cartes CQC (charge)</v>
      </c>
      <c r="H67" s="321" t="str">
        <f ca="1">_xll.DBRA(Server&amp;$B$22,$B67,"French")</f>
        <v>Cartes CQC (charge)</v>
      </c>
      <c r="I67" s="37"/>
      <c r="J67" s="73">
        <f ca="1">_xll.DBRW(Server&amp;Cube1,$H$13,$J$3,$H$15,$J$1,$J$2,$H$16,$B67)</f>
        <v>0</v>
      </c>
      <c r="K67" s="37"/>
      <c r="L67" s="73">
        <f ca="1">_xll.DBRW(Server&amp;Cube1,$H$13,$L$3,$H$15,$L$1,$L$2,$H$16,$B67)</f>
        <v>0</v>
      </c>
      <c r="M67" s="55"/>
      <c r="N67" s="141">
        <f ca="1">_xll.DBRW(Server&amp;Cube1,$H$13,$H$14,$H$15,$N$1,N$2,$H$16,$B67)</f>
        <v>0</v>
      </c>
      <c r="O67" s="57"/>
      <c r="P67" s="160">
        <v>0</v>
      </c>
      <c r="Q67" s="161">
        <v>0</v>
      </c>
      <c r="R67" s="161">
        <v>0</v>
      </c>
      <c r="S67" s="161">
        <v>0</v>
      </c>
      <c r="T67" s="161">
        <v>0</v>
      </c>
      <c r="U67" s="161">
        <v>0</v>
      </c>
      <c r="V67" s="161">
        <v>0</v>
      </c>
      <c r="W67" s="161">
        <v>0</v>
      </c>
      <c r="X67" s="161">
        <v>0</v>
      </c>
      <c r="Y67" s="161">
        <v>0</v>
      </c>
      <c r="Z67" s="161">
        <v>0</v>
      </c>
      <c r="AA67" s="162">
        <v>0</v>
      </c>
      <c r="AB67" s="31"/>
      <c r="AE67" s="67">
        <f ca="1">_xll.DBRW(Server&amp;Cube1,$H$13,$H$14,$H$15,$H$17,AE$2,$H$16,$B67)</f>
        <v>0</v>
      </c>
      <c r="AF67" s="70">
        <f ca="1">_xll.DBRW(Server&amp;Cube1,$H$13,$H$14,$H$15,$H$17,AF$2,$H$16,$B67)</f>
        <v>0</v>
      </c>
      <c r="AG67" s="70">
        <f ca="1">_xll.DBRW(Server&amp;Cube1,$H$13,$H$14,$H$15,$H$17,AG$2,$H$16,$B67)</f>
        <v>0</v>
      </c>
      <c r="AH67" s="70">
        <f ca="1">_xll.DBRW(Server&amp;Cube1,$H$13,$H$14,$H$15,$H$17,AH$2,$H$16,$B67)</f>
        <v>0</v>
      </c>
      <c r="AI67" s="70">
        <f ca="1">_xll.DBRW(Server&amp;Cube1,$H$13,$H$14,$H$15,$H$17,AI$2,$H$16,$B67)</f>
        <v>0</v>
      </c>
      <c r="AJ67" s="70">
        <f ca="1">_xll.DBRW(Server&amp;Cube1,$H$13,$H$14,$H$15,$H$17,AJ$2,$H$16,$B67)</f>
        <v>0</v>
      </c>
      <c r="AK67" s="70">
        <f ca="1">_xll.DBRW(Server&amp;Cube1,$H$13,$H$14,$H$15,$H$17,AK$2,$H$16,$B67)</f>
        <v>0</v>
      </c>
      <c r="AL67" s="70">
        <f ca="1">_xll.DBRW(Server&amp;Cube1,$H$13,$H$14,$H$15,$H$17,AL$2,$H$16,$B67)</f>
        <v>0</v>
      </c>
      <c r="AM67" s="70">
        <f ca="1">_xll.DBRW(Server&amp;Cube1,$H$13,$H$14,$H$15,$H$17,AM$2,$H$16,$B67)</f>
        <v>0</v>
      </c>
      <c r="AN67" s="70">
        <f ca="1">_xll.DBRW(Server&amp;Cube1,$H$13,$H$14,$H$15,$H$17,AN$2,$H$16,$B67)</f>
        <v>0</v>
      </c>
      <c r="AO67" s="70">
        <f ca="1">_xll.DBRW(Server&amp;Cube1,$H$13,$H$14,$H$15,$H$17,AO$2,$H$16,$B67)</f>
        <v>0</v>
      </c>
      <c r="AP67" s="71">
        <f ca="1">_xll.DBRW(Server&amp;Cube1,$H$13,$H$14,$H$15,$H$17,AP$2,$H$16,$B67)</f>
        <v>0</v>
      </c>
    </row>
    <row r="68" spans="1:42" ht="21" customHeight="1" x14ac:dyDescent="0.25">
      <c r="A68"/>
      <c r="B68" s="144" t="s">
        <v>76</v>
      </c>
      <c r="C68" s="12"/>
      <c r="D68" s="21"/>
      <c r="E68" s="169"/>
      <c r="F68" s="105"/>
      <c r="G68" s="319" t="s">
        <v>102</v>
      </c>
      <c r="H68" s="319"/>
      <c r="I68" s="127"/>
      <c r="J68" s="137"/>
      <c r="K68" s="127"/>
      <c r="L68" s="137"/>
      <c r="M68" s="134"/>
      <c r="N68" s="108">
        <f ca="1">_xll.DBRW(Server&amp;Cube1,$H$13,$H$14,$H$15,$N$3,N$2,$H$16,$B68)</f>
        <v>0</v>
      </c>
      <c r="O68" s="135"/>
      <c r="P68" s="151">
        <v>0</v>
      </c>
      <c r="Q68" s="152">
        <v>0</v>
      </c>
      <c r="R68" s="152">
        <v>0</v>
      </c>
      <c r="S68" s="152">
        <v>0</v>
      </c>
      <c r="T68" s="152">
        <v>0</v>
      </c>
      <c r="U68" s="152">
        <v>0</v>
      </c>
      <c r="V68" s="152">
        <v>0</v>
      </c>
      <c r="W68" s="152">
        <v>0</v>
      </c>
      <c r="X68" s="152">
        <v>0</v>
      </c>
      <c r="Y68" s="152">
        <v>0</v>
      </c>
      <c r="Z68" s="152">
        <v>0</v>
      </c>
      <c r="AA68" s="159">
        <v>0</v>
      </c>
      <c r="AB68" s="31"/>
      <c r="AE68" s="90">
        <f ca="1">IF($AE$3=1,_xll.DBSW(P68,Server&amp;Cube1,$H$13,$H$14,$H$15,$AE$1,AE$2,$H$16,$B68),_xll.DBRW(Server&amp;Cube1,$H$13,$H$14,$H$15,$AE$1,AE$2,$H$16,$B68))</f>
        <v>0</v>
      </c>
      <c r="AF68" s="90">
        <f ca="1">IF($AE$3=1,_xll.DBSW(Q68,Server&amp;Cube1,$H$13,$H$14,$H$15,$AE$1,AF$2,$H$16,$B68),_xll.DBRW(Server&amp;Cube1,$H$13,$H$14,$H$15,$AE$1,AF$2,$H$16,$B68))</f>
        <v>0</v>
      </c>
      <c r="AG68" s="90">
        <f ca="1">IF($AE$3=1,_xll.DBSW(R68,Server&amp;Cube1,$H$13,$H$14,$H$15,$AE$1,AG$2,$H$16,$B68),_xll.DBRW(Server&amp;Cube1,$H$13,$H$14,$H$15,$AE$1,AG$2,$H$16,$B68))</f>
        <v>0</v>
      </c>
      <c r="AH68" s="90">
        <f ca="1">IF($AE$3=1,_xll.DBSW(S68,Server&amp;Cube1,$H$13,$H$14,$H$15,$AE$1,AH$2,$H$16,$B68),_xll.DBRW(Server&amp;Cube1,$H$13,$H$14,$H$15,$AE$1,AH$2,$H$16,$B68))</f>
        <v>0</v>
      </c>
      <c r="AI68" s="90">
        <f ca="1">IF($AE$3=1,_xll.DBSW(T68,Server&amp;Cube1,$H$13,$H$14,$H$15,$AE$1,AI$2,$H$16,$B68),_xll.DBRW(Server&amp;Cube1,$H$13,$H$14,$H$15,$AE$1,AI$2,$H$16,$B68))</f>
        <v>0</v>
      </c>
      <c r="AJ68" s="90">
        <f ca="1">IF($AE$3=1,_xll.DBSW(U68,Server&amp;Cube1,$H$13,$H$14,$H$15,$AE$1,AJ$2,$H$16,$B68),_xll.DBRW(Server&amp;Cube1,$H$13,$H$14,$H$15,$AE$1,AJ$2,$H$16,$B68))</f>
        <v>0</v>
      </c>
      <c r="AK68" s="90">
        <f ca="1">IF($AE$3=1,_xll.DBSW(V68,Server&amp;Cube1,$H$13,$H$14,$H$15,$AE$1,AK$2,$H$16,$B68),_xll.DBRW(Server&amp;Cube1,$H$13,$H$14,$H$15,$AE$1,AK$2,$H$16,$B68))</f>
        <v>0</v>
      </c>
      <c r="AL68" s="90">
        <f ca="1">IF($AE$3=1,_xll.DBSW(W68,Server&amp;Cube1,$H$13,$H$14,$H$15,$AE$1,AL$2,$H$16,$B68),_xll.DBRW(Server&amp;Cube1,$H$13,$H$14,$H$15,$AE$1,AL$2,$H$16,$B68))</f>
        <v>0</v>
      </c>
      <c r="AM68" s="90">
        <f ca="1">IF($AE$3=1,_xll.DBSW(X68,Server&amp;Cube1,$H$13,$H$14,$H$15,$AE$1,AM$2,$H$16,$B68),_xll.DBRW(Server&amp;Cube1,$H$13,$H$14,$H$15,$AE$1,AM$2,$H$16,$B68))</f>
        <v>0</v>
      </c>
      <c r="AN68" s="90">
        <f ca="1">IF($AE$3=1,_xll.DBSW(Y68,Server&amp;Cube1,$H$13,$H$14,$H$15,$AE$1,AN$2,$H$16,$B68),_xll.DBRW(Server&amp;Cube1,$H$13,$H$14,$H$15,$AE$1,AN$2,$H$16,$B68))</f>
        <v>0</v>
      </c>
      <c r="AO68" s="90">
        <f ca="1">IF($AE$3=1,_xll.DBSW(Z68,Server&amp;Cube1,$H$13,$H$14,$H$15,$AE$1,AO$2,$H$16,$B68),_xll.DBRW(Server&amp;Cube1,$H$13,$H$14,$H$15,$AE$1,AO$2,$H$16,$B68))</f>
        <v>0</v>
      </c>
      <c r="AP68" s="90">
        <f ca="1">IF($AE$3=1,_xll.DBSW(AA68,Server&amp;Cube1,$H$13,$H$14,$H$15,$AE$1,AP$2,$H$16,$B68),_xll.DBRW(Server&amp;Cube1,$H$13,$H$14,$H$15,$AE$1,AP$2,$H$16,$B68))</f>
        <v>0</v>
      </c>
    </row>
    <row r="69" spans="1:42" ht="21" customHeight="1" x14ac:dyDescent="0.25">
      <c r="A69"/>
      <c r="B69" s="13">
        <v>618100</v>
      </c>
      <c r="C69" s="13"/>
      <c r="D69" s="22"/>
      <c r="E69" s="171"/>
      <c r="F69" s="107"/>
      <c r="G69" s="305" t="s">
        <v>113</v>
      </c>
      <c r="H69" s="305"/>
      <c r="I69" s="37"/>
      <c r="J69" s="54">
        <f ca="1">_xll.DBRW(Server&amp;Cube1,$H$13,$J$3,$H$15,$J$1,$J$2,$H$16,$B69)</f>
        <v>-22211.91</v>
      </c>
      <c r="K69" s="37"/>
      <c r="L69" s="54">
        <f ca="1">_xll.DBRW(Server&amp;Cube1,$H$13,$L$3,$H$15,$L$1,$L$2,$H$16,$B69)</f>
        <v>0</v>
      </c>
      <c r="M69" s="55"/>
      <c r="N69" s="139">
        <f ca="1">_xll.DBRW(Server&amp;Cube1,$H$13,$H$14,$H$15,$N$1,N$2,$H$16,$B69)</f>
        <v>0</v>
      </c>
      <c r="O69" s="57"/>
      <c r="P69" s="156">
        <v>0</v>
      </c>
      <c r="Q69" s="157">
        <v>0</v>
      </c>
      <c r="R69" s="157">
        <v>0</v>
      </c>
      <c r="S69" s="157">
        <v>0</v>
      </c>
      <c r="T69" s="157">
        <v>0</v>
      </c>
      <c r="U69" s="157">
        <v>0</v>
      </c>
      <c r="V69" s="157">
        <v>0</v>
      </c>
      <c r="W69" s="157">
        <v>0</v>
      </c>
      <c r="X69" s="157">
        <v>0</v>
      </c>
      <c r="Y69" s="157">
        <v>0</v>
      </c>
      <c r="Z69" s="157">
        <v>0</v>
      </c>
      <c r="AA69" s="158">
        <v>0</v>
      </c>
      <c r="AB69" s="31"/>
      <c r="AE69" s="67">
        <f ca="1">_xll.DBRW(Server&amp;Cube1,$H$13,$H$14,$H$15,$H$17,AE$2,$H$16,$B69)</f>
        <v>0</v>
      </c>
      <c r="AF69" s="70">
        <f ca="1">_xll.DBRW(Server&amp;Cube1,$H$13,$H$14,$H$15,$H$17,AF$2,$H$16,$B69)</f>
        <v>0</v>
      </c>
      <c r="AG69" s="70">
        <f ca="1">_xll.DBRW(Server&amp;Cube1,$H$13,$H$14,$H$15,$H$17,AG$2,$H$16,$B69)</f>
        <v>0</v>
      </c>
      <c r="AH69" s="70">
        <f ca="1">_xll.DBRW(Server&amp;Cube1,$H$13,$H$14,$H$15,$H$17,AH$2,$H$16,$B69)</f>
        <v>0</v>
      </c>
      <c r="AI69" s="70">
        <f ca="1">_xll.DBRW(Server&amp;Cube1,$H$13,$H$14,$H$15,$H$17,AI$2,$H$16,$B69)</f>
        <v>0</v>
      </c>
      <c r="AJ69" s="70">
        <f ca="1">_xll.DBRW(Server&amp;Cube1,$H$13,$H$14,$H$15,$H$17,AJ$2,$H$16,$B69)</f>
        <v>0</v>
      </c>
      <c r="AK69" s="70">
        <f ca="1">_xll.DBRW(Server&amp;Cube1,$H$13,$H$14,$H$15,$H$17,AK$2,$H$16,$B69)</f>
        <v>0</v>
      </c>
      <c r="AL69" s="70">
        <f ca="1">_xll.DBRW(Server&amp;Cube1,$H$13,$H$14,$H$15,$H$17,AL$2,$H$16,$B69)</f>
        <v>0</v>
      </c>
      <c r="AM69" s="70">
        <f ca="1">_xll.DBRW(Server&amp;Cube1,$H$13,$H$14,$H$15,$H$17,AM$2,$H$16,$B69)</f>
        <v>0</v>
      </c>
      <c r="AN69" s="70">
        <f ca="1">_xll.DBRW(Server&amp;Cube1,$H$13,$H$14,$H$15,$H$17,AN$2,$H$16,$B69)</f>
        <v>0</v>
      </c>
      <c r="AO69" s="70">
        <f ca="1">_xll.DBRW(Server&amp;Cube1,$H$13,$H$14,$H$15,$H$17,AO$2,$H$16,$B69)</f>
        <v>0</v>
      </c>
      <c r="AP69" s="71">
        <f ca="1">_xll.DBRW(Server&amp;Cube1,$H$13,$H$14,$H$15,$H$17,AP$2,$H$16,$B69)</f>
        <v>0</v>
      </c>
    </row>
    <row r="70" spans="1:42" ht="21" customHeight="1" x14ac:dyDescent="0.25">
      <c r="A70"/>
      <c r="B70" s="144">
        <v>618100</v>
      </c>
      <c r="C70" s="12"/>
      <c r="D70" s="21"/>
      <c r="E70" s="169"/>
      <c r="F70" s="105"/>
      <c r="G70" s="319" t="s">
        <v>102</v>
      </c>
      <c r="H70" s="319"/>
      <c r="I70" s="127"/>
      <c r="J70" s="137"/>
      <c r="K70" s="127"/>
      <c r="L70" s="137"/>
      <c r="M70" s="134"/>
      <c r="N70" s="108">
        <f ca="1">_xll.DBRW(Server&amp;Cube1,$H$13,$H$14,$H$15,$N$3,N$2,$H$16,$B70)</f>
        <v>0</v>
      </c>
      <c r="O70" s="135"/>
      <c r="P70" s="151">
        <v>0</v>
      </c>
      <c r="Q70" s="152">
        <v>0</v>
      </c>
      <c r="R70" s="152">
        <v>0</v>
      </c>
      <c r="S70" s="152">
        <v>0</v>
      </c>
      <c r="T70" s="152">
        <v>0</v>
      </c>
      <c r="U70" s="152">
        <v>0</v>
      </c>
      <c r="V70" s="152">
        <v>0</v>
      </c>
      <c r="W70" s="152">
        <v>0</v>
      </c>
      <c r="X70" s="152">
        <v>0</v>
      </c>
      <c r="Y70" s="152">
        <v>0</v>
      </c>
      <c r="Z70" s="152">
        <v>0</v>
      </c>
      <c r="AA70" s="159">
        <v>0</v>
      </c>
      <c r="AB70" s="31"/>
      <c r="AE70" s="90">
        <f ca="1">IF($AE$3=1,_xll.DBSW(P70,Server&amp;Cube1,$H$13,$H$14,$H$15,$AE$1,AE$2,$H$16,$B70),_xll.DBRW(Server&amp;Cube1,$H$13,$H$14,$H$15,$AE$1,AE$2,$H$16,$B70))</f>
        <v>0</v>
      </c>
      <c r="AF70" s="90">
        <f ca="1">IF($AE$3=1,_xll.DBSW(Q70,Server&amp;Cube1,$H$13,$H$14,$H$15,$AE$1,AF$2,$H$16,$B70),_xll.DBRW(Server&amp;Cube1,$H$13,$H$14,$H$15,$AE$1,AF$2,$H$16,$B70))</f>
        <v>0</v>
      </c>
      <c r="AG70" s="90">
        <f ca="1">IF($AE$3=1,_xll.DBSW(R70,Server&amp;Cube1,$H$13,$H$14,$H$15,$AE$1,AG$2,$H$16,$B70),_xll.DBRW(Server&amp;Cube1,$H$13,$H$14,$H$15,$AE$1,AG$2,$H$16,$B70))</f>
        <v>0</v>
      </c>
      <c r="AH70" s="90">
        <f ca="1">IF($AE$3=1,_xll.DBSW(S70,Server&amp;Cube1,$H$13,$H$14,$H$15,$AE$1,AH$2,$H$16,$B70),_xll.DBRW(Server&amp;Cube1,$H$13,$H$14,$H$15,$AE$1,AH$2,$H$16,$B70))</f>
        <v>0</v>
      </c>
      <c r="AI70" s="90">
        <f ca="1">IF($AE$3=1,_xll.DBSW(T70,Server&amp;Cube1,$H$13,$H$14,$H$15,$AE$1,AI$2,$H$16,$B70),_xll.DBRW(Server&amp;Cube1,$H$13,$H$14,$H$15,$AE$1,AI$2,$H$16,$B70))</f>
        <v>0</v>
      </c>
      <c r="AJ70" s="90">
        <f ca="1">IF($AE$3=1,_xll.DBSW(U70,Server&amp;Cube1,$H$13,$H$14,$H$15,$AE$1,AJ$2,$H$16,$B70),_xll.DBRW(Server&amp;Cube1,$H$13,$H$14,$H$15,$AE$1,AJ$2,$H$16,$B70))</f>
        <v>0</v>
      </c>
      <c r="AK70" s="90">
        <f ca="1">IF($AE$3=1,_xll.DBSW(V70,Server&amp;Cube1,$H$13,$H$14,$H$15,$AE$1,AK$2,$H$16,$B70),_xll.DBRW(Server&amp;Cube1,$H$13,$H$14,$H$15,$AE$1,AK$2,$H$16,$B70))</f>
        <v>0</v>
      </c>
      <c r="AL70" s="90">
        <f ca="1">IF($AE$3=1,_xll.DBSW(W70,Server&amp;Cube1,$H$13,$H$14,$H$15,$AE$1,AL$2,$H$16,$B70),_xll.DBRW(Server&amp;Cube1,$H$13,$H$14,$H$15,$AE$1,AL$2,$H$16,$B70))</f>
        <v>0</v>
      </c>
      <c r="AM70" s="90">
        <f ca="1">IF($AE$3=1,_xll.DBSW(X70,Server&amp;Cube1,$H$13,$H$14,$H$15,$AE$1,AM$2,$H$16,$B70),_xll.DBRW(Server&amp;Cube1,$H$13,$H$14,$H$15,$AE$1,AM$2,$H$16,$B70))</f>
        <v>0</v>
      </c>
      <c r="AN70" s="90">
        <f ca="1">IF($AE$3=1,_xll.DBSW(Y70,Server&amp;Cube1,$H$13,$H$14,$H$15,$AE$1,AN$2,$H$16,$B70),_xll.DBRW(Server&amp;Cube1,$H$13,$H$14,$H$15,$AE$1,AN$2,$H$16,$B70))</f>
        <v>0</v>
      </c>
      <c r="AO70" s="90">
        <f ca="1">IF($AE$3=1,_xll.DBSW(Z70,Server&amp;Cube1,$H$13,$H$14,$H$15,$AE$1,AO$2,$H$16,$B70),_xll.DBRW(Server&amp;Cube1,$H$13,$H$14,$H$15,$AE$1,AO$2,$H$16,$B70))</f>
        <v>0</v>
      </c>
      <c r="AP70" s="90">
        <f ca="1">IF($AE$3=1,_xll.DBSW(AA70,Server&amp;Cube1,$H$13,$H$14,$H$15,$AE$1,AP$2,$H$16,$B70),_xll.DBRW(Server&amp;Cube1,$H$13,$H$14,$H$15,$AE$1,AP$2,$H$16,$B70))</f>
        <v>0</v>
      </c>
    </row>
    <row r="71" spans="1:42" ht="21" customHeight="1" x14ac:dyDescent="0.25">
      <c r="A71"/>
      <c r="B71" s="13" t="s">
        <v>30</v>
      </c>
      <c r="C71" s="13"/>
      <c r="D71" s="22"/>
      <c r="E71" s="171"/>
      <c r="F71" s="107"/>
      <c r="G71" s="305" t="str">
        <f ca="1">_xll.DBRA(Server&amp;$B$22,$B71,"French")</f>
        <v>Catalogue "Siège"</v>
      </c>
      <c r="H71" s="305" t="str">
        <f ca="1">_xll.DBRA(Server&amp;$B$22,$B71,"French")</f>
        <v>Catalogue "Siège"</v>
      </c>
      <c r="I71" s="37"/>
      <c r="J71" s="54">
        <f ca="1">_xll.DBRW(Server&amp;Cube1,$H$13,$J$3,$H$15,$J$1,$J$2,$H$16,$B71)</f>
        <v>0</v>
      </c>
      <c r="K71" s="37"/>
      <c r="L71" s="54">
        <f ca="1">_xll.DBRW(Server&amp;Cube1,$H$13,$L$3,$H$15,$L$1,$L$2,$H$16,$B71)</f>
        <v>0</v>
      </c>
      <c r="M71" s="55"/>
      <c r="N71" s="139">
        <f ca="1">_xll.DBRW(Server&amp;Cube1,$H$13,$H$14,$H$15,$N$1,N$2,$H$16,$B71)</f>
        <v>0</v>
      </c>
      <c r="O71" s="57"/>
      <c r="P71" s="156">
        <v>0</v>
      </c>
      <c r="Q71" s="157">
        <v>0</v>
      </c>
      <c r="R71" s="157">
        <v>0</v>
      </c>
      <c r="S71" s="157">
        <v>0</v>
      </c>
      <c r="T71" s="157">
        <v>0</v>
      </c>
      <c r="U71" s="157">
        <v>0</v>
      </c>
      <c r="V71" s="157">
        <v>0</v>
      </c>
      <c r="W71" s="157">
        <v>0</v>
      </c>
      <c r="X71" s="157">
        <v>0</v>
      </c>
      <c r="Y71" s="157">
        <v>0</v>
      </c>
      <c r="Z71" s="157">
        <v>0</v>
      </c>
      <c r="AA71" s="158">
        <v>0</v>
      </c>
      <c r="AB71" s="31"/>
      <c r="AE71" s="67">
        <f ca="1">_xll.DBRW(Server&amp;Cube1,$H$13,$H$14,$H$15,$H$17,AE$2,$H$16,$B71)</f>
        <v>0</v>
      </c>
      <c r="AF71" s="70">
        <f ca="1">_xll.DBRW(Server&amp;Cube1,$H$13,$H$14,$H$15,$H$17,AF$2,$H$16,$B71)</f>
        <v>0</v>
      </c>
      <c r="AG71" s="70">
        <f ca="1">_xll.DBRW(Server&amp;Cube1,$H$13,$H$14,$H$15,$H$17,AG$2,$H$16,$B71)</f>
        <v>0</v>
      </c>
      <c r="AH71" s="70">
        <f ca="1">_xll.DBRW(Server&amp;Cube1,$H$13,$H$14,$H$15,$H$17,AH$2,$H$16,$B71)</f>
        <v>0</v>
      </c>
      <c r="AI71" s="70">
        <f ca="1">_xll.DBRW(Server&amp;Cube1,$H$13,$H$14,$H$15,$H$17,AI$2,$H$16,$B71)</f>
        <v>0</v>
      </c>
      <c r="AJ71" s="70">
        <f ca="1">_xll.DBRW(Server&amp;Cube1,$H$13,$H$14,$H$15,$H$17,AJ$2,$H$16,$B71)</f>
        <v>0</v>
      </c>
      <c r="AK71" s="70">
        <f ca="1">_xll.DBRW(Server&amp;Cube1,$H$13,$H$14,$H$15,$H$17,AK$2,$H$16,$B71)</f>
        <v>0</v>
      </c>
      <c r="AL71" s="70">
        <f ca="1">_xll.DBRW(Server&amp;Cube1,$H$13,$H$14,$H$15,$H$17,AL$2,$H$16,$B71)</f>
        <v>0</v>
      </c>
      <c r="AM71" s="70">
        <f ca="1">_xll.DBRW(Server&amp;Cube1,$H$13,$H$14,$H$15,$H$17,AM$2,$H$16,$B71)</f>
        <v>0</v>
      </c>
      <c r="AN71" s="70">
        <f ca="1">_xll.DBRW(Server&amp;Cube1,$H$13,$H$14,$H$15,$H$17,AN$2,$H$16,$B71)</f>
        <v>0</v>
      </c>
      <c r="AO71" s="70">
        <f ca="1">_xll.DBRW(Server&amp;Cube1,$H$13,$H$14,$H$15,$H$17,AO$2,$H$16,$B71)</f>
        <v>0</v>
      </c>
      <c r="AP71" s="71">
        <f ca="1">_xll.DBRW(Server&amp;Cube1,$H$13,$H$14,$H$15,$H$17,AP$2,$H$16,$B71)</f>
        <v>0</v>
      </c>
    </row>
    <row r="72" spans="1:42" ht="21" customHeight="1" x14ac:dyDescent="0.25">
      <c r="A72"/>
      <c r="B72" s="144" t="s">
        <v>30</v>
      </c>
      <c r="C72" s="12"/>
      <c r="D72" s="21"/>
      <c r="E72" s="169"/>
      <c r="F72" s="105"/>
      <c r="G72" s="319" t="s">
        <v>102</v>
      </c>
      <c r="H72" s="319"/>
      <c r="I72" s="127"/>
      <c r="J72" s="137"/>
      <c r="K72" s="127"/>
      <c r="L72" s="137"/>
      <c r="M72" s="134"/>
      <c r="N72" s="108">
        <f ca="1">_xll.DBRW(Server&amp;Cube1,$H$13,$H$14,$H$15,$N$3,N$2,$H$16,$B72)</f>
        <v>0</v>
      </c>
      <c r="O72" s="135"/>
      <c r="P72" s="151">
        <v>0</v>
      </c>
      <c r="Q72" s="152">
        <v>0</v>
      </c>
      <c r="R72" s="152">
        <v>0</v>
      </c>
      <c r="S72" s="152">
        <v>0</v>
      </c>
      <c r="T72" s="152">
        <v>0</v>
      </c>
      <c r="U72" s="152">
        <v>0</v>
      </c>
      <c r="V72" s="152">
        <v>0</v>
      </c>
      <c r="W72" s="152">
        <v>0</v>
      </c>
      <c r="X72" s="152">
        <v>0</v>
      </c>
      <c r="Y72" s="152">
        <v>0</v>
      </c>
      <c r="Z72" s="152">
        <v>0</v>
      </c>
      <c r="AA72" s="159">
        <v>0</v>
      </c>
      <c r="AB72" s="31"/>
      <c r="AE72" s="90">
        <f ca="1">IF($AE$3=1,_xll.DBSW(P72,Server&amp;Cube1,$H$13,$H$14,$H$15,$AE$1,AE$2,$H$16,$B72),_xll.DBRW(Server&amp;Cube1,$H$13,$H$14,$H$15,$AE$1,AE$2,$H$16,$B72))</f>
        <v>0</v>
      </c>
      <c r="AF72" s="90">
        <f ca="1">IF($AE$3=1,_xll.DBSW(Q72,Server&amp;Cube1,$H$13,$H$14,$H$15,$AE$1,AF$2,$H$16,$B72),_xll.DBRW(Server&amp;Cube1,$H$13,$H$14,$H$15,$AE$1,AF$2,$H$16,$B72))</f>
        <v>0</v>
      </c>
      <c r="AG72" s="90">
        <f ca="1">IF($AE$3=1,_xll.DBSW(R72,Server&amp;Cube1,$H$13,$H$14,$H$15,$AE$1,AG$2,$H$16,$B72),_xll.DBRW(Server&amp;Cube1,$H$13,$H$14,$H$15,$AE$1,AG$2,$H$16,$B72))</f>
        <v>0</v>
      </c>
      <c r="AH72" s="90">
        <f ca="1">IF($AE$3=1,_xll.DBSW(S72,Server&amp;Cube1,$H$13,$H$14,$H$15,$AE$1,AH$2,$H$16,$B72),_xll.DBRW(Server&amp;Cube1,$H$13,$H$14,$H$15,$AE$1,AH$2,$H$16,$B72))</f>
        <v>0</v>
      </c>
      <c r="AI72" s="90">
        <f ca="1">IF($AE$3=1,_xll.DBSW(T72,Server&amp;Cube1,$H$13,$H$14,$H$15,$AE$1,AI$2,$H$16,$B72),_xll.DBRW(Server&amp;Cube1,$H$13,$H$14,$H$15,$AE$1,AI$2,$H$16,$B72))</f>
        <v>0</v>
      </c>
      <c r="AJ72" s="90">
        <f ca="1">IF($AE$3=1,_xll.DBSW(U72,Server&amp;Cube1,$H$13,$H$14,$H$15,$AE$1,AJ$2,$H$16,$B72),_xll.DBRW(Server&amp;Cube1,$H$13,$H$14,$H$15,$AE$1,AJ$2,$H$16,$B72))</f>
        <v>0</v>
      </c>
      <c r="AK72" s="90">
        <f ca="1">IF($AE$3=1,_xll.DBSW(V72,Server&amp;Cube1,$H$13,$H$14,$H$15,$AE$1,AK$2,$H$16,$B72),_xll.DBRW(Server&amp;Cube1,$H$13,$H$14,$H$15,$AE$1,AK$2,$H$16,$B72))</f>
        <v>0</v>
      </c>
      <c r="AL72" s="90">
        <f ca="1">IF($AE$3=1,_xll.DBSW(W72,Server&amp;Cube1,$H$13,$H$14,$H$15,$AE$1,AL$2,$H$16,$B72),_xll.DBRW(Server&amp;Cube1,$H$13,$H$14,$H$15,$AE$1,AL$2,$H$16,$B72))</f>
        <v>0</v>
      </c>
      <c r="AM72" s="90">
        <f ca="1">IF($AE$3=1,_xll.DBSW(X72,Server&amp;Cube1,$H$13,$H$14,$H$15,$AE$1,AM$2,$H$16,$B72),_xll.DBRW(Server&amp;Cube1,$H$13,$H$14,$H$15,$AE$1,AM$2,$H$16,$B72))</f>
        <v>0</v>
      </c>
      <c r="AN72" s="90">
        <f ca="1">IF($AE$3=1,_xll.DBSW(Y72,Server&amp;Cube1,$H$13,$H$14,$H$15,$AE$1,AN$2,$H$16,$B72),_xll.DBRW(Server&amp;Cube1,$H$13,$H$14,$H$15,$AE$1,AN$2,$H$16,$B72))</f>
        <v>0</v>
      </c>
      <c r="AO72" s="90">
        <f ca="1">IF($AE$3=1,_xll.DBSW(Z72,Server&amp;Cube1,$H$13,$H$14,$H$15,$AE$1,AO$2,$H$16,$B72),_xll.DBRW(Server&amp;Cube1,$H$13,$H$14,$H$15,$AE$1,AO$2,$H$16,$B72))</f>
        <v>0</v>
      </c>
      <c r="AP72" s="90">
        <f ca="1">IF($AE$3=1,_xll.DBSW(AA72,Server&amp;Cube1,$H$13,$H$14,$H$15,$AE$1,AP$2,$H$16,$B72),_xll.DBRW(Server&amp;Cube1,$H$13,$H$14,$H$15,$AE$1,AP$2,$H$16,$B72))</f>
        <v>0</v>
      </c>
    </row>
    <row r="73" spans="1:42" ht="21" customHeight="1" x14ac:dyDescent="0.25">
      <c r="A73"/>
      <c r="B73" s="13" t="s">
        <v>84</v>
      </c>
      <c r="C73" s="13"/>
      <c r="D73" s="22"/>
      <c r="E73" s="171"/>
      <c r="F73" s="107"/>
      <c r="G73" s="305" t="str">
        <f ca="1">_xll.DBRA(Server&amp;$B$22,$B73,"French")</f>
        <v>Autre transport sur achat</v>
      </c>
      <c r="H73" s="305" t="str">
        <f ca="1">_xll.DBRA(Server&amp;$B$22,$B73,"French")</f>
        <v>Autre transport sur achat</v>
      </c>
      <c r="I73" s="37"/>
      <c r="J73" s="54">
        <f ca="1">_xll.DBRW(Server&amp;Cube1,$H$13,$J$3,$H$15,$J$1,$J$2,$H$16,$B73)</f>
        <v>0</v>
      </c>
      <c r="K73" s="37"/>
      <c r="L73" s="54">
        <f ca="1">_xll.DBRW(Server&amp;Cube1,$H$13,$L$3,$H$15,$L$1,$L$2,$H$16,$B73)</f>
        <v>0</v>
      </c>
      <c r="M73" s="55"/>
      <c r="N73" s="139">
        <f ca="1">_xll.DBRW(Server&amp;Cube1,$H$13,$H$14,$H$15,$N$1,N$2,$H$16,$B73)</f>
        <v>0</v>
      </c>
      <c r="O73" s="57"/>
      <c r="P73" s="156">
        <v>0</v>
      </c>
      <c r="Q73" s="157">
        <v>0</v>
      </c>
      <c r="R73" s="157">
        <v>0</v>
      </c>
      <c r="S73" s="157">
        <v>0</v>
      </c>
      <c r="T73" s="157">
        <v>0</v>
      </c>
      <c r="U73" s="157">
        <v>0</v>
      </c>
      <c r="V73" s="157">
        <v>0</v>
      </c>
      <c r="W73" s="157">
        <v>0</v>
      </c>
      <c r="X73" s="157">
        <v>0</v>
      </c>
      <c r="Y73" s="157">
        <v>0</v>
      </c>
      <c r="Z73" s="157">
        <v>0</v>
      </c>
      <c r="AA73" s="158">
        <v>0</v>
      </c>
      <c r="AB73" s="31"/>
      <c r="AE73" s="67">
        <f ca="1">_xll.DBRW(Server&amp;Cube1,$H$13,$H$14,$H$15,$H$17,AE$2,$H$16,$B73)</f>
        <v>0</v>
      </c>
      <c r="AF73" s="70">
        <f ca="1">_xll.DBRW(Server&amp;Cube1,$H$13,$H$14,$H$15,$H$17,AF$2,$H$16,$B73)</f>
        <v>0</v>
      </c>
      <c r="AG73" s="70">
        <f ca="1">_xll.DBRW(Server&amp;Cube1,$H$13,$H$14,$H$15,$H$17,AG$2,$H$16,$B73)</f>
        <v>0</v>
      </c>
      <c r="AH73" s="70">
        <f ca="1">_xll.DBRW(Server&amp;Cube1,$H$13,$H$14,$H$15,$H$17,AH$2,$H$16,$B73)</f>
        <v>0</v>
      </c>
      <c r="AI73" s="70">
        <f ca="1">_xll.DBRW(Server&amp;Cube1,$H$13,$H$14,$H$15,$H$17,AI$2,$H$16,$B73)</f>
        <v>0</v>
      </c>
      <c r="AJ73" s="70">
        <f ca="1">_xll.DBRW(Server&amp;Cube1,$H$13,$H$14,$H$15,$H$17,AJ$2,$H$16,$B73)</f>
        <v>0</v>
      </c>
      <c r="AK73" s="70">
        <f ca="1">_xll.DBRW(Server&amp;Cube1,$H$13,$H$14,$H$15,$H$17,AK$2,$H$16,$B73)</f>
        <v>0</v>
      </c>
      <c r="AL73" s="70">
        <f ca="1">_xll.DBRW(Server&amp;Cube1,$H$13,$H$14,$H$15,$H$17,AL$2,$H$16,$B73)</f>
        <v>0</v>
      </c>
      <c r="AM73" s="70">
        <f ca="1">_xll.DBRW(Server&amp;Cube1,$H$13,$H$14,$H$15,$H$17,AM$2,$H$16,$B73)</f>
        <v>0</v>
      </c>
      <c r="AN73" s="70">
        <f ca="1">_xll.DBRW(Server&amp;Cube1,$H$13,$H$14,$H$15,$H$17,AN$2,$H$16,$B73)</f>
        <v>0</v>
      </c>
      <c r="AO73" s="70">
        <f ca="1">_xll.DBRW(Server&amp;Cube1,$H$13,$H$14,$H$15,$H$17,AO$2,$H$16,$B73)</f>
        <v>0</v>
      </c>
      <c r="AP73" s="71">
        <f ca="1">_xll.DBRW(Server&amp;Cube1,$H$13,$H$14,$H$15,$H$17,AP$2,$H$16,$B73)</f>
        <v>0</v>
      </c>
    </row>
    <row r="74" spans="1:42" ht="21" customHeight="1" x14ac:dyDescent="0.25">
      <c r="A74"/>
      <c r="B74" s="144" t="s">
        <v>84</v>
      </c>
      <c r="C74" s="12"/>
      <c r="D74" s="21"/>
      <c r="E74" s="169"/>
      <c r="F74" s="105"/>
      <c r="G74" s="319" t="s">
        <v>102</v>
      </c>
      <c r="H74" s="319"/>
      <c r="I74" s="127"/>
      <c r="J74" s="137"/>
      <c r="K74" s="127"/>
      <c r="L74" s="137"/>
      <c r="M74" s="134"/>
      <c r="N74" s="108">
        <f ca="1">_xll.DBRW(Server&amp;Cube1,$H$13,$H$14,$H$15,$N$3,N$2,$H$16,$B74)</f>
        <v>0</v>
      </c>
      <c r="O74" s="135"/>
      <c r="P74" s="151">
        <v>0</v>
      </c>
      <c r="Q74" s="152">
        <v>0</v>
      </c>
      <c r="R74" s="152">
        <v>0</v>
      </c>
      <c r="S74" s="152">
        <v>0</v>
      </c>
      <c r="T74" s="152">
        <v>0</v>
      </c>
      <c r="U74" s="152">
        <v>0</v>
      </c>
      <c r="V74" s="152">
        <v>0</v>
      </c>
      <c r="W74" s="152">
        <v>0</v>
      </c>
      <c r="X74" s="152">
        <v>0</v>
      </c>
      <c r="Y74" s="152">
        <v>0</v>
      </c>
      <c r="Z74" s="152">
        <v>0</v>
      </c>
      <c r="AA74" s="159">
        <v>0</v>
      </c>
      <c r="AB74" s="31"/>
      <c r="AE74" s="90">
        <f ca="1">IF($AE$3=1,_xll.DBSW(P74,Server&amp;Cube1,$H$13,$H$14,$H$15,$AE$1,AE$2,$H$16,$B74),_xll.DBRW(Server&amp;Cube1,$H$13,$H$14,$H$15,$AE$1,AE$2,$H$16,$B74))</f>
        <v>0</v>
      </c>
      <c r="AF74" s="90">
        <f ca="1">IF($AE$3=1,_xll.DBSW(Q74,Server&amp;Cube1,$H$13,$H$14,$H$15,$AE$1,AF$2,$H$16,$B74),_xll.DBRW(Server&amp;Cube1,$H$13,$H$14,$H$15,$AE$1,AF$2,$H$16,$B74))</f>
        <v>0</v>
      </c>
      <c r="AG74" s="90">
        <f ca="1">IF($AE$3=1,_xll.DBSW(R74,Server&amp;Cube1,$H$13,$H$14,$H$15,$AE$1,AG$2,$H$16,$B74),_xll.DBRW(Server&amp;Cube1,$H$13,$H$14,$H$15,$AE$1,AG$2,$H$16,$B74))</f>
        <v>0</v>
      </c>
      <c r="AH74" s="90">
        <f ca="1">IF($AE$3=1,_xll.DBSW(S74,Server&amp;Cube1,$H$13,$H$14,$H$15,$AE$1,AH$2,$H$16,$B74),_xll.DBRW(Server&amp;Cube1,$H$13,$H$14,$H$15,$AE$1,AH$2,$H$16,$B74))</f>
        <v>0</v>
      </c>
      <c r="AI74" s="90">
        <f ca="1">IF($AE$3=1,_xll.DBSW(T74,Server&amp;Cube1,$H$13,$H$14,$H$15,$AE$1,AI$2,$H$16,$B74),_xll.DBRW(Server&amp;Cube1,$H$13,$H$14,$H$15,$AE$1,AI$2,$H$16,$B74))</f>
        <v>0</v>
      </c>
      <c r="AJ74" s="90">
        <f ca="1">IF($AE$3=1,_xll.DBSW(U74,Server&amp;Cube1,$H$13,$H$14,$H$15,$AE$1,AJ$2,$H$16,$B74),_xll.DBRW(Server&amp;Cube1,$H$13,$H$14,$H$15,$AE$1,AJ$2,$H$16,$B74))</f>
        <v>0</v>
      </c>
      <c r="AK74" s="90">
        <f ca="1">IF($AE$3=1,_xll.DBSW(V74,Server&amp;Cube1,$H$13,$H$14,$H$15,$AE$1,AK$2,$H$16,$B74),_xll.DBRW(Server&amp;Cube1,$H$13,$H$14,$H$15,$AE$1,AK$2,$H$16,$B74))</f>
        <v>0</v>
      </c>
      <c r="AL74" s="90">
        <f ca="1">IF($AE$3=1,_xll.DBSW(W74,Server&amp;Cube1,$H$13,$H$14,$H$15,$AE$1,AL$2,$H$16,$B74),_xll.DBRW(Server&amp;Cube1,$H$13,$H$14,$H$15,$AE$1,AL$2,$H$16,$B74))</f>
        <v>0</v>
      </c>
      <c r="AM74" s="90">
        <f ca="1">IF($AE$3=1,_xll.DBSW(X74,Server&amp;Cube1,$H$13,$H$14,$H$15,$AE$1,AM$2,$H$16,$B74),_xll.DBRW(Server&amp;Cube1,$H$13,$H$14,$H$15,$AE$1,AM$2,$H$16,$B74))</f>
        <v>0</v>
      </c>
      <c r="AN74" s="90">
        <f ca="1">IF($AE$3=1,_xll.DBSW(Y74,Server&amp;Cube1,$H$13,$H$14,$H$15,$AE$1,AN$2,$H$16,$B74),_xll.DBRW(Server&amp;Cube1,$H$13,$H$14,$H$15,$AE$1,AN$2,$H$16,$B74))</f>
        <v>0</v>
      </c>
      <c r="AO74" s="90">
        <f ca="1">IF($AE$3=1,_xll.DBSW(Z74,Server&amp;Cube1,$H$13,$H$14,$H$15,$AE$1,AO$2,$H$16,$B74),_xll.DBRW(Server&amp;Cube1,$H$13,$H$14,$H$15,$AE$1,AO$2,$H$16,$B74))</f>
        <v>0</v>
      </c>
      <c r="AP74" s="90">
        <f ca="1">IF($AE$3=1,_xll.DBSW(AA74,Server&amp;Cube1,$H$13,$H$14,$H$15,$AE$1,AP$2,$H$16,$B74),_xll.DBRW(Server&amp;Cube1,$H$13,$H$14,$H$15,$AE$1,AP$2,$H$16,$B74))</f>
        <v>0</v>
      </c>
    </row>
    <row r="75" spans="1:42" ht="21" customHeight="1" x14ac:dyDescent="0.25">
      <c r="A75"/>
      <c r="B75" s="13" t="s">
        <v>31</v>
      </c>
      <c r="C75" s="13"/>
      <c r="D75" s="22"/>
      <c r="E75" s="171"/>
      <c r="F75" s="107"/>
      <c r="G75" s="305" t="str">
        <f ca="1">_xll.DBRA(Server&amp;$B$22,$B75,"French")</f>
        <v>Frais de stagiaires</v>
      </c>
      <c r="H75" s="305" t="str">
        <f ca="1">_xll.DBRA(Server&amp;$B$22,$B75,"French")</f>
        <v>Frais de stagiaires</v>
      </c>
      <c r="I75" s="37"/>
      <c r="J75" s="54">
        <f ca="1">_xll.DBRW(Server&amp;Cube1,$H$13,$J$3,$H$15,$J$1,$J$2,$H$16,$B75)</f>
        <v>-114396.60999999999</v>
      </c>
      <c r="K75" s="37"/>
      <c r="L75" s="54">
        <f ca="1">_xll.DBRW(Server&amp;Cube1,$H$13,$L$3,$H$15,$L$1,$L$2,$H$16,$B75)</f>
        <v>0</v>
      </c>
      <c r="M75" s="55"/>
      <c r="N75" s="139">
        <f ca="1">_xll.DBRW(Server&amp;Cube1,$H$13,$H$14,$H$15,$N$1,N$2,$H$16,$B75)</f>
        <v>0</v>
      </c>
      <c r="O75" s="57"/>
      <c r="P75" s="156">
        <v>0</v>
      </c>
      <c r="Q75" s="157">
        <v>0</v>
      </c>
      <c r="R75" s="157">
        <v>0</v>
      </c>
      <c r="S75" s="157">
        <v>0</v>
      </c>
      <c r="T75" s="157">
        <v>0</v>
      </c>
      <c r="U75" s="157">
        <v>0</v>
      </c>
      <c r="V75" s="157">
        <v>0</v>
      </c>
      <c r="W75" s="157">
        <v>0</v>
      </c>
      <c r="X75" s="157">
        <v>0</v>
      </c>
      <c r="Y75" s="157">
        <v>0</v>
      </c>
      <c r="Z75" s="157">
        <v>0</v>
      </c>
      <c r="AA75" s="158">
        <v>0</v>
      </c>
      <c r="AB75" s="31"/>
      <c r="AE75" s="67">
        <f ca="1">_xll.DBRW(Server&amp;Cube1,$H$13,$H$14,$H$15,$H$17,AE$2,$H$16,$B75)</f>
        <v>0</v>
      </c>
      <c r="AF75" s="70">
        <f ca="1">_xll.DBRW(Server&amp;Cube1,$H$13,$H$14,$H$15,$H$17,AF$2,$H$16,$B75)</f>
        <v>0</v>
      </c>
      <c r="AG75" s="70">
        <f ca="1">_xll.DBRW(Server&amp;Cube1,$H$13,$H$14,$H$15,$H$17,AG$2,$H$16,$B75)</f>
        <v>0</v>
      </c>
      <c r="AH75" s="70">
        <f ca="1">_xll.DBRW(Server&amp;Cube1,$H$13,$H$14,$H$15,$H$17,AH$2,$H$16,$B75)</f>
        <v>0</v>
      </c>
      <c r="AI75" s="70">
        <f ca="1">_xll.DBRW(Server&amp;Cube1,$H$13,$H$14,$H$15,$H$17,AI$2,$H$16,$B75)</f>
        <v>0</v>
      </c>
      <c r="AJ75" s="70">
        <f ca="1">_xll.DBRW(Server&amp;Cube1,$H$13,$H$14,$H$15,$H$17,AJ$2,$H$16,$B75)</f>
        <v>0</v>
      </c>
      <c r="AK75" s="70">
        <f ca="1">_xll.DBRW(Server&amp;Cube1,$H$13,$H$14,$H$15,$H$17,AK$2,$H$16,$B75)</f>
        <v>0</v>
      </c>
      <c r="AL75" s="70">
        <f ca="1">_xll.DBRW(Server&amp;Cube1,$H$13,$H$14,$H$15,$H$17,AL$2,$H$16,$B75)</f>
        <v>0</v>
      </c>
      <c r="AM75" s="70">
        <f ca="1">_xll.DBRW(Server&amp;Cube1,$H$13,$H$14,$H$15,$H$17,AM$2,$H$16,$B75)</f>
        <v>0</v>
      </c>
      <c r="AN75" s="70">
        <f ca="1">_xll.DBRW(Server&amp;Cube1,$H$13,$H$14,$H$15,$H$17,AN$2,$H$16,$B75)</f>
        <v>0</v>
      </c>
      <c r="AO75" s="70">
        <f ca="1">_xll.DBRW(Server&amp;Cube1,$H$13,$H$14,$H$15,$H$17,AO$2,$H$16,$B75)</f>
        <v>0</v>
      </c>
      <c r="AP75" s="71">
        <f ca="1">_xll.DBRW(Server&amp;Cube1,$H$13,$H$14,$H$15,$H$17,AP$2,$H$16,$B75)</f>
        <v>0</v>
      </c>
    </row>
    <row r="76" spans="1:42" ht="21" customHeight="1" x14ac:dyDescent="0.25">
      <c r="A76"/>
      <c r="B76" s="144" t="s">
        <v>31</v>
      </c>
      <c r="C76" s="12"/>
      <c r="D76" s="21"/>
      <c r="E76" s="169"/>
      <c r="F76" s="105"/>
      <c r="G76" s="319" t="s">
        <v>102</v>
      </c>
      <c r="H76" s="319"/>
      <c r="I76" s="127"/>
      <c r="J76" s="137"/>
      <c r="K76" s="127"/>
      <c r="L76" s="137"/>
      <c r="M76" s="134"/>
      <c r="N76" s="108">
        <f ca="1">_xll.DBRW(Server&amp;Cube1,$H$13,$H$14,$H$15,$N$3,N$2,$H$16,$B76)</f>
        <v>0</v>
      </c>
      <c r="O76" s="135"/>
      <c r="P76" s="151">
        <v>0</v>
      </c>
      <c r="Q76" s="152">
        <v>0</v>
      </c>
      <c r="R76" s="152">
        <v>0</v>
      </c>
      <c r="S76" s="152">
        <v>0</v>
      </c>
      <c r="T76" s="152">
        <v>0</v>
      </c>
      <c r="U76" s="152">
        <v>0</v>
      </c>
      <c r="V76" s="152">
        <v>0</v>
      </c>
      <c r="W76" s="152">
        <v>0</v>
      </c>
      <c r="X76" s="152">
        <v>0</v>
      </c>
      <c r="Y76" s="152">
        <v>0</v>
      </c>
      <c r="Z76" s="152">
        <v>0</v>
      </c>
      <c r="AA76" s="159">
        <v>0</v>
      </c>
      <c r="AB76" s="31"/>
      <c r="AE76" s="90">
        <f ca="1">IF($AE$3=1,_xll.DBSW(P76,Server&amp;Cube1,$H$13,$H$14,$H$15,$AE$1,AE$2,$H$16,$B76),_xll.DBRW(Server&amp;Cube1,$H$13,$H$14,$H$15,$AE$1,AE$2,$H$16,$B76))</f>
        <v>0</v>
      </c>
      <c r="AF76" s="90">
        <f ca="1">IF($AE$3=1,_xll.DBSW(Q76,Server&amp;Cube1,$H$13,$H$14,$H$15,$AE$1,AF$2,$H$16,$B76),_xll.DBRW(Server&amp;Cube1,$H$13,$H$14,$H$15,$AE$1,AF$2,$H$16,$B76))</f>
        <v>0</v>
      </c>
      <c r="AG76" s="90">
        <f ca="1">IF($AE$3=1,_xll.DBSW(R76,Server&amp;Cube1,$H$13,$H$14,$H$15,$AE$1,AG$2,$H$16,$B76),_xll.DBRW(Server&amp;Cube1,$H$13,$H$14,$H$15,$AE$1,AG$2,$H$16,$B76))</f>
        <v>0</v>
      </c>
      <c r="AH76" s="90">
        <f ca="1">IF($AE$3=1,_xll.DBSW(S76,Server&amp;Cube1,$H$13,$H$14,$H$15,$AE$1,AH$2,$H$16,$B76),_xll.DBRW(Server&amp;Cube1,$H$13,$H$14,$H$15,$AE$1,AH$2,$H$16,$B76))</f>
        <v>0</v>
      </c>
      <c r="AI76" s="90">
        <f ca="1">IF($AE$3=1,_xll.DBSW(T76,Server&amp;Cube1,$H$13,$H$14,$H$15,$AE$1,AI$2,$H$16,$B76),_xll.DBRW(Server&amp;Cube1,$H$13,$H$14,$H$15,$AE$1,AI$2,$H$16,$B76))</f>
        <v>0</v>
      </c>
      <c r="AJ76" s="90">
        <f ca="1">IF($AE$3=1,_xll.DBSW(U76,Server&amp;Cube1,$H$13,$H$14,$H$15,$AE$1,AJ$2,$H$16,$B76),_xll.DBRW(Server&amp;Cube1,$H$13,$H$14,$H$15,$AE$1,AJ$2,$H$16,$B76))</f>
        <v>0</v>
      </c>
      <c r="AK76" s="90">
        <f ca="1">IF($AE$3=1,_xll.DBSW(V76,Server&amp;Cube1,$H$13,$H$14,$H$15,$AE$1,AK$2,$H$16,$B76),_xll.DBRW(Server&amp;Cube1,$H$13,$H$14,$H$15,$AE$1,AK$2,$H$16,$B76))</f>
        <v>0</v>
      </c>
      <c r="AL76" s="90">
        <f ca="1">IF($AE$3=1,_xll.DBSW(W76,Server&amp;Cube1,$H$13,$H$14,$H$15,$AE$1,AL$2,$H$16,$B76),_xll.DBRW(Server&amp;Cube1,$H$13,$H$14,$H$15,$AE$1,AL$2,$H$16,$B76))</f>
        <v>0</v>
      </c>
      <c r="AM76" s="90">
        <f ca="1">IF($AE$3=1,_xll.DBSW(X76,Server&amp;Cube1,$H$13,$H$14,$H$15,$AE$1,AM$2,$H$16,$B76),_xll.DBRW(Server&amp;Cube1,$H$13,$H$14,$H$15,$AE$1,AM$2,$H$16,$B76))</f>
        <v>0</v>
      </c>
      <c r="AN76" s="90">
        <f ca="1">IF($AE$3=1,_xll.DBSW(Y76,Server&amp;Cube1,$H$13,$H$14,$H$15,$AE$1,AN$2,$H$16,$B76),_xll.DBRW(Server&amp;Cube1,$H$13,$H$14,$H$15,$AE$1,AN$2,$H$16,$B76))</f>
        <v>0</v>
      </c>
      <c r="AO76" s="90">
        <f ca="1">IF($AE$3=1,_xll.DBSW(Z76,Server&amp;Cube1,$H$13,$H$14,$H$15,$AE$1,AO$2,$H$16,$B76),_xll.DBRW(Server&amp;Cube1,$H$13,$H$14,$H$15,$AE$1,AO$2,$H$16,$B76))</f>
        <v>0</v>
      </c>
      <c r="AP76" s="90">
        <f ca="1">IF($AE$3=1,_xll.DBSW(AA76,Server&amp;Cube1,$H$13,$H$14,$H$15,$AE$1,AP$2,$H$16,$B76),_xll.DBRW(Server&amp;Cube1,$H$13,$H$14,$H$15,$AE$1,AP$2,$H$16,$B76))</f>
        <v>0</v>
      </c>
    </row>
    <row r="77" spans="1:42" ht="21" customHeight="1" x14ac:dyDescent="0.25">
      <c r="A77"/>
      <c r="B77" s="13" t="s">
        <v>32</v>
      </c>
      <c r="C77" s="13"/>
      <c r="D77" s="22"/>
      <c r="E77" s="171"/>
      <c r="F77" s="107"/>
      <c r="G77" s="305" t="str">
        <f ca="1">_xll.DBRA(Server&amp;$B$22,$B77,"French")</f>
        <v>Total Location mobilière diverse</v>
      </c>
      <c r="H77" s="305" t="str">
        <f ca="1">_xll.DBRA(Server&amp;$B$22,$B77,"French")</f>
        <v>Total Location mobilière diverse</v>
      </c>
      <c r="I77" s="37"/>
      <c r="J77" s="54">
        <f ca="1">_xll.DBRW(Server&amp;Cube1,$H$13,$J$3,$H$15,$J$1,$J$2,$H$16,$B77)</f>
        <v>-108.5</v>
      </c>
      <c r="K77" s="37"/>
      <c r="L77" s="54">
        <f ca="1">_xll.DBRW(Server&amp;Cube1,$H$13,$L$3,$H$15,$L$1,$L$2,$H$16,$B77)</f>
        <v>0</v>
      </c>
      <c r="M77" s="55"/>
      <c r="N77" s="139">
        <f ca="1">_xll.DBRW(Server&amp;Cube1,$H$13,$H$14,$H$15,$N$1,N$2,$H$16,$B77)</f>
        <v>0</v>
      </c>
      <c r="O77" s="57"/>
      <c r="P77" s="156">
        <v>0</v>
      </c>
      <c r="Q77" s="157">
        <v>0</v>
      </c>
      <c r="R77" s="157">
        <v>0</v>
      </c>
      <c r="S77" s="157">
        <v>0</v>
      </c>
      <c r="T77" s="157">
        <v>0</v>
      </c>
      <c r="U77" s="157">
        <v>0</v>
      </c>
      <c r="V77" s="157">
        <v>0</v>
      </c>
      <c r="W77" s="157">
        <v>0</v>
      </c>
      <c r="X77" s="157">
        <v>0</v>
      </c>
      <c r="Y77" s="157">
        <v>0</v>
      </c>
      <c r="Z77" s="157">
        <v>0</v>
      </c>
      <c r="AA77" s="158">
        <v>0</v>
      </c>
      <c r="AB77" s="31"/>
      <c r="AE77" s="67">
        <f ca="1">_xll.DBRW(Server&amp;Cube1,$H$13,$H$14,$H$15,$H$17,AE$2,$H$16,$B77)</f>
        <v>0</v>
      </c>
      <c r="AF77" s="70">
        <f ca="1">_xll.DBRW(Server&amp;Cube1,$H$13,$H$14,$H$15,$H$17,AF$2,$H$16,$B77)</f>
        <v>0</v>
      </c>
      <c r="AG77" s="70">
        <f ca="1">_xll.DBRW(Server&amp;Cube1,$H$13,$H$14,$H$15,$H$17,AG$2,$H$16,$B77)</f>
        <v>0</v>
      </c>
      <c r="AH77" s="70">
        <f ca="1">_xll.DBRW(Server&amp;Cube1,$H$13,$H$14,$H$15,$H$17,AH$2,$H$16,$B77)</f>
        <v>0</v>
      </c>
      <c r="AI77" s="70">
        <f ca="1">_xll.DBRW(Server&amp;Cube1,$H$13,$H$14,$H$15,$H$17,AI$2,$H$16,$B77)</f>
        <v>0</v>
      </c>
      <c r="AJ77" s="70">
        <f ca="1">_xll.DBRW(Server&amp;Cube1,$H$13,$H$14,$H$15,$H$17,AJ$2,$H$16,$B77)</f>
        <v>0</v>
      </c>
      <c r="AK77" s="70">
        <f ca="1">_xll.DBRW(Server&amp;Cube1,$H$13,$H$14,$H$15,$H$17,AK$2,$H$16,$B77)</f>
        <v>0</v>
      </c>
      <c r="AL77" s="70">
        <f ca="1">_xll.DBRW(Server&amp;Cube1,$H$13,$H$14,$H$15,$H$17,AL$2,$H$16,$B77)</f>
        <v>0</v>
      </c>
      <c r="AM77" s="70">
        <f ca="1">_xll.DBRW(Server&amp;Cube1,$H$13,$H$14,$H$15,$H$17,AM$2,$H$16,$B77)</f>
        <v>0</v>
      </c>
      <c r="AN77" s="70">
        <f ca="1">_xll.DBRW(Server&amp;Cube1,$H$13,$H$14,$H$15,$H$17,AN$2,$H$16,$B77)</f>
        <v>0</v>
      </c>
      <c r="AO77" s="70">
        <f ca="1">_xll.DBRW(Server&amp;Cube1,$H$13,$H$14,$H$15,$H$17,AO$2,$H$16,$B77)</f>
        <v>0</v>
      </c>
      <c r="AP77" s="71">
        <f ca="1">_xll.DBRW(Server&amp;Cube1,$H$13,$H$14,$H$15,$H$17,AP$2,$H$16,$B77)</f>
        <v>0</v>
      </c>
    </row>
    <row r="78" spans="1:42" ht="21" customHeight="1" x14ac:dyDescent="0.25">
      <c r="A78"/>
      <c r="B78" s="144" t="s">
        <v>32</v>
      </c>
      <c r="C78" s="12"/>
      <c r="D78" s="21"/>
      <c r="E78" s="169"/>
      <c r="F78" s="105"/>
      <c r="G78" s="319" t="s">
        <v>102</v>
      </c>
      <c r="H78" s="319"/>
      <c r="I78" s="127"/>
      <c r="J78" s="137"/>
      <c r="K78" s="127"/>
      <c r="L78" s="137"/>
      <c r="M78" s="134"/>
      <c r="N78" s="140">
        <f ca="1">_xll.DBRW(Server&amp;Cube1,$H$13,$H$14,$H$15,$N$3,N$2,$H$16,$B78)</f>
        <v>0</v>
      </c>
      <c r="O78" s="135"/>
      <c r="P78" s="151">
        <v>0</v>
      </c>
      <c r="Q78" s="152">
        <v>0</v>
      </c>
      <c r="R78" s="152">
        <v>0</v>
      </c>
      <c r="S78" s="152">
        <v>0</v>
      </c>
      <c r="T78" s="152">
        <v>0</v>
      </c>
      <c r="U78" s="152">
        <v>0</v>
      </c>
      <c r="V78" s="152">
        <v>0</v>
      </c>
      <c r="W78" s="152">
        <v>0</v>
      </c>
      <c r="X78" s="152">
        <v>0</v>
      </c>
      <c r="Y78" s="152">
        <v>0</v>
      </c>
      <c r="Z78" s="152">
        <v>0</v>
      </c>
      <c r="AA78" s="159">
        <v>0</v>
      </c>
      <c r="AB78" s="31"/>
      <c r="AE78" s="90">
        <f ca="1">IF($AE$3=1,_xll.DBSW(P78,Server&amp;Cube1,$H$13,$H$14,$H$15,$AE$1,AE$2,$H$16,$B78),_xll.DBRW(Server&amp;Cube1,$H$13,$H$14,$H$15,$AE$1,AE$2,$H$16,$B78))</f>
        <v>0</v>
      </c>
      <c r="AF78" s="90">
        <f ca="1">IF($AE$3=1,_xll.DBSW(Q78,Server&amp;Cube1,$H$13,$H$14,$H$15,$AE$1,AF$2,$H$16,$B78),_xll.DBRW(Server&amp;Cube1,$H$13,$H$14,$H$15,$AE$1,AF$2,$H$16,$B78))</f>
        <v>0</v>
      </c>
      <c r="AG78" s="90">
        <f ca="1">IF($AE$3=1,_xll.DBSW(R78,Server&amp;Cube1,$H$13,$H$14,$H$15,$AE$1,AG$2,$H$16,$B78),_xll.DBRW(Server&amp;Cube1,$H$13,$H$14,$H$15,$AE$1,AG$2,$H$16,$B78))</f>
        <v>0</v>
      </c>
      <c r="AH78" s="90">
        <f ca="1">IF($AE$3=1,_xll.DBSW(S78,Server&amp;Cube1,$H$13,$H$14,$H$15,$AE$1,AH$2,$H$16,$B78),_xll.DBRW(Server&amp;Cube1,$H$13,$H$14,$H$15,$AE$1,AH$2,$H$16,$B78))</f>
        <v>0</v>
      </c>
      <c r="AI78" s="90">
        <f ca="1">IF($AE$3=1,_xll.DBSW(T78,Server&amp;Cube1,$H$13,$H$14,$H$15,$AE$1,AI$2,$H$16,$B78),_xll.DBRW(Server&amp;Cube1,$H$13,$H$14,$H$15,$AE$1,AI$2,$H$16,$B78))</f>
        <v>0</v>
      </c>
      <c r="AJ78" s="90">
        <f ca="1">IF($AE$3=1,_xll.DBSW(U78,Server&amp;Cube1,$H$13,$H$14,$H$15,$AE$1,AJ$2,$H$16,$B78),_xll.DBRW(Server&amp;Cube1,$H$13,$H$14,$H$15,$AE$1,AJ$2,$H$16,$B78))</f>
        <v>0</v>
      </c>
      <c r="AK78" s="90">
        <f ca="1">IF($AE$3=1,_xll.DBSW(V78,Server&amp;Cube1,$H$13,$H$14,$H$15,$AE$1,AK$2,$H$16,$B78),_xll.DBRW(Server&amp;Cube1,$H$13,$H$14,$H$15,$AE$1,AK$2,$H$16,$B78))</f>
        <v>0</v>
      </c>
      <c r="AL78" s="90">
        <f ca="1">IF($AE$3=1,_xll.DBSW(W78,Server&amp;Cube1,$H$13,$H$14,$H$15,$AE$1,AL$2,$H$16,$B78),_xll.DBRW(Server&amp;Cube1,$H$13,$H$14,$H$15,$AE$1,AL$2,$H$16,$B78))</f>
        <v>0</v>
      </c>
      <c r="AM78" s="90">
        <f ca="1">IF($AE$3=1,_xll.DBSW(X78,Server&amp;Cube1,$H$13,$H$14,$H$15,$AE$1,AM$2,$H$16,$B78),_xll.DBRW(Server&amp;Cube1,$H$13,$H$14,$H$15,$AE$1,AM$2,$H$16,$B78))</f>
        <v>0</v>
      </c>
      <c r="AN78" s="90">
        <f ca="1">IF($AE$3=1,_xll.DBSW(Y78,Server&amp;Cube1,$H$13,$H$14,$H$15,$AE$1,AN$2,$H$16,$B78),_xll.DBRW(Server&amp;Cube1,$H$13,$H$14,$H$15,$AE$1,AN$2,$H$16,$B78))</f>
        <v>0</v>
      </c>
      <c r="AO78" s="90">
        <f ca="1">IF($AE$3=1,_xll.DBSW(Z78,Server&amp;Cube1,$H$13,$H$14,$H$15,$AE$1,AO$2,$H$16,$B78),_xll.DBRW(Server&amp;Cube1,$H$13,$H$14,$H$15,$AE$1,AO$2,$H$16,$B78))</f>
        <v>0</v>
      </c>
      <c r="AP78" s="90">
        <f ca="1">IF($AE$3=1,_xll.DBSW(AA78,Server&amp;Cube1,$H$13,$H$14,$H$15,$AE$1,AP$2,$H$16,$B78),_xll.DBRW(Server&amp;Cube1,$H$13,$H$14,$H$15,$AE$1,AP$2,$H$16,$B78))</f>
        <v>0</v>
      </c>
    </row>
    <row r="79" spans="1:42" ht="2.25" customHeight="1" x14ac:dyDescent="0.25">
      <c r="A79"/>
      <c r="B79" s="11"/>
      <c r="C79" s="11"/>
      <c r="D79" s="20"/>
      <c r="E79" s="170"/>
      <c r="F79" s="106"/>
      <c r="G79" s="43"/>
      <c r="H79" s="43"/>
      <c r="I79" s="38"/>
      <c r="J79" s="62"/>
      <c r="K79" s="38"/>
      <c r="L79" s="62"/>
      <c r="M79" s="63"/>
      <c r="N79" s="64"/>
      <c r="O79" s="64"/>
      <c r="P79" s="62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6"/>
      <c r="AB79" s="31"/>
    </row>
    <row r="80" spans="1:42" ht="19.5" customHeight="1" x14ac:dyDescent="0.25">
      <c r="A80"/>
      <c r="B80" s="12" t="s">
        <v>25</v>
      </c>
      <c r="C80" s="12"/>
      <c r="D80" s="21"/>
      <c r="E80" s="169"/>
      <c r="F80" s="322" t="str">
        <f ca="1">_xll.DBRA(Server&amp;$B$22,$B80,"French")</f>
        <v>Coûts directs de la formation</v>
      </c>
      <c r="G80" s="323"/>
      <c r="H80" s="324"/>
      <c r="I80" s="39"/>
      <c r="J80" s="51">
        <f ca="1">_xll.DBRW(Server&amp;Cube1,$H$13,$J$3,$H$15,$J$1,$J$2,$H$16,$B80)</f>
        <v>-1337382.32</v>
      </c>
      <c r="K80" s="39"/>
      <c r="L80" s="51">
        <f ca="1">_xll.DBRW(Server&amp;Cube1,$H$13,$L$3,$H$15,$L$1,$L$2,$H$16,$B80)</f>
        <v>0</v>
      </c>
      <c r="M80" s="60"/>
      <c r="N80" s="51">
        <f ca="1">_xll.DBRW(Server&amp;Cube1,$H$13,$H$14,$H$15,$N$1,N$2,$H$16,$B80)</f>
        <v>0</v>
      </c>
      <c r="O80" s="61"/>
      <c r="P80" s="49">
        <f ca="1">_xll.DBRW(Server&amp;Cube1,$H$13,$H$14,$H$15,$H$17,P$1,$H$16,$B80)</f>
        <v>0</v>
      </c>
      <c r="Q80" s="50">
        <f ca="1">_xll.DBRW(Server&amp;Cube1,$H$13,$H$14,$H$15,$H$17,Q$1,$H$16,$B80)</f>
        <v>0</v>
      </c>
      <c r="R80" s="50">
        <f ca="1">_xll.DBRW(Server&amp;Cube1,$H$13,$H$14,$H$15,$H$17,R$1,$H$16,$B80)</f>
        <v>0</v>
      </c>
      <c r="S80" s="50">
        <f ca="1">_xll.DBRW(Server&amp;Cube1,$H$13,$H$14,$H$15,$H$17,S$1,$H$16,$B80)</f>
        <v>0</v>
      </c>
      <c r="T80" s="50">
        <f ca="1">_xll.DBRW(Server&amp;Cube1,$H$13,$H$14,$H$15,$H$17,T$1,$H$16,$B80)</f>
        <v>0</v>
      </c>
      <c r="U80" s="50">
        <f ca="1">_xll.DBRW(Server&amp;Cube1,$H$13,$H$14,$H$15,$H$17,U$1,$H$16,$B80)</f>
        <v>0</v>
      </c>
      <c r="V80" s="50">
        <f ca="1">_xll.DBRW(Server&amp;Cube1,$H$13,$H$14,$H$15,$H$17,V$1,$H$16,$B80)</f>
        <v>0</v>
      </c>
      <c r="W80" s="50">
        <f ca="1">_xll.DBRW(Server&amp;Cube1,$H$13,$H$14,$H$15,$H$17,W$1,$H$16,$B80)</f>
        <v>0</v>
      </c>
      <c r="X80" s="50">
        <f ca="1">_xll.DBRW(Server&amp;Cube1,$H$13,$H$14,$H$15,$H$17,X$1,$H$16,$B80)</f>
        <v>0</v>
      </c>
      <c r="Y80" s="50">
        <f ca="1">_xll.DBRW(Server&amp;Cube1,$H$13,$H$14,$H$15,$H$17,Y$1,$H$16,$B80)</f>
        <v>0</v>
      </c>
      <c r="Z80" s="50">
        <f ca="1">_xll.DBRW(Server&amp;Cube1,$H$13,$H$14,$H$15,$H$17,Z$1,$H$16,$B80)</f>
        <v>0</v>
      </c>
      <c r="AA80" s="53">
        <f ca="1">_xll.DBRW(Server&amp;Cube1,$H$13,$H$14,$H$15,$H$17,AA$1,$H$16,$B80)</f>
        <v>0</v>
      </c>
      <c r="AB80" s="31"/>
    </row>
    <row r="81" spans="1:42" ht="3" customHeight="1" x14ac:dyDescent="0.25">
      <c r="A81"/>
      <c r="B81" s="11"/>
      <c r="C81" s="11"/>
      <c r="D81" s="20"/>
      <c r="E81" s="170"/>
      <c r="F81" s="106"/>
      <c r="G81" s="43"/>
      <c r="H81" s="43"/>
      <c r="I81" s="38"/>
      <c r="J81" s="62"/>
      <c r="K81" s="38"/>
      <c r="L81" s="62"/>
      <c r="M81" s="63"/>
      <c r="N81" s="64"/>
      <c r="O81" s="64"/>
      <c r="P81" s="62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6"/>
      <c r="AB81" s="31"/>
    </row>
    <row r="82" spans="1:42" ht="15" customHeight="1" x14ac:dyDescent="0.25">
      <c r="A82"/>
      <c r="B82" s="11"/>
      <c r="C82" s="11"/>
      <c r="D82" s="20"/>
      <c r="E82" s="170"/>
      <c r="F82" s="106"/>
      <c r="G82" s="80"/>
      <c r="H82" s="80"/>
      <c r="I82" s="82"/>
      <c r="J82" s="100"/>
      <c r="K82" s="82"/>
      <c r="L82" s="100"/>
      <c r="M82" s="124"/>
      <c r="N82" s="100"/>
      <c r="O82" s="100"/>
      <c r="P82" s="101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3"/>
      <c r="AB82" s="31"/>
    </row>
    <row r="83" spans="1:42" ht="5.25" customHeight="1" x14ac:dyDescent="0.25">
      <c r="A83"/>
      <c r="B83" s="11"/>
      <c r="C83" s="11"/>
      <c r="D83" s="20"/>
      <c r="E83" s="170"/>
      <c r="F83" s="325"/>
      <c r="G83" s="326"/>
      <c r="H83" s="326"/>
      <c r="I83" s="326"/>
      <c r="J83" s="326"/>
      <c r="K83" s="326"/>
      <c r="L83" s="326"/>
      <c r="M83" s="326"/>
      <c r="N83" s="326"/>
      <c r="O83" s="326"/>
      <c r="P83" s="326"/>
      <c r="Q83" s="326"/>
      <c r="R83" s="326"/>
      <c r="S83" s="326"/>
      <c r="T83" s="326"/>
      <c r="U83" s="326"/>
      <c r="V83" s="326"/>
      <c r="W83" s="326"/>
      <c r="X83" s="326"/>
      <c r="Y83" s="326"/>
      <c r="Z83" s="326"/>
      <c r="AA83" s="327"/>
      <c r="AB83" s="31"/>
    </row>
    <row r="84" spans="1:42" ht="18.75" customHeight="1" x14ac:dyDescent="0.25">
      <c r="A84"/>
      <c r="B84" s="11"/>
      <c r="C84" s="11"/>
      <c r="D84" s="20"/>
      <c r="E84" s="170"/>
      <c r="F84" s="125"/>
      <c r="G84" s="126"/>
      <c r="H84" s="43"/>
      <c r="I84" s="38"/>
      <c r="J84" s="64"/>
      <c r="K84" s="38"/>
      <c r="L84" s="64"/>
      <c r="M84" s="63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31"/>
    </row>
    <row r="85" spans="1:42" ht="23.25" customHeight="1" x14ac:dyDescent="0.25">
      <c r="A85"/>
      <c r="B85" s="12" t="s">
        <v>20</v>
      </c>
      <c r="C85" s="12"/>
      <c r="D85" s="21"/>
      <c r="E85" s="169"/>
      <c r="F85" s="328" t="str">
        <f ca="1">_xll.DBRA(Server&amp;$B$22,$B85,"French")</f>
        <v>MARGE sur coûts directs de formation</v>
      </c>
      <c r="G85" s="329"/>
      <c r="H85" s="330"/>
      <c r="I85" s="117"/>
      <c r="J85" s="118">
        <f ca="1">_xll.DBRW(Server&amp;Cube1,$H$13,$J$3,$H$15,$J$1,$J$2,$H$16,$B85)</f>
        <v>1285214.3700000001</v>
      </c>
      <c r="K85" s="117"/>
      <c r="L85" s="118">
        <f ca="1">_xll.DBRW(Server&amp;Cube1,$H$13,$L$3,$H$15,$L$1,$L$2,$H$16,$B85)</f>
        <v>0</v>
      </c>
      <c r="M85" s="119"/>
      <c r="N85" s="118">
        <f ca="1">_xll.DBRW(Server&amp;Cube1,$H$13,$H$14,$H$15,$N$1,N$2,$H$16,$B85)</f>
        <v>0</v>
      </c>
      <c r="O85" s="120"/>
      <c r="P85" s="121">
        <f ca="1">_xll.DBRW(Server&amp;Cube1,$H$13,$H$14,$H$15,$H$17,P$1,$H$16,$B85)</f>
        <v>0</v>
      </c>
      <c r="Q85" s="122">
        <f ca="1">_xll.DBRW(Server&amp;Cube1,$H$13,$H$14,$H$15,$H$17,Q$1,$H$16,$B85)</f>
        <v>0</v>
      </c>
      <c r="R85" s="122">
        <f ca="1">_xll.DBRW(Server&amp;Cube1,$H$13,$H$14,$H$15,$H$17,R$1,$H$16,$B85)</f>
        <v>0</v>
      </c>
      <c r="S85" s="122">
        <f ca="1">_xll.DBRW(Server&amp;Cube1,$H$13,$H$14,$H$15,$H$17,S$1,$H$16,$B85)</f>
        <v>0</v>
      </c>
      <c r="T85" s="122">
        <f ca="1">_xll.DBRW(Server&amp;Cube1,$H$13,$H$14,$H$15,$H$17,T$1,$H$16,$B85)</f>
        <v>0</v>
      </c>
      <c r="U85" s="122">
        <f ca="1">_xll.DBRW(Server&amp;Cube1,$H$13,$H$14,$H$15,$H$17,U$1,$H$16,$B85)</f>
        <v>0</v>
      </c>
      <c r="V85" s="122">
        <f ca="1">_xll.DBRW(Server&amp;Cube1,$H$13,$H$14,$H$15,$H$17,V$1,$H$16,$B85)</f>
        <v>0</v>
      </c>
      <c r="W85" s="122">
        <f ca="1">_xll.DBRW(Server&amp;Cube1,$H$13,$H$14,$H$15,$H$17,W$1,$H$16,$B85)</f>
        <v>0</v>
      </c>
      <c r="X85" s="122">
        <f ca="1">_xll.DBRW(Server&amp;Cube1,$H$13,$H$14,$H$15,$H$17,X$1,$H$16,$B85)</f>
        <v>0</v>
      </c>
      <c r="Y85" s="122">
        <f ca="1">_xll.DBRW(Server&amp;Cube1,$H$13,$H$14,$H$15,$H$17,Y$1,$H$16,$B85)</f>
        <v>0</v>
      </c>
      <c r="Z85" s="122">
        <f ca="1">_xll.DBRW(Server&amp;Cube1,$H$13,$H$14,$H$15,$H$17,Z$1,$H$16,$B85)</f>
        <v>0</v>
      </c>
      <c r="AA85" s="123">
        <f ca="1">_xll.DBRW(Server&amp;Cube1,$H$13,$H$14,$H$15,$H$17,AA$1,$H$16,$B85)</f>
        <v>0</v>
      </c>
      <c r="AB85" s="31"/>
    </row>
    <row r="86" spans="1:42" ht="18" customHeight="1" x14ac:dyDescent="0.25">
      <c r="A86"/>
      <c r="B86" s="11"/>
      <c r="C86" s="11"/>
      <c r="D86" s="20"/>
      <c r="E86" s="170"/>
      <c r="F86" s="106"/>
      <c r="G86" s="43"/>
      <c r="H86" s="76" t="s">
        <v>77</v>
      </c>
      <c r="I86" s="38"/>
      <c r="J86" s="79">
        <f ca="1">IF(ISERROR(J85/J46),"-",J85/J46)</f>
        <v>0.49005414172165379</v>
      </c>
      <c r="K86" s="38"/>
      <c r="L86" s="79" t="str">
        <f ca="1">IF(ISERROR(L85/L46),"-",L85/L46)</f>
        <v>-</v>
      </c>
      <c r="M86" s="77"/>
      <c r="N86" s="79" t="str">
        <f ca="1">IF(ISERROR(N85/N46),"-",N85/N46)</f>
        <v>-</v>
      </c>
      <c r="O86" s="78"/>
      <c r="P86" s="79" t="str">
        <f t="shared" ref="P86:AA86" ca="1" si="0">IF(ISERROR(P85/P46),"-",P85/P46)</f>
        <v>-</v>
      </c>
      <c r="Q86" s="79" t="str">
        <f t="shared" ca="1" si="0"/>
        <v>-</v>
      </c>
      <c r="R86" s="79" t="str">
        <f t="shared" ca="1" si="0"/>
        <v>-</v>
      </c>
      <c r="S86" s="79" t="str">
        <f t="shared" ca="1" si="0"/>
        <v>-</v>
      </c>
      <c r="T86" s="79" t="str">
        <f t="shared" ca="1" si="0"/>
        <v>-</v>
      </c>
      <c r="U86" s="79" t="str">
        <f t="shared" ca="1" si="0"/>
        <v>-</v>
      </c>
      <c r="V86" s="79" t="str">
        <f t="shared" ca="1" si="0"/>
        <v>-</v>
      </c>
      <c r="W86" s="79" t="str">
        <f t="shared" ca="1" si="0"/>
        <v>-</v>
      </c>
      <c r="X86" s="79" t="str">
        <f t="shared" ca="1" si="0"/>
        <v>-</v>
      </c>
      <c r="Y86" s="79" t="str">
        <f t="shared" ca="1" si="0"/>
        <v>-</v>
      </c>
      <c r="Z86" s="79" t="str">
        <f t="shared" ca="1" si="0"/>
        <v>-</v>
      </c>
      <c r="AA86" s="79" t="str">
        <f t="shared" ca="1" si="0"/>
        <v>-</v>
      </c>
      <c r="AB86" s="31"/>
    </row>
    <row r="87" spans="1:42" ht="9" customHeight="1" x14ac:dyDescent="0.25">
      <c r="A87"/>
      <c r="B87" s="11"/>
      <c r="C87" s="11"/>
      <c r="D87" s="20"/>
      <c r="E87" s="170"/>
      <c r="F87" s="106"/>
      <c r="G87" s="80"/>
      <c r="H87" s="81"/>
      <c r="I87" s="82"/>
      <c r="J87" s="83"/>
      <c r="K87" s="82"/>
      <c r="L87" s="83"/>
      <c r="M87" s="84"/>
      <c r="N87" s="83"/>
      <c r="O87" s="85"/>
      <c r="P87" s="83"/>
      <c r="Q87" s="83"/>
      <c r="R87" s="83"/>
      <c r="S87" s="83"/>
      <c r="T87" s="83"/>
      <c r="U87" s="83"/>
      <c r="V87" s="83"/>
      <c r="W87" s="83"/>
      <c r="X87" s="83"/>
      <c r="Y87" s="83"/>
      <c r="Z87" s="83"/>
      <c r="AA87" s="83"/>
      <c r="AB87" s="31"/>
    </row>
    <row r="88" spans="1:42" ht="5.25" customHeight="1" x14ac:dyDescent="0.25">
      <c r="A88"/>
      <c r="B88" s="11"/>
      <c r="C88" s="11"/>
      <c r="D88" s="20"/>
      <c r="E88" s="170"/>
      <c r="F88" s="325"/>
      <c r="G88" s="326"/>
      <c r="H88" s="326"/>
      <c r="I88" s="326"/>
      <c r="J88" s="326"/>
      <c r="K88" s="326"/>
      <c r="L88" s="326"/>
      <c r="M88" s="326"/>
      <c r="N88" s="326"/>
      <c r="O88" s="326"/>
      <c r="P88" s="326"/>
      <c r="Q88" s="326"/>
      <c r="R88" s="326"/>
      <c r="S88" s="326"/>
      <c r="T88" s="326"/>
      <c r="U88" s="326"/>
      <c r="V88" s="326"/>
      <c r="W88" s="326"/>
      <c r="X88" s="326"/>
      <c r="Y88" s="326"/>
      <c r="Z88" s="326"/>
      <c r="AA88" s="327"/>
      <c r="AB88" s="31"/>
    </row>
    <row r="89" spans="1:42" ht="18.75" customHeight="1" x14ac:dyDescent="0.25">
      <c r="A89"/>
      <c r="B89" s="11"/>
      <c r="C89" s="11"/>
      <c r="D89" s="20"/>
      <c r="E89" s="170"/>
      <c r="F89" s="106"/>
      <c r="G89" s="43"/>
      <c r="H89" s="43"/>
      <c r="I89" s="38"/>
      <c r="J89" s="62"/>
      <c r="K89" s="38"/>
      <c r="L89" s="62"/>
      <c r="M89" s="63"/>
      <c r="N89" s="64"/>
      <c r="O89" s="64"/>
      <c r="P89" s="62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6"/>
      <c r="AB89" s="31"/>
    </row>
    <row r="90" spans="1:42" ht="21" customHeight="1" x14ac:dyDescent="0.25">
      <c r="A90"/>
      <c r="B90" s="12" t="s">
        <v>34</v>
      </c>
      <c r="C90" s="12"/>
      <c r="D90" s="21"/>
      <c r="E90" s="169"/>
      <c r="F90" s="105"/>
      <c r="G90" s="315" t="str">
        <f ca="1">_xll.DBRA(Server&amp;$B$22,$B90,"French")</f>
        <v>Salaires</v>
      </c>
      <c r="H90" s="315" t="str">
        <f ca="1">_xll.DBRA(Server&amp;$B$22,$B90,"French")</f>
        <v>Salaires</v>
      </c>
      <c r="I90" s="39"/>
      <c r="J90" s="67">
        <f ca="1">_xll.DBRW(Server&amp;Cube1,$H$13,$J$3,$H$15,$J$1,$J$2,$H$16,$B90)</f>
        <v>0</v>
      </c>
      <c r="K90" s="39"/>
      <c r="L90" s="67">
        <f ca="1">_xll.DBRW(Server&amp;Cube1,$H$13,$L$3,$H$15,$L$1,$L$2,$H$16,$B90)</f>
        <v>0</v>
      </c>
      <c r="M90" s="68"/>
      <c r="N90" s="114">
        <f ca="1">_xll.DBRW(Server&amp;Cube1,$H$13,$H$14,$H$15,$N$1,N$2,$H$16,$B90)</f>
        <v>0</v>
      </c>
      <c r="O90" s="69"/>
      <c r="P90" s="148">
        <v>0</v>
      </c>
      <c r="Q90" s="149">
        <v>0</v>
      </c>
      <c r="R90" s="149">
        <v>0</v>
      </c>
      <c r="S90" s="149">
        <v>0</v>
      </c>
      <c r="T90" s="149">
        <v>0</v>
      </c>
      <c r="U90" s="149">
        <v>0</v>
      </c>
      <c r="V90" s="149">
        <v>0</v>
      </c>
      <c r="W90" s="149">
        <v>0</v>
      </c>
      <c r="X90" s="149">
        <v>0</v>
      </c>
      <c r="Y90" s="149">
        <v>0</v>
      </c>
      <c r="Z90" s="149">
        <v>0</v>
      </c>
      <c r="AA90" s="150">
        <v>0</v>
      </c>
      <c r="AB90" s="31"/>
      <c r="AE90" s="67">
        <f ca="1">_xll.DBRW(Server&amp;Cube1,$H$13,$H$14,$H$15,$H$17,AE$2,$H$16,$B90)</f>
        <v>0</v>
      </c>
      <c r="AF90" s="70">
        <f ca="1">_xll.DBRW(Server&amp;Cube1,$H$13,$H$14,$H$15,$H$17,AF$2,$H$16,$B90)</f>
        <v>0</v>
      </c>
      <c r="AG90" s="70">
        <f ca="1">_xll.DBRW(Server&amp;Cube1,$H$13,$H$14,$H$15,$H$17,AG$2,$H$16,$B90)</f>
        <v>0</v>
      </c>
      <c r="AH90" s="70">
        <f ca="1">_xll.DBRW(Server&amp;Cube1,$H$13,$H$14,$H$15,$H$17,AH$2,$H$16,$B90)</f>
        <v>0</v>
      </c>
      <c r="AI90" s="70">
        <f ca="1">_xll.DBRW(Server&amp;Cube1,$H$13,$H$14,$H$15,$H$17,AI$2,$H$16,$B90)</f>
        <v>0</v>
      </c>
      <c r="AJ90" s="70">
        <f ca="1">_xll.DBRW(Server&amp;Cube1,$H$13,$H$14,$H$15,$H$17,AJ$2,$H$16,$B90)</f>
        <v>0</v>
      </c>
      <c r="AK90" s="70">
        <f ca="1">_xll.DBRW(Server&amp;Cube1,$H$13,$H$14,$H$15,$H$17,AK$2,$H$16,$B90)</f>
        <v>0</v>
      </c>
      <c r="AL90" s="70">
        <f ca="1">_xll.DBRW(Server&amp;Cube1,$H$13,$H$14,$H$15,$H$17,AL$2,$H$16,$B90)</f>
        <v>0</v>
      </c>
      <c r="AM90" s="70">
        <f ca="1">_xll.DBRW(Server&amp;Cube1,$H$13,$H$14,$H$15,$H$17,AM$2,$H$16,$B90)</f>
        <v>0</v>
      </c>
      <c r="AN90" s="70">
        <f ca="1">_xll.DBRW(Server&amp;Cube1,$H$13,$H$14,$H$15,$H$17,AN$2,$H$16,$B90)</f>
        <v>0</v>
      </c>
      <c r="AO90" s="70">
        <f ca="1">_xll.DBRW(Server&amp;Cube1,$H$13,$H$14,$H$15,$H$17,AO$2,$H$16,$B90)</f>
        <v>0</v>
      </c>
      <c r="AP90" s="71">
        <f ca="1">_xll.DBRW(Server&amp;Cube1,$H$13,$H$14,$H$15,$H$17,AP$2,$H$16,$B90)</f>
        <v>0</v>
      </c>
    </row>
    <row r="91" spans="1:42" ht="21" customHeight="1" x14ac:dyDescent="0.25">
      <c r="A91"/>
      <c r="B91" s="13" t="s">
        <v>35</v>
      </c>
      <c r="C91" s="13"/>
      <c r="D91" s="22"/>
      <c r="E91" s="171"/>
      <c r="F91" s="107"/>
      <c r="G91" s="305" t="str">
        <f ca="1">_xll.DBRA(Server&amp;$B$22,$B91,"French")</f>
        <v>Personnel intérimaire</v>
      </c>
      <c r="H91" s="305" t="str">
        <f ca="1">_xll.DBRA(Server&amp;$B$22,$B91,"French")</f>
        <v>Personnel intérimaire</v>
      </c>
      <c r="I91" s="37"/>
      <c r="J91" s="54">
        <f ca="1">_xll.DBRW(Server&amp;Cube1,$H$13,$J$3,$H$15,$J$1,$J$2,$H$16,$B91)</f>
        <v>0</v>
      </c>
      <c r="K91" s="37"/>
      <c r="L91" s="54">
        <f ca="1">_xll.DBRW(Server&amp;Cube1,$H$13,$L$3,$H$15,$L$1,$L$2,$H$16,$B91)</f>
        <v>0</v>
      </c>
      <c r="M91" s="55"/>
      <c r="N91" s="139">
        <f ca="1">_xll.DBRW(Server&amp;Cube1,$H$13,$H$14,$H$15,$N$1,N$2,$H$16,$B91)</f>
        <v>0</v>
      </c>
      <c r="O91" s="57"/>
      <c r="P91" s="156">
        <v>0</v>
      </c>
      <c r="Q91" s="157">
        <v>0</v>
      </c>
      <c r="R91" s="157">
        <v>0</v>
      </c>
      <c r="S91" s="157">
        <v>0</v>
      </c>
      <c r="T91" s="157">
        <v>0</v>
      </c>
      <c r="U91" s="157">
        <v>0</v>
      </c>
      <c r="V91" s="157">
        <v>0</v>
      </c>
      <c r="W91" s="157">
        <v>0</v>
      </c>
      <c r="X91" s="157">
        <v>0</v>
      </c>
      <c r="Y91" s="157">
        <v>0</v>
      </c>
      <c r="Z91" s="157">
        <v>0</v>
      </c>
      <c r="AA91" s="158">
        <v>0</v>
      </c>
      <c r="AB91" s="31"/>
      <c r="AE91" s="67">
        <f ca="1">_xll.DBRW(Server&amp;Cube1,$H$13,$H$14,$H$15,$H$17,AE$2,$H$16,$B91)</f>
        <v>0</v>
      </c>
      <c r="AF91" s="70">
        <f ca="1">_xll.DBRW(Server&amp;Cube1,$H$13,$H$14,$H$15,$H$17,AF$2,$H$16,$B91)</f>
        <v>0</v>
      </c>
      <c r="AG91" s="70">
        <f ca="1">_xll.DBRW(Server&amp;Cube1,$H$13,$H$14,$H$15,$H$17,AG$2,$H$16,$B91)</f>
        <v>0</v>
      </c>
      <c r="AH91" s="70">
        <f ca="1">_xll.DBRW(Server&amp;Cube1,$H$13,$H$14,$H$15,$H$17,AH$2,$H$16,$B91)</f>
        <v>0</v>
      </c>
      <c r="AI91" s="70">
        <f ca="1">_xll.DBRW(Server&amp;Cube1,$H$13,$H$14,$H$15,$H$17,AI$2,$H$16,$B91)</f>
        <v>0</v>
      </c>
      <c r="AJ91" s="70">
        <f ca="1">_xll.DBRW(Server&amp;Cube1,$H$13,$H$14,$H$15,$H$17,AJ$2,$H$16,$B91)</f>
        <v>0</v>
      </c>
      <c r="AK91" s="70">
        <f ca="1">_xll.DBRW(Server&amp;Cube1,$H$13,$H$14,$H$15,$H$17,AK$2,$H$16,$B91)</f>
        <v>0</v>
      </c>
      <c r="AL91" s="70">
        <f ca="1">_xll.DBRW(Server&amp;Cube1,$H$13,$H$14,$H$15,$H$17,AL$2,$H$16,$B91)</f>
        <v>0</v>
      </c>
      <c r="AM91" s="70">
        <f ca="1">_xll.DBRW(Server&amp;Cube1,$H$13,$H$14,$H$15,$H$17,AM$2,$H$16,$B91)</f>
        <v>0</v>
      </c>
      <c r="AN91" s="70">
        <f ca="1">_xll.DBRW(Server&amp;Cube1,$H$13,$H$14,$H$15,$H$17,AN$2,$H$16,$B91)</f>
        <v>0</v>
      </c>
      <c r="AO91" s="70">
        <f ca="1">_xll.DBRW(Server&amp;Cube1,$H$13,$H$14,$H$15,$H$17,AO$2,$H$16,$B91)</f>
        <v>0</v>
      </c>
      <c r="AP91" s="71">
        <f ca="1">_xll.DBRW(Server&amp;Cube1,$H$13,$H$14,$H$15,$H$17,AP$2,$H$16,$B91)</f>
        <v>0</v>
      </c>
    </row>
    <row r="92" spans="1:42" ht="21" customHeight="1" x14ac:dyDescent="0.25">
      <c r="A92"/>
      <c r="B92" s="144" t="s">
        <v>35</v>
      </c>
      <c r="C92" s="12"/>
      <c r="D92" s="21"/>
      <c r="E92" s="169"/>
      <c r="F92" s="105"/>
      <c r="G92" s="319" t="s">
        <v>102</v>
      </c>
      <c r="H92" s="319"/>
      <c r="I92" s="127"/>
      <c r="J92" s="137"/>
      <c r="K92" s="127"/>
      <c r="L92" s="137"/>
      <c r="M92" s="134"/>
      <c r="N92" s="108">
        <f ca="1">_xll.DBRW(Server&amp;Cube1,$H$13,$H$14,$H$15,$N$3,N$2,$H$16,$B92)</f>
        <v>0</v>
      </c>
      <c r="O92" s="135"/>
      <c r="P92" s="151">
        <v>0</v>
      </c>
      <c r="Q92" s="152">
        <v>0</v>
      </c>
      <c r="R92" s="152">
        <v>0</v>
      </c>
      <c r="S92" s="152">
        <v>0</v>
      </c>
      <c r="T92" s="152">
        <v>0</v>
      </c>
      <c r="U92" s="152">
        <v>0</v>
      </c>
      <c r="V92" s="152">
        <v>0</v>
      </c>
      <c r="W92" s="152">
        <v>0</v>
      </c>
      <c r="X92" s="152">
        <v>0</v>
      </c>
      <c r="Y92" s="152">
        <v>0</v>
      </c>
      <c r="Z92" s="152">
        <v>0</v>
      </c>
      <c r="AA92" s="159">
        <v>0</v>
      </c>
      <c r="AB92" s="31"/>
      <c r="AE92" s="90">
        <f ca="1">IF($AE$3=1,_xll.DBSW(P92,Server&amp;Cube1,$H$13,$H$14,$H$15,$AE$1,AE$2,$H$16,$B92),_xll.DBRW(Server&amp;Cube1,$H$13,$H$14,$H$15,$AE$1,AE$2,$H$16,$B92))</f>
        <v>0</v>
      </c>
      <c r="AF92" s="90">
        <f ca="1">IF($AE$3=1,_xll.DBSW(Q92,Server&amp;Cube1,$H$13,$H$14,$H$15,$AE$1,AF$2,$H$16,$B92),_xll.DBRW(Server&amp;Cube1,$H$13,$H$14,$H$15,$AE$1,AF$2,$H$16,$B92))</f>
        <v>0</v>
      </c>
      <c r="AG92" s="90">
        <f ca="1">IF($AE$3=1,_xll.DBSW(R92,Server&amp;Cube1,$H$13,$H$14,$H$15,$AE$1,AG$2,$H$16,$B92),_xll.DBRW(Server&amp;Cube1,$H$13,$H$14,$H$15,$AE$1,AG$2,$H$16,$B92))</f>
        <v>0</v>
      </c>
      <c r="AH92" s="90">
        <f ca="1">IF($AE$3=1,_xll.DBSW(S92,Server&amp;Cube1,$H$13,$H$14,$H$15,$AE$1,AH$2,$H$16,$B92),_xll.DBRW(Server&amp;Cube1,$H$13,$H$14,$H$15,$AE$1,AH$2,$H$16,$B92))</f>
        <v>0</v>
      </c>
      <c r="AI92" s="90">
        <f ca="1">IF($AE$3=1,_xll.DBSW(T92,Server&amp;Cube1,$H$13,$H$14,$H$15,$AE$1,AI$2,$H$16,$B92),_xll.DBRW(Server&amp;Cube1,$H$13,$H$14,$H$15,$AE$1,AI$2,$H$16,$B92))</f>
        <v>0</v>
      </c>
      <c r="AJ92" s="90">
        <f ca="1">IF($AE$3=1,_xll.DBSW(U92,Server&amp;Cube1,$H$13,$H$14,$H$15,$AE$1,AJ$2,$H$16,$B92),_xll.DBRW(Server&amp;Cube1,$H$13,$H$14,$H$15,$AE$1,AJ$2,$H$16,$B92))</f>
        <v>0</v>
      </c>
      <c r="AK92" s="90">
        <f ca="1">IF($AE$3=1,_xll.DBSW(V92,Server&amp;Cube1,$H$13,$H$14,$H$15,$AE$1,AK$2,$H$16,$B92),_xll.DBRW(Server&amp;Cube1,$H$13,$H$14,$H$15,$AE$1,AK$2,$H$16,$B92))</f>
        <v>0</v>
      </c>
      <c r="AL92" s="90">
        <f ca="1">IF($AE$3=1,_xll.DBSW(W92,Server&amp;Cube1,$H$13,$H$14,$H$15,$AE$1,AL$2,$H$16,$B92),_xll.DBRW(Server&amp;Cube1,$H$13,$H$14,$H$15,$AE$1,AL$2,$H$16,$B92))</f>
        <v>0</v>
      </c>
      <c r="AM92" s="90">
        <f ca="1">IF($AE$3=1,_xll.DBSW(X92,Server&amp;Cube1,$H$13,$H$14,$H$15,$AE$1,AM$2,$H$16,$B92),_xll.DBRW(Server&amp;Cube1,$H$13,$H$14,$H$15,$AE$1,AM$2,$H$16,$B92))</f>
        <v>0</v>
      </c>
      <c r="AN92" s="90">
        <f ca="1">IF($AE$3=1,_xll.DBSW(Y92,Server&amp;Cube1,$H$13,$H$14,$H$15,$AE$1,AN$2,$H$16,$B92),_xll.DBRW(Server&amp;Cube1,$H$13,$H$14,$H$15,$AE$1,AN$2,$H$16,$B92))</f>
        <v>0</v>
      </c>
      <c r="AO92" s="90">
        <f ca="1">IF($AE$3=1,_xll.DBSW(Z92,Server&amp;Cube1,$H$13,$H$14,$H$15,$AE$1,AO$2,$H$16,$B92),_xll.DBRW(Server&amp;Cube1,$H$13,$H$14,$H$15,$AE$1,AO$2,$H$16,$B92))</f>
        <v>0</v>
      </c>
      <c r="AP92" s="90">
        <f ca="1">IF($AE$3=1,_xll.DBSW(AA92,Server&amp;Cube1,$H$13,$H$14,$H$15,$AE$1,AP$2,$H$16,$B92),_xll.DBRW(Server&amp;Cube1,$H$13,$H$14,$H$15,$AE$1,AP$2,$H$16,$B92))</f>
        <v>0</v>
      </c>
    </row>
    <row r="93" spans="1:42" ht="21" customHeight="1" x14ac:dyDescent="0.25">
      <c r="A93"/>
      <c r="B93" s="13" t="s">
        <v>36</v>
      </c>
      <c r="C93" s="13"/>
      <c r="D93" s="22"/>
      <c r="E93" s="171"/>
      <c r="F93" s="107"/>
      <c r="G93" s="305" t="str">
        <f ca="1">_xll.DBRA(Server&amp;$B$22,$B93,"French")</f>
        <v>PMAD Salaires Total</v>
      </c>
      <c r="H93" s="305" t="str">
        <f ca="1">_xll.DBRA(Server&amp;$B$22,$B93,"French")</f>
        <v>PMAD Salaires Total</v>
      </c>
      <c r="I93" s="37"/>
      <c r="J93" s="54">
        <f ca="1">_xll.DBRW(Server&amp;Cube1,$H$13,$J$3,$H$15,$J$1,$J$2,$H$16,$B93)</f>
        <v>0</v>
      </c>
      <c r="K93" s="37"/>
      <c r="L93" s="54">
        <f ca="1">_xll.DBRW(Server&amp;Cube1,$H$13,$L$3,$H$15,$L$1,$L$2,$H$16,$B93)</f>
        <v>0</v>
      </c>
      <c r="M93" s="55"/>
      <c r="N93" s="139">
        <f ca="1">_xll.DBRW(Server&amp;Cube1,$H$13,$H$14,$H$15,$N$1,N$2,$H$16,$B93)</f>
        <v>0</v>
      </c>
      <c r="O93" s="57"/>
      <c r="P93" s="156">
        <v>0</v>
      </c>
      <c r="Q93" s="157">
        <v>0</v>
      </c>
      <c r="R93" s="157">
        <v>0</v>
      </c>
      <c r="S93" s="157">
        <v>0</v>
      </c>
      <c r="T93" s="157">
        <v>0</v>
      </c>
      <c r="U93" s="157">
        <v>0</v>
      </c>
      <c r="V93" s="157">
        <v>0</v>
      </c>
      <c r="W93" s="157">
        <v>0</v>
      </c>
      <c r="X93" s="157">
        <v>0</v>
      </c>
      <c r="Y93" s="157">
        <v>0</v>
      </c>
      <c r="Z93" s="157">
        <v>0</v>
      </c>
      <c r="AA93" s="158">
        <v>0</v>
      </c>
      <c r="AB93" s="31"/>
      <c r="AE93" s="67">
        <f ca="1">_xll.DBRW(Server&amp;Cube1,$H$13,$H$14,$H$15,$H$17,AE$2,$H$16,$B93)</f>
        <v>0</v>
      </c>
      <c r="AF93" s="70">
        <f ca="1">_xll.DBRW(Server&amp;Cube1,$H$13,$H$14,$H$15,$H$17,AF$2,$H$16,$B93)</f>
        <v>0</v>
      </c>
      <c r="AG93" s="70">
        <f ca="1">_xll.DBRW(Server&amp;Cube1,$H$13,$H$14,$H$15,$H$17,AG$2,$H$16,$B93)</f>
        <v>0</v>
      </c>
      <c r="AH93" s="70">
        <f ca="1">_xll.DBRW(Server&amp;Cube1,$H$13,$H$14,$H$15,$H$17,AH$2,$H$16,$B93)</f>
        <v>0</v>
      </c>
      <c r="AI93" s="70">
        <f ca="1">_xll.DBRW(Server&amp;Cube1,$H$13,$H$14,$H$15,$H$17,AI$2,$H$16,$B93)</f>
        <v>0</v>
      </c>
      <c r="AJ93" s="70">
        <f ca="1">_xll.DBRW(Server&amp;Cube1,$H$13,$H$14,$H$15,$H$17,AJ$2,$H$16,$B93)</f>
        <v>0</v>
      </c>
      <c r="AK93" s="70">
        <f ca="1">_xll.DBRW(Server&amp;Cube1,$H$13,$H$14,$H$15,$H$17,AK$2,$H$16,$B93)</f>
        <v>0</v>
      </c>
      <c r="AL93" s="70">
        <f ca="1">_xll.DBRW(Server&amp;Cube1,$H$13,$H$14,$H$15,$H$17,AL$2,$H$16,$B93)</f>
        <v>0</v>
      </c>
      <c r="AM93" s="70">
        <f ca="1">_xll.DBRW(Server&amp;Cube1,$H$13,$H$14,$H$15,$H$17,AM$2,$H$16,$B93)</f>
        <v>0</v>
      </c>
      <c r="AN93" s="70">
        <f ca="1">_xll.DBRW(Server&amp;Cube1,$H$13,$H$14,$H$15,$H$17,AN$2,$H$16,$B93)</f>
        <v>0</v>
      </c>
      <c r="AO93" s="70">
        <f ca="1">_xll.DBRW(Server&amp;Cube1,$H$13,$H$14,$H$15,$H$17,AO$2,$H$16,$B93)</f>
        <v>0</v>
      </c>
      <c r="AP93" s="71">
        <f ca="1">_xll.DBRW(Server&amp;Cube1,$H$13,$H$14,$H$15,$H$17,AP$2,$H$16,$B93)</f>
        <v>0</v>
      </c>
    </row>
    <row r="94" spans="1:42" ht="21" customHeight="1" x14ac:dyDescent="0.25">
      <c r="A94"/>
      <c r="B94" s="144" t="s">
        <v>36</v>
      </c>
      <c r="C94" s="12"/>
      <c r="D94" s="21"/>
      <c r="E94" s="169"/>
      <c r="F94" s="105"/>
      <c r="G94" s="319" t="s">
        <v>102</v>
      </c>
      <c r="H94" s="319"/>
      <c r="I94" s="127"/>
      <c r="J94" s="137"/>
      <c r="K94" s="127"/>
      <c r="L94" s="137"/>
      <c r="M94" s="134"/>
      <c r="N94" s="108">
        <f ca="1">_xll.DBRW(Server&amp;Cube1,$H$13,$H$14,$H$15,$N$3,N$2,$H$16,$B94)</f>
        <v>0</v>
      </c>
      <c r="O94" s="135"/>
      <c r="P94" s="151">
        <v>0</v>
      </c>
      <c r="Q94" s="152">
        <v>0</v>
      </c>
      <c r="R94" s="152">
        <v>0</v>
      </c>
      <c r="S94" s="152">
        <v>0</v>
      </c>
      <c r="T94" s="152">
        <v>0</v>
      </c>
      <c r="U94" s="152">
        <v>0</v>
      </c>
      <c r="V94" s="152">
        <v>0</v>
      </c>
      <c r="W94" s="152">
        <v>0</v>
      </c>
      <c r="X94" s="152">
        <v>0</v>
      </c>
      <c r="Y94" s="152">
        <v>0</v>
      </c>
      <c r="Z94" s="152">
        <v>0</v>
      </c>
      <c r="AA94" s="159">
        <v>0</v>
      </c>
      <c r="AB94" s="31"/>
      <c r="AE94" s="90">
        <f ca="1">IF($AE$3=1,_xll.DBSW(P94,Server&amp;Cube1,$H$13,$H$14,$H$15,$AE$1,AE$2,$H$16,$B94),_xll.DBRW(Server&amp;Cube1,$H$13,$H$14,$H$15,$AE$1,AE$2,$H$16,$B94))</f>
        <v>0</v>
      </c>
      <c r="AF94" s="90">
        <f ca="1">IF($AE$3=1,_xll.DBSW(Q94,Server&amp;Cube1,$H$13,$H$14,$H$15,$AE$1,AF$2,$H$16,$B94),_xll.DBRW(Server&amp;Cube1,$H$13,$H$14,$H$15,$AE$1,AF$2,$H$16,$B94))</f>
        <v>0</v>
      </c>
      <c r="AG94" s="90">
        <f ca="1">IF($AE$3=1,_xll.DBSW(R94,Server&amp;Cube1,$H$13,$H$14,$H$15,$AE$1,AG$2,$H$16,$B94),_xll.DBRW(Server&amp;Cube1,$H$13,$H$14,$H$15,$AE$1,AG$2,$H$16,$B94))</f>
        <v>0</v>
      </c>
      <c r="AH94" s="90">
        <f ca="1">IF($AE$3=1,_xll.DBSW(S94,Server&amp;Cube1,$H$13,$H$14,$H$15,$AE$1,AH$2,$H$16,$B94),_xll.DBRW(Server&amp;Cube1,$H$13,$H$14,$H$15,$AE$1,AH$2,$H$16,$B94))</f>
        <v>0</v>
      </c>
      <c r="AI94" s="90">
        <f ca="1">IF($AE$3=1,_xll.DBSW(T94,Server&amp;Cube1,$H$13,$H$14,$H$15,$AE$1,AI$2,$H$16,$B94),_xll.DBRW(Server&amp;Cube1,$H$13,$H$14,$H$15,$AE$1,AI$2,$H$16,$B94))</f>
        <v>0</v>
      </c>
      <c r="AJ94" s="90">
        <f ca="1">IF($AE$3=1,_xll.DBSW(U94,Server&amp;Cube1,$H$13,$H$14,$H$15,$AE$1,AJ$2,$H$16,$B94),_xll.DBRW(Server&amp;Cube1,$H$13,$H$14,$H$15,$AE$1,AJ$2,$H$16,$B94))</f>
        <v>0</v>
      </c>
      <c r="AK94" s="90">
        <f ca="1">IF($AE$3=1,_xll.DBSW(V94,Server&amp;Cube1,$H$13,$H$14,$H$15,$AE$1,AK$2,$H$16,$B94),_xll.DBRW(Server&amp;Cube1,$H$13,$H$14,$H$15,$AE$1,AK$2,$H$16,$B94))</f>
        <v>0</v>
      </c>
      <c r="AL94" s="90">
        <f ca="1">IF($AE$3=1,_xll.DBSW(W94,Server&amp;Cube1,$H$13,$H$14,$H$15,$AE$1,AL$2,$H$16,$B94),_xll.DBRW(Server&amp;Cube1,$H$13,$H$14,$H$15,$AE$1,AL$2,$H$16,$B94))</f>
        <v>0</v>
      </c>
      <c r="AM94" s="90">
        <f ca="1">IF($AE$3=1,_xll.DBSW(X94,Server&amp;Cube1,$H$13,$H$14,$H$15,$AE$1,AM$2,$H$16,$B94),_xll.DBRW(Server&amp;Cube1,$H$13,$H$14,$H$15,$AE$1,AM$2,$H$16,$B94))</f>
        <v>0</v>
      </c>
      <c r="AN94" s="90">
        <f ca="1">IF($AE$3=1,_xll.DBSW(Y94,Server&amp;Cube1,$H$13,$H$14,$H$15,$AE$1,AN$2,$H$16,$B94),_xll.DBRW(Server&amp;Cube1,$H$13,$H$14,$H$15,$AE$1,AN$2,$H$16,$B94))</f>
        <v>0</v>
      </c>
      <c r="AO94" s="90">
        <f ca="1">IF($AE$3=1,_xll.DBSW(Z94,Server&amp;Cube1,$H$13,$H$14,$H$15,$AE$1,AO$2,$H$16,$B94),_xll.DBRW(Server&amp;Cube1,$H$13,$H$14,$H$15,$AE$1,AO$2,$H$16,$B94))</f>
        <v>0</v>
      </c>
      <c r="AP94" s="90">
        <f ca="1">IF($AE$3=1,_xll.DBSW(AA94,Server&amp;Cube1,$H$13,$H$14,$H$15,$AE$1,AP$2,$H$16,$B94),_xll.DBRW(Server&amp;Cube1,$H$13,$H$14,$H$15,$AE$1,AP$2,$H$16,$B94))</f>
        <v>0</v>
      </c>
    </row>
    <row r="95" spans="1:42" ht="3.75" customHeight="1" x14ac:dyDescent="0.25">
      <c r="A95"/>
      <c r="B95" s="11"/>
      <c r="C95" s="11"/>
      <c r="D95" s="20"/>
      <c r="E95" s="170"/>
      <c r="F95" s="106"/>
      <c r="G95" s="43"/>
      <c r="H95" s="43"/>
      <c r="I95" s="38"/>
      <c r="J95" s="62"/>
      <c r="K95" s="38"/>
      <c r="L95" s="62"/>
      <c r="M95" s="63"/>
      <c r="N95" s="112"/>
      <c r="O95" s="64"/>
      <c r="P95" s="153"/>
      <c r="Q95" s="154"/>
      <c r="R95" s="154"/>
      <c r="S95" s="154"/>
      <c r="T95" s="154"/>
      <c r="U95" s="154"/>
      <c r="V95" s="154"/>
      <c r="W95" s="154"/>
      <c r="X95" s="154"/>
      <c r="Y95" s="154"/>
      <c r="Z95" s="154"/>
      <c r="AA95" s="155"/>
      <c r="AB95" s="31"/>
      <c r="AE95" s="64"/>
    </row>
    <row r="96" spans="1:42" ht="6.75" customHeight="1" x14ac:dyDescent="0.25">
      <c r="A96"/>
      <c r="B96" s="11"/>
      <c r="C96" s="11"/>
      <c r="D96" s="20"/>
      <c r="E96" s="170"/>
      <c r="F96" s="106"/>
      <c r="G96" s="43"/>
      <c r="H96" s="43"/>
      <c r="I96" s="38"/>
      <c r="J96" s="62"/>
      <c r="K96" s="38"/>
      <c r="L96" s="62"/>
      <c r="M96" s="63"/>
      <c r="N96" s="112"/>
      <c r="O96" s="64"/>
      <c r="P96" s="153"/>
      <c r="Q96" s="154"/>
      <c r="R96" s="154"/>
      <c r="S96" s="154"/>
      <c r="T96" s="154"/>
      <c r="U96" s="154"/>
      <c r="V96" s="154"/>
      <c r="W96" s="154"/>
      <c r="X96" s="154"/>
      <c r="Y96" s="154"/>
      <c r="Z96" s="154"/>
      <c r="AA96" s="155"/>
      <c r="AB96" s="31"/>
    </row>
    <row r="97" spans="1:42" ht="21" customHeight="1" x14ac:dyDescent="0.25">
      <c r="A97"/>
      <c r="B97" s="12" t="s">
        <v>39</v>
      </c>
      <c r="C97" s="12"/>
      <c r="D97" s="21"/>
      <c r="E97" s="169"/>
      <c r="F97" s="105"/>
      <c r="G97" s="315" t="str">
        <f ca="1">_xll.DBRA(Server&amp;$B$22,$B97,"French")</f>
        <v/>
      </c>
      <c r="H97" s="315" t="str">
        <f ca="1">_xll.DBRA(Server&amp;$B$22,$B97,"French")</f>
        <v/>
      </c>
      <c r="I97" s="39"/>
      <c r="J97" s="67" t="str">
        <f ca="1">_xll.DBRW(Server&amp;Cube1,$H$13,$J$3,$H$15,$J$1,$J$2,$H$16,$B97)</f>
        <v>*KEY_ERR</v>
      </c>
      <c r="K97" s="39"/>
      <c r="L97" s="67" t="str">
        <f ca="1">_xll.DBRW(Server&amp;Cube1,$H$13,$L$3,$H$15,$L$1,$L$2,$H$16,$B97)</f>
        <v>*KEY_ERR</v>
      </c>
      <c r="M97" s="68"/>
      <c r="N97" s="108" t="str">
        <f ca="1">_xll.DBRW(Server&amp;Cube1,$H$13,$H$14,$H$15,$N$1,N$2,$H$16,$B97)</f>
        <v>*KEY_ERR</v>
      </c>
      <c r="O97" s="69"/>
      <c r="P97" s="148">
        <v>0</v>
      </c>
      <c r="Q97" s="149">
        <v>0</v>
      </c>
      <c r="R97" s="149">
        <v>0</v>
      </c>
      <c r="S97" s="149">
        <v>0</v>
      </c>
      <c r="T97" s="149">
        <v>0</v>
      </c>
      <c r="U97" s="149">
        <v>0</v>
      </c>
      <c r="V97" s="149">
        <v>0</v>
      </c>
      <c r="W97" s="149">
        <v>0</v>
      </c>
      <c r="X97" s="149">
        <v>0</v>
      </c>
      <c r="Y97" s="149">
        <v>0</v>
      </c>
      <c r="Z97" s="149">
        <v>0</v>
      </c>
      <c r="AA97" s="150">
        <v>0</v>
      </c>
      <c r="AB97" s="31"/>
      <c r="AE97" s="67" t="str">
        <f ca="1">_xll.DBRW(Server&amp;Cube1,$H$13,$H$14,$H$15,$H$17,AE$2,$H$16,$B97)</f>
        <v>*KEY_ERR</v>
      </c>
      <c r="AF97" s="70" t="str">
        <f ca="1">_xll.DBRW(Server&amp;Cube1,$H$13,$H$14,$H$15,$H$17,AF$2,$H$16,$B97)</f>
        <v>*KEY_ERR</v>
      </c>
      <c r="AG97" s="70" t="str">
        <f ca="1">_xll.DBRW(Server&amp;Cube1,$H$13,$H$14,$H$15,$H$17,AG$2,$H$16,$B97)</f>
        <v>*KEY_ERR</v>
      </c>
      <c r="AH97" s="70" t="str">
        <f ca="1">_xll.DBRW(Server&amp;Cube1,$H$13,$H$14,$H$15,$H$17,AH$2,$H$16,$B97)</f>
        <v>*KEY_ERR</v>
      </c>
      <c r="AI97" s="70" t="str">
        <f ca="1">_xll.DBRW(Server&amp;Cube1,$H$13,$H$14,$H$15,$H$17,AI$2,$H$16,$B97)</f>
        <v>*KEY_ERR</v>
      </c>
      <c r="AJ97" s="70" t="str">
        <f ca="1">_xll.DBRW(Server&amp;Cube1,$H$13,$H$14,$H$15,$H$17,AJ$2,$H$16,$B97)</f>
        <v>*KEY_ERR</v>
      </c>
      <c r="AK97" s="70" t="str">
        <f ca="1">_xll.DBRW(Server&amp;Cube1,$H$13,$H$14,$H$15,$H$17,AK$2,$H$16,$B97)</f>
        <v>*KEY_ERR</v>
      </c>
      <c r="AL97" s="70" t="str">
        <f ca="1">_xll.DBRW(Server&amp;Cube1,$H$13,$H$14,$H$15,$H$17,AL$2,$H$16,$B97)</f>
        <v>*KEY_ERR</v>
      </c>
      <c r="AM97" s="70" t="str">
        <f ca="1">_xll.DBRW(Server&amp;Cube1,$H$13,$H$14,$H$15,$H$17,AM$2,$H$16,$B97)</f>
        <v>*KEY_ERR</v>
      </c>
      <c r="AN97" s="70" t="str">
        <f ca="1">_xll.DBRW(Server&amp;Cube1,$H$13,$H$14,$H$15,$H$17,AN$2,$H$16,$B97)</f>
        <v>*KEY_ERR</v>
      </c>
      <c r="AO97" s="70" t="str">
        <f ca="1">_xll.DBRW(Server&amp;Cube1,$H$13,$H$14,$H$15,$H$17,AO$2,$H$16,$B97)</f>
        <v>*KEY_ERR</v>
      </c>
      <c r="AP97" s="71" t="str">
        <f ca="1">_xll.DBRW(Server&amp;Cube1,$H$13,$H$14,$H$15,$H$17,AP$2,$H$16,$B97)</f>
        <v>*KEY_ERR</v>
      </c>
    </row>
    <row r="98" spans="1:42" ht="21" customHeight="1" x14ac:dyDescent="0.25">
      <c r="A98"/>
      <c r="B98" s="13" t="s">
        <v>40</v>
      </c>
      <c r="C98" s="13"/>
      <c r="D98" s="22"/>
      <c r="E98" s="171"/>
      <c r="F98" s="107"/>
      <c r="G98" s="305" t="str">
        <f ca="1">_xll.DBRA(Server&amp;$B$22,$B98,"French")</f>
        <v>Total Maintenance Informatique Pack Finance</v>
      </c>
      <c r="H98" s="305" t="str">
        <f ca="1">_xll.DBRA(Server&amp;$B$22,$B98,"French")</f>
        <v>Total Maintenance Informatique Pack Finance</v>
      </c>
      <c r="I98" s="37"/>
      <c r="J98" s="54">
        <f ca="1">_xll.DBRW(Server&amp;Cube1,$H$13,$J$3,$H$15,$J$1,$J$2,$H$16,$B98)</f>
        <v>-12561.14</v>
      </c>
      <c r="K98" s="37"/>
      <c r="L98" s="54">
        <f ca="1">_xll.DBRW(Server&amp;Cube1,$H$13,$L$3,$H$15,$L$1,$L$2,$H$16,$B98)</f>
        <v>0</v>
      </c>
      <c r="M98" s="55"/>
      <c r="N98" s="139">
        <f ca="1">_xll.DBRW(Server&amp;Cube1,$H$13,$H$14,$H$15,$N$1,N$2,$H$16,$B98)</f>
        <v>0</v>
      </c>
      <c r="O98" s="57"/>
      <c r="P98" s="156">
        <v>0</v>
      </c>
      <c r="Q98" s="157">
        <v>0</v>
      </c>
      <c r="R98" s="157">
        <v>0</v>
      </c>
      <c r="S98" s="157">
        <v>0</v>
      </c>
      <c r="T98" s="157">
        <v>0</v>
      </c>
      <c r="U98" s="157">
        <v>0</v>
      </c>
      <c r="V98" s="157">
        <v>0</v>
      </c>
      <c r="W98" s="157">
        <v>0</v>
      </c>
      <c r="X98" s="157">
        <v>0</v>
      </c>
      <c r="Y98" s="157">
        <v>0</v>
      </c>
      <c r="Z98" s="157">
        <v>0</v>
      </c>
      <c r="AA98" s="158">
        <v>0</v>
      </c>
      <c r="AB98" s="31"/>
      <c r="AE98" s="67">
        <f ca="1">_xll.DBRW(Server&amp;Cube1,$H$13,$H$14,$H$15,$H$17,AE$2,$H$16,$B98)</f>
        <v>0</v>
      </c>
      <c r="AF98" s="70">
        <f ca="1">_xll.DBRW(Server&amp;Cube1,$H$13,$H$14,$H$15,$H$17,AF$2,$H$16,$B98)</f>
        <v>0</v>
      </c>
      <c r="AG98" s="70">
        <f ca="1">_xll.DBRW(Server&amp;Cube1,$H$13,$H$14,$H$15,$H$17,AG$2,$H$16,$B98)</f>
        <v>0</v>
      </c>
      <c r="AH98" s="70">
        <f ca="1">_xll.DBRW(Server&amp;Cube1,$H$13,$H$14,$H$15,$H$17,AH$2,$H$16,$B98)</f>
        <v>0</v>
      </c>
      <c r="AI98" s="70">
        <f ca="1">_xll.DBRW(Server&amp;Cube1,$H$13,$H$14,$H$15,$H$17,AI$2,$H$16,$B98)</f>
        <v>0</v>
      </c>
      <c r="AJ98" s="70">
        <f ca="1">_xll.DBRW(Server&amp;Cube1,$H$13,$H$14,$H$15,$H$17,AJ$2,$H$16,$B98)</f>
        <v>0</v>
      </c>
      <c r="AK98" s="70">
        <f ca="1">_xll.DBRW(Server&amp;Cube1,$H$13,$H$14,$H$15,$H$17,AK$2,$H$16,$B98)</f>
        <v>0</v>
      </c>
      <c r="AL98" s="70">
        <f ca="1">_xll.DBRW(Server&amp;Cube1,$H$13,$H$14,$H$15,$H$17,AL$2,$H$16,$B98)</f>
        <v>0</v>
      </c>
      <c r="AM98" s="70">
        <f ca="1">_xll.DBRW(Server&amp;Cube1,$H$13,$H$14,$H$15,$H$17,AM$2,$H$16,$B98)</f>
        <v>0</v>
      </c>
      <c r="AN98" s="70">
        <f ca="1">_xll.DBRW(Server&amp;Cube1,$H$13,$H$14,$H$15,$H$17,AN$2,$H$16,$B98)</f>
        <v>0</v>
      </c>
      <c r="AO98" s="70">
        <f ca="1">_xll.DBRW(Server&amp;Cube1,$H$13,$H$14,$H$15,$H$17,AO$2,$H$16,$B98)</f>
        <v>0</v>
      </c>
      <c r="AP98" s="71">
        <f ca="1">_xll.DBRW(Server&amp;Cube1,$H$13,$H$14,$H$15,$H$17,AP$2,$H$16,$B98)</f>
        <v>0</v>
      </c>
    </row>
    <row r="99" spans="1:42" ht="21" customHeight="1" x14ac:dyDescent="0.25">
      <c r="A99"/>
      <c r="B99" s="144" t="s">
        <v>40</v>
      </c>
      <c r="C99" s="12"/>
      <c r="D99" s="21"/>
      <c r="E99" s="169"/>
      <c r="F99" s="105"/>
      <c r="G99" s="319" t="s">
        <v>102</v>
      </c>
      <c r="H99" s="319"/>
      <c r="I99" s="127"/>
      <c r="J99" s="137"/>
      <c r="K99" s="127"/>
      <c r="L99" s="137"/>
      <c r="M99" s="134"/>
      <c r="N99" s="108">
        <f ca="1">_xll.DBRW(Server&amp;Cube1,$H$13,$H$14,$H$15,$N$3,N$2,$H$16,$B99)</f>
        <v>0</v>
      </c>
      <c r="O99" s="135"/>
      <c r="P99" s="151">
        <v>0</v>
      </c>
      <c r="Q99" s="152">
        <v>0</v>
      </c>
      <c r="R99" s="152">
        <v>0</v>
      </c>
      <c r="S99" s="152">
        <v>0</v>
      </c>
      <c r="T99" s="152">
        <v>0</v>
      </c>
      <c r="U99" s="152">
        <v>0</v>
      </c>
      <c r="V99" s="152">
        <v>0</v>
      </c>
      <c r="W99" s="152">
        <v>0</v>
      </c>
      <c r="X99" s="152">
        <v>0</v>
      </c>
      <c r="Y99" s="152">
        <v>0</v>
      </c>
      <c r="Z99" s="152">
        <v>0</v>
      </c>
      <c r="AA99" s="159">
        <v>0</v>
      </c>
      <c r="AB99" s="31"/>
      <c r="AE99" s="90">
        <f ca="1">IF($AE$3=1,_xll.DBSW(P99,Server&amp;Cube1,$H$13,$H$14,$H$15,$AE$1,AE$2,$H$16,$B99),_xll.DBRW(Server&amp;Cube1,$H$13,$H$14,$H$15,$AE$1,AE$2,$H$16,$B99))</f>
        <v>0</v>
      </c>
      <c r="AF99" s="90">
        <f ca="1">IF($AE$3=1,_xll.DBSW(Q99,Server&amp;Cube1,$H$13,$H$14,$H$15,$AE$1,AF$2,$H$16,$B99),_xll.DBRW(Server&amp;Cube1,$H$13,$H$14,$H$15,$AE$1,AF$2,$H$16,$B99))</f>
        <v>0</v>
      </c>
      <c r="AG99" s="90">
        <f ca="1">IF($AE$3=1,_xll.DBSW(R99,Server&amp;Cube1,$H$13,$H$14,$H$15,$AE$1,AG$2,$H$16,$B99),_xll.DBRW(Server&amp;Cube1,$H$13,$H$14,$H$15,$AE$1,AG$2,$H$16,$B99))</f>
        <v>0</v>
      </c>
      <c r="AH99" s="90">
        <f ca="1">IF($AE$3=1,_xll.DBSW(S99,Server&amp;Cube1,$H$13,$H$14,$H$15,$AE$1,AH$2,$H$16,$B99),_xll.DBRW(Server&amp;Cube1,$H$13,$H$14,$H$15,$AE$1,AH$2,$H$16,$B99))</f>
        <v>0</v>
      </c>
      <c r="AI99" s="90">
        <f ca="1">IF($AE$3=1,_xll.DBSW(T99,Server&amp;Cube1,$H$13,$H$14,$H$15,$AE$1,AI$2,$H$16,$B99),_xll.DBRW(Server&amp;Cube1,$H$13,$H$14,$H$15,$AE$1,AI$2,$H$16,$B99))</f>
        <v>0</v>
      </c>
      <c r="AJ99" s="90">
        <f ca="1">IF($AE$3=1,_xll.DBSW(U99,Server&amp;Cube1,$H$13,$H$14,$H$15,$AE$1,AJ$2,$H$16,$B99),_xll.DBRW(Server&amp;Cube1,$H$13,$H$14,$H$15,$AE$1,AJ$2,$H$16,$B99))</f>
        <v>0</v>
      </c>
      <c r="AK99" s="90">
        <f ca="1">IF($AE$3=1,_xll.DBSW(V99,Server&amp;Cube1,$H$13,$H$14,$H$15,$AE$1,AK$2,$H$16,$B99),_xll.DBRW(Server&amp;Cube1,$H$13,$H$14,$H$15,$AE$1,AK$2,$H$16,$B99))</f>
        <v>0</v>
      </c>
      <c r="AL99" s="90">
        <f ca="1">IF($AE$3=1,_xll.DBSW(W99,Server&amp;Cube1,$H$13,$H$14,$H$15,$AE$1,AL$2,$H$16,$B99),_xll.DBRW(Server&amp;Cube1,$H$13,$H$14,$H$15,$AE$1,AL$2,$H$16,$B99))</f>
        <v>0</v>
      </c>
      <c r="AM99" s="90">
        <f ca="1">IF($AE$3=1,_xll.DBSW(X99,Server&amp;Cube1,$H$13,$H$14,$H$15,$AE$1,AM$2,$H$16,$B99),_xll.DBRW(Server&amp;Cube1,$H$13,$H$14,$H$15,$AE$1,AM$2,$H$16,$B99))</f>
        <v>0</v>
      </c>
      <c r="AN99" s="90">
        <f ca="1">IF($AE$3=1,_xll.DBSW(Y99,Server&amp;Cube1,$H$13,$H$14,$H$15,$AE$1,AN$2,$H$16,$B99),_xll.DBRW(Server&amp;Cube1,$H$13,$H$14,$H$15,$AE$1,AN$2,$H$16,$B99))</f>
        <v>0</v>
      </c>
      <c r="AO99" s="90">
        <f ca="1">IF($AE$3=1,_xll.DBSW(Z99,Server&amp;Cube1,$H$13,$H$14,$H$15,$AE$1,AO$2,$H$16,$B99),_xll.DBRW(Server&amp;Cube1,$H$13,$H$14,$H$15,$AE$1,AO$2,$H$16,$B99))</f>
        <v>0</v>
      </c>
      <c r="AP99" s="90">
        <f ca="1">IF($AE$3=1,_xll.DBSW(AA99,Server&amp;Cube1,$H$13,$H$14,$H$15,$AE$1,AP$2,$H$16,$B99),_xll.DBRW(Server&amp;Cube1,$H$13,$H$14,$H$15,$AE$1,AP$2,$H$16,$B99))</f>
        <v>0</v>
      </c>
    </row>
    <row r="100" spans="1:42" ht="21" customHeight="1" x14ac:dyDescent="0.25">
      <c r="A100"/>
      <c r="B100" s="13" t="s">
        <v>41</v>
      </c>
      <c r="C100" s="13"/>
      <c r="D100" s="22"/>
      <c r="E100" s="171"/>
      <c r="F100" s="107"/>
      <c r="G100" s="305" t="str">
        <f ca="1">_xll.DBRA(Server&amp;$B$22,$B100,"French")</f>
        <v>Abonnement SAAS</v>
      </c>
      <c r="H100" s="305" t="str">
        <f ca="1">_xll.DBRA(Server&amp;$B$22,$B100,"French")</f>
        <v>Abonnement SAAS</v>
      </c>
      <c r="I100" s="37"/>
      <c r="J100" s="54">
        <f ca="1">_xll.DBRW(Server&amp;Cube1,$H$13,$J$3,$H$15,$J$1,$J$2,$H$16,$B100)</f>
        <v>0</v>
      </c>
      <c r="K100" s="37"/>
      <c r="L100" s="54">
        <f ca="1">_xll.DBRW(Server&amp;Cube1,$H$13,$L$3,$H$15,$L$1,$L$2,$H$16,$B100)</f>
        <v>0</v>
      </c>
      <c r="M100" s="55"/>
      <c r="N100" s="139">
        <f ca="1">_xll.DBRW(Server&amp;Cube1,$H$13,$H$14,$H$15,$N$1,N$2,$H$16,$B100)</f>
        <v>0</v>
      </c>
      <c r="O100" s="57"/>
      <c r="P100" s="156">
        <v>0</v>
      </c>
      <c r="Q100" s="157">
        <v>0</v>
      </c>
      <c r="R100" s="157">
        <v>0</v>
      </c>
      <c r="S100" s="157">
        <v>0</v>
      </c>
      <c r="T100" s="157">
        <v>0</v>
      </c>
      <c r="U100" s="157">
        <v>0</v>
      </c>
      <c r="V100" s="157">
        <v>0</v>
      </c>
      <c r="W100" s="157">
        <v>0</v>
      </c>
      <c r="X100" s="157">
        <v>0</v>
      </c>
      <c r="Y100" s="157">
        <v>0</v>
      </c>
      <c r="Z100" s="157">
        <v>0</v>
      </c>
      <c r="AA100" s="158">
        <v>0</v>
      </c>
      <c r="AB100" s="31"/>
      <c r="AE100" s="67">
        <f ca="1">_xll.DBRW(Server&amp;Cube1,$H$13,$H$14,$H$15,$H$17,AE$2,$H$16,$B100)</f>
        <v>0</v>
      </c>
      <c r="AF100" s="70">
        <f ca="1">_xll.DBRW(Server&amp;Cube1,$H$13,$H$14,$H$15,$H$17,AF$2,$H$16,$B100)</f>
        <v>0</v>
      </c>
      <c r="AG100" s="70">
        <f ca="1">_xll.DBRW(Server&amp;Cube1,$H$13,$H$14,$H$15,$H$17,AG$2,$H$16,$B100)</f>
        <v>0</v>
      </c>
      <c r="AH100" s="70">
        <f ca="1">_xll.DBRW(Server&amp;Cube1,$H$13,$H$14,$H$15,$H$17,AH$2,$H$16,$B100)</f>
        <v>0</v>
      </c>
      <c r="AI100" s="70">
        <f ca="1">_xll.DBRW(Server&amp;Cube1,$H$13,$H$14,$H$15,$H$17,AI$2,$H$16,$B100)</f>
        <v>0</v>
      </c>
      <c r="AJ100" s="70">
        <f ca="1">_xll.DBRW(Server&amp;Cube1,$H$13,$H$14,$H$15,$H$17,AJ$2,$H$16,$B100)</f>
        <v>0</v>
      </c>
      <c r="AK100" s="70">
        <f ca="1">_xll.DBRW(Server&amp;Cube1,$H$13,$H$14,$H$15,$H$17,AK$2,$H$16,$B100)</f>
        <v>0</v>
      </c>
      <c r="AL100" s="70">
        <f ca="1">_xll.DBRW(Server&amp;Cube1,$H$13,$H$14,$H$15,$H$17,AL$2,$H$16,$B100)</f>
        <v>0</v>
      </c>
      <c r="AM100" s="70">
        <f ca="1">_xll.DBRW(Server&amp;Cube1,$H$13,$H$14,$H$15,$H$17,AM$2,$H$16,$B100)</f>
        <v>0</v>
      </c>
      <c r="AN100" s="70">
        <f ca="1">_xll.DBRW(Server&amp;Cube1,$H$13,$H$14,$H$15,$H$17,AN$2,$H$16,$B100)</f>
        <v>0</v>
      </c>
      <c r="AO100" s="70">
        <f ca="1">_xll.DBRW(Server&amp;Cube1,$H$13,$H$14,$H$15,$H$17,AO$2,$H$16,$B100)</f>
        <v>0</v>
      </c>
      <c r="AP100" s="71">
        <f ca="1">_xll.DBRW(Server&amp;Cube1,$H$13,$H$14,$H$15,$H$17,AP$2,$H$16,$B100)</f>
        <v>0</v>
      </c>
    </row>
    <row r="101" spans="1:42" ht="21" customHeight="1" x14ac:dyDescent="0.25">
      <c r="A101"/>
      <c r="B101" s="144" t="s">
        <v>41</v>
      </c>
      <c r="C101" s="12"/>
      <c r="D101" s="21"/>
      <c r="E101" s="169"/>
      <c r="F101" s="105"/>
      <c r="G101" s="319" t="s">
        <v>102</v>
      </c>
      <c r="H101" s="319"/>
      <c r="I101" s="127"/>
      <c r="J101" s="137"/>
      <c r="K101" s="127"/>
      <c r="L101" s="137"/>
      <c r="M101" s="134"/>
      <c r="N101" s="108">
        <f ca="1">_xll.DBRW(Server&amp;Cube1,$H$13,$H$14,$H$15,$N$3,N$2,$H$16,$B101)</f>
        <v>0</v>
      </c>
      <c r="O101" s="135"/>
      <c r="P101" s="151">
        <v>0</v>
      </c>
      <c r="Q101" s="152">
        <v>0</v>
      </c>
      <c r="R101" s="152">
        <v>0</v>
      </c>
      <c r="S101" s="152">
        <v>0</v>
      </c>
      <c r="T101" s="152">
        <v>0</v>
      </c>
      <c r="U101" s="152">
        <v>0</v>
      </c>
      <c r="V101" s="152">
        <v>0</v>
      </c>
      <c r="W101" s="152">
        <v>0</v>
      </c>
      <c r="X101" s="152">
        <v>0</v>
      </c>
      <c r="Y101" s="152">
        <v>0</v>
      </c>
      <c r="Z101" s="152">
        <v>0</v>
      </c>
      <c r="AA101" s="159">
        <v>0</v>
      </c>
      <c r="AB101" s="31"/>
      <c r="AE101" s="90">
        <f ca="1">IF($AE$3=1,_xll.DBSW(P101,Server&amp;Cube1,$H$13,$H$14,$H$15,$AE$1,AE$2,$H$16,$B101),_xll.DBRW(Server&amp;Cube1,$H$13,$H$14,$H$15,$AE$1,AE$2,$H$16,$B101))</f>
        <v>0</v>
      </c>
      <c r="AF101" s="90">
        <f ca="1">IF($AE$3=1,_xll.DBSW(Q101,Server&amp;Cube1,$H$13,$H$14,$H$15,$AE$1,AF$2,$H$16,$B101),_xll.DBRW(Server&amp;Cube1,$H$13,$H$14,$H$15,$AE$1,AF$2,$H$16,$B101))</f>
        <v>0</v>
      </c>
      <c r="AG101" s="90">
        <f ca="1">IF($AE$3=1,_xll.DBSW(R101,Server&amp;Cube1,$H$13,$H$14,$H$15,$AE$1,AG$2,$H$16,$B101),_xll.DBRW(Server&amp;Cube1,$H$13,$H$14,$H$15,$AE$1,AG$2,$H$16,$B101))</f>
        <v>0</v>
      </c>
      <c r="AH101" s="90">
        <f ca="1">IF($AE$3=1,_xll.DBSW(S101,Server&amp;Cube1,$H$13,$H$14,$H$15,$AE$1,AH$2,$H$16,$B101),_xll.DBRW(Server&amp;Cube1,$H$13,$H$14,$H$15,$AE$1,AH$2,$H$16,$B101))</f>
        <v>0</v>
      </c>
      <c r="AI101" s="90">
        <f ca="1">IF($AE$3=1,_xll.DBSW(T101,Server&amp;Cube1,$H$13,$H$14,$H$15,$AE$1,AI$2,$H$16,$B101),_xll.DBRW(Server&amp;Cube1,$H$13,$H$14,$H$15,$AE$1,AI$2,$H$16,$B101))</f>
        <v>0</v>
      </c>
      <c r="AJ101" s="90">
        <f ca="1">IF($AE$3=1,_xll.DBSW(U101,Server&amp;Cube1,$H$13,$H$14,$H$15,$AE$1,AJ$2,$H$16,$B101),_xll.DBRW(Server&amp;Cube1,$H$13,$H$14,$H$15,$AE$1,AJ$2,$H$16,$B101))</f>
        <v>0</v>
      </c>
      <c r="AK101" s="90">
        <f ca="1">IF($AE$3=1,_xll.DBSW(V101,Server&amp;Cube1,$H$13,$H$14,$H$15,$AE$1,AK$2,$H$16,$B101),_xll.DBRW(Server&amp;Cube1,$H$13,$H$14,$H$15,$AE$1,AK$2,$H$16,$B101))</f>
        <v>0</v>
      </c>
      <c r="AL101" s="90">
        <f ca="1">IF($AE$3=1,_xll.DBSW(W101,Server&amp;Cube1,$H$13,$H$14,$H$15,$AE$1,AL$2,$H$16,$B101),_xll.DBRW(Server&amp;Cube1,$H$13,$H$14,$H$15,$AE$1,AL$2,$H$16,$B101))</f>
        <v>0</v>
      </c>
      <c r="AM101" s="90">
        <f ca="1">IF($AE$3=1,_xll.DBSW(X101,Server&amp;Cube1,$H$13,$H$14,$H$15,$AE$1,AM$2,$H$16,$B101),_xll.DBRW(Server&amp;Cube1,$H$13,$H$14,$H$15,$AE$1,AM$2,$H$16,$B101))</f>
        <v>0</v>
      </c>
      <c r="AN101" s="90">
        <f ca="1">IF($AE$3=1,_xll.DBSW(Y101,Server&amp;Cube1,$H$13,$H$14,$H$15,$AE$1,AN$2,$H$16,$B101),_xll.DBRW(Server&amp;Cube1,$H$13,$H$14,$H$15,$AE$1,AN$2,$H$16,$B101))</f>
        <v>0</v>
      </c>
      <c r="AO101" s="90">
        <f ca="1">IF($AE$3=1,_xll.DBSW(Z101,Server&amp;Cube1,$H$13,$H$14,$H$15,$AE$1,AO$2,$H$16,$B101),_xll.DBRW(Server&amp;Cube1,$H$13,$H$14,$H$15,$AE$1,AO$2,$H$16,$B101))</f>
        <v>0</v>
      </c>
      <c r="AP101" s="90">
        <f ca="1">IF($AE$3=1,_xll.DBSW(AA101,Server&amp;Cube1,$H$13,$H$14,$H$15,$AE$1,AP$2,$H$16,$B101),_xll.DBRW(Server&amp;Cube1,$H$13,$H$14,$H$15,$AE$1,AP$2,$H$16,$B101))</f>
        <v>0</v>
      </c>
    </row>
    <row r="102" spans="1:42" ht="6.75" customHeight="1" x14ac:dyDescent="0.25">
      <c r="A102"/>
      <c r="B102" s="11"/>
      <c r="C102" s="11"/>
      <c r="D102" s="20"/>
      <c r="E102" s="170"/>
      <c r="F102" s="106"/>
      <c r="G102" s="43"/>
      <c r="H102" s="43"/>
      <c r="I102" s="38"/>
      <c r="J102" s="62"/>
      <c r="K102" s="38"/>
      <c r="L102" s="62"/>
      <c r="M102" s="63"/>
      <c r="N102" s="112"/>
      <c r="O102" s="64"/>
      <c r="P102" s="153"/>
      <c r="Q102" s="154"/>
      <c r="R102" s="154"/>
      <c r="S102" s="154"/>
      <c r="T102" s="154"/>
      <c r="U102" s="154"/>
      <c r="V102" s="154"/>
      <c r="W102" s="154"/>
      <c r="X102" s="154"/>
      <c r="Y102" s="154"/>
      <c r="Z102" s="154"/>
      <c r="AA102" s="155"/>
      <c r="AB102" s="31"/>
    </row>
    <row r="103" spans="1:42" ht="21" customHeight="1" x14ac:dyDescent="0.25">
      <c r="A103"/>
      <c r="B103" s="12" t="s">
        <v>42</v>
      </c>
      <c r="C103" s="12"/>
      <c r="D103" s="21"/>
      <c r="E103" s="169"/>
      <c r="F103" s="105"/>
      <c r="G103" s="315" t="str">
        <f ca="1">_xll.DBRA(Server&amp;$B$22,$B103,"French")</f>
        <v>Location VH et Télephonie</v>
      </c>
      <c r="H103" s="315" t="str">
        <f ca="1">_xll.DBRA(Server&amp;$B$22,$B103,"French")</f>
        <v>Location VH et Télephonie</v>
      </c>
      <c r="I103" s="39"/>
      <c r="J103" s="67">
        <f ca="1">_xll.DBRW(Server&amp;Cube1,$H$13,$J$3,$H$15,$J$1,$J$2,$H$16,$B103)</f>
        <v>0</v>
      </c>
      <c r="K103" s="39"/>
      <c r="L103" s="67">
        <f ca="1">_xll.DBRW(Server&amp;Cube1,$H$13,$L$3,$H$15,$L$1,$L$2,$H$16,$B103)</f>
        <v>0</v>
      </c>
      <c r="M103" s="68"/>
      <c r="N103" s="108">
        <f ca="1">_xll.DBRW(Server&amp;Cube1,$H$13,$H$14,$H$15,$N$1,N$2,$H$16,$B103)</f>
        <v>0</v>
      </c>
      <c r="O103" s="69"/>
      <c r="P103" s="148">
        <v>0</v>
      </c>
      <c r="Q103" s="149">
        <v>0</v>
      </c>
      <c r="R103" s="149">
        <v>0</v>
      </c>
      <c r="S103" s="149">
        <v>0</v>
      </c>
      <c r="T103" s="149">
        <v>0</v>
      </c>
      <c r="U103" s="149">
        <v>0</v>
      </c>
      <c r="V103" s="149">
        <v>0</v>
      </c>
      <c r="W103" s="149">
        <v>0</v>
      </c>
      <c r="X103" s="149">
        <v>0</v>
      </c>
      <c r="Y103" s="149">
        <v>0</v>
      </c>
      <c r="Z103" s="149">
        <v>0</v>
      </c>
      <c r="AA103" s="150">
        <v>0</v>
      </c>
      <c r="AB103" s="31"/>
      <c r="AE103" s="67">
        <f ca="1">_xll.DBRW(Server&amp;Cube1,$H$13,$H$14,$H$15,$H$17,AE$2,$H$16,$B103)</f>
        <v>0</v>
      </c>
      <c r="AF103" s="70">
        <f ca="1">_xll.DBRW(Server&amp;Cube1,$H$13,$H$14,$H$15,$H$17,AF$2,$H$16,$B103)</f>
        <v>0</v>
      </c>
      <c r="AG103" s="70">
        <f ca="1">_xll.DBRW(Server&amp;Cube1,$H$13,$H$14,$H$15,$H$17,AG$2,$H$16,$B103)</f>
        <v>0</v>
      </c>
      <c r="AH103" s="70">
        <f ca="1">_xll.DBRW(Server&amp;Cube1,$H$13,$H$14,$H$15,$H$17,AH$2,$H$16,$B103)</f>
        <v>0</v>
      </c>
      <c r="AI103" s="70">
        <f ca="1">_xll.DBRW(Server&amp;Cube1,$H$13,$H$14,$H$15,$H$17,AI$2,$H$16,$B103)</f>
        <v>0</v>
      </c>
      <c r="AJ103" s="70">
        <f ca="1">_xll.DBRW(Server&amp;Cube1,$H$13,$H$14,$H$15,$H$17,AJ$2,$H$16,$B103)</f>
        <v>0</v>
      </c>
      <c r="AK103" s="70">
        <f ca="1">_xll.DBRW(Server&amp;Cube1,$H$13,$H$14,$H$15,$H$17,AK$2,$H$16,$B103)</f>
        <v>0</v>
      </c>
      <c r="AL103" s="70">
        <f ca="1">_xll.DBRW(Server&amp;Cube1,$H$13,$H$14,$H$15,$H$17,AL$2,$H$16,$B103)</f>
        <v>0</v>
      </c>
      <c r="AM103" s="70">
        <f ca="1">_xll.DBRW(Server&amp;Cube1,$H$13,$H$14,$H$15,$H$17,AM$2,$H$16,$B103)</f>
        <v>0</v>
      </c>
      <c r="AN103" s="70">
        <f ca="1">_xll.DBRW(Server&amp;Cube1,$H$13,$H$14,$H$15,$H$17,AN$2,$H$16,$B103)</f>
        <v>0</v>
      </c>
      <c r="AO103" s="70">
        <f ca="1">_xll.DBRW(Server&amp;Cube1,$H$13,$H$14,$H$15,$H$17,AO$2,$H$16,$B103)</f>
        <v>0</v>
      </c>
      <c r="AP103" s="71">
        <f ca="1">_xll.DBRW(Server&amp;Cube1,$H$13,$H$14,$H$15,$H$17,AP$2,$H$16,$B103)</f>
        <v>0</v>
      </c>
    </row>
    <row r="104" spans="1:42" ht="21" customHeight="1" x14ac:dyDescent="0.25">
      <c r="A104"/>
      <c r="B104" s="13">
        <v>625130</v>
      </c>
      <c r="C104" s="13"/>
      <c r="D104" s="22"/>
      <c r="E104" s="171"/>
      <c r="F104" s="107"/>
      <c r="G104" s="305" t="s">
        <v>90</v>
      </c>
      <c r="H104" s="305"/>
      <c r="I104" s="37"/>
      <c r="J104" s="54">
        <f ca="1">_xll.DBRW(Server&amp;Cube1,$H$13,$J$3,$H$15,$J$1,$J$2,$H$16,$B104)</f>
        <v>0</v>
      </c>
      <c r="K104" s="37"/>
      <c r="L104" s="54">
        <f ca="1">_xll.DBRW(Server&amp;Cube1,$H$13,$L$3,$H$15,$L$1,$L$2,$H$16,$B104)</f>
        <v>0</v>
      </c>
      <c r="M104" s="55"/>
      <c r="N104" s="139">
        <f ca="1">_xll.DBRW(Server&amp;Cube1,$H$13,$H$14,$H$15,$N$1,N$2,$H$16,$B104)</f>
        <v>0</v>
      </c>
      <c r="O104" s="57"/>
      <c r="P104" s="156">
        <v>0</v>
      </c>
      <c r="Q104" s="157">
        <v>0</v>
      </c>
      <c r="R104" s="157">
        <v>0</v>
      </c>
      <c r="S104" s="157">
        <v>0</v>
      </c>
      <c r="T104" s="157">
        <v>0</v>
      </c>
      <c r="U104" s="157">
        <v>0</v>
      </c>
      <c r="V104" s="157">
        <v>0</v>
      </c>
      <c r="W104" s="157">
        <v>0</v>
      </c>
      <c r="X104" s="157">
        <v>0</v>
      </c>
      <c r="Y104" s="157">
        <v>0</v>
      </c>
      <c r="Z104" s="157">
        <v>0</v>
      </c>
      <c r="AA104" s="158">
        <v>0</v>
      </c>
      <c r="AB104" s="31"/>
      <c r="AE104" s="67">
        <f ca="1">_xll.DBRW(Server&amp;Cube1,$H$13,$H$14,$H$15,$H$17,AE$2,$H$16,$B104)</f>
        <v>0</v>
      </c>
      <c r="AF104" s="70">
        <f ca="1">_xll.DBRW(Server&amp;Cube1,$H$13,$H$14,$H$15,$H$17,AF$2,$H$16,$B104)</f>
        <v>0</v>
      </c>
      <c r="AG104" s="70">
        <f ca="1">_xll.DBRW(Server&amp;Cube1,$H$13,$H$14,$H$15,$H$17,AG$2,$H$16,$B104)</f>
        <v>0</v>
      </c>
      <c r="AH104" s="70">
        <f ca="1">_xll.DBRW(Server&amp;Cube1,$H$13,$H$14,$H$15,$H$17,AH$2,$H$16,$B104)</f>
        <v>0</v>
      </c>
      <c r="AI104" s="70">
        <f ca="1">_xll.DBRW(Server&amp;Cube1,$H$13,$H$14,$H$15,$H$17,AI$2,$H$16,$B104)</f>
        <v>0</v>
      </c>
      <c r="AJ104" s="70">
        <f ca="1">_xll.DBRW(Server&amp;Cube1,$H$13,$H$14,$H$15,$H$17,AJ$2,$H$16,$B104)</f>
        <v>0</v>
      </c>
      <c r="AK104" s="70">
        <f ca="1">_xll.DBRW(Server&amp;Cube1,$H$13,$H$14,$H$15,$H$17,AK$2,$H$16,$B104)</f>
        <v>0</v>
      </c>
      <c r="AL104" s="70">
        <f ca="1">_xll.DBRW(Server&amp;Cube1,$H$13,$H$14,$H$15,$H$17,AL$2,$H$16,$B104)</f>
        <v>0</v>
      </c>
      <c r="AM104" s="70">
        <f ca="1">_xll.DBRW(Server&amp;Cube1,$H$13,$H$14,$H$15,$H$17,AM$2,$H$16,$B104)</f>
        <v>0</v>
      </c>
      <c r="AN104" s="70">
        <f ca="1">_xll.DBRW(Server&amp;Cube1,$H$13,$H$14,$H$15,$H$17,AN$2,$H$16,$B104)</f>
        <v>0</v>
      </c>
      <c r="AO104" s="70">
        <f ca="1">_xll.DBRW(Server&amp;Cube1,$H$13,$H$14,$H$15,$H$17,AO$2,$H$16,$B104)</f>
        <v>0</v>
      </c>
      <c r="AP104" s="71">
        <f ca="1">_xll.DBRW(Server&amp;Cube1,$H$13,$H$14,$H$15,$H$17,AP$2,$H$16,$B104)</f>
        <v>0</v>
      </c>
    </row>
    <row r="105" spans="1:42" ht="21" customHeight="1" x14ac:dyDescent="0.25">
      <c r="A105"/>
      <c r="B105" s="144">
        <v>625130</v>
      </c>
      <c r="C105" s="12"/>
      <c r="D105" s="21"/>
      <c r="E105" s="169"/>
      <c r="F105" s="105"/>
      <c r="G105" s="319" t="s">
        <v>102</v>
      </c>
      <c r="H105" s="319"/>
      <c r="I105" s="127"/>
      <c r="J105" s="137"/>
      <c r="K105" s="127"/>
      <c r="L105" s="137"/>
      <c r="M105" s="134"/>
      <c r="N105" s="108">
        <f ca="1">_xll.DBRW(Server&amp;Cube1,$H$13,$H$14,$H$15,$N$3,N$2,$H$16,$B105)</f>
        <v>0</v>
      </c>
      <c r="O105" s="135"/>
      <c r="P105" s="151">
        <v>0</v>
      </c>
      <c r="Q105" s="152">
        <v>0</v>
      </c>
      <c r="R105" s="152">
        <v>0</v>
      </c>
      <c r="S105" s="152">
        <v>0</v>
      </c>
      <c r="T105" s="152">
        <v>0</v>
      </c>
      <c r="U105" s="152">
        <v>0</v>
      </c>
      <c r="V105" s="152">
        <v>0</v>
      </c>
      <c r="W105" s="152">
        <v>0</v>
      </c>
      <c r="X105" s="152">
        <v>0</v>
      </c>
      <c r="Y105" s="152">
        <v>0</v>
      </c>
      <c r="Z105" s="152">
        <v>0</v>
      </c>
      <c r="AA105" s="159">
        <v>0</v>
      </c>
      <c r="AB105" s="31"/>
      <c r="AE105" s="90">
        <f ca="1">IF($AE$3=1,_xll.DBSW(P105,Server&amp;Cube1,$H$13,$H$14,$H$15,$AE$1,AE$2,$H$16,$B105),_xll.DBRW(Server&amp;Cube1,$H$13,$H$14,$H$15,$AE$1,AE$2,$H$16,$B105))</f>
        <v>0</v>
      </c>
      <c r="AF105" s="90">
        <f ca="1">IF($AE$3=1,_xll.DBSW(Q105,Server&amp;Cube1,$H$13,$H$14,$H$15,$AE$1,AF$2,$H$16,$B105),_xll.DBRW(Server&amp;Cube1,$H$13,$H$14,$H$15,$AE$1,AF$2,$H$16,$B105))</f>
        <v>0</v>
      </c>
      <c r="AG105" s="90">
        <f ca="1">IF($AE$3=1,_xll.DBSW(R105,Server&amp;Cube1,$H$13,$H$14,$H$15,$AE$1,AG$2,$H$16,$B105),_xll.DBRW(Server&amp;Cube1,$H$13,$H$14,$H$15,$AE$1,AG$2,$H$16,$B105))</f>
        <v>0</v>
      </c>
      <c r="AH105" s="90">
        <f ca="1">IF($AE$3=1,_xll.DBSW(S105,Server&amp;Cube1,$H$13,$H$14,$H$15,$AE$1,AH$2,$H$16,$B105),_xll.DBRW(Server&amp;Cube1,$H$13,$H$14,$H$15,$AE$1,AH$2,$H$16,$B105))</f>
        <v>0</v>
      </c>
      <c r="AI105" s="90">
        <f ca="1">IF($AE$3=1,_xll.DBSW(T105,Server&amp;Cube1,$H$13,$H$14,$H$15,$AE$1,AI$2,$H$16,$B105),_xll.DBRW(Server&amp;Cube1,$H$13,$H$14,$H$15,$AE$1,AI$2,$H$16,$B105))</f>
        <v>0</v>
      </c>
      <c r="AJ105" s="90">
        <f ca="1">IF($AE$3=1,_xll.DBSW(U105,Server&amp;Cube1,$H$13,$H$14,$H$15,$AE$1,AJ$2,$H$16,$B105),_xll.DBRW(Server&amp;Cube1,$H$13,$H$14,$H$15,$AE$1,AJ$2,$H$16,$B105))</f>
        <v>0</v>
      </c>
      <c r="AK105" s="90">
        <f ca="1">IF($AE$3=1,_xll.DBSW(V105,Server&amp;Cube1,$H$13,$H$14,$H$15,$AE$1,AK$2,$H$16,$B105),_xll.DBRW(Server&amp;Cube1,$H$13,$H$14,$H$15,$AE$1,AK$2,$H$16,$B105))</f>
        <v>0</v>
      </c>
      <c r="AL105" s="90">
        <f ca="1">IF($AE$3=1,_xll.DBSW(W105,Server&amp;Cube1,$H$13,$H$14,$H$15,$AE$1,AL$2,$H$16,$B105),_xll.DBRW(Server&amp;Cube1,$H$13,$H$14,$H$15,$AE$1,AL$2,$H$16,$B105))</f>
        <v>0</v>
      </c>
      <c r="AM105" s="90">
        <f ca="1">IF($AE$3=1,_xll.DBSW(X105,Server&amp;Cube1,$H$13,$H$14,$H$15,$AE$1,AM$2,$H$16,$B105),_xll.DBRW(Server&amp;Cube1,$H$13,$H$14,$H$15,$AE$1,AM$2,$H$16,$B105))</f>
        <v>0</v>
      </c>
      <c r="AN105" s="90">
        <f ca="1">IF($AE$3=1,_xll.DBSW(Y105,Server&amp;Cube1,$H$13,$H$14,$H$15,$AE$1,AN$2,$H$16,$B105),_xll.DBRW(Server&amp;Cube1,$H$13,$H$14,$H$15,$AE$1,AN$2,$H$16,$B105))</f>
        <v>0</v>
      </c>
      <c r="AO105" s="90">
        <f ca="1">IF($AE$3=1,_xll.DBSW(Z105,Server&amp;Cube1,$H$13,$H$14,$H$15,$AE$1,AO$2,$H$16,$B105),_xll.DBRW(Server&amp;Cube1,$H$13,$H$14,$H$15,$AE$1,AO$2,$H$16,$B105))</f>
        <v>0</v>
      </c>
      <c r="AP105" s="90">
        <f ca="1">IF($AE$3=1,_xll.DBSW(AA105,Server&amp;Cube1,$H$13,$H$14,$H$15,$AE$1,AP$2,$H$16,$B105),_xll.DBRW(Server&amp;Cube1,$H$13,$H$14,$H$15,$AE$1,AP$2,$H$16,$B105))</f>
        <v>0</v>
      </c>
    </row>
    <row r="106" spans="1:42" ht="21" customHeight="1" x14ac:dyDescent="0.25">
      <c r="A106"/>
      <c r="B106" s="13" t="s">
        <v>43</v>
      </c>
      <c r="C106" s="13"/>
      <c r="D106" s="22"/>
      <c r="E106" s="171"/>
      <c r="F106" s="107"/>
      <c r="G106" s="305" t="str">
        <f ca="1">_xll.DBRA(Server&amp;$B$22,$B106,"French")</f>
        <v>Téléphone mobile</v>
      </c>
      <c r="H106" s="305" t="str">
        <f ca="1">_xll.DBRA(Server&amp;$B$22,$B106,"French")</f>
        <v>Téléphone mobile</v>
      </c>
      <c r="I106" s="37"/>
      <c r="J106" s="54">
        <f ca="1">_xll.DBRW(Server&amp;Cube1,$H$13,$J$3,$H$15,$J$1,$J$2,$H$16,$B106)</f>
        <v>0</v>
      </c>
      <c r="K106" s="37"/>
      <c r="L106" s="54">
        <f ca="1">_xll.DBRW(Server&amp;Cube1,$H$13,$L$3,$H$15,$L$1,$L$2,$H$16,$B106)</f>
        <v>0</v>
      </c>
      <c r="M106" s="55"/>
      <c r="N106" s="139">
        <f ca="1">_xll.DBRW(Server&amp;Cube1,$H$13,$H$14,$H$15,$N$1,N$2,$H$16,$B106)</f>
        <v>0</v>
      </c>
      <c r="O106" s="57"/>
      <c r="P106" s="156">
        <v>0</v>
      </c>
      <c r="Q106" s="157">
        <v>0</v>
      </c>
      <c r="R106" s="157">
        <v>0</v>
      </c>
      <c r="S106" s="157">
        <v>0</v>
      </c>
      <c r="T106" s="157">
        <v>0</v>
      </c>
      <c r="U106" s="157">
        <v>0</v>
      </c>
      <c r="V106" s="157">
        <v>0</v>
      </c>
      <c r="W106" s="157">
        <v>0</v>
      </c>
      <c r="X106" s="157">
        <v>0</v>
      </c>
      <c r="Y106" s="157">
        <v>0</v>
      </c>
      <c r="Z106" s="157">
        <v>0</v>
      </c>
      <c r="AA106" s="158">
        <v>0</v>
      </c>
      <c r="AB106" s="31"/>
      <c r="AE106" s="67">
        <f ca="1">_xll.DBRW(Server&amp;Cube1,$H$13,$H$14,$H$15,$H$17,AE$2,$H$16,$B106)</f>
        <v>0</v>
      </c>
      <c r="AF106" s="70">
        <f ca="1">_xll.DBRW(Server&amp;Cube1,$H$13,$H$14,$H$15,$H$17,AF$2,$H$16,$B106)</f>
        <v>0</v>
      </c>
      <c r="AG106" s="70">
        <f ca="1">_xll.DBRW(Server&amp;Cube1,$H$13,$H$14,$H$15,$H$17,AG$2,$H$16,$B106)</f>
        <v>0</v>
      </c>
      <c r="AH106" s="70">
        <f ca="1">_xll.DBRW(Server&amp;Cube1,$H$13,$H$14,$H$15,$H$17,AH$2,$H$16,$B106)</f>
        <v>0</v>
      </c>
      <c r="AI106" s="70">
        <f ca="1">_xll.DBRW(Server&amp;Cube1,$H$13,$H$14,$H$15,$H$17,AI$2,$H$16,$B106)</f>
        <v>0</v>
      </c>
      <c r="AJ106" s="70">
        <f ca="1">_xll.DBRW(Server&amp;Cube1,$H$13,$H$14,$H$15,$H$17,AJ$2,$H$16,$B106)</f>
        <v>0</v>
      </c>
      <c r="AK106" s="70">
        <f ca="1">_xll.DBRW(Server&amp;Cube1,$H$13,$H$14,$H$15,$H$17,AK$2,$H$16,$B106)</f>
        <v>0</v>
      </c>
      <c r="AL106" s="70">
        <f ca="1">_xll.DBRW(Server&amp;Cube1,$H$13,$H$14,$H$15,$H$17,AL$2,$H$16,$B106)</f>
        <v>0</v>
      </c>
      <c r="AM106" s="70">
        <f ca="1">_xll.DBRW(Server&amp;Cube1,$H$13,$H$14,$H$15,$H$17,AM$2,$H$16,$B106)</f>
        <v>0</v>
      </c>
      <c r="AN106" s="70">
        <f ca="1">_xll.DBRW(Server&amp;Cube1,$H$13,$H$14,$H$15,$H$17,AN$2,$H$16,$B106)</f>
        <v>0</v>
      </c>
      <c r="AO106" s="70">
        <f ca="1">_xll.DBRW(Server&amp;Cube1,$H$13,$H$14,$H$15,$H$17,AO$2,$H$16,$B106)</f>
        <v>0</v>
      </c>
      <c r="AP106" s="71">
        <f ca="1">_xll.DBRW(Server&amp;Cube1,$H$13,$H$14,$H$15,$H$17,AP$2,$H$16,$B106)</f>
        <v>0</v>
      </c>
    </row>
    <row r="107" spans="1:42" ht="21" customHeight="1" x14ac:dyDescent="0.25">
      <c r="A107"/>
      <c r="B107" s="144" t="s">
        <v>43</v>
      </c>
      <c r="C107" s="12"/>
      <c r="D107" s="21"/>
      <c r="E107" s="169"/>
      <c r="F107" s="105"/>
      <c r="G107" s="319" t="s">
        <v>102</v>
      </c>
      <c r="H107" s="319"/>
      <c r="I107" s="127"/>
      <c r="J107" s="137"/>
      <c r="K107" s="127"/>
      <c r="L107" s="137"/>
      <c r="M107" s="134"/>
      <c r="N107" s="108">
        <f ca="1">_xll.DBRW(Server&amp;Cube1,$H$13,$H$14,$H$15,$N$3,N$2,$H$16,$B107)</f>
        <v>0</v>
      </c>
      <c r="O107" s="135"/>
      <c r="P107" s="151">
        <v>0</v>
      </c>
      <c r="Q107" s="152">
        <v>0</v>
      </c>
      <c r="R107" s="152">
        <v>0</v>
      </c>
      <c r="S107" s="152">
        <v>0</v>
      </c>
      <c r="T107" s="152">
        <v>0</v>
      </c>
      <c r="U107" s="152">
        <v>0</v>
      </c>
      <c r="V107" s="152">
        <v>0</v>
      </c>
      <c r="W107" s="152">
        <v>0</v>
      </c>
      <c r="X107" s="152">
        <v>0</v>
      </c>
      <c r="Y107" s="152">
        <v>0</v>
      </c>
      <c r="Z107" s="152">
        <v>0</v>
      </c>
      <c r="AA107" s="159">
        <v>0</v>
      </c>
      <c r="AB107" s="31"/>
      <c r="AE107" s="90">
        <f ca="1">IF($AE$3=1,_xll.DBSW(P107,Server&amp;Cube1,$H$13,$H$14,$H$15,$AE$1,AE$2,$H$16,$B107),_xll.DBRW(Server&amp;Cube1,$H$13,$H$14,$H$15,$AE$1,AE$2,$H$16,$B107))</f>
        <v>0</v>
      </c>
      <c r="AF107" s="90">
        <f ca="1">IF($AE$3=1,_xll.DBSW(Q107,Server&amp;Cube1,$H$13,$H$14,$H$15,$AE$1,AF$2,$H$16,$B107),_xll.DBRW(Server&amp;Cube1,$H$13,$H$14,$H$15,$AE$1,AF$2,$H$16,$B107))</f>
        <v>0</v>
      </c>
      <c r="AG107" s="90">
        <f ca="1">IF($AE$3=1,_xll.DBSW(R107,Server&amp;Cube1,$H$13,$H$14,$H$15,$AE$1,AG$2,$H$16,$B107),_xll.DBRW(Server&amp;Cube1,$H$13,$H$14,$H$15,$AE$1,AG$2,$H$16,$B107))</f>
        <v>0</v>
      </c>
      <c r="AH107" s="90">
        <f ca="1">IF($AE$3=1,_xll.DBSW(S107,Server&amp;Cube1,$H$13,$H$14,$H$15,$AE$1,AH$2,$H$16,$B107),_xll.DBRW(Server&amp;Cube1,$H$13,$H$14,$H$15,$AE$1,AH$2,$H$16,$B107))</f>
        <v>0</v>
      </c>
      <c r="AI107" s="90">
        <f ca="1">IF($AE$3=1,_xll.DBSW(T107,Server&amp;Cube1,$H$13,$H$14,$H$15,$AE$1,AI$2,$H$16,$B107),_xll.DBRW(Server&amp;Cube1,$H$13,$H$14,$H$15,$AE$1,AI$2,$H$16,$B107))</f>
        <v>0</v>
      </c>
      <c r="AJ107" s="90">
        <f ca="1">IF($AE$3=1,_xll.DBSW(U107,Server&amp;Cube1,$H$13,$H$14,$H$15,$AE$1,AJ$2,$H$16,$B107),_xll.DBRW(Server&amp;Cube1,$H$13,$H$14,$H$15,$AE$1,AJ$2,$H$16,$B107))</f>
        <v>0</v>
      </c>
      <c r="AK107" s="90">
        <f ca="1">IF($AE$3=1,_xll.DBSW(V107,Server&amp;Cube1,$H$13,$H$14,$H$15,$AE$1,AK$2,$H$16,$B107),_xll.DBRW(Server&amp;Cube1,$H$13,$H$14,$H$15,$AE$1,AK$2,$H$16,$B107))</f>
        <v>0</v>
      </c>
      <c r="AL107" s="90">
        <f ca="1">IF($AE$3=1,_xll.DBSW(W107,Server&amp;Cube1,$H$13,$H$14,$H$15,$AE$1,AL$2,$H$16,$B107),_xll.DBRW(Server&amp;Cube1,$H$13,$H$14,$H$15,$AE$1,AL$2,$H$16,$B107))</f>
        <v>0</v>
      </c>
      <c r="AM107" s="90">
        <f ca="1">IF($AE$3=1,_xll.DBSW(X107,Server&amp;Cube1,$H$13,$H$14,$H$15,$AE$1,AM$2,$H$16,$B107),_xll.DBRW(Server&amp;Cube1,$H$13,$H$14,$H$15,$AE$1,AM$2,$H$16,$B107))</f>
        <v>0</v>
      </c>
      <c r="AN107" s="90">
        <f ca="1">IF($AE$3=1,_xll.DBSW(Y107,Server&amp;Cube1,$H$13,$H$14,$H$15,$AE$1,AN$2,$H$16,$B107),_xll.DBRW(Server&amp;Cube1,$H$13,$H$14,$H$15,$AE$1,AN$2,$H$16,$B107))</f>
        <v>0</v>
      </c>
      <c r="AO107" s="90">
        <f ca="1">IF($AE$3=1,_xll.DBSW(Z107,Server&amp;Cube1,$H$13,$H$14,$H$15,$AE$1,AO$2,$H$16,$B107),_xll.DBRW(Server&amp;Cube1,$H$13,$H$14,$H$15,$AE$1,AO$2,$H$16,$B107))</f>
        <v>0</v>
      </c>
      <c r="AP107" s="90">
        <f ca="1">IF($AE$3=1,_xll.DBSW(AA107,Server&amp;Cube1,$H$13,$H$14,$H$15,$AE$1,AP$2,$H$16,$B107),_xll.DBRW(Server&amp;Cube1,$H$13,$H$14,$H$15,$AE$1,AP$2,$H$16,$B107))</f>
        <v>0</v>
      </c>
    </row>
    <row r="108" spans="1:42" ht="6.75" customHeight="1" x14ac:dyDescent="0.25">
      <c r="A108"/>
      <c r="B108" s="11"/>
      <c r="C108" s="11"/>
      <c r="D108" s="20"/>
      <c r="E108" s="170"/>
      <c r="F108" s="106"/>
      <c r="G108" s="43"/>
      <c r="H108" s="43"/>
      <c r="I108" s="38"/>
      <c r="J108" s="62"/>
      <c r="K108" s="38"/>
      <c r="L108" s="62"/>
      <c r="M108" s="63"/>
      <c r="N108" s="112"/>
      <c r="O108" s="64"/>
      <c r="P108" s="153"/>
      <c r="Q108" s="154"/>
      <c r="R108" s="154"/>
      <c r="S108" s="154"/>
      <c r="T108" s="154"/>
      <c r="U108" s="154"/>
      <c r="V108" s="154"/>
      <c r="W108" s="154"/>
      <c r="X108" s="154"/>
      <c r="Y108" s="154"/>
      <c r="Z108" s="154"/>
      <c r="AA108" s="155"/>
      <c r="AB108" s="31"/>
    </row>
    <row r="109" spans="1:42" ht="21" customHeight="1" x14ac:dyDescent="0.25">
      <c r="A109"/>
      <c r="B109" s="12" t="s">
        <v>44</v>
      </c>
      <c r="C109" s="12"/>
      <c r="D109" s="21"/>
      <c r="E109" s="169"/>
      <c r="F109" s="105"/>
      <c r="G109" s="315" t="str">
        <f ca="1">_xll.DBRA(Server&amp;$B$22,$B109,"French")</f>
        <v>Honoraires</v>
      </c>
      <c r="H109" s="315" t="str">
        <f ca="1">_xll.DBRA(Server&amp;$B$22,$B109,"French")</f>
        <v>Honoraires</v>
      </c>
      <c r="I109" s="39"/>
      <c r="J109" s="67">
        <f ca="1">_xll.DBRW(Server&amp;Cube1,$H$13,$J$3,$H$15,$J$1,$J$2,$H$16,$B109)</f>
        <v>0</v>
      </c>
      <c r="K109" s="39"/>
      <c r="L109" s="67">
        <f ca="1">_xll.DBRW(Server&amp;Cube1,$H$13,$L$3,$H$15,$L$1,$L$2,$H$16,$B109)</f>
        <v>0</v>
      </c>
      <c r="M109" s="68"/>
      <c r="N109" s="108">
        <f ca="1">_xll.DBRW(Server&amp;Cube1,$H$13,$H$14,$H$15,$N$1,N$2,$H$16,$B109)</f>
        <v>0</v>
      </c>
      <c r="O109" s="69"/>
      <c r="P109" s="148">
        <v>0</v>
      </c>
      <c r="Q109" s="149">
        <v>0</v>
      </c>
      <c r="R109" s="149">
        <v>0</v>
      </c>
      <c r="S109" s="149">
        <v>0</v>
      </c>
      <c r="T109" s="149">
        <v>0</v>
      </c>
      <c r="U109" s="149">
        <v>0</v>
      </c>
      <c r="V109" s="149">
        <v>0</v>
      </c>
      <c r="W109" s="149">
        <v>0</v>
      </c>
      <c r="X109" s="149">
        <v>0</v>
      </c>
      <c r="Y109" s="149">
        <v>0</v>
      </c>
      <c r="Z109" s="149">
        <v>0</v>
      </c>
      <c r="AA109" s="150">
        <v>0</v>
      </c>
      <c r="AB109" s="31"/>
      <c r="AE109" s="67">
        <f ca="1">_xll.DBRW(Server&amp;Cube1,$H$13,$H$14,$H$15,$H$17,AE$2,$H$16,$B109)</f>
        <v>0</v>
      </c>
      <c r="AF109" s="70">
        <f ca="1">_xll.DBRW(Server&amp;Cube1,$H$13,$H$14,$H$15,$H$17,AF$2,$H$16,$B109)</f>
        <v>0</v>
      </c>
      <c r="AG109" s="70">
        <f ca="1">_xll.DBRW(Server&amp;Cube1,$H$13,$H$14,$H$15,$H$17,AG$2,$H$16,$B109)</f>
        <v>0</v>
      </c>
      <c r="AH109" s="70">
        <f ca="1">_xll.DBRW(Server&amp;Cube1,$H$13,$H$14,$H$15,$H$17,AH$2,$H$16,$B109)</f>
        <v>0</v>
      </c>
      <c r="AI109" s="70">
        <f ca="1">_xll.DBRW(Server&amp;Cube1,$H$13,$H$14,$H$15,$H$17,AI$2,$H$16,$B109)</f>
        <v>0</v>
      </c>
      <c r="AJ109" s="70">
        <f ca="1">_xll.DBRW(Server&amp;Cube1,$H$13,$H$14,$H$15,$H$17,AJ$2,$H$16,$B109)</f>
        <v>0</v>
      </c>
      <c r="AK109" s="70">
        <f ca="1">_xll.DBRW(Server&amp;Cube1,$H$13,$H$14,$H$15,$H$17,AK$2,$H$16,$B109)</f>
        <v>0</v>
      </c>
      <c r="AL109" s="70">
        <f ca="1">_xll.DBRW(Server&amp;Cube1,$H$13,$H$14,$H$15,$H$17,AL$2,$H$16,$B109)</f>
        <v>0</v>
      </c>
      <c r="AM109" s="70">
        <f ca="1">_xll.DBRW(Server&amp;Cube1,$H$13,$H$14,$H$15,$H$17,AM$2,$H$16,$B109)</f>
        <v>0</v>
      </c>
      <c r="AN109" s="70">
        <f ca="1">_xll.DBRW(Server&amp;Cube1,$H$13,$H$14,$H$15,$H$17,AN$2,$H$16,$B109)</f>
        <v>0</v>
      </c>
      <c r="AO109" s="70">
        <f ca="1">_xll.DBRW(Server&amp;Cube1,$H$13,$H$14,$H$15,$H$17,AO$2,$H$16,$B109)</f>
        <v>0</v>
      </c>
      <c r="AP109" s="71">
        <f ca="1">_xll.DBRW(Server&amp;Cube1,$H$13,$H$14,$H$15,$H$17,AP$2,$H$16,$B109)</f>
        <v>0</v>
      </c>
    </row>
    <row r="110" spans="1:42" ht="21" customHeight="1" x14ac:dyDescent="0.25">
      <c r="A110"/>
      <c r="B110" s="13" t="s">
        <v>117</v>
      </c>
      <c r="C110" s="13"/>
      <c r="D110" s="22"/>
      <c r="E110" s="171"/>
      <c r="F110" s="107"/>
      <c r="G110" s="305" t="str">
        <f ca="1">_xll.DBRA(Server&amp;$B$22,$B110,"French")</f>
        <v>Assistance comptable et financière</v>
      </c>
      <c r="H110" s="305" t="str">
        <f ca="1">_xll.DBRA(Server&amp;$B$22,$B110,"French")</f>
        <v>Assistance comptable et financière</v>
      </c>
      <c r="I110" s="37"/>
      <c r="J110" s="54">
        <f ca="1">_xll.DBRW(Server&amp;Cube1,$H$13,$J$3,$H$15,$J$1,$J$2,$H$16,$B110)</f>
        <v>0</v>
      </c>
      <c r="K110" s="37"/>
      <c r="L110" s="54">
        <f ca="1">_xll.DBRW(Server&amp;Cube1,$H$13,$L$3,$H$15,$L$1,$L$2,$H$16,$B110)</f>
        <v>0</v>
      </c>
      <c r="M110" s="55"/>
      <c r="N110" s="139">
        <f ca="1">_xll.DBRW(Server&amp;Cube1,$H$13,$H$14,$H$15,$N$1,N$2,$H$16,$B110)</f>
        <v>0</v>
      </c>
      <c r="O110" s="57"/>
      <c r="P110" s="156">
        <v>0</v>
      </c>
      <c r="Q110" s="157">
        <v>0</v>
      </c>
      <c r="R110" s="157">
        <v>0</v>
      </c>
      <c r="S110" s="157">
        <v>0</v>
      </c>
      <c r="T110" s="157">
        <v>0</v>
      </c>
      <c r="U110" s="157">
        <v>0</v>
      </c>
      <c r="V110" s="157">
        <v>0</v>
      </c>
      <c r="W110" s="157">
        <v>0</v>
      </c>
      <c r="X110" s="157">
        <v>0</v>
      </c>
      <c r="Y110" s="157">
        <v>0</v>
      </c>
      <c r="Z110" s="157">
        <v>0</v>
      </c>
      <c r="AA110" s="158">
        <v>0</v>
      </c>
      <c r="AB110" s="31"/>
      <c r="AE110" s="67">
        <f ca="1">_xll.DBRW(Server&amp;Cube1,$H$13,$H$14,$H$15,$H$17,AE$2,$H$16,$B110)</f>
        <v>0</v>
      </c>
      <c r="AF110" s="70">
        <f ca="1">_xll.DBRW(Server&amp;Cube1,$H$13,$H$14,$H$15,$H$17,AF$2,$H$16,$B110)</f>
        <v>0</v>
      </c>
      <c r="AG110" s="70">
        <f ca="1">_xll.DBRW(Server&amp;Cube1,$H$13,$H$14,$H$15,$H$17,AG$2,$H$16,$B110)</f>
        <v>0</v>
      </c>
      <c r="AH110" s="70">
        <f ca="1">_xll.DBRW(Server&amp;Cube1,$H$13,$H$14,$H$15,$H$17,AH$2,$H$16,$B110)</f>
        <v>0</v>
      </c>
      <c r="AI110" s="70">
        <f ca="1">_xll.DBRW(Server&amp;Cube1,$H$13,$H$14,$H$15,$H$17,AI$2,$H$16,$B110)</f>
        <v>0</v>
      </c>
      <c r="AJ110" s="70">
        <f ca="1">_xll.DBRW(Server&amp;Cube1,$H$13,$H$14,$H$15,$H$17,AJ$2,$H$16,$B110)</f>
        <v>0</v>
      </c>
      <c r="AK110" s="70">
        <f ca="1">_xll.DBRW(Server&amp;Cube1,$H$13,$H$14,$H$15,$H$17,AK$2,$H$16,$B110)</f>
        <v>0</v>
      </c>
      <c r="AL110" s="70">
        <f ca="1">_xll.DBRW(Server&amp;Cube1,$H$13,$H$14,$H$15,$H$17,AL$2,$H$16,$B110)</f>
        <v>0</v>
      </c>
      <c r="AM110" s="70">
        <f ca="1">_xll.DBRW(Server&amp;Cube1,$H$13,$H$14,$H$15,$H$17,AM$2,$H$16,$B110)</f>
        <v>0</v>
      </c>
      <c r="AN110" s="70">
        <f ca="1">_xll.DBRW(Server&amp;Cube1,$H$13,$H$14,$H$15,$H$17,AN$2,$H$16,$B110)</f>
        <v>0</v>
      </c>
      <c r="AO110" s="70">
        <f ca="1">_xll.DBRW(Server&amp;Cube1,$H$13,$H$14,$H$15,$H$17,AO$2,$H$16,$B110)</f>
        <v>0</v>
      </c>
      <c r="AP110" s="71">
        <f ca="1">_xll.DBRW(Server&amp;Cube1,$H$13,$H$14,$H$15,$H$17,AP$2,$H$16,$B110)</f>
        <v>0</v>
      </c>
    </row>
    <row r="111" spans="1:42" ht="21" customHeight="1" x14ac:dyDescent="0.25">
      <c r="A111"/>
      <c r="B111" s="144" t="s">
        <v>117</v>
      </c>
      <c r="C111" s="12"/>
      <c r="D111" s="21"/>
      <c r="E111" s="169"/>
      <c r="F111" s="105"/>
      <c r="G111" s="319" t="s">
        <v>102</v>
      </c>
      <c r="H111" s="319"/>
      <c r="I111" s="127"/>
      <c r="J111" s="137"/>
      <c r="K111" s="127"/>
      <c r="L111" s="137"/>
      <c r="M111" s="134"/>
      <c r="N111" s="108">
        <f ca="1">_xll.DBRW(Server&amp;Cube1,$H$13,$H$14,$H$15,$N$3,N$2,$H$16,$B111)</f>
        <v>0</v>
      </c>
      <c r="O111" s="135"/>
      <c r="P111" s="151">
        <v>0</v>
      </c>
      <c r="Q111" s="152">
        <v>0</v>
      </c>
      <c r="R111" s="152">
        <v>0</v>
      </c>
      <c r="S111" s="152">
        <v>0</v>
      </c>
      <c r="T111" s="152">
        <v>0</v>
      </c>
      <c r="U111" s="152">
        <v>0</v>
      </c>
      <c r="V111" s="152">
        <v>0</v>
      </c>
      <c r="W111" s="152">
        <v>0</v>
      </c>
      <c r="X111" s="152">
        <v>0</v>
      </c>
      <c r="Y111" s="152">
        <v>0</v>
      </c>
      <c r="Z111" s="152">
        <v>0</v>
      </c>
      <c r="AA111" s="159">
        <v>0</v>
      </c>
      <c r="AB111" s="31"/>
      <c r="AE111" s="90">
        <f ca="1">IF($AE$3=1,_xll.DBSW(P111,Server&amp;Cube1,$H$13,$H$14,$H$15,$AE$1,AE$2,$H$16,$B111),_xll.DBRW(Server&amp;Cube1,$H$13,$H$14,$H$15,$AE$1,AE$2,$H$16,$B111))</f>
        <v>0</v>
      </c>
      <c r="AF111" s="90">
        <f ca="1">IF($AE$3=1,_xll.DBSW(Q111,Server&amp;Cube1,$H$13,$H$14,$H$15,$AE$1,AF$2,$H$16,$B111),_xll.DBRW(Server&amp;Cube1,$H$13,$H$14,$H$15,$AE$1,AF$2,$H$16,$B111))</f>
        <v>0</v>
      </c>
      <c r="AG111" s="90">
        <f ca="1">IF($AE$3=1,_xll.DBSW(R111,Server&amp;Cube1,$H$13,$H$14,$H$15,$AE$1,AG$2,$H$16,$B111),_xll.DBRW(Server&amp;Cube1,$H$13,$H$14,$H$15,$AE$1,AG$2,$H$16,$B111))</f>
        <v>0</v>
      </c>
      <c r="AH111" s="90">
        <f ca="1">IF($AE$3=1,_xll.DBSW(S111,Server&amp;Cube1,$H$13,$H$14,$H$15,$AE$1,AH$2,$H$16,$B111),_xll.DBRW(Server&amp;Cube1,$H$13,$H$14,$H$15,$AE$1,AH$2,$H$16,$B111))</f>
        <v>0</v>
      </c>
      <c r="AI111" s="90">
        <f ca="1">IF($AE$3=1,_xll.DBSW(T111,Server&amp;Cube1,$H$13,$H$14,$H$15,$AE$1,AI$2,$H$16,$B111),_xll.DBRW(Server&amp;Cube1,$H$13,$H$14,$H$15,$AE$1,AI$2,$H$16,$B111))</f>
        <v>0</v>
      </c>
      <c r="AJ111" s="90">
        <f ca="1">IF($AE$3=1,_xll.DBSW(U111,Server&amp;Cube1,$H$13,$H$14,$H$15,$AE$1,AJ$2,$H$16,$B111),_xll.DBRW(Server&amp;Cube1,$H$13,$H$14,$H$15,$AE$1,AJ$2,$H$16,$B111))</f>
        <v>0</v>
      </c>
      <c r="AK111" s="90">
        <f ca="1">IF($AE$3=1,_xll.DBSW(V111,Server&amp;Cube1,$H$13,$H$14,$H$15,$AE$1,AK$2,$H$16,$B111),_xll.DBRW(Server&amp;Cube1,$H$13,$H$14,$H$15,$AE$1,AK$2,$H$16,$B111))</f>
        <v>0</v>
      </c>
      <c r="AL111" s="90">
        <f ca="1">IF($AE$3=1,_xll.DBSW(W111,Server&amp;Cube1,$H$13,$H$14,$H$15,$AE$1,AL$2,$H$16,$B111),_xll.DBRW(Server&amp;Cube1,$H$13,$H$14,$H$15,$AE$1,AL$2,$H$16,$B111))</f>
        <v>0</v>
      </c>
      <c r="AM111" s="90">
        <f ca="1">IF($AE$3=1,_xll.DBSW(X111,Server&amp;Cube1,$H$13,$H$14,$H$15,$AE$1,AM$2,$H$16,$B111),_xll.DBRW(Server&amp;Cube1,$H$13,$H$14,$H$15,$AE$1,AM$2,$H$16,$B111))</f>
        <v>0</v>
      </c>
      <c r="AN111" s="90">
        <f ca="1">IF($AE$3=1,_xll.DBSW(Y111,Server&amp;Cube1,$H$13,$H$14,$H$15,$AE$1,AN$2,$H$16,$B111),_xll.DBRW(Server&amp;Cube1,$H$13,$H$14,$H$15,$AE$1,AN$2,$H$16,$B111))</f>
        <v>0</v>
      </c>
      <c r="AO111" s="90">
        <f ca="1">IF($AE$3=1,_xll.DBSW(Z111,Server&amp;Cube1,$H$13,$H$14,$H$15,$AE$1,AO$2,$H$16,$B111),_xll.DBRW(Server&amp;Cube1,$H$13,$H$14,$H$15,$AE$1,AO$2,$H$16,$B111))</f>
        <v>0</v>
      </c>
      <c r="AP111" s="90">
        <f ca="1">IF($AE$3=1,_xll.DBSW(AA111,Server&amp;Cube1,$H$13,$H$14,$H$15,$AE$1,AP$2,$H$16,$B111),_xll.DBRW(Server&amp;Cube1,$H$13,$H$14,$H$15,$AE$1,AP$2,$H$16,$B111))</f>
        <v>0</v>
      </c>
    </row>
    <row r="112" spans="1:42" ht="21" customHeight="1" x14ac:dyDescent="0.25">
      <c r="A112"/>
      <c r="B112" s="13" t="s">
        <v>118</v>
      </c>
      <c r="C112" s="13"/>
      <c r="D112" s="22"/>
      <c r="E112" s="171"/>
      <c r="F112" s="107"/>
      <c r="G112" s="305" t="str">
        <f ca="1">_xll.DBRA(Server&amp;$B$22,$B112,"French")</f>
        <v>Honoraires CAC</v>
      </c>
      <c r="H112" s="305" t="str">
        <f ca="1">_xll.DBRA(Server&amp;$B$22,$B112,"French")</f>
        <v>Honoraires CAC</v>
      </c>
      <c r="I112" s="37"/>
      <c r="J112" s="54">
        <f ca="1">_xll.DBRW(Server&amp;Cube1,$H$13,$J$3,$H$15,$J$1,$J$2,$H$16,$B112)</f>
        <v>0</v>
      </c>
      <c r="K112" s="37"/>
      <c r="L112" s="54">
        <f ca="1">_xll.DBRW(Server&amp;Cube1,$H$13,$L$3,$H$15,$L$1,$L$2,$H$16,$B112)</f>
        <v>0</v>
      </c>
      <c r="M112" s="55"/>
      <c r="N112" s="139">
        <f ca="1">_xll.DBRW(Server&amp;Cube1,$H$13,$H$14,$H$15,$N$1,N$2,$H$16,$B112)</f>
        <v>0</v>
      </c>
      <c r="O112" s="57"/>
      <c r="P112" s="156">
        <v>0</v>
      </c>
      <c r="Q112" s="157">
        <v>0</v>
      </c>
      <c r="R112" s="157">
        <v>0</v>
      </c>
      <c r="S112" s="157">
        <v>0</v>
      </c>
      <c r="T112" s="157">
        <v>0</v>
      </c>
      <c r="U112" s="157">
        <v>0</v>
      </c>
      <c r="V112" s="157">
        <v>0</v>
      </c>
      <c r="W112" s="157">
        <v>0</v>
      </c>
      <c r="X112" s="157">
        <v>0</v>
      </c>
      <c r="Y112" s="157">
        <v>0</v>
      </c>
      <c r="Z112" s="157">
        <v>0</v>
      </c>
      <c r="AA112" s="158">
        <v>0</v>
      </c>
      <c r="AB112" s="31"/>
      <c r="AE112" s="67">
        <f ca="1">_xll.DBRW(Server&amp;Cube1,$H$13,$H$14,$H$15,$H$17,AE$2,$H$16,$B112)</f>
        <v>0</v>
      </c>
      <c r="AF112" s="70">
        <f ca="1">_xll.DBRW(Server&amp;Cube1,$H$13,$H$14,$H$15,$H$17,AF$2,$H$16,$B112)</f>
        <v>0</v>
      </c>
      <c r="AG112" s="70">
        <f ca="1">_xll.DBRW(Server&amp;Cube1,$H$13,$H$14,$H$15,$H$17,AG$2,$H$16,$B112)</f>
        <v>0</v>
      </c>
      <c r="AH112" s="70">
        <f ca="1">_xll.DBRW(Server&amp;Cube1,$H$13,$H$14,$H$15,$H$17,AH$2,$H$16,$B112)</f>
        <v>0</v>
      </c>
      <c r="AI112" s="70">
        <f ca="1">_xll.DBRW(Server&amp;Cube1,$H$13,$H$14,$H$15,$H$17,AI$2,$H$16,$B112)</f>
        <v>0</v>
      </c>
      <c r="AJ112" s="70">
        <f ca="1">_xll.DBRW(Server&amp;Cube1,$H$13,$H$14,$H$15,$H$17,AJ$2,$H$16,$B112)</f>
        <v>0</v>
      </c>
      <c r="AK112" s="70">
        <f ca="1">_xll.DBRW(Server&amp;Cube1,$H$13,$H$14,$H$15,$H$17,AK$2,$H$16,$B112)</f>
        <v>0</v>
      </c>
      <c r="AL112" s="70">
        <f ca="1">_xll.DBRW(Server&amp;Cube1,$H$13,$H$14,$H$15,$H$17,AL$2,$H$16,$B112)</f>
        <v>0</v>
      </c>
      <c r="AM112" s="70">
        <f ca="1">_xll.DBRW(Server&amp;Cube1,$H$13,$H$14,$H$15,$H$17,AM$2,$H$16,$B112)</f>
        <v>0</v>
      </c>
      <c r="AN112" s="70">
        <f ca="1">_xll.DBRW(Server&amp;Cube1,$H$13,$H$14,$H$15,$H$17,AN$2,$H$16,$B112)</f>
        <v>0</v>
      </c>
      <c r="AO112" s="70">
        <f ca="1">_xll.DBRW(Server&amp;Cube1,$H$13,$H$14,$H$15,$H$17,AO$2,$H$16,$B112)</f>
        <v>0</v>
      </c>
      <c r="AP112" s="71">
        <f ca="1">_xll.DBRW(Server&amp;Cube1,$H$13,$H$14,$H$15,$H$17,AP$2,$H$16,$B112)</f>
        <v>0</v>
      </c>
    </row>
    <row r="113" spans="1:42" ht="21" customHeight="1" x14ac:dyDescent="0.25">
      <c r="A113"/>
      <c r="B113" s="144" t="s">
        <v>118</v>
      </c>
      <c r="C113" s="12"/>
      <c r="D113" s="21"/>
      <c r="E113" s="169"/>
      <c r="F113" s="105"/>
      <c r="G113" s="319" t="s">
        <v>102</v>
      </c>
      <c r="H113" s="319"/>
      <c r="I113" s="127"/>
      <c r="J113" s="137"/>
      <c r="K113" s="127"/>
      <c r="L113" s="137"/>
      <c r="M113" s="134"/>
      <c r="N113" s="108">
        <f ca="1">_xll.DBRW(Server&amp;Cube1,$H$13,$H$14,$H$15,$N$3,N$2,$H$16,$B113)</f>
        <v>0</v>
      </c>
      <c r="O113" s="135"/>
      <c r="P113" s="151">
        <v>0</v>
      </c>
      <c r="Q113" s="152">
        <v>0</v>
      </c>
      <c r="R113" s="152">
        <v>0</v>
      </c>
      <c r="S113" s="152">
        <v>0</v>
      </c>
      <c r="T113" s="152">
        <v>0</v>
      </c>
      <c r="U113" s="152">
        <v>0</v>
      </c>
      <c r="V113" s="152">
        <v>0</v>
      </c>
      <c r="W113" s="152">
        <v>0</v>
      </c>
      <c r="X113" s="152">
        <v>0</v>
      </c>
      <c r="Y113" s="152">
        <v>0</v>
      </c>
      <c r="Z113" s="152">
        <v>0</v>
      </c>
      <c r="AA113" s="159">
        <v>0</v>
      </c>
      <c r="AB113" s="31"/>
      <c r="AE113" s="90">
        <f ca="1">IF($AE$3=1,_xll.DBSW(P113,Server&amp;Cube1,$H$13,$H$14,$H$15,$AE$1,AE$2,$H$16,$B113),_xll.DBRW(Server&amp;Cube1,$H$13,$H$14,$H$15,$AE$1,AE$2,$H$16,$B113))</f>
        <v>0</v>
      </c>
      <c r="AF113" s="90">
        <f ca="1">IF($AE$3=1,_xll.DBSW(Q113,Server&amp;Cube1,$H$13,$H$14,$H$15,$AE$1,AF$2,$H$16,$B113),_xll.DBRW(Server&amp;Cube1,$H$13,$H$14,$H$15,$AE$1,AF$2,$H$16,$B113))</f>
        <v>0</v>
      </c>
      <c r="AG113" s="90">
        <f ca="1">IF($AE$3=1,_xll.DBSW(R113,Server&amp;Cube1,$H$13,$H$14,$H$15,$AE$1,AG$2,$H$16,$B113),_xll.DBRW(Server&amp;Cube1,$H$13,$H$14,$H$15,$AE$1,AG$2,$H$16,$B113))</f>
        <v>0</v>
      </c>
      <c r="AH113" s="90">
        <f ca="1">IF($AE$3=1,_xll.DBSW(S113,Server&amp;Cube1,$H$13,$H$14,$H$15,$AE$1,AH$2,$H$16,$B113),_xll.DBRW(Server&amp;Cube1,$H$13,$H$14,$H$15,$AE$1,AH$2,$H$16,$B113))</f>
        <v>0</v>
      </c>
      <c r="AI113" s="90">
        <f ca="1">IF($AE$3=1,_xll.DBSW(T113,Server&amp;Cube1,$H$13,$H$14,$H$15,$AE$1,AI$2,$H$16,$B113),_xll.DBRW(Server&amp;Cube1,$H$13,$H$14,$H$15,$AE$1,AI$2,$H$16,$B113))</f>
        <v>0</v>
      </c>
      <c r="AJ113" s="90">
        <f ca="1">IF($AE$3=1,_xll.DBSW(U113,Server&amp;Cube1,$H$13,$H$14,$H$15,$AE$1,AJ$2,$H$16,$B113),_xll.DBRW(Server&amp;Cube1,$H$13,$H$14,$H$15,$AE$1,AJ$2,$H$16,$B113))</f>
        <v>0</v>
      </c>
      <c r="AK113" s="90">
        <f ca="1">IF($AE$3=1,_xll.DBSW(V113,Server&amp;Cube1,$H$13,$H$14,$H$15,$AE$1,AK$2,$H$16,$B113),_xll.DBRW(Server&amp;Cube1,$H$13,$H$14,$H$15,$AE$1,AK$2,$H$16,$B113))</f>
        <v>0</v>
      </c>
      <c r="AL113" s="90">
        <f ca="1">IF($AE$3=1,_xll.DBSW(W113,Server&amp;Cube1,$H$13,$H$14,$H$15,$AE$1,AL$2,$H$16,$B113),_xll.DBRW(Server&amp;Cube1,$H$13,$H$14,$H$15,$AE$1,AL$2,$H$16,$B113))</f>
        <v>0</v>
      </c>
      <c r="AM113" s="90">
        <f ca="1">IF($AE$3=1,_xll.DBSW(X113,Server&amp;Cube1,$H$13,$H$14,$H$15,$AE$1,AM$2,$H$16,$B113),_xll.DBRW(Server&amp;Cube1,$H$13,$H$14,$H$15,$AE$1,AM$2,$H$16,$B113))</f>
        <v>0</v>
      </c>
      <c r="AN113" s="90">
        <f ca="1">IF($AE$3=1,_xll.DBSW(Y113,Server&amp;Cube1,$H$13,$H$14,$H$15,$AE$1,AN$2,$H$16,$B113),_xll.DBRW(Server&amp;Cube1,$H$13,$H$14,$H$15,$AE$1,AN$2,$H$16,$B113))</f>
        <v>0</v>
      </c>
      <c r="AO113" s="90">
        <f ca="1">IF($AE$3=1,_xll.DBSW(Z113,Server&amp;Cube1,$H$13,$H$14,$H$15,$AE$1,AO$2,$H$16,$B113),_xll.DBRW(Server&amp;Cube1,$H$13,$H$14,$H$15,$AE$1,AO$2,$H$16,$B113))</f>
        <v>0</v>
      </c>
      <c r="AP113" s="90">
        <f ca="1">IF($AE$3=1,_xll.DBSW(AA113,Server&amp;Cube1,$H$13,$H$14,$H$15,$AE$1,AP$2,$H$16,$B113),_xll.DBRW(Server&amp;Cube1,$H$13,$H$14,$H$15,$AE$1,AP$2,$H$16,$B113))</f>
        <v>0</v>
      </c>
    </row>
    <row r="114" spans="1:42" ht="21" customHeight="1" x14ac:dyDescent="0.25">
      <c r="A114"/>
      <c r="B114" s="13">
        <v>622610</v>
      </c>
      <c r="C114" s="13"/>
      <c r="D114" s="22"/>
      <c r="E114" s="171"/>
      <c r="F114" s="107"/>
      <c r="G114" s="305" t="str">
        <f ca="1">_xll.DBRA(Server&amp;$B$22,$B114,"French")</f>
        <v/>
      </c>
      <c r="H114" s="305" t="str">
        <f ca="1">_xll.DBRA(Server&amp;$B$22,$B114,"French")</f>
        <v/>
      </c>
      <c r="I114" s="37"/>
      <c r="J114" s="54">
        <f ca="1">_xll.DBRW(Server&amp;Cube1,$H$13,$J$3,$H$15,$J$1,$J$2,$H$16,$B114)</f>
        <v>0</v>
      </c>
      <c r="K114" s="37"/>
      <c r="L114" s="54">
        <f ca="1">_xll.DBRW(Server&amp;Cube1,$H$13,$L$3,$H$15,$L$1,$L$2,$H$16,$B114)</f>
        <v>0</v>
      </c>
      <c r="M114" s="55"/>
      <c r="N114" s="139">
        <f ca="1">_xll.DBRW(Server&amp;Cube1,$H$13,$H$14,$H$15,$N$1,N$2,$H$16,$B114)</f>
        <v>0</v>
      </c>
      <c r="O114" s="57"/>
      <c r="P114" s="156">
        <v>0</v>
      </c>
      <c r="Q114" s="157">
        <v>0</v>
      </c>
      <c r="R114" s="157">
        <v>0</v>
      </c>
      <c r="S114" s="157">
        <v>0</v>
      </c>
      <c r="T114" s="157">
        <v>0</v>
      </c>
      <c r="U114" s="157">
        <v>0</v>
      </c>
      <c r="V114" s="157">
        <v>0</v>
      </c>
      <c r="W114" s="157">
        <v>0</v>
      </c>
      <c r="X114" s="157">
        <v>0</v>
      </c>
      <c r="Y114" s="157">
        <v>0</v>
      </c>
      <c r="Z114" s="157">
        <v>0</v>
      </c>
      <c r="AA114" s="158">
        <v>0</v>
      </c>
      <c r="AB114" s="31"/>
      <c r="AE114" s="67">
        <f ca="1">_xll.DBRW(Server&amp;Cube1,$H$13,$H$14,$H$15,$H$17,AE$2,$H$16,$B114)</f>
        <v>0</v>
      </c>
      <c r="AF114" s="70">
        <f ca="1">_xll.DBRW(Server&amp;Cube1,$H$13,$H$14,$H$15,$H$17,AF$2,$H$16,$B114)</f>
        <v>0</v>
      </c>
      <c r="AG114" s="70">
        <f ca="1">_xll.DBRW(Server&amp;Cube1,$H$13,$H$14,$H$15,$H$17,AG$2,$H$16,$B114)</f>
        <v>0</v>
      </c>
      <c r="AH114" s="70">
        <f ca="1">_xll.DBRW(Server&amp;Cube1,$H$13,$H$14,$H$15,$H$17,AH$2,$H$16,$B114)</f>
        <v>0</v>
      </c>
      <c r="AI114" s="70">
        <f ca="1">_xll.DBRW(Server&amp;Cube1,$H$13,$H$14,$H$15,$H$17,AI$2,$H$16,$B114)</f>
        <v>0</v>
      </c>
      <c r="AJ114" s="70">
        <f ca="1">_xll.DBRW(Server&amp;Cube1,$H$13,$H$14,$H$15,$H$17,AJ$2,$H$16,$B114)</f>
        <v>0</v>
      </c>
      <c r="AK114" s="70">
        <f ca="1">_xll.DBRW(Server&amp;Cube1,$H$13,$H$14,$H$15,$H$17,AK$2,$H$16,$B114)</f>
        <v>0</v>
      </c>
      <c r="AL114" s="70">
        <f ca="1">_xll.DBRW(Server&amp;Cube1,$H$13,$H$14,$H$15,$H$17,AL$2,$H$16,$B114)</f>
        <v>0</v>
      </c>
      <c r="AM114" s="70">
        <f ca="1">_xll.DBRW(Server&amp;Cube1,$H$13,$H$14,$H$15,$H$17,AM$2,$H$16,$B114)</f>
        <v>0</v>
      </c>
      <c r="AN114" s="70">
        <f ca="1">_xll.DBRW(Server&amp;Cube1,$H$13,$H$14,$H$15,$H$17,AN$2,$H$16,$B114)</f>
        <v>0</v>
      </c>
      <c r="AO114" s="70">
        <f ca="1">_xll.DBRW(Server&amp;Cube1,$H$13,$H$14,$H$15,$H$17,AO$2,$H$16,$B114)</f>
        <v>0</v>
      </c>
      <c r="AP114" s="71">
        <f ca="1">_xll.DBRW(Server&amp;Cube1,$H$13,$H$14,$H$15,$H$17,AP$2,$H$16,$B114)</f>
        <v>0</v>
      </c>
    </row>
    <row r="115" spans="1:42" ht="21" customHeight="1" x14ac:dyDescent="0.25">
      <c r="A115"/>
      <c r="B115" s="144">
        <v>622610</v>
      </c>
      <c r="C115" s="12"/>
      <c r="D115" s="21"/>
      <c r="E115" s="169"/>
      <c r="F115" s="105"/>
      <c r="G115" s="319" t="s">
        <v>102</v>
      </c>
      <c r="H115" s="319"/>
      <c r="I115" s="127"/>
      <c r="J115" s="137"/>
      <c r="K115" s="127"/>
      <c r="L115" s="137"/>
      <c r="M115" s="134"/>
      <c r="N115" s="108">
        <f ca="1">_xll.DBRW(Server&amp;Cube1,$H$13,$H$14,$H$15,$N$3,N$2,$H$16,$B115)</f>
        <v>0</v>
      </c>
      <c r="O115" s="135"/>
      <c r="P115" s="151">
        <v>0</v>
      </c>
      <c r="Q115" s="152">
        <v>0</v>
      </c>
      <c r="R115" s="152">
        <v>0</v>
      </c>
      <c r="S115" s="152">
        <v>0</v>
      </c>
      <c r="T115" s="152">
        <v>0</v>
      </c>
      <c r="U115" s="152">
        <v>0</v>
      </c>
      <c r="V115" s="152">
        <v>0</v>
      </c>
      <c r="W115" s="152">
        <v>0</v>
      </c>
      <c r="X115" s="152">
        <v>0</v>
      </c>
      <c r="Y115" s="152">
        <v>0</v>
      </c>
      <c r="Z115" s="152">
        <v>0</v>
      </c>
      <c r="AA115" s="159">
        <v>0</v>
      </c>
      <c r="AB115" s="31"/>
      <c r="AE115" s="90">
        <f ca="1">IF($AE$3=1,_xll.DBSW(P115,Server&amp;Cube1,$H$13,$H$14,$H$15,$AE$1,AE$2,$H$16,$B115),_xll.DBRW(Server&amp;Cube1,$H$13,$H$14,$H$15,$AE$1,AE$2,$H$16,$B115))</f>
        <v>0</v>
      </c>
      <c r="AF115" s="90">
        <f ca="1">IF($AE$3=1,_xll.DBSW(Q115,Server&amp;Cube1,$H$13,$H$14,$H$15,$AE$1,AF$2,$H$16,$B115),_xll.DBRW(Server&amp;Cube1,$H$13,$H$14,$H$15,$AE$1,AF$2,$H$16,$B115))</f>
        <v>0</v>
      </c>
      <c r="AG115" s="90">
        <f ca="1">IF($AE$3=1,_xll.DBSW(R115,Server&amp;Cube1,$H$13,$H$14,$H$15,$AE$1,AG$2,$H$16,$B115),_xll.DBRW(Server&amp;Cube1,$H$13,$H$14,$H$15,$AE$1,AG$2,$H$16,$B115))</f>
        <v>0</v>
      </c>
      <c r="AH115" s="90">
        <f ca="1">IF($AE$3=1,_xll.DBSW(S115,Server&amp;Cube1,$H$13,$H$14,$H$15,$AE$1,AH$2,$H$16,$B115),_xll.DBRW(Server&amp;Cube1,$H$13,$H$14,$H$15,$AE$1,AH$2,$H$16,$B115))</f>
        <v>0</v>
      </c>
      <c r="AI115" s="90">
        <f ca="1">IF($AE$3=1,_xll.DBSW(T115,Server&amp;Cube1,$H$13,$H$14,$H$15,$AE$1,AI$2,$H$16,$B115),_xll.DBRW(Server&amp;Cube1,$H$13,$H$14,$H$15,$AE$1,AI$2,$H$16,$B115))</f>
        <v>0</v>
      </c>
      <c r="AJ115" s="90">
        <f ca="1">IF($AE$3=1,_xll.DBSW(U115,Server&amp;Cube1,$H$13,$H$14,$H$15,$AE$1,AJ$2,$H$16,$B115),_xll.DBRW(Server&amp;Cube1,$H$13,$H$14,$H$15,$AE$1,AJ$2,$H$16,$B115))</f>
        <v>0</v>
      </c>
      <c r="AK115" s="90">
        <f ca="1">IF($AE$3=1,_xll.DBSW(V115,Server&amp;Cube1,$H$13,$H$14,$H$15,$AE$1,AK$2,$H$16,$B115),_xll.DBRW(Server&amp;Cube1,$H$13,$H$14,$H$15,$AE$1,AK$2,$H$16,$B115))</f>
        <v>0</v>
      </c>
      <c r="AL115" s="90">
        <f ca="1">IF($AE$3=1,_xll.DBSW(W115,Server&amp;Cube1,$H$13,$H$14,$H$15,$AE$1,AL$2,$H$16,$B115),_xll.DBRW(Server&amp;Cube1,$H$13,$H$14,$H$15,$AE$1,AL$2,$H$16,$B115))</f>
        <v>0</v>
      </c>
      <c r="AM115" s="90">
        <f ca="1">IF($AE$3=1,_xll.DBSW(X115,Server&amp;Cube1,$H$13,$H$14,$H$15,$AE$1,AM$2,$H$16,$B115),_xll.DBRW(Server&amp;Cube1,$H$13,$H$14,$H$15,$AE$1,AM$2,$H$16,$B115))</f>
        <v>0</v>
      </c>
      <c r="AN115" s="90">
        <f ca="1">IF($AE$3=1,_xll.DBSW(Y115,Server&amp;Cube1,$H$13,$H$14,$H$15,$AE$1,AN$2,$H$16,$B115),_xll.DBRW(Server&amp;Cube1,$H$13,$H$14,$H$15,$AE$1,AN$2,$H$16,$B115))</f>
        <v>0</v>
      </c>
      <c r="AO115" s="90">
        <f ca="1">IF($AE$3=1,_xll.DBSW(Z115,Server&amp;Cube1,$H$13,$H$14,$H$15,$AE$1,AO$2,$H$16,$B115),_xll.DBRW(Server&amp;Cube1,$H$13,$H$14,$H$15,$AE$1,AO$2,$H$16,$B115))</f>
        <v>0</v>
      </c>
      <c r="AP115" s="90">
        <f ca="1">IF($AE$3=1,_xll.DBSW(AA115,Server&amp;Cube1,$H$13,$H$14,$H$15,$AE$1,AP$2,$H$16,$B115),_xll.DBRW(Server&amp;Cube1,$H$13,$H$14,$H$15,$AE$1,AP$2,$H$16,$B115))</f>
        <v>0</v>
      </c>
    </row>
    <row r="116" spans="1:42" ht="21" customHeight="1" x14ac:dyDescent="0.25">
      <c r="A116"/>
      <c r="B116" s="13" t="s">
        <v>45</v>
      </c>
      <c r="C116" s="13"/>
      <c r="D116" s="22"/>
      <c r="E116" s="171"/>
      <c r="F116" s="107"/>
      <c r="G116" s="305" t="str">
        <f ca="1">_xll.DBRA(Server&amp;$B$22,$B116,"French")</f>
        <v>Frais d'actes et de contentieux publications et divers</v>
      </c>
      <c r="H116" s="305" t="str">
        <f ca="1">_xll.DBRA(Server&amp;$B$22,$B116,"French")</f>
        <v>Frais d'actes et de contentieux publications et divers</v>
      </c>
      <c r="I116" s="37"/>
      <c r="J116" s="54">
        <f ca="1">_xll.DBRW(Server&amp;Cube1,$H$13,$J$3,$H$15,$J$1,$J$2,$H$16,$B116)</f>
        <v>0</v>
      </c>
      <c r="K116" s="37"/>
      <c r="L116" s="54">
        <f ca="1">_xll.DBRW(Server&amp;Cube1,$H$13,$L$3,$H$15,$L$1,$L$2,$H$16,$B116)</f>
        <v>0</v>
      </c>
      <c r="M116" s="55"/>
      <c r="N116" s="139">
        <f ca="1">_xll.DBRW(Server&amp;Cube1,$H$13,$H$14,$H$15,$N$1,N$2,$H$16,$B116)</f>
        <v>0</v>
      </c>
      <c r="O116" s="57"/>
      <c r="P116" s="156">
        <v>0</v>
      </c>
      <c r="Q116" s="157">
        <v>0</v>
      </c>
      <c r="R116" s="157">
        <v>0</v>
      </c>
      <c r="S116" s="157">
        <v>0</v>
      </c>
      <c r="T116" s="157">
        <v>0</v>
      </c>
      <c r="U116" s="157">
        <v>0</v>
      </c>
      <c r="V116" s="157">
        <v>0</v>
      </c>
      <c r="W116" s="157">
        <v>0</v>
      </c>
      <c r="X116" s="157">
        <v>0</v>
      </c>
      <c r="Y116" s="157">
        <v>0</v>
      </c>
      <c r="Z116" s="157">
        <v>0</v>
      </c>
      <c r="AA116" s="158">
        <v>0</v>
      </c>
      <c r="AB116" s="31"/>
      <c r="AE116" s="67">
        <f ca="1">_xll.DBRW(Server&amp;Cube1,$H$13,$H$14,$H$15,$H$17,AE$2,$H$16,$B116)</f>
        <v>0</v>
      </c>
      <c r="AF116" s="70">
        <f ca="1">_xll.DBRW(Server&amp;Cube1,$H$13,$H$14,$H$15,$H$17,AF$2,$H$16,$B116)</f>
        <v>0</v>
      </c>
      <c r="AG116" s="70">
        <f ca="1">_xll.DBRW(Server&amp;Cube1,$H$13,$H$14,$H$15,$H$17,AG$2,$H$16,$B116)</f>
        <v>0</v>
      </c>
      <c r="AH116" s="70">
        <f ca="1">_xll.DBRW(Server&amp;Cube1,$H$13,$H$14,$H$15,$H$17,AH$2,$H$16,$B116)</f>
        <v>0</v>
      </c>
      <c r="AI116" s="70">
        <f ca="1">_xll.DBRW(Server&amp;Cube1,$H$13,$H$14,$H$15,$H$17,AI$2,$H$16,$B116)</f>
        <v>0</v>
      </c>
      <c r="AJ116" s="70">
        <f ca="1">_xll.DBRW(Server&amp;Cube1,$H$13,$H$14,$H$15,$H$17,AJ$2,$H$16,$B116)</f>
        <v>0</v>
      </c>
      <c r="AK116" s="70">
        <f ca="1">_xll.DBRW(Server&amp;Cube1,$H$13,$H$14,$H$15,$H$17,AK$2,$H$16,$B116)</f>
        <v>0</v>
      </c>
      <c r="AL116" s="70">
        <f ca="1">_xll.DBRW(Server&amp;Cube1,$H$13,$H$14,$H$15,$H$17,AL$2,$H$16,$B116)</f>
        <v>0</v>
      </c>
      <c r="AM116" s="70">
        <f ca="1">_xll.DBRW(Server&amp;Cube1,$H$13,$H$14,$H$15,$H$17,AM$2,$H$16,$B116)</f>
        <v>0</v>
      </c>
      <c r="AN116" s="70">
        <f ca="1">_xll.DBRW(Server&amp;Cube1,$H$13,$H$14,$H$15,$H$17,AN$2,$H$16,$B116)</f>
        <v>0</v>
      </c>
      <c r="AO116" s="70">
        <f ca="1">_xll.DBRW(Server&amp;Cube1,$H$13,$H$14,$H$15,$H$17,AO$2,$H$16,$B116)</f>
        <v>0</v>
      </c>
      <c r="AP116" s="71">
        <f ca="1">_xll.DBRW(Server&amp;Cube1,$H$13,$H$14,$H$15,$H$17,AP$2,$H$16,$B116)</f>
        <v>0</v>
      </c>
    </row>
    <row r="117" spans="1:42" ht="21" customHeight="1" x14ac:dyDescent="0.25">
      <c r="A117"/>
      <c r="B117" s="144" t="s">
        <v>45</v>
      </c>
      <c r="C117" s="12"/>
      <c r="D117" s="21"/>
      <c r="E117" s="169"/>
      <c r="F117" s="105"/>
      <c r="G117" s="319" t="s">
        <v>102</v>
      </c>
      <c r="H117" s="319"/>
      <c r="I117" s="127"/>
      <c r="J117" s="137"/>
      <c r="K117" s="127"/>
      <c r="L117" s="137"/>
      <c r="M117" s="134"/>
      <c r="N117" s="108">
        <f ca="1">_xll.DBRW(Server&amp;Cube1,$H$13,$H$14,$H$15,$N$3,N$2,$H$16,$B117)</f>
        <v>0</v>
      </c>
      <c r="O117" s="135"/>
      <c r="P117" s="151">
        <v>0</v>
      </c>
      <c r="Q117" s="152">
        <v>0</v>
      </c>
      <c r="R117" s="152">
        <v>0</v>
      </c>
      <c r="S117" s="152">
        <v>0</v>
      </c>
      <c r="T117" s="152">
        <v>0</v>
      </c>
      <c r="U117" s="152">
        <v>0</v>
      </c>
      <c r="V117" s="152">
        <v>0</v>
      </c>
      <c r="W117" s="152">
        <v>0</v>
      </c>
      <c r="X117" s="152">
        <v>0</v>
      </c>
      <c r="Y117" s="152">
        <v>0</v>
      </c>
      <c r="Z117" s="152">
        <v>0</v>
      </c>
      <c r="AA117" s="159">
        <v>0</v>
      </c>
      <c r="AB117" s="31"/>
      <c r="AE117" s="90">
        <f ca="1">IF($AE$3=1,_xll.DBSW(P117,Server&amp;Cube1,$H$13,$H$14,$H$15,$AE$1,AE$2,$H$16,$B117),_xll.DBRW(Server&amp;Cube1,$H$13,$H$14,$H$15,$AE$1,AE$2,$H$16,$B117))</f>
        <v>0</v>
      </c>
      <c r="AF117" s="90">
        <f ca="1">IF($AE$3=1,_xll.DBSW(Q117,Server&amp;Cube1,$H$13,$H$14,$H$15,$AE$1,AF$2,$H$16,$B117),_xll.DBRW(Server&amp;Cube1,$H$13,$H$14,$H$15,$AE$1,AF$2,$H$16,$B117))</f>
        <v>0</v>
      </c>
      <c r="AG117" s="90">
        <f ca="1">IF($AE$3=1,_xll.DBSW(R117,Server&amp;Cube1,$H$13,$H$14,$H$15,$AE$1,AG$2,$H$16,$B117),_xll.DBRW(Server&amp;Cube1,$H$13,$H$14,$H$15,$AE$1,AG$2,$H$16,$B117))</f>
        <v>0</v>
      </c>
      <c r="AH117" s="90">
        <f ca="1">IF($AE$3=1,_xll.DBSW(S117,Server&amp;Cube1,$H$13,$H$14,$H$15,$AE$1,AH$2,$H$16,$B117),_xll.DBRW(Server&amp;Cube1,$H$13,$H$14,$H$15,$AE$1,AH$2,$H$16,$B117))</f>
        <v>0</v>
      </c>
      <c r="AI117" s="90">
        <f ca="1">IF($AE$3=1,_xll.DBSW(T117,Server&amp;Cube1,$H$13,$H$14,$H$15,$AE$1,AI$2,$H$16,$B117),_xll.DBRW(Server&amp;Cube1,$H$13,$H$14,$H$15,$AE$1,AI$2,$H$16,$B117))</f>
        <v>0</v>
      </c>
      <c r="AJ117" s="90">
        <f ca="1">IF($AE$3=1,_xll.DBSW(U117,Server&amp;Cube1,$H$13,$H$14,$H$15,$AE$1,AJ$2,$H$16,$B117),_xll.DBRW(Server&amp;Cube1,$H$13,$H$14,$H$15,$AE$1,AJ$2,$H$16,$B117))</f>
        <v>0</v>
      </c>
      <c r="AK117" s="90">
        <f ca="1">IF($AE$3=1,_xll.DBSW(V117,Server&amp;Cube1,$H$13,$H$14,$H$15,$AE$1,AK$2,$H$16,$B117),_xll.DBRW(Server&amp;Cube1,$H$13,$H$14,$H$15,$AE$1,AK$2,$H$16,$B117))</f>
        <v>0</v>
      </c>
      <c r="AL117" s="90">
        <f ca="1">IF($AE$3=1,_xll.DBSW(W117,Server&amp;Cube1,$H$13,$H$14,$H$15,$AE$1,AL$2,$H$16,$B117),_xll.DBRW(Server&amp;Cube1,$H$13,$H$14,$H$15,$AE$1,AL$2,$H$16,$B117))</f>
        <v>0</v>
      </c>
      <c r="AM117" s="90">
        <f ca="1">IF($AE$3=1,_xll.DBSW(X117,Server&amp;Cube1,$H$13,$H$14,$H$15,$AE$1,AM$2,$H$16,$B117),_xll.DBRW(Server&amp;Cube1,$H$13,$H$14,$H$15,$AE$1,AM$2,$H$16,$B117))</f>
        <v>0</v>
      </c>
      <c r="AN117" s="90">
        <f ca="1">IF($AE$3=1,_xll.DBSW(Y117,Server&amp;Cube1,$H$13,$H$14,$H$15,$AE$1,AN$2,$H$16,$B117),_xll.DBRW(Server&amp;Cube1,$H$13,$H$14,$H$15,$AE$1,AN$2,$H$16,$B117))</f>
        <v>0</v>
      </c>
      <c r="AO117" s="90">
        <f ca="1">IF($AE$3=1,_xll.DBSW(Z117,Server&amp;Cube1,$H$13,$H$14,$H$15,$AE$1,AO$2,$H$16,$B117),_xll.DBRW(Server&amp;Cube1,$H$13,$H$14,$H$15,$AE$1,AO$2,$H$16,$B117))</f>
        <v>0</v>
      </c>
      <c r="AP117" s="90">
        <f ca="1">IF($AE$3=1,_xll.DBSW(AA117,Server&amp;Cube1,$H$13,$H$14,$H$15,$AE$1,AP$2,$H$16,$B117),_xll.DBRW(Server&amp;Cube1,$H$13,$H$14,$H$15,$AE$1,AP$2,$H$16,$B117))</f>
        <v>0</v>
      </c>
    </row>
    <row r="118" spans="1:42" ht="6.75" customHeight="1" x14ac:dyDescent="0.25">
      <c r="A118"/>
      <c r="B118" s="11"/>
      <c r="C118" s="11"/>
      <c r="D118" s="20"/>
      <c r="E118" s="170"/>
      <c r="F118" s="106"/>
      <c r="G118" s="43"/>
      <c r="H118" s="43"/>
      <c r="I118" s="38"/>
      <c r="J118" s="62"/>
      <c r="K118" s="38"/>
      <c r="L118" s="62"/>
      <c r="M118" s="63"/>
      <c r="N118" s="112"/>
      <c r="O118" s="64"/>
      <c r="P118" s="153"/>
      <c r="Q118" s="154"/>
      <c r="R118" s="154"/>
      <c r="S118" s="154"/>
      <c r="T118" s="154"/>
      <c r="U118" s="154"/>
      <c r="V118" s="154"/>
      <c r="W118" s="154"/>
      <c r="X118" s="154"/>
      <c r="Y118" s="154"/>
      <c r="Z118" s="154"/>
      <c r="AA118" s="155"/>
      <c r="AB118" s="31"/>
    </row>
    <row r="119" spans="1:42" ht="21" customHeight="1" x14ac:dyDescent="0.25">
      <c r="A119"/>
      <c r="B119" s="12" t="s">
        <v>46</v>
      </c>
      <c r="C119" s="12"/>
      <c r="D119" s="21"/>
      <c r="E119" s="169"/>
      <c r="F119" s="105"/>
      <c r="G119" s="315" t="str">
        <f ca="1">_xll.DBRA(Server&amp;$B$22,$B119,"French")</f>
        <v>Autres frais</v>
      </c>
      <c r="H119" s="315" t="str">
        <f ca="1">_xll.DBRA(Server&amp;$B$22,$B119,"French")</f>
        <v>Autres frais</v>
      </c>
      <c r="I119" s="39"/>
      <c r="J119" s="67">
        <f ca="1">_xll.DBRW(Server&amp;Cube1,$H$13,$J$3,$H$15,$J$1,$J$2,$H$16,$B119)</f>
        <v>-172515.68000000005</v>
      </c>
      <c r="K119" s="39"/>
      <c r="L119" s="67">
        <f ca="1">_xll.DBRW(Server&amp;Cube1,$H$13,$L$3,$H$15,$L$1,$L$2,$H$16,$B119)</f>
        <v>0</v>
      </c>
      <c r="M119" s="68"/>
      <c r="N119" s="108">
        <f ca="1">_xll.DBRW(Server&amp;Cube1,$H$13,$H$14,$H$15,$N$1,N$2,$H$16,$B119)</f>
        <v>0</v>
      </c>
      <c r="O119" s="69"/>
      <c r="P119" s="148">
        <v>0</v>
      </c>
      <c r="Q119" s="149">
        <v>0</v>
      </c>
      <c r="R119" s="149">
        <v>0</v>
      </c>
      <c r="S119" s="149">
        <v>0</v>
      </c>
      <c r="T119" s="149">
        <v>0</v>
      </c>
      <c r="U119" s="149">
        <v>0</v>
      </c>
      <c r="V119" s="149">
        <v>0</v>
      </c>
      <c r="W119" s="149">
        <v>0</v>
      </c>
      <c r="X119" s="149">
        <v>0</v>
      </c>
      <c r="Y119" s="149">
        <v>0</v>
      </c>
      <c r="Z119" s="149">
        <v>0</v>
      </c>
      <c r="AA119" s="150">
        <v>0</v>
      </c>
      <c r="AB119" s="31"/>
      <c r="AE119" s="67">
        <f ca="1">_xll.DBRW(Server&amp;Cube1,$H$13,$H$14,$H$15,$H$17,AE$2,$H$16,$B119)</f>
        <v>0</v>
      </c>
      <c r="AF119" s="70">
        <f ca="1">_xll.DBRW(Server&amp;Cube1,$H$13,$H$14,$H$15,$H$17,AF$2,$H$16,$B119)</f>
        <v>0</v>
      </c>
      <c r="AG119" s="70">
        <f ca="1">_xll.DBRW(Server&amp;Cube1,$H$13,$H$14,$H$15,$H$17,AG$2,$H$16,$B119)</f>
        <v>0</v>
      </c>
      <c r="AH119" s="70">
        <f ca="1">_xll.DBRW(Server&amp;Cube1,$H$13,$H$14,$H$15,$H$17,AH$2,$H$16,$B119)</f>
        <v>0</v>
      </c>
      <c r="AI119" s="70">
        <f ca="1">_xll.DBRW(Server&amp;Cube1,$H$13,$H$14,$H$15,$H$17,AI$2,$H$16,$B119)</f>
        <v>0</v>
      </c>
      <c r="AJ119" s="70">
        <f ca="1">_xll.DBRW(Server&amp;Cube1,$H$13,$H$14,$H$15,$H$17,AJ$2,$H$16,$B119)</f>
        <v>0</v>
      </c>
      <c r="AK119" s="70">
        <f ca="1">_xll.DBRW(Server&amp;Cube1,$H$13,$H$14,$H$15,$H$17,AK$2,$H$16,$B119)</f>
        <v>0</v>
      </c>
      <c r="AL119" s="70">
        <f ca="1">_xll.DBRW(Server&amp;Cube1,$H$13,$H$14,$H$15,$H$17,AL$2,$H$16,$B119)</f>
        <v>0</v>
      </c>
      <c r="AM119" s="70">
        <f ca="1">_xll.DBRW(Server&amp;Cube1,$H$13,$H$14,$H$15,$H$17,AM$2,$H$16,$B119)</f>
        <v>0</v>
      </c>
      <c r="AN119" s="70">
        <f ca="1">_xll.DBRW(Server&amp;Cube1,$H$13,$H$14,$H$15,$H$17,AN$2,$H$16,$B119)</f>
        <v>0</v>
      </c>
      <c r="AO119" s="70">
        <f ca="1">_xll.DBRW(Server&amp;Cube1,$H$13,$H$14,$H$15,$H$17,AO$2,$H$16,$B119)</f>
        <v>0</v>
      </c>
      <c r="AP119" s="71">
        <f ca="1">_xll.DBRW(Server&amp;Cube1,$H$13,$H$14,$H$15,$H$17,AP$2,$H$16,$B119)</f>
        <v>0</v>
      </c>
    </row>
    <row r="120" spans="1:42" ht="21" customHeight="1" x14ac:dyDescent="0.25">
      <c r="A120"/>
      <c r="B120" s="13" t="s">
        <v>37</v>
      </c>
      <c r="C120" s="13"/>
      <c r="D120" s="22"/>
      <c r="E120" s="171"/>
      <c r="F120" s="107"/>
      <c r="G120" s="305" t="str">
        <f ca="1">_xll.DBRA(Server&amp;$B$22,$B120,"French")</f>
        <v>Dot.Amort. Immob. Corporelles</v>
      </c>
      <c r="H120" s="305" t="str">
        <f ca="1">_xll.DBRA(Server&amp;$B$22,$B120,"French")</f>
        <v>Dot.Amort. Immob. Corporelles</v>
      </c>
      <c r="I120" s="37"/>
      <c r="J120" s="54">
        <f ca="1">_xll.DBRW(Server&amp;Cube1,$H$13,$J$3,$H$15,$J$1,$J$2,$H$16,$B120)</f>
        <v>0</v>
      </c>
      <c r="K120" s="37"/>
      <c r="L120" s="54">
        <f ca="1">_xll.DBRW(Server&amp;Cube1,$H$13,$L$3,$H$15,$L$1,$L$2,$H$16,$B120)</f>
        <v>0</v>
      </c>
      <c r="M120" s="55"/>
      <c r="N120" s="139">
        <f ca="1">_xll.DBRW(Server&amp;Cube1,$H$13,$H$14,$H$15,$N$1,N$2,$H$16,$B120)</f>
        <v>0</v>
      </c>
      <c r="O120" s="57"/>
      <c r="P120" s="156">
        <v>0</v>
      </c>
      <c r="Q120" s="157">
        <v>0</v>
      </c>
      <c r="R120" s="157">
        <v>0</v>
      </c>
      <c r="S120" s="157">
        <v>0</v>
      </c>
      <c r="T120" s="157">
        <v>0</v>
      </c>
      <c r="U120" s="157">
        <v>0</v>
      </c>
      <c r="V120" s="157">
        <v>0</v>
      </c>
      <c r="W120" s="157">
        <v>0</v>
      </c>
      <c r="X120" s="157">
        <v>0</v>
      </c>
      <c r="Y120" s="157">
        <v>0</v>
      </c>
      <c r="Z120" s="157">
        <v>0</v>
      </c>
      <c r="AA120" s="158">
        <v>0</v>
      </c>
      <c r="AB120" s="31"/>
      <c r="AE120" s="67">
        <f ca="1">_xll.DBRW(Server&amp;Cube1,$H$13,$H$14,$H$15,$H$17,AE$2,$H$16,$B120)</f>
        <v>0</v>
      </c>
      <c r="AF120" s="70">
        <f ca="1">_xll.DBRW(Server&amp;Cube1,$H$13,$H$14,$H$15,$H$17,AF$2,$H$16,$B120)</f>
        <v>0</v>
      </c>
      <c r="AG120" s="70">
        <f ca="1">_xll.DBRW(Server&amp;Cube1,$H$13,$H$14,$H$15,$H$17,AG$2,$H$16,$B120)</f>
        <v>0</v>
      </c>
      <c r="AH120" s="70">
        <f ca="1">_xll.DBRW(Server&amp;Cube1,$H$13,$H$14,$H$15,$H$17,AH$2,$H$16,$B120)</f>
        <v>0</v>
      </c>
      <c r="AI120" s="70">
        <f ca="1">_xll.DBRW(Server&amp;Cube1,$H$13,$H$14,$H$15,$H$17,AI$2,$H$16,$B120)</f>
        <v>0</v>
      </c>
      <c r="AJ120" s="70">
        <f ca="1">_xll.DBRW(Server&amp;Cube1,$H$13,$H$14,$H$15,$H$17,AJ$2,$H$16,$B120)</f>
        <v>0</v>
      </c>
      <c r="AK120" s="70">
        <f ca="1">_xll.DBRW(Server&amp;Cube1,$H$13,$H$14,$H$15,$H$17,AK$2,$H$16,$B120)</f>
        <v>0</v>
      </c>
      <c r="AL120" s="70">
        <f ca="1">_xll.DBRW(Server&amp;Cube1,$H$13,$H$14,$H$15,$H$17,AL$2,$H$16,$B120)</f>
        <v>0</v>
      </c>
      <c r="AM120" s="70">
        <f ca="1">_xll.DBRW(Server&amp;Cube1,$H$13,$H$14,$H$15,$H$17,AM$2,$H$16,$B120)</f>
        <v>0</v>
      </c>
      <c r="AN120" s="70">
        <f ca="1">_xll.DBRW(Server&amp;Cube1,$H$13,$H$14,$H$15,$H$17,AN$2,$H$16,$B120)</f>
        <v>0</v>
      </c>
      <c r="AO120" s="70">
        <f ca="1">_xll.DBRW(Server&amp;Cube1,$H$13,$H$14,$H$15,$H$17,AO$2,$H$16,$B120)</f>
        <v>0</v>
      </c>
      <c r="AP120" s="71">
        <f ca="1">_xll.DBRW(Server&amp;Cube1,$H$13,$H$14,$H$15,$H$17,AP$2,$H$16,$B120)</f>
        <v>0</v>
      </c>
    </row>
    <row r="121" spans="1:42" ht="21" customHeight="1" x14ac:dyDescent="0.25">
      <c r="A121"/>
      <c r="B121" s="144" t="s">
        <v>37</v>
      </c>
      <c r="C121" s="12"/>
      <c r="D121" s="21"/>
      <c r="E121" s="169"/>
      <c r="F121" s="105"/>
      <c r="G121" s="319" t="s">
        <v>102</v>
      </c>
      <c r="H121" s="319"/>
      <c r="I121" s="127"/>
      <c r="J121" s="137"/>
      <c r="K121" s="127"/>
      <c r="L121" s="137"/>
      <c r="M121" s="134"/>
      <c r="N121" s="108">
        <f ca="1">_xll.DBRW(Server&amp;Cube1,$H$13,$H$14,$H$15,$N$3,N$2,$H$16,$B121)</f>
        <v>0</v>
      </c>
      <c r="O121" s="135"/>
      <c r="P121" s="151">
        <v>0</v>
      </c>
      <c r="Q121" s="152">
        <v>0</v>
      </c>
      <c r="R121" s="152">
        <v>0</v>
      </c>
      <c r="S121" s="152">
        <v>0</v>
      </c>
      <c r="T121" s="152">
        <v>0</v>
      </c>
      <c r="U121" s="152">
        <v>0</v>
      </c>
      <c r="V121" s="152">
        <v>0</v>
      </c>
      <c r="W121" s="152">
        <v>0</v>
      </c>
      <c r="X121" s="152">
        <v>0</v>
      </c>
      <c r="Y121" s="152">
        <v>0</v>
      </c>
      <c r="Z121" s="152">
        <v>0</v>
      </c>
      <c r="AA121" s="159">
        <v>0</v>
      </c>
      <c r="AB121" s="31"/>
      <c r="AE121" s="90">
        <f ca="1">IF($AE$3=1,_xll.DBSW(P121,Server&amp;Cube1,$H$13,$H$14,$H$15,$AE$1,AE$2,$H$16,$B121),_xll.DBRW(Server&amp;Cube1,$H$13,$H$14,$H$15,$AE$1,AE$2,$H$16,$B121))</f>
        <v>0</v>
      </c>
      <c r="AF121" s="90">
        <f ca="1">IF($AE$3=1,_xll.DBSW(Q121,Server&amp;Cube1,$H$13,$H$14,$H$15,$AE$1,AF$2,$H$16,$B121),_xll.DBRW(Server&amp;Cube1,$H$13,$H$14,$H$15,$AE$1,AF$2,$H$16,$B121))</f>
        <v>0</v>
      </c>
      <c r="AG121" s="90">
        <f ca="1">IF($AE$3=1,_xll.DBSW(R121,Server&amp;Cube1,$H$13,$H$14,$H$15,$AE$1,AG$2,$H$16,$B121),_xll.DBRW(Server&amp;Cube1,$H$13,$H$14,$H$15,$AE$1,AG$2,$H$16,$B121))</f>
        <v>0</v>
      </c>
      <c r="AH121" s="90">
        <f ca="1">IF($AE$3=1,_xll.DBSW(S121,Server&amp;Cube1,$H$13,$H$14,$H$15,$AE$1,AH$2,$H$16,$B121),_xll.DBRW(Server&amp;Cube1,$H$13,$H$14,$H$15,$AE$1,AH$2,$H$16,$B121))</f>
        <v>0</v>
      </c>
      <c r="AI121" s="90">
        <f ca="1">IF($AE$3=1,_xll.DBSW(T121,Server&amp;Cube1,$H$13,$H$14,$H$15,$AE$1,AI$2,$H$16,$B121),_xll.DBRW(Server&amp;Cube1,$H$13,$H$14,$H$15,$AE$1,AI$2,$H$16,$B121))</f>
        <v>0</v>
      </c>
      <c r="AJ121" s="90">
        <f ca="1">IF($AE$3=1,_xll.DBSW(U121,Server&amp;Cube1,$H$13,$H$14,$H$15,$AE$1,AJ$2,$H$16,$B121),_xll.DBRW(Server&amp;Cube1,$H$13,$H$14,$H$15,$AE$1,AJ$2,$H$16,$B121))</f>
        <v>0</v>
      </c>
      <c r="AK121" s="90">
        <f ca="1">IF($AE$3=1,_xll.DBSW(V121,Server&amp;Cube1,$H$13,$H$14,$H$15,$AE$1,AK$2,$H$16,$B121),_xll.DBRW(Server&amp;Cube1,$H$13,$H$14,$H$15,$AE$1,AK$2,$H$16,$B121))</f>
        <v>0</v>
      </c>
      <c r="AL121" s="90">
        <f ca="1">IF($AE$3=1,_xll.DBSW(W121,Server&amp;Cube1,$H$13,$H$14,$H$15,$AE$1,AL$2,$H$16,$B121),_xll.DBRW(Server&amp;Cube1,$H$13,$H$14,$H$15,$AE$1,AL$2,$H$16,$B121))</f>
        <v>0</v>
      </c>
      <c r="AM121" s="90">
        <f ca="1">IF($AE$3=1,_xll.DBSW(X121,Server&amp;Cube1,$H$13,$H$14,$H$15,$AE$1,AM$2,$H$16,$B121),_xll.DBRW(Server&amp;Cube1,$H$13,$H$14,$H$15,$AE$1,AM$2,$H$16,$B121))</f>
        <v>0</v>
      </c>
      <c r="AN121" s="90">
        <f ca="1">IF($AE$3=1,_xll.DBSW(Y121,Server&amp;Cube1,$H$13,$H$14,$H$15,$AE$1,AN$2,$H$16,$B121),_xll.DBRW(Server&amp;Cube1,$H$13,$H$14,$H$15,$AE$1,AN$2,$H$16,$B121))</f>
        <v>0</v>
      </c>
      <c r="AO121" s="90">
        <f ca="1">IF($AE$3=1,_xll.DBSW(Z121,Server&amp;Cube1,$H$13,$H$14,$H$15,$AE$1,AO$2,$H$16,$B121),_xll.DBRW(Server&amp;Cube1,$H$13,$H$14,$H$15,$AE$1,AO$2,$H$16,$B121))</f>
        <v>0</v>
      </c>
      <c r="AP121" s="90">
        <f ca="1">IF($AE$3=1,_xll.DBSW(AA121,Server&amp;Cube1,$H$13,$H$14,$H$15,$AE$1,AP$2,$H$16,$B121),_xll.DBRW(Server&amp;Cube1,$H$13,$H$14,$H$15,$AE$1,AP$2,$H$16,$B121))</f>
        <v>0</v>
      </c>
    </row>
    <row r="122" spans="1:42" ht="21" customHeight="1" x14ac:dyDescent="0.25">
      <c r="A122"/>
      <c r="B122" s="13">
        <v>618100</v>
      </c>
      <c r="C122" s="86"/>
      <c r="D122" s="22"/>
      <c r="E122" s="171"/>
      <c r="F122" s="107"/>
      <c r="G122" s="305" t="s">
        <v>113</v>
      </c>
      <c r="H122" s="305"/>
      <c r="I122" s="37"/>
      <c r="J122" s="54">
        <f ca="1">_xll.DBRW(Server&amp;Cube1,$H$13,$J$3,$H$15,$J$1,$J$2,$H$16,$B122)</f>
        <v>-22211.91</v>
      </c>
      <c r="K122" s="37"/>
      <c r="L122" s="54">
        <f ca="1">_xll.DBRW(Server&amp;Cube1,$H$13,$L$3,$H$15,$L$1,$L$2,$H$16,$B122)</f>
        <v>0</v>
      </c>
      <c r="M122" s="55"/>
      <c r="N122" s="139">
        <f ca="1">_xll.DBRW(Server&amp;Cube1,$H$13,$H$14,$H$15,$N$1,N$2,$H$16,$B122)</f>
        <v>0</v>
      </c>
      <c r="O122" s="57"/>
      <c r="P122" s="156">
        <v>0</v>
      </c>
      <c r="Q122" s="157">
        <v>0</v>
      </c>
      <c r="R122" s="157">
        <v>0</v>
      </c>
      <c r="S122" s="157">
        <v>0</v>
      </c>
      <c r="T122" s="157">
        <v>0</v>
      </c>
      <c r="U122" s="157">
        <v>0</v>
      </c>
      <c r="V122" s="157">
        <v>0</v>
      </c>
      <c r="W122" s="157">
        <v>0</v>
      </c>
      <c r="X122" s="157">
        <v>0</v>
      </c>
      <c r="Y122" s="157">
        <v>0</v>
      </c>
      <c r="Z122" s="157">
        <v>0</v>
      </c>
      <c r="AA122" s="158">
        <v>0</v>
      </c>
      <c r="AB122" s="31"/>
      <c r="AE122" s="67">
        <f ca="1">_xll.DBRW(Server&amp;Cube1,$H$13,$H$14,$H$15,$H$17,AE$2,$H$16,$B122)</f>
        <v>0</v>
      </c>
      <c r="AF122" s="70">
        <f ca="1">_xll.DBRW(Server&amp;Cube1,$H$13,$H$14,$H$15,$H$17,AF$2,$H$16,$B122)</f>
        <v>0</v>
      </c>
      <c r="AG122" s="70">
        <f ca="1">_xll.DBRW(Server&amp;Cube1,$H$13,$H$14,$H$15,$H$17,AG$2,$H$16,$B122)</f>
        <v>0</v>
      </c>
      <c r="AH122" s="70">
        <f ca="1">_xll.DBRW(Server&amp;Cube1,$H$13,$H$14,$H$15,$H$17,AH$2,$H$16,$B122)</f>
        <v>0</v>
      </c>
      <c r="AI122" s="70">
        <f ca="1">_xll.DBRW(Server&amp;Cube1,$H$13,$H$14,$H$15,$H$17,AI$2,$H$16,$B122)</f>
        <v>0</v>
      </c>
      <c r="AJ122" s="70">
        <f ca="1">_xll.DBRW(Server&amp;Cube1,$H$13,$H$14,$H$15,$H$17,AJ$2,$H$16,$B122)</f>
        <v>0</v>
      </c>
      <c r="AK122" s="70">
        <f ca="1">_xll.DBRW(Server&amp;Cube1,$H$13,$H$14,$H$15,$H$17,AK$2,$H$16,$B122)</f>
        <v>0</v>
      </c>
      <c r="AL122" s="70">
        <f ca="1">_xll.DBRW(Server&amp;Cube1,$H$13,$H$14,$H$15,$H$17,AL$2,$H$16,$B122)</f>
        <v>0</v>
      </c>
      <c r="AM122" s="70">
        <f ca="1">_xll.DBRW(Server&amp;Cube1,$H$13,$H$14,$H$15,$H$17,AM$2,$H$16,$B122)</f>
        <v>0</v>
      </c>
      <c r="AN122" s="70">
        <f ca="1">_xll.DBRW(Server&amp;Cube1,$H$13,$H$14,$H$15,$H$17,AN$2,$H$16,$B122)</f>
        <v>0</v>
      </c>
      <c r="AO122" s="70">
        <f ca="1">_xll.DBRW(Server&amp;Cube1,$H$13,$H$14,$H$15,$H$17,AO$2,$H$16,$B122)</f>
        <v>0</v>
      </c>
      <c r="AP122" s="71">
        <f ca="1">_xll.DBRW(Server&amp;Cube1,$H$13,$H$14,$H$15,$H$17,AP$2,$H$16,$B122)</f>
        <v>0</v>
      </c>
    </row>
    <row r="123" spans="1:42" ht="21" customHeight="1" x14ac:dyDescent="0.25">
      <c r="A123"/>
      <c r="B123" s="144">
        <v>618100</v>
      </c>
      <c r="C123" s="12"/>
      <c r="D123" s="21"/>
      <c r="E123" s="169"/>
      <c r="F123" s="105"/>
      <c r="G123" s="319" t="s">
        <v>102</v>
      </c>
      <c r="H123" s="319"/>
      <c r="I123" s="127"/>
      <c r="J123" s="137"/>
      <c r="K123" s="127"/>
      <c r="L123" s="137"/>
      <c r="M123" s="134"/>
      <c r="N123" s="108">
        <f ca="1">_xll.DBRW(Server&amp;Cube1,$H$13,$H$14,$H$15,$N$3,N$2,$H$16,$B123)</f>
        <v>0</v>
      </c>
      <c r="O123" s="135"/>
      <c r="P123" s="151">
        <v>0</v>
      </c>
      <c r="Q123" s="152">
        <v>0</v>
      </c>
      <c r="R123" s="152">
        <v>0</v>
      </c>
      <c r="S123" s="152">
        <v>0</v>
      </c>
      <c r="T123" s="152">
        <v>0</v>
      </c>
      <c r="U123" s="152">
        <v>0</v>
      </c>
      <c r="V123" s="152">
        <v>0</v>
      </c>
      <c r="W123" s="152">
        <v>0</v>
      </c>
      <c r="X123" s="152">
        <v>0</v>
      </c>
      <c r="Y123" s="152">
        <v>0</v>
      </c>
      <c r="Z123" s="152">
        <v>0</v>
      </c>
      <c r="AA123" s="159">
        <v>0</v>
      </c>
      <c r="AB123" s="31"/>
      <c r="AE123" s="90">
        <f ca="1">IF($AE$3=1,_xll.DBSW(P123,Server&amp;Cube1,$H$13,$H$14,$H$15,$AE$1,AE$2,$H$16,$B123),_xll.DBRW(Server&amp;Cube1,$H$13,$H$14,$H$15,$AE$1,AE$2,$H$16,$B123))</f>
        <v>0</v>
      </c>
      <c r="AF123" s="90">
        <f ca="1">IF($AE$3=1,_xll.DBSW(Q123,Server&amp;Cube1,$H$13,$H$14,$H$15,$AE$1,AF$2,$H$16,$B123),_xll.DBRW(Server&amp;Cube1,$H$13,$H$14,$H$15,$AE$1,AF$2,$H$16,$B123))</f>
        <v>0</v>
      </c>
      <c r="AG123" s="90">
        <f ca="1">IF($AE$3=1,_xll.DBSW(R123,Server&amp;Cube1,$H$13,$H$14,$H$15,$AE$1,AG$2,$H$16,$B123),_xll.DBRW(Server&amp;Cube1,$H$13,$H$14,$H$15,$AE$1,AG$2,$H$16,$B123))</f>
        <v>0</v>
      </c>
      <c r="AH123" s="90">
        <f ca="1">IF($AE$3=1,_xll.DBSW(S123,Server&amp;Cube1,$H$13,$H$14,$H$15,$AE$1,AH$2,$H$16,$B123),_xll.DBRW(Server&amp;Cube1,$H$13,$H$14,$H$15,$AE$1,AH$2,$H$16,$B123))</f>
        <v>0</v>
      </c>
      <c r="AI123" s="90">
        <f ca="1">IF($AE$3=1,_xll.DBSW(T123,Server&amp;Cube1,$H$13,$H$14,$H$15,$AE$1,AI$2,$H$16,$B123),_xll.DBRW(Server&amp;Cube1,$H$13,$H$14,$H$15,$AE$1,AI$2,$H$16,$B123))</f>
        <v>0</v>
      </c>
      <c r="AJ123" s="90">
        <f ca="1">IF($AE$3=1,_xll.DBSW(U123,Server&amp;Cube1,$H$13,$H$14,$H$15,$AE$1,AJ$2,$H$16,$B123),_xll.DBRW(Server&amp;Cube1,$H$13,$H$14,$H$15,$AE$1,AJ$2,$H$16,$B123))</f>
        <v>0</v>
      </c>
      <c r="AK123" s="90">
        <f ca="1">IF($AE$3=1,_xll.DBSW(V123,Server&amp;Cube1,$H$13,$H$14,$H$15,$AE$1,AK$2,$H$16,$B123),_xll.DBRW(Server&amp;Cube1,$H$13,$H$14,$H$15,$AE$1,AK$2,$H$16,$B123))</f>
        <v>0</v>
      </c>
      <c r="AL123" s="90">
        <f ca="1">IF($AE$3=1,_xll.DBSW(W123,Server&amp;Cube1,$H$13,$H$14,$H$15,$AE$1,AL$2,$H$16,$B123),_xll.DBRW(Server&amp;Cube1,$H$13,$H$14,$H$15,$AE$1,AL$2,$H$16,$B123))</f>
        <v>0</v>
      </c>
      <c r="AM123" s="90">
        <f ca="1">IF($AE$3=1,_xll.DBSW(X123,Server&amp;Cube1,$H$13,$H$14,$H$15,$AE$1,AM$2,$H$16,$B123),_xll.DBRW(Server&amp;Cube1,$H$13,$H$14,$H$15,$AE$1,AM$2,$H$16,$B123))</f>
        <v>0</v>
      </c>
      <c r="AN123" s="90">
        <f ca="1">IF($AE$3=1,_xll.DBSW(Y123,Server&amp;Cube1,$H$13,$H$14,$H$15,$AE$1,AN$2,$H$16,$B123),_xll.DBRW(Server&amp;Cube1,$H$13,$H$14,$H$15,$AE$1,AN$2,$H$16,$B123))</f>
        <v>0</v>
      </c>
      <c r="AO123" s="90">
        <f ca="1">IF($AE$3=1,_xll.DBSW(Z123,Server&amp;Cube1,$H$13,$H$14,$H$15,$AE$1,AO$2,$H$16,$B123),_xll.DBRW(Server&amp;Cube1,$H$13,$H$14,$H$15,$AE$1,AO$2,$H$16,$B123))</f>
        <v>0</v>
      </c>
      <c r="AP123" s="90">
        <f ca="1">IF($AE$3=1,_xll.DBSW(AA123,Server&amp;Cube1,$H$13,$H$14,$H$15,$AE$1,AP$2,$H$16,$B123),_xll.DBRW(Server&amp;Cube1,$H$13,$H$14,$H$15,$AE$1,AP$2,$H$16,$B123))</f>
        <v>0</v>
      </c>
    </row>
    <row r="124" spans="1:42" ht="21" customHeight="1" x14ac:dyDescent="0.25">
      <c r="A124"/>
      <c r="B124" s="13" t="s">
        <v>38</v>
      </c>
      <c r="C124" s="13"/>
      <c r="D124" s="22"/>
      <c r="E124" s="171"/>
      <c r="F124" s="107"/>
      <c r="G124" s="305" t="str">
        <f ca="1">_xll.DBRA(Server&amp;$B$22,$B124,"French")</f>
        <v>Location bureau structure</v>
      </c>
      <c r="H124" s="305" t="str">
        <f ca="1">_xll.DBRA(Server&amp;$B$22,$B124,"French")</f>
        <v>Location bureau structure</v>
      </c>
      <c r="I124" s="37"/>
      <c r="J124" s="54">
        <f ca="1">_xll.DBRW(Server&amp;Cube1,$H$13,$J$3,$H$15,$J$1,$J$2,$H$16,$B124)</f>
        <v>0</v>
      </c>
      <c r="K124" s="37"/>
      <c r="L124" s="54">
        <f ca="1">_xll.DBRW(Server&amp;Cube1,$H$13,$L$3,$H$15,$L$1,$L$2,$H$16,$B124)</f>
        <v>0</v>
      </c>
      <c r="M124" s="55"/>
      <c r="N124" s="139">
        <f ca="1">_xll.DBRW(Server&amp;Cube1,$H$13,$H$14,$H$15,$N$1,N$2,$H$16,$B124)</f>
        <v>0</v>
      </c>
      <c r="O124" s="57"/>
      <c r="P124" s="156">
        <v>0</v>
      </c>
      <c r="Q124" s="157">
        <v>0</v>
      </c>
      <c r="R124" s="157">
        <v>0</v>
      </c>
      <c r="S124" s="157">
        <v>0</v>
      </c>
      <c r="T124" s="157">
        <v>0</v>
      </c>
      <c r="U124" s="157">
        <v>0</v>
      </c>
      <c r="V124" s="157">
        <v>0</v>
      </c>
      <c r="W124" s="157">
        <v>0</v>
      </c>
      <c r="X124" s="157">
        <v>0</v>
      </c>
      <c r="Y124" s="157">
        <v>0</v>
      </c>
      <c r="Z124" s="157">
        <v>0</v>
      </c>
      <c r="AA124" s="158">
        <v>0</v>
      </c>
      <c r="AB124" s="31"/>
      <c r="AE124" s="67">
        <f ca="1">_xll.DBRW(Server&amp;Cube1,$H$13,$H$14,$H$15,$H$17,AE$2,$H$16,$B124)</f>
        <v>0</v>
      </c>
      <c r="AF124" s="70">
        <f ca="1">_xll.DBRW(Server&amp;Cube1,$H$13,$H$14,$H$15,$H$17,AF$2,$H$16,$B124)</f>
        <v>0</v>
      </c>
      <c r="AG124" s="70">
        <f ca="1">_xll.DBRW(Server&amp;Cube1,$H$13,$H$14,$H$15,$H$17,AG$2,$H$16,$B124)</f>
        <v>0</v>
      </c>
      <c r="AH124" s="70">
        <f ca="1">_xll.DBRW(Server&amp;Cube1,$H$13,$H$14,$H$15,$H$17,AH$2,$H$16,$B124)</f>
        <v>0</v>
      </c>
      <c r="AI124" s="70">
        <f ca="1">_xll.DBRW(Server&amp;Cube1,$H$13,$H$14,$H$15,$H$17,AI$2,$H$16,$B124)</f>
        <v>0</v>
      </c>
      <c r="AJ124" s="70">
        <f ca="1">_xll.DBRW(Server&amp;Cube1,$H$13,$H$14,$H$15,$H$17,AJ$2,$H$16,$B124)</f>
        <v>0</v>
      </c>
      <c r="AK124" s="70">
        <f ca="1">_xll.DBRW(Server&amp;Cube1,$H$13,$H$14,$H$15,$H$17,AK$2,$H$16,$B124)</f>
        <v>0</v>
      </c>
      <c r="AL124" s="70">
        <f ca="1">_xll.DBRW(Server&amp;Cube1,$H$13,$H$14,$H$15,$H$17,AL$2,$H$16,$B124)</f>
        <v>0</v>
      </c>
      <c r="AM124" s="70">
        <f ca="1">_xll.DBRW(Server&amp;Cube1,$H$13,$H$14,$H$15,$H$17,AM$2,$H$16,$B124)</f>
        <v>0</v>
      </c>
      <c r="AN124" s="70">
        <f ca="1">_xll.DBRW(Server&amp;Cube1,$H$13,$H$14,$H$15,$H$17,AN$2,$H$16,$B124)</f>
        <v>0</v>
      </c>
      <c r="AO124" s="70">
        <f ca="1">_xll.DBRW(Server&amp;Cube1,$H$13,$H$14,$H$15,$H$17,AO$2,$H$16,$B124)</f>
        <v>0</v>
      </c>
      <c r="AP124" s="71">
        <f ca="1">_xll.DBRW(Server&amp;Cube1,$H$13,$H$14,$H$15,$H$17,AP$2,$H$16,$B124)</f>
        <v>0</v>
      </c>
    </row>
    <row r="125" spans="1:42" ht="21" customHeight="1" x14ac:dyDescent="0.25">
      <c r="A125"/>
      <c r="B125" s="144" t="s">
        <v>38</v>
      </c>
      <c r="C125" s="12"/>
      <c r="D125" s="21"/>
      <c r="E125" s="169"/>
      <c r="F125" s="105"/>
      <c r="G125" s="319" t="s">
        <v>102</v>
      </c>
      <c r="H125" s="319"/>
      <c r="I125" s="127"/>
      <c r="J125" s="137"/>
      <c r="K125" s="127"/>
      <c r="L125" s="137"/>
      <c r="M125" s="134"/>
      <c r="N125" s="108">
        <f ca="1">_xll.DBRW(Server&amp;Cube1,$H$13,$H$14,$H$15,$N$3,N$2,$H$16,$B125)</f>
        <v>0</v>
      </c>
      <c r="O125" s="135"/>
      <c r="P125" s="151">
        <v>0</v>
      </c>
      <c r="Q125" s="152">
        <v>0</v>
      </c>
      <c r="R125" s="152">
        <v>0</v>
      </c>
      <c r="S125" s="152">
        <v>0</v>
      </c>
      <c r="T125" s="152">
        <v>0</v>
      </c>
      <c r="U125" s="152">
        <v>0</v>
      </c>
      <c r="V125" s="152">
        <v>0</v>
      </c>
      <c r="W125" s="152">
        <v>0</v>
      </c>
      <c r="X125" s="152">
        <v>0</v>
      </c>
      <c r="Y125" s="152">
        <v>0</v>
      </c>
      <c r="Z125" s="152">
        <v>0</v>
      </c>
      <c r="AA125" s="159">
        <v>0</v>
      </c>
      <c r="AB125" s="31"/>
      <c r="AE125" s="90">
        <f ca="1">IF($AE$3=1,_xll.DBSW(P125,Server&amp;Cube1,$H$13,$H$14,$H$15,$AE$1,AE$2,$H$16,$B125),_xll.DBRW(Server&amp;Cube1,$H$13,$H$14,$H$15,$AE$1,AE$2,$H$16,$B125))</f>
        <v>0</v>
      </c>
      <c r="AF125" s="90">
        <f ca="1">IF($AE$3=1,_xll.DBSW(Q125,Server&amp;Cube1,$H$13,$H$14,$H$15,$AE$1,AF$2,$H$16,$B125),_xll.DBRW(Server&amp;Cube1,$H$13,$H$14,$H$15,$AE$1,AF$2,$H$16,$B125))</f>
        <v>0</v>
      </c>
      <c r="AG125" s="90">
        <f ca="1">IF($AE$3=1,_xll.DBSW(R125,Server&amp;Cube1,$H$13,$H$14,$H$15,$AE$1,AG$2,$H$16,$B125),_xll.DBRW(Server&amp;Cube1,$H$13,$H$14,$H$15,$AE$1,AG$2,$H$16,$B125))</f>
        <v>0</v>
      </c>
      <c r="AH125" s="90">
        <f ca="1">IF($AE$3=1,_xll.DBSW(S125,Server&amp;Cube1,$H$13,$H$14,$H$15,$AE$1,AH$2,$H$16,$B125),_xll.DBRW(Server&amp;Cube1,$H$13,$H$14,$H$15,$AE$1,AH$2,$H$16,$B125))</f>
        <v>0</v>
      </c>
      <c r="AI125" s="90">
        <f ca="1">IF($AE$3=1,_xll.DBSW(T125,Server&amp;Cube1,$H$13,$H$14,$H$15,$AE$1,AI$2,$H$16,$B125),_xll.DBRW(Server&amp;Cube1,$H$13,$H$14,$H$15,$AE$1,AI$2,$H$16,$B125))</f>
        <v>0</v>
      </c>
      <c r="AJ125" s="90">
        <f ca="1">IF($AE$3=1,_xll.DBSW(U125,Server&amp;Cube1,$H$13,$H$14,$H$15,$AE$1,AJ$2,$H$16,$B125),_xll.DBRW(Server&amp;Cube1,$H$13,$H$14,$H$15,$AE$1,AJ$2,$H$16,$B125))</f>
        <v>0</v>
      </c>
      <c r="AK125" s="90">
        <f ca="1">IF($AE$3=1,_xll.DBSW(V125,Server&amp;Cube1,$H$13,$H$14,$H$15,$AE$1,AK$2,$H$16,$B125),_xll.DBRW(Server&amp;Cube1,$H$13,$H$14,$H$15,$AE$1,AK$2,$H$16,$B125))</f>
        <v>0</v>
      </c>
      <c r="AL125" s="90">
        <f ca="1">IF($AE$3=1,_xll.DBSW(W125,Server&amp;Cube1,$H$13,$H$14,$H$15,$AE$1,AL$2,$H$16,$B125),_xll.DBRW(Server&amp;Cube1,$H$13,$H$14,$H$15,$AE$1,AL$2,$H$16,$B125))</f>
        <v>0</v>
      </c>
      <c r="AM125" s="90">
        <f ca="1">IF($AE$3=1,_xll.DBSW(X125,Server&amp;Cube1,$H$13,$H$14,$H$15,$AE$1,AM$2,$H$16,$B125),_xll.DBRW(Server&amp;Cube1,$H$13,$H$14,$H$15,$AE$1,AM$2,$H$16,$B125))</f>
        <v>0</v>
      </c>
      <c r="AN125" s="90">
        <f ca="1">IF($AE$3=1,_xll.DBSW(Y125,Server&amp;Cube1,$H$13,$H$14,$H$15,$AE$1,AN$2,$H$16,$B125),_xll.DBRW(Server&amp;Cube1,$H$13,$H$14,$H$15,$AE$1,AN$2,$H$16,$B125))</f>
        <v>0</v>
      </c>
      <c r="AO125" s="90">
        <f ca="1">IF($AE$3=1,_xll.DBSW(Z125,Server&amp;Cube1,$H$13,$H$14,$H$15,$AE$1,AO$2,$H$16,$B125),_xll.DBRW(Server&amp;Cube1,$H$13,$H$14,$H$15,$AE$1,AO$2,$H$16,$B125))</f>
        <v>0</v>
      </c>
      <c r="AP125" s="90">
        <f ca="1">IF($AE$3=1,_xll.DBSW(AA125,Server&amp;Cube1,$H$13,$H$14,$H$15,$AE$1,AP$2,$H$16,$B125),_xll.DBRW(Server&amp;Cube1,$H$13,$H$14,$H$15,$AE$1,AP$2,$H$16,$B125))</f>
        <v>0</v>
      </c>
    </row>
    <row r="126" spans="1:42" ht="21" customHeight="1" x14ac:dyDescent="0.25">
      <c r="A126"/>
      <c r="B126" s="13" t="s">
        <v>91</v>
      </c>
      <c r="C126" s="13"/>
      <c r="D126" s="22"/>
      <c r="E126" s="171"/>
      <c r="F126" s="107"/>
      <c r="G126" s="305" t="str">
        <f ca="1">_xll.DBRA(Server&amp;$B$22,$B126,"French")</f>
        <v>Transport sur achat (coûts directs)</v>
      </c>
      <c r="H126" s="305" t="str">
        <f ca="1">_xll.DBRA(Server&amp;$B$22,$B126,"French")</f>
        <v>Transport sur achat (coûts directs)</v>
      </c>
      <c r="I126" s="37"/>
      <c r="J126" s="54">
        <f ca="1">_xll.DBRW(Server&amp;Cube1,$H$13,$J$3,$H$15,$J$1,$J$2,$H$16,$B126)</f>
        <v>-1318.0499999999997</v>
      </c>
      <c r="K126" s="37"/>
      <c r="L126" s="54">
        <f ca="1">_xll.DBRW(Server&amp;Cube1,$H$13,$L$3,$H$15,$L$1,$L$2,$H$16,$B126)</f>
        <v>0</v>
      </c>
      <c r="M126" s="55"/>
      <c r="N126" s="139">
        <f ca="1">_xll.DBRW(Server&amp;Cube1,$H$13,$H$14,$H$15,$N$1,N$2,$H$16,$B126)</f>
        <v>0</v>
      </c>
      <c r="O126" s="57"/>
      <c r="P126" s="156">
        <v>0</v>
      </c>
      <c r="Q126" s="157">
        <v>0</v>
      </c>
      <c r="R126" s="157">
        <v>0</v>
      </c>
      <c r="S126" s="157">
        <v>0</v>
      </c>
      <c r="T126" s="157">
        <v>0</v>
      </c>
      <c r="U126" s="157">
        <v>0</v>
      </c>
      <c r="V126" s="157">
        <v>0</v>
      </c>
      <c r="W126" s="157">
        <v>0</v>
      </c>
      <c r="X126" s="157">
        <v>0</v>
      </c>
      <c r="Y126" s="157">
        <v>0</v>
      </c>
      <c r="Z126" s="157">
        <v>0</v>
      </c>
      <c r="AA126" s="158">
        <v>0</v>
      </c>
      <c r="AB126" s="31"/>
      <c r="AE126" s="67">
        <f ca="1">_xll.DBRW(Server&amp;Cube1,$H$13,$H$14,$H$15,$H$17,AE$2,$H$16,$B126)</f>
        <v>0</v>
      </c>
      <c r="AF126" s="70">
        <f ca="1">_xll.DBRW(Server&amp;Cube1,$H$13,$H$14,$H$15,$H$17,AF$2,$H$16,$B126)</f>
        <v>0</v>
      </c>
      <c r="AG126" s="70">
        <f ca="1">_xll.DBRW(Server&amp;Cube1,$H$13,$H$14,$H$15,$H$17,AG$2,$H$16,$B126)</f>
        <v>0</v>
      </c>
      <c r="AH126" s="70">
        <f ca="1">_xll.DBRW(Server&amp;Cube1,$H$13,$H$14,$H$15,$H$17,AH$2,$H$16,$B126)</f>
        <v>0</v>
      </c>
      <c r="AI126" s="70">
        <f ca="1">_xll.DBRW(Server&amp;Cube1,$H$13,$H$14,$H$15,$H$17,AI$2,$H$16,$B126)</f>
        <v>0</v>
      </c>
      <c r="AJ126" s="70">
        <f ca="1">_xll.DBRW(Server&amp;Cube1,$H$13,$H$14,$H$15,$H$17,AJ$2,$H$16,$B126)</f>
        <v>0</v>
      </c>
      <c r="AK126" s="70">
        <f ca="1">_xll.DBRW(Server&amp;Cube1,$H$13,$H$14,$H$15,$H$17,AK$2,$H$16,$B126)</f>
        <v>0</v>
      </c>
      <c r="AL126" s="70">
        <f ca="1">_xll.DBRW(Server&amp;Cube1,$H$13,$H$14,$H$15,$H$17,AL$2,$H$16,$B126)</f>
        <v>0</v>
      </c>
      <c r="AM126" s="70">
        <f ca="1">_xll.DBRW(Server&amp;Cube1,$H$13,$H$14,$H$15,$H$17,AM$2,$H$16,$B126)</f>
        <v>0</v>
      </c>
      <c r="AN126" s="70">
        <f ca="1">_xll.DBRW(Server&amp;Cube1,$H$13,$H$14,$H$15,$H$17,AN$2,$H$16,$B126)</f>
        <v>0</v>
      </c>
      <c r="AO126" s="70">
        <f ca="1">_xll.DBRW(Server&amp;Cube1,$H$13,$H$14,$H$15,$H$17,AO$2,$H$16,$B126)</f>
        <v>0</v>
      </c>
      <c r="AP126" s="71">
        <f ca="1">_xll.DBRW(Server&amp;Cube1,$H$13,$H$14,$H$15,$H$17,AP$2,$H$16,$B126)</f>
        <v>0</v>
      </c>
    </row>
    <row r="127" spans="1:42" ht="21" customHeight="1" x14ac:dyDescent="0.25">
      <c r="A127"/>
      <c r="B127" s="144" t="s">
        <v>91</v>
      </c>
      <c r="C127" s="12"/>
      <c r="D127" s="21"/>
      <c r="E127" s="169"/>
      <c r="F127" s="105"/>
      <c r="G127" s="319" t="s">
        <v>102</v>
      </c>
      <c r="H127" s="319"/>
      <c r="I127" s="127"/>
      <c r="J127" s="137"/>
      <c r="K127" s="127"/>
      <c r="L127" s="137"/>
      <c r="M127" s="134"/>
      <c r="N127" s="108">
        <f ca="1">_xll.DBRW(Server&amp;Cube1,$H$13,$H$14,$H$15,$N$3,N$2,$H$16,$B127)</f>
        <v>0</v>
      </c>
      <c r="O127" s="135"/>
      <c r="P127" s="151">
        <v>0</v>
      </c>
      <c r="Q127" s="152">
        <v>0</v>
      </c>
      <c r="R127" s="152">
        <v>0</v>
      </c>
      <c r="S127" s="152">
        <v>0</v>
      </c>
      <c r="T127" s="152">
        <v>0</v>
      </c>
      <c r="U127" s="152">
        <v>0</v>
      </c>
      <c r="V127" s="152">
        <v>0</v>
      </c>
      <c r="W127" s="152">
        <v>0</v>
      </c>
      <c r="X127" s="152">
        <v>0</v>
      </c>
      <c r="Y127" s="152">
        <v>0</v>
      </c>
      <c r="Z127" s="152">
        <v>0</v>
      </c>
      <c r="AA127" s="159">
        <v>0</v>
      </c>
      <c r="AB127" s="31"/>
      <c r="AE127" s="90">
        <f ca="1">IF($AE$3=1,_xll.DBSW(P127,Server&amp;Cube1,$H$13,$H$14,$H$15,$AE$1,AE$2,$H$16,$B127),_xll.DBRW(Server&amp;Cube1,$H$13,$H$14,$H$15,$AE$1,AE$2,$H$16,$B127))</f>
        <v>0</v>
      </c>
      <c r="AF127" s="90">
        <f ca="1">IF($AE$3=1,_xll.DBSW(Q127,Server&amp;Cube1,$H$13,$H$14,$H$15,$AE$1,AF$2,$H$16,$B127),_xll.DBRW(Server&amp;Cube1,$H$13,$H$14,$H$15,$AE$1,AF$2,$H$16,$B127))</f>
        <v>0</v>
      </c>
      <c r="AG127" s="90">
        <f ca="1">IF($AE$3=1,_xll.DBSW(R127,Server&amp;Cube1,$H$13,$H$14,$H$15,$AE$1,AG$2,$H$16,$B127),_xll.DBRW(Server&amp;Cube1,$H$13,$H$14,$H$15,$AE$1,AG$2,$H$16,$B127))</f>
        <v>0</v>
      </c>
      <c r="AH127" s="90">
        <f ca="1">IF($AE$3=1,_xll.DBSW(S127,Server&amp;Cube1,$H$13,$H$14,$H$15,$AE$1,AH$2,$H$16,$B127),_xll.DBRW(Server&amp;Cube1,$H$13,$H$14,$H$15,$AE$1,AH$2,$H$16,$B127))</f>
        <v>0</v>
      </c>
      <c r="AI127" s="90">
        <f ca="1">IF($AE$3=1,_xll.DBSW(T127,Server&amp;Cube1,$H$13,$H$14,$H$15,$AE$1,AI$2,$H$16,$B127),_xll.DBRW(Server&amp;Cube1,$H$13,$H$14,$H$15,$AE$1,AI$2,$H$16,$B127))</f>
        <v>0</v>
      </c>
      <c r="AJ127" s="90">
        <f ca="1">IF($AE$3=1,_xll.DBSW(U127,Server&amp;Cube1,$H$13,$H$14,$H$15,$AE$1,AJ$2,$H$16,$B127),_xll.DBRW(Server&amp;Cube1,$H$13,$H$14,$H$15,$AE$1,AJ$2,$H$16,$B127))</f>
        <v>0</v>
      </c>
      <c r="AK127" s="90">
        <f ca="1">IF($AE$3=1,_xll.DBSW(V127,Server&amp;Cube1,$H$13,$H$14,$H$15,$AE$1,AK$2,$H$16,$B127),_xll.DBRW(Server&amp;Cube1,$H$13,$H$14,$H$15,$AE$1,AK$2,$H$16,$B127))</f>
        <v>0</v>
      </c>
      <c r="AL127" s="90">
        <f ca="1">IF($AE$3=1,_xll.DBSW(W127,Server&amp;Cube1,$H$13,$H$14,$H$15,$AE$1,AL$2,$H$16,$B127),_xll.DBRW(Server&amp;Cube1,$H$13,$H$14,$H$15,$AE$1,AL$2,$H$16,$B127))</f>
        <v>0</v>
      </c>
      <c r="AM127" s="90">
        <f ca="1">IF($AE$3=1,_xll.DBSW(X127,Server&amp;Cube1,$H$13,$H$14,$H$15,$AE$1,AM$2,$H$16,$B127),_xll.DBRW(Server&amp;Cube1,$H$13,$H$14,$H$15,$AE$1,AM$2,$H$16,$B127))</f>
        <v>0</v>
      </c>
      <c r="AN127" s="90">
        <f ca="1">IF($AE$3=1,_xll.DBSW(Y127,Server&amp;Cube1,$H$13,$H$14,$H$15,$AE$1,AN$2,$H$16,$B127),_xll.DBRW(Server&amp;Cube1,$H$13,$H$14,$H$15,$AE$1,AN$2,$H$16,$B127))</f>
        <v>0</v>
      </c>
      <c r="AO127" s="90">
        <f ca="1">IF($AE$3=1,_xll.DBSW(Z127,Server&amp;Cube1,$H$13,$H$14,$H$15,$AE$1,AO$2,$H$16,$B127),_xll.DBRW(Server&amp;Cube1,$H$13,$H$14,$H$15,$AE$1,AO$2,$H$16,$B127))</f>
        <v>0</v>
      </c>
      <c r="AP127" s="90">
        <f ca="1">IF($AE$3=1,_xll.DBSW(AA127,Server&amp;Cube1,$H$13,$H$14,$H$15,$AE$1,AP$2,$H$16,$B127),_xll.DBRW(Server&amp;Cube1,$H$13,$H$14,$H$15,$AE$1,AP$2,$H$16,$B127))</f>
        <v>0</v>
      </c>
    </row>
    <row r="128" spans="1:42" ht="21" customHeight="1" x14ac:dyDescent="0.25">
      <c r="A128"/>
      <c r="B128" s="13" t="s">
        <v>47</v>
      </c>
      <c r="C128" s="13"/>
      <c r="D128" s="22"/>
      <c r="E128" s="171"/>
      <c r="F128" s="107"/>
      <c r="G128" s="305" t="str">
        <f ca="1">_xll.DBRA(Server&amp;$B$22,$B128,"French")</f>
        <v>Frais d'affranchissements</v>
      </c>
      <c r="H128" s="305" t="str">
        <f ca="1">_xll.DBRA(Server&amp;$B$22,$B128,"French")</f>
        <v>Frais d'affranchissements</v>
      </c>
      <c r="I128" s="37"/>
      <c r="J128" s="54">
        <f ca="1">_xll.DBRW(Server&amp;Cube1,$H$13,$J$3,$H$15,$J$1,$J$2,$H$16,$B128)</f>
        <v>0</v>
      </c>
      <c r="K128" s="37"/>
      <c r="L128" s="54">
        <f ca="1">_xll.DBRW(Server&amp;Cube1,$H$13,$L$3,$H$15,$L$1,$L$2,$H$16,$B128)</f>
        <v>0</v>
      </c>
      <c r="M128" s="55"/>
      <c r="N128" s="139">
        <f ca="1">_xll.DBRW(Server&amp;Cube1,$H$13,$H$14,$H$15,$N$1,N$2,$H$16,$B128)</f>
        <v>0</v>
      </c>
      <c r="O128" s="57"/>
      <c r="P128" s="156">
        <v>0</v>
      </c>
      <c r="Q128" s="157">
        <v>0</v>
      </c>
      <c r="R128" s="157">
        <v>0</v>
      </c>
      <c r="S128" s="157">
        <v>0</v>
      </c>
      <c r="T128" s="157">
        <v>0</v>
      </c>
      <c r="U128" s="157">
        <v>0</v>
      </c>
      <c r="V128" s="157">
        <v>0</v>
      </c>
      <c r="W128" s="157">
        <v>0</v>
      </c>
      <c r="X128" s="157">
        <v>0</v>
      </c>
      <c r="Y128" s="157">
        <v>0</v>
      </c>
      <c r="Z128" s="157">
        <v>0</v>
      </c>
      <c r="AA128" s="158">
        <v>0</v>
      </c>
      <c r="AB128" s="31"/>
      <c r="AE128" s="67">
        <f ca="1">_xll.DBRW(Server&amp;Cube1,$H$13,$H$14,$H$15,$H$17,AE$2,$H$16,$B128)</f>
        <v>0</v>
      </c>
      <c r="AF128" s="70">
        <f ca="1">_xll.DBRW(Server&amp;Cube1,$H$13,$H$14,$H$15,$H$17,AF$2,$H$16,$B128)</f>
        <v>0</v>
      </c>
      <c r="AG128" s="70">
        <f ca="1">_xll.DBRW(Server&amp;Cube1,$H$13,$H$14,$H$15,$H$17,AG$2,$H$16,$B128)</f>
        <v>0</v>
      </c>
      <c r="AH128" s="70">
        <f ca="1">_xll.DBRW(Server&amp;Cube1,$H$13,$H$14,$H$15,$H$17,AH$2,$H$16,$B128)</f>
        <v>0</v>
      </c>
      <c r="AI128" s="70">
        <f ca="1">_xll.DBRW(Server&amp;Cube1,$H$13,$H$14,$H$15,$H$17,AI$2,$H$16,$B128)</f>
        <v>0</v>
      </c>
      <c r="AJ128" s="70">
        <f ca="1">_xll.DBRW(Server&amp;Cube1,$H$13,$H$14,$H$15,$H$17,AJ$2,$H$16,$B128)</f>
        <v>0</v>
      </c>
      <c r="AK128" s="70">
        <f ca="1">_xll.DBRW(Server&amp;Cube1,$H$13,$H$14,$H$15,$H$17,AK$2,$H$16,$B128)</f>
        <v>0</v>
      </c>
      <c r="AL128" s="70">
        <f ca="1">_xll.DBRW(Server&amp;Cube1,$H$13,$H$14,$H$15,$H$17,AL$2,$H$16,$B128)</f>
        <v>0</v>
      </c>
      <c r="AM128" s="70">
        <f ca="1">_xll.DBRW(Server&amp;Cube1,$H$13,$H$14,$H$15,$H$17,AM$2,$H$16,$B128)</f>
        <v>0</v>
      </c>
      <c r="AN128" s="70">
        <f ca="1">_xll.DBRW(Server&amp;Cube1,$H$13,$H$14,$H$15,$H$17,AN$2,$H$16,$B128)</f>
        <v>0</v>
      </c>
      <c r="AO128" s="70">
        <f ca="1">_xll.DBRW(Server&amp;Cube1,$H$13,$H$14,$H$15,$H$17,AO$2,$H$16,$B128)</f>
        <v>0</v>
      </c>
      <c r="AP128" s="71">
        <f ca="1">_xll.DBRW(Server&amp;Cube1,$H$13,$H$14,$H$15,$H$17,AP$2,$H$16,$B128)</f>
        <v>0</v>
      </c>
    </row>
    <row r="129" spans="1:42" ht="21" customHeight="1" x14ac:dyDescent="0.25">
      <c r="A129"/>
      <c r="B129" s="144" t="s">
        <v>47</v>
      </c>
      <c r="C129" s="12"/>
      <c r="D129" s="21"/>
      <c r="E129" s="169"/>
      <c r="F129" s="105"/>
      <c r="G129" s="319" t="s">
        <v>102</v>
      </c>
      <c r="H129" s="319"/>
      <c r="I129" s="127"/>
      <c r="J129" s="137"/>
      <c r="K129" s="127"/>
      <c r="L129" s="137"/>
      <c r="M129" s="134"/>
      <c r="N129" s="108">
        <f ca="1">_xll.DBRW(Server&amp;Cube1,$H$13,$H$14,$H$15,$N$3,N$2,$H$16,$B129)</f>
        <v>0</v>
      </c>
      <c r="O129" s="135"/>
      <c r="P129" s="151">
        <v>0</v>
      </c>
      <c r="Q129" s="152">
        <v>0</v>
      </c>
      <c r="R129" s="152">
        <v>0</v>
      </c>
      <c r="S129" s="152">
        <v>0</v>
      </c>
      <c r="T129" s="152">
        <v>0</v>
      </c>
      <c r="U129" s="152">
        <v>0</v>
      </c>
      <c r="V129" s="152">
        <v>0</v>
      </c>
      <c r="W129" s="152">
        <v>0</v>
      </c>
      <c r="X129" s="152">
        <v>0</v>
      </c>
      <c r="Y129" s="152">
        <v>0</v>
      </c>
      <c r="Z129" s="152">
        <v>0</v>
      </c>
      <c r="AA129" s="159">
        <v>0</v>
      </c>
      <c r="AB129" s="31"/>
      <c r="AE129" s="90">
        <f ca="1">IF($AE$3=1,_xll.DBSW(P129,Server&amp;Cube1,$H$13,$H$14,$H$15,$AE$1,AE$2,$H$16,$B129),_xll.DBRW(Server&amp;Cube1,$H$13,$H$14,$H$15,$AE$1,AE$2,$H$16,$B129))</f>
        <v>0</v>
      </c>
      <c r="AF129" s="90">
        <f ca="1">IF($AE$3=1,_xll.DBSW(Q129,Server&amp;Cube1,$H$13,$H$14,$H$15,$AE$1,AF$2,$H$16,$B129),_xll.DBRW(Server&amp;Cube1,$H$13,$H$14,$H$15,$AE$1,AF$2,$H$16,$B129))</f>
        <v>0</v>
      </c>
      <c r="AG129" s="90">
        <f ca="1">IF($AE$3=1,_xll.DBSW(R129,Server&amp;Cube1,$H$13,$H$14,$H$15,$AE$1,AG$2,$H$16,$B129),_xll.DBRW(Server&amp;Cube1,$H$13,$H$14,$H$15,$AE$1,AG$2,$H$16,$B129))</f>
        <v>0</v>
      </c>
      <c r="AH129" s="90">
        <f ca="1">IF($AE$3=1,_xll.DBSW(S129,Server&amp;Cube1,$H$13,$H$14,$H$15,$AE$1,AH$2,$H$16,$B129),_xll.DBRW(Server&amp;Cube1,$H$13,$H$14,$H$15,$AE$1,AH$2,$H$16,$B129))</f>
        <v>0</v>
      </c>
      <c r="AI129" s="90">
        <f ca="1">IF($AE$3=1,_xll.DBSW(T129,Server&amp;Cube1,$H$13,$H$14,$H$15,$AE$1,AI$2,$H$16,$B129),_xll.DBRW(Server&amp;Cube1,$H$13,$H$14,$H$15,$AE$1,AI$2,$H$16,$B129))</f>
        <v>0</v>
      </c>
      <c r="AJ129" s="90">
        <f ca="1">IF($AE$3=1,_xll.DBSW(U129,Server&amp;Cube1,$H$13,$H$14,$H$15,$AE$1,AJ$2,$H$16,$B129),_xll.DBRW(Server&amp;Cube1,$H$13,$H$14,$H$15,$AE$1,AJ$2,$H$16,$B129))</f>
        <v>0</v>
      </c>
      <c r="AK129" s="90">
        <f ca="1">IF($AE$3=1,_xll.DBSW(V129,Server&amp;Cube1,$H$13,$H$14,$H$15,$AE$1,AK$2,$H$16,$B129),_xll.DBRW(Server&amp;Cube1,$H$13,$H$14,$H$15,$AE$1,AK$2,$H$16,$B129))</f>
        <v>0</v>
      </c>
      <c r="AL129" s="90">
        <f ca="1">IF($AE$3=1,_xll.DBSW(W129,Server&amp;Cube1,$H$13,$H$14,$H$15,$AE$1,AL$2,$H$16,$B129),_xll.DBRW(Server&amp;Cube1,$H$13,$H$14,$H$15,$AE$1,AL$2,$H$16,$B129))</f>
        <v>0</v>
      </c>
      <c r="AM129" s="90">
        <f ca="1">IF($AE$3=1,_xll.DBSW(X129,Server&amp;Cube1,$H$13,$H$14,$H$15,$AE$1,AM$2,$H$16,$B129),_xll.DBRW(Server&amp;Cube1,$H$13,$H$14,$H$15,$AE$1,AM$2,$H$16,$B129))</f>
        <v>0</v>
      </c>
      <c r="AN129" s="90">
        <f ca="1">IF($AE$3=1,_xll.DBSW(Y129,Server&amp;Cube1,$H$13,$H$14,$H$15,$AE$1,AN$2,$H$16,$B129),_xll.DBRW(Server&amp;Cube1,$H$13,$H$14,$H$15,$AE$1,AN$2,$H$16,$B129))</f>
        <v>0</v>
      </c>
      <c r="AO129" s="90">
        <f ca="1">IF($AE$3=1,_xll.DBSW(Z129,Server&amp;Cube1,$H$13,$H$14,$H$15,$AE$1,AO$2,$H$16,$B129),_xll.DBRW(Server&amp;Cube1,$H$13,$H$14,$H$15,$AE$1,AO$2,$H$16,$B129))</f>
        <v>0</v>
      </c>
      <c r="AP129" s="90">
        <f ca="1">IF($AE$3=1,_xll.DBSW(AA129,Server&amp;Cube1,$H$13,$H$14,$H$15,$AE$1,AP$2,$H$16,$B129),_xll.DBRW(Server&amp;Cube1,$H$13,$H$14,$H$15,$AE$1,AP$2,$H$16,$B129))</f>
        <v>0</v>
      </c>
    </row>
    <row r="130" spans="1:42" ht="21" customHeight="1" x14ac:dyDescent="0.25">
      <c r="A130"/>
      <c r="B130" s="13" t="s">
        <v>48</v>
      </c>
      <c r="C130" s="13"/>
      <c r="D130" s="22"/>
      <c r="E130" s="171"/>
      <c r="F130" s="107"/>
      <c r="G130" s="305" t="str">
        <f ca="1">_xll.DBRA(Server&amp;$B$22,$B130,"French")</f>
        <v>Fournitures de bureau (coûts directs)</v>
      </c>
      <c r="H130" s="305" t="str">
        <f ca="1">_xll.DBRA(Server&amp;$B$22,$B130,"French")</f>
        <v>Fournitures de bureau (coûts directs)</v>
      </c>
      <c r="I130" s="37"/>
      <c r="J130" s="54">
        <f ca="1">_xll.DBRW(Server&amp;Cube1,$H$13,$J$3,$H$15,$J$1,$J$2,$H$16,$B130)</f>
        <v>0</v>
      </c>
      <c r="K130" s="37"/>
      <c r="L130" s="54">
        <f ca="1">_xll.DBRW(Server&amp;Cube1,$H$13,$L$3,$H$15,$L$1,$L$2,$H$16,$B130)</f>
        <v>0</v>
      </c>
      <c r="M130" s="55"/>
      <c r="N130" s="139">
        <f ca="1">_xll.DBRW(Server&amp;Cube1,$H$13,$H$14,$H$15,$N$1,N$2,$H$16,$B130)</f>
        <v>0</v>
      </c>
      <c r="O130" s="57"/>
      <c r="P130" s="156">
        <v>0</v>
      </c>
      <c r="Q130" s="157">
        <v>0</v>
      </c>
      <c r="R130" s="157">
        <v>0</v>
      </c>
      <c r="S130" s="157">
        <v>0</v>
      </c>
      <c r="T130" s="157">
        <v>0</v>
      </c>
      <c r="U130" s="157">
        <v>0</v>
      </c>
      <c r="V130" s="157">
        <v>0</v>
      </c>
      <c r="W130" s="157">
        <v>0</v>
      </c>
      <c r="X130" s="157">
        <v>0</v>
      </c>
      <c r="Y130" s="157">
        <v>0</v>
      </c>
      <c r="Z130" s="157">
        <v>0</v>
      </c>
      <c r="AA130" s="158">
        <v>0</v>
      </c>
      <c r="AB130" s="31"/>
      <c r="AE130" s="67">
        <f ca="1">_xll.DBRW(Server&amp;Cube1,$H$13,$H$14,$H$15,$H$17,AE$2,$H$16,$B130)</f>
        <v>0</v>
      </c>
      <c r="AF130" s="70">
        <f ca="1">_xll.DBRW(Server&amp;Cube1,$H$13,$H$14,$H$15,$H$17,AF$2,$H$16,$B130)</f>
        <v>0</v>
      </c>
      <c r="AG130" s="70">
        <f ca="1">_xll.DBRW(Server&amp;Cube1,$H$13,$H$14,$H$15,$H$17,AG$2,$H$16,$B130)</f>
        <v>0</v>
      </c>
      <c r="AH130" s="70">
        <f ca="1">_xll.DBRW(Server&amp;Cube1,$H$13,$H$14,$H$15,$H$17,AH$2,$H$16,$B130)</f>
        <v>0</v>
      </c>
      <c r="AI130" s="70">
        <f ca="1">_xll.DBRW(Server&amp;Cube1,$H$13,$H$14,$H$15,$H$17,AI$2,$H$16,$B130)</f>
        <v>0</v>
      </c>
      <c r="AJ130" s="70">
        <f ca="1">_xll.DBRW(Server&amp;Cube1,$H$13,$H$14,$H$15,$H$17,AJ$2,$H$16,$B130)</f>
        <v>0</v>
      </c>
      <c r="AK130" s="70">
        <f ca="1">_xll.DBRW(Server&amp;Cube1,$H$13,$H$14,$H$15,$H$17,AK$2,$H$16,$B130)</f>
        <v>0</v>
      </c>
      <c r="AL130" s="70">
        <f ca="1">_xll.DBRW(Server&amp;Cube1,$H$13,$H$14,$H$15,$H$17,AL$2,$H$16,$B130)</f>
        <v>0</v>
      </c>
      <c r="AM130" s="70">
        <f ca="1">_xll.DBRW(Server&amp;Cube1,$H$13,$H$14,$H$15,$H$17,AM$2,$H$16,$B130)</f>
        <v>0</v>
      </c>
      <c r="AN130" s="70">
        <f ca="1">_xll.DBRW(Server&amp;Cube1,$H$13,$H$14,$H$15,$H$17,AN$2,$H$16,$B130)</f>
        <v>0</v>
      </c>
      <c r="AO130" s="70">
        <f ca="1">_xll.DBRW(Server&amp;Cube1,$H$13,$H$14,$H$15,$H$17,AO$2,$H$16,$B130)</f>
        <v>0</v>
      </c>
      <c r="AP130" s="71">
        <f ca="1">_xll.DBRW(Server&amp;Cube1,$H$13,$H$14,$H$15,$H$17,AP$2,$H$16,$B130)</f>
        <v>0</v>
      </c>
    </row>
    <row r="131" spans="1:42" ht="21" customHeight="1" x14ac:dyDescent="0.25">
      <c r="A131"/>
      <c r="B131" s="144" t="s">
        <v>48</v>
      </c>
      <c r="C131" s="12"/>
      <c r="D131" s="21"/>
      <c r="E131" s="169"/>
      <c r="F131" s="105"/>
      <c r="G131" s="319" t="s">
        <v>102</v>
      </c>
      <c r="H131" s="319"/>
      <c r="I131" s="127"/>
      <c r="J131" s="137"/>
      <c r="K131" s="127"/>
      <c r="L131" s="137"/>
      <c r="M131" s="134"/>
      <c r="N131" s="108">
        <f ca="1">_xll.DBRW(Server&amp;Cube1,$H$13,$H$14,$H$15,$N$3,N$2,$H$16,$B131)</f>
        <v>0</v>
      </c>
      <c r="O131" s="135"/>
      <c r="P131" s="151">
        <v>0</v>
      </c>
      <c r="Q131" s="152">
        <v>0</v>
      </c>
      <c r="R131" s="152">
        <v>0</v>
      </c>
      <c r="S131" s="152">
        <v>0</v>
      </c>
      <c r="T131" s="152">
        <v>0</v>
      </c>
      <c r="U131" s="152">
        <v>0</v>
      </c>
      <c r="V131" s="152">
        <v>0</v>
      </c>
      <c r="W131" s="152">
        <v>0</v>
      </c>
      <c r="X131" s="152">
        <v>0</v>
      </c>
      <c r="Y131" s="152">
        <v>0</v>
      </c>
      <c r="Z131" s="152">
        <v>0</v>
      </c>
      <c r="AA131" s="159">
        <v>0</v>
      </c>
      <c r="AB131" s="31"/>
      <c r="AE131" s="90">
        <f ca="1">IF($AE$3=1,_xll.DBSW(P131,Server&amp;Cube1,$H$13,$H$14,$H$15,$AE$1,AE$2,$H$16,$B131),_xll.DBRW(Server&amp;Cube1,$H$13,$H$14,$H$15,$AE$1,AE$2,$H$16,$B131))</f>
        <v>0</v>
      </c>
      <c r="AF131" s="90">
        <f ca="1">IF($AE$3=1,_xll.DBSW(Q131,Server&amp;Cube1,$H$13,$H$14,$H$15,$AE$1,AF$2,$H$16,$B131),_xll.DBRW(Server&amp;Cube1,$H$13,$H$14,$H$15,$AE$1,AF$2,$H$16,$B131))</f>
        <v>0</v>
      </c>
      <c r="AG131" s="90">
        <f ca="1">IF($AE$3=1,_xll.DBSW(R131,Server&amp;Cube1,$H$13,$H$14,$H$15,$AE$1,AG$2,$H$16,$B131),_xll.DBRW(Server&amp;Cube1,$H$13,$H$14,$H$15,$AE$1,AG$2,$H$16,$B131))</f>
        <v>0</v>
      </c>
      <c r="AH131" s="90">
        <f ca="1">IF($AE$3=1,_xll.DBSW(S131,Server&amp;Cube1,$H$13,$H$14,$H$15,$AE$1,AH$2,$H$16,$B131),_xll.DBRW(Server&amp;Cube1,$H$13,$H$14,$H$15,$AE$1,AH$2,$H$16,$B131))</f>
        <v>0</v>
      </c>
      <c r="AI131" s="90">
        <f ca="1">IF($AE$3=1,_xll.DBSW(T131,Server&amp;Cube1,$H$13,$H$14,$H$15,$AE$1,AI$2,$H$16,$B131),_xll.DBRW(Server&amp;Cube1,$H$13,$H$14,$H$15,$AE$1,AI$2,$H$16,$B131))</f>
        <v>0</v>
      </c>
      <c r="AJ131" s="90">
        <f ca="1">IF($AE$3=1,_xll.DBSW(U131,Server&amp;Cube1,$H$13,$H$14,$H$15,$AE$1,AJ$2,$H$16,$B131),_xll.DBRW(Server&amp;Cube1,$H$13,$H$14,$H$15,$AE$1,AJ$2,$H$16,$B131))</f>
        <v>0</v>
      </c>
      <c r="AK131" s="90">
        <f ca="1">IF($AE$3=1,_xll.DBSW(V131,Server&amp;Cube1,$H$13,$H$14,$H$15,$AE$1,AK$2,$H$16,$B131),_xll.DBRW(Server&amp;Cube1,$H$13,$H$14,$H$15,$AE$1,AK$2,$H$16,$B131))</f>
        <v>0</v>
      </c>
      <c r="AL131" s="90">
        <f ca="1">IF($AE$3=1,_xll.DBSW(W131,Server&amp;Cube1,$H$13,$H$14,$H$15,$AE$1,AL$2,$H$16,$B131),_xll.DBRW(Server&amp;Cube1,$H$13,$H$14,$H$15,$AE$1,AL$2,$H$16,$B131))</f>
        <v>0</v>
      </c>
      <c r="AM131" s="90">
        <f ca="1">IF($AE$3=1,_xll.DBSW(X131,Server&amp;Cube1,$H$13,$H$14,$H$15,$AE$1,AM$2,$H$16,$B131),_xll.DBRW(Server&amp;Cube1,$H$13,$H$14,$H$15,$AE$1,AM$2,$H$16,$B131))</f>
        <v>0</v>
      </c>
      <c r="AN131" s="90">
        <f ca="1">IF($AE$3=1,_xll.DBSW(Y131,Server&amp;Cube1,$H$13,$H$14,$H$15,$AE$1,AN$2,$H$16,$B131),_xll.DBRW(Server&amp;Cube1,$H$13,$H$14,$H$15,$AE$1,AN$2,$H$16,$B131))</f>
        <v>0</v>
      </c>
      <c r="AO131" s="90">
        <f ca="1">IF($AE$3=1,_xll.DBSW(Z131,Server&amp;Cube1,$H$13,$H$14,$H$15,$AE$1,AO$2,$H$16,$B131),_xll.DBRW(Server&amp;Cube1,$H$13,$H$14,$H$15,$AE$1,AO$2,$H$16,$B131))</f>
        <v>0</v>
      </c>
      <c r="AP131" s="90">
        <f ca="1">IF($AE$3=1,_xll.DBSW(AA131,Server&amp;Cube1,$H$13,$H$14,$H$15,$AE$1,AP$2,$H$16,$B131),_xll.DBRW(Server&amp;Cube1,$H$13,$H$14,$H$15,$AE$1,AP$2,$H$16,$B131))</f>
        <v>0</v>
      </c>
    </row>
    <row r="132" spans="1:42" ht="21" customHeight="1" x14ac:dyDescent="0.25">
      <c r="A132"/>
      <c r="B132" s="13" t="s">
        <v>49</v>
      </c>
      <c r="C132" s="13"/>
      <c r="D132" s="22"/>
      <c r="E132" s="171"/>
      <c r="F132" s="107"/>
      <c r="G132" s="305" t="str">
        <f ca="1">_xll.DBRA(Server&amp;$B$22,$B132,"French")</f>
        <v>Achats imprimés de bureau/Imprimerie</v>
      </c>
      <c r="H132" s="305" t="str">
        <f ca="1">_xll.DBRA(Server&amp;$B$22,$B132,"French")</f>
        <v>Achats imprimés de bureau/Imprimerie</v>
      </c>
      <c r="I132" s="37"/>
      <c r="J132" s="54">
        <f ca="1">_xll.DBRW(Server&amp;Cube1,$H$13,$J$3,$H$15,$J$1,$J$2,$H$16,$B132)</f>
        <v>0</v>
      </c>
      <c r="K132" s="37"/>
      <c r="L132" s="54">
        <f ca="1">_xll.DBRW(Server&amp;Cube1,$H$13,$L$3,$H$15,$L$1,$L$2,$H$16,$B132)</f>
        <v>0</v>
      </c>
      <c r="M132" s="55"/>
      <c r="N132" s="139">
        <f ca="1">_xll.DBRW(Server&amp;Cube1,$H$13,$H$14,$H$15,$N$1,N$2,$H$16,$B132)</f>
        <v>0</v>
      </c>
      <c r="O132" s="57"/>
      <c r="P132" s="156">
        <v>0</v>
      </c>
      <c r="Q132" s="157">
        <v>0</v>
      </c>
      <c r="R132" s="157">
        <v>0</v>
      </c>
      <c r="S132" s="157">
        <v>0</v>
      </c>
      <c r="T132" s="157">
        <v>0</v>
      </c>
      <c r="U132" s="157">
        <v>0</v>
      </c>
      <c r="V132" s="157">
        <v>0</v>
      </c>
      <c r="W132" s="157">
        <v>0</v>
      </c>
      <c r="X132" s="157">
        <v>0</v>
      </c>
      <c r="Y132" s="157">
        <v>0</v>
      </c>
      <c r="Z132" s="157">
        <v>0</v>
      </c>
      <c r="AA132" s="158">
        <v>0</v>
      </c>
      <c r="AB132" s="31"/>
      <c r="AE132" s="67">
        <f ca="1">_xll.DBRW(Server&amp;Cube1,$H$13,$H$14,$H$15,$H$17,AE$2,$H$16,$B132)</f>
        <v>0</v>
      </c>
      <c r="AF132" s="70">
        <f ca="1">_xll.DBRW(Server&amp;Cube1,$H$13,$H$14,$H$15,$H$17,AF$2,$H$16,$B132)</f>
        <v>0</v>
      </c>
      <c r="AG132" s="70">
        <f ca="1">_xll.DBRW(Server&amp;Cube1,$H$13,$H$14,$H$15,$H$17,AG$2,$H$16,$B132)</f>
        <v>0</v>
      </c>
      <c r="AH132" s="70">
        <f ca="1">_xll.DBRW(Server&amp;Cube1,$H$13,$H$14,$H$15,$H$17,AH$2,$H$16,$B132)</f>
        <v>0</v>
      </c>
      <c r="AI132" s="70">
        <f ca="1">_xll.DBRW(Server&amp;Cube1,$H$13,$H$14,$H$15,$H$17,AI$2,$H$16,$B132)</f>
        <v>0</v>
      </c>
      <c r="AJ132" s="70">
        <f ca="1">_xll.DBRW(Server&amp;Cube1,$H$13,$H$14,$H$15,$H$17,AJ$2,$H$16,$B132)</f>
        <v>0</v>
      </c>
      <c r="AK132" s="70">
        <f ca="1">_xll.DBRW(Server&amp;Cube1,$H$13,$H$14,$H$15,$H$17,AK$2,$H$16,$B132)</f>
        <v>0</v>
      </c>
      <c r="AL132" s="70">
        <f ca="1">_xll.DBRW(Server&amp;Cube1,$H$13,$H$14,$H$15,$H$17,AL$2,$H$16,$B132)</f>
        <v>0</v>
      </c>
      <c r="AM132" s="70">
        <f ca="1">_xll.DBRW(Server&amp;Cube1,$H$13,$H$14,$H$15,$H$17,AM$2,$H$16,$B132)</f>
        <v>0</v>
      </c>
      <c r="AN132" s="70">
        <f ca="1">_xll.DBRW(Server&amp;Cube1,$H$13,$H$14,$H$15,$H$17,AN$2,$H$16,$B132)</f>
        <v>0</v>
      </c>
      <c r="AO132" s="70">
        <f ca="1">_xll.DBRW(Server&amp;Cube1,$H$13,$H$14,$H$15,$H$17,AO$2,$H$16,$B132)</f>
        <v>0</v>
      </c>
      <c r="AP132" s="71">
        <f ca="1">_xll.DBRW(Server&amp;Cube1,$H$13,$H$14,$H$15,$H$17,AP$2,$H$16,$B132)</f>
        <v>0</v>
      </c>
    </row>
    <row r="133" spans="1:42" ht="21" customHeight="1" x14ac:dyDescent="0.25">
      <c r="A133"/>
      <c r="B133" s="144" t="s">
        <v>49</v>
      </c>
      <c r="C133" s="12"/>
      <c r="D133" s="21"/>
      <c r="E133" s="169"/>
      <c r="F133" s="105"/>
      <c r="G133" s="319" t="s">
        <v>102</v>
      </c>
      <c r="H133" s="319"/>
      <c r="I133" s="127"/>
      <c r="J133" s="137"/>
      <c r="K133" s="127"/>
      <c r="L133" s="137"/>
      <c r="M133" s="134"/>
      <c r="N133" s="108">
        <f ca="1">_xll.DBRW(Server&amp;Cube1,$H$13,$H$14,$H$15,$N$3,N$2,$H$16,$B133)</f>
        <v>0</v>
      </c>
      <c r="O133" s="135"/>
      <c r="P133" s="151">
        <v>0</v>
      </c>
      <c r="Q133" s="152">
        <v>0</v>
      </c>
      <c r="R133" s="152">
        <v>0</v>
      </c>
      <c r="S133" s="152">
        <v>0</v>
      </c>
      <c r="T133" s="152">
        <v>0</v>
      </c>
      <c r="U133" s="152">
        <v>0</v>
      </c>
      <c r="V133" s="152">
        <v>0</v>
      </c>
      <c r="W133" s="152">
        <v>0</v>
      </c>
      <c r="X133" s="152">
        <v>0</v>
      </c>
      <c r="Y133" s="152">
        <v>0</v>
      </c>
      <c r="Z133" s="152">
        <v>0</v>
      </c>
      <c r="AA133" s="159">
        <v>0</v>
      </c>
      <c r="AB133" s="31"/>
      <c r="AE133" s="90">
        <f ca="1">IF($AE$3=1,_xll.DBSW(P133,Server&amp;Cube1,$H$13,$H$14,$H$15,$AE$1,AE$2,$H$16,$B133),_xll.DBRW(Server&amp;Cube1,$H$13,$H$14,$H$15,$AE$1,AE$2,$H$16,$B133))</f>
        <v>0</v>
      </c>
      <c r="AF133" s="90">
        <f ca="1">IF($AE$3=1,_xll.DBSW(Q133,Server&amp;Cube1,$H$13,$H$14,$H$15,$AE$1,AF$2,$H$16,$B133),_xll.DBRW(Server&amp;Cube1,$H$13,$H$14,$H$15,$AE$1,AF$2,$H$16,$B133))</f>
        <v>0</v>
      </c>
      <c r="AG133" s="90">
        <f ca="1">IF($AE$3=1,_xll.DBSW(R133,Server&amp;Cube1,$H$13,$H$14,$H$15,$AE$1,AG$2,$H$16,$B133),_xll.DBRW(Server&amp;Cube1,$H$13,$H$14,$H$15,$AE$1,AG$2,$H$16,$B133))</f>
        <v>0</v>
      </c>
      <c r="AH133" s="90">
        <f ca="1">IF($AE$3=1,_xll.DBSW(S133,Server&amp;Cube1,$H$13,$H$14,$H$15,$AE$1,AH$2,$H$16,$B133),_xll.DBRW(Server&amp;Cube1,$H$13,$H$14,$H$15,$AE$1,AH$2,$H$16,$B133))</f>
        <v>0</v>
      </c>
      <c r="AI133" s="90">
        <f ca="1">IF($AE$3=1,_xll.DBSW(T133,Server&amp;Cube1,$H$13,$H$14,$H$15,$AE$1,AI$2,$H$16,$B133),_xll.DBRW(Server&amp;Cube1,$H$13,$H$14,$H$15,$AE$1,AI$2,$H$16,$B133))</f>
        <v>0</v>
      </c>
      <c r="AJ133" s="90">
        <f ca="1">IF($AE$3=1,_xll.DBSW(U133,Server&amp;Cube1,$H$13,$H$14,$H$15,$AE$1,AJ$2,$H$16,$B133),_xll.DBRW(Server&amp;Cube1,$H$13,$H$14,$H$15,$AE$1,AJ$2,$H$16,$B133))</f>
        <v>0</v>
      </c>
      <c r="AK133" s="90">
        <f ca="1">IF($AE$3=1,_xll.DBSW(V133,Server&amp;Cube1,$H$13,$H$14,$H$15,$AE$1,AK$2,$H$16,$B133),_xll.DBRW(Server&amp;Cube1,$H$13,$H$14,$H$15,$AE$1,AK$2,$H$16,$B133))</f>
        <v>0</v>
      </c>
      <c r="AL133" s="90">
        <f ca="1">IF($AE$3=1,_xll.DBSW(W133,Server&amp;Cube1,$H$13,$H$14,$H$15,$AE$1,AL$2,$H$16,$B133),_xll.DBRW(Server&amp;Cube1,$H$13,$H$14,$H$15,$AE$1,AL$2,$H$16,$B133))</f>
        <v>0</v>
      </c>
      <c r="AM133" s="90">
        <f ca="1">IF($AE$3=1,_xll.DBSW(X133,Server&amp;Cube1,$H$13,$H$14,$H$15,$AE$1,AM$2,$H$16,$B133),_xll.DBRW(Server&amp;Cube1,$H$13,$H$14,$H$15,$AE$1,AM$2,$H$16,$B133))</f>
        <v>0</v>
      </c>
      <c r="AN133" s="90">
        <f ca="1">IF($AE$3=1,_xll.DBSW(Y133,Server&amp;Cube1,$H$13,$H$14,$H$15,$AE$1,AN$2,$H$16,$B133),_xll.DBRW(Server&amp;Cube1,$H$13,$H$14,$H$15,$AE$1,AN$2,$H$16,$B133))</f>
        <v>0</v>
      </c>
      <c r="AO133" s="90">
        <f ca="1">IF($AE$3=1,_xll.DBSW(Z133,Server&amp;Cube1,$H$13,$H$14,$H$15,$AE$1,AO$2,$H$16,$B133),_xll.DBRW(Server&amp;Cube1,$H$13,$H$14,$H$15,$AE$1,AO$2,$H$16,$B133))</f>
        <v>0</v>
      </c>
      <c r="AP133" s="90">
        <f ca="1">IF($AE$3=1,_xll.DBSW(AA133,Server&amp;Cube1,$H$13,$H$14,$H$15,$AE$1,AP$2,$H$16,$B133),_xll.DBRW(Server&amp;Cube1,$H$13,$H$14,$H$15,$AE$1,AP$2,$H$16,$B133))</f>
        <v>0</v>
      </c>
    </row>
    <row r="134" spans="1:42" ht="21" customHeight="1" x14ac:dyDescent="0.25">
      <c r="A134"/>
      <c r="B134" s="13" t="s">
        <v>50</v>
      </c>
      <c r="C134" s="13"/>
      <c r="D134" s="22"/>
      <c r="E134" s="171"/>
      <c r="F134" s="107"/>
      <c r="G134" s="305" t="str">
        <f ca="1">_xll.DBRA(Server&amp;$B$22,$B134,"French")</f>
        <v>Achats fournitures informatiques</v>
      </c>
      <c r="H134" s="305" t="str">
        <f ca="1">_xll.DBRA(Server&amp;$B$22,$B134,"French")</f>
        <v>Achats fournitures informatiques</v>
      </c>
      <c r="I134" s="37"/>
      <c r="J134" s="54">
        <f ca="1">_xll.DBRW(Server&amp;Cube1,$H$13,$J$3,$H$15,$J$1,$J$2,$H$16,$B134)</f>
        <v>0</v>
      </c>
      <c r="K134" s="37"/>
      <c r="L134" s="54">
        <f ca="1">_xll.DBRW(Server&amp;Cube1,$H$13,$L$3,$H$15,$L$1,$L$2,$H$16,$B134)</f>
        <v>0</v>
      </c>
      <c r="M134" s="55"/>
      <c r="N134" s="139">
        <f ca="1">_xll.DBRW(Server&amp;Cube1,$H$13,$H$14,$H$15,$N$1,N$2,$H$16,$B134)</f>
        <v>0</v>
      </c>
      <c r="O134" s="57"/>
      <c r="P134" s="156">
        <v>0</v>
      </c>
      <c r="Q134" s="157">
        <v>0</v>
      </c>
      <c r="R134" s="157">
        <v>0</v>
      </c>
      <c r="S134" s="157">
        <v>0</v>
      </c>
      <c r="T134" s="157">
        <v>0</v>
      </c>
      <c r="U134" s="157">
        <v>0</v>
      </c>
      <c r="V134" s="157">
        <v>0</v>
      </c>
      <c r="W134" s="157">
        <v>0</v>
      </c>
      <c r="X134" s="157">
        <v>0</v>
      </c>
      <c r="Y134" s="157">
        <v>0</v>
      </c>
      <c r="Z134" s="157">
        <v>0</v>
      </c>
      <c r="AA134" s="158">
        <v>0</v>
      </c>
      <c r="AB134" s="31"/>
      <c r="AE134" s="67">
        <f ca="1">_xll.DBRW(Server&amp;Cube1,$H$13,$H$14,$H$15,$H$17,AE$2,$H$16,$B134)</f>
        <v>0</v>
      </c>
      <c r="AF134" s="70">
        <f ca="1">_xll.DBRW(Server&amp;Cube1,$H$13,$H$14,$H$15,$H$17,AF$2,$H$16,$B134)</f>
        <v>0</v>
      </c>
      <c r="AG134" s="70">
        <f ca="1">_xll.DBRW(Server&amp;Cube1,$H$13,$H$14,$H$15,$H$17,AG$2,$H$16,$B134)</f>
        <v>0</v>
      </c>
      <c r="AH134" s="70">
        <f ca="1">_xll.DBRW(Server&amp;Cube1,$H$13,$H$14,$H$15,$H$17,AH$2,$H$16,$B134)</f>
        <v>0</v>
      </c>
      <c r="AI134" s="70">
        <f ca="1">_xll.DBRW(Server&amp;Cube1,$H$13,$H$14,$H$15,$H$17,AI$2,$H$16,$B134)</f>
        <v>0</v>
      </c>
      <c r="AJ134" s="70">
        <f ca="1">_xll.DBRW(Server&amp;Cube1,$H$13,$H$14,$H$15,$H$17,AJ$2,$H$16,$B134)</f>
        <v>0</v>
      </c>
      <c r="AK134" s="70">
        <f ca="1">_xll.DBRW(Server&amp;Cube1,$H$13,$H$14,$H$15,$H$17,AK$2,$H$16,$B134)</f>
        <v>0</v>
      </c>
      <c r="AL134" s="70">
        <f ca="1">_xll.DBRW(Server&amp;Cube1,$H$13,$H$14,$H$15,$H$17,AL$2,$H$16,$B134)</f>
        <v>0</v>
      </c>
      <c r="AM134" s="70">
        <f ca="1">_xll.DBRW(Server&amp;Cube1,$H$13,$H$14,$H$15,$H$17,AM$2,$H$16,$B134)</f>
        <v>0</v>
      </c>
      <c r="AN134" s="70">
        <f ca="1">_xll.DBRW(Server&amp;Cube1,$H$13,$H$14,$H$15,$H$17,AN$2,$H$16,$B134)</f>
        <v>0</v>
      </c>
      <c r="AO134" s="70">
        <f ca="1">_xll.DBRW(Server&amp;Cube1,$H$13,$H$14,$H$15,$H$17,AO$2,$H$16,$B134)</f>
        <v>0</v>
      </c>
      <c r="AP134" s="71">
        <f ca="1">_xll.DBRW(Server&amp;Cube1,$H$13,$H$14,$H$15,$H$17,AP$2,$H$16,$B134)</f>
        <v>0</v>
      </c>
    </row>
    <row r="135" spans="1:42" ht="21" customHeight="1" x14ac:dyDescent="0.25">
      <c r="A135"/>
      <c r="B135" s="144" t="s">
        <v>50</v>
      </c>
      <c r="C135" s="12"/>
      <c r="D135" s="21"/>
      <c r="E135" s="169"/>
      <c r="F135" s="105"/>
      <c r="G135" s="319" t="s">
        <v>102</v>
      </c>
      <c r="H135" s="319"/>
      <c r="I135" s="127"/>
      <c r="J135" s="137"/>
      <c r="K135" s="127"/>
      <c r="L135" s="137"/>
      <c r="M135" s="134"/>
      <c r="N135" s="108">
        <f ca="1">_xll.DBRW(Server&amp;Cube1,$H$13,$H$14,$H$15,$N$3,N$2,$H$16,$B135)</f>
        <v>0</v>
      </c>
      <c r="O135" s="135"/>
      <c r="P135" s="151">
        <v>0</v>
      </c>
      <c r="Q135" s="152">
        <v>0</v>
      </c>
      <c r="R135" s="152">
        <v>0</v>
      </c>
      <c r="S135" s="152">
        <v>0</v>
      </c>
      <c r="T135" s="152">
        <v>0</v>
      </c>
      <c r="U135" s="152">
        <v>0</v>
      </c>
      <c r="V135" s="152">
        <v>0</v>
      </c>
      <c r="W135" s="152">
        <v>0</v>
      </c>
      <c r="X135" s="152">
        <v>0</v>
      </c>
      <c r="Y135" s="152">
        <v>0</v>
      </c>
      <c r="Z135" s="152">
        <v>0</v>
      </c>
      <c r="AA135" s="159">
        <v>0</v>
      </c>
      <c r="AB135" s="31"/>
      <c r="AE135" s="90">
        <f ca="1">IF($AE$3=1,_xll.DBSW(P135,Server&amp;Cube1,$H$13,$H$14,$H$15,$AE$1,AE$2,$H$16,$B135),_xll.DBRW(Server&amp;Cube1,$H$13,$H$14,$H$15,$AE$1,AE$2,$H$16,$B135))</f>
        <v>0</v>
      </c>
      <c r="AF135" s="90">
        <f ca="1">IF($AE$3=1,_xll.DBSW(Q135,Server&amp;Cube1,$H$13,$H$14,$H$15,$AE$1,AF$2,$H$16,$B135),_xll.DBRW(Server&amp;Cube1,$H$13,$H$14,$H$15,$AE$1,AF$2,$H$16,$B135))</f>
        <v>0</v>
      </c>
      <c r="AG135" s="90">
        <f ca="1">IF($AE$3=1,_xll.DBSW(R135,Server&amp;Cube1,$H$13,$H$14,$H$15,$AE$1,AG$2,$H$16,$B135),_xll.DBRW(Server&amp;Cube1,$H$13,$H$14,$H$15,$AE$1,AG$2,$H$16,$B135))</f>
        <v>0</v>
      </c>
      <c r="AH135" s="90">
        <f ca="1">IF($AE$3=1,_xll.DBSW(S135,Server&amp;Cube1,$H$13,$H$14,$H$15,$AE$1,AH$2,$H$16,$B135),_xll.DBRW(Server&amp;Cube1,$H$13,$H$14,$H$15,$AE$1,AH$2,$H$16,$B135))</f>
        <v>0</v>
      </c>
      <c r="AI135" s="90">
        <f ca="1">IF($AE$3=1,_xll.DBSW(T135,Server&amp;Cube1,$H$13,$H$14,$H$15,$AE$1,AI$2,$H$16,$B135),_xll.DBRW(Server&amp;Cube1,$H$13,$H$14,$H$15,$AE$1,AI$2,$H$16,$B135))</f>
        <v>0</v>
      </c>
      <c r="AJ135" s="90">
        <f ca="1">IF($AE$3=1,_xll.DBSW(U135,Server&amp;Cube1,$H$13,$H$14,$H$15,$AE$1,AJ$2,$H$16,$B135),_xll.DBRW(Server&amp;Cube1,$H$13,$H$14,$H$15,$AE$1,AJ$2,$H$16,$B135))</f>
        <v>0</v>
      </c>
      <c r="AK135" s="90">
        <f ca="1">IF($AE$3=1,_xll.DBSW(V135,Server&amp;Cube1,$H$13,$H$14,$H$15,$AE$1,AK$2,$H$16,$B135),_xll.DBRW(Server&amp;Cube1,$H$13,$H$14,$H$15,$AE$1,AK$2,$H$16,$B135))</f>
        <v>0</v>
      </c>
      <c r="AL135" s="90">
        <f ca="1">IF($AE$3=1,_xll.DBSW(W135,Server&amp;Cube1,$H$13,$H$14,$H$15,$AE$1,AL$2,$H$16,$B135),_xll.DBRW(Server&amp;Cube1,$H$13,$H$14,$H$15,$AE$1,AL$2,$H$16,$B135))</f>
        <v>0</v>
      </c>
      <c r="AM135" s="90">
        <f ca="1">IF($AE$3=1,_xll.DBSW(X135,Server&amp;Cube1,$H$13,$H$14,$H$15,$AE$1,AM$2,$H$16,$B135),_xll.DBRW(Server&amp;Cube1,$H$13,$H$14,$H$15,$AE$1,AM$2,$H$16,$B135))</f>
        <v>0</v>
      </c>
      <c r="AN135" s="90">
        <f ca="1">IF($AE$3=1,_xll.DBSW(Y135,Server&amp;Cube1,$H$13,$H$14,$H$15,$AE$1,AN$2,$H$16,$B135),_xll.DBRW(Server&amp;Cube1,$H$13,$H$14,$H$15,$AE$1,AN$2,$H$16,$B135))</f>
        <v>0</v>
      </c>
      <c r="AO135" s="90">
        <f ca="1">IF($AE$3=1,_xll.DBSW(Z135,Server&amp;Cube1,$H$13,$H$14,$H$15,$AE$1,AO$2,$H$16,$B135),_xll.DBRW(Server&amp;Cube1,$H$13,$H$14,$H$15,$AE$1,AO$2,$H$16,$B135))</f>
        <v>0</v>
      </c>
      <c r="AP135" s="90">
        <f ca="1">IF($AE$3=1,_xll.DBSW(AA135,Server&amp;Cube1,$H$13,$H$14,$H$15,$AE$1,AP$2,$H$16,$B135),_xll.DBRW(Server&amp;Cube1,$H$13,$H$14,$H$15,$AE$1,AP$2,$H$16,$B135))</f>
        <v>0</v>
      </c>
    </row>
    <row r="136" spans="1:42" ht="21" customHeight="1" x14ac:dyDescent="0.25">
      <c r="A136"/>
      <c r="B136" s="13" t="s">
        <v>51</v>
      </c>
      <c r="C136" s="13"/>
      <c r="D136" s="22"/>
      <c r="E136" s="171"/>
      <c r="F136" s="107"/>
      <c r="G136" s="305" t="str">
        <f ca="1">_xll.DBRA(Server&amp;$B$22,$B136,"French")</f>
        <v>Frais de missions</v>
      </c>
      <c r="H136" s="305" t="str">
        <f ca="1">_xll.DBRA(Server&amp;$B$22,$B136,"French")</f>
        <v>Frais de missions</v>
      </c>
      <c r="I136" s="37"/>
      <c r="J136" s="54">
        <f ca="1">_xll.DBRW(Server&amp;Cube1,$H$13,$J$3,$H$15,$J$1,$J$2,$H$16,$B136)</f>
        <v>0</v>
      </c>
      <c r="K136" s="37"/>
      <c r="L136" s="54">
        <f ca="1">_xll.DBRW(Server&amp;Cube1,$H$13,$L$3,$H$15,$L$1,$L$2,$H$16,$B136)</f>
        <v>0</v>
      </c>
      <c r="M136" s="55"/>
      <c r="N136" s="139">
        <f ca="1">_xll.DBRW(Server&amp;Cube1,$H$13,$H$14,$H$15,$N$1,N$2,$H$16,$B136)</f>
        <v>0</v>
      </c>
      <c r="O136" s="57"/>
      <c r="P136" s="156">
        <v>0</v>
      </c>
      <c r="Q136" s="157">
        <v>0</v>
      </c>
      <c r="R136" s="157">
        <v>0</v>
      </c>
      <c r="S136" s="157">
        <v>0</v>
      </c>
      <c r="T136" s="157">
        <v>0</v>
      </c>
      <c r="U136" s="157">
        <v>0</v>
      </c>
      <c r="V136" s="157">
        <v>0</v>
      </c>
      <c r="W136" s="157">
        <v>0</v>
      </c>
      <c r="X136" s="157">
        <v>0</v>
      </c>
      <c r="Y136" s="157">
        <v>0</v>
      </c>
      <c r="Z136" s="157">
        <v>0</v>
      </c>
      <c r="AA136" s="158">
        <v>0</v>
      </c>
      <c r="AB136" s="31"/>
      <c r="AE136" s="67">
        <f ca="1">_xll.DBRW(Server&amp;Cube1,$H$13,$H$14,$H$15,$H$17,AE$2,$H$16,$B136)</f>
        <v>0</v>
      </c>
      <c r="AF136" s="70">
        <f ca="1">_xll.DBRW(Server&amp;Cube1,$H$13,$H$14,$H$15,$H$17,AF$2,$H$16,$B136)</f>
        <v>0</v>
      </c>
      <c r="AG136" s="70">
        <f ca="1">_xll.DBRW(Server&amp;Cube1,$H$13,$H$14,$H$15,$H$17,AG$2,$H$16,$B136)</f>
        <v>0</v>
      </c>
      <c r="AH136" s="70">
        <f ca="1">_xll.DBRW(Server&amp;Cube1,$H$13,$H$14,$H$15,$H$17,AH$2,$H$16,$B136)</f>
        <v>0</v>
      </c>
      <c r="AI136" s="70">
        <f ca="1">_xll.DBRW(Server&amp;Cube1,$H$13,$H$14,$H$15,$H$17,AI$2,$H$16,$B136)</f>
        <v>0</v>
      </c>
      <c r="AJ136" s="70">
        <f ca="1">_xll.DBRW(Server&amp;Cube1,$H$13,$H$14,$H$15,$H$17,AJ$2,$H$16,$B136)</f>
        <v>0</v>
      </c>
      <c r="AK136" s="70">
        <f ca="1">_xll.DBRW(Server&amp;Cube1,$H$13,$H$14,$H$15,$H$17,AK$2,$H$16,$B136)</f>
        <v>0</v>
      </c>
      <c r="AL136" s="70">
        <f ca="1">_xll.DBRW(Server&amp;Cube1,$H$13,$H$14,$H$15,$H$17,AL$2,$H$16,$B136)</f>
        <v>0</v>
      </c>
      <c r="AM136" s="70">
        <f ca="1">_xll.DBRW(Server&amp;Cube1,$H$13,$H$14,$H$15,$H$17,AM$2,$H$16,$B136)</f>
        <v>0</v>
      </c>
      <c r="AN136" s="70">
        <f ca="1">_xll.DBRW(Server&amp;Cube1,$H$13,$H$14,$H$15,$H$17,AN$2,$H$16,$B136)</f>
        <v>0</v>
      </c>
      <c r="AO136" s="70">
        <f ca="1">_xll.DBRW(Server&amp;Cube1,$H$13,$H$14,$H$15,$H$17,AO$2,$H$16,$B136)</f>
        <v>0</v>
      </c>
      <c r="AP136" s="71">
        <f ca="1">_xll.DBRW(Server&amp;Cube1,$H$13,$H$14,$H$15,$H$17,AP$2,$H$16,$B136)</f>
        <v>0</v>
      </c>
    </row>
    <row r="137" spans="1:42" ht="21" customHeight="1" x14ac:dyDescent="0.25">
      <c r="A137"/>
      <c r="B137" s="144" t="s">
        <v>51</v>
      </c>
      <c r="C137" s="12"/>
      <c r="D137" s="21"/>
      <c r="E137" s="169"/>
      <c r="F137" s="105"/>
      <c r="G137" s="319" t="s">
        <v>102</v>
      </c>
      <c r="H137" s="319"/>
      <c r="I137" s="127"/>
      <c r="J137" s="137"/>
      <c r="K137" s="127"/>
      <c r="L137" s="137"/>
      <c r="M137" s="134"/>
      <c r="N137" s="108">
        <f ca="1">_xll.DBRW(Server&amp;Cube1,$H$13,$H$14,$H$15,$N$3,N$2,$H$16,$B137)</f>
        <v>0</v>
      </c>
      <c r="O137" s="135"/>
      <c r="P137" s="151">
        <v>0</v>
      </c>
      <c r="Q137" s="152">
        <v>0</v>
      </c>
      <c r="R137" s="152">
        <v>0</v>
      </c>
      <c r="S137" s="152">
        <v>0</v>
      </c>
      <c r="T137" s="152">
        <v>0</v>
      </c>
      <c r="U137" s="152">
        <v>0</v>
      </c>
      <c r="V137" s="152">
        <v>0</v>
      </c>
      <c r="W137" s="152">
        <v>0</v>
      </c>
      <c r="X137" s="152">
        <v>0</v>
      </c>
      <c r="Y137" s="152">
        <v>0</v>
      </c>
      <c r="Z137" s="152">
        <v>0</v>
      </c>
      <c r="AA137" s="159">
        <v>0</v>
      </c>
      <c r="AB137" s="31"/>
      <c r="AE137" s="90">
        <f ca="1">IF($AE$3=1,_xll.DBSW(P137,Server&amp;Cube1,$H$13,$H$14,$H$15,$AE$1,AE$2,$H$16,$B137),_xll.DBRW(Server&amp;Cube1,$H$13,$H$14,$H$15,$AE$1,AE$2,$H$16,$B137))</f>
        <v>0</v>
      </c>
      <c r="AF137" s="90">
        <f ca="1">IF($AE$3=1,_xll.DBSW(Q137,Server&amp;Cube1,$H$13,$H$14,$H$15,$AE$1,AF$2,$H$16,$B137),_xll.DBRW(Server&amp;Cube1,$H$13,$H$14,$H$15,$AE$1,AF$2,$H$16,$B137))</f>
        <v>0</v>
      </c>
      <c r="AG137" s="90">
        <f ca="1">IF($AE$3=1,_xll.DBSW(R137,Server&amp;Cube1,$H$13,$H$14,$H$15,$AE$1,AG$2,$H$16,$B137),_xll.DBRW(Server&amp;Cube1,$H$13,$H$14,$H$15,$AE$1,AG$2,$H$16,$B137))</f>
        <v>0</v>
      </c>
      <c r="AH137" s="90">
        <f ca="1">IF($AE$3=1,_xll.DBSW(S137,Server&amp;Cube1,$H$13,$H$14,$H$15,$AE$1,AH$2,$H$16,$B137),_xll.DBRW(Server&amp;Cube1,$H$13,$H$14,$H$15,$AE$1,AH$2,$H$16,$B137))</f>
        <v>0</v>
      </c>
      <c r="AI137" s="90">
        <f ca="1">IF($AE$3=1,_xll.DBSW(T137,Server&amp;Cube1,$H$13,$H$14,$H$15,$AE$1,AI$2,$H$16,$B137),_xll.DBRW(Server&amp;Cube1,$H$13,$H$14,$H$15,$AE$1,AI$2,$H$16,$B137))</f>
        <v>0</v>
      </c>
      <c r="AJ137" s="90">
        <f ca="1">IF($AE$3=1,_xll.DBSW(U137,Server&amp;Cube1,$H$13,$H$14,$H$15,$AE$1,AJ$2,$H$16,$B137),_xll.DBRW(Server&amp;Cube1,$H$13,$H$14,$H$15,$AE$1,AJ$2,$H$16,$B137))</f>
        <v>0</v>
      </c>
      <c r="AK137" s="90">
        <f ca="1">IF($AE$3=1,_xll.DBSW(V137,Server&amp;Cube1,$H$13,$H$14,$H$15,$AE$1,AK$2,$H$16,$B137),_xll.DBRW(Server&amp;Cube1,$H$13,$H$14,$H$15,$AE$1,AK$2,$H$16,$B137))</f>
        <v>0</v>
      </c>
      <c r="AL137" s="90">
        <f ca="1">IF($AE$3=1,_xll.DBSW(W137,Server&amp;Cube1,$H$13,$H$14,$H$15,$AE$1,AL$2,$H$16,$B137),_xll.DBRW(Server&amp;Cube1,$H$13,$H$14,$H$15,$AE$1,AL$2,$H$16,$B137))</f>
        <v>0</v>
      </c>
      <c r="AM137" s="90">
        <f ca="1">IF($AE$3=1,_xll.DBSW(X137,Server&amp;Cube1,$H$13,$H$14,$H$15,$AE$1,AM$2,$H$16,$B137),_xll.DBRW(Server&amp;Cube1,$H$13,$H$14,$H$15,$AE$1,AM$2,$H$16,$B137))</f>
        <v>0</v>
      </c>
      <c r="AN137" s="90">
        <f ca="1">IF($AE$3=1,_xll.DBSW(Y137,Server&amp;Cube1,$H$13,$H$14,$H$15,$AE$1,AN$2,$H$16,$B137),_xll.DBRW(Server&amp;Cube1,$H$13,$H$14,$H$15,$AE$1,AN$2,$H$16,$B137))</f>
        <v>0</v>
      </c>
      <c r="AO137" s="90">
        <f ca="1">IF($AE$3=1,_xll.DBSW(Z137,Server&amp;Cube1,$H$13,$H$14,$H$15,$AE$1,AO$2,$H$16,$B137),_xll.DBRW(Server&amp;Cube1,$H$13,$H$14,$H$15,$AE$1,AO$2,$H$16,$B137))</f>
        <v>0</v>
      </c>
      <c r="AP137" s="90">
        <f ca="1">IF($AE$3=1,_xll.DBSW(AA137,Server&amp;Cube1,$H$13,$H$14,$H$15,$AE$1,AP$2,$H$16,$B137),_xll.DBRW(Server&amp;Cube1,$H$13,$H$14,$H$15,$AE$1,AP$2,$H$16,$B137))</f>
        <v>0</v>
      </c>
    </row>
    <row r="138" spans="1:42" ht="21" customHeight="1" x14ac:dyDescent="0.25">
      <c r="A138"/>
      <c r="B138" s="13" t="s">
        <v>52</v>
      </c>
      <c r="C138" s="13"/>
      <c r="D138" s="22"/>
      <c r="E138" s="171"/>
      <c r="F138" s="107"/>
      <c r="G138" s="305" t="str">
        <f ca="1">_xll.DBRA(Server&amp;$B$22,$B138,"French")</f>
        <v>Frais de réceptions</v>
      </c>
      <c r="H138" s="305" t="str">
        <f ca="1">_xll.DBRA(Server&amp;$B$22,$B138,"French")</f>
        <v>Frais de réceptions</v>
      </c>
      <c r="I138" s="37"/>
      <c r="J138" s="54">
        <f ca="1">_xll.DBRW(Server&amp;Cube1,$H$13,$J$3,$H$15,$J$1,$J$2,$H$16,$B138)</f>
        <v>0</v>
      </c>
      <c r="K138" s="37"/>
      <c r="L138" s="54">
        <f ca="1">_xll.DBRW(Server&amp;Cube1,$H$13,$L$3,$H$15,$L$1,$L$2,$H$16,$B138)</f>
        <v>0</v>
      </c>
      <c r="M138" s="55"/>
      <c r="N138" s="139">
        <f ca="1">_xll.DBRW(Server&amp;Cube1,$H$13,$H$14,$H$15,$N$1,N$2,$H$16,$B138)</f>
        <v>0</v>
      </c>
      <c r="O138" s="57"/>
      <c r="P138" s="156">
        <v>0</v>
      </c>
      <c r="Q138" s="157">
        <v>0</v>
      </c>
      <c r="R138" s="157">
        <v>0</v>
      </c>
      <c r="S138" s="157">
        <v>0</v>
      </c>
      <c r="T138" s="157">
        <v>0</v>
      </c>
      <c r="U138" s="157">
        <v>0</v>
      </c>
      <c r="V138" s="157">
        <v>0</v>
      </c>
      <c r="W138" s="157">
        <v>0</v>
      </c>
      <c r="X138" s="157">
        <v>0</v>
      </c>
      <c r="Y138" s="157">
        <v>0</v>
      </c>
      <c r="Z138" s="157">
        <v>0</v>
      </c>
      <c r="AA138" s="158">
        <v>0</v>
      </c>
      <c r="AB138" s="31"/>
      <c r="AE138" s="67">
        <f ca="1">_xll.DBRW(Server&amp;Cube1,$H$13,$H$14,$H$15,$H$17,AE$2,$H$16,$B138)</f>
        <v>0</v>
      </c>
      <c r="AF138" s="70">
        <f ca="1">_xll.DBRW(Server&amp;Cube1,$H$13,$H$14,$H$15,$H$17,AF$2,$H$16,$B138)</f>
        <v>0</v>
      </c>
      <c r="AG138" s="70">
        <f ca="1">_xll.DBRW(Server&amp;Cube1,$H$13,$H$14,$H$15,$H$17,AG$2,$H$16,$B138)</f>
        <v>0</v>
      </c>
      <c r="AH138" s="70">
        <f ca="1">_xll.DBRW(Server&amp;Cube1,$H$13,$H$14,$H$15,$H$17,AH$2,$H$16,$B138)</f>
        <v>0</v>
      </c>
      <c r="AI138" s="70">
        <f ca="1">_xll.DBRW(Server&amp;Cube1,$H$13,$H$14,$H$15,$H$17,AI$2,$H$16,$B138)</f>
        <v>0</v>
      </c>
      <c r="AJ138" s="70">
        <f ca="1">_xll.DBRW(Server&amp;Cube1,$H$13,$H$14,$H$15,$H$17,AJ$2,$H$16,$B138)</f>
        <v>0</v>
      </c>
      <c r="AK138" s="70">
        <f ca="1">_xll.DBRW(Server&amp;Cube1,$H$13,$H$14,$H$15,$H$17,AK$2,$H$16,$B138)</f>
        <v>0</v>
      </c>
      <c r="AL138" s="70">
        <f ca="1">_xll.DBRW(Server&amp;Cube1,$H$13,$H$14,$H$15,$H$17,AL$2,$H$16,$B138)</f>
        <v>0</v>
      </c>
      <c r="AM138" s="70">
        <f ca="1">_xll.DBRW(Server&amp;Cube1,$H$13,$H$14,$H$15,$H$17,AM$2,$H$16,$B138)</f>
        <v>0</v>
      </c>
      <c r="AN138" s="70">
        <f ca="1">_xll.DBRW(Server&amp;Cube1,$H$13,$H$14,$H$15,$H$17,AN$2,$H$16,$B138)</f>
        <v>0</v>
      </c>
      <c r="AO138" s="70">
        <f ca="1">_xll.DBRW(Server&amp;Cube1,$H$13,$H$14,$H$15,$H$17,AO$2,$H$16,$B138)</f>
        <v>0</v>
      </c>
      <c r="AP138" s="71">
        <f ca="1">_xll.DBRW(Server&amp;Cube1,$H$13,$H$14,$H$15,$H$17,AP$2,$H$16,$B138)</f>
        <v>0</v>
      </c>
    </row>
    <row r="139" spans="1:42" ht="21" customHeight="1" x14ac:dyDescent="0.25">
      <c r="A139"/>
      <c r="B139" s="144" t="s">
        <v>52</v>
      </c>
      <c r="C139" s="12"/>
      <c r="D139" s="21"/>
      <c r="E139" s="169"/>
      <c r="F139" s="105"/>
      <c r="G139" s="319" t="s">
        <v>102</v>
      </c>
      <c r="H139" s="319"/>
      <c r="I139" s="127"/>
      <c r="J139" s="137"/>
      <c r="K139" s="127"/>
      <c r="L139" s="137"/>
      <c r="M139" s="134"/>
      <c r="N139" s="108">
        <f ca="1">_xll.DBRW(Server&amp;Cube1,$H$13,$H$14,$H$15,$N$3,N$2,$H$16,$B139)</f>
        <v>0</v>
      </c>
      <c r="O139" s="135"/>
      <c r="P139" s="151">
        <v>0</v>
      </c>
      <c r="Q139" s="152">
        <v>0</v>
      </c>
      <c r="R139" s="152">
        <v>0</v>
      </c>
      <c r="S139" s="152">
        <v>0</v>
      </c>
      <c r="T139" s="152">
        <v>0</v>
      </c>
      <c r="U139" s="152">
        <v>0</v>
      </c>
      <c r="V139" s="152">
        <v>0</v>
      </c>
      <c r="W139" s="152">
        <v>0</v>
      </c>
      <c r="X139" s="152">
        <v>0</v>
      </c>
      <c r="Y139" s="152">
        <v>0</v>
      </c>
      <c r="Z139" s="152">
        <v>0</v>
      </c>
      <c r="AA139" s="159">
        <v>0</v>
      </c>
      <c r="AB139" s="31"/>
      <c r="AE139" s="90">
        <f ca="1">IF($AE$3=1,_xll.DBSW(P139,Server&amp;Cube1,$H$13,$H$14,$H$15,$AE$1,AE$2,$H$16,$B139),_xll.DBRW(Server&amp;Cube1,$H$13,$H$14,$H$15,$AE$1,AE$2,$H$16,$B139))</f>
        <v>0</v>
      </c>
      <c r="AF139" s="90">
        <f ca="1">IF($AE$3=1,_xll.DBSW(Q139,Server&amp;Cube1,$H$13,$H$14,$H$15,$AE$1,AF$2,$H$16,$B139),_xll.DBRW(Server&amp;Cube1,$H$13,$H$14,$H$15,$AE$1,AF$2,$H$16,$B139))</f>
        <v>0</v>
      </c>
      <c r="AG139" s="90">
        <f ca="1">IF($AE$3=1,_xll.DBSW(R139,Server&amp;Cube1,$H$13,$H$14,$H$15,$AE$1,AG$2,$H$16,$B139),_xll.DBRW(Server&amp;Cube1,$H$13,$H$14,$H$15,$AE$1,AG$2,$H$16,$B139))</f>
        <v>0</v>
      </c>
      <c r="AH139" s="90">
        <f ca="1">IF($AE$3=1,_xll.DBSW(S139,Server&amp;Cube1,$H$13,$H$14,$H$15,$AE$1,AH$2,$H$16,$B139),_xll.DBRW(Server&amp;Cube1,$H$13,$H$14,$H$15,$AE$1,AH$2,$H$16,$B139))</f>
        <v>0</v>
      </c>
      <c r="AI139" s="90">
        <f ca="1">IF($AE$3=1,_xll.DBSW(T139,Server&amp;Cube1,$H$13,$H$14,$H$15,$AE$1,AI$2,$H$16,$B139),_xll.DBRW(Server&amp;Cube1,$H$13,$H$14,$H$15,$AE$1,AI$2,$H$16,$B139))</f>
        <v>0</v>
      </c>
      <c r="AJ139" s="90">
        <f ca="1">IF($AE$3=1,_xll.DBSW(U139,Server&amp;Cube1,$H$13,$H$14,$H$15,$AE$1,AJ$2,$H$16,$B139),_xll.DBRW(Server&amp;Cube1,$H$13,$H$14,$H$15,$AE$1,AJ$2,$H$16,$B139))</f>
        <v>0</v>
      </c>
      <c r="AK139" s="90">
        <f ca="1">IF($AE$3=1,_xll.DBSW(V139,Server&amp;Cube1,$H$13,$H$14,$H$15,$AE$1,AK$2,$H$16,$B139),_xll.DBRW(Server&amp;Cube1,$H$13,$H$14,$H$15,$AE$1,AK$2,$H$16,$B139))</f>
        <v>0</v>
      </c>
      <c r="AL139" s="90">
        <f ca="1">IF($AE$3=1,_xll.DBSW(W139,Server&amp;Cube1,$H$13,$H$14,$H$15,$AE$1,AL$2,$H$16,$B139),_xll.DBRW(Server&amp;Cube1,$H$13,$H$14,$H$15,$AE$1,AL$2,$H$16,$B139))</f>
        <v>0</v>
      </c>
      <c r="AM139" s="90">
        <f ca="1">IF($AE$3=1,_xll.DBSW(X139,Server&amp;Cube1,$H$13,$H$14,$H$15,$AE$1,AM$2,$H$16,$B139),_xll.DBRW(Server&amp;Cube1,$H$13,$H$14,$H$15,$AE$1,AM$2,$H$16,$B139))</f>
        <v>0</v>
      </c>
      <c r="AN139" s="90">
        <f ca="1">IF($AE$3=1,_xll.DBSW(Y139,Server&amp;Cube1,$H$13,$H$14,$H$15,$AE$1,AN$2,$H$16,$B139),_xll.DBRW(Server&amp;Cube1,$H$13,$H$14,$H$15,$AE$1,AN$2,$H$16,$B139))</f>
        <v>0</v>
      </c>
      <c r="AO139" s="90">
        <f ca="1">IF($AE$3=1,_xll.DBSW(Z139,Server&amp;Cube1,$H$13,$H$14,$H$15,$AE$1,AO$2,$H$16,$B139),_xll.DBRW(Server&amp;Cube1,$H$13,$H$14,$H$15,$AE$1,AO$2,$H$16,$B139))</f>
        <v>0</v>
      </c>
      <c r="AP139" s="90">
        <f ca="1">IF($AE$3=1,_xll.DBSW(AA139,Server&amp;Cube1,$H$13,$H$14,$H$15,$AE$1,AP$2,$H$16,$B139),_xll.DBRW(Server&amp;Cube1,$H$13,$H$14,$H$15,$AE$1,AP$2,$H$16,$B139))</f>
        <v>0</v>
      </c>
    </row>
    <row r="140" spans="1:42" ht="21" customHeight="1" x14ac:dyDescent="0.25">
      <c r="A140"/>
      <c r="B140" s="13">
        <v>623100</v>
      </c>
      <c r="C140" s="13"/>
      <c r="D140" s="22"/>
      <c r="E140" s="171"/>
      <c r="F140" s="107"/>
      <c r="G140" s="305" t="s">
        <v>114</v>
      </c>
      <c r="H140" s="305"/>
      <c r="I140" s="37"/>
      <c r="J140" s="54">
        <f ca="1">_xll.DBRW(Server&amp;Cube1,$H$13,$J$3,$H$15,$J$1,$J$2,$H$16,$B140)</f>
        <v>0</v>
      </c>
      <c r="K140" s="37"/>
      <c r="L140" s="54">
        <f ca="1">_xll.DBRW(Server&amp;Cube1,$H$13,$L$3,$H$15,$L$1,$L$2,$H$16,$B140)</f>
        <v>0</v>
      </c>
      <c r="M140" s="55"/>
      <c r="N140" s="139">
        <f ca="1">_xll.DBRW(Server&amp;Cube1,$H$13,$H$14,$H$15,$N$1,N$2,$H$16,$B140)</f>
        <v>0</v>
      </c>
      <c r="O140" s="57"/>
      <c r="P140" s="156">
        <v>0</v>
      </c>
      <c r="Q140" s="157">
        <v>0</v>
      </c>
      <c r="R140" s="157">
        <v>0</v>
      </c>
      <c r="S140" s="157">
        <v>0</v>
      </c>
      <c r="T140" s="157">
        <v>0</v>
      </c>
      <c r="U140" s="157">
        <v>0</v>
      </c>
      <c r="V140" s="157">
        <v>0</v>
      </c>
      <c r="W140" s="157">
        <v>0</v>
      </c>
      <c r="X140" s="157">
        <v>0</v>
      </c>
      <c r="Y140" s="157">
        <v>0</v>
      </c>
      <c r="Z140" s="157">
        <v>0</v>
      </c>
      <c r="AA140" s="158">
        <v>0</v>
      </c>
      <c r="AB140" s="31"/>
      <c r="AE140" s="67">
        <f ca="1">_xll.DBRW(Server&amp;Cube1,$H$13,$H$14,$H$15,$H$17,AE$2,$H$16,$B140)</f>
        <v>0</v>
      </c>
      <c r="AF140" s="70">
        <f ca="1">_xll.DBRW(Server&amp;Cube1,$H$13,$H$14,$H$15,$H$17,AF$2,$H$16,$B140)</f>
        <v>0</v>
      </c>
      <c r="AG140" s="70">
        <f ca="1">_xll.DBRW(Server&amp;Cube1,$H$13,$H$14,$H$15,$H$17,AG$2,$H$16,$B140)</f>
        <v>0</v>
      </c>
      <c r="AH140" s="70">
        <f ca="1">_xll.DBRW(Server&amp;Cube1,$H$13,$H$14,$H$15,$H$17,AH$2,$H$16,$B140)</f>
        <v>0</v>
      </c>
      <c r="AI140" s="70">
        <f ca="1">_xll.DBRW(Server&amp;Cube1,$H$13,$H$14,$H$15,$H$17,AI$2,$H$16,$B140)</f>
        <v>0</v>
      </c>
      <c r="AJ140" s="70">
        <f ca="1">_xll.DBRW(Server&amp;Cube1,$H$13,$H$14,$H$15,$H$17,AJ$2,$H$16,$B140)</f>
        <v>0</v>
      </c>
      <c r="AK140" s="70">
        <f ca="1">_xll.DBRW(Server&amp;Cube1,$H$13,$H$14,$H$15,$H$17,AK$2,$H$16,$B140)</f>
        <v>0</v>
      </c>
      <c r="AL140" s="70">
        <f ca="1">_xll.DBRW(Server&amp;Cube1,$H$13,$H$14,$H$15,$H$17,AL$2,$H$16,$B140)</f>
        <v>0</v>
      </c>
      <c r="AM140" s="70">
        <f ca="1">_xll.DBRW(Server&amp;Cube1,$H$13,$H$14,$H$15,$H$17,AM$2,$H$16,$B140)</f>
        <v>0</v>
      </c>
      <c r="AN140" s="70">
        <f ca="1">_xll.DBRW(Server&amp;Cube1,$H$13,$H$14,$H$15,$H$17,AN$2,$H$16,$B140)</f>
        <v>0</v>
      </c>
      <c r="AO140" s="70">
        <f ca="1">_xll.DBRW(Server&amp;Cube1,$H$13,$H$14,$H$15,$H$17,AO$2,$H$16,$B140)</f>
        <v>0</v>
      </c>
      <c r="AP140" s="71">
        <f ca="1">_xll.DBRW(Server&amp;Cube1,$H$13,$H$14,$H$15,$H$17,AP$2,$H$16,$B140)</f>
        <v>0</v>
      </c>
    </row>
    <row r="141" spans="1:42" ht="21" customHeight="1" x14ac:dyDescent="0.25">
      <c r="A141"/>
      <c r="B141" s="144">
        <v>623100</v>
      </c>
      <c r="C141" s="12"/>
      <c r="D141" s="21"/>
      <c r="E141" s="169"/>
      <c r="F141" s="105"/>
      <c r="G141" s="319" t="s">
        <v>102</v>
      </c>
      <c r="H141" s="319"/>
      <c r="I141" s="127"/>
      <c r="J141" s="137"/>
      <c r="K141" s="127"/>
      <c r="L141" s="137"/>
      <c r="M141" s="134"/>
      <c r="N141" s="108">
        <f ca="1">_xll.DBRW(Server&amp;Cube1,$H$13,$H$14,$H$15,$N$3,N$2,$H$16,$B141)</f>
        <v>0</v>
      </c>
      <c r="O141" s="135"/>
      <c r="P141" s="151">
        <v>0</v>
      </c>
      <c r="Q141" s="152">
        <v>0</v>
      </c>
      <c r="R141" s="152">
        <v>0</v>
      </c>
      <c r="S141" s="152">
        <v>0</v>
      </c>
      <c r="T141" s="152">
        <v>0</v>
      </c>
      <c r="U141" s="152">
        <v>0</v>
      </c>
      <c r="V141" s="152">
        <v>0</v>
      </c>
      <c r="W141" s="152">
        <v>0</v>
      </c>
      <c r="X141" s="152">
        <v>0</v>
      </c>
      <c r="Y141" s="152">
        <v>0</v>
      </c>
      <c r="Z141" s="152">
        <v>0</v>
      </c>
      <c r="AA141" s="159">
        <v>0</v>
      </c>
      <c r="AB141" s="31"/>
      <c r="AE141" s="90">
        <f ca="1">IF($AE$3=1,_xll.DBSW(P141,Server&amp;Cube1,$H$13,$H$14,$H$15,$AE$1,AE$2,$H$16,$B141),_xll.DBRW(Server&amp;Cube1,$H$13,$H$14,$H$15,$AE$1,AE$2,$H$16,$B141))</f>
        <v>0</v>
      </c>
      <c r="AF141" s="90">
        <f ca="1">IF($AE$3=1,_xll.DBSW(Q141,Server&amp;Cube1,$H$13,$H$14,$H$15,$AE$1,AF$2,$H$16,$B141),_xll.DBRW(Server&amp;Cube1,$H$13,$H$14,$H$15,$AE$1,AF$2,$H$16,$B141))</f>
        <v>0</v>
      </c>
      <c r="AG141" s="90">
        <f ca="1">IF($AE$3=1,_xll.DBSW(R141,Server&amp;Cube1,$H$13,$H$14,$H$15,$AE$1,AG$2,$H$16,$B141),_xll.DBRW(Server&amp;Cube1,$H$13,$H$14,$H$15,$AE$1,AG$2,$H$16,$B141))</f>
        <v>0</v>
      </c>
      <c r="AH141" s="90">
        <f ca="1">IF($AE$3=1,_xll.DBSW(S141,Server&amp;Cube1,$H$13,$H$14,$H$15,$AE$1,AH$2,$H$16,$B141),_xll.DBRW(Server&amp;Cube1,$H$13,$H$14,$H$15,$AE$1,AH$2,$H$16,$B141))</f>
        <v>0</v>
      </c>
      <c r="AI141" s="90">
        <f ca="1">IF($AE$3=1,_xll.DBSW(T141,Server&amp;Cube1,$H$13,$H$14,$H$15,$AE$1,AI$2,$H$16,$B141),_xll.DBRW(Server&amp;Cube1,$H$13,$H$14,$H$15,$AE$1,AI$2,$H$16,$B141))</f>
        <v>0</v>
      </c>
      <c r="AJ141" s="90">
        <f ca="1">IF($AE$3=1,_xll.DBSW(U141,Server&amp;Cube1,$H$13,$H$14,$H$15,$AE$1,AJ$2,$H$16,$B141),_xll.DBRW(Server&amp;Cube1,$H$13,$H$14,$H$15,$AE$1,AJ$2,$H$16,$B141))</f>
        <v>0</v>
      </c>
      <c r="AK141" s="90">
        <f ca="1">IF($AE$3=1,_xll.DBSW(V141,Server&amp;Cube1,$H$13,$H$14,$H$15,$AE$1,AK$2,$H$16,$B141),_xll.DBRW(Server&amp;Cube1,$H$13,$H$14,$H$15,$AE$1,AK$2,$H$16,$B141))</f>
        <v>0</v>
      </c>
      <c r="AL141" s="90">
        <f ca="1">IF($AE$3=1,_xll.DBSW(W141,Server&amp;Cube1,$H$13,$H$14,$H$15,$AE$1,AL$2,$H$16,$B141),_xll.DBRW(Server&amp;Cube1,$H$13,$H$14,$H$15,$AE$1,AL$2,$H$16,$B141))</f>
        <v>0</v>
      </c>
      <c r="AM141" s="90">
        <f ca="1">IF($AE$3=1,_xll.DBSW(X141,Server&amp;Cube1,$H$13,$H$14,$H$15,$AE$1,AM$2,$H$16,$B141),_xll.DBRW(Server&amp;Cube1,$H$13,$H$14,$H$15,$AE$1,AM$2,$H$16,$B141))</f>
        <v>0</v>
      </c>
      <c r="AN141" s="90">
        <f ca="1">IF($AE$3=1,_xll.DBSW(Y141,Server&amp;Cube1,$H$13,$H$14,$H$15,$AE$1,AN$2,$H$16,$B141),_xll.DBRW(Server&amp;Cube1,$H$13,$H$14,$H$15,$AE$1,AN$2,$H$16,$B141))</f>
        <v>0</v>
      </c>
      <c r="AO141" s="90">
        <f ca="1">IF($AE$3=1,_xll.DBSW(Z141,Server&amp;Cube1,$H$13,$H$14,$H$15,$AE$1,AO$2,$H$16,$B141),_xll.DBRW(Server&amp;Cube1,$H$13,$H$14,$H$15,$AE$1,AO$2,$H$16,$B141))</f>
        <v>0</v>
      </c>
      <c r="AP141" s="90">
        <f ca="1">IF($AE$3=1,_xll.DBSW(AA141,Server&amp;Cube1,$H$13,$H$14,$H$15,$AE$1,AP$2,$H$16,$B141),_xll.DBRW(Server&amp;Cube1,$H$13,$H$14,$H$15,$AE$1,AP$2,$H$16,$B141))</f>
        <v>0</v>
      </c>
    </row>
    <row r="142" spans="1:42" ht="21" customHeight="1" x14ac:dyDescent="0.25">
      <c r="A142"/>
      <c r="B142" s="13" t="s">
        <v>85</v>
      </c>
      <c r="C142" s="13"/>
      <c r="D142" s="22"/>
      <c r="E142" s="171"/>
      <c r="F142" s="107"/>
      <c r="G142" s="305" t="s">
        <v>78</v>
      </c>
      <c r="H142" s="305"/>
      <c r="I142" s="37"/>
      <c r="J142" s="54">
        <f ca="1">_xll.DBRW(Server&amp;Cube1,$H$13,$J$3,$H$15,$J$1,$J$2,$H$16,$B142)</f>
        <v>0</v>
      </c>
      <c r="K142" s="37"/>
      <c r="L142" s="54">
        <f ca="1">_xll.DBRW(Server&amp;Cube1,$H$13,$L$3,$H$15,$L$1,$L$2,$H$16,$B142)</f>
        <v>0</v>
      </c>
      <c r="M142" s="55"/>
      <c r="N142" s="139">
        <f ca="1">_xll.DBRW(Server&amp;Cube1,$H$13,$H$14,$H$15,$N$1,N$2,$H$16,$B142)</f>
        <v>0</v>
      </c>
      <c r="O142" s="57"/>
      <c r="P142" s="156">
        <v>0</v>
      </c>
      <c r="Q142" s="157">
        <v>0</v>
      </c>
      <c r="R142" s="157">
        <v>0</v>
      </c>
      <c r="S142" s="157">
        <v>0</v>
      </c>
      <c r="T142" s="157">
        <v>0</v>
      </c>
      <c r="U142" s="157">
        <v>0</v>
      </c>
      <c r="V142" s="157">
        <v>0</v>
      </c>
      <c r="W142" s="157">
        <v>0</v>
      </c>
      <c r="X142" s="157">
        <v>0</v>
      </c>
      <c r="Y142" s="157">
        <v>0</v>
      </c>
      <c r="Z142" s="157">
        <v>0</v>
      </c>
      <c r="AA142" s="158">
        <v>0</v>
      </c>
      <c r="AB142" s="31"/>
      <c r="AE142" s="67">
        <f ca="1">_xll.DBRW(Server&amp;Cube1,$H$13,$H$14,$H$15,$H$17,AE$2,$H$16,$B142)</f>
        <v>0</v>
      </c>
      <c r="AF142" s="70">
        <f ca="1">_xll.DBRW(Server&amp;Cube1,$H$13,$H$14,$H$15,$H$17,AF$2,$H$16,$B142)</f>
        <v>0</v>
      </c>
      <c r="AG142" s="70">
        <f ca="1">_xll.DBRW(Server&amp;Cube1,$H$13,$H$14,$H$15,$H$17,AG$2,$H$16,$B142)</f>
        <v>0</v>
      </c>
      <c r="AH142" s="70">
        <f ca="1">_xll.DBRW(Server&amp;Cube1,$H$13,$H$14,$H$15,$H$17,AH$2,$H$16,$B142)</f>
        <v>0</v>
      </c>
      <c r="AI142" s="70">
        <f ca="1">_xll.DBRW(Server&amp;Cube1,$H$13,$H$14,$H$15,$H$17,AI$2,$H$16,$B142)</f>
        <v>0</v>
      </c>
      <c r="AJ142" s="70">
        <f ca="1">_xll.DBRW(Server&amp;Cube1,$H$13,$H$14,$H$15,$H$17,AJ$2,$H$16,$B142)</f>
        <v>0</v>
      </c>
      <c r="AK142" s="70">
        <f ca="1">_xll.DBRW(Server&amp;Cube1,$H$13,$H$14,$H$15,$H$17,AK$2,$H$16,$B142)</f>
        <v>0</v>
      </c>
      <c r="AL142" s="70">
        <f ca="1">_xll.DBRW(Server&amp;Cube1,$H$13,$H$14,$H$15,$H$17,AL$2,$H$16,$B142)</f>
        <v>0</v>
      </c>
      <c r="AM142" s="70">
        <f ca="1">_xll.DBRW(Server&amp;Cube1,$H$13,$H$14,$H$15,$H$17,AM$2,$H$16,$B142)</f>
        <v>0</v>
      </c>
      <c r="AN142" s="70">
        <f ca="1">_xll.DBRW(Server&amp;Cube1,$H$13,$H$14,$H$15,$H$17,AN$2,$H$16,$B142)</f>
        <v>0</v>
      </c>
      <c r="AO142" s="70">
        <f ca="1">_xll.DBRW(Server&amp;Cube1,$H$13,$H$14,$H$15,$H$17,AO$2,$H$16,$B142)</f>
        <v>0</v>
      </c>
      <c r="AP142" s="71">
        <f ca="1">_xll.DBRW(Server&amp;Cube1,$H$13,$H$14,$H$15,$H$17,AP$2,$H$16,$B142)</f>
        <v>0</v>
      </c>
    </row>
    <row r="143" spans="1:42" ht="21" customHeight="1" x14ac:dyDescent="0.25">
      <c r="A143"/>
      <c r="B143" s="144" t="s">
        <v>85</v>
      </c>
      <c r="C143" s="12"/>
      <c r="D143" s="21"/>
      <c r="E143" s="169"/>
      <c r="F143" s="105"/>
      <c r="G143" s="319" t="s">
        <v>102</v>
      </c>
      <c r="H143" s="319"/>
      <c r="I143" s="127"/>
      <c r="J143" s="137"/>
      <c r="K143" s="127"/>
      <c r="L143" s="137"/>
      <c r="M143" s="134"/>
      <c r="N143" s="140">
        <f ca="1">_xll.DBRW(Server&amp;Cube1,$H$13,$H$14,$H$15,$N$3,N$2,$H$16,$B143)</f>
        <v>0</v>
      </c>
      <c r="O143" s="135"/>
      <c r="P143" s="151">
        <v>0</v>
      </c>
      <c r="Q143" s="152">
        <v>0</v>
      </c>
      <c r="R143" s="152">
        <v>0</v>
      </c>
      <c r="S143" s="152">
        <v>0</v>
      </c>
      <c r="T143" s="152">
        <v>0</v>
      </c>
      <c r="U143" s="152">
        <v>0</v>
      </c>
      <c r="V143" s="152">
        <v>0</v>
      </c>
      <c r="W143" s="152">
        <v>0</v>
      </c>
      <c r="X143" s="152">
        <v>0</v>
      </c>
      <c r="Y143" s="152">
        <v>0</v>
      </c>
      <c r="Z143" s="152">
        <v>0</v>
      </c>
      <c r="AA143" s="159">
        <v>0</v>
      </c>
      <c r="AB143" s="31"/>
      <c r="AE143" s="90">
        <f ca="1">IF($AE$3=1,_xll.DBSW(P143,Server&amp;Cube1,$H$13,$H$14,$H$15,$AE$1,AE$2,$H$16,$B143),_xll.DBRW(Server&amp;Cube1,$H$13,$H$14,$H$15,$AE$1,AE$2,$H$16,$B143))</f>
        <v>0</v>
      </c>
      <c r="AF143" s="90">
        <f ca="1">IF($AE$3=1,_xll.DBSW(Q143,Server&amp;Cube1,$H$13,$H$14,$H$15,$AE$1,AF$2,$H$16,$B143),_xll.DBRW(Server&amp;Cube1,$H$13,$H$14,$H$15,$AE$1,AF$2,$H$16,$B143))</f>
        <v>0</v>
      </c>
      <c r="AG143" s="90">
        <f ca="1">IF($AE$3=1,_xll.DBSW(R143,Server&amp;Cube1,$H$13,$H$14,$H$15,$AE$1,AG$2,$H$16,$B143),_xll.DBRW(Server&amp;Cube1,$H$13,$H$14,$H$15,$AE$1,AG$2,$H$16,$B143))</f>
        <v>0</v>
      </c>
      <c r="AH143" s="90">
        <f ca="1">IF($AE$3=1,_xll.DBSW(S143,Server&amp;Cube1,$H$13,$H$14,$H$15,$AE$1,AH$2,$H$16,$B143),_xll.DBRW(Server&amp;Cube1,$H$13,$H$14,$H$15,$AE$1,AH$2,$H$16,$B143))</f>
        <v>0</v>
      </c>
      <c r="AI143" s="90">
        <f ca="1">IF($AE$3=1,_xll.DBSW(T143,Server&amp;Cube1,$H$13,$H$14,$H$15,$AE$1,AI$2,$H$16,$B143),_xll.DBRW(Server&amp;Cube1,$H$13,$H$14,$H$15,$AE$1,AI$2,$H$16,$B143))</f>
        <v>0</v>
      </c>
      <c r="AJ143" s="90">
        <f ca="1">IF($AE$3=1,_xll.DBSW(U143,Server&amp;Cube1,$H$13,$H$14,$H$15,$AE$1,AJ$2,$H$16,$B143),_xll.DBRW(Server&amp;Cube1,$H$13,$H$14,$H$15,$AE$1,AJ$2,$H$16,$B143))</f>
        <v>0</v>
      </c>
      <c r="AK143" s="90">
        <f ca="1">IF($AE$3=1,_xll.DBSW(V143,Server&amp;Cube1,$H$13,$H$14,$H$15,$AE$1,AK$2,$H$16,$B143),_xll.DBRW(Server&amp;Cube1,$H$13,$H$14,$H$15,$AE$1,AK$2,$H$16,$B143))</f>
        <v>0</v>
      </c>
      <c r="AL143" s="90">
        <f ca="1">IF($AE$3=1,_xll.DBSW(W143,Server&amp;Cube1,$H$13,$H$14,$H$15,$AE$1,AL$2,$H$16,$B143),_xll.DBRW(Server&amp;Cube1,$H$13,$H$14,$H$15,$AE$1,AL$2,$H$16,$B143))</f>
        <v>0</v>
      </c>
      <c r="AM143" s="90">
        <f ca="1">IF($AE$3=1,_xll.DBSW(X143,Server&amp;Cube1,$H$13,$H$14,$H$15,$AE$1,AM$2,$H$16,$B143),_xll.DBRW(Server&amp;Cube1,$H$13,$H$14,$H$15,$AE$1,AM$2,$H$16,$B143))</f>
        <v>0</v>
      </c>
      <c r="AN143" s="90">
        <f ca="1">IF($AE$3=1,_xll.DBSW(Y143,Server&amp;Cube1,$H$13,$H$14,$H$15,$AE$1,AN$2,$H$16,$B143),_xll.DBRW(Server&amp;Cube1,$H$13,$H$14,$H$15,$AE$1,AN$2,$H$16,$B143))</f>
        <v>0</v>
      </c>
      <c r="AO143" s="90">
        <f ca="1">IF($AE$3=1,_xll.DBSW(Z143,Server&amp;Cube1,$H$13,$H$14,$H$15,$AE$1,AO$2,$H$16,$B143),_xll.DBRW(Server&amp;Cube1,$H$13,$H$14,$H$15,$AE$1,AO$2,$H$16,$B143))</f>
        <v>0</v>
      </c>
      <c r="AP143" s="90">
        <f ca="1">IF($AE$3=1,_xll.DBSW(AA143,Server&amp;Cube1,$H$13,$H$14,$H$15,$AE$1,AP$2,$H$16,$B143),_xll.DBRW(Server&amp;Cube1,$H$13,$H$14,$H$15,$AE$1,AP$2,$H$16,$B143))</f>
        <v>0</v>
      </c>
    </row>
    <row r="144" spans="1:42" ht="6.75" customHeight="1" x14ac:dyDescent="0.25">
      <c r="A144"/>
      <c r="B144" s="11"/>
      <c r="C144" s="11"/>
      <c r="D144" s="20"/>
      <c r="E144" s="170"/>
      <c r="F144" s="106"/>
      <c r="G144" s="43"/>
      <c r="H144" s="43"/>
      <c r="I144" s="38"/>
      <c r="J144" s="62"/>
      <c r="K144" s="38"/>
      <c r="L144" s="62"/>
      <c r="M144" s="63"/>
      <c r="N144" s="64"/>
      <c r="O144" s="64"/>
      <c r="P144" s="62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6"/>
      <c r="AB144" s="31"/>
    </row>
    <row r="145" spans="1:42" ht="22.5" customHeight="1" x14ac:dyDescent="0.25">
      <c r="A145"/>
      <c r="B145" s="12" t="s">
        <v>33</v>
      </c>
      <c r="C145" s="12"/>
      <c r="D145" s="21"/>
      <c r="E145" s="169"/>
      <c r="F145" s="322" t="str">
        <f ca="1">_xll.DBRA(Server&amp;$B$22,$B145,"French")</f>
        <v>Coûts de structure</v>
      </c>
      <c r="G145" s="323"/>
      <c r="H145" s="324"/>
      <c r="I145" s="39"/>
      <c r="J145" s="51">
        <f ca="1">_xll.DBRW(Server&amp;Cube1,$H$13,$J$3,$H$15,$J$1,$J$2,$H$16,$B145)</f>
        <v>-172515.68000000005</v>
      </c>
      <c r="K145" s="39"/>
      <c r="L145" s="51">
        <f ca="1">_xll.DBRW(Server&amp;Cube1,$H$13,$L$3,$H$15,$L$1,$L$2,$H$16,$B145)</f>
        <v>0</v>
      </c>
      <c r="M145" s="60"/>
      <c r="N145" s="51">
        <f ca="1">_xll.DBRW(Server&amp;Cube1,$H$13,$H$14,$H$15,$N$1,N$2,$H$16,$B145)</f>
        <v>0</v>
      </c>
      <c r="O145" s="61"/>
      <c r="P145" s="49">
        <f ca="1">_xll.DBRW(Server&amp;Cube1,$H$13,$H$14,$H$15,$H$17,P$1,$H$16,$B145)</f>
        <v>0</v>
      </c>
      <c r="Q145" s="50">
        <f ca="1">_xll.DBRW(Server&amp;Cube1,$H$13,$H$14,$H$15,$H$17,Q$1,$H$16,$B145)</f>
        <v>0</v>
      </c>
      <c r="R145" s="50">
        <f ca="1">_xll.DBRW(Server&amp;Cube1,$H$13,$H$14,$H$15,$H$17,R$1,$H$16,$B145)</f>
        <v>0</v>
      </c>
      <c r="S145" s="50">
        <f ca="1">_xll.DBRW(Server&amp;Cube1,$H$13,$H$14,$H$15,$H$17,S$1,$H$16,$B145)</f>
        <v>0</v>
      </c>
      <c r="T145" s="50">
        <f ca="1">_xll.DBRW(Server&amp;Cube1,$H$13,$H$14,$H$15,$H$17,T$1,$H$16,$B145)</f>
        <v>0</v>
      </c>
      <c r="U145" s="50">
        <f ca="1">_xll.DBRW(Server&amp;Cube1,$H$13,$H$14,$H$15,$H$17,U$1,$H$16,$B145)</f>
        <v>0</v>
      </c>
      <c r="V145" s="50">
        <f ca="1">_xll.DBRW(Server&amp;Cube1,$H$13,$H$14,$H$15,$H$17,V$1,$H$16,$B145)</f>
        <v>0</v>
      </c>
      <c r="W145" s="50">
        <f ca="1">_xll.DBRW(Server&amp;Cube1,$H$13,$H$14,$H$15,$H$17,W$1,$H$16,$B145)</f>
        <v>0</v>
      </c>
      <c r="X145" s="50">
        <f ca="1">_xll.DBRW(Server&amp;Cube1,$H$13,$H$14,$H$15,$H$17,X$1,$H$16,$B145)</f>
        <v>0</v>
      </c>
      <c r="Y145" s="50">
        <f ca="1">_xll.DBRW(Server&amp;Cube1,$H$13,$H$14,$H$15,$H$17,Y$1,$H$16,$B145)</f>
        <v>0</v>
      </c>
      <c r="Z145" s="50">
        <f ca="1">_xll.DBRW(Server&amp;Cube1,$H$13,$H$14,$H$15,$H$17,Z$1,$H$16,$B145)</f>
        <v>0</v>
      </c>
      <c r="AA145" s="53">
        <f ca="1">_xll.DBRW(Server&amp;Cube1,$H$13,$H$14,$H$15,$H$17,AA$1,$H$16,$B145)</f>
        <v>0</v>
      </c>
      <c r="AB145" s="31"/>
    </row>
    <row r="146" spans="1:42" ht="3" customHeight="1" x14ac:dyDescent="0.25">
      <c r="A146"/>
      <c r="B146" s="11"/>
      <c r="C146" s="11"/>
      <c r="D146" s="20"/>
      <c r="E146" s="170"/>
      <c r="F146" s="106"/>
      <c r="G146" s="43"/>
      <c r="H146" s="43"/>
      <c r="I146" s="38"/>
      <c r="J146" s="62"/>
      <c r="K146" s="38"/>
      <c r="L146" s="62"/>
      <c r="M146" s="63"/>
      <c r="N146" s="64"/>
      <c r="O146" s="64"/>
      <c r="P146" s="62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6"/>
      <c r="AB146" s="31"/>
    </row>
    <row r="147" spans="1:42" ht="15" customHeight="1" x14ac:dyDescent="0.25">
      <c r="A147"/>
      <c r="B147" s="11"/>
      <c r="C147" s="11"/>
      <c r="D147" s="20"/>
      <c r="E147" s="170"/>
      <c r="F147" s="106"/>
      <c r="G147" s="80"/>
      <c r="H147" s="80"/>
      <c r="I147" s="82"/>
      <c r="J147" s="100"/>
      <c r="K147" s="82"/>
      <c r="L147" s="100"/>
      <c r="M147" s="124"/>
      <c r="N147" s="100"/>
      <c r="O147" s="100"/>
      <c r="P147" s="101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  <c r="AA147" s="103"/>
      <c r="AB147" s="31"/>
    </row>
    <row r="148" spans="1:42" ht="5.25" customHeight="1" x14ac:dyDescent="0.25">
      <c r="A148"/>
      <c r="B148" s="11"/>
      <c r="C148" s="11"/>
      <c r="D148" s="20"/>
      <c r="E148" s="170"/>
      <c r="F148" s="325"/>
      <c r="G148" s="326"/>
      <c r="H148" s="326"/>
      <c r="I148" s="326"/>
      <c r="J148" s="326"/>
      <c r="K148" s="326"/>
      <c r="L148" s="326"/>
      <c r="M148" s="326"/>
      <c r="N148" s="326"/>
      <c r="O148" s="326"/>
      <c r="P148" s="326"/>
      <c r="Q148" s="326"/>
      <c r="R148" s="326"/>
      <c r="S148" s="326"/>
      <c r="T148" s="326"/>
      <c r="U148" s="326"/>
      <c r="V148" s="326"/>
      <c r="W148" s="326"/>
      <c r="X148" s="326"/>
      <c r="Y148" s="326"/>
      <c r="Z148" s="326"/>
      <c r="AA148" s="327"/>
      <c r="AB148" s="31"/>
    </row>
    <row r="149" spans="1:42" ht="18.75" customHeight="1" x14ac:dyDescent="0.25">
      <c r="A149"/>
      <c r="B149" s="11"/>
      <c r="C149" s="11"/>
      <c r="D149" s="20"/>
      <c r="E149" s="170"/>
      <c r="F149" s="125"/>
      <c r="G149" s="126"/>
      <c r="H149" s="43"/>
      <c r="I149" s="38"/>
      <c r="J149" s="64"/>
      <c r="K149" s="38"/>
      <c r="L149" s="64"/>
      <c r="M149" s="63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31"/>
    </row>
    <row r="150" spans="1:42" ht="23.25" customHeight="1" x14ac:dyDescent="0.25">
      <c r="A150"/>
      <c r="B150" s="12" t="s">
        <v>19</v>
      </c>
      <c r="C150" s="12"/>
      <c r="D150" s="21"/>
      <c r="E150" s="169"/>
      <c r="F150" s="328" t="str">
        <f ca="1">_xll.DBRA(Server&amp;$B$22,$B150,"French")</f>
        <v>RESULTAT d'exploitation</v>
      </c>
      <c r="G150" s="329"/>
      <c r="H150" s="330"/>
      <c r="I150" s="117"/>
      <c r="J150" s="118">
        <f ca="1">_xll.DBRW(Server&amp;Cube1,$H$13,$J$3,$H$15,$J$1,$J$2,$H$16,$B150)</f>
        <v>1112698.69</v>
      </c>
      <c r="K150" s="117"/>
      <c r="L150" s="118">
        <f ca="1">_xll.DBRW(Server&amp;Cube1,$H$13,$L$3,$H$15,$L$1,$L$2,$H$16,$B150)</f>
        <v>0</v>
      </c>
      <c r="M150" s="119"/>
      <c r="N150" s="118">
        <f ca="1">_xll.DBRW(Server&amp;Cube1,$H$13,$H$14,$H$15,$N$1,N$2,$H$16,$B150)</f>
        <v>0</v>
      </c>
      <c r="O150" s="120"/>
      <c r="P150" s="121">
        <f ca="1">_xll.DBRW(Server&amp;Cube1,$H$13,$H$14,$H$15,$H$17,P$1,$H$16,$B150)</f>
        <v>0</v>
      </c>
      <c r="Q150" s="122">
        <f ca="1">_xll.DBRW(Server&amp;Cube1,$H$13,$H$14,$H$15,$H$17,Q$1,$H$16,$B150)</f>
        <v>0</v>
      </c>
      <c r="R150" s="122">
        <f ca="1">_xll.DBRW(Server&amp;Cube1,$H$13,$H$14,$H$15,$H$17,R$1,$H$16,$B150)</f>
        <v>0</v>
      </c>
      <c r="S150" s="122">
        <f ca="1">_xll.DBRW(Server&amp;Cube1,$H$13,$H$14,$H$15,$H$17,S$1,$H$16,$B150)</f>
        <v>0</v>
      </c>
      <c r="T150" s="122">
        <f ca="1">_xll.DBRW(Server&amp;Cube1,$H$13,$H$14,$H$15,$H$17,T$1,$H$16,$B150)</f>
        <v>0</v>
      </c>
      <c r="U150" s="122">
        <f ca="1">_xll.DBRW(Server&amp;Cube1,$H$13,$H$14,$H$15,$H$17,U$1,$H$16,$B150)</f>
        <v>0</v>
      </c>
      <c r="V150" s="122">
        <f ca="1">_xll.DBRW(Server&amp;Cube1,$H$13,$H$14,$H$15,$H$17,V$1,$H$16,$B150)</f>
        <v>0</v>
      </c>
      <c r="W150" s="122">
        <f ca="1">_xll.DBRW(Server&amp;Cube1,$H$13,$H$14,$H$15,$H$17,W$1,$H$16,$B150)</f>
        <v>0</v>
      </c>
      <c r="X150" s="122">
        <f ca="1">_xll.DBRW(Server&amp;Cube1,$H$13,$H$14,$H$15,$H$17,X$1,$H$16,$B150)</f>
        <v>0</v>
      </c>
      <c r="Y150" s="122">
        <f ca="1">_xll.DBRW(Server&amp;Cube1,$H$13,$H$14,$H$15,$H$17,Y$1,$H$16,$B150)</f>
        <v>0</v>
      </c>
      <c r="Z150" s="122">
        <f ca="1">_xll.DBRW(Server&amp;Cube1,$H$13,$H$14,$H$15,$H$17,Z$1,$H$16,$B150)</f>
        <v>0</v>
      </c>
      <c r="AA150" s="123">
        <f ca="1">_xll.DBRW(Server&amp;Cube1,$H$13,$H$14,$H$15,$H$17,AA$1,$H$16,$B150)</f>
        <v>0</v>
      </c>
      <c r="AB150" s="31"/>
    </row>
    <row r="151" spans="1:42" ht="18" customHeight="1" x14ac:dyDescent="0.25">
      <c r="A151"/>
      <c r="B151" s="11"/>
      <c r="C151" s="11"/>
      <c r="D151" s="20"/>
      <c r="E151" s="170"/>
      <c r="F151" s="106"/>
      <c r="G151" s="43"/>
      <c r="H151" s="76" t="s">
        <v>77</v>
      </c>
      <c r="I151" s="38"/>
      <c r="J151" s="79">
        <f ca="1">IF(ISERROR(J150/J46),"-",J150/J46)</f>
        <v>0.42427365757103885</v>
      </c>
      <c r="K151" s="38"/>
      <c r="L151" s="79" t="str">
        <f ca="1">IF(ISERROR(L150/L46),"-",L150/L46)</f>
        <v>-</v>
      </c>
      <c r="M151" s="77"/>
      <c r="N151" s="79" t="str">
        <f ca="1">IF(ISERROR(N150/N46),"-",N150/N46)</f>
        <v>-</v>
      </c>
      <c r="O151" s="78"/>
      <c r="P151" s="79" t="str">
        <f t="shared" ref="P151:AA151" ca="1" si="1">IF(ISERROR(P150/P46),"-",P150/P46)</f>
        <v>-</v>
      </c>
      <c r="Q151" s="79" t="str">
        <f t="shared" ca="1" si="1"/>
        <v>-</v>
      </c>
      <c r="R151" s="79" t="str">
        <f t="shared" ca="1" si="1"/>
        <v>-</v>
      </c>
      <c r="S151" s="79" t="str">
        <f t="shared" ca="1" si="1"/>
        <v>-</v>
      </c>
      <c r="T151" s="79" t="str">
        <f t="shared" ca="1" si="1"/>
        <v>-</v>
      </c>
      <c r="U151" s="79" t="str">
        <f t="shared" ca="1" si="1"/>
        <v>-</v>
      </c>
      <c r="V151" s="79" t="str">
        <f t="shared" ca="1" si="1"/>
        <v>-</v>
      </c>
      <c r="W151" s="79" t="str">
        <f t="shared" ca="1" si="1"/>
        <v>-</v>
      </c>
      <c r="X151" s="79" t="str">
        <f t="shared" ca="1" si="1"/>
        <v>-</v>
      </c>
      <c r="Y151" s="79" t="str">
        <f t="shared" ca="1" si="1"/>
        <v>-</v>
      </c>
      <c r="Z151" s="79" t="str">
        <f t="shared" ca="1" si="1"/>
        <v>-</v>
      </c>
      <c r="AA151" s="79" t="str">
        <f t="shared" ca="1" si="1"/>
        <v>-</v>
      </c>
      <c r="AB151" s="31"/>
    </row>
    <row r="152" spans="1:42" ht="9" customHeight="1" x14ac:dyDescent="0.25">
      <c r="A152"/>
      <c r="B152" s="11"/>
      <c r="C152" s="11"/>
      <c r="D152" s="20"/>
      <c r="E152" s="170"/>
      <c r="F152" s="106"/>
      <c r="G152" s="80"/>
      <c r="H152" s="81"/>
      <c r="I152" s="82"/>
      <c r="J152" s="83"/>
      <c r="K152" s="82"/>
      <c r="L152" s="83"/>
      <c r="M152" s="84"/>
      <c r="N152" s="83"/>
      <c r="O152" s="85"/>
      <c r="P152" s="83"/>
      <c r="Q152" s="83"/>
      <c r="R152" s="83"/>
      <c r="S152" s="83"/>
      <c r="T152" s="83"/>
      <c r="U152" s="83"/>
      <c r="V152" s="83"/>
      <c r="W152" s="83"/>
      <c r="X152" s="83"/>
      <c r="Y152" s="83"/>
      <c r="Z152" s="83"/>
      <c r="AA152" s="83"/>
      <c r="AB152" s="31"/>
    </row>
    <row r="153" spans="1:42" ht="5.25" customHeight="1" x14ac:dyDescent="0.25">
      <c r="A153"/>
      <c r="B153" s="11"/>
      <c r="C153" s="11"/>
      <c r="D153" s="20"/>
      <c r="E153" s="170"/>
      <c r="F153" s="325"/>
      <c r="G153" s="326"/>
      <c r="H153" s="326"/>
      <c r="I153" s="326"/>
      <c r="J153" s="326"/>
      <c r="K153" s="326"/>
      <c r="L153" s="326"/>
      <c r="M153" s="326"/>
      <c r="N153" s="326"/>
      <c r="O153" s="326"/>
      <c r="P153" s="326"/>
      <c r="Q153" s="326"/>
      <c r="R153" s="326"/>
      <c r="S153" s="326"/>
      <c r="T153" s="326"/>
      <c r="U153" s="326"/>
      <c r="V153" s="326"/>
      <c r="W153" s="326"/>
      <c r="X153" s="326"/>
      <c r="Y153" s="326"/>
      <c r="Z153" s="326"/>
      <c r="AA153" s="327"/>
      <c r="AB153" s="31"/>
    </row>
    <row r="154" spans="1:42" ht="18.75" customHeight="1" x14ac:dyDescent="0.25">
      <c r="A154"/>
      <c r="B154" s="11"/>
      <c r="C154" s="11"/>
      <c r="D154" s="20"/>
      <c r="E154" s="170"/>
      <c r="F154" s="106"/>
      <c r="G154" s="43"/>
      <c r="H154" s="43"/>
      <c r="I154" s="38"/>
      <c r="J154" s="62"/>
      <c r="K154" s="38"/>
      <c r="L154" s="62"/>
      <c r="M154" s="63"/>
      <c r="N154" s="100"/>
      <c r="O154" s="64"/>
      <c r="P154" s="62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6"/>
      <c r="AB154" s="31"/>
    </row>
    <row r="155" spans="1:42" ht="21" customHeight="1" x14ac:dyDescent="0.25">
      <c r="A155"/>
      <c r="B155" s="12" t="s">
        <v>53</v>
      </c>
      <c r="C155" s="12"/>
      <c r="D155" s="21"/>
      <c r="E155" s="169"/>
      <c r="F155" s="105"/>
      <c r="G155" s="315" t="str">
        <f ca="1">_xll.DBRA(Server&amp;$B$22,$B155,"French")</f>
        <v>Charges financières</v>
      </c>
      <c r="H155" s="315" t="str">
        <f ca="1">_xll.DBRA(Server&amp;$B$22,$B155,"French")</f>
        <v>Charges financières</v>
      </c>
      <c r="I155" s="39"/>
      <c r="J155" s="67">
        <f ca="1">_xll.DBRW(Server&amp;Cube1,$H$13,$J$3,$H$15,$J$1,$J$2,$H$16,$B155)</f>
        <v>0</v>
      </c>
      <c r="K155" s="39"/>
      <c r="L155" s="67">
        <f ca="1">_xll.DBRW(Server&amp;Cube1,$H$13,$L$3,$H$15,$L$1,$L$2,$H$16,$B155)</f>
        <v>0</v>
      </c>
      <c r="M155" s="68"/>
      <c r="N155" s="114">
        <f ca="1">_xll.DBRW(Server&amp;Cube1,$H$13,$H$14,$H$15,$N$1,N$2,$H$16,$B155)</f>
        <v>0</v>
      </c>
      <c r="O155" s="69"/>
      <c r="P155" s="148">
        <v>0</v>
      </c>
      <c r="Q155" s="149">
        <v>0</v>
      </c>
      <c r="R155" s="149">
        <v>0</v>
      </c>
      <c r="S155" s="149">
        <v>0</v>
      </c>
      <c r="T155" s="149">
        <v>0</v>
      </c>
      <c r="U155" s="149">
        <v>0</v>
      </c>
      <c r="V155" s="149">
        <v>0</v>
      </c>
      <c r="W155" s="149">
        <v>0</v>
      </c>
      <c r="X155" s="149">
        <v>0</v>
      </c>
      <c r="Y155" s="149">
        <v>0</v>
      </c>
      <c r="Z155" s="149">
        <v>0</v>
      </c>
      <c r="AA155" s="150">
        <v>0</v>
      </c>
      <c r="AB155" s="31"/>
      <c r="AE155" s="67">
        <f ca="1">_xll.DBRW(Server&amp;Cube1,$H$13,$H$14,$H$15,$H$17,AE$2,$H$16,$B155)</f>
        <v>0</v>
      </c>
      <c r="AF155" s="70">
        <f ca="1">_xll.DBRW(Server&amp;Cube1,$H$13,$H$14,$H$15,$H$17,AF$2,$H$16,$B155)</f>
        <v>0</v>
      </c>
      <c r="AG155" s="70">
        <f ca="1">_xll.DBRW(Server&amp;Cube1,$H$13,$H$14,$H$15,$H$17,AG$2,$H$16,$B155)</f>
        <v>0</v>
      </c>
      <c r="AH155" s="70">
        <f ca="1">_xll.DBRW(Server&amp;Cube1,$H$13,$H$14,$H$15,$H$17,AH$2,$H$16,$B155)</f>
        <v>0</v>
      </c>
      <c r="AI155" s="70">
        <f ca="1">_xll.DBRW(Server&amp;Cube1,$H$13,$H$14,$H$15,$H$17,AI$2,$H$16,$B155)</f>
        <v>0</v>
      </c>
      <c r="AJ155" s="70">
        <f ca="1">_xll.DBRW(Server&amp;Cube1,$H$13,$H$14,$H$15,$H$17,AJ$2,$H$16,$B155)</f>
        <v>0</v>
      </c>
      <c r="AK155" s="70">
        <f ca="1">_xll.DBRW(Server&amp;Cube1,$H$13,$H$14,$H$15,$H$17,AK$2,$H$16,$B155)</f>
        <v>0</v>
      </c>
      <c r="AL155" s="70">
        <f ca="1">_xll.DBRW(Server&amp;Cube1,$H$13,$H$14,$H$15,$H$17,AL$2,$H$16,$B155)</f>
        <v>0</v>
      </c>
      <c r="AM155" s="70">
        <f ca="1">_xll.DBRW(Server&amp;Cube1,$H$13,$H$14,$H$15,$H$17,AM$2,$H$16,$B155)</f>
        <v>0</v>
      </c>
      <c r="AN155" s="70">
        <f ca="1">_xll.DBRW(Server&amp;Cube1,$H$13,$H$14,$H$15,$H$17,AN$2,$H$16,$B155)</f>
        <v>0</v>
      </c>
      <c r="AO155" s="70">
        <f ca="1">_xll.DBRW(Server&amp;Cube1,$H$13,$H$14,$H$15,$H$17,AO$2,$H$16,$B155)</f>
        <v>0</v>
      </c>
      <c r="AP155" s="71">
        <f ca="1">_xll.DBRW(Server&amp;Cube1,$H$13,$H$14,$H$15,$H$17,AP$2,$H$16,$B155)</f>
        <v>0</v>
      </c>
    </row>
    <row r="156" spans="1:42" ht="21" customHeight="1" x14ac:dyDescent="0.25">
      <c r="A156"/>
      <c r="B156" s="13" t="s">
        <v>54</v>
      </c>
      <c r="C156" s="13"/>
      <c r="D156" s="22"/>
      <c r="E156" s="171"/>
      <c r="F156" s="107"/>
      <c r="G156" s="305" t="str">
        <f ca="1">_xll.DBRA(Server&amp;$B$22,$B156,"French")</f>
        <v>Charges diverses de gestion courante</v>
      </c>
      <c r="H156" s="305" t="str">
        <f ca="1">_xll.DBRA(Server&amp;$B$22,$B156,"French")</f>
        <v>Charges diverses de gestion courante</v>
      </c>
      <c r="I156" s="37"/>
      <c r="J156" s="54">
        <f ca="1">_xll.DBRW(Server&amp;Cube1,$H$13,$J$3,$H$15,$J$1,$J$2,$H$16,$B156)</f>
        <v>0</v>
      </c>
      <c r="K156" s="37"/>
      <c r="L156" s="54">
        <f ca="1">_xll.DBRW(Server&amp;Cube1,$H$13,$L$3,$H$15,$L$1,$L$2,$H$16,$B156)</f>
        <v>0</v>
      </c>
      <c r="M156" s="55"/>
      <c r="N156" s="139">
        <f ca="1">_xll.DBRW(Server&amp;Cube1,$H$13,$H$14,$H$15,$N$1,N$2,$H$16,$B156)</f>
        <v>0</v>
      </c>
      <c r="O156" s="57"/>
      <c r="P156" s="156">
        <v>0</v>
      </c>
      <c r="Q156" s="157">
        <v>0</v>
      </c>
      <c r="R156" s="157">
        <v>0</v>
      </c>
      <c r="S156" s="157">
        <v>0</v>
      </c>
      <c r="T156" s="157">
        <v>0</v>
      </c>
      <c r="U156" s="157">
        <v>0</v>
      </c>
      <c r="V156" s="157">
        <v>0</v>
      </c>
      <c r="W156" s="157">
        <v>0</v>
      </c>
      <c r="X156" s="157">
        <v>0</v>
      </c>
      <c r="Y156" s="157">
        <v>0</v>
      </c>
      <c r="Z156" s="157">
        <v>0</v>
      </c>
      <c r="AA156" s="158">
        <v>0</v>
      </c>
      <c r="AB156" s="31"/>
      <c r="AE156" s="67">
        <f ca="1">_xll.DBRW(Server&amp;Cube1,$H$13,$H$14,$H$15,$H$17,AE$2,$H$16,$B156)</f>
        <v>0</v>
      </c>
      <c r="AF156" s="70">
        <f ca="1">_xll.DBRW(Server&amp;Cube1,$H$13,$H$14,$H$15,$H$17,AF$2,$H$16,$B156)</f>
        <v>0</v>
      </c>
      <c r="AG156" s="70">
        <f ca="1">_xll.DBRW(Server&amp;Cube1,$H$13,$H$14,$H$15,$H$17,AG$2,$H$16,$B156)</f>
        <v>0</v>
      </c>
      <c r="AH156" s="70">
        <f ca="1">_xll.DBRW(Server&amp;Cube1,$H$13,$H$14,$H$15,$H$17,AH$2,$H$16,$B156)</f>
        <v>0</v>
      </c>
      <c r="AI156" s="70">
        <f ca="1">_xll.DBRW(Server&amp;Cube1,$H$13,$H$14,$H$15,$H$17,AI$2,$H$16,$B156)</f>
        <v>0</v>
      </c>
      <c r="AJ156" s="70">
        <f ca="1">_xll.DBRW(Server&amp;Cube1,$H$13,$H$14,$H$15,$H$17,AJ$2,$H$16,$B156)</f>
        <v>0</v>
      </c>
      <c r="AK156" s="70">
        <f ca="1">_xll.DBRW(Server&amp;Cube1,$H$13,$H$14,$H$15,$H$17,AK$2,$H$16,$B156)</f>
        <v>0</v>
      </c>
      <c r="AL156" s="70">
        <f ca="1">_xll.DBRW(Server&amp;Cube1,$H$13,$H$14,$H$15,$H$17,AL$2,$H$16,$B156)</f>
        <v>0</v>
      </c>
      <c r="AM156" s="70">
        <f ca="1">_xll.DBRW(Server&amp;Cube1,$H$13,$H$14,$H$15,$H$17,AM$2,$H$16,$B156)</f>
        <v>0</v>
      </c>
      <c r="AN156" s="70">
        <f ca="1">_xll.DBRW(Server&amp;Cube1,$H$13,$H$14,$H$15,$H$17,AN$2,$H$16,$B156)</f>
        <v>0</v>
      </c>
      <c r="AO156" s="70">
        <f ca="1">_xll.DBRW(Server&amp;Cube1,$H$13,$H$14,$H$15,$H$17,AO$2,$H$16,$B156)</f>
        <v>0</v>
      </c>
      <c r="AP156" s="71">
        <f ca="1">_xll.DBRW(Server&amp;Cube1,$H$13,$H$14,$H$15,$H$17,AP$2,$H$16,$B156)</f>
        <v>0</v>
      </c>
    </row>
    <row r="157" spans="1:42" ht="21" customHeight="1" x14ac:dyDescent="0.25">
      <c r="A157"/>
      <c r="B157" s="13" t="s">
        <v>54</v>
      </c>
      <c r="C157" s="12"/>
      <c r="D157" s="21"/>
      <c r="E157" s="169"/>
      <c r="F157" s="105"/>
      <c r="G157" s="319" t="s">
        <v>102</v>
      </c>
      <c r="H157" s="319"/>
      <c r="I157" s="127"/>
      <c r="J157" s="137"/>
      <c r="K157" s="127"/>
      <c r="L157" s="137"/>
      <c r="M157" s="134"/>
      <c r="N157" s="108">
        <f ca="1">_xll.DBRW(Server&amp;Cube1,$H$13,$H$14,$H$15,$N$3,N$2,$H$16,$B157)</f>
        <v>0</v>
      </c>
      <c r="O157" s="135"/>
      <c r="P157" s="151">
        <v>0</v>
      </c>
      <c r="Q157" s="152">
        <v>0</v>
      </c>
      <c r="R157" s="152">
        <v>0</v>
      </c>
      <c r="S157" s="152">
        <v>0</v>
      </c>
      <c r="T157" s="152">
        <v>0</v>
      </c>
      <c r="U157" s="152">
        <v>0</v>
      </c>
      <c r="V157" s="152">
        <v>0</v>
      </c>
      <c r="W157" s="152">
        <v>0</v>
      </c>
      <c r="X157" s="152">
        <v>0</v>
      </c>
      <c r="Y157" s="152">
        <v>0</v>
      </c>
      <c r="Z157" s="152">
        <v>0</v>
      </c>
      <c r="AA157" s="159">
        <v>0</v>
      </c>
      <c r="AB157" s="31"/>
      <c r="AE157" s="90">
        <f ca="1">IF($AE$3=1,_xll.DBSW(P157,Server&amp;Cube1,$H$13,$H$14,$H$15,$AE$1,AE$2,$H$16,$B157),_xll.DBRW(Server&amp;Cube1,$H$13,$H$14,$H$15,$AE$1,AE$2,$H$16,$B157))</f>
        <v>0</v>
      </c>
      <c r="AF157" s="90">
        <f ca="1">IF($AE$3=1,_xll.DBSW(Q157,Server&amp;Cube1,$H$13,$H$14,$H$15,$AE$1,AF$2,$H$16,$B157),_xll.DBRW(Server&amp;Cube1,$H$13,$H$14,$H$15,$AE$1,AF$2,$H$16,$B157))</f>
        <v>0</v>
      </c>
      <c r="AG157" s="90">
        <f ca="1">IF($AE$3=1,_xll.DBSW(R157,Server&amp;Cube1,$H$13,$H$14,$H$15,$AE$1,AG$2,$H$16,$B157),_xll.DBRW(Server&amp;Cube1,$H$13,$H$14,$H$15,$AE$1,AG$2,$H$16,$B157))</f>
        <v>0</v>
      </c>
      <c r="AH157" s="90">
        <f ca="1">IF($AE$3=1,_xll.DBSW(S157,Server&amp;Cube1,$H$13,$H$14,$H$15,$AE$1,AH$2,$H$16,$B157),_xll.DBRW(Server&amp;Cube1,$H$13,$H$14,$H$15,$AE$1,AH$2,$H$16,$B157))</f>
        <v>0</v>
      </c>
      <c r="AI157" s="90">
        <f ca="1">IF($AE$3=1,_xll.DBSW(T157,Server&amp;Cube1,$H$13,$H$14,$H$15,$AE$1,AI$2,$H$16,$B157),_xll.DBRW(Server&amp;Cube1,$H$13,$H$14,$H$15,$AE$1,AI$2,$H$16,$B157))</f>
        <v>0</v>
      </c>
      <c r="AJ157" s="90">
        <f ca="1">IF($AE$3=1,_xll.DBSW(U157,Server&amp;Cube1,$H$13,$H$14,$H$15,$AE$1,AJ$2,$H$16,$B157),_xll.DBRW(Server&amp;Cube1,$H$13,$H$14,$H$15,$AE$1,AJ$2,$H$16,$B157))</f>
        <v>0</v>
      </c>
      <c r="AK157" s="90">
        <f ca="1">IF($AE$3=1,_xll.DBSW(V157,Server&amp;Cube1,$H$13,$H$14,$H$15,$AE$1,AK$2,$H$16,$B157),_xll.DBRW(Server&amp;Cube1,$H$13,$H$14,$H$15,$AE$1,AK$2,$H$16,$B157))</f>
        <v>0</v>
      </c>
      <c r="AL157" s="90">
        <f ca="1">IF($AE$3=1,_xll.DBSW(W157,Server&amp;Cube1,$H$13,$H$14,$H$15,$AE$1,AL$2,$H$16,$B157),_xll.DBRW(Server&amp;Cube1,$H$13,$H$14,$H$15,$AE$1,AL$2,$H$16,$B157))</f>
        <v>0</v>
      </c>
      <c r="AM157" s="90">
        <f ca="1">IF($AE$3=1,_xll.DBSW(X157,Server&amp;Cube1,$H$13,$H$14,$H$15,$AE$1,AM$2,$H$16,$B157),_xll.DBRW(Server&amp;Cube1,$H$13,$H$14,$H$15,$AE$1,AM$2,$H$16,$B157))</f>
        <v>0</v>
      </c>
      <c r="AN157" s="90">
        <f ca="1">IF($AE$3=1,_xll.DBSW(Y157,Server&amp;Cube1,$H$13,$H$14,$H$15,$AE$1,AN$2,$H$16,$B157),_xll.DBRW(Server&amp;Cube1,$H$13,$H$14,$H$15,$AE$1,AN$2,$H$16,$B157))</f>
        <v>0</v>
      </c>
      <c r="AO157" s="90">
        <f ca="1">IF($AE$3=1,_xll.DBSW(Z157,Server&amp;Cube1,$H$13,$H$14,$H$15,$AE$1,AO$2,$H$16,$B157),_xll.DBRW(Server&amp;Cube1,$H$13,$H$14,$H$15,$AE$1,AO$2,$H$16,$B157))</f>
        <v>0</v>
      </c>
      <c r="AP157" s="90">
        <f ca="1">IF($AE$3=1,_xll.DBSW(AA157,Server&amp;Cube1,$H$13,$H$14,$H$15,$AE$1,AP$2,$H$16,$B157),_xll.DBRW(Server&amp;Cube1,$H$13,$H$14,$H$15,$AE$1,AP$2,$H$16,$B157))</f>
        <v>0</v>
      </c>
    </row>
    <row r="158" spans="1:42" ht="21" customHeight="1" x14ac:dyDescent="0.25">
      <c r="A158"/>
      <c r="B158" s="13" t="s">
        <v>55</v>
      </c>
      <c r="C158" s="13"/>
      <c r="D158" s="22"/>
      <c r="E158" s="171"/>
      <c r="F158" s="107"/>
      <c r="G158" s="305" t="str">
        <f ca="1">_xll.DBRA(Server&amp;$B$22,$B158,"French")</f>
        <v>Frais de tenue de compte</v>
      </c>
      <c r="H158" s="305" t="str">
        <f ca="1">_xll.DBRA(Server&amp;$B$22,$B158,"French")</f>
        <v>Frais de tenue de compte</v>
      </c>
      <c r="I158" s="37"/>
      <c r="J158" s="54">
        <f ca="1">_xll.DBRW(Server&amp;Cube1,$H$13,$J$3,$H$15,$J$1,$J$2,$H$16,$B158)</f>
        <v>0</v>
      </c>
      <c r="K158" s="37"/>
      <c r="L158" s="54">
        <f ca="1">_xll.DBRW(Server&amp;Cube1,$H$13,$L$3,$H$15,$L$1,$L$2,$H$16,$B158)</f>
        <v>0</v>
      </c>
      <c r="M158" s="55"/>
      <c r="N158" s="139">
        <f ca="1">_xll.DBRW(Server&amp;Cube1,$H$13,$H$14,$H$15,$N$1,N$2,$H$16,$B158)</f>
        <v>0</v>
      </c>
      <c r="O158" s="57"/>
      <c r="P158" s="156">
        <v>0</v>
      </c>
      <c r="Q158" s="157">
        <v>0</v>
      </c>
      <c r="R158" s="157">
        <v>0</v>
      </c>
      <c r="S158" s="157">
        <v>0</v>
      </c>
      <c r="T158" s="157">
        <v>0</v>
      </c>
      <c r="U158" s="157">
        <v>0</v>
      </c>
      <c r="V158" s="157">
        <v>0</v>
      </c>
      <c r="W158" s="157">
        <v>0</v>
      </c>
      <c r="X158" s="157">
        <v>0</v>
      </c>
      <c r="Y158" s="157">
        <v>0</v>
      </c>
      <c r="Z158" s="157">
        <v>0</v>
      </c>
      <c r="AA158" s="158">
        <v>0</v>
      </c>
      <c r="AB158" s="31"/>
      <c r="AE158" s="67">
        <f ca="1">_xll.DBRW(Server&amp;Cube1,$H$13,$H$14,$H$15,$H$17,AE$2,$H$16,$B158)</f>
        <v>0</v>
      </c>
      <c r="AF158" s="70">
        <f ca="1">_xll.DBRW(Server&amp;Cube1,$H$13,$H$14,$H$15,$H$17,AF$2,$H$16,$B158)</f>
        <v>0</v>
      </c>
      <c r="AG158" s="70">
        <f ca="1">_xll.DBRW(Server&amp;Cube1,$H$13,$H$14,$H$15,$H$17,AG$2,$H$16,$B158)</f>
        <v>0</v>
      </c>
      <c r="AH158" s="70">
        <f ca="1">_xll.DBRW(Server&amp;Cube1,$H$13,$H$14,$H$15,$H$17,AH$2,$H$16,$B158)</f>
        <v>0</v>
      </c>
      <c r="AI158" s="70">
        <f ca="1">_xll.DBRW(Server&amp;Cube1,$H$13,$H$14,$H$15,$H$17,AI$2,$H$16,$B158)</f>
        <v>0</v>
      </c>
      <c r="AJ158" s="70">
        <f ca="1">_xll.DBRW(Server&amp;Cube1,$H$13,$H$14,$H$15,$H$17,AJ$2,$H$16,$B158)</f>
        <v>0</v>
      </c>
      <c r="AK158" s="70">
        <f ca="1">_xll.DBRW(Server&amp;Cube1,$H$13,$H$14,$H$15,$H$17,AK$2,$H$16,$B158)</f>
        <v>0</v>
      </c>
      <c r="AL158" s="70">
        <f ca="1">_xll.DBRW(Server&amp;Cube1,$H$13,$H$14,$H$15,$H$17,AL$2,$H$16,$B158)</f>
        <v>0</v>
      </c>
      <c r="AM158" s="70">
        <f ca="1">_xll.DBRW(Server&amp;Cube1,$H$13,$H$14,$H$15,$H$17,AM$2,$H$16,$B158)</f>
        <v>0</v>
      </c>
      <c r="AN158" s="70">
        <f ca="1">_xll.DBRW(Server&amp;Cube1,$H$13,$H$14,$H$15,$H$17,AN$2,$H$16,$B158)</f>
        <v>0</v>
      </c>
      <c r="AO158" s="70">
        <f ca="1">_xll.DBRW(Server&amp;Cube1,$H$13,$H$14,$H$15,$H$17,AO$2,$H$16,$B158)</f>
        <v>0</v>
      </c>
      <c r="AP158" s="71">
        <f ca="1">_xll.DBRW(Server&amp;Cube1,$H$13,$H$14,$H$15,$H$17,AP$2,$H$16,$B158)</f>
        <v>0</v>
      </c>
    </row>
    <row r="159" spans="1:42" ht="21" customHeight="1" x14ac:dyDescent="0.25">
      <c r="A159"/>
      <c r="B159" s="13" t="s">
        <v>55</v>
      </c>
      <c r="C159" s="12"/>
      <c r="D159" s="21"/>
      <c r="E159" s="169"/>
      <c r="F159" s="105"/>
      <c r="G159" s="319" t="s">
        <v>102</v>
      </c>
      <c r="H159" s="319"/>
      <c r="I159" s="127"/>
      <c r="J159" s="137"/>
      <c r="K159" s="127"/>
      <c r="L159" s="137"/>
      <c r="M159" s="134"/>
      <c r="N159" s="140">
        <f ca="1">_xll.DBRW(Server&amp;Cube1,$H$13,$H$14,$H$15,$N$3,N$2,$H$16,$B159)</f>
        <v>0</v>
      </c>
      <c r="O159" s="135"/>
      <c r="P159" s="151">
        <v>0</v>
      </c>
      <c r="Q159" s="152">
        <v>0</v>
      </c>
      <c r="R159" s="152">
        <v>0</v>
      </c>
      <c r="S159" s="152">
        <v>0</v>
      </c>
      <c r="T159" s="152">
        <v>0</v>
      </c>
      <c r="U159" s="152">
        <v>0</v>
      </c>
      <c r="V159" s="152">
        <v>0</v>
      </c>
      <c r="W159" s="152">
        <v>0</v>
      </c>
      <c r="X159" s="152">
        <v>0</v>
      </c>
      <c r="Y159" s="152">
        <v>0</v>
      </c>
      <c r="Z159" s="152">
        <v>0</v>
      </c>
      <c r="AA159" s="159">
        <v>0</v>
      </c>
      <c r="AB159" s="31"/>
      <c r="AE159" s="90">
        <f ca="1">IF($AE$3=1,_xll.DBSW(P159,Server&amp;Cube1,$H$13,$H$14,$H$15,$AE$1,AE$2,$H$16,$B159),_xll.DBRW(Server&amp;Cube1,$H$13,$H$14,$H$15,$AE$1,AE$2,$H$16,$B159))</f>
        <v>0</v>
      </c>
      <c r="AF159" s="90">
        <f ca="1">IF($AE$3=1,_xll.DBSW(Q159,Server&amp;Cube1,$H$13,$H$14,$H$15,$AE$1,AF$2,$H$16,$B159),_xll.DBRW(Server&amp;Cube1,$H$13,$H$14,$H$15,$AE$1,AF$2,$H$16,$B159))</f>
        <v>0</v>
      </c>
      <c r="AG159" s="90">
        <f ca="1">IF($AE$3=1,_xll.DBSW(R159,Server&amp;Cube1,$H$13,$H$14,$H$15,$AE$1,AG$2,$H$16,$B159),_xll.DBRW(Server&amp;Cube1,$H$13,$H$14,$H$15,$AE$1,AG$2,$H$16,$B159))</f>
        <v>0</v>
      </c>
      <c r="AH159" s="90">
        <f ca="1">IF($AE$3=1,_xll.DBSW(S159,Server&amp;Cube1,$H$13,$H$14,$H$15,$AE$1,AH$2,$H$16,$B159),_xll.DBRW(Server&amp;Cube1,$H$13,$H$14,$H$15,$AE$1,AH$2,$H$16,$B159))</f>
        <v>0</v>
      </c>
      <c r="AI159" s="90">
        <f ca="1">IF($AE$3=1,_xll.DBSW(T159,Server&amp;Cube1,$H$13,$H$14,$H$15,$AE$1,AI$2,$H$16,$B159),_xll.DBRW(Server&amp;Cube1,$H$13,$H$14,$H$15,$AE$1,AI$2,$H$16,$B159))</f>
        <v>0</v>
      </c>
      <c r="AJ159" s="90">
        <f ca="1">IF($AE$3=1,_xll.DBSW(U159,Server&amp;Cube1,$H$13,$H$14,$H$15,$AE$1,AJ$2,$H$16,$B159),_xll.DBRW(Server&amp;Cube1,$H$13,$H$14,$H$15,$AE$1,AJ$2,$H$16,$B159))</f>
        <v>0</v>
      </c>
      <c r="AK159" s="90">
        <f ca="1">IF($AE$3=1,_xll.DBSW(V159,Server&amp;Cube1,$H$13,$H$14,$H$15,$AE$1,AK$2,$H$16,$B159),_xll.DBRW(Server&amp;Cube1,$H$13,$H$14,$H$15,$AE$1,AK$2,$H$16,$B159))</f>
        <v>0</v>
      </c>
      <c r="AL159" s="90">
        <f ca="1">IF($AE$3=1,_xll.DBSW(W159,Server&amp;Cube1,$H$13,$H$14,$H$15,$AE$1,AL$2,$H$16,$B159),_xll.DBRW(Server&amp;Cube1,$H$13,$H$14,$H$15,$AE$1,AL$2,$H$16,$B159))</f>
        <v>0</v>
      </c>
      <c r="AM159" s="90">
        <f ca="1">IF($AE$3=1,_xll.DBSW(X159,Server&amp;Cube1,$H$13,$H$14,$H$15,$AE$1,AM$2,$H$16,$B159),_xll.DBRW(Server&amp;Cube1,$H$13,$H$14,$H$15,$AE$1,AM$2,$H$16,$B159))</f>
        <v>0</v>
      </c>
      <c r="AN159" s="90">
        <f ca="1">IF($AE$3=1,_xll.DBSW(Y159,Server&amp;Cube1,$H$13,$H$14,$H$15,$AE$1,AN$2,$H$16,$B159),_xll.DBRW(Server&amp;Cube1,$H$13,$H$14,$H$15,$AE$1,AN$2,$H$16,$B159))</f>
        <v>0</v>
      </c>
      <c r="AO159" s="90">
        <f ca="1">IF($AE$3=1,_xll.DBSW(Z159,Server&amp;Cube1,$H$13,$H$14,$H$15,$AE$1,AO$2,$H$16,$B159),_xll.DBRW(Server&amp;Cube1,$H$13,$H$14,$H$15,$AE$1,AO$2,$H$16,$B159))</f>
        <v>0</v>
      </c>
      <c r="AP159" s="90">
        <f ca="1">IF($AE$3=1,_xll.DBSW(AA159,Server&amp;Cube1,$H$13,$H$14,$H$15,$AE$1,AP$2,$H$16,$B159),_xll.DBRW(Server&amp;Cube1,$H$13,$H$14,$H$15,$AE$1,AP$2,$H$16,$B159))</f>
        <v>0</v>
      </c>
    </row>
    <row r="160" spans="1:42" ht="6.75" customHeight="1" x14ac:dyDescent="0.25">
      <c r="A160"/>
      <c r="B160" s="11"/>
      <c r="C160" s="11"/>
      <c r="D160" s="20"/>
      <c r="E160" s="170"/>
      <c r="F160" s="106"/>
      <c r="G160" s="43"/>
      <c r="H160" s="43"/>
      <c r="I160" s="38"/>
      <c r="J160" s="62"/>
      <c r="K160" s="38"/>
      <c r="L160" s="62"/>
      <c r="M160" s="63"/>
      <c r="N160" s="64"/>
      <c r="O160" s="64"/>
      <c r="P160" s="62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6"/>
      <c r="AB160" s="31"/>
    </row>
    <row r="161" spans="1:42" ht="22.5" customHeight="1" x14ac:dyDescent="0.25">
      <c r="A161"/>
      <c r="B161" s="12" t="s">
        <v>67</v>
      </c>
      <c r="C161" s="12"/>
      <c r="D161" s="21"/>
      <c r="E161" s="169"/>
      <c r="F161" s="105"/>
      <c r="G161" s="164" t="str">
        <f ca="1">_xll.DBRA(Server&amp;$B$22,$B161,"French")</f>
        <v>RESULTAT financier</v>
      </c>
      <c r="H161" s="52"/>
      <c r="I161" s="39"/>
      <c r="J161" s="51">
        <f ca="1">_xll.DBRW(Server&amp;Cube1,$H$13,$J$3,$H$15,$J$1,$J$2,$H$16,$B161)</f>
        <v>0</v>
      </c>
      <c r="K161" s="39"/>
      <c r="L161" s="51">
        <f ca="1">_xll.DBRW(Server&amp;Cube1,$H$13,$L$3,$H$15,$L$1,$L$2,$H$16,$B161)</f>
        <v>0</v>
      </c>
      <c r="M161" s="60"/>
      <c r="N161" s="51">
        <f ca="1">_xll.DBRW(Server&amp;Cube1,$H$13,$H$14,$H$15,$N$1,N$2,$H$16,$B161)</f>
        <v>0</v>
      </c>
      <c r="O161" s="61"/>
      <c r="P161" s="49">
        <f ca="1">_xll.DBRW(Server&amp;Cube1,$H$13,$H$14,$H$15,$H$17,P$1,$H$16,$B161)</f>
        <v>0</v>
      </c>
      <c r="Q161" s="50">
        <f ca="1">_xll.DBRW(Server&amp;Cube1,$H$13,$H$14,$H$15,$H$17,Q$1,$H$16,$B161)</f>
        <v>0</v>
      </c>
      <c r="R161" s="50">
        <f ca="1">_xll.DBRW(Server&amp;Cube1,$H$13,$H$14,$H$15,$H$17,R$1,$H$16,$B161)</f>
        <v>0</v>
      </c>
      <c r="S161" s="50">
        <f ca="1">_xll.DBRW(Server&amp;Cube1,$H$13,$H$14,$H$15,$H$17,S$1,$H$16,$B161)</f>
        <v>0</v>
      </c>
      <c r="T161" s="50">
        <f ca="1">_xll.DBRW(Server&amp;Cube1,$H$13,$H$14,$H$15,$H$17,T$1,$H$16,$B161)</f>
        <v>0</v>
      </c>
      <c r="U161" s="50">
        <f ca="1">_xll.DBRW(Server&amp;Cube1,$H$13,$H$14,$H$15,$H$17,U$1,$H$16,$B161)</f>
        <v>0</v>
      </c>
      <c r="V161" s="50">
        <f ca="1">_xll.DBRW(Server&amp;Cube1,$H$13,$H$14,$H$15,$H$17,V$1,$H$16,$B161)</f>
        <v>0</v>
      </c>
      <c r="W161" s="50">
        <f ca="1">_xll.DBRW(Server&amp;Cube1,$H$13,$H$14,$H$15,$H$17,W$1,$H$16,$B161)</f>
        <v>0</v>
      </c>
      <c r="X161" s="50">
        <f ca="1">_xll.DBRW(Server&amp;Cube1,$H$13,$H$14,$H$15,$H$17,X$1,$H$16,$B161)</f>
        <v>0</v>
      </c>
      <c r="Y161" s="50">
        <f ca="1">_xll.DBRW(Server&amp;Cube1,$H$13,$H$14,$H$15,$H$17,Y$1,$H$16,$B161)</f>
        <v>0</v>
      </c>
      <c r="Z161" s="50">
        <f ca="1">_xll.DBRW(Server&amp;Cube1,$H$13,$H$14,$H$15,$H$17,Z$1,$H$16,$B161)</f>
        <v>0</v>
      </c>
      <c r="AA161" s="53">
        <f ca="1">_xll.DBRW(Server&amp;Cube1,$H$13,$H$14,$H$15,$H$17,AA$1,$H$16,$B161)</f>
        <v>0</v>
      </c>
      <c r="AB161" s="31"/>
    </row>
    <row r="162" spans="1:42" ht="5.25" customHeight="1" x14ac:dyDescent="0.25">
      <c r="A162"/>
      <c r="B162" s="11"/>
      <c r="C162" s="11"/>
      <c r="D162" s="20"/>
      <c r="E162" s="170"/>
      <c r="F162" s="106"/>
      <c r="G162" s="43"/>
      <c r="H162" s="43"/>
      <c r="I162" s="38"/>
      <c r="J162" s="62"/>
      <c r="K162" s="38"/>
      <c r="L162" s="62"/>
      <c r="M162" s="63"/>
      <c r="N162" s="64"/>
      <c r="O162" s="64"/>
      <c r="P162" s="62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6"/>
      <c r="AB162" s="31"/>
    </row>
    <row r="163" spans="1:42" ht="5.25" customHeight="1" x14ac:dyDescent="0.25">
      <c r="A163"/>
      <c r="B163" s="11"/>
      <c r="C163" s="11"/>
      <c r="D163" s="20"/>
      <c r="E163" s="170"/>
      <c r="F163" s="106"/>
      <c r="G163" s="43"/>
      <c r="H163" s="43"/>
      <c r="I163" s="38"/>
      <c r="J163" s="62"/>
      <c r="K163" s="38"/>
      <c r="L163" s="62"/>
      <c r="M163" s="63"/>
      <c r="N163" s="100"/>
      <c r="O163" s="64"/>
      <c r="P163" s="62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6"/>
      <c r="AB163" s="31"/>
    </row>
    <row r="164" spans="1:42" ht="15.75" x14ac:dyDescent="0.25">
      <c r="A164"/>
      <c r="B164" s="11" t="s">
        <v>57</v>
      </c>
      <c r="C164" s="11"/>
      <c r="D164" s="20"/>
      <c r="E164" s="170"/>
      <c r="F164" s="106"/>
      <c r="G164" s="305" t="str">
        <f ca="1">_xll.DBRA(Server&amp;$B$22,$B164,"French")</f>
        <v>Produits exceptionnels</v>
      </c>
      <c r="H164" s="305" t="str">
        <f ca="1">_xll.DBRA(Server&amp;$B$22,$B164,"French")</f>
        <v>Produits exceptionnels</v>
      </c>
      <c r="I164" s="37"/>
      <c r="J164" s="54">
        <f ca="1">_xll.DBRW(Server&amp;Cube1,$H$13,$J$3,$H$15,$J$1,$J$2,$H$16,$B164)</f>
        <v>0</v>
      </c>
      <c r="K164" s="37"/>
      <c r="L164" s="54">
        <f ca="1">_xll.DBRW(Server&amp;Cube1,$H$13,$L$3,$H$15,$L$1,$L$2,$H$16,$B164)</f>
        <v>0</v>
      </c>
      <c r="M164" s="55"/>
      <c r="N164" s="142">
        <f ca="1">_xll.DBRW(Server&amp;Cube1,$H$13,$H$14,$H$15,$N$1,N$2,$H$16,$B164)</f>
        <v>0</v>
      </c>
      <c r="O164" s="57"/>
      <c r="P164" s="156">
        <v>0</v>
      </c>
      <c r="Q164" s="157">
        <v>0</v>
      </c>
      <c r="R164" s="157">
        <v>0</v>
      </c>
      <c r="S164" s="157">
        <v>0</v>
      </c>
      <c r="T164" s="157">
        <v>0</v>
      </c>
      <c r="U164" s="157">
        <v>0</v>
      </c>
      <c r="V164" s="157">
        <v>0</v>
      </c>
      <c r="W164" s="157">
        <v>0</v>
      </c>
      <c r="X164" s="157">
        <v>0</v>
      </c>
      <c r="Y164" s="157">
        <v>0</v>
      </c>
      <c r="Z164" s="157">
        <v>0</v>
      </c>
      <c r="AA164" s="158">
        <v>0</v>
      </c>
      <c r="AB164" s="31"/>
      <c r="AE164" s="67">
        <f ca="1">_xll.DBRW(Server&amp;Cube1,$H$13,$H$14,$H$15,$H$17,AE$2,$H$16,$B164)</f>
        <v>0</v>
      </c>
      <c r="AF164" s="70">
        <f ca="1">_xll.DBRW(Server&amp;Cube1,$H$13,$H$14,$H$15,$H$17,AF$2,$H$16,$B164)</f>
        <v>0</v>
      </c>
      <c r="AG164" s="70">
        <f ca="1">_xll.DBRW(Server&amp;Cube1,$H$13,$H$14,$H$15,$H$17,AG$2,$H$16,$B164)</f>
        <v>0</v>
      </c>
      <c r="AH164" s="70">
        <f ca="1">_xll.DBRW(Server&amp;Cube1,$H$13,$H$14,$H$15,$H$17,AH$2,$H$16,$B164)</f>
        <v>0</v>
      </c>
      <c r="AI164" s="70">
        <f ca="1">_xll.DBRW(Server&amp;Cube1,$H$13,$H$14,$H$15,$H$17,AI$2,$H$16,$B164)</f>
        <v>0</v>
      </c>
      <c r="AJ164" s="70">
        <f ca="1">_xll.DBRW(Server&amp;Cube1,$H$13,$H$14,$H$15,$H$17,AJ$2,$H$16,$B164)</f>
        <v>0</v>
      </c>
      <c r="AK164" s="70">
        <f ca="1">_xll.DBRW(Server&amp;Cube1,$H$13,$H$14,$H$15,$H$17,AK$2,$H$16,$B164)</f>
        <v>0</v>
      </c>
      <c r="AL164" s="70">
        <f ca="1">_xll.DBRW(Server&amp;Cube1,$H$13,$H$14,$H$15,$H$17,AL$2,$H$16,$B164)</f>
        <v>0</v>
      </c>
      <c r="AM164" s="70">
        <f ca="1">_xll.DBRW(Server&amp;Cube1,$H$13,$H$14,$H$15,$H$17,AM$2,$H$16,$B164)</f>
        <v>0</v>
      </c>
      <c r="AN164" s="70">
        <f ca="1">_xll.DBRW(Server&amp;Cube1,$H$13,$H$14,$H$15,$H$17,AN$2,$H$16,$B164)</f>
        <v>0</v>
      </c>
      <c r="AO164" s="70">
        <f ca="1">_xll.DBRW(Server&amp;Cube1,$H$13,$H$14,$H$15,$H$17,AO$2,$H$16,$B164)</f>
        <v>0</v>
      </c>
      <c r="AP164" s="71">
        <f ca="1">_xll.DBRW(Server&amp;Cube1,$H$13,$H$14,$H$15,$H$17,AP$2,$H$16,$B164)</f>
        <v>0</v>
      </c>
    </row>
    <row r="165" spans="1:42" ht="21" customHeight="1" x14ac:dyDescent="0.25">
      <c r="A165"/>
      <c r="B165" s="11" t="s">
        <v>57</v>
      </c>
      <c r="C165" s="12"/>
      <c r="D165" s="21"/>
      <c r="E165" s="169"/>
      <c r="F165" s="105"/>
      <c r="G165" s="319" t="s">
        <v>102</v>
      </c>
      <c r="H165" s="319"/>
      <c r="I165" s="127"/>
      <c r="J165" s="137"/>
      <c r="K165" s="127"/>
      <c r="L165" s="137"/>
      <c r="M165" s="134"/>
      <c r="N165" s="108">
        <f ca="1">_xll.DBRW(Server&amp;Cube1,$H$13,$H$14,$H$15,$N$3,N$2,$H$16,$B165)</f>
        <v>0</v>
      </c>
      <c r="O165" s="135"/>
      <c r="P165" s="151">
        <v>0</v>
      </c>
      <c r="Q165" s="152">
        <v>0</v>
      </c>
      <c r="R165" s="152">
        <v>0</v>
      </c>
      <c r="S165" s="152">
        <v>0</v>
      </c>
      <c r="T165" s="152">
        <v>0</v>
      </c>
      <c r="U165" s="152">
        <v>0</v>
      </c>
      <c r="V165" s="152">
        <v>0</v>
      </c>
      <c r="W165" s="152">
        <v>0</v>
      </c>
      <c r="X165" s="152">
        <v>0</v>
      </c>
      <c r="Y165" s="152">
        <v>0</v>
      </c>
      <c r="Z165" s="152">
        <v>0</v>
      </c>
      <c r="AA165" s="159">
        <v>0</v>
      </c>
      <c r="AB165" s="31"/>
      <c r="AE165" s="90">
        <f ca="1">IF($AE$3=1,_xll.DBSW(P165,Server&amp;Cube1,$H$13,$H$14,$H$15,$AE$1,AE$2,$H$16,$B165),_xll.DBRW(Server&amp;Cube1,$H$13,$H$14,$H$15,$AE$1,AE$2,$H$16,$B165))</f>
        <v>0</v>
      </c>
      <c r="AF165" s="90">
        <f ca="1">IF($AE$3=1,_xll.DBSW(Q165,Server&amp;Cube1,$H$13,$H$14,$H$15,$AE$1,AF$2,$H$16,$B165),_xll.DBRW(Server&amp;Cube1,$H$13,$H$14,$H$15,$AE$1,AF$2,$H$16,$B165))</f>
        <v>0</v>
      </c>
      <c r="AG165" s="90">
        <f ca="1">IF($AE$3=1,_xll.DBSW(R165,Server&amp;Cube1,$H$13,$H$14,$H$15,$AE$1,AG$2,$H$16,$B165),_xll.DBRW(Server&amp;Cube1,$H$13,$H$14,$H$15,$AE$1,AG$2,$H$16,$B165))</f>
        <v>0</v>
      </c>
      <c r="AH165" s="90">
        <f ca="1">IF($AE$3=1,_xll.DBSW(S165,Server&amp;Cube1,$H$13,$H$14,$H$15,$AE$1,AH$2,$H$16,$B165),_xll.DBRW(Server&amp;Cube1,$H$13,$H$14,$H$15,$AE$1,AH$2,$H$16,$B165))</f>
        <v>0</v>
      </c>
      <c r="AI165" s="90">
        <f ca="1">IF($AE$3=1,_xll.DBSW(T165,Server&amp;Cube1,$H$13,$H$14,$H$15,$AE$1,AI$2,$H$16,$B165),_xll.DBRW(Server&amp;Cube1,$H$13,$H$14,$H$15,$AE$1,AI$2,$H$16,$B165))</f>
        <v>0</v>
      </c>
      <c r="AJ165" s="90">
        <f ca="1">IF($AE$3=1,_xll.DBSW(U165,Server&amp;Cube1,$H$13,$H$14,$H$15,$AE$1,AJ$2,$H$16,$B165),_xll.DBRW(Server&amp;Cube1,$H$13,$H$14,$H$15,$AE$1,AJ$2,$H$16,$B165))</f>
        <v>0</v>
      </c>
      <c r="AK165" s="90">
        <f ca="1">IF($AE$3=1,_xll.DBSW(V165,Server&amp;Cube1,$H$13,$H$14,$H$15,$AE$1,AK$2,$H$16,$B165),_xll.DBRW(Server&amp;Cube1,$H$13,$H$14,$H$15,$AE$1,AK$2,$H$16,$B165))</f>
        <v>0</v>
      </c>
      <c r="AL165" s="90">
        <f ca="1">IF($AE$3=1,_xll.DBSW(W165,Server&amp;Cube1,$H$13,$H$14,$H$15,$AE$1,AL$2,$H$16,$B165),_xll.DBRW(Server&amp;Cube1,$H$13,$H$14,$H$15,$AE$1,AL$2,$H$16,$B165))</f>
        <v>0</v>
      </c>
      <c r="AM165" s="90">
        <f ca="1">IF($AE$3=1,_xll.DBSW(X165,Server&amp;Cube1,$H$13,$H$14,$H$15,$AE$1,AM$2,$H$16,$B165),_xll.DBRW(Server&amp;Cube1,$H$13,$H$14,$H$15,$AE$1,AM$2,$H$16,$B165))</f>
        <v>0</v>
      </c>
      <c r="AN165" s="90">
        <f ca="1">IF($AE$3=1,_xll.DBSW(Y165,Server&amp;Cube1,$H$13,$H$14,$H$15,$AE$1,AN$2,$H$16,$B165),_xll.DBRW(Server&amp;Cube1,$H$13,$H$14,$H$15,$AE$1,AN$2,$H$16,$B165))</f>
        <v>0</v>
      </c>
      <c r="AO165" s="90">
        <f ca="1">IF($AE$3=1,_xll.DBSW(Z165,Server&amp;Cube1,$H$13,$H$14,$H$15,$AE$1,AO$2,$H$16,$B165),_xll.DBRW(Server&amp;Cube1,$H$13,$H$14,$H$15,$AE$1,AO$2,$H$16,$B165))</f>
        <v>0</v>
      </c>
      <c r="AP165" s="90">
        <f ca="1">IF($AE$3=1,_xll.DBSW(AA165,Server&amp;Cube1,$H$13,$H$14,$H$15,$AE$1,AP$2,$H$16,$B165),_xll.DBRW(Server&amp;Cube1,$H$13,$H$14,$H$15,$AE$1,AP$2,$H$16,$B165))</f>
        <v>0</v>
      </c>
    </row>
    <row r="166" spans="1:42" ht="15.75" x14ac:dyDescent="0.25">
      <c r="A166"/>
      <c r="B166" s="11" t="s">
        <v>58</v>
      </c>
      <c r="C166" s="11"/>
      <c r="D166" s="20"/>
      <c r="E166" s="170"/>
      <c r="F166" s="106"/>
      <c r="G166" s="305" t="str">
        <f ca="1">_xll.DBRA(Server&amp;$B$22,$B166,"French")</f>
        <v>Charges exceptionnelles</v>
      </c>
      <c r="H166" s="305" t="str">
        <f ca="1">_xll.DBRA(Server&amp;$B$22,$B166,"French")</f>
        <v>Charges exceptionnelles</v>
      </c>
      <c r="I166" s="37"/>
      <c r="J166" s="54">
        <f ca="1">_xll.DBRW(Server&amp;Cube1,$H$13,$J$3,$H$15,$J$1,$J$2,$H$16,$B166)</f>
        <v>0</v>
      </c>
      <c r="K166" s="37"/>
      <c r="L166" s="54">
        <f ca="1">_xll.DBRW(Server&amp;Cube1,$H$13,$L$3,$H$15,$L$1,$L$2,$H$16,$B166)</f>
        <v>0</v>
      </c>
      <c r="M166" s="55"/>
      <c r="N166" s="139">
        <f ca="1">_xll.DBRW(Server&amp;Cube1,$H$13,$H$14,$H$15,$N$1,N$2,$H$16,$B166)</f>
        <v>0</v>
      </c>
      <c r="O166" s="57"/>
      <c r="P166" s="156">
        <v>0</v>
      </c>
      <c r="Q166" s="157">
        <v>0</v>
      </c>
      <c r="R166" s="157">
        <v>0</v>
      </c>
      <c r="S166" s="157">
        <v>0</v>
      </c>
      <c r="T166" s="157">
        <v>0</v>
      </c>
      <c r="U166" s="157">
        <v>0</v>
      </c>
      <c r="V166" s="157">
        <v>0</v>
      </c>
      <c r="W166" s="157">
        <v>0</v>
      </c>
      <c r="X166" s="157">
        <v>0</v>
      </c>
      <c r="Y166" s="157">
        <v>0</v>
      </c>
      <c r="Z166" s="157">
        <v>0</v>
      </c>
      <c r="AA166" s="158">
        <v>0</v>
      </c>
      <c r="AB166" s="31"/>
      <c r="AE166" s="67">
        <f ca="1">_xll.DBRW(Server&amp;Cube1,$H$13,$H$14,$H$15,$H$17,AE$2,$H$16,$B166)</f>
        <v>0</v>
      </c>
      <c r="AF166" s="70">
        <f ca="1">_xll.DBRW(Server&amp;Cube1,$H$13,$H$14,$H$15,$H$17,AF$2,$H$16,$B166)</f>
        <v>0</v>
      </c>
      <c r="AG166" s="70">
        <f ca="1">_xll.DBRW(Server&amp;Cube1,$H$13,$H$14,$H$15,$H$17,AG$2,$H$16,$B166)</f>
        <v>0</v>
      </c>
      <c r="AH166" s="70">
        <f ca="1">_xll.DBRW(Server&amp;Cube1,$H$13,$H$14,$H$15,$H$17,AH$2,$H$16,$B166)</f>
        <v>0</v>
      </c>
      <c r="AI166" s="70">
        <f ca="1">_xll.DBRW(Server&amp;Cube1,$H$13,$H$14,$H$15,$H$17,AI$2,$H$16,$B166)</f>
        <v>0</v>
      </c>
      <c r="AJ166" s="70">
        <f ca="1">_xll.DBRW(Server&amp;Cube1,$H$13,$H$14,$H$15,$H$17,AJ$2,$H$16,$B166)</f>
        <v>0</v>
      </c>
      <c r="AK166" s="70">
        <f ca="1">_xll.DBRW(Server&amp;Cube1,$H$13,$H$14,$H$15,$H$17,AK$2,$H$16,$B166)</f>
        <v>0</v>
      </c>
      <c r="AL166" s="70">
        <f ca="1">_xll.DBRW(Server&amp;Cube1,$H$13,$H$14,$H$15,$H$17,AL$2,$H$16,$B166)</f>
        <v>0</v>
      </c>
      <c r="AM166" s="70">
        <f ca="1">_xll.DBRW(Server&amp;Cube1,$H$13,$H$14,$H$15,$H$17,AM$2,$H$16,$B166)</f>
        <v>0</v>
      </c>
      <c r="AN166" s="70">
        <f ca="1">_xll.DBRW(Server&amp;Cube1,$H$13,$H$14,$H$15,$H$17,AN$2,$H$16,$B166)</f>
        <v>0</v>
      </c>
      <c r="AO166" s="70">
        <f ca="1">_xll.DBRW(Server&amp;Cube1,$H$13,$H$14,$H$15,$H$17,AO$2,$H$16,$B166)</f>
        <v>0</v>
      </c>
      <c r="AP166" s="71">
        <f ca="1">_xll.DBRW(Server&amp;Cube1,$H$13,$H$14,$H$15,$H$17,AP$2,$H$16,$B166)</f>
        <v>0</v>
      </c>
    </row>
    <row r="167" spans="1:42" ht="21" customHeight="1" x14ac:dyDescent="0.25">
      <c r="A167"/>
      <c r="B167" s="11" t="s">
        <v>58</v>
      </c>
      <c r="C167" s="12"/>
      <c r="D167" s="21"/>
      <c r="E167" s="169"/>
      <c r="F167" s="105"/>
      <c r="G167" s="319" t="s">
        <v>102</v>
      </c>
      <c r="H167" s="319"/>
      <c r="I167" s="127"/>
      <c r="J167" s="137"/>
      <c r="K167" s="127"/>
      <c r="L167" s="137"/>
      <c r="M167" s="134"/>
      <c r="N167" s="140">
        <f ca="1">_xll.DBRW(Server&amp;Cube1,$H$13,$H$14,$H$15,$N$3,N$2,$H$16,$B167)</f>
        <v>0</v>
      </c>
      <c r="O167" s="135"/>
      <c r="P167" s="151">
        <v>0</v>
      </c>
      <c r="Q167" s="152">
        <v>0</v>
      </c>
      <c r="R167" s="152">
        <v>0</v>
      </c>
      <c r="S167" s="152">
        <v>0</v>
      </c>
      <c r="T167" s="152">
        <v>0</v>
      </c>
      <c r="U167" s="152">
        <v>0</v>
      </c>
      <c r="V167" s="152">
        <v>0</v>
      </c>
      <c r="W167" s="152">
        <v>0</v>
      </c>
      <c r="X167" s="152">
        <v>0</v>
      </c>
      <c r="Y167" s="152">
        <v>0</v>
      </c>
      <c r="Z167" s="152">
        <v>0</v>
      </c>
      <c r="AA167" s="159">
        <v>0</v>
      </c>
      <c r="AB167" s="31"/>
      <c r="AE167" s="90">
        <f ca="1">IF($AE$3=1,_xll.DBSW(P167,Server&amp;Cube1,$H$13,$H$14,$H$15,$AE$1,AE$2,$H$16,$B167),_xll.DBRW(Server&amp;Cube1,$H$13,$H$14,$H$15,$AE$1,AE$2,$H$16,$B167))</f>
        <v>0</v>
      </c>
      <c r="AF167" s="90">
        <f ca="1">IF($AE$3=1,_xll.DBSW(Q167,Server&amp;Cube1,$H$13,$H$14,$H$15,$AE$1,AF$2,$H$16,$B167),_xll.DBRW(Server&amp;Cube1,$H$13,$H$14,$H$15,$AE$1,AF$2,$H$16,$B167))</f>
        <v>0</v>
      </c>
      <c r="AG167" s="90">
        <f ca="1">IF($AE$3=1,_xll.DBSW(R167,Server&amp;Cube1,$H$13,$H$14,$H$15,$AE$1,AG$2,$H$16,$B167),_xll.DBRW(Server&amp;Cube1,$H$13,$H$14,$H$15,$AE$1,AG$2,$H$16,$B167))</f>
        <v>0</v>
      </c>
      <c r="AH167" s="90">
        <f ca="1">IF($AE$3=1,_xll.DBSW(S167,Server&amp;Cube1,$H$13,$H$14,$H$15,$AE$1,AH$2,$H$16,$B167),_xll.DBRW(Server&amp;Cube1,$H$13,$H$14,$H$15,$AE$1,AH$2,$H$16,$B167))</f>
        <v>0</v>
      </c>
      <c r="AI167" s="90">
        <f ca="1">IF($AE$3=1,_xll.DBSW(T167,Server&amp;Cube1,$H$13,$H$14,$H$15,$AE$1,AI$2,$H$16,$B167),_xll.DBRW(Server&amp;Cube1,$H$13,$H$14,$H$15,$AE$1,AI$2,$H$16,$B167))</f>
        <v>0</v>
      </c>
      <c r="AJ167" s="90">
        <f ca="1">IF($AE$3=1,_xll.DBSW(U167,Server&amp;Cube1,$H$13,$H$14,$H$15,$AE$1,AJ$2,$H$16,$B167),_xll.DBRW(Server&amp;Cube1,$H$13,$H$14,$H$15,$AE$1,AJ$2,$H$16,$B167))</f>
        <v>0</v>
      </c>
      <c r="AK167" s="90">
        <f ca="1">IF($AE$3=1,_xll.DBSW(V167,Server&amp;Cube1,$H$13,$H$14,$H$15,$AE$1,AK$2,$H$16,$B167),_xll.DBRW(Server&amp;Cube1,$H$13,$H$14,$H$15,$AE$1,AK$2,$H$16,$B167))</f>
        <v>0</v>
      </c>
      <c r="AL167" s="90">
        <f ca="1">IF($AE$3=1,_xll.DBSW(W167,Server&amp;Cube1,$H$13,$H$14,$H$15,$AE$1,AL$2,$H$16,$B167),_xll.DBRW(Server&amp;Cube1,$H$13,$H$14,$H$15,$AE$1,AL$2,$H$16,$B167))</f>
        <v>0</v>
      </c>
      <c r="AM167" s="90">
        <f ca="1">IF($AE$3=1,_xll.DBSW(X167,Server&amp;Cube1,$H$13,$H$14,$H$15,$AE$1,AM$2,$H$16,$B167),_xll.DBRW(Server&amp;Cube1,$H$13,$H$14,$H$15,$AE$1,AM$2,$H$16,$B167))</f>
        <v>0</v>
      </c>
      <c r="AN167" s="90">
        <f ca="1">IF($AE$3=1,_xll.DBSW(Y167,Server&amp;Cube1,$H$13,$H$14,$H$15,$AE$1,AN$2,$H$16,$B167),_xll.DBRW(Server&amp;Cube1,$H$13,$H$14,$H$15,$AE$1,AN$2,$H$16,$B167))</f>
        <v>0</v>
      </c>
      <c r="AO167" s="90">
        <f ca="1">IF($AE$3=1,_xll.DBSW(Z167,Server&amp;Cube1,$H$13,$H$14,$H$15,$AE$1,AO$2,$H$16,$B167),_xll.DBRW(Server&amp;Cube1,$H$13,$H$14,$H$15,$AE$1,AO$2,$H$16,$B167))</f>
        <v>0</v>
      </c>
      <c r="AP167" s="90">
        <f ca="1">IF($AE$3=1,_xll.DBSW(AA167,Server&amp;Cube1,$H$13,$H$14,$H$15,$AE$1,AP$2,$H$16,$B167),_xll.DBRW(Server&amp;Cube1,$H$13,$H$14,$H$15,$AE$1,AP$2,$H$16,$B167))</f>
        <v>0</v>
      </c>
    </row>
    <row r="168" spans="1:42" ht="6.75" customHeight="1" x14ac:dyDescent="0.25">
      <c r="A168"/>
      <c r="B168" s="11"/>
      <c r="C168" s="11"/>
      <c r="D168" s="20"/>
      <c r="E168" s="170"/>
      <c r="F168" s="106"/>
      <c r="G168" s="43"/>
      <c r="H168" s="43"/>
      <c r="I168" s="38"/>
      <c r="J168" s="62"/>
      <c r="K168" s="38"/>
      <c r="L168" s="62"/>
      <c r="M168" s="63"/>
      <c r="N168" s="64"/>
      <c r="O168" s="64"/>
      <c r="P168" s="62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6"/>
      <c r="AB168" s="31"/>
    </row>
    <row r="169" spans="1:42" ht="22.5" customHeight="1" x14ac:dyDescent="0.25">
      <c r="A169"/>
      <c r="B169" s="12" t="s">
        <v>56</v>
      </c>
      <c r="C169" s="12"/>
      <c r="D169" s="21"/>
      <c r="E169" s="169"/>
      <c r="F169" s="105"/>
      <c r="G169" s="164" t="str">
        <f ca="1">_xll.DBRA(Server&amp;$B$22,$B169,"French")</f>
        <v>RESULTAT exceptionnel</v>
      </c>
      <c r="H169" s="52"/>
      <c r="I169" s="39"/>
      <c r="J169" s="51">
        <f ca="1">_xll.DBRW(Server&amp;Cube1,$H$13,$J$3,$H$15,$J$1,$J$2,$H$16,$B169)</f>
        <v>0</v>
      </c>
      <c r="K169" s="39"/>
      <c r="L169" s="51">
        <f ca="1">_xll.DBRW(Server&amp;Cube1,$H$13,$L$3,$H$15,$L$1,$L$2,$H$16,$B169)</f>
        <v>0</v>
      </c>
      <c r="M169" s="60"/>
      <c r="N169" s="51">
        <f ca="1">_xll.DBRW(Server&amp;Cube1,$H$13,$H$14,$H$15,$N$1,N$2,$H$16,$B169)</f>
        <v>0</v>
      </c>
      <c r="O169" s="61"/>
      <c r="P169" s="49">
        <f ca="1">_xll.DBRW(Server&amp;Cube1,$H$13,$H$14,$H$15,$H$17,P$1,$H$16,$B169)</f>
        <v>0</v>
      </c>
      <c r="Q169" s="50">
        <f ca="1">_xll.DBRW(Server&amp;Cube1,$H$13,$H$14,$H$15,$H$17,Q$1,$H$16,$B169)</f>
        <v>0</v>
      </c>
      <c r="R169" s="50">
        <f ca="1">_xll.DBRW(Server&amp;Cube1,$H$13,$H$14,$H$15,$H$17,R$1,$H$16,$B169)</f>
        <v>0</v>
      </c>
      <c r="S169" s="50">
        <f ca="1">_xll.DBRW(Server&amp;Cube1,$H$13,$H$14,$H$15,$H$17,S$1,$H$16,$B169)</f>
        <v>0</v>
      </c>
      <c r="T169" s="50">
        <f ca="1">_xll.DBRW(Server&amp;Cube1,$H$13,$H$14,$H$15,$H$17,T$1,$H$16,$B169)</f>
        <v>0</v>
      </c>
      <c r="U169" s="50">
        <f ca="1">_xll.DBRW(Server&amp;Cube1,$H$13,$H$14,$H$15,$H$17,U$1,$H$16,$B169)</f>
        <v>0</v>
      </c>
      <c r="V169" s="50">
        <f ca="1">_xll.DBRW(Server&amp;Cube1,$H$13,$H$14,$H$15,$H$17,V$1,$H$16,$B169)</f>
        <v>0</v>
      </c>
      <c r="W169" s="50">
        <f ca="1">_xll.DBRW(Server&amp;Cube1,$H$13,$H$14,$H$15,$H$17,W$1,$H$16,$B169)</f>
        <v>0</v>
      </c>
      <c r="X169" s="50">
        <f ca="1">_xll.DBRW(Server&amp;Cube1,$H$13,$H$14,$H$15,$H$17,X$1,$H$16,$B169)</f>
        <v>0</v>
      </c>
      <c r="Y169" s="50">
        <f ca="1">_xll.DBRW(Server&amp;Cube1,$H$13,$H$14,$H$15,$H$17,Y$1,$H$16,$B169)</f>
        <v>0</v>
      </c>
      <c r="Z169" s="50">
        <f ca="1">_xll.DBRW(Server&amp;Cube1,$H$13,$H$14,$H$15,$H$17,Z$1,$H$16,$B169)</f>
        <v>0</v>
      </c>
      <c r="AA169" s="53">
        <f ca="1">_xll.DBRW(Server&amp;Cube1,$H$13,$H$14,$H$15,$H$17,AA$1,$H$16,$B169)</f>
        <v>0</v>
      </c>
      <c r="AB169" s="31"/>
    </row>
    <row r="170" spans="1:42" ht="5.25" customHeight="1" x14ac:dyDescent="0.25">
      <c r="A170"/>
      <c r="B170" s="11"/>
      <c r="C170" s="11"/>
      <c r="D170" s="20"/>
      <c r="E170" s="170"/>
      <c r="F170" s="106"/>
      <c r="G170" s="43"/>
      <c r="H170" s="43"/>
      <c r="I170" s="38"/>
      <c r="J170" s="62"/>
      <c r="K170" s="38"/>
      <c r="L170" s="62"/>
      <c r="M170" s="63"/>
      <c r="N170" s="64"/>
      <c r="O170" s="64"/>
      <c r="P170" s="62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6"/>
      <c r="AB170" s="31"/>
    </row>
    <row r="171" spans="1:42" ht="5.25" customHeight="1" x14ac:dyDescent="0.25">
      <c r="A171"/>
      <c r="B171" s="11"/>
      <c r="C171" s="11"/>
      <c r="D171" s="20"/>
      <c r="E171" s="170"/>
      <c r="F171" s="106"/>
      <c r="G171" s="43"/>
      <c r="H171" s="43"/>
      <c r="I171" s="38"/>
      <c r="J171" s="62"/>
      <c r="K171" s="38"/>
      <c r="L171" s="62"/>
      <c r="M171" s="63"/>
      <c r="N171" s="64"/>
      <c r="O171" s="64"/>
      <c r="P171" s="62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6"/>
      <c r="AB171" s="31"/>
    </row>
    <row r="172" spans="1:42" ht="8.25" customHeight="1" x14ac:dyDescent="0.25">
      <c r="A172"/>
      <c r="B172" s="11"/>
      <c r="C172" s="11"/>
      <c r="D172" s="20"/>
      <c r="E172" s="170"/>
      <c r="F172" s="106"/>
      <c r="G172" s="43"/>
      <c r="H172" s="43"/>
      <c r="I172" s="38"/>
      <c r="J172" s="62"/>
      <c r="K172" s="38"/>
      <c r="L172" s="62"/>
      <c r="M172" s="63"/>
      <c r="N172" s="64"/>
      <c r="O172" s="64"/>
      <c r="P172" s="62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6"/>
      <c r="AB172" s="31"/>
    </row>
    <row r="173" spans="1:42" ht="22.5" customHeight="1" x14ac:dyDescent="0.25">
      <c r="A173"/>
      <c r="B173" s="12" t="s">
        <v>18</v>
      </c>
      <c r="C173" s="12"/>
      <c r="D173" s="21"/>
      <c r="E173" s="169"/>
      <c r="F173" s="328" t="str">
        <f ca="1">_xll.DBRA(Server&amp;$B$22,$B173,"French")</f>
        <v>RESULTAT avant Impôts et Taxes</v>
      </c>
      <c r="G173" s="329"/>
      <c r="H173" s="330"/>
      <c r="I173" s="39"/>
      <c r="J173" s="51">
        <f ca="1">_xll.DBRW(Server&amp;Cube1,$H$13,$J$3,$H$15,$J$1,$J$2,$H$16,$B173)</f>
        <v>1112698.69</v>
      </c>
      <c r="K173" s="39"/>
      <c r="L173" s="51">
        <f ca="1">_xll.DBRW(Server&amp;Cube1,$H$13,$L$3,$H$15,$L$1,$L$2,$H$16,$B173)</f>
        <v>0</v>
      </c>
      <c r="M173" s="60"/>
      <c r="N173" s="51">
        <f ca="1">_xll.DBRW(Server&amp;Cube1,$H$13,$H$14,$H$15,$N$1,N$2,$H$16,$B173)</f>
        <v>0</v>
      </c>
      <c r="O173" s="61"/>
      <c r="P173" s="49">
        <f ca="1">_xll.DBRW(Server&amp;Cube1,$H$13,$H$14,$H$15,$H$17,P$1,$H$16,$B173)</f>
        <v>0</v>
      </c>
      <c r="Q173" s="50">
        <f ca="1">_xll.DBRW(Server&amp;Cube1,$H$13,$H$14,$H$15,$H$17,Q$1,$H$16,$B173)</f>
        <v>0</v>
      </c>
      <c r="R173" s="50">
        <f ca="1">_xll.DBRW(Server&amp;Cube1,$H$13,$H$14,$H$15,$H$17,R$1,$H$16,$B173)</f>
        <v>0</v>
      </c>
      <c r="S173" s="50">
        <f ca="1">_xll.DBRW(Server&amp;Cube1,$H$13,$H$14,$H$15,$H$17,S$1,$H$16,$B173)</f>
        <v>0</v>
      </c>
      <c r="T173" s="50">
        <f ca="1">_xll.DBRW(Server&amp;Cube1,$H$13,$H$14,$H$15,$H$17,T$1,$H$16,$B173)</f>
        <v>0</v>
      </c>
      <c r="U173" s="50">
        <f ca="1">_xll.DBRW(Server&amp;Cube1,$H$13,$H$14,$H$15,$H$17,U$1,$H$16,$B173)</f>
        <v>0</v>
      </c>
      <c r="V173" s="50">
        <f ca="1">_xll.DBRW(Server&amp;Cube1,$H$13,$H$14,$H$15,$H$17,V$1,$H$16,$B173)</f>
        <v>0</v>
      </c>
      <c r="W173" s="50">
        <f ca="1">_xll.DBRW(Server&amp;Cube1,$H$13,$H$14,$H$15,$H$17,W$1,$H$16,$B173)</f>
        <v>0</v>
      </c>
      <c r="X173" s="50">
        <f ca="1">_xll.DBRW(Server&amp;Cube1,$H$13,$H$14,$H$15,$H$17,X$1,$H$16,$B173)</f>
        <v>0</v>
      </c>
      <c r="Y173" s="50">
        <f ca="1">_xll.DBRW(Server&amp;Cube1,$H$13,$H$14,$H$15,$H$17,Y$1,$H$16,$B173)</f>
        <v>0</v>
      </c>
      <c r="Z173" s="50">
        <f ca="1">_xll.DBRW(Server&amp;Cube1,$H$13,$H$14,$H$15,$H$17,Z$1,$H$16,$B173)</f>
        <v>0</v>
      </c>
      <c r="AA173" s="53">
        <f ca="1">_xll.DBRW(Server&amp;Cube1,$H$13,$H$14,$H$15,$H$17,AA$1,$H$16,$B173)</f>
        <v>0</v>
      </c>
      <c r="AB173" s="31"/>
    </row>
    <row r="174" spans="1:42" ht="15.75" customHeight="1" x14ac:dyDescent="0.25">
      <c r="A174"/>
      <c r="B174" s="11"/>
      <c r="C174" s="11"/>
      <c r="D174" s="20"/>
      <c r="E174" s="170"/>
      <c r="F174" s="106"/>
      <c r="G174" s="43"/>
      <c r="H174" s="43"/>
      <c r="I174" s="38"/>
      <c r="J174" s="62"/>
      <c r="K174" s="38"/>
      <c r="L174" s="62"/>
      <c r="M174" s="63"/>
      <c r="N174" s="100"/>
      <c r="O174" s="64"/>
      <c r="P174" s="62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6"/>
      <c r="AB174" s="31"/>
    </row>
    <row r="175" spans="1:42" ht="21" customHeight="1" x14ac:dyDescent="0.25">
      <c r="A175"/>
      <c r="B175" s="12" t="s">
        <v>59</v>
      </c>
      <c r="C175" s="12"/>
      <c r="D175" s="21"/>
      <c r="E175" s="169"/>
      <c r="F175" s="105"/>
      <c r="G175" s="315" t="str">
        <f ca="1">_xll.DBRA(Server&amp;$B$22,$B175,"French")</f>
        <v>Impôts et Taxes</v>
      </c>
      <c r="H175" s="315" t="str">
        <f ca="1">_xll.DBRA(Server&amp;$B$22,$B175,"French")</f>
        <v>Impôts et Taxes</v>
      </c>
      <c r="I175" s="39"/>
      <c r="J175" s="67">
        <f ca="1">_xll.DBRW(Server&amp;Cube1,$H$13,$J$3,$H$15,$J$1,$J$2,$H$16,$B175)</f>
        <v>0</v>
      </c>
      <c r="K175" s="39"/>
      <c r="L175" s="67">
        <f ca="1">_xll.DBRW(Server&amp;Cube1,$H$13,$L$3,$H$15,$L$1,$L$2,$H$16,$B175)</f>
        <v>0</v>
      </c>
      <c r="M175" s="68"/>
      <c r="N175" s="114">
        <f ca="1">_xll.DBRW(Server&amp;Cube1,$H$13,$H$14,$H$15,$N$1,N$2,$H$16,$B175)</f>
        <v>0</v>
      </c>
      <c r="O175" s="69"/>
      <c r="P175" s="148">
        <v>0</v>
      </c>
      <c r="Q175" s="149">
        <v>0</v>
      </c>
      <c r="R175" s="149">
        <v>0</v>
      </c>
      <c r="S175" s="149">
        <v>0</v>
      </c>
      <c r="T175" s="149">
        <v>0</v>
      </c>
      <c r="U175" s="149">
        <v>0</v>
      </c>
      <c r="V175" s="149">
        <v>0</v>
      </c>
      <c r="W175" s="149">
        <v>0</v>
      </c>
      <c r="X175" s="149">
        <v>0</v>
      </c>
      <c r="Y175" s="149">
        <v>0</v>
      </c>
      <c r="Z175" s="149">
        <v>0</v>
      </c>
      <c r="AA175" s="150">
        <v>0</v>
      </c>
      <c r="AB175" s="31"/>
      <c r="AE175" s="67">
        <f ca="1">_xll.DBRW(Server&amp;Cube1,$H$13,$H$14,$H$15,$H$17,AE$2,$H$16,$B175)</f>
        <v>0</v>
      </c>
      <c r="AF175" s="70">
        <f ca="1">_xll.DBRW(Server&amp;Cube1,$H$13,$H$14,$H$15,$H$17,AF$2,$H$16,$B175)</f>
        <v>0</v>
      </c>
      <c r="AG175" s="70">
        <f ca="1">_xll.DBRW(Server&amp;Cube1,$H$13,$H$14,$H$15,$H$17,AG$2,$H$16,$B175)</f>
        <v>0</v>
      </c>
      <c r="AH175" s="70">
        <f ca="1">_xll.DBRW(Server&amp;Cube1,$H$13,$H$14,$H$15,$H$17,AH$2,$H$16,$B175)</f>
        <v>0</v>
      </c>
      <c r="AI175" s="70">
        <f ca="1">_xll.DBRW(Server&amp;Cube1,$H$13,$H$14,$H$15,$H$17,AI$2,$H$16,$B175)</f>
        <v>0</v>
      </c>
      <c r="AJ175" s="70">
        <f ca="1">_xll.DBRW(Server&amp;Cube1,$H$13,$H$14,$H$15,$H$17,AJ$2,$H$16,$B175)</f>
        <v>0</v>
      </c>
      <c r="AK175" s="70">
        <f ca="1">_xll.DBRW(Server&amp;Cube1,$H$13,$H$14,$H$15,$H$17,AK$2,$H$16,$B175)</f>
        <v>0</v>
      </c>
      <c r="AL175" s="70">
        <f ca="1">_xll.DBRW(Server&amp;Cube1,$H$13,$H$14,$H$15,$H$17,AL$2,$H$16,$B175)</f>
        <v>0</v>
      </c>
      <c r="AM175" s="70">
        <f ca="1">_xll.DBRW(Server&amp;Cube1,$H$13,$H$14,$H$15,$H$17,AM$2,$H$16,$B175)</f>
        <v>0</v>
      </c>
      <c r="AN175" s="70">
        <f ca="1">_xll.DBRW(Server&amp;Cube1,$H$13,$H$14,$H$15,$H$17,AN$2,$H$16,$B175)</f>
        <v>0</v>
      </c>
      <c r="AO175" s="70">
        <f ca="1">_xll.DBRW(Server&amp;Cube1,$H$13,$H$14,$H$15,$H$17,AO$2,$H$16,$B175)</f>
        <v>0</v>
      </c>
      <c r="AP175" s="71">
        <f ca="1">_xll.DBRW(Server&amp;Cube1,$H$13,$H$14,$H$15,$H$17,AP$2,$H$16,$B175)</f>
        <v>0</v>
      </c>
    </row>
    <row r="176" spans="1:42" ht="21" customHeight="1" x14ac:dyDescent="0.25">
      <c r="A176"/>
      <c r="B176" s="13" t="s">
        <v>60</v>
      </c>
      <c r="C176" s="13"/>
      <c r="D176" s="22"/>
      <c r="E176" s="171"/>
      <c r="F176" s="107"/>
      <c r="G176" s="305" t="str">
        <f ca="1">_xll.DBRA(Server&amp;$B$22,$B176,"French")</f>
        <v>CVAE</v>
      </c>
      <c r="H176" s="305" t="str">
        <f ca="1">_xll.DBRA(Server&amp;$B$22,$B176,"French")</f>
        <v>CVAE</v>
      </c>
      <c r="I176" s="37"/>
      <c r="J176" s="54">
        <f ca="1">_xll.DBRW(Server&amp;Cube1,$H$13,$J$3,$H$15,$J$1,$J$2,$H$16,$B176)</f>
        <v>0</v>
      </c>
      <c r="K176" s="37"/>
      <c r="L176" s="54">
        <f ca="1">_xll.DBRW(Server&amp;Cube1,$H$13,$L$3,$H$15,$L$1,$L$2,$H$16,$B176)</f>
        <v>0</v>
      </c>
      <c r="M176" s="55"/>
      <c r="N176" s="139">
        <f ca="1">_xll.DBRW(Server&amp;Cube1,$H$13,$H$14,$H$15,$N$1,N$2,$H$16,$B176)</f>
        <v>0</v>
      </c>
      <c r="O176" s="57"/>
      <c r="P176" s="156">
        <v>0</v>
      </c>
      <c r="Q176" s="157">
        <v>0</v>
      </c>
      <c r="R176" s="157">
        <v>0</v>
      </c>
      <c r="S176" s="157">
        <v>0</v>
      </c>
      <c r="T176" s="157">
        <v>0</v>
      </c>
      <c r="U176" s="157">
        <v>0</v>
      </c>
      <c r="V176" s="157">
        <v>0</v>
      </c>
      <c r="W176" s="157">
        <v>0</v>
      </c>
      <c r="X176" s="157">
        <v>0</v>
      </c>
      <c r="Y176" s="157">
        <v>0</v>
      </c>
      <c r="Z176" s="157">
        <v>0</v>
      </c>
      <c r="AA176" s="158">
        <v>0</v>
      </c>
      <c r="AB176" s="31"/>
      <c r="AE176" s="67">
        <f ca="1">_xll.DBRW(Server&amp;Cube1,$H$13,$H$14,$H$15,$H$17,AE$2,$H$16,$B176)</f>
        <v>0</v>
      </c>
      <c r="AF176" s="70">
        <f ca="1">_xll.DBRW(Server&amp;Cube1,$H$13,$H$14,$H$15,$H$17,AF$2,$H$16,$B176)</f>
        <v>0</v>
      </c>
      <c r="AG176" s="70">
        <f ca="1">_xll.DBRW(Server&amp;Cube1,$H$13,$H$14,$H$15,$H$17,AG$2,$H$16,$B176)</f>
        <v>0</v>
      </c>
      <c r="AH176" s="70">
        <f ca="1">_xll.DBRW(Server&amp;Cube1,$H$13,$H$14,$H$15,$H$17,AH$2,$H$16,$B176)</f>
        <v>0</v>
      </c>
      <c r="AI176" s="70">
        <f ca="1">_xll.DBRW(Server&amp;Cube1,$H$13,$H$14,$H$15,$H$17,AI$2,$H$16,$B176)</f>
        <v>0</v>
      </c>
      <c r="AJ176" s="70">
        <f ca="1">_xll.DBRW(Server&amp;Cube1,$H$13,$H$14,$H$15,$H$17,AJ$2,$H$16,$B176)</f>
        <v>0</v>
      </c>
      <c r="AK176" s="70">
        <f ca="1">_xll.DBRW(Server&amp;Cube1,$H$13,$H$14,$H$15,$H$17,AK$2,$H$16,$B176)</f>
        <v>0</v>
      </c>
      <c r="AL176" s="70">
        <f ca="1">_xll.DBRW(Server&amp;Cube1,$H$13,$H$14,$H$15,$H$17,AL$2,$H$16,$B176)</f>
        <v>0</v>
      </c>
      <c r="AM176" s="70">
        <f ca="1">_xll.DBRW(Server&amp;Cube1,$H$13,$H$14,$H$15,$H$17,AM$2,$H$16,$B176)</f>
        <v>0</v>
      </c>
      <c r="AN176" s="70">
        <f ca="1">_xll.DBRW(Server&amp;Cube1,$H$13,$H$14,$H$15,$H$17,AN$2,$H$16,$B176)</f>
        <v>0</v>
      </c>
      <c r="AO176" s="70">
        <f ca="1">_xll.DBRW(Server&amp;Cube1,$H$13,$H$14,$H$15,$H$17,AO$2,$H$16,$B176)</f>
        <v>0</v>
      </c>
      <c r="AP176" s="71">
        <f ca="1">_xll.DBRW(Server&amp;Cube1,$H$13,$H$14,$H$15,$H$17,AP$2,$H$16,$B176)</f>
        <v>0</v>
      </c>
    </row>
    <row r="177" spans="1:42" ht="21" customHeight="1" x14ac:dyDescent="0.25">
      <c r="A177"/>
      <c r="B177" s="13" t="s">
        <v>60</v>
      </c>
      <c r="C177" s="12"/>
      <c r="D177" s="21"/>
      <c r="E177" s="169"/>
      <c r="F177" s="105"/>
      <c r="G177" s="319" t="s">
        <v>102</v>
      </c>
      <c r="H177" s="319"/>
      <c r="I177" s="127"/>
      <c r="J177" s="137"/>
      <c r="K177" s="127"/>
      <c r="L177" s="137"/>
      <c r="M177" s="134"/>
      <c r="N177" s="108">
        <f ca="1">_xll.DBRW(Server&amp;Cube1,$H$13,$H$14,$H$15,$N$3,N$2,$H$16,$B177)</f>
        <v>0</v>
      </c>
      <c r="O177" s="135"/>
      <c r="P177" s="151">
        <v>0</v>
      </c>
      <c r="Q177" s="152">
        <v>0</v>
      </c>
      <c r="R177" s="152">
        <v>0</v>
      </c>
      <c r="S177" s="152">
        <v>0</v>
      </c>
      <c r="T177" s="152">
        <v>0</v>
      </c>
      <c r="U177" s="152">
        <v>0</v>
      </c>
      <c r="V177" s="152">
        <v>0</v>
      </c>
      <c r="W177" s="152">
        <v>0</v>
      </c>
      <c r="X177" s="152">
        <v>0</v>
      </c>
      <c r="Y177" s="152">
        <v>0</v>
      </c>
      <c r="Z177" s="152">
        <v>0</v>
      </c>
      <c r="AA177" s="159">
        <v>0</v>
      </c>
      <c r="AB177" s="31"/>
      <c r="AE177" s="90">
        <f ca="1">IF($AE$3=1,_xll.DBSW(P177,Server&amp;Cube1,$H$13,$H$14,$H$15,$AE$1,AE$2,$H$16,$B177),_xll.DBRW(Server&amp;Cube1,$H$13,$H$14,$H$15,$AE$1,AE$2,$H$16,$B177))</f>
        <v>0</v>
      </c>
      <c r="AF177" s="90">
        <f ca="1">IF($AE$3=1,_xll.DBSW(Q177,Server&amp;Cube1,$H$13,$H$14,$H$15,$AE$1,AF$2,$H$16,$B177),_xll.DBRW(Server&amp;Cube1,$H$13,$H$14,$H$15,$AE$1,AF$2,$H$16,$B177))</f>
        <v>0</v>
      </c>
      <c r="AG177" s="90">
        <f ca="1">IF($AE$3=1,_xll.DBSW(R177,Server&amp;Cube1,$H$13,$H$14,$H$15,$AE$1,AG$2,$H$16,$B177),_xll.DBRW(Server&amp;Cube1,$H$13,$H$14,$H$15,$AE$1,AG$2,$H$16,$B177))</f>
        <v>0</v>
      </c>
      <c r="AH177" s="90">
        <f ca="1">IF($AE$3=1,_xll.DBSW(S177,Server&amp;Cube1,$H$13,$H$14,$H$15,$AE$1,AH$2,$H$16,$B177),_xll.DBRW(Server&amp;Cube1,$H$13,$H$14,$H$15,$AE$1,AH$2,$H$16,$B177))</f>
        <v>0</v>
      </c>
      <c r="AI177" s="90">
        <f ca="1">IF($AE$3=1,_xll.DBSW(T177,Server&amp;Cube1,$H$13,$H$14,$H$15,$AE$1,AI$2,$H$16,$B177),_xll.DBRW(Server&amp;Cube1,$H$13,$H$14,$H$15,$AE$1,AI$2,$H$16,$B177))</f>
        <v>0</v>
      </c>
      <c r="AJ177" s="90">
        <f ca="1">IF($AE$3=1,_xll.DBSW(U177,Server&amp;Cube1,$H$13,$H$14,$H$15,$AE$1,AJ$2,$H$16,$B177),_xll.DBRW(Server&amp;Cube1,$H$13,$H$14,$H$15,$AE$1,AJ$2,$H$16,$B177))</f>
        <v>0</v>
      </c>
      <c r="AK177" s="90">
        <f ca="1">IF($AE$3=1,_xll.DBSW(V177,Server&amp;Cube1,$H$13,$H$14,$H$15,$AE$1,AK$2,$H$16,$B177),_xll.DBRW(Server&amp;Cube1,$H$13,$H$14,$H$15,$AE$1,AK$2,$H$16,$B177))</f>
        <v>0</v>
      </c>
      <c r="AL177" s="90">
        <f ca="1">IF($AE$3=1,_xll.DBSW(W177,Server&amp;Cube1,$H$13,$H$14,$H$15,$AE$1,AL$2,$H$16,$B177),_xll.DBRW(Server&amp;Cube1,$H$13,$H$14,$H$15,$AE$1,AL$2,$H$16,$B177))</f>
        <v>0</v>
      </c>
      <c r="AM177" s="90">
        <f ca="1">IF($AE$3=1,_xll.DBSW(X177,Server&amp;Cube1,$H$13,$H$14,$H$15,$AE$1,AM$2,$H$16,$B177),_xll.DBRW(Server&amp;Cube1,$H$13,$H$14,$H$15,$AE$1,AM$2,$H$16,$B177))</f>
        <v>0</v>
      </c>
      <c r="AN177" s="90">
        <f ca="1">IF($AE$3=1,_xll.DBSW(Y177,Server&amp;Cube1,$H$13,$H$14,$H$15,$AE$1,AN$2,$H$16,$B177),_xll.DBRW(Server&amp;Cube1,$H$13,$H$14,$H$15,$AE$1,AN$2,$H$16,$B177))</f>
        <v>0</v>
      </c>
      <c r="AO177" s="90">
        <f ca="1">IF($AE$3=1,_xll.DBSW(Z177,Server&amp;Cube1,$H$13,$H$14,$H$15,$AE$1,AO$2,$H$16,$B177),_xll.DBRW(Server&amp;Cube1,$H$13,$H$14,$H$15,$AE$1,AO$2,$H$16,$B177))</f>
        <v>0</v>
      </c>
      <c r="AP177" s="90">
        <f ca="1">IF($AE$3=1,_xll.DBSW(AA177,Server&amp;Cube1,$H$13,$H$14,$H$15,$AE$1,AP$2,$H$16,$B177),_xll.DBRW(Server&amp;Cube1,$H$13,$H$14,$H$15,$AE$1,AP$2,$H$16,$B177))</f>
        <v>0</v>
      </c>
    </row>
    <row r="178" spans="1:42" ht="21" customHeight="1" x14ac:dyDescent="0.25">
      <c r="A178"/>
      <c r="B178" s="13" t="s">
        <v>61</v>
      </c>
      <c r="C178" s="13"/>
      <c r="D178" s="22"/>
      <c r="E178" s="171"/>
      <c r="F178" s="107"/>
      <c r="G178" s="305" t="str">
        <f ca="1">_xll.DBRA(Server&amp;$B$22,$B178,"French")</f>
        <v>Organic</v>
      </c>
      <c r="H178" s="305" t="str">
        <f ca="1">_xll.DBRA(Server&amp;$B$22,$B178,"French")</f>
        <v>Organic</v>
      </c>
      <c r="I178" s="37"/>
      <c r="J178" s="54">
        <f ca="1">_xll.DBRW(Server&amp;Cube1,$H$13,$J$3,$H$15,$J$1,$J$2,$H$16,$B178)</f>
        <v>0</v>
      </c>
      <c r="K178" s="37"/>
      <c r="L178" s="54">
        <f ca="1">_xll.DBRW(Server&amp;Cube1,$H$13,$L$3,$H$15,$L$1,$L$2,$H$16,$B178)</f>
        <v>0</v>
      </c>
      <c r="M178" s="55"/>
      <c r="N178" s="139">
        <f ca="1">_xll.DBRW(Server&amp;Cube1,$H$13,$H$14,$H$15,$N$1,N$2,$H$16,$B178)</f>
        <v>0</v>
      </c>
      <c r="O178" s="57"/>
      <c r="P178" s="156">
        <v>0</v>
      </c>
      <c r="Q178" s="157">
        <v>0</v>
      </c>
      <c r="R178" s="157">
        <v>0</v>
      </c>
      <c r="S178" s="157">
        <v>0</v>
      </c>
      <c r="T178" s="157">
        <v>0</v>
      </c>
      <c r="U178" s="157">
        <v>0</v>
      </c>
      <c r="V178" s="157">
        <v>0</v>
      </c>
      <c r="W178" s="157">
        <v>0</v>
      </c>
      <c r="X178" s="157">
        <v>0</v>
      </c>
      <c r="Y178" s="157">
        <v>0</v>
      </c>
      <c r="Z178" s="157">
        <v>0</v>
      </c>
      <c r="AA178" s="158">
        <v>0</v>
      </c>
      <c r="AB178" s="31"/>
      <c r="AE178" s="67">
        <f ca="1">_xll.DBRW(Server&amp;Cube1,$H$13,$H$14,$H$15,$H$17,AE$2,$H$16,$B178)</f>
        <v>0</v>
      </c>
      <c r="AF178" s="70">
        <f ca="1">_xll.DBRW(Server&amp;Cube1,$H$13,$H$14,$H$15,$H$17,AF$2,$H$16,$B178)</f>
        <v>0</v>
      </c>
      <c r="AG178" s="70">
        <f ca="1">_xll.DBRW(Server&amp;Cube1,$H$13,$H$14,$H$15,$H$17,AG$2,$H$16,$B178)</f>
        <v>0</v>
      </c>
      <c r="AH178" s="70">
        <f ca="1">_xll.DBRW(Server&amp;Cube1,$H$13,$H$14,$H$15,$H$17,AH$2,$H$16,$B178)</f>
        <v>0</v>
      </c>
      <c r="AI178" s="70">
        <f ca="1">_xll.DBRW(Server&amp;Cube1,$H$13,$H$14,$H$15,$H$17,AI$2,$H$16,$B178)</f>
        <v>0</v>
      </c>
      <c r="AJ178" s="70">
        <f ca="1">_xll.DBRW(Server&amp;Cube1,$H$13,$H$14,$H$15,$H$17,AJ$2,$H$16,$B178)</f>
        <v>0</v>
      </c>
      <c r="AK178" s="70">
        <f ca="1">_xll.DBRW(Server&amp;Cube1,$H$13,$H$14,$H$15,$H$17,AK$2,$H$16,$B178)</f>
        <v>0</v>
      </c>
      <c r="AL178" s="70">
        <f ca="1">_xll.DBRW(Server&amp;Cube1,$H$13,$H$14,$H$15,$H$17,AL$2,$H$16,$B178)</f>
        <v>0</v>
      </c>
      <c r="AM178" s="70">
        <f ca="1">_xll.DBRW(Server&amp;Cube1,$H$13,$H$14,$H$15,$H$17,AM$2,$H$16,$B178)</f>
        <v>0</v>
      </c>
      <c r="AN178" s="70">
        <f ca="1">_xll.DBRW(Server&amp;Cube1,$H$13,$H$14,$H$15,$H$17,AN$2,$H$16,$B178)</f>
        <v>0</v>
      </c>
      <c r="AO178" s="70">
        <f ca="1">_xll.DBRW(Server&amp;Cube1,$H$13,$H$14,$H$15,$H$17,AO$2,$H$16,$B178)</f>
        <v>0</v>
      </c>
      <c r="AP178" s="71">
        <f ca="1">_xll.DBRW(Server&amp;Cube1,$H$13,$H$14,$H$15,$H$17,AP$2,$H$16,$B178)</f>
        <v>0</v>
      </c>
    </row>
    <row r="179" spans="1:42" ht="21" customHeight="1" x14ac:dyDescent="0.25">
      <c r="A179"/>
      <c r="B179" s="13" t="s">
        <v>61</v>
      </c>
      <c r="C179" s="12"/>
      <c r="D179" s="21"/>
      <c r="E179" s="169"/>
      <c r="F179" s="105"/>
      <c r="G179" s="319" t="s">
        <v>102</v>
      </c>
      <c r="H179" s="319"/>
      <c r="I179" s="127"/>
      <c r="J179" s="137"/>
      <c r="K179" s="127"/>
      <c r="L179" s="137"/>
      <c r="M179" s="134"/>
      <c r="N179" s="108">
        <f ca="1">_xll.DBRW(Server&amp;Cube1,$H$13,$H$14,$H$15,$N$3,N$2,$H$16,$B179)</f>
        <v>0</v>
      </c>
      <c r="O179" s="135"/>
      <c r="P179" s="151">
        <v>0</v>
      </c>
      <c r="Q179" s="152">
        <v>0</v>
      </c>
      <c r="R179" s="152">
        <v>0</v>
      </c>
      <c r="S179" s="152">
        <v>0</v>
      </c>
      <c r="T179" s="152">
        <v>0</v>
      </c>
      <c r="U179" s="152">
        <v>0</v>
      </c>
      <c r="V179" s="152">
        <v>0</v>
      </c>
      <c r="W179" s="152">
        <v>0</v>
      </c>
      <c r="X179" s="152">
        <v>0</v>
      </c>
      <c r="Y179" s="152">
        <v>0</v>
      </c>
      <c r="Z179" s="152">
        <v>0</v>
      </c>
      <c r="AA179" s="159">
        <v>0</v>
      </c>
      <c r="AB179" s="31"/>
      <c r="AE179" s="90">
        <f ca="1">IF($AE$3=1,_xll.DBSW(P179,Server&amp;Cube1,$H$13,$H$14,$H$15,$AE$1,AE$2,$H$16,$B179),_xll.DBRW(Server&amp;Cube1,$H$13,$H$14,$H$15,$AE$1,AE$2,$H$16,$B179))</f>
        <v>0</v>
      </c>
      <c r="AF179" s="90">
        <f ca="1">IF($AE$3=1,_xll.DBSW(Q179,Server&amp;Cube1,$H$13,$H$14,$H$15,$AE$1,AF$2,$H$16,$B179),_xll.DBRW(Server&amp;Cube1,$H$13,$H$14,$H$15,$AE$1,AF$2,$H$16,$B179))</f>
        <v>0</v>
      </c>
      <c r="AG179" s="90">
        <f ca="1">IF($AE$3=1,_xll.DBSW(R179,Server&amp;Cube1,$H$13,$H$14,$H$15,$AE$1,AG$2,$H$16,$B179),_xll.DBRW(Server&amp;Cube1,$H$13,$H$14,$H$15,$AE$1,AG$2,$H$16,$B179))</f>
        <v>0</v>
      </c>
      <c r="AH179" s="90">
        <f ca="1">IF($AE$3=1,_xll.DBSW(S179,Server&amp;Cube1,$H$13,$H$14,$H$15,$AE$1,AH$2,$H$16,$B179),_xll.DBRW(Server&amp;Cube1,$H$13,$H$14,$H$15,$AE$1,AH$2,$H$16,$B179))</f>
        <v>0</v>
      </c>
      <c r="AI179" s="90">
        <f ca="1">IF($AE$3=1,_xll.DBSW(T179,Server&amp;Cube1,$H$13,$H$14,$H$15,$AE$1,AI$2,$H$16,$B179),_xll.DBRW(Server&amp;Cube1,$H$13,$H$14,$H$15,$AE$1,AI$2,$H$16,$B179))</f>
        <v>0</v>
      </c>
      <c r="AJ179" s="90">
        <f ca="1">IF($AE$3=1,_xll.DBSW(U179,Server&amp;Cube1,$H$13,$H$14,$H$15,$AE$1,AJ$2,$H$16,$B179),_xll.DBRW(Server&amp;Cube1,$H$13,$H$14,$H$15,$AE$1,AJ$2,$H$16,$B179))</f>
        <v>0</v>
      </c>
      <c r="AK179" s="90">
        <f ca="1">IF($AE$3=1,_xll.DBSW(V179,Server&amp;Cube1,$H$13,$H$14,$H$15,$AE$1,AK$2,$H$16,$B179),_xll.DBRW(Server&amp;Cube1,$H$13,$H$14,$H$15,$AE$1,AK$2,$H$16,$B179))</f>
        <v>0</v>
      </c>
      <c r="AL179" s="90">
        <f ca="1">IF($AE$3=1,_xll.DBSW(W179,Server&amp;Cube1,$H$13,$H$14,$H$15,$AE$1,AL$2,$H$16,$B179),_xll.DBRW(Server&amp;Cube1,$H$13,$H$14,$H$15,$AE$1,AL$2,$H$16,$B179))</f>
        <v>0</v>
      </c>
      <c r="AM179" s="90">
        <f ca="1">IF($AE$3=1,_xll.DBSW(X179,Server&amp;Cube1,$H$13,$H$14,$H$15,$AE$1,AM$2,$H$16,$B179),_xll.DBRW(Server&amp;Cube1,$H$13,$H$14,$H$15,$AE$1,AM$2,$H$16,$B179))</f>
        <v>0</v>
      </c>
      <c r="AN179" s="90">
        <f ca="1">IF($AE$3=1,_xll.DBSW(Y179,Server&amp;Cube1,$H$13,$H$14,$H$15,$AE$1,AN$2,$H$16,$B179),_xll.DBRW(Server&amp;Cube1,$H$13,$H$14,$H$15,$AE$1,AN$2,$H$16,$B179))</f>
        <v>0</v>
      </c>
      <c r="AO179" s="90">
        <f ca="1">IF($AE$3=1,_xll.DBSW(Z179,Server&amp;Cube1,$H$13,$H$14,$H$15,$AE$1,AO$2,$H$16,$B179),_xll.DBRW(Server&amp;Cube1,$H$13,$H$14,$H$15,$AE$1,AO$2,$H$16,$B179))</f>
        <v>0</v>
      </c>
      <c r="AP179" s="90">
        <f ca="1">IF($AE$3=1,_xll.DBSW(AA179,Server&amp;Cube1,$H$13,$H$14,$H$15,$AE$1,AP$2,$H$16,$B179),_xll.DBRW(Server&amp;Cube1,$H$13,$H$14,$H$15,$AE$1,AP$2,$H$16,$B179))</f>
        <v>0</v>
      </c>
    </row>
    <row r="180" spans="1:42" ht="21" customHeight="1" x14ac:dyDescent="0.25">
      <c r="A180"/>
      <c r="B180" s="13" t="s">
        <v>62</v>
      </c>
      <c r="C180" s="13"/>
      <c r="D180" s="22"/>
      <c r="E180" s="171"/>
      <c r="F180" s="107"/>
      <c r="G180" s="305" t="str">
        <f ca="1">_xll.DBRA(Server&amp;$B$22,$B180,"French")</f>
        <v>Taxe sur les véhicules de sociétés</v>
      </c>
      <c r="H180" s="305" t="str">
        <f ca="1">_xll.DBRA(Server&amp;$B$22,$B180,"French")</f>
        <v>Taxe sur les véhicules de sociétés</v>
      </c>
      <c r="I180" s="37"/>
      <c r="J180" s="54">
        <f ca="1">_xll.DBRW(Server&amp;Cube1,$H$13,$J$3,$H$15,$J$1,$J$2,$H$16,$B180)</f>
        <v>0</v>
      </c>
      <c r="K180" s="37"/>
      <c r="L180" s="54">
        <f ca="1">_xll.DBRW(Server&amp;Cube1,$H$13,$L$3,$H$15,$L$1,$L$2,$H$16,$B180)</f>
        <v>0</v>
      </c>
      <c r="M180" s="55"/>
      <c r="N180" s="139">
        <f ca="1">_xll.DBRW(Server&amp;Cube1,$H$13,$H$14,$H$15,$N$1,N$2,$H$16,$B180)</f>
        <v>0</v>
      </c>
      <c r="O180" s="57"/>
      <c r="P180" s="156">
        <v>0</v>
      </c>
      <c r="Q180" s="157">
        <v>0</v>
      </c>
      <c r="R180" s="157">
        <v>0</v>
      </c>
      <c r="S180" s="157">
        <v>0</v>
      </c>
      <c r="T180" s="157">
        <v>0</v>
      </c>
      <c r="U180" s="157">
        <v>0</v>
      </c>
      <c r="V180" s="157">
        <v>0</v>
      </c>
      <c r="W180" s="157">
        <v>0</v>
      </c>
      <c r="X180" s="157">
        <v>0</v>
      </c>
      <c r="Y180" s="157">
        <v>0</v>
      </c>
      <c r="Z180" s="157">
        <v>0</v>
      </c>
      <c r="AA180" s="158">
        <v>0</v>
      </c>
      <c r="AB180" s="31"/>
      <c r="AE180" s="67">
        <f ca="1">_xll.DBRW(Server&amp;Cube1,$H$13,$H$14,$H$15,$H$17,AE$2,$H$16,$B180)</f>
        <v>0</v>
      </c>
      <c r="AF180" s="70">
        <f ca="1">_xll.DBRW(Server&amp;Cube1,$H$13,$H$14,$H$15,$H$17,AF$2,$H$16,$B180)</f>
        <v>0</v>
      </c>
      <c r="AG180" s="70">
        <f ca="1">_xll.DBRW(Server&amp;Cube1,$H$13,$H$14,$H$15,$H$17,AG$2,$H$16,$B180)</f>
        <v>0</v>
      </c>
      <c r="AH180" s="70">
        <f ca="1">_xll.DBRW(Server&amp;Cube1,$H$13,$H$14,$H$15,$H$17,AH$2,$H$16,$B180)</f>
        <v>0</v>
      </c>
      <c r="AI180" s="70">
        <f ca="1">_xll.DBRW(Server&amp;Cube1,$H$13,$H$14,$H$15,$H$17,AI$2,$H$16,$B180)</f>
        <v>0</v>
      </c>
      <c r="AJ180" s="70">
        <f ca="1">_xll.DBRW(Server&amp;Cube1,$H$13,$H$14,$H$15,$H$17,AJ$2,$H$16,$B180)</f>
        <v>0</v>
      </c>
      <c r="AK180" s="70">
        <f ca="1">_xll.DBRW(Server&amp;Cube1,$H$13,$H$14,$H$15,$H$17,AK$2,$H$16,$B180)</f>
        <v>0</v>
      </c>
      <c r="AL180" s="70">
        <f ca="1">_xll.DBRW(Server&amp;Cube1,$H$13,$H$14,$H$15,$H$17,AL$2,$H$16,$B180)</f>
        <v>0</v>
      </c>
      <c r="AM180" s="70">
        <f ca="1">_xll.DBRW(Server&amp;Cube1,$H$13,$H$14,$H$15,$H$17,AM$2,$H$16,$B180)</f>
        <v>0</v>
      </c>
      <c r="AN180" s="70">
        <f ca="1">_xll.DBRW(Server&amp;Cube1,$H$13,$H$14,$H$15,$H$17,AN$2,$H$16,$B180)</f>
        <v>0</v>
      </c>
      <c r="AO180" s="70">
        <f ca="1">_xll.DBRW(Server&amp;Cube1,$H$13,$H$14,$H$15,$H$17,AO$2,$H$16,$B180)</f>
        <v>0</v>
      </c>
      <c r="AP180" s="71">
        <f ca="1">_xll.DBRW(Server&amp;Cube1,$H$13,$H$14,$H$15,$H$17,AP$2,$H$16,$B180)</f>
        <v>0</v>
      </c>
    </row>
    <row r="181" spans="1:42" ht="21" customHeight="1" x14ac:dyDescent="0.25">
      <c r="A181"/>
      <c r="B181" s="13" t="s">
        <v>62</v>
      </c>
      <c r="C181" s="12"/>
      <c r="D181" s="21"/>
      <c r="E181" s="169"/>
      <c r="F181" s="105"/>
      <c r="G181" s="319" t="s">
        <v>102</v>
      </c>
      <c r="H181" s="319"/>
      <c r="I181" s="127"/>
      <c r="J181" s="137"/>
      <c r="K181" s="127"/>
      <c r="L181" s="137"/>
      <c r="M181" s="134"/>
      <c r="N181" s="140">
        <f ca="1">_xll.DBRW(Server&amp;Cube1,$H$13,$H$14,$H$15,$N$3,N$2,$H$16,$B181)</f>
        <v>0</v>
      </c>
      <c r="O181" s="135"/>
      <c r="P181" s="151">
        <v>0</v>
      </c>
      <c r="Q181" s="152">
        <v>0</v>
      </c>
      <c r="R181" s="152">
        <v>0</v>
      </c>
      <c r="S181" s="152">
        <v>0</v>
      </c>
      <c r="T181" s="152">
        <v>0</v>
      </c>
      <c r="U181" s="152">
        <v>0</v>
      </c>
      <c r="V181" s="152">
        <v>0</v>
      </c>
      <c r="W181" s="152">
        <v>0</v>
      </c>
      <c r="X181" s="152">
        <v>0</v>
      </c>
      <c r="Y181" s="152">
        <v>0</v>
      </c>
      <c r="Z181" s="152">
        <v>0</v>
      </c>
      <c r="AA181" s="159">
        <v>0</v>
      </c>
      <c r="AB181" s="31"/>
      <c r="AE181" s="90">
        <f ca="1">IF($AE$3=1,_xll.DBSW(P181,Server&amp;Cube1,$H$13,$H$14,$H$15,$AE$1,AE$2,$H$16,$B181),_xll.DBRW(Server&amp;Cube1,$H$13,$H$14,$H$15,$AE$1,AE$2,$H$16,$B181))</f>
        <v>0</v>
      </c>
      <c r="AF181" s="90">
        <f ca="1">IF($AE$3=1,_xll.DBSW(Q181,Server&amp;Cube1,$H$13,$H$14,$H$15,$AE$1,AF$2,$H$16,$B181),_xll.DBRW(Server&amp;Cube1,$H$13,$H$14,$H$15,$AE$1,AF$2,$H$16,$B181))</f>
        <v>0</v>
      </c>
      <c r="AG181" s="90">
        <f ca="1">IF($AE$3=1,_xll.DBSW(R181,Server&amp;Cube1,$H$13,$H$14,$H$15,$AE$1,AG$2,$H$16,$B181),_xll.DBRW(Server&amp;Cube1,$H$13,$H$14,$H$15,$AE$1,AG$2,$H$16,$B181))</f>
        <v>0</v>
      </c>
      <c r="AH181" s="90">
        <f ca="1">IF($AE$3=1,_xll.DBSW(S181,Server&amp;Cube1,$H$13,$H$14,$H$15,$AE$1,AH$2,$H$16,$B181),_xll.DBRW(Server&amp;Cube1,$H$13,$H$14,$H$15,$AE$1,AH$2,$H$16,$B181))</f>
        <v>0</v>
      </c>
      <c r="AI181" s="90">
        <f ca="1">IF($AE$3=1,_xll.DBSW(T181,Server&amp;Cube1,$H$13,$H$14,$H$15,$AE$1,AI$2,$H$16,$B181),_xll.DBRW(Server&amp;Cube1,$H$13,$H$14,$H$15,$AE$1,AI$2,$H$16,$B181))</f>
        <v>0</v>
      </c>
      <c r="AJ181" s="90">
        <f ca="1">IF($AE$3=1,_xll.DBSW(U181,Server&amp;Cube1,$H$13,$H$14,$H$15,$AE$1,AJ$2,$H$16,$B181),_xll.DBRW(Server&amp;Cube1,$H$13,$H$14,$H$15,$AE$1,AJ$2,$H$16,$B181))</f>
        <v>0</v>
      </c>
      <c r="AK181" s="90">
        <f ca="1">IF($AE$3=1,_xll.DBSW(V181,Server&amp;Cube1,$H$13,$H$14,$H$15,$AE$1,AK$2,$H$16,$B181),_xll.DBRW(Server&amp;Cube1,$H$13,$H$14,$H$15,$AE$1,AK$2,$H$16,$B181))</f>
        <v>0</v>
      </c>
      <c r="AL181" s="90">
        <f ca="1">IF($AE$3=1,_xll.DBSW(W181,Server&amp;Cube1,$H$13,$H$14,$H$15,$AE$1,AL$2,$H$16,$B181),_xll.DBRW(Server&amp;Cube1,$H$13,$H$14,$H$15,$AE$1,AL$2,$H$16,$B181))</f>
        <v>0</v>
      </c>
      <c r="AM181" s="90">
        <f ca="1">IF($AE$3=1,_xll.DBSW(X181,Server&amp;Cube1,$H$13,$H$14,$H$15,$AE$1,AM$2,$H$16,$B181),_xll.DBRW(Server&amp;Cube1,$H$13,$H$14,$H$15,$AE$1,AM$2,$H$16,$B181))</f>
        <v>0</v>
      </c>
      <c r="AN181" s="90">
        <f ca="1">IF($AE$3=1,_xll.DBSW(Y181,Server&amp;Cube1,$H$13,$H$14,$H$15,$AE$1,AN$2,$H$16,$B181),_xll.DBRW(Server&amp;Cube1,$H$13,$H$14,$H$15,$AE$1,AN$2,$H$16,$B181))</f>
        <v>0</v>
      </c>
      <c r="AO181" s="90">
        <f ca="1">IF($AE$3=1,_xll.DBSW(Z181,Server&amp;Cube1,$H$13,$H$14,$H$15,$AE$1,AO$2,$H$16,$B181),_xll.DBRW(Server&amp;Cube1,$H$13,$H$14,$H$15,$AE$1,AO$2,$H$16,$B181))</f>
        <v>0</v>
      </c>
      <c r="AP181" s="90">
        <f ca="1">IF($AE$3=1,_xll.DBSW(AA181,Server&amp;Cube1,$H$13,$H$14,$H$15,$AE$1,AP$2,$H$16,$B181),_xll.DBRW(Server&amp;Cube1,$H$13,$H$14,$H$15,$AE$1,AP$2,$H$16,$B181))</f>
        <v>0</v>
      </c>
    </row>
    <row r="182" spans="1:42" ht="3" customHeight="1" x14ac:dyDescent="0.25">
      <c r="A182"/>
      <c r="B182" s="11"/>
      <c r="C182" s="11"/>
      <c r="D182" s="20"/>
      <c r="E182" s="170"/>
      <c r="F182" s="106"/>
      <c r="G182" s="43"/>
      <c r="H182" s="43"/>
      <c r="I182" s="38"/>
      <c r="J182" s="62"/>
      <c r="K182" s="38"/>
      <c r="L182" s="62"/>
      <c r="M182" s="63"/>
      <c r="N182" s="64"/>
      <c r="O182" s="64"/>
      <c r="P182" s="62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6"/>
      <c r="AB182" s="31"/>
    </row>
    <row r="183" spans="1:42" ht="15" customHeight="1" x14ac:dyDescent="0.25">
      <c r="A183"/>
      <c r="B183" s="11"/>
      <c r="C183" s="11"/>
      <c r="D183" s="20"/>
      <c r="E183" s="170"/>
      <c r="F183" s="106"/>
      <c r="G183" s="80"/>
      <c r="H183" s="80"/>
      <c r="I183" s="82"/>
      <c r="J183" s="100"/>
      <c r="K183" s="82"/>
      <c r="L183" s="100"/>
      <c r="M183" s="124"/>
      <c r="N183" s="100"/>
      <c r="O183" s="100"/>
      <c r="P183" s="101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  <c r="AA183" s="103"/>
      <c r="AB183" s="31"/>
    </row>
    <row r="184" spans="1:42" ht="5.25" customHeight="1" x14ac:dyDescent="0.25">
      <c r="A184"/>
      <c r="B184" s="11"/>
      <c r="C184" s="11"/>
      <c r="D184" s="20"/>
      <c r="E184" s="170"/>
      <c r="F184" s="325"/>
      <c r="G184" s="326"/>
      <c r="H184" s="326"/>
      <c r="I184" s="326"/>
      <c r="J184" s="326"/>
      <c r="K184" s="326"/>
      <c r="L184" s="326"/>
      <c r="M184" s="326"/>
      <c r="N184" s="326"/>
      <c r="O184" s="326"/>
      <c r="P184" s="326"/>
      <c r="Q184" s="326"/>
      <c r="R184" s="326"/>
      <c r="S184" s="326"/>
      <c r="T184" s="326"/>
      <c r="U184" s="326"/>
      <c r="V184" s="326"/>
      <c r="W184" s="326"/>
      <c r="X184" s="326"/>
      <c r="Y184" s="326"/>
      <c r="Z184" s="326"/>
      <c r="AA184" s="327"/>
      <c r="AB184" s="31"/>
    </row>
    <row r="185" spans="1:42" ht="18.75" customHeight="1" x14ac:dyDescent="0.25">
      <c r="A185"/>
      <c r="B185" s="11"/>
      <c r="C185" s="11"/>
      <c r="D185" s="20"/>
      <c r="E185" s="170"/>
      <c r="F185" s="125"/>
      <c r="G185" s="126"/>
      <c r="H185" s="43"/>
      <c r="I185" s="38"/>
      <c r="J185" s="64"/>
      <c r="K185" s="38"/>
      <c r="L185" s="64"/>
      <c r="M185" s="63"/>
      <c r="N185" s="64"/>
      <c r="O185" s="64"/>
      <c r="P185" s="64"/>
      <c r="Q185" s="64"/>
      <c r="R185" s="64"/>
      <c r="S185" s="64"/>
      <c r="T185" s="64"/>
      <c r="U185" s="64"/>
      <c r="V185" s="64"/>
      <c r="W185" s="64"/>
      <c r="X185" s="64"/>
      <c r="Y185" s="64"/>
      <c r="Z185" s="64"/>
      <c r="AA185" s="64"/>
      <c r="AB185" s="31"/>
    </row>
    <row r="186" spans="1:42" ht="23.25" customHeight="1" x14ac:dyDescent="0.25">
      <c r="A186"/>
      <c r="B186" s="12" t="s">
        <v>17</v>
      </c>
      <c r="C186" s="12"/>
      <c r="D186" s="21"/>
      <c r="E186" s="169"/>
      <c r="F186" s="328" t="str">
        <f ca="1">_xll.DBRA(Server&amp;$B$22,$B186,"French")</f>
        <v>RESULTAT NET</v>
      </c>
      <c r="G186" s="329"/>
      <c r="H186" s="330"/>
      <c r="I186" s="117"/>
      <c r="J186" s="118">
        <f ca="1">_xll.DBRW(Server&amp;Cube1,$H$13,$J$3,$H$15,$J$1,$J$2,$H$16,$B186)</f>
        <v>1112698.69</v>
      </c>
      <c r="K186" s="117"/>
      <c r="L186" s="118">
        <f ca="1">_xll.DBRW(Server&amp;Cube1,$H$13,$L$3,$H$15,$L$1,$L$2,$H$16,$B186)</f>
        <v>0</v>
      </c>
      <c r="M186" s="119"/>
      <c r="N186" s="118">
        <f ca="1">_xll.DBRW(Server&amp;Cube1,$H$13,$H$14,$H$15,$N$1,N$2,$H$16,$B186)</f>
        <v>0</v>
      </c>
      <c r="O186" s="120"/>
      <c r="P186" s="121">
        <f ca="1">_xll.DBRW(Server&amp;Cube1,$H$13,$H$14,$H$15,$H$17,P$1,$H$16,$B186)</f>
        <v>0</v>
      </c>
      <c r="Q186" s="122">
        <f ca="1">_xll.DBRW(Server&amp;Cube1,$H$13,$H$14,$H$15,$H$17,Q$1,$H$16,$B186)</f>
        <v>0</v>
      </c>
      <c r="R186" s="122">
        <f ca="1">_xll.DBRW(Server&amp;Cube1,$H$13,$H$14,$H$15,$H$17,R$1,$H$16,$B186)</f>
        <v>0</v>
      </c>
      <c r="S186" s="122">
        <f ca="1">_xll.DBRW(Server&amp;Cube1,$H$13,$H$14,$H$15,$H$17,S$1,$H$16,$B186)</f>
        <v>0</v>
      </c>
      <c r="T186" s="122">
        <f ca="1">_xll.DBRW(Server&amp;Cube1,$H$13,$H$14,$H$15,$H$17,T$1,$H$16,$B186)</f>
        <v>0</v>
      </c>
      <c r="U186" s="122">
        <f ca="1">_xll.DBRW(Server&amp;Cube1,$H$13,$H$14,$H$15,$H$17,U$1,$H$16,$B186)</f>
        <v>0</v>
      </c>
      <c r="V186" s="122">
        <f ca="1">_xll.DBRW(Server&amp;Cube1,$H$13,$H$14,$H$15,$H$17,V$1,$H$16,$B186)</f>
        <v>0</v>
      </c>
      <c r="W186" s="122">
        <f ca="1">_xll.DBRW(Server&amp;Cube1,$H$13,$H$14,$H$15,$H$17,W$1,$H$16,$B186)</f>
        <v>0</v>
      </c>
      <c r="X186" s="122">
        <f ca="1">_xll.DBRW(Server&amp;Cube1,$H$13,$H$14,$H$15,$H$17,X$1,$H$16,$B186)</f>
        <v>0</v>
      </c>
      <c r="Y186" s="122">
        <f ca="1">_xll.DBRW(Server&amp;Cube1,$H$13,$H$14,$H$15,$H$17,Y$1,$H$16,$B186)</f>
        <v>0</v>
      </c>
      <c r="Z186" s="122">
        <f ca="1">_xll.DBRW(Server&amp;Cube1,$H$13,$H$14,$H$15,$H$17,Z$1,$H$16,$B186)</f>
        <v>0</v>
      </c>
      <c r="AA186" s="123">
        <f ca="1">_xll.DBRW(Server&amp;Cube1,$H$13,$H$14,$H$15,$H$17,AA$1,$H$16,$B186)</f>
        <v>0</v>
      </c>
      <c r="AB186" s="31"/>
    </row>
    <row r="187" spans="1:42" ht="18" customHeight="1" x14ac:dyDescent="0.25">
      <c r="A187"/>
      <c r="B187" s="11"/>
      <c r="C187" s="11"/>
      <c r="D187" s="20"/>
      <c r="E187" s="170"/>
      <c r="F187" s="106"/>
      <c r="G187" s="43"/>
      <c r="H187" s="76" t="s">
        <v>77</v>
      </c>
      <c r="I187" s="38"/>
      <c r="J187" s="79">
        <f ca="1">IF(ISERROR(J186/J46),"-",J186/J46)</f>
        <v>0.42427365757103885</v>
      </c>
      <c r="K187" s="38"/>
      <c r="L187" s="79" t="str">
        <f ca="1">IF(ISERROR(L186/L46),"-",L186/L46)</f>
        <v>-</v>
      </c>
      <c r="M187" s="77"/>
      <c r="N187" s="79" t="str">
        <f ca="1">IF(ISERROR(N186/N46),"-",N186/N46)</f>
        <v>-</v>
      </c>
      <c r="O187" s="78"/>
      <c r="P187" s="79" t="str">
        <f t="shared" ref="P187:AA187" ca="1" si="2">IF(ISERROR(P186/P46),"-",P186/P46)</f>
        <v>-</v>
      </c>
      <c r="Q187" s="79" t="str">
        <f t="shared" ca="1" si="2"/>
        <v>-</v>
      </c>
      <c r="R187" s="79" t="str">
        <f t="shared" ca="1" si="2"/>
        <v>-</v>
      </c>
      <c r="S187" s="79" t="str">
        <f t="shared" ca="1" si="2"/>
        <v>-</v>
      </c>
      <c r="T187" s="79" t="str">
        <f t="shared" ca="1" si="2"/>
        <v>-</v>
      </c>
      <c r="U187" s="79" t="str">
        <f t="shared" ca="1" si="2"/>
        <v>-</v>
      </c>
      <c r="V187" s="79" t="str">
        <f t="shared" ca="1" si="2"/>
        <v>-</v>
      </c>
      <c r="W187" s="79" t="str">
        <f t="shared" ca="1" si="2"/>
        <v>-</v>
      </c>
      <c r="X187" s="79" t="str">
        <f t="shared" ca="1" si="2"/>
        <v>-</v>
      </c>
      <c r="Y187" s="79" t="str">
        <f t="shared" ca="1" si="2"/>
        <v>-</v>
      </c>
      <c r="Z187" s="79" t="str">
        <f t="shared" ca="1" si="2"/>
        <v>-</v>
      </c>
      <c r="AA187" s="79" t="str">
        <f t="shared" ca="1" si="2"/>
        <v>-</v>
      </c>
      <c r="AB187" s="31"/>
    </row>
    <row r="188" spans="1:42" ht="41.25" customHeight="1" x14ac:dyDescent="0.25">
      <c r="A188"/>
      <c r="B188" s="11"/>
      <c r="C188" s="11"/>
      <c r="D188" s="20"/>
      <c r="E188" s="170"/>
      <c r="F188" s="180" t="s">
        <v>120</v>
      </c>
      <c r="G188" s="80"/>
      <c r="H188" s="81"/>
      <c r="I188" s="82"/>
      <c r="J188" s="83"/>
      <c r="K188" s="82"/>
      <c r="L188" s="83"/>
      <c r="M188" s="84"/>
      <c r="N188" s="83"/>
      <c r="O188" s="85"/>
      <c r="P188" s="83"/>
      <c r="Q188" s="83"/>
      <c r="R188" s="83"/>
      <c r="S188" s="83"/>
      <c r="T188" s="83"/>
      <c r="U188" s="83"/>
      <c r="V188" s="83"/>
      <c r="W188" s="83"/>
      <c r="X188" s="83"/>
      <c r="Y188" s="83"/>
      <c r="Z188" s="83"/>
      <c r="AA188" s="83"/>
      <c r="AB188" s="31"/>
    </row>
    <row r="189" spans="1:42" ht="21" customHeight="1" x14ac:dyDescent="0.25">
      <c r="A189"/>
      <c r="B189" s="181" t="s">
        <v>121</v>
      </c>
      <c r="C189" s="13"/>
      <c r="D189" s="22"/>
      <c r="E189" s="171"/>
      <c r="F189" s="107"/>
      <c r="G189" s="305" t="str">
        <f ca="1">_xll.DBRA(Server&amp;$B$22,$B189,"French")</f>
        <v>Nombre de stagiaires</v>
      </c>
      <c r="H189" s="305" t="str">
        <f ca="1">_xll.DBRA(Server&amp;$B$22,$B189,"French")</f>
        <v>Nombre de stagiaires</v>
      </c>
      <c r="I189" s="37"/>
      <c r="J189" s="54">
        <f ca="1">_xll.DBRW(Server&amp;Cube1,$H$13,$J$3,$H$15,$J$1,$J$2,$H$16,$B189)</f>
        <v>0</v>
      </c>
      <c r="K189" s="37"/>
      <c r="L189" s="54">
        <f ca="1">_xll.DBRW(Server&amp;Cube1,$H$13,$L$3,$H$15,$L$1,$L$2,$H$16,$B189)</f>
        <v>0</v>
      </c>
      <c r="M189" s="55"/>
      <c r="N189" s="142">
        <f ca="1">_xll.DBRW(Server&amp;Cube1,$H$13,$H$14,$H$15,$N$1,N$2,$H$16,$B189)</f>
        <v>0</v>
      </c>
      <c r="O189" s="57"/>
      <c r="P189" s="156">
        <v>0</v>
      </c>
      <c r="Q189" s="157">
        <v>0</v>
      </c>
      <c r="R189" s="157">
        <v>0</v>
      </c>
      <c r="S189" s="157">
        <v>0</v>
      </c>
      <c r="T189" s="157">
        <v>0</v>
      </c>
      <c r="U189" s="157">
        <v>0</v>
      </c>
      <c r="V189" s="157">
        <v>0</v>
      </c>
      <c r="W189" s="157">
        <v>0</v>
      </c>
      <c r="X189" s="157">
        <v>0</v>
      </c>
      <c r="Y189" s="157">
        <v>0</v>
      </c>
      <c r="Z189" s="157">
        <v>0</v>
      </c>
      <c r="AA189" s="158">
        <v>0</v>
      </c>
      <c r="AB189" s="31"/>
      <c r="AE189" s="67">
        <f ca="1">_xll.DBRW(Server&amp;Cube1,$H$13,$H$14,$H$15,$H$17,AE$2,$H$16,$B189)</f>
        <v>0</v>
      </c>
      <c r="AF189" s="70">
        <f ca="1">_xll.DBRW(Server&amp;Cube1,$H$13,$H$14,$H$15,$H$17,AF$2,$H$16,$B189)</f>
        <v>0</v>
      </c>
      <c r="AG189" s="70">
        <f ca="1">_xll.DBRW(Server&amp;Cube1,$H$13,$H$14,$H$15,$H$17,AG$2,$H$16,$B189)</f>
        <v>0</v>
      </c>
      <c r="AH189" s="70">
        <f ca="1">_xll.DBRW(Server&amp;Cube1,$H$13,$H$14,$H$15,$H$17,AH$2,$H$16,$B189)</f>
        <v>0</v>
      </c>
      <c r="AI189" s="70">
        <f ca="1">_xll.DBRW(Server&amp;Cube1,$H$13,$H$14,$H$15,$H$17,AI$2,$H$16,$B189)</f>
        <v>0</v>
      </c>
      <c r="AJ189" s="70">
        <f ca="1">_xll.DBRW(Server&amp;Cube1,$H$13,$H$14,$H$15,$H$17,AJ$2,$H$16,$B189)</f>
        <v>0</v>
      </c>
      <c r="AK189" s="70">
        <f ca="1">_xll.DBRW(Server&amp;Cube1,$H$13,$H$14,$H$15,$H$17,AK$2,$H$16,$B189)</f>
        <v>0</v>
      </c>
      <c r="AL189" s="70">
        <f ca="1">_xll.DBRW(Server&amp;Cube1,$H$13,$H$14,$H$15,$H$17,AL$2,$H$16,$B189)</f>
        <v>0</v>
      </c>
      <c r="AM189" s="70">
        <f ca="1">_xll.DBRW(Server&amp;Cube1,$H$13,$H$14,$H$15,$H$17,AM$2,$H$16,$B189)</f>
        <v>0</v>
      </c>
      <c r="AN189" s="70">
        <f ca="1">_xll.DBRW(Server&amp;Cube1,$H$13,$H$14,$H$15,$H$17,AN$2,$H$16,$B189)</f>
        <v>0</v>
      </c>
      <c r="AO189" s="70">
        <f ca="1">_xll.DBRW(Server&amp;Cube1,$H$13,$H$14,$H$15,$H$17,AO$2,$H$16,$B189)</f>
        <v>0</v>
      </c>
      <c r="AP189" s="71">
        <f ca="1">_xll.DBRW(Server&amp;Cube1,$H$13,$H$14,$H$15,$H$17,AP$2,$H$16,$B189)</f>
        <v>0</v>
      </c>
    </row>
    <row r="190" spans="1:42" ht="21" customHeight="1" x14ac:dyDescent="0.25">
      <c r="A190"/>
      <c r="B190" s="181" t="s">
        <v>121</v>
      </c>
      <c r="C190" s="12"/>
      <c r="D190" s="21"/>
      <c r="E190" s="169"/>
      <c r="F190" s="105"/>
      <c r="G190" s="319" t="s">
        <v>102</v>
      </c>
      <c r="H190" s="319"/>
      <c r="I190" s="127"/>
      <c r="J190" s="137"/>
      <c r="K190" s="127"/>
      <c r="L190" s="137"/>
      <c r="M190" s="134"/>
      <c r="N190" s="108">
        <f ca="1">_xll.DBRW(Server&amp;Cube1,$H$13,$H$14,$H$15,$N$3,N$2,$H$16,$B190)</f>
        <v>0</v>
      </c>
      <c r="O190" s="135"/>
      <c r="P190" s="151">
        <v>0</v>
      </c>
      <c r="Q190" s="152">
        <v>0</v>
      </c>
      <c r="R190" s="152">
        <v>0</v>
      </c>
      <c r="S190" s="152">
        <v>0</v>
      </c>
      <c r="T190" s="152">
        <v>0</v>
      </c>
      <c r="U190" s="152">
        <v>0</v>
      </c>
      <c r="V190" s="152">
        <v>0</v>
      </c>
      <c r="W190" s="152">
        <v>0</v>
      </c>
      <c r="X190" s="152">
        <v>0</v>
      </c>
      <c r="Y190" s="152">
        <v>0</v>
      </c>
      <c r="Z190" s="152">
        <v>0</v>
      </c>
      <c r="AA190" s="159">
        <v>0</v>
      </c>
      <c r="AB190" s="31"/>
      <c r="AE190" s="90">
        <f ca="1">IF($AE$3=1,_xll.DBSW(P190,Server&amp;Cube1,$H$13,$H$14,$H$15,$AE$1,AE$2,$H$16,$B190),_xll.DBRW(Server&amp;Cube1,$H$13,$H$14,$H$15,$AE$1,AE$2,$H$16,$B190))</f>
        <v>0</v>
      </c>
      <c r="AF190" s="90">
        <f ca="1">IF($AE$3=1,_xll.DBSW(Q190,Server&amp;Cube1,$H$13,$H$14,$H$15,$AE$1,AF$2,$H$16,$B190),_xll.DBRW(Server&amp;Cube1,$H$13,$H$14,$H$15,$AE$1,AF$2,$H$16,$B190))</f>
        <v>0</v>
      </c>
      <c r="AG190" s="90">
        <f ca="1">IF($AE$3=1,_xll.DBSW(R190,Server&amp;Cube1,$H$13,$H$14,$H$15,$AE$1,AG$2,$H$16,$B190),_xll.DBRW(Server&amp;Cube1,$H$13,$H$14,$H$15,$AE$1,AG$2,$H$16,$B190))</f>
        <v>0</v>
      </c>
      <c r="AH190" s="90">
        <f ca="1">IF($AE$3=1,_xll.DBSW(S190,Server&amp;Cube1,$H$13,$H$14,$H$15,$AE$1,AH$2,$H$16,$B190),_xll.DBRW(Server&amp;Cube1,$H$13,$H$14,$H$15,$AE$1,AH$2,$H$16,$B190))</f>
        <v>0</v>
      </c>
      <c r="AI190" s="90">
        <f ca="1">IF($AE$3=1,_xll.DBSW(T190,Server&amp;Cube1,$H$13,$H$14,$H$15,$AE$1,AI$2,$H$16,$B190),_xll.DBRW(Server&amp;Cube1,$H$13,$H$14,$H$15,$AE$1,AI$2,$H$16,$B190))</f>
        <v>0</v>
      </c>
      <c r="AJ190" s="90">
        <f ca="1">IF($AE$3=1,_xll.DBSW(U190,Server&amp;Cube1,$H$13,$H$14,$H$15,$AE$1,AJ$2,$H$16,$B190),_xll.DBRW(Server&amp;Cube1,$H$13,$H$14,$H$15,$AE$1,AJ$2,$H$16,$B190))</f>
        <v>0</v>
      </c>
      <c r="AK190" s="90">
        <f ca="1">IF($AE$3=1,_xll.DBSW(V190,Server&amp;Cube1,$H$13,$H$14,$H$15,$AE$1,AK$2,$H$16,$B190),_xll.DBRW(Server&amp;Cube1,$H$13,$H$14,$H$15,$AE$1,AK$2,$H$16,$B190))</f>
        <v>0</v>
      </c>
      <c r="AL190" s="90">
        <f ca="1">IF($AE$3=1,_xll.DBSW(W190,Server&amp;Cube1,$H$13,$H$14,$H$15,$AE$1,AL$2,$H$16,$B190),_xll.DBRW(Server&amp;Cube1,$H$13,$H$14,$H$15,$AE$1,AL$2,$H$16,$B190))</f>
        <v>0</v>
      </c>
      <c r="AM190" s="90">
        <f ca="1">IF($AE$3=1,_xll.DBSW(X190,Server&amp;Cube1,$H$13,$H$14,$H$15,$AE$1,AM$2,$H$16,$B190),_xll.DBRW(Server&amp;Cube1,$H$13,$H$14,$H$15,$AE$1,AM$2,$H$16,$B190))</f>
        <v>0</v>
      </c>
      <c r="AN190" s="90">
        <f ca="1">IF($AE$3=1,_xll.DBSW(Y190,Server&amp;Cube1,$H$13,$H$14,$H$15,$AE$1,AN$2,$H$16,$B190),_xll.DBRW(Server&amp;Cube1,$H$13,$H$14,$H$15,$AE$1,AN$2,$H$16,$B190))</f>
        <v>0</v>
      </c>
      <c r="AO190" s="90">
        <f ca="1">IF($AE$3=1,_xll.DBSW(Z190,Server&amp;Cube1,$H$13,$H$14,$H$15,$AE$1,AO$2,$H$16,$B190),_xll.DBRW(Server&amp;Cube1,$H$13,$H$14,$H$15,$AE$1,AO$2,$H$16,$B190))</f>
        <v>0</v>
      </c>
      <c r="AP190" s="90">
        <f ca="1">IF($AE$3=1,_xll.DBSW(AA190,Server&amp;Cube1,$H$13,$H$14,$H$15,$AE$1,AP$2,$H$16,$B190),_xll.DBRW(Server&amp;Cube1,$H$13,$H$14,$H$15,$AE$1,AP$2,$H$16,$B190))</f>
        <v>0</v>
      </c>
    </row>
    <row r="191" spans="1:42" ht="21" customHeight="1" x14ac:dyDescent="0.25">
      <c r="A191"/>
      <c r="B191" s="181" t="s">
        <v>122</v>
      </c>
      <c r="C191" s="13"/>
      <c r="D191" s="22"/>
      <c r="E191" s="171"/>
      <c r="F191" s="107"/>
      <c r="G191" s="305" t="str">
        <f ca="1">_xll.DBRA(Server&amp;$B$22,$B191,"French")</f>
        <v>Nombre de sessions</v>
      </c>
      <c r="H191" s="305" t="str">
        <f ca="1">_xll.DBRA(Server&amp;$B$22,$B191,"French")</f>
        <v>Nombre de sessions</v>
      </c>
      <c r="I191" s="37"/>
      <c r="J191" s="54">
        <f ca="1">_xll.DBRW(Server&amp;Cube1,$H$13,$J$3,$H$15,$J$1,$J$2,$H$16,$B191)</f>
        <v>0</v>
      </c>
      <c r="K191" s="37"/>
      <c r="L191" s="54">
        <f ca="1">_xll.DBRW(Server&amp;Cube1,$H$13,$L$3,$H$15,$L$1,$L$2,$H$16,$B191)</f>
        <v>0</v>
      </c>
      <c r="M191" s="55"/>
      <c r="N191" s="139">
        <f ca="1">_xll.DBRW(Server&amp;Cube1,$H$13,$H$14,$H$15,$N$1,N$2,$H$16,$B191)</f>
        <v>0</v>
      </c>
      <c r="O191" s="57"/>
      <c r="P191" s="156">
        <v>0</v>
      </c>
      <c r="Q191" s="157">
        <v>0</v>
      </c>
      <c r="R191" s="157">
        <v>0</v>
      </c>
      <c r="S191" s="157">
        <v>0</v>
      </c>
      <c r="T191" s="157">
        <v>0</v>
      </c>
      <c r="U191" s="157">
        <v>0</v>
      </c>
      <c r="V191" s="157">
        <v>0</v>
      </c>
      <c r="W191" s="157">
        <v>0</v>
      </c>
      <c r="X191" s="157">
        <v>0</v>
      </c>
      <c r="Y191" s="157">
        <v>0</v>
      </c>
      <c r="Z191" s="157">
        <v>0</v>
      </c>
      <c r="AA191" s="158">
        <v>0</v>
      </c>
      <c r="AB191" s="31"/>
      <c r="AE191" s="67">
        <f ca="1">_xll.DBRW(Server&amp;Cube1,$H$13,$H$14,$H$15,$H$17,AE$2,$H$16,$B191)</f>
        <v>0</v>
      </c>
      <c r="AF191" s="70">
        <f ca="1">_xll.DBRW(Server&amp;Cube1,$H$13,$H$14,$H$15,$H$17,AF$2,$H$16,$B191)</f>
        <v>0</v>
      </c>
      <c r="AG191" s="70">
        <f ca="1">_xll.DBRW(Server&amp;Cube1,$H$13,$H$14,$H$15,$H$17,AG$2,$H$16,$B191)</f>
        <v>0</v>
      </c>
      <c r="AH191" s="70">
        <f ca="1">_xll.DBRW(Server&amp;Cube1,$H$13,$H$14,$H$15,$H$17,AH$2,$H$16,$B191)</f>
        <v>0</v>
      </c>
      <c r="AI191" s="70">
        <f ca="1">_xll.DBRW(Server&amp;Cube1,$H$13,$H$14,$H$15,$H$17,AI$2,$H$16,$B191)</f>
        <v>0</v>
      </c>
      <c r="AJ191" s="70">
        <f ca="1">_xll.DBRW(Server&amp;Cube1,$H$13,$H$14,$H$15,$H$17,AJ$2,$H$16,$B191)</f>
        <v>0</v>
      </c>
      <c r="AK191" s="70">
        <f ca="1">_xll.DBRW(Server&amp;Cube1,$H$13,$H$14,$H$15,$H$17,AK$2,$H$16,$B191)</f>
        <v>0</v>
      </c>
      <c r="AL191" s="70">
        <f ca="1">_xll.DBRW(Server&amp;Cube1,$H$13,$H$14,$H$15,$H$17,AL$2,$H$16,$B191)</f>
        <v>0</v>
      </c>
      <c r="AM191" s="70">
        <f ca="1">_xll.DBRW(Server&amp;Cube1,$H$13,$H$14,$H$15,$H$17,AM$2,$H$16,$B191)</f>
        <v>0</v>
      </c>
      <c r="AN191" s="70">
        <f ca="1">_xll.DBRW(Server&amp;Cube1,$H$13,$H$14,$H$15,$H$17,AN$2,$H$16,$B191)</f>
        <v>0</v>
      </c>
      <c r="AO191" s="70">
        <f ca="1">_xll.DBRW(Server&amp;Cube1,$H$13,$H$14,$H$15,$H$17,AO$2,$H$16,$B191)</f>
        <v>0</v>
      </c>
      <c r="AP191" s="71">
        <f ca="1">_xll.DBRW(Server&amp;Cube1,$H$13,$H$14,$H$15,$H$17,AP$2,$H$16,$B191)</f>
        <v>0</v>
      </c>
    </row>
    <row r="192" spans="1:42" ht="21" customHeight="1" x14ac:dyDescent="0.25">
      <c r="A192"/>
      <c r="B192" s="181" t="s">
        <v>122</v>
      </c>
      <c r="C192" s="12"/>
      <c r="D192" s="21"/>
      <c r="E192" s="169"/>
      <c r="F192" s="105"/>
      <c r="G192" s="319" t="s">
        <v>102</v>
      </c>
      <c r="H192" s="319"/>
      <c r="I192" s="127"/>
      <c r="J192" s="137"/>
      <c r="K192" s="127"/>
      <c r="L192" s="137"/>
      <c r="M192" s="134"/>
      <c r="N192" s="108">
        <f ca="1">_xll.DBRW(Server&amp;Cube1,$H$13,$H$14,$H$15,$N$3,N$2,$H$16,$B192)</f>
        <v>0</v>
      </c>
      <c r="O192" s="135"/>
      <c r="P192" s="151">
        <v>0</v>
      </c>
      <c r="Q192" s="152">
        <v>0</v>
      </c>
      <c r="R192" s="152">
        <v>0</v>
      </c>
      <c r="S192" s="152">
        <v>0</v>
      </c>
      <c r="T192" s="152">
        <v>0</v>
      </c>
      <c r="U192" s="152">
        <v>0</v>
      </c>
      <c r="V192" s="152">
        <v>0</v>
      </c>
      <c r="W192" s="152">
        <v>0</v>
      </c>
      <c r="X192" s="152">
        <v>0</v>
      </c>
      <c r="Y192" s="152">
        <v>0</v>
      </c>
      <c r="Z192" s="152">
        <v>0</v>
      </c>
      <c r="AA192" s="159">
        <v>0</v>
      </c>
      <c r="AB192" s="31"/>
      <c r="AE192" s="90">
        <f ca="1">IF($AE$3=1,_xll.DBSW(P192,Server&amp;Cube1,$H$13,$H$14,$H$15,$AE$1,AE$2,$H$16,$B192),_xll.DBRW(Server&amp;Cube1,$H$13,$H$14,$H$15,$AE$1,AE$2,$H$16,$B192))</f>
        <v>0</v>
      </c>
      <c r="AF192" s="90">
        <f ca="1">IF($AE$3=1,_xll.DBSW(Q192,Server&amp;Cube1,$H$13,$H$14,$H$15,$AE$1,AF$2,$H$16,$B192),_xll.DBRW(Server&amp;Cube1,$H$13,$H$14,$H$15,$AE$1,AF$2,$H$16,$B192))</f>
        <v>0</v>
      </c>
      <c r="AG192" s="90">
        <f ca="1">IF($AE$3=1,_xll.DBSW(R192,Server&amp;Cube1,$H$13,$H$14,$H$15,$AE$1,AG$2,$H$16,$B192),_xll.DBRW(Server&amp;Cube1,$H$13,$H$14,$H$15,$AE$1,AG$2,$H$16,$B192))</f>
        <v>0</v>
      </c>
      <c r="AH192" s="90">
        <f ca="1">IF($AE$3=1,_xll.DBSW(S192,Server&amp;Cube1,$H$13,$H$14,$H$15,$AE$1,AH$2,$H$16,$B192),_xll.DBRW(Server&amp;Cube1,$H$13,$H$14,$H$15,$AE$1,AH$2,$H$16,$B192))</f>
        <v>0</v>
      </c>
      <c r="AI192" s="90">
        <f ca="1">IF($AE$3=1,_xll.DBSW(T192,Server&amp;Cube1,$H$13,$H$14,$H$15,$AE$1,AI$2,$H$16,$B192),_xll.DBRW(Server&amp;Cube1,$H$13,$H$14,$H$15,$AE$1,AI$2,$H$16,$B192))</f>
        <v>0</v>
      </c>
      <c r="AJ192" s="90">
        <f ca="1">IF($AE$3=1,_xll.DBSW(U192,Server&amp;Cube1,$H$13,$H$14,$H$15,$AE$1,AJ$2,$H$16,$B192),_xll.DBRW(Server&amp;Cube1,$H$13,$H$14,$H$15,$AE$1,AJ$2,$H$16,$B192))</f>
        <v>0</v>
      </c>
      <c r="AK192" s="90">
        <f ca="1">IF($AE$3=1,_xll.DBSW(V192,Server&amp;Cube1,$H$13,$H$14,$H$15,$AE$1,AK$2,$H$16,$B192),_xll.DBRW(Server&amp;Cube1,$H$13,$H$14,$H$15,$AE$1,AK$2,$H$16,$B192))</f>
        <v>0</v>
      </c>
      <c r="AL192" s="90">
        <f ca="1">IF($AE$3=1,_xll.DBSW(W192,Server&amp;Cube1,$H$13,$H$14,$H$15,$AE$1,AL$2,$H$16,$B192),_xll.DBRW(Server&amp;Cube1,$H$13,$H$14,$H$15,$AE$1,AL$2,$H$16,$B192))</f>
        <v>0</v>
      </c>
      <c r="AM192" s="90">
        <f ca="1">IF($AE$3=1,_xll.DBSW(X192,Server&amp;Cube1,$H$13,$H$14,$H$15,$AE$1,AM$2,$H$16,$B192),_xll.DBRW(Server&amp;Cube1,$H$13,$H$14,$H$15,$AE$1,AM$2,$H$16,$B192))</f>
        <v>0</v>
      </c>
      <c r="AN192" s="90">
        <f ca="1">IF($AE$3=1,_xll.DBSW(Y192,Server&amp;Cube1,$H$13,$H$14,$H$15,$AE$1,AN$2,$H$16,$B192),_xll.DBRW(Server&amp;Cube1,$H$13,$H$14,$H$15,$AE$1,AN$2,$H$16,$B192))</f>
        <v>0</v>
      </c>
      <c r="AO192" s="90">
        <f ca="1">IF($AE$3=1,_xll.DBSW(Z192,Server&amp;Cube1,$H$13,$H$14,$H$15,$AE$1,AO$2,$H$16,$B192),_xll.DBRW(Server&amp;Cube1,$H$13,$H$14,$H$15,$AE$1,AO$2,$H$16,$B192))</f>
        <v>0</v>
      </c>
      <c r="AP192" s="90">
        <f ca="1">IF($AE$3=1,_xll.DBSW(AA192,Server&amp;Cube1,$H$13,$H$14,$H$15,$AE$1,AP$2,$H$16,$B192),_xll.DBRW(Server&amp;Cube1,$H$13,$H$14,$H$15,$AE$1,AP$2,$H$16,$B192))</f>
        <v>0</v>
      </c>
    </row>
    <row r="193" spans="1:42" ht="21" customHeight="1" x14ac:dyDescent="0.25">
      <c r="A193"/>
      <c r="B193" s="181" t="s">
        <v>123</v>
      </c>
      <c r="C193" s="13"/>
      <c r="D193" s="22"/>
      <c r="E193" s="171"/>
      <c r="F193" s="107"/>
      <c r="G193" s="305" t="str">
        <f ca="1">_xll.DBRA(Server&amp;$B$22,$B193,"French")</f>
        <v>Heures de formation</v>
      </c>
      <c r="H193" s="305" t="str">
        <f ca="1">_xll.DBRA(Server&amp;$B$22,$B193,"French")</f>
        <v>Heures de formation</v>
      </c>
      <c r="I193" s="37"/>
      <c r="J193" s="54">
        <f ca="1">_xll.DBRW(Server&amp;Cube1,$H$13,$J$3,$H$15,$J$1,$J$2,$H$16,$B193)</f>
        <v>0</v>
      </c>
      <c r="K193" s="37"/>
      <c r="L193" s="54">
        <f ca="1">_xll.DBRW(Server&amp;Cube1,$H$13,$L$3,$H$15,$L$1,$L$2,$H$16,$B193)</f>
        <v>0</v>
      </c>
      <c r="M193" s="55"/>
      <c r="N193" s="139">
        <f ca="1">_xll.DBRW(Server&amp;Cube1,$H$13,$H$14,$H$15,$N$1,N$2,$H$16,$B193)</f>
        <v>0</v>
      </c>
      <c r="O193" s="57"/>
      <c r="P193" s="156">
        <v>0</v>
      </c>
      <c r="Q193" s="157">
        <v>0</v>
      </c>
      <c r="R193" s="157">
        <v>0</v>
      </c>
      <c r="S193" s="157">
        <v>0</v>
      </c>
      <c r="T193" s="157">
        <v>0</v>
      </c>
      <c r="U193" s="157">
        <v>0</v>
      </c>
      <c r="V193" s="157">
        <v>0</v>
      </c>
      <c r="W193" s="157">
        <v>0</v>
      </c>
      <c r="X193" s="157">
        <v>0</v>
      </c>
      <c r="Y193" s="157">
        <v>0</v>
      </c>
      <c r="Z193" s="157">
        <v>0</v>
      </c>
      <c r="AA193" s="158">
        <v>0</v>
      </c>
      <c r="AB193" s="31"/>
      <c r="AE193" s="67">
        <f ca="1">_xll.DBRW(Server&amp;Cube1,$H$13,$H$14,$H$15,$H$17,AE$2,$H$16,$B193)</f>
        <v>0</v>
      </c>
      <c r="AF193" s="70">
        <f ca="1">_xll.DBRW(Server&amp;Cube1,$H$13,$H$14,$H$15,$H$17,AF$2,$H$16,$B193)</f>
        <v>0</v>
      </c>
      <c r="AG193" s="70">
        <f ca="1">_xll.DBRW(Server&amp;Cube1,$H$13,$H$14,$H$15,$H$17,AG$2,$H$16,$B193)</f>
        <v>0</v>
      </c>
      <c r="AH193" s="70">
        <f ca="1">_xll.DBRW(Server&amp;Cube1,$H$13,$H$14,$H$15,$H$17,AH$2,$H$16,$B193)</f>
        <v>0</v>
      </c>
      <c r="AI193" s="70">
        <f ca="1">_xll.DBRW(Server&amp;Cube1,$H$13,$H$14,$H$15,$H$17,AI$2,$H$16,$B193)</f>
        <v>0</v>
      </c>
      <c r="AJ193" s="70">
        <f ca="1">_xll.DBRW(Server&amp;Cube1,$H$13,$H$14,$H$15,$H$17,AJ$2,$H$16,$B193)</f>
        <v>0</v>
      </c>
      <c r="AK193" s="70">
        <f ca="1">_xll.DBRW(Server&amp;Cube1,$H$13,$H$14,$H$15,$H$17,AK$2,$H$16,$B193)</f>
        <v>0</v>
      </c>
      <c r="AL193" s="70">
        <f ca="1">_xll.DBRW(Server&amp;Cube1,$H$13,$H$14,$H$15,$H$17,AL$2,$H$16,$B193)</f>
        <v>0</v>
      </c>
      <c r="AM193" s="70">
        <f ca="1">_xll.DBRW(Server&amp;Cube1,$H$13,$H$14,$H$15,$H$17,AM$2,$H$16,$B193)</f>
        <v>0</v>
      </c>
      <c r="AN193" s="70">
        <f ca="1">_xll.DBRW(Server&amp;Cube1,$H$13,$H$14,$H$15,$H$17,AN$2,$H$16,$B193)</f>
        <v>0</v>
      </c>
      <c r="AO193" s="70">
        <f ca="1">_xll.DBRW(Server&amp;Cube1,$H$13,$H$14,$H$15,$H$17,AO$2,$H$16,$B193)</f>
        <v>0</v>
      </c>
      <c r="AP193" s="71">
        <f ca="1">_xll.DBRW(Server&amp;Cube1,$H$13,$H$14,$H$15,$H$17,AP$2,$H$16,$B193)</f>
        <v>0</v>
      </c>
    </row>
    <row r="194" spans="1:42" ht="21" customHeight="1" x14ac:dyDescent="0.25">
      <c r="A194"/>
      <c r="B194" s="181" t="s">
        <v>123</v>
      </c>
      <c r="C194" s="12"/>
      <c r="D194" s="21"/>
      <c r="E194" s="169"/>
      <c r="F194" s="105"/>
      <c r="G194" s="319" t="s">
        <v>102</v>
      </c>
      <c r="H194" s="319"/>
      <c r="I194" s="127"/>
      <c r="J194" s="137"/>
      <c r="K194" s="127"/>
      <c r="L194" s="137"/>
      <c r="M194" s="134"/>
      <c r="N194" s="108">
        <f ca="1">_xll.DBRW(Server&amp;Cube1,$H$13,$H$14,$H$15,$N$3,N$2,$H$16,$B194)</f>
        <v>0</v>
      </c>
      <c r="O194" s="135"/>
      <c r="P194" s="151">
        <v>0</v>
      </c>
      <c r="Q194" s="152">
        <v>0</v>
      </c>
      <c r="R194" s="152">
        <v>0</v>
      </c>
      <c r="S194" s="152">
        <v>0</v>
      </c>
      <c r="T194" s="152">
        <v>0</v>
      </c>
      <c r="U194" s="152">
        <v>0</v>
      </c>
      <c r="V194" s="152">
        <v>0</v>
      </c>
      <c r="W194" s="152">
        <v>0</v>
      </c>
      <c r="X194" s="152">
        <v>0</v>
      </c>
      <c r="Y194" s="152">
        <v>0</v>
      </c>
      <c r="Z194" s="152">
        <v>0</v>
      </c>
      <c r="AA194" s="159">
        <v>0</v>
      </c>
      <c r="AB194" s="31"/>
      <c r="AE194" s="90">
        <f ca="1">IF($AE$3=1,_xll.DBSW(P194,Server&amp;Cube1,$H$13,$H$14,$H$15,$AE$1,AE$2,$H$16,$B194),_xll.DBRW(Server&amp;Cube1,$H$13,$H$14,$H$15,$AE$1,AE$2,$H$16,$B194))</f>
        <v>0</v>
      </c>
      <c r="AF194" s="90">
        <f ca="1">IF($AE$3=1,_xll.DBSW(Q194,Server&amp;Cube1,$H$13,$H$14,$H$15,$AE$1,AF$2,$H$16,$B194),_xll.DBRW(Server&amp;Cube1,$H$13,$H$14,$H$15,$AE$1,AF$2,$H$16,$B194))</f>
        <v>0</v>
      </c>
      <c r="AG194" s="90">
        <f ca="1">IF($AE$3=1,_xll.DBSW(R194,Server&amp;Cube1,$H$13,$H$14,$H$15,$AE$1,AG$2,$H$16,$B194),_xll.DBRW(Server&amp;Cube1,$H$13,$H$14,$H$15,$AE$1,AG$2,$H$16,$B194))</f>
        <v>0</v>
      </c>
      <c r="AH194" s="90">
        <f ca="1">IF($AE$3=1,_xll.DBSW(S194,Server&amp;Cube1,$H$13,$H$14,$H$15,$AE$1,AH$2,$H$16,$B194),_xll.DBRW(Server&amp;Cube1,$H$13,$H$14,$H$15,$AE$1,AH$2,$H$16,$B194))</f>
        <v>0</v>
      </c>
      <c r="AI194" s="90">
        <f ca="1">IF($AE$3=1,_xll.DBSW(T194,Server&amp;Cube1,$H$13,$H$14,$H$15,$AE$1,AI$2,$H$16,$B194),_xll.DBRW(Server&amp;Cube1,$H$13,$H$14,$H$15,$AE$1,AI$2,$H$16,$B194))</f>
        <v>0</v>
      </c>
      <c r="AJ194" s="90">
        <f ca="1">IF($AE$3=1,_xll.DBSW(U194,Server&amp;Cube1,$H$13,$H$14,$H$15,$AE$1,AJ$2,$H$16,$B194),_xll.DBRW(Server&amp;Cube1,$H$13,$H$14,$H$15,$AE$1,AJ$2,$H$16,$B194))</f>
        <v>0</v>
      </c>
      <c r="AK194" s="90">
        <f ca="1">IF($AE$3=1,_xll.DBSW(V194,Server&amp;Cube1,$H$13,$H$14,$H$15,$AE$1,AK$2,$H$16,$B194),_xll.DBRW(Server&amp;Cube1,$H$13,$H$14,$H$15,$AE$1,AK$2,$H$16,$B194))</f>
        <v>0</v>
      </c>
      <c r="AL194" s="90">
        <f ca="1">IF($AE$3=1,_xll.DBSW(W194,Server&amp;Cube1,$H$13,$H$14,$H$15,$AE$1,AL$2,$H$16,$B194),_xll.DBRW(Server&amp;Cube1,$H$13,$H$14,$H$15,$AE$1,AL$2,$H$16,$B194))</f>
        <v>0</v>
      </c>
      <c r="AM194" s="90">
        <f ca="1">IF($AE$3=1,_xll.DBSW(X194,Server&amp;Cube1,$H$13,$H$14,$H$15,$AE$1,AM$2,$H$16,$B194),_xll.DBRW(Server&amp;Cube1,$H$13,$H$14,$H$15,$AE$1,AM$2,$H$16,$B194))</f>
        <v>0</v>
      </c>
      <c r="AN194" s="90">
        <f ca="1">IF($AE$3=1,_xll.DBSW(Y194,Server&amp;Cube1,$H$13,$H$14,$H$15,$AE$1,AN$2,$H$16,$B194),_xll.DBRW(Server&amp;Cube1,$H$13,$H$14,$H$15,$AE$1,AN$2,$H$16,$B194))</f>
        <v>0</v>
      </c>
      <c r="AO194" s="90">
        <f ca="1">IF($AE$3=1,_xll.DBSW(Z194,Server&amp;Cube1,$H$13,$H$14,$H$15,$AE$1,AO$2,$H$16,$B194),_xll.DBRW(Server&amp;Cube1,$H$13,$H$14,$H$15,$AE$1,AO$2,$H$16,$B194))</f>
        <v>0</v>
      </c>
      <c r="AP194" s="90">
        <f ca="1">IF($AE$3=1,_xll.DBSW(AA194,Server&amp;Cube1,$H$13,$H$14,$H$15,$AE$1,AP$2,$H$16,$B194),_xll.DBRW(Server&amp;Cube1,$H$13,$H$14,$H$15,$AE$1,AP$2,$H$16,$B194))</f>
        <v>0</v>
      </c>
    </row>
    <row r="195" spans="1:42" ht="21" customHeight="1" x14ac:dyDescent="0.25">
      <c r="A195"/>
      <c r="B195" s="181" t="s">
        <v>124</v>
      </c>
      <c r="C195" s="13"/>
      <c r="D195" s="22"/>
      <c r="E195" s="171"/>
      <c r="F195" s="107"/>
      <c r="G195" s="305" t="str">
        <f ca="1">_xll.DBRA(Server&amp;$B$22,$B195,"French")</f>
        <v>Total journées formateurs  internes</v>
      </c>
      <c r="H195" s="305" t="str">
        <f ca="1">_xll.DBRA(Server&amp;$B$22,$B195,"French")</f>
        <v>Total journées formateurs  internes</v>
      </c>
      <c r="I195" s="37"/>
      <c r="J195" s="54">
        <f ca="1">_xll.DBRW(Server&amp;Cube1,$H$13,$J$3,$H$15,$J$1,$J$2,$H$16,$B195)</f>
        <v>0</v>
      </c>
      <c r="K195" s="37"/>
      <c r="L195" s="54">
        <f ca="1">_xll.DBRW(Server&amp;Cube1,$H$13,$L$3,$H$15,$L$1,$L$2,$H$16,$B195)</f>
        <v>0</v>
      </c>
      <c r="M195" s="55"/>
      <c r="N195" s="139">
        <f ca="1">_xll.DBRW(Server&amp;Cube1,$H$13,$H$14,$H$15,$N$1,N$2,$H$16,$B195)</f>
        <v>0</v>
      </c>
      <c r="O195" s="57"/>
      <c r="P195" s="156">
        <v>0</v>
      </c>
      <c r="Q195" s="157">
        <v>0</v>
      </c>
      <c r="R195" s="157">
        <v>0</v>
      </c>
      <c r="S195" s="157">
        <v>0</v>
      </c>
      <c r="T195" s="157">
        <v>0</v>
      </c>
      <c r="U195" s="157">
        <v>0</v>
      </c>
      <c r="V195" s="157">
        <v>0</v>
      </c>
      <c r="W195" s="157">
        <v>0</v>
      </c>
      <c r="X195" s="157">
        <v>0</v>
      </c>
      <c r="Y195" s="157">
        <v>0</v>
      </c>
      <c r="Z195" s="157">
        <v>0</v>
      </c>
      <c r="AA195" s="158">
        <v>0</v>
      </c>
      <c r="AB195" s="31"/>
      <c r="AE195" s="67">
        <f ca="1">_xll.DBRW(Server&amp;Cube1,$H$13,$H$14,$H$15,$H$17,AE$2,$H$16,$B195)</f>
        <v>0</v>
      </c>
      <c r="AF195" s="70">
        <f ca="1">_xll.DBRW(Server&amp;Cube1,$H$13,$H$14,$H$15,$H$17,AF$2,$H$16,$B195)</f>
        <v>0</v>
      </c>
      <c r="AG195" s="70">
        <f ca="1">_xll.DBRW(Server&amp;Cube1,$H$13,$H$14,$H$15,$H$17,AG$2,$H$16,$B195)</f>
        <v>0</v>
      </c>
      <c r="AH195" s="70">
        <f ca="1">_xll.DBRW(Server&amp;Cube1,$H$13,$H$14,$H$15,$H$17,AH$2,$H$16,$B195)</f>
        <v>0</v>
      </c>
      <c r="AI195" s="70">
        <f ca="1">_xll.DBRW(Server&amp;Cube1,$H$13,$H$14,$H$15,$H$17,AI$2,$H$16,$B195)</f>
        <v>0</v>
      </c>
      <c r="AJ195" s="70">
        <f ca="1">_xll.DBRW(Server&amp;Cube1,$H$13,$H$14,$H$15,$H$17,AJ$2,$H$16,$B195)</f>
        <v>0</v>
      </c>
      <c r="AK195" s="70">
        <f ca="1">_xll.DBRW(Server&amp;Cube1,$H$13,$H$14,$H$15,$H$17,AK$2,$H$16,$B195)</f>
        <v>0</v>
      </c>
      <c r="AL195" s="70">
        <f ca="1">_xll.DBRW(Server&amp;Cube1,$H$13,$H$14,$H$15,$H$17,AL$2,$H$16,$B195)</f>
        <v>0</v>
      </c>
      <c r="AM195" s="70">
        <f ca="1">_xll.DBRW(Server&amp;Cube1,$H$13,$H$14,$H$15,$H$17,AM$2,$H$16,$B195)</f>
        <v>0</v>
      </c>
      <c r="AN195" s="70">
        <f ca="1">_xll.DBRW(Server&amp;Cube1,$H$13,$H$14,$H$15,$H$17,AN$2,$H$16,$B195)</f>
        <v>0</v>
      </c>
      <c r="AO195" s="70">
        <f ca="1">_xll.DBRW(Server&amp;Cube1,$H$13,$H$14,$H$15,$H$17,AO$2,$H$16,$B195)</f>
        <v>0</v>
      </c>
      <c r="AP195" s="71">
        <f ca="1">_xll.DBRW(Server&amp;Cube1,$H$13,$H$14,$H$15,$H$17,AP$2,$H$16,$B195)</f>
        <v>0</v>
      </c>
    </row>
    <row r="196" spans="1:42" ht="21" customHeight="1" x14ac:dyDescent="0.25">
      <c r="A196"/>
      <c r="B196" s="181" t="s">
        <v>124</v>
      </c>
      <c r="C196" s="12"/>
      <c r="D196" s="21"/>
      <c r="E196" s="169"/>
      <c r="F196" s="105"/>
      <c r="G196" s="319" t="s">
        <v>102</v>
      </c>
      <c r="H196" s="319"/>
      <c r="I196" s="127"/>
      <c r="J196" s="137"/>
      <c r="K196" s="127"/>
      <c r="L196" s="137"/>
      <c r="M196" s="134"/>
      <c r="N196" s="108">
        <f ca="1">_xll.DBRW(Server&amp;Cube1,$H$13,$H$14,$H$15,$N$3,N$2,$H$16,$B196)</f>
        <v>0</v>
      </c>
      <c r="O196" s="135"/>
      <c r="P196" s="151">
        <v>0</v>
      </c>
      <c r="Q196" s="152">
        <v>0</v>
      </c>
      <c r="R196" s="152">
        <v>0</v>
      </c>
      <c r="S196" s="152">
        <v>0</v>
      </c>
      <c r="T196" s="152">
        <v>0</v>
      </c>
      <c r="U196" s="152">
        <v>0</v>
      </c>
      <c r="V196" s="152">
        <v>0</v>
      </c>
      <c r="W196" s="152">
        <v>0</v>
      </c>
      <c r="X196" s="152">
        <v>0</v>
      </c>
      <c r="Y196" s="152">
        <v>0</v>
      </c>
      <c r="Z196" s="152">
        <v>0</v>
      </c>
      <c r="AA196" s="159">
        <v>0</v>
      </c>
      <c r="AB196" s="31"/>
      <c r="AE196" s="90">
        <f ca="1">IF($AE$3=1,_xll.DBSW(P196,Server&amp;Cube1,$H$13,$H$14,$H$15,$AE$1,AE$2,$H$16,$B196),_xll.DBRW(Server&amp;Cube1,$H$13,$H$14,$H$15,$AE$1,AE$2,$H$16,$B196))</f>
        <v>0</v>
      </c>
      <c r="AF196" s="90">
        <f ca="1">IF($AE$3=1,_xll.DBSW(Q196,Server&amp;Cube1,$H$13,$H$14,$H$15,$AE$1,AF$2,$H$16,$B196),_xll.DBRW(Server&amp;Cube1,$H$13,$H$14,$H$15,$AE$1,AF$2,$H$16,$B196))</f>
        <v>0</v>
      </c>
      <c r="AG196" s="90">
        <f ca="1">IF($AE$3=1,_xll.DBSW(R196,Server&amp;Cube1,$H$13,$H$14,$H$15,$AE$1,AG$2,$H$16,$B196),_xll.DBRW(Server&amp;Cube1,$H$13,$H$14,$H$15,$AE$1,AG$2,$H$16,$B196))</f>
        <v>0</v>
      </c>
      <c r="AH196" s="90">
        <f ca="1">IF($AE$3=1,_xll.DBSW(S196,Server&amp;Cube1,$H$13,$H$14,$H$15,$AE$1,AH$2,$H$16,$B196),_xll.DBRW(Server&amp;Cube1,$H$13,$H$14,$H$15,$AE$1,AH$2,$H$16,$B196))</f>
        <v>0</v>
      </c>
      <c r="AI196" s="90">
        <f ca="1">IF($AE$3=1,_xll.DBSW(T196,Server&amp;Cube1,$H$13,$H$14,$H$15,$AE$1,AI$2,$H$16,$B196),_xll.DBRW(Server&amp;Cube1,$H$13,$H$14,$H$15,$AE$1,AI$2,$H$16,$B196))</f>
        <v>0</v>
      </c>
      <c r="AJ196" s="90">
        <f ca="1">IF($AE$3=1,_xll.DBSW(U196,Server&amp;Cube1,$H$13,$H$14,$H$15,$AE$1,AJ$2,$H$16,$B196),_xll.DBRW(Server&amp;Cube1,$H$13,$H$14,$H$15,$AE$1,AJ$2,$H$16,$B196))</f>
        <v>0</v>
      </c>
      <c r="AK196" s="90">
        <f ca="1">IF($AE$3=1,_xll.DBSW(V196,Server&amp;Cube1,$H$13,$H$14,$H$15,$AE$1,AK$2,$H$16,$B196),_xll.DBRW(Server&amp;Cube1,$H$13,$H$14,$H$15,$AE$1,AK$2,$H$16,$B196))</f>
        <v>0</v>
      </c>
      <c r="AL196" s="90">
        <f ca="1">IF($AE$3=1,_xll.DBSW(W196,Server&amp;Cube1,$H$13,$H$14,$H$15,$AE$1,AL$2,$H$16,$B196),_xll.DBRW(Server&amp;Cube1,$H$13,$H$14,$H$15,$AE$1,AL$2,$H$16,$B196))</f>
        <v>0</v>
      </c>
      <c r="AM196" s="90">
        <f ca="1">IF($AE$3=1,_xll.DBSW(X196,Server&amp;Cube1,$H$13,$H$14,$H$15,$AE$1,AM$2,$H$16,$B196),_xll.DBRW(Server&amp;Cube1,$H$13,$H$14,$H$15,$AE$1,AM$2,$H$16,$B196))</f>
        <v>0</v>
      </c>
      <c r="AN196" s="90">
        <f ca="1">IF($AE$3=1,_xll.DBSW(Y196,Server&amp;Cube1,$H$13,$H$14,$H$15,$AE$1,AN$2,$H$16,$B196),_xll.DBRW(Server&amp;Cube1,$H$13,$H$14,$H$15,$AE$1,AN$2,$H$16,$B196))</f>
        <v>0</v>
      </c>
      <c r="AO196" s="90">
        <f ca="1">IF($AE$3=1,_xll.DBSW(Z196,Server&amp;Cube1,$H$13,$H$14,$H$15,$AE$1,AO$2,$H$16,$B196),_xll.DBRW(Server&amp;Cube1,$H$13,$H$14,$H$15,$AE$1,AO$2,$H$16,$B196))</f>
        <v>0</v>
      </c>
      <c r="AP196" s="90">
        <f ca="1">IF($AE$3=1,_xll.DBSW(AA196,Server&amp;Cube1,$H$13,$H$14,$H$15,$AE$1,AP$2,$H$16,$B196),_xll.DBRW(Server&amp;Cube1,$H$13,$H$14,$H$15,$AE$1,AP$2,$H$16,$B196))</f>
        <v>0</v>
      </c>
    </row>
    <row r="197" spans="1:42" ht="21" customHeight="1" x14ac:dyDescent="0.25">
      <c r="A197"/>
      <c r="B197" s="181" t="s">
        <v>125</v>
      </c>
      <c r="C197" s="13"/>
      <c r="D197" s="22"/>
      <c r="E197" s="171"/>
      <c r="F197" s="107"/>
      <c r="G197" s="305" t="str">
        <f ca="1">_xll.DBRA(Server&amp;$B$22,$B197,"French")</f>
        <v>Total journées formateurs externes</v>
      </c>
      <c r="H197" s="305" t="str">
        <f ca="1">_xll.DBRA(Server&amp;$B$22,$B197,"French")</f>
        <v>Total journées formateurs externes</v>
      </c>
      <c r="I197" s="37"/>
      <c r="J197" s="54">
        <f ca="1">_xll.DBRW(Server&amp;Cube1,$H$13,$J$3,$H$15,$J$1,$J$2,$H$16,$B197)</f>
        <v>0</v>
      </c>
      <c r="K197" s="37"/>
      <c r="L197" s="54">
        <f ca="1">_xll.DBRW(Server&amp;Cube1,$H$13,$L$3,$H$15,$L$1,$L$2,$H$16,$B197)</f>
        <v>0</v>
      </c>
      <c r="M197" s="55"/>
      <c r="N197" s="139">
        <f ca="1">_xll.DBRW(Server&amp;Cube1,$H$13,$H$14,$H$15,$N$1,N$2,$H$16,$B197)</f>
        <v>0</v>
      </c>
      <c r="O197" s="57"/>
      <c r="P197" s="156">
        <v>0</v>
      </c>
      <c r="Q197" s="157">
        <v>0</v>
      </c>
      <c r="R197" s="157">
        <v>0</v>
      </c>
      <c r="S197" s="157">
        <v>0</v>
      </c>
      <c r="T197" s="157">
        <v>0</v>
      </c>
      <c r="U197" s="157">
        <v>0</v>
      </c>
      <c r="V197" s="157">
        <v>0</v>
      </c>
      <c r="W197" s="157">
        <v>0</v>
      </c>
      <c r="X197" s="157">
        <v>0</v>
      </c>
      <c r="Y197" s="157">
        <v>0</v>
      </c>
      <c r="Z197" s="157">
        <v>0</v>
      </c>
      <c r="AA197" s="158">
        <v>0</v>
      </c>
      <c r="AB197" s="31"/>
      <c r="AE197" s="67">
        <f ca="1">_xll.DBRW(Server&amp;Cube1,$H$13,$H$14,$H$15,$H$17,AE$2,$H$16,$B197)</f>
        <v>0</v>
      </c>
      <c r="AF197" s="70">
        <f ca="1">_xll.DBRW(Server&amp;Cube1,$H$13,$H$14,$H$15,$H$17,AF$2,$H$16,$B197)</f>
        <v>0</v>
      </c>
      <c r="AG197" s="70">
        <f ca="1">_xll.DBRW(Server&amp;Cube1,$H$13,$H$14,$H$15,$H$17,AG$2,$H$16,$B197)</f>
        <v>0</v>
      </c>
      <c r="AH197" s="70">
        <f ca="1">_xll.DBRW(Server&amp;Cube1,$H$13,$H$14,$H$15,$H$17,AH$2,$H$16,$B197)</f>
        <v>0</v>
      </c>
      <c r="AI197" s="70">
        <f ca="1">_xll.DBRW(Server&amp;Cube1,$H$13,$H$14,$H$15,$H$17,AI$2,$H$16,$B197)</f>
        <v>0</v>
      </c>
      <c r="AJ197" s="70">
        <f ca="1">_xll.DBRW(Server&amp;Cube1,$H$13,$H$14,$H$15,$H$17,AJ$2,$H$16,$B197)</f>
        <v>0</v>
      </c>
      <c r="AK197" s="70">
        <f ca="1">_xll.DBRW(Server&amp;Cube1,$H$13,$H$14,$H$15,$H$17,AK$2,$H$16,$B197)</f>
        <v>0</v>
      </c>
      <c r="AL197" s="70">
        <f ca="1">_xll.DBRW(Server&amp;Cube1,$H$13,$H$14,$H$15,$H$17,AL$2,$H$16,$B197)</f>
        <v>0</v>
      </c>
      <c r="AM197" s="70">
        <f ca="1">_xll.DBRW(Server&amp;Cube1,$H$13,$H$14,$H$15,$H$17,AM$2,$H$16,$B197)</f>
        <v>0</v>
      </c>
      <c r="AN197" s="70">
        <f ca="1">_xll.DBRW(Server&amp;Cube1,$H$13,$H$14,$H$15,$H$17,AN$2,$H$16,$B197)</f>
        <v>0</v>
      </c>
      <c r="AO197" s="70">
        <f ca="1">_xll.DBRW(Server&amp;Cube1,$H$13,$H$14,$H$15,$H$17,AO$2,$H$16,$B197)</f>
        <v>0</v>
      </c>
      <c r="AP197" s="71">
        <f ca="1">_xll.DBRW(Server&amp;Cube1,$H$13,$H$14,$H$15,$H$17,AP$2,$H$16,$B197)</f>
        <v>0</v>
      </c>
    </row>
    <row r="198" spans="1:42" ht="21" customHeight="1" x14ac:dyDescent="0.25">
      <c r="A198"/>
      <c r="B198" s="181" t="s">
        <v>125</v>
      </c>
      <c r="C198" s="12"/>
      <c r="D198" s="21"/>
      <c r="E198" s="169"/>
      <c r="F198" s="105"/>
      <c r="G198" s="319" t="s">
        <v>102</v>
      </c>
      <c r="H198" s="319"/>
      <c r="I198" s="127"/>
      <c r="J198" s="137"/>
      <c r="K198" s="127"/>
      <c r="L198" s="137"/>
      <c r="M198" s="134"/>
      <c r="N198" s="140">
        <f ca="1">_xll.DBRW(Server&amp;Cube1,$H$13,$H$14,$H$15,$N$3,N$2,$H$16,$B198)</f>
        <v>0</v>
      </c>
      <c r="O198" s="135"/>
      <c r="P198" s="151">
        <v>0</v>
      </c>
      <c r="Q198" s="152">
        <v>0</v>
      </c>
      <c r="R198" s="152">
        <v>0</v>
      </c>
      <c r="S198" s="152">
        <v>0</v>
      </c>
      <c r="T198" s="152">
        <v>0</v>
      </c>
      <c r="U198" s="152">
        <v>0</v>
      </c>
      <c r="V198" s="152">
        <v>0</v>
      </c>
      <c r="W198" s="152">
        <v>0</v>
      </c>
      <c r="X198" s="152">
        <v>0</v>
      </c>
      <c r="Y198" s="152">
        <v>0</v>
      </c>
      <c r="Z198" s="152">
        <v>0</v>
      </c>
      <c r="AA198" s="159">
        <v>0</v>
      </c>
      <c r="AB198" s="31"/>
      <c r="AE198" s="90">
        <f ca="1">IF($AE$3=1,_xll.DBSW(P198,Server&amp;Cube1,$H$13,$H$14,$H$15,$AE$1,AE$2,$H$16,$B198),_xll.DBRW(Server&amp;Cube1,$H$13,$H$14,$H$15,$AE$1,AE$2,$H$16,$B198))</f>
        <v>0</v>
      </c>
      <c r="AF198" s="90">
        <f ca="1">IF($AE$3=1,_xll.DBSW(Q198,Server&amp;Cube1,$H$13,$H$14,$H$15,$AE$1,AF$2,$H$16,$B198),_xll.DBRW(Server&amp;Cube1,$H$13,$H$14,$H$15,$AE$1,AF$2,$H$16,$B198))</f>
        <v>0</v>
      </c>
      <c r="AG198" s="90">
        <f ca="1">IF($AE$3=1,_xll.DBSW(R198,Server&amp;Cube1,$H$13,$H$14,$H$15,$AE$1,AG$2,$H$16,$B198),_xll.DBRW(Server&amp;Cube1,$H$13,$H$14,$H$15,$AE$1,AG$2,$H$16,$B198))</f>
        <v>0</v>
      </c>
      <c r="AH198" s="90">
        <f ca="1">IF($AE$3=1,_xll.DBSW(S198,Server&amp;Cube1,$H$13,$H$14,$H$15,$AE$1,AH$2,$H$16,$B198),_xll.DBRW(Server&amp;Cube1,$H$13,$H$14,$H$15,$AE$1,AH$2,$H$16,$B198))</f>
        <v>0</v>
      </c>
      <c r="AI198" s="90">
        <f ca="1">IF($AE$3=1,_xll.DBSW(T198,Server&amp;Cube1,$H$13,$H$14,$H$15,$AE$1,AI$2,$H$16,$B198),_xll.DBRW(Server&amp;Cube1,$H$13,$H$14,$H$15,$AE$1,AI$2,$H$16,$B198))</f>
        <v>0</v>
      </c>
      <c r="AJ198" s="90">
        <f ca="1">IF($AE$3=1,_xll.DBSW(U198,Server&amp;Cube1,$H$13,$H$14,$H$15,$AE$1,AJ$2,$H$16,$B198),_xll.DBRW(Server&amp;Cube1,$H$13,$H$14,$H$15,$AE$1,AJ$2,$H$16,$B198))</f>
        <v>0</v>
      </c>
      <c r="AK198" s="90">
        <f ca="1">IF($AE$3=1,_xll.DBSW(V198,Server&amp;Cube1,$H$13,$H$14,$H$15,$AE$1,AK$2,$H$16,$B198),_xll.DBRW(Server&amp;Cube1,$H$13,$H$14,$H$15,$AE$1,AK$2,$H$16,$B198))</f>
        <v>0</v>
      </c>
      <c r="AL198" s="90">
        <f ca="1">IF($AE$3=1,_xll.DBSW(W198,Server&amp;Cube1,$H$13,$H$14,$H$15,$AE$1,AL$2,$H$16,$B198),_xll.DBRW(Server&amp;Cube1,$H$13,$H$14,$H$15,$AE$1,AL$2,$H$16,$B198))</f>
        <v>0</v>
      </c>
      <c r="AM198" s="90">
        <f ca="1">IF($AE$3=1,_xll.DBSW(X198,Server&amp;Cube1,$H$13,$H$14,$H$15,$AE$1,AM$2,$H$16,$B198),_xll.DBRW(Server&amp;Cube1,$H$13,$H$14,$H$15,$AE$1,AM$2,$H$16,$B198))</f>
        <v>0</v>
      </c>
      <c r="AN198" s="90">
        <f ca="1">IF($AE$3=1,_xll.DBSW(Y198,Server&amp;Cube1,$H$13,$H$14,$H$15,$AE$1,AN$2,$H$16,$B198),_xll.DBRW(Server&amp;Cube1,$H$13,$H$14,$H$15,$AE$1,AN$2,$H$16,$B198))</f>
        <v>0</v>
      </c>
      <c r="AO198" s="90">
        <f ca="1">IF($AE$3=1,_xll.DBSW(Z198,Server&amp;Cube1,$H$13,$H$14,$H$15,$AE$1,AO$2,$H$16,$B198),_xll.DBRW(Server&amp;Cube1,$H$13,$H$14,$H$15,$AE$1,AO$2,$H$16,$B198))</f>
        <v>0</v>
      </c>
      <c r="AP198" s="90">
        <f ca="1">IF($AE$3=1,_xll.DBSW(AA198,Server&amp;Cube1,$H$13,$H$14,$H$15,$AE$1,AP$2,$H$16,$B198),_xll.DBRW(Server&amp;Cube1,$H$13,$H$14,$H$15,$AE$1,AP$2,$H$16,$B198))</f>
        <v>0</v>
      </c>
    </row>
    <row r="199" spans="1:42" ht="51" customHeight="1" x14ac:dyDescent="0.25">
      <c r="A199"/>
      <c r="B199"/>
      <c r="C199"/>
      <c r="E199" s="32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4"/>
    </row>
  </sheetData>
  <sheetProtection formatColumns="0" formatRows="0"/>
  <mergeCells count="137">
    <mergeCell ref="G165:H165"/>
    <mergeCell ref="G167:H167"/>
    <mergeCell ref="G177:H177"/>
    <mergeCell ref="G179:H179"/>
    <mergeCell ref="G181:H181"/>
    <mergeCell ref="G135:H135"/>
    <mergeCell ref="G137:H137"/>
    <mergeCell ref="G139:H139"/>
    <mergeCell ref="G141:H141"/>
    <mergeCell ref="G143:H143"/>
    <mergeCell ref="G157:H157"/>
    <mergeCell ref="G155:H155"/>
    <mergeCell ref="G156:H156"/>
    <mergeCell ref="G158:H158"/>
    <mergeCell ref="G164:H164"/>
    <mergeCell ref="G159:H159"/>
    <mergeCell ref="G136:H136"/>
    <mergeCell ref="G138:H138"/>
    <mergeCell ref="G140:H140"/>
    <mergeCell ref="G142:H142"/>
    <mergeCell ref="F145:H145"/>
    <mergeCell ref="F148:AA148"/>
    <mergeCell ref="G94:H94"/>
    <mergeCell ref="G99:H99"/>
    <mergeCell ref="G101:H101"/>
    <mergeCell ref="G105:H105"/>
    <mergeCell ref="G107:H107"/>
    <mergeCell ref="G111:H111"/>
    <mergeCell ref="G124:H124"/>
    <mergeCell ref="G126:H126"/>
    <mergeCell ref="G128:H128"/>
    <mergeCell ref="G97:H97"/>
    <mergeCell ref="G98:H98"/>
    <mergeCell ref="G100:H100"/>
    <mergeCell ref="G103:H103"/>
    <mergeCell ref="G104:H104"/>
    <mergeCell ref="G106:H106"/>
    <mergeCell ref="G66:H66"/>
    <mergeCell ref="G68:H68"/>
    <mergeCell ref="G72:H72"/>
    <mergeCell ref="F184:AA184"/>
    <mergeCell ref="F186:H186"/>
    <mergeCell ref="G25:H25"/>
    <mergeCell ref="G32:H32"/>
    <mergeCell ref="G34:H34"/>
    <mergeCell ref="G36:H36"/>
    <mergeCell ref="G40:H40"/>
    <mergeCell ref="G42:H42"/>
    <mergeCell ref="G44:H44"/>
    <mergeCell ref="G50:H50"/>
    <mergeCell ref="G166:H166"/>
    <mergeCell ref="F173:H173"/>
    <mergeCell ref="G175:H175"/>
    <mergeCell ref="G176:H176"/>
    <mergeCell ref="G178:H178"/>
    <mergeCell ref="G180:H180"/>
    <mergeCell ref="F150:H150"/>
    <mergeCell ref="F153:AA153"/>
    <mergeCell ref="G123:H123"/>
    <mergeCell ref="G125:H125"/>
    <mergeCell ref="G127:H127"/>
    <mergeCell ref="G134:H134"/>
    <mergeCell ref="G109:H109"/>
    <mergeCell ref="G110:H110"/>
    <mergeCell ref="G116:H116"/>
    <mergeCell ref="G119:H119"/>
    <mergeCell ref="G120:H120"/>
    <mergeCell ref="G122:H122"/>
    <mergeCell ref="G117:H117"/>
    <mergeCell ref="G121:H121"/>
    <mergeCell ref="G129:H129"/>
    <mergeCell ref="G131:H131"/>
    <mergeCell ref="G133:H133"/>
    <mergeCell ref="G130:H130"/>
    <mergeCell ref="G132:H132"/>
    <mergeCell ref="G114:H114"/>
    <mergeCell ref="G115:H115"/>
    <mergeCell ref="G112:H112"/>
    <mergeCell ref="G113:H113"/>
    <mergeCell ref="F83:AA83"/>
    <mergeCell ref="F85:H85"/>
    <mergeCell ref="F88:AA88"/>
    <mergeCell ref="G90:H90"/>
    <mergeCell ref="G91:H91"/>
    <mergeCell ref="G93:H93"/>
    <mergeCell ref="G92:H92"/>
    <mergeCell ref="G67:H67"/>
    <mergeCell ref="G71:H71"/>
    <mergeCell ref="G73:H73"/>
    <mergeCell ref="G75:H75"/>
    <mergeCell ref="G77:H77"/>
    <mergeCell ref="F80:H80"/>
    <mergeCell ref="G74:H74"/>
    <mergeCell ref="G76:H76"/>
    <mergeCell ref="G78:H78"/>
    <mergeCell ref="G69:H69"/>
    <mergeCell ref="G70:H70"/>
    <mergeCell ref="G57:H57"/>
    <mergeCell ref="G58:H58"/>
    <mergeCell ref="G60:H60"/>
    <mergeCell ref="G63:H63"/>
    <mergeCell ref="G64:H64"/>
    <mergeCell ref="G65:H65"/>
    <mergeCell ref="G43:H43"/>
    <mergeCell ref="F46:H46"/>
    <mergeCell ref="G48:H48"/>
    <mergeCell ref="G49:H49"/>
    <mergeCell ref="G51:H51"/>
    <mergeCell ref="G54:H54"/>
    <mergeCell ref="G52:H52"/>
    <mergeCell ref="G55:H55"/>
    <mergeCell ref="G59:H59"/>
    <mergeCell ref="G61:H61"/>
    <mergeCell ref="G31:H31"/>
    <mergeCell ref="G33:H33"/>
    <mergeCell ref="G35:H35"/>
    <mergeCell ref="G38:H38"/>
    <mergeCell ref="G39:H39"/>
    <mergeCell ref="G41:H41"/>
    <mergeCell ref="G8:AA8"/>
    <mergeCell ref="G9:AA9"/>
    <mergeCell ref="N20:AA20"/>
    <mergeCell ref="N21:N22"/>
    <mergeCell ref="G24:H24"/>
    <mergeCell ref="G30:H30"/>
    <mergeCell ref="G27:H27"/>
    <mergeCell ref="G28:H28"/>
    <mergeCell ref="G197:H197"/>
    <mergeCell ref="G198:H198"/>
    <mergeCell ref="G195:H195"/>
    <mergeCell ref="G196:H196"/>
    <mergeCell ref="G193:H193"/>
    <mergeCell ref="G194:H194"/>
    <mergeCell ref="G191:H191"/>
    <mergeCell ref="G192:H192"/>
    <mergeCell ref="G189:H189"/>
    <mergeCell ref="G190:H190"/>
  </mergeCells>
  <printOptions horizontalCentered="1"/>
  <pageMargins left="0.70866141732283472" right="0.70866141732283472" top="0.74803149606299213" bottom="0.74803149606299213" header="0.31496062992125984" footer="0.31496062992125984"/>
  <pageSetup paperSize="8" scale="35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rgb="FFFF0000"/>
    <pageSetUpPr fitToPage="1"/>
  </sheetPr>
  <dimension ref="A1:BP144"/>
  <sheetViews>
    <sheetView zoomScale="70" zoomScaleNormal="70" workbookViewId="0">
      <pane xSplit="9" ySplit="23" topLeftCell="J82" activePane="bottomRight" state="frozen"/>
      <selection activeCell="J28" sqref="J28"/>
      <selection pane="topRight" activeCell="J28" sqref="J28"/>
      <selection pane="bottomLeft" activeCell="J28" sqref="J28"/>
      <selection pane="bottomRight" activeCell="N83" sqref="N83"/>
    </sheetView>
  </sheetViews>
  <sheetFormatPr baseColWidth="10" defaultRowHeight="15" outlineLevelCol="1" x14ac:dyDescent="0.25"/>
  <cols>
    <col min="1" max="1" width="25.28515625" style="19" hidden="1" customWidth="1"/>
    <col min="2" max="2" width="35.7109375" style="19" hidden="1" customWidth="1"/>
    <col min="3" max="3" width="12.28515625" style="19" hidden="1" customWidth="1"/>
    <col min="4" max="4" width="2" style="19" customWidth="1"/>
    <col min="5" max="5" width="5" style="19" customWidth="1"/>
    <col min="6" max="6" width="3" style="19" customWidth="1"/>
    <col min="7" max="8" width="33.140625" style="19" customWidth="1"/>
    <col min="9" max="9" width="2" style="19" customWidth="1"/>
    <col min="10" max="10" width="18.7109375" style="19" customWidth="1"/>
    <col min="11" max="11" width="0.5703125" style="19" customWidth="1"/>
    <col min="12" max="12" width="18.7109375" style="19" customWidth="1"/>
    <col min="13" max="13" width="2" style="19" customWidth="1"/>
    <col min="14" max="14" width="26.42578125" style="19" customWidth="1"/>
    <col min="15" max="15" width="0.85546875" style="19" customWidth="1"/>
    <col min="16" max="16" width="26.42578125" style="19" customWidth="1"/>
    <col min="17" max="28" width="13.85546875" style="19" hidden="1" customWidth="1" outlineLevel="1"/>
    <col min="29" max="29" width="26.42578125" style="19" customWidth="1" collapsed="1"/>
    <col min="30" max="41" width="13.85546875" style="19" hidden="1" customWidth="1" outlineLevel="1"/>
    <col min="42" max="42" width="26.42578125" style="19" customWidth="1" collapsed="1"/>
    <col min="43" max="54" width="13.85546875" style="19" hidden="1" customWidth="1" outlineLevel="1"/>
    <col min="55" max="55" width="26.42578125" style="19" customWidth="1" collapsed="1"/>
    <col min="56" max="67" width="13.85546875" style="19" hidden="1" customWidth="1" outlineLevel="1"/>
    <col min="68" max="68" width="5.85546875" style="19" customWidth="1" collapsed="1"/>
    <col min="69" max="69" width="11.42578125" style="19" customWidth="1"/>
    <col min="70" max="16384" width="11.42578125" style="19"/>
  </cols>
  <sheetData>
    <row r="1" spans="1:68" x14ac:dyDescent="0.25">
      <c r="G1" s="35" t="str">
        <f ca="1">Contexte!$E$7</f>
        <v>Total_2020</v>
      </c>
      <c r="I1" s="35"/>
      <c r="J1" s="35" t="s">
        <v>64</v>
      </c>
      <c r="K1" s="35"/>
      <c r="L1" s="35" t="s">
        <v>82</v>
      </c>
      <c r="M1" s="35"/>
      <c r="N1" s="19" t="str">
        <f ca="1">$H$17</f>
        <v>FC_2_Tot</v>
      </c>
      <c r="O1" s="36"/>
      <c r="P1" s="19" t="str">
        <f ca="1">$H$17</f>
        <v>FC_2_Tot</v>
      </c>
      <c r="Q1" s="36" t="e">
        <f ca="1">$G$2&amp;".01"</f>
        <v>#NAME?</v>
      </c>
      <c r="R1" s="36" t="e">
        <f ca="1">$G$2&amp;".02"</f>
        <v>#NAME?</v>
      </c>
      <c r="S1" s="36" t="e">
        <f ca="1">$G$2&amp;".03"</f>
        <v>#NAME?</v>
      </c>
      <c r="T1" s="36" t="e">
        <f ca="1">$G$2&amp;".04"</f>
        <v>#NAME?</v>
      </c>
      <c r="U1" s="36" t="e">
        <f ca="1">$G$2&amp;".05"</f>
        <v>#NAME?</v>
      </c>
      <c r="V1" s="36" t="e">
        <f ca="1">$G$2&amp;".06"</f>
        <v>#NAME?</v>
      </c>
      <c r="W1" s="36" t="e">
        <f ca="1">$G$2&amp;".07"</f>
        <v>#NAME?</v>
      </c>
      <c r="X1" s="36" t="e">
        <f ca="1">$G$2&amp;".08"</f>
        <v>#NAME?</v>
      </c>
      <c r="Y1" s="36" t="e">
        <f ca="1">$G$2&amp;".09"</f>
        <v>#NAME?</v>
      </c>
      <c r="Z1" s="36" t="e">
        <f ca="1">$G$2&amp;".10"</f>
        <v>#NAME?</v>
      </c>
      <c r="AA1" s="36" t="e">
        <f ca="1">$G$2&amp;".11"</f>
        <v>#NAME?</v>
      </c>
      <c r="AB1" s="36" t="e">
        <f ca="1">$G$2&amp;".12"</f>
        <v>#NAME?</v>
      </c>
      <c r="AC1" s="19" t="str">
        <f ca="1">$H$17</f>
        <v>FC_2_Tot</v>
      </c>
      <c r="AD1" s="36" t="e">
        <f ca="1">$G$2&amp;".01"</f>
        <v>#NAME?</v>
      </c>
      <c r="AE1" s="36" t="e">
        <f ca="1">$G$2&amp;".02"</f>
        <v>#NAME?</v>
      </c>
      <c r="AF1" s="36" t="e">
        <f ca="1">$G$2&amp;".03"</f>
        <v>#NAME?</v>
      </c>
      <c r="AG1" s="36" t="e">
        <f ca="1">$G$2&amp;".04"</f>
        <v>#NAME?</v>
      </c>
      <c r="AH1" s="36" t="e">
        <f ca="1">$G$2&amp;".05"</f>
        <v>#NAME?</v>
      </c>
      <c r="AI1" s="36" t="e">
        <f ca="1">$G$2&amp;".06"</f>
        <v>#NAME?</v>
      </c>
      <c r="AJ1" s="36" t="e">
        <f ca="1">$G$2&amp;".07"</f>
        <v>#NAME?</v>
      </c>
      <c r="AK1" s="36" t="e">
        <f ca="1">$G$2&amp;".08"</f>
        <v>#NAME?</v>
      </c>
      <c r="AL1" s="36" t="e">
        <f ca="1">$G$2&amp;".09"</f>
        <v>#NAME?</v>
      </c>
      <c r="AM1" s="36" t="e">
        <f ca="1">$G$2&amp;".10"</f>
        <v>#NAME?</v>
      </c>
      <c r="AN1" s="36" t="e">
        <f ca="1">$G$2&amp;".11"</f>
        <v>#NAME?</v>
      </c>
      <c r="AO1" s="36" t="e">
        <f ca="1">$G$2&amp;".12"</f>
        <v>#NAME?</v>
      </c>
      <c r="AP1" s="19" t="str">
        <f ca="1">$H$17</f>
        <v>FC_2_Tot</v>
      </c>
      <c r="AQ1" s="36" t="e">
        <f ca="1">$G$2&amp;".01"</f>
        <v>#NAME?</v>
      </c>
      <c r="AR1" s="36" t="e">
        <f ca="1">$G$2&amp;".02"</f>
        <v>#NAME?</v>
      </c>
      <c r="AS1" s="36" t="e">
        <f ca="1">$G$2&amp;".03"</f>
        <v>#NAME?</v>
      </c>
      <c r="AT1" s="36" t="e">
        <f ca="1">$G$2&amp;".04"</f>
        <v>#NAME?</v>
      </c>
      <c r="AU1" s="36" t="e">
        <f ca="1">$G$2&amp;".05"</f>
        <v>#NAME?</v>
      </c>
      <c r="AV1" s="36" t="e">
        <f ca="1">$G$2&amp;".06"</f>
        <v>#NAME?</v>
      </c>
      <c r="AW1" s="36" t="e">
        <f ca="1">$G$2&amp;".07"</f>
        <v>#NAME?</v>
      </c>
      <c r="AX1" s="36" t="e">
        <f ca="1">$G$2&amp;".08"</f>
        <v>#NAME?</v>
      </c>
      <c r="AY1" s="36" t="e">
        <f ca="1">$G$2&amp;".09"</f>
        <v>#NAME?</v>
      </c>
      <c r="AZ1" s="36" t="e">
        <f ca="1">$G$2&amp;".10"</f>
        <v>#NAME?</v>
      </c>
      <c r="BA1" s="36" t="e">
        <f ca="1">$G$2&amp;".11"</f>
        <v>#NAME?</v>
      </c>
      <c r="BB1" s="36" t="e">
        <f ca="1">$G$2&amp;".12"</f>
        <v>#NAME?</v>
      </c>
      <c r="BC1" s="19" t="str">
        <f ca="1">$H$17</f>
        <v>FC_2_Tot</v>
      </c>
      <c r="BD1" s="36" t="e">
        <f ca="1">$G$2&amp;".01"</f>
        <v>#NAME?</v>
      </c>
      <c r="BE1" s="36" t="e">
        <f ca="1">$G$2&amp;".02"</f>
        <v>#NAME?</v>
      </c>
      <c r="BF1" s="36" t="e">
        <f ca="1">$G$2&amp;".03"</f>
        <v>#NAME?</v>
      </c>
      <c r="BG1" s="36" t="e">
        <f ca="1">$G$2&amp;".04"</f>
        <v>#NAME?</v>
      </c>
      <c r="BH1" s="36" t="e">
        <f ca="1">$G$2&amp;".05"</f>
        <v>#NAME?</v>
      </c>
      <c r="BI1" s="36" t="e">
        <f ca="1">$G$2&amp;".06"</f>
        <v>#NAME?</v>
      </c>
      <c r="BJ1" s="36" t="e">
        <f ca="1">$G$2&amp;".07"</f>
        <v>#NAME?</v>
      </c>
      <c r="BK1" s="36" t="e">
        <f ca="1">$G$2&amp;".08"</f>
        <v>#NAME?</v>
      </c>
      <c r="BL1" s="36" t="e">
        <f ca="1">$G$2&amp;".09"</f>
        <v>#NAME?</v>
      </c>
      <c r="BM1" s="36" t="e">
        <f ca="1">$G$2&amp;".10"</f>
        <v>#NAME?</v>
      </c>
      <c r="BN1" s="36" t="e">
        <f ca="1">$G$2&amp;".11"</f>
        <v>#NAME?</v>
      </c>
      <c r="BO1" s="36" t="e">
        <f ca="1">$G$2&amp;".12"</f>
        <v>#NAME?</v>
      </c>
    </row>
    <row r="2" spans="1:68" x14ac:dyDescent="0.25">
      <c r="C2" s="19" t="s">
        <v>79</v>
      </c>
      <c r="G2" s="19" t="e">
        <f ca="1">droiteE(G1,4)</f>
        <v>#NAME?</v>
      </c>
      <c r="J2" s="19" t="str">
        <f ca="1">$G$4</f>
        <v/>
      </c>
      <c r="L2" s="19" t="str">
        <f ca="1">$G$3</f>
        <v/>
      </c>
      <c r="N2" s="36" t="e">
        <f ca="1">$G$2</f>
        <v>#NAME?</v>
      </c>
      <c r="P2" s="36" t="e">
        <f ca="1">$G$2</f>
        <v>#NAME?</v>
      </c>
      <c r="AC2" s="36" t="e">
        <f ca="1">$G$2</f>
        <v>#NAME?</v>
      </c>
      <c r="AP2" s="36" t="e">
        <f ca="1">$G$2</f>
        <v>#NAME?</v>
      </c>
      <c r="BC2" s="36" t="e">
        <f ca="1">$G$2</f>
        <v>#NAME?</v>
      </c>
    </row>
    <row r="3" spans="1:68" x14ac:dyDescent="0.25">
      <c r="C3" s="19" t="s">
        <v>80</v>
      </c>
      <c r="G3" s="19" t="str">
        <f ca="1">_xll.DBRA(Server&amp;$B$12,$G$2,"Prior Year")</f>
        <v/>
      </c>
      <c r="N3" s="145" t="s">
        <v>107</v>
      </c>
      <c r="P3" s="145" t="s">
        <v>103</v>
      </c>
      <c r="AC3" s="145" t="s">
        <v>104</v>
      </c>
      <c r="AP3" s="145" t="s">
        <v>105</v>
      </c>
      <c r="BC3" s="145" t="s">
        <v>106</v>
      </c>
    </row>
    <row r="4" spans="1:68" x14ac:dyDescent="0.25">
      <c r="C4" s="19" t="s">
        <v>81</v>
      </c>
      <c r="G4" s="19" t="str">
        <f ca="1">_xll.DBRA(Server&amp;$B$12,$G$3,"Prior Year")</f>
        <v/>
      </c>
    </row>
    <row r="5" spans="1:68" ht="14.25" customHeight="1" x14ac:dyDescent="0.25"/>
    <row r="6" spans="1:68" ht="8.25" customHeight="1" x14ac:dyDescent="0.25"/>
    <row r="7" spans="1:68" ht="44.25" customHeight="1" x14ac:dyDescent="0.25">
      <c r="A7"/>
      <c r="B7"/>
      <c r="C7"/>
      <c r="E7" s="27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9"/>
    </row>
    <row r="8" spans="1:68" ht="39" customHeight="1" x14ac:dyDescent="0.25">
      <c r="A8"/>
      <c r="B8"/>
      <c r="C8"/>
      <c r="E8" s="30"/>
      <c r="F8" s="23"/>
      <c r="G8" s="307" t="s">
        <v>101</v>
      </c>
      <c r="H8" s="307"/>
      <c r="I8" s="307"/>
      <c r="J8" s="307"/>
      <c r="K8" s="307"/>
      <c r="L8" s="307"/>
      <c r="M8" s="307"/>
      <c r="N8" s="307"/>
      <c r="O8" s="307"/>
      <c r="P8" s="307"/>
      <c r="Q8" s="307"/>
      <c r="R8" s="307"/>
      <c r="S8" s="307"/>
      <c r="T8" s="307"/>
      <c r="U8" s="307"/>
      <c r="V8" s="307"/>
      <c r="W8" s="307"/>
      <c r="X8" s="307"/>
      <c r="Y8" s="307"/>
      <c r="Z8" s="307"/>
      <c r="AA8" s="307"/>
      <c r="AB8" s="307"/>
      <c r="AC8" s="307"/>
      <c r="AD8" s="307"/>
      <c r="AE8" s="307"/>
      <c r="AF8" s="307"/>
      <c r="AG8" s="307"/>
      <c r="AH8" s="307"/>
      <c r="AI8" s="307"/>
      <c r="AJ8" s="307"/>
      <c r="AK8" s="307"/>
      <c r="AL8" s="307"/>
      <c r="AM8" s="307"/>
      <c r="AN8" s="307"/>
      <c r="AO8" s="307"/>
      <c r="AP8" s="307"/>
      <c r="AQ8" s="307"/>
      <c r="AR8" s="307"/>
      <c r="AS8" s="307"/>
      <c r="AT8" s="307"/>
      <c r="AU8" s="307"/>
      <c r="AV8" s="307"/>
      <c r="AW8" s="307"/>
      <c r="AX8" s="307"/>
      <c r="AY8" s="307"/>
      <c r="AZ8" s="307"/>
      <c r="BA8" s="307"/>
      <c r="BB8" s="307"/>
      <c r="BC8" s="307"/>
      <c r="BD8" s="307"/>
      <c r="BE8" s="307"/>
      <c r="BF8" s="307"/>
      <c r="BG8" s="307"/>
      <c r="BH8" s="307"/>
      <c r="BI8" s="307"/>
      <c r="BJ8" s="307"/>
      <c r="BK8" s="307"/>
      <c r="BL8" s="307"/>
      <c r="BM8" s="307"/>
      <c r="BN8" s="307"/>
      <c r="BO8" s="307"/>
      <c r="BP8" s="31"/>
    </row>
    <row r="9" spans="1:68" ht="23.25" customHeight="1" x14ac:dyDescent="0.25">
      <c r="A9"/>
      <c r="B9"/>
      <c r="C9"/>
      <c r="E9" s="30"/>
      <c r="F9" s="23"/>
      <c r="G9" s="308" t="str">
        <f ca="1">_xll.DBRA(Server&amp;$B$14,$H14,"French")</f>
        <v>Total Formations</v>
      </c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AD9" s="308"/>
      <c r="AE9" s="308"/>
      <c r="AF9" s="308"/>
      <c r="AG9" s="308"/>
      <c r="AH9" s="308"/>
      <c r="AI9" s="308"/>
      <c r="AJ9" s="308"/>
      <c r="AK9" s="308"/>
      <c r="AL9" s="308"/>
      <c r="AM9" s="308"/>
      <c r="AN9" s="308"/>
      <c r="AO9" s="308"/>
      <c r="AP9" s="308"/>
      <c r="AQ9" s="308"/>
      <c r="AR9" s="308"/>
      <c r="AS9" s="308"/>
      <c r="AT9" s="308"/>
      <c r="AU9" s="308"/>
      <c r="AV9" s="308"/>
      <c r="AW9" s="308"/>
      <c r="AX9" s="308"/>
      <c r="AY9" s="308"/>
      <c r="AZ9" s="308"/>
      <c r="BA9" s="308"/>
      <c r="BB9" s="308"/>
      <c r="BC9" s="308"/>
      <c r="BD9" s="308"/>
      <c r="BE9" s="308"/>
      <c r="BF9" s="308"/>
      <c r="BG9" s="308"/>
      <c r="BH9" s="308"/>
      <c r="BI9" s="308"/>
      <c r="BJ9" s="308"/>
      <c r="BK9" s="308"/>
      <c r="BL9" s="308"/>
      <c r="BM9" s="308"/>
      <c r="BN9" s="308"/>
      <c r="BO9" s="308"/>
      <c r="BP9" s="31"/>
    </row>
    <row r="10" spans="1:68" x14ac:dyDescent="0.25">
      <c r="A10"/>
      <c r="B10"/>
      <c r="C10"/>
      <c r="E10" s="30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3"/>
      <c r="BP10" s="31"/>
    </row>
    <row r="11" spans="1:68" ht="18.75" x14ac:dyDescent="0.25">
      <c r="A11"/>
      <c r="B11"/>
      <c r="C11"/>
      <c r="E11" s="30"/>
      <c r="F11" s="23"/>
      <c r="G11" s="16"/>
      <c r="H11" s="14"/>
      <c r="I11" s="14"/>
      <c r="J11" s="14"/>
      <c r="K11" s="14"/>
      <c r="L11" s="14"/>
      <c r="M11" s="14"/>
      <c r="N11" s="24"/>
      <c r="O11" s="24"/>
      <c r="P11" s="24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4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4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23"/>
      <c r="BB11" s="23"/>
      <c r="BC11" s="24"/>
      <c r="BD11" s="23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3"/>
      <c r="BP11" s="31"/>
    </row>
    <row r="12" spans="1:68" ht="15.75" hidden="1" x14ac:dyDescent="0.25">
      <c r="A12"/>
      <c r="B12" t="s">
        <v>63</v>
      </c>
      <c r="C12"/>
      <c r="E12" s="30"/>
      <c r="F12" s="23"/>
      <c r="G12" s="40" t="s">
        <v>98</v>
      </c>
      <c r="H12" s="92" t="str">
        <f ca="1">Periode</f>
        <v>Total_2020</v>
      </c>
      <c r="I12" s="15"/>
      <c r="J12" s="15"/>
      <c r="K12" s="15"/>
      <c r="L12" s="15"/>
      <c r="M12" s="15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31"/>
    </row>
    <row r="13" spans="1:68" ht="15.75" hidden="1" x14ac:dyDescent="0.25">
      <c r="A13"/>
      <c r="B13" t="s">
        <v>110</v>
      </c>
      <c r="C13"/>
      <c r="E13" s="30"/>
      <c r="F13" s="23"/>
      <c r="G13" s="41" t="s">
        <v>99</v>
      </c>
      <c r="H13" s="93" t="str">
        <f ca="1">Antenne</f>
        <v>Tot_GIE</v>
      </c>
      <c r="I13" s="15"/>
      <c r="J13" s="15"/>
      <c r="K13" s="15"/>
      <c r="L13" s="15"/>
      <c r="M13" s="15"/>
      <c r="N13" s="24"/>
      <c r="O13" s="24"/>
      <c r="P13" s="24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4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4"/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23"/>
      <c r="BB13" s="23"/>
      <c r="BC13" s="24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3"/>
      <c r="BP13" s="31"/>
    </row>
    <row r="14" spans="1:68" ht="15.75" hidden="1" x14ac:dyDescent="0.25">
      <c r="A14"/>
      <c r="B14" t="s">
        <v>111</v>
      </c>
      <c r="C14"/>
      <c r="E14" s="30"/>
      <c r="F14" s="23"/>
      <c r="G14" s="41" t="s">
        <v>65</v>
      </c>
      <c r="H14" s="93" t="str">
        <f ca="1">_xll.SUBNM(Server&amp;"GIE_Type_ Formation","","Tot_Formation","French")</f>
        <v>Total Formations</v>
      </c>
      <c r="I14" s="15"/>
      <c r="J14" s="15"/>
      <c r="K14" s="15"/>
      <c r="L14" s="15"/>
      <c r="M14" s="15"/>
      <c r="N14" s="24"/>
      <c r="O14" s="24"/>
      <c r="P14" s="24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4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4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3"/>
      <c r="BB14" s="23"/>
      <c r="BC14" s="24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3"/>
      <c r="BP14" s="31"/>
    </row>
    <row r="15" spans="1:68" ht="15.75" hidden="1" x14ac:dyDescent="0.25">
      <c r="A15"/>
      <c r="B15" t="s">
        <v>109</v>
      </c>
      <c r="C15"/>
      <c r="E15" s="30"/>
      <c r="F15" s="23"/>
      <c r="G15" s="41" t="s">
        <v>100</v>
      </c>
      <c r="H15" s="93" t="str">
        <f ca="1">Partenaire</f>
        <v>Tot_Part</v>
      </c>
      <c r="I15" s="15"/>
      <c r="J15" s="15"/>
      <c r="K15" s="15"/>
      <c r="L15" s="15"/>
      <c r="M15" s="15"/>
      <c r="N15" s="24"/>
      <c r="O15" s="24"/>
      <c r="P15" s="24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4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4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  <c r="BC15" s="24"/>
      <c r="BD15" s="23"/>
      <c r="BE15" s="23"/>
      <c r="BF15" s="23"/>
      <c r="BG15" s="23"/>
      <c r="BH15" s="23"/>
      <c r="BI15" s="23"/>
      <c r="BJ15" s="23"/>
      <c r="BK15" s="23"/>
      <c r="BL15" s="23"/>
      <c r="BM15" s="23"/>
      <c r="BN15" s="23"/>
      <c r="BO15" s="23"/>
      <c r="BP15" s="31"/>
    </row>
    <row r="16" spans="1:68" ht="15.75" hidden="1" x14ac:dyDescent="0.25">
      <c r="A16"/>
      <c r="B16" t="s">
        <v>1</v>
      </c>
      <c r="C16"/>
      <c r="E16" s="30"/>
      <c r="F16" s="23"/>
      <c r="G16" s="41" t="s">
        <v>66</v>
      </c>
      <c r="H16" s="93" t="str">
        <f ca="1">Nature_Analytique</f>
        <v>Tot_nat_ana</v>
      </c>
      <c r="I16" s="15"/>
      <c r="J16" s="15"/>
      <c r="K16" s="15"/>
      <c r="L16" s="15"/>
      <c r="M16" s="15"/>
      <c r="N16" s="24"/>
      <c r="O16" s="24"/>
      <c r="P16" s="24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4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4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23"/>
      <c r="BB16" s="23"/>
      <c r="BC16" s="24"/>
      <c r="BD16" s="23"/>
      <c r="BE16" s="23"/>
      <c r="BF16" s="23"/>
      <c r="BG16" s="23"/>
      <c r="BH16" s="23"/>
      <c r="BI16" s="23"/>
      <c r="BJ16" s="23"/>
      <c r="BK16" s="23"/>
      <c r="BL16" s="23"/>
      <c r="BM16" s="23"/>
      <c r="BN16" s="23"/>
      <c r="BO16" s="23"/>
      <c r="BP16" s="31"/>
    </row>
    <row r="17" spans="1:68" ht="15.75" hidden="1" x14ac:dyDescent="0.25">
      <c r="A17"/>
      <c r="B17" t="s">
        <v>2</v>
      </c>
      <c r="C17"/>
      <c r="E17" s="30"/>
      <c r="F17" s="23"/>
      <c r="G17" s="42" t="s">
        <v>2</v>
      </c>
      <c r="H17" s="94" t="str">
        <f ca="1">Phase&amp;"_Tot"</f>
        <v>FC_2_Tot</v>
      </c>
      <c r="I17" s="15"/>
      <c r="J17" s="15"/>
      <c r="K17" s="15"/>
      <c r="L17" s="15"/>
      <c r="M17" s="15"/>
      <c r="N17" s="24"/>
      <c r="O17" s="24"/>
      <c r="P17" s="24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4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4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4"/>
      <c r="BD17" s="23"/>
      <c r="BE17" s="23"/>
      <c r="BF17" s="23"/>
      <c r="BG17" s="23"/>
      <c r="BH17" s="23"/>
      <c r="BI17" s="23"/>
      <c r="BJ17" s="23"/>
      <c r="BK17" s="23"/>
      <c r="BL17" s="23"/>
      <c r="BM17" s="23"/>
      <c r="BN17" s="23"/>
      <c r="BO17" s="23"/>
      <c r="BP17" s="31"/>
    </row>
    <row r="18" spans="1:68" ht="3" customHeight="1" x14ac:dyDescent="0.25">
      <c r="A18"/>
      <c r="B18"/>
      <c r="C18"/>
      <c r="E18" s="30"/>
      <c r="F18" s="23"/>
      <c r="G18" s="23"/>
      <c r="H18" s="104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3"/>
      <c r="BP18" s="31"/>
    </row>
    <row r="19" spans="1:68" ht="30.75" customHeight="1" x14ac:dyDescent="0.3">
      <c r="A19"/>
      <c r="B19"/>
      <c r="C19"/>
      <c r="E19" s="30"/>
      <c r="F19" s="23"/>
      <c r="G19" s="89"/>
      <c r="H19" s="88"/>
      <c r="I19" s="23"/>
      <c r="J19" s="131"/>
      <c r="K19" s="23"/>
      <c r="L19" s="23"/>
      <c r="M19" s="23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87"/>
      <c r="AD19" s="87"/>
      <c r="AE19" s="87"/>
      <c r="AF19" s="87"/>
      <c r="AG19" s="87"/>
      <c r="AH19" s="87"/>
      <c r="AI19" s="87"/>
      <c r="AJ19" s="87"/>
      <c r="AK19" s="87"/>
      <c r="AL19" s="87"/>
      <c r="AM19" s="87"/>
      <c r="AN19" s="87"/>
      <c r="AO19" s="87"/>
      <c r="AP19" s="87"/>
      <c r="AQ19" s="87"/>
      <c r="AR19" s="87"/>
      <c r="AS19" s="87"/>
      <c r="AT19" s="87"/>
      <c r="AU19" s="87"/>
      <c r="AV19" s="87"/>
      <c r="AW19" s="87"/>
      <c r="AX19" s="87"/>
      <c r="AY19" s="87"/>
      <c r="AZ19" s="87"/>
      <c r="BA19" s="87"/>
      <c r="BB19" s="87"/>
      <c r="BC19" s="87"/>
      <c r="BD19" s="87"/>
      <c r="BE19" s="87"/>
      <c r="BF19" s="87"/>
      <c r="BG19" s="87"/>
      <c r="BH19" s="87"/>
      <c r="BI19" s="87"/>
      <c r="BJ19" s="87"/>
      <c r="BK19" s="87"/>
      <c r="BL19" s="87"/>
      <c r="BM19" s="87"/>
      <c r="BN19" s="87"/>
      <c r="BO19" s="87"/>
      <c r="BP19" s="31"/>
    </row>
    <row r="20" spans="1:68" ht="25.5" customHeight="1" x14ac:dyDescent="0.25">
      <c r="A20"/>
      <c r="B20"/>
      <c r="C20"/>
      <c r="E20" s="30"/>
      <c r="F20" s="23"/>
      <c r="G20" s="23"/>
      <c r="H20" s="23"/>
      <c r="I20" s="104"/>
      <c r="J20" s="104"/>
      <c r="K20" s="104"/>
      <c r="L20" s="104"/>
      <c r="M20" s="104"/>
      <c r="N20" s="331" t="str">
        <f ca="1">_xll.DBRA(Server&amp;$B$17,P$1,"French")&amp;" - "&amp;_xll.DBRA(Server&amp;$B$12,P$2,"French")</f>
        <v xml:space="preserve">Estimé 2 - </v>
      </c>
      <c r="O20" s="331"/>
      <c r="P20" s="331"/>
      <c r="Q20" s="331"/>
      <c r="R20" s="331"/>
      <c r="S20" s="331"/>
      <c r="T20" s="331"/>
      <c r="U20" s="331"/>
      <c r="V20" s="331"/>
      <c r="W20" s="331"/>
      <c r="X20" s="331"/>
      <c r="Y20" s="331"/>
      <c r="Z20" s="331"/>
      <c r="AA20" s="331"/>
      <c r="AB20" s="331"/>
      <c r="AC20" s="331"/>
      <c r="AD20" s="331"/>
      <c r="AE20" s="331"/>
      <c r="AF20" s="331"/>
      <c r="AG20" s="331"/>
      <c r="AH20" s="331"/>
      <c r="AI20" s="331"/>
      <c r="AJ20" s="331"/>
      <c r="AK20" s="331"/>
      <c r="AL20" s="331"/>
      <c r="AM20" s="331"/>
      <c r="AN20" s="331"/>
      <c r="AO20" s="331"/>
      <c r="AP20" s="331"/>
      <c r="AQ20" s="331"/>
      <c r="AR20" s="331"/>
      <c r="AS20" s="331"/>
      <c r="AT20" s="331"/>
      <c r="AU20" s="331"/>
      <c r="AV20" s="331"/>
      <c r="AW20" s="331"/>
      <c r="AX20" s="331"/>
      <c r="AY20" s="331"/>
      <c r="AZ20" s="331"/>
      <c r="BA20" s="331"/>
      <c r="BB20" s="331"/>
      <c r="BC20" s="331"/>
      <c r="BD20" s="331"/>
      <c r="BE20" s="331"/>
      <c r="BF20" s="331"/>
      <c r="BG20" s="331"/>
      <c r="BH20" s="331"/>
      <c r="BI20" s="331"/>
      <c r="BJ20" s="331"/>
      <c r="BK20" s="331"/>
      <c r="BL20" s="331"/>
      <c r="BM20" s="331"/>
      <c r="BN20" s="331"/>
      <c r="BO20" s="331"/>
      <c r="BP20" s="31"/>
    </row>
    <row r="21" spans="1:68" ht="3" customHeight="1" x14ac:dyDescent="0.25">
      <c r="A21"/>
      <c r="B21"/>
      <c r="C21"/>
      <c r="E21" s="30"/>
      <c r="F21" s="23"/>
      <c r="G21" s="23"/>
      <c r="H21" s="104"/>
      <c r="I21" s="23"/>
      <c r="J21" s="23"/>
      <c r="K21" s="23"/>
      <c r="L21" s="23"/>
      <c r="M21" s="23"/>
      <c r="N21" s="320" t="str">
        <f ca="1">_xll.DBRA(Server&amp;$B$14,N$3,"French")</f>
        <v>Total Formations</v>
      </c>
      <c r="O21" s="146"/>
      <c r="P21" s="334" t="str">
        <f ca="1">_xll.DBRA(Server&amp;$B$14,P$3,"French")</f>
        <v>Toutes les formations continues non-obligatoires</v>
      </c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336" t="str">
        <f ca="1">_xll.DBRA(Server&amp;$B$14,AC$3,"French")</f>
        <v>Toutes les formations continues obligatoires</v>
      </c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336" t="str">
        <f ca="1">_xll.DBRA(Server&amp;$B$14,AP$3,"French")</f>
        <v>Toutes les formations initiales</v>
      </c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336" t="str">
        <f ca="1">_xll.DBRA(Server&amp;$B$14,BC$3,"French")</f>
        <v>Total Structure</v>
      </c>
      <c r="BD21" s="130"/>
      <c r="BE21" s="130"/>
      <c r="BF21" s="130"/>
      <c r="BG21" s="130"/>
      <c r="BH21" s="130"/>
      <c r="BI21" s="130"/>
      <c r="BJ21" s="130"/>
      <c r="BK21" s="130"/>
      <c r="BL21" s="130"/>
      <c r="BM21" s="130"/>
      <c r="BN21" s="130"/>
      <c r="BO21" s="130"/>
      <c r="BP21" s="31"/>
    </row>
    <row r="22" spans="1:68" ht="55.5" customHeight="1" x14ac:dyDescent="0.3">
      <c r="A22"/>
      <c r="B22" t="s">
        <v>68</v>
      </c>
      <c r="C22"/>
      <c r="E22" s="30"/>
      <c r="F22" s="23"/>
      <c r="G22" s="23"/>
      <c r="H22" s="25"/>
      <c r="I22" s="25"/>
      <c r="J22" s="48" t="str">
        <f ca="1">_xll.DBRA(Server&amp;$B$17,J$1,"French")&amp;" - "&amp;$J$2</f>
        <v xml:space="preserve">Réalisé - </v>
      </c>
      <c r="K22" s="25"/>
      <c r="L22" s="48" t="str">
        <f ca="1">_xll.DBRA(Server&amp;$B$17,L$1,"French")&amp;" - "&amp;$L$2</f>
        <v xml:space="preserve">Estimé 2 - </v>
      </c>
      <c r="M22" s="47"/>
      <c r="N22" s="320"/>
      <c r="O22" s="147"/>
      <c r="P22" s="335"/>
      <c r="Q22" s="48" t="str">
        <f ca="1">_xll.DBRA(Server&amp;$B$12,Q$1,"French")</f>
        <v/>
      </c>
      <c r="R22" s="48" t="str">
        <f ca="1">_xll.DBRA(Server&amp;$B$12,R$1,"French")</f>
        <v/>
      </c>
      <c r="S22" s="48" t="str">
        <f ca="1">_xll.DBRA(Server&amp;$B$12,S$1,"French")</f>
        <v/>
      </c>
      <c r="T22" s="48" t="str">
        <f ca="1">_xll.DBRA(Server&amp;$B$12,T$1,"French")</f>
        <v/>
      </c>
      <c r="U22" s="48" t="str">
        <f ca="1">_xll.DBRA(Server&amp;$B$12,U$1,"French")</f>
        <v/>
      </c>
      <c r="V22" s="48" t="str">
        <f ca="1">_xll.DBRA(Server&amp;$B$12,V$1,"French")</f>
        <v/>
      </c>
      <c r="W22" s="48" t="str">
        <f ca="1">_xll.DBRA(Server&amp;$B$12,W$1,"French")</f>
        <v/>
      </c>
      <c r="X22" s="48" t="str">
        <f ca="1">_xll.DBRA(Server&amp;$B$12,X$1,"French")</f>
        <v/>
      </c>
      <c r="Y22" s="48" t="str">
        <f ca="1">_xll.DBRA(Server&amp;$B$12,Y$1,"French")</f>
        <v/>
      </c>
      <c r="Z22" s="48" t="str">
        <f ca="1">_xll.DBRA(Server&amp;$B$12,Z$1,"French")</f>
        <v/>
      </c>
      <c r="AA22" s="48" t="str">
        <f ca="1">_xll.DBRA(Server&amp;$B$12,AA$1,"French")</f>
        <v/>
      </c>
      <c r="AB22" s="182" t="str">
        <f ca="1">_xll.DBRA(Server&amp;$B$12,AB$1,"French")</f>
        <v/>
      </c>
      <c r="AC22" s="337"/>
      <c r="AD22" s="48" t="str">
        <f ca="1">_xll.DBRA(Server&amp;$B$12,AD$1,"French")</f>
        <v/>
      </c>
      <c r="AE22" s="48" t="str">
        <f ca="1">_xll.DBRA(Server&amp;$B$12,AE$1,"French")</f>
        <v/>
      </c>
      <c r="AF22" s="48" t="str">
        <f ca="1">_xll.DBRA(Server&amp;$B$12,AF$1,"French")</f>
        <v/>
      </c>
      <c r="AG22" s="48" t="str">
        <f ca="1">_xll.DBRA(Server&amp;$B$12,AG$1,"French")</f>
        <v/>
      </c>
      <c r="AH22" s="48" t="str">
        <f ca="1">_xll.DBRA(Server&amp;$B$12,AH$1,"French")</f>
        <v/>
      </c>
      <c r="AI22" s="48" t="str">
        <f ca="1">_xll.DBRA(Server&amp;$B$12,AI$1,"French")</f>
        <v/>
      </c>
      <c r="AJ22" s="48" t="str">
        <f ca="1">_xll.DBRA(Server&amp;$B$12,AJ$1,"French")</f>
        <v/>
      </c>
      <c r="AK22" s="48" t="str">
        <f ca="1">_xll.DBRA(Server&amp;$B$12,AK$1,"French")</f>
        <v/>
      </c>
      <c r="AL22" s="48" t="str">
        <f ca="1">_xll.DBRA(Server&amp;$B$12,AL$1,"French")</f>
        <v/>
      </c>
      <c r="AM22" s="48" t="str">
        <f ca="1">_xll.DBRA(Server&amp;$B$12,AM$1,"French")</f>
        <v/>
      </c>
      <c r="AN22" s="48" t="str">
        <f ca="1">_xll.DBRA(Server&amp;$B$12,AN$1,"French")</f>
        <v/>
      </c>
      <c r="AO22" s="48" t="str">
        <f ca="1">_xll.DBRA(Server&amp;$B$12,AO$1,"French")</f>
        <v/>
      </c>
      <c r="AP22" s="337"/>
      <c r="AQ22" s="48" t="str">
        <f ca="1">_xll.DBRA(Server&amp;$B$12,AQ$1,"French")</f>
        <v/>
      </c>
      <c r="AR22" s="48" t="str">
        <f ca="1">_xll.DBRA(Server&amp;$B$12,AR$1,"French")</f>
        <v/>
      </c>
      <c r="AS22" s="48" t="str">
        <f ca="1">_xll.DBRA(Server&amp;$B$12,AS$1,"French")</f>
        <v/>
      </c>
      <c r="AT22" s="48" t="str">
        <f ca="1">_xll.DBRA(Server&amp;$B$12,AT$1,"French")</f>
        <v/>
      </c>
      <c r="AU22" s="48" t="str">
        <f ca="1">_xll.DBRA(Server&amp;$B$12,AU$1,"French")</f>
        <v/>
      </c>
      <c r="AV22" s="48" t="str">
        <f ca="1">_xll.DBRA(Server&amp;$B$12,AV$1,"French")</f>
        <v/>
      </c>
      <c r="AW22" s="48" t="str">
        <f ca="1">_xll.DBRA(Server&amp;$B$12,AW$1,"French")</f>
        <v/>
      </c>
      <c r="AX22" s="48" t="str">
        <f ca="1">_xll.DBRA(Server&amp;$B$12,AX$1,"French")</f>
        <v/>
      </c>
      <c r="AY22" s="48" t="str">
        <f ca="1">_xll.DBRA(Server&amp;$B$12,AY$1,"French")</f>
        <v/>
      </c>
      <c r="AZ22" s="48" t="str">
        <f ca="1">_xll.DBRA(Server&amp;$B$12,AZ$1,"French")</f>
        <v/>
      </c>
      <c r="BA22" s="48" t="str">
        <f ca="1">_xll.DBRA(Server&amp;$B$12,BA$1,"French")</f>
        <v/>
      </c>
      <c r="BB22" s="182" t="str">
        <f ca="1">_xll.DBRA(Server&amp;$B$12,BB$1,"French")</f>
        <v/>
      </c>
      <c r="BC22" s="337"/>
      <c r="BD22" s="48" t="str">
        <f ca="1">_xll.DBRA(Server&amp;$B$12,BD$1,"French")</f>
        <v/>
      </c>
      <c r="BE22" s="48" t="str">
        <f ca="1">_xll.DBRA(Server&amp;$B$12,BE$1,"French")</f>
        <v/>
      </c>
      <c r="BF22" s="48" t="str">
        <f ca="1">_xll.DBRA(Server&amp;$B$12,BF$1,"French")</f>
        <v/>
      </c>
      <c r="BG22" s="48" t="str">
        <f ca="1">_xll.DBRA(Server&amp;$B$12,BG$1,"French")</f>
        <v/>
      </c>
      <c r="BH22" s="48" t="str">
        <f ca="1">_xll.DBRA(Server&amp;$B$12,BH$1,"French")</f>
        <v/>
      </c>
      <c r="BI22" s="48" t="str">
        <f ca="1">_xll.DBRA(Server&amp;$B$12,BI$1,"French")</f>
        <v/>
      </c>
      <c r="BJ22" s="48" t="str">
        <f ca="1">_xll.DBRA(Server&amp;$B$12,BJ$1,"French")</f>
        <v/>
      </c>
      <c r="BK22" s="48" t="str">
        <f ca="1">_xll.DBRA(Server&amp;$B$12,BK$1,"French")</f>
        <v/>
      </c>
      <c r="BL22" s="48" t="str">
        <f ca="1">_xll.DBRA(Server&amp;$B$12,BL$1,"French")</f>
        <v/>
      </c>
      <c r="BM22" s="48" t="str">
        <f ca="1">_xll.DBRA(Server&amp;$B$12,BM$1,"French")</f>
        <v/>
      </c>
      <c r="BN22" s="48" t="str">
        <f ca="1">_xll.DBRA(Server&amp;$B$12,BN$1,"French")</f>
        <v/>
      </c>
      <c r="BO22" s="48" t="str">
        <f ca="1">_xll.DBRA(Server&amp;$B$12,BO$1,"French")</f>
        <v/>
      </c>
      <c r="BP22" s="31"/>
    </row>
    <row r="23" spans="1:68" ht="11.25" customHeight="1" x14ac:dyDescent="0.25">
      <c r="A23" s="17"/>
      <c r="B23" s="17"/>
      <c r="C23" s="17"/>
      <c r="E23" s="167"/>
      <c r="F23" s="104"/>
      <c r="G23" s="26"/>
      <c r="H23" s="26"/>
      <c r="I23" s="26"/>
      <c r="J23" s="44"/>
      <c r="K23" s="26"/>
      <c r="L23" s="44"/>
      <c r="M23" s="26"/>
      <c r="N23" s="18"/>
      <c r="O23" s="18"/>
      <c r="P23" s="18"/>
      <c r="Q23" s="44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6"/>
      <c r="AC23" s="184"/>
      <c r="AD23" s="44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6"/>
      <c r="AP23" s="184"/>
      <c r="AQ23" s="44"/>
      <c r="AR23" s="45"/>
      <c r="AS23" s="45"/>
      <c r="AT23" s="45"/>
      <c r="AU23" s="45"/>
      <c r="AV23" s="45"/>
      <c r="AW23" s="45"/>
      <c r="AX23" s="45"/>
      <c r="AY23" s="45"/>
      <c r="AZ23" s="45"/>
      <c r="BA23" s="45"/>
      <c r="BB23" s="46"/>
      <c r="BC23" s="184"/>
      <c r="BD23" s="44"/>
      <c r="BE23" s="45"/>
      <c r="BF23" s="45"/>
      <c r="BG23" s="45"/>
      <c r="BH23" s="45"/>
      <c r="BI23" s="45"/>
      <c r="BJ23" s="45"/>
      <c r="BK23" s="45"/>
      <c r="BL23" s="45"/>
      <c r="BM23" s="45"/>
      <c r="BN23" s="45"/>
      <c r="BO23" s="46"/>
      <c r="BP23" s="168"/>
    </row>
    <row r="24" spans="1:68" ht="21" customHeight="1" x14ac:dyDescent="0.25">
      <c r="A24"/>
      <c r="B24" s="12" t="s">
        <v>115</v>
      </c>
      <c r="C24" s="12"/>
      <c r="D24" s="21"/>
      <c r="E24" s="169"/>
      <c r="F24" s="105"/>
      <c r="G24" s="306" t="str">
        <f ca="1">_xll.DBRA(Server&amp;$B$22,$B24,"French")</f>
        <v>Prestations pédagogiques</v>
      </c>
      <c r="H24" s="306" t="str">
        <f ca="1">_xll.DBRA(Server&amp;$B$22,$B24,"French")</f>
        <v>Prestations pédagogiques</v>
      </c>
      <c r="I24" s="39"/>
      <c r="J24" s="67" t="str">
        <f ca="1">_xll.DBRW(Server&amp;Cube1,$H$13,$H$14,$H$15,$J$1,$J$2,$H$16,$B24)</f>
        <v/>
      </c>
      <c r="K24" s="39"/>
      <c r="L24" s="67" t="str">
        <f ca="1">_xll.DBRW(Server&amp;Cube1,$H$13,$H$14,$H$15,$L$1,$L$2,$H$16,$B24)</f>
        <v/>
      </c>
      <c r="M24" s="68"/>
      <c r="N24" s="67" t="str">
        <f ca="1">_xll.DBRW(Server&amp;Cube1,$H$13,$H$14,$H$15,$P$1,N$2,$H$16,$B24)</f>
        <v>*KEY_ERR</v>
      </c>
      <c r="O24" s="69"/>
      <c r="P24" s="67" t="str">
        <f ca="1">_xll.DBRW(Server&amp;Cube1,$H$13,$P$3,$H$15,$P$1,P$2,$H$16,$B24)</f>
        <v>*KEY_ERR</v>
      </c>
      <c r="Q24" s="67" t="str">
        <f ca="1">_xll.DBRW(Server&amp;Cube1,$H$13,$P$3,$H$15,$H$17,Q$1,$H$16,$B24)</f>
        <v>*KEY_ERR</v>
      </c>
      <c r="R24" s="70" t="str">
        <f ca="1">_xll.DBRW(Server&amp;Cube1,$H$13,$P$3,$H$15,$H$17,R$1,$H$16,$B24)</f>
        <v>*KEY_ERR</v>
      </c>
      <c r="S24" s="70" t="str">
        <f ca="1">_xll.DBRW(Server&amp;Cube1,$H$13,$P$3,$H$15,$H$17,S$1,$H$16,$B24)</f>
        <v>*KEY_ERR</v>
      </c>
      <c r="T24" s="70" t="str">
        <f ca="1">_xll.DBRW(Server&amp;Cube1,$H$13,$P$3,$H$15,$H$17,T$1,$H$16,$B24)</f>
        <v>*KEY_ERR</v>
      </c>
      <c r="U24" s="70" t="str">
        <f ca="1">_xll.DBRW(Server&amp;Cube1,$H$13,$P$3,$H$15,$H$17,U$1,$H$16,$B24)</f>
        <v>*KEY_ERR</v>
      </c>
      <c r="V24" s="70" t="str">
        <f ca="1">_xll.DBRW(Server&amp;Cube1,$H$13,$P$3,$H$15,$H$17,V$1,$H$16,$B24)</f>
        <v>*KEY_ERR</v>
      </c>
      <c r="W24" s="70" t="str">
        <f ca="1">_xll.DBRW(Server&amp;Cube1,$H$13,$P$3,$H$15,$H$17,W$1,$H$16,$B24)</f>
        <v>*KEY_ERR</v>
      </c>
      <c r="X24" s="70" t="str">
        <f ca="1">_xll.DBRW(Server&amp;Cube1,$H$13,$P$3,$H$15,$H$17,X$1,$H$16,$B24)</f>
        <v>*KEY_ERR</v>
      </c>
      <c r="Y24" s="70" t="str">
        <f ca="1">_xll.DBRW(Server&amp;Cube1,$H$13,$P$3,$H$15,$H$17,Y$1,$H$16,$B24)</f>
        <v>*KEY_ERR</v>
      </c>
      <c r="Z24" s="70" t="str">
        <f ca="1">_xll.DBRW(Server&amp;Cube1,$H$13,$P$3,$H$15,$H$17,Z$1,$H$16,$B24)</f>
        <v>*KEY_ERR</v>
      </c>
      <c r="AA24" s="70" t="str">
        <f ca="1">_xll.DBRW(Server&amp;Cube1,$H$13,$P$3,$H$15,$H$17,AA$1,$H$16,$B24)</f>
        <v>*KEY_ERR</v>
      </c>
      <c r="AB24" s="71" t="str">
        <f ca="1">_xll.DBRW(Server&amp;Cube1,$H$13,$P$3,$H$15,$H$17,AB$1,$H$16,$B24)</f>
        <v>*KEY_ERR</v>
      </c>
      <c r="AC24" s="185" t="str">
        <f ca="1">_xll.DBRW(Server&amp;Cube1,$H$13,$AC$3,$H$15,$P$1,AC$2,$H$16,$B24)</f>
        <v>*KEY_ERR</v>
      </c>
      <c r="AD24" s="67" t="str">
        <f ca="1">_xll.DBRW(Server&amp;Cube1,$H$13,$AC$3,$H$15,$H$17,AD$1,$H$16,$B24)</f>
        <v>*KEY_ERR</v>
      </c>
      <c r="AE24" s="70" t="str">
        <f ca="1">_xll.DBRW(Server&amp;Cube1,$H$13,$AC$3,$H$15,$H$17,AE$1,$H$16,$B24)</f>
        <v>*KEY_ERR</v>
      </c>
      <c r="AF24" s="70" t="str">
        <f ca="1">_xll.DBRW(Server&amp;Cube1,$H$13,$AC$3,$H$15,$H$17,AF$1,$H$16,$B24)</f>
        <v>*KEY_ERR</v>
      </c>
      <c r="AG24" s="70" t="str">
        <f ca="1">_xll.DBRW(Server&amp;Cube1,$H$13,$AC$3,$H$15,$H$17,AG$1,$H$16,$B24)</f>
        <v>*KEY_ERR</v>
      </c>
      <c r="AH24" s="70" t="str">
        <f ca="1">_xll.DBRW(Server&amp;Cube1,$H$13,$AC$3,$H$15,$H$17,AH$1,$H$16,$B24)</f>
        <v>*KEY_ERR</v>
      </c>
      <c r="AI24" s="70" t="str">
        <f ca="1">_xll.DBRW(Server&amp;Cube1,$H$13,$AC$3,$H$15,$H$17,AI$1,$H$16,$B24)</f>
        <v>*KEY_ERR</v>
      </c>
      <c r="AJ24" s="70" t="str">
        <f ca="1">_xll.DBRW(Server&amp;Cube1,$H$13,$AC$3,$H$15,$H$17,AJ$1,$H$16,$B24)</f>
        <v>*KEY_ERR</v>
      </c>
      <c r="AK24" s="70" t="str">
        <f ca="1">_xll.DBRW(Server&amp;Cube1,$H$13,$AC$3,$H$15,$H$17,AK$1,$H$16,$B24)</f>
        <v>*KEY_ERR</v>
      </c>
      <c r="AL24" s="70" t="str">
        <f ca="1">_xll.DBRW(Server&amp;Cube1,$H$13,$AC$3,$H$15,$H$17,AL$1,$H$16,$B24)</f>
        <v>*KEY_ERR</v>
      </c>
      <c r="AM24" s="70" t="str">
        <f ca="1">_xll.DBRW(Server&amp;Cube1,$H$13,$AC$3,$H$15,$H$17,AM$1,$H$16,$B24)</f>
        <v>*KEY_ERR</v>
      </c>
      <c r="AN24" s="70" t="str">
        <f ca="1">_xll.DBRW(Server&amp;Cube1,$H$13,$AC$3,$H$15,$H$17,AN$1,$H$16,$B24)</f>
        <v>*KEY_ERR</v>
      </c>
      <c r="AO24" s="71" t="str">
        <f ca="1">_xll.DBRW(Server&amp;Cube1,$H$13,$AC$3,$H$15,$H$17,AO$1,$H$16,$B24)</f>
        <v>*KEY_ERR</v>
      </c>
      <c r="AP24" s="185" t="str">
        <f ca="1">_xll.DBRW(Server&amp;Cube1,$H$13,$AP$3,$H$15,$P$1,AP$2,$H$16,$B24)</f>
        <v>*KEY_ERR</v>
      </c>
      <c r="AQ24" s="67" t="str">
        <f ca="1">_xll.DBRW(Server&amp;Cube1,$H$13,$AP$3,$H$15,$H$17,AQ$1,$H$16,$B24)</f>
        <v>*KEY_ERR</v>
      </c>
      <c r="AR24" s="70" t="str">
        <f ca="1">_xll.DBRW(Server&amp;Cube1,$H$13,$AP$3,$H$15,$H$17,AR$1,$H$16,$B24)</f>
        <v>*KEY_ERR</v>
      </c>
      <c r="AS24" s="70" t="str">
        <f ca="1">_xll.DBRW(Server&amp;Cube1,$H$13,$AP$3,$H$15,$H$17,AS$1,$H$16,$B24)</f>
        <v>*KEY_ERR</v>
      </c>
      <c r="AT24" s="70" t="str">
        <f ca="1">_xll.DBRW(Server&amp;Cube1,$H$13,$AP$3,$H$15,$H$17,AT$1,$H$16,$B24)</f>
        <v>*KEY_ERR</v>
      </c>
      <c r="AU24" s="70" t="str">
        <f ca="1">_xll.DBRW(Server&amp;Cube1,$H$13,$AP$3,$H$15,$H$17,AU$1,$H$16,$B24)</f>
        <v>*KEY_ERR</v>
      </c>
      <c r="AV24" s="70" t="str">
        <f ca="1">_xll.DBRW(Server&amp;Cube1,$H$13,$AP$3,$H$15,$H$17,AV$1,$H$16,$B24)</f>
        <v>*KEY_ERR</v>
      </c>
      <c r="AW24" s="70" t="str">
        <f ca="1">_xll.DBRW(Server&amp;Cube1,$H$13,$AP$3,$H$15,$H$17,AW$1,$H$16,$B24)</f>
        <v>*KEY_ERR</v>
      </c>
      <c r="AX24" s="70" t="str">
        <f ca="1">_xll.DBRW(Server&amp;Cube1,$H$13,$AP$3,$H$15,$H$17,AX$1,$H$16,$B24)</f>
        <v>*KEY_ERR</v>
      </c>
      <c r="AY24" s="70" t="str">
        <f ca="1">_xll.DBRW(Server&amp;Cube1,$H$13,$AP$3,$H$15,$H$17,AY$1,$H$16,$B24)</f>
        <v>*KEY_ERR</v>
      </c>
      <c r="AZ24" s="70" t="str">
        <f ca="1">_xll.DBRW(Server&amp;Cube1,$H$13,$AP$3,$H$15,$H$17,AZ$1,$H$16,$B24)</f>
        <v>*KEY_ERR</v>
      </c>
      <c r="BA24" s="70" t="str">
        <f ca="1">_xll.DBRW(Server&amp;Cube1,$H$13,$AP$3,$H$15,$H$17,BA$1,$H$16,$B24)</f>
        <v>*KEY_ERR</v>
      </c>
      <c r="BB24" s="71" t="str">
        <f ca="1">_xll.DBRW(Server&amp;Cube1,$H$13,$AP$3,$H$15,$H$17,BB$1,$H$16,$B24)</f>
        <v>*KEY_ERR</v>
      </c>
      <c r="BC24" s="185" t="str">
        <f ca="1">_xll.DBRW(Server&amp;Cube1,$H$13,$BC$3,$H$15,$P$1,BC$2,$H$16,$B24)</f>
        <v>*KEY_ERR</v>
      </c>
      <c r="BD24" s="67" t="str">
        <f ca="1">_xll.DBRW(Server&amp;Cube1,$H$13,$BC$3,$H$15,$H$17,BD$1,$H$16,$B24)</f>
        <v>*KEY_ERR</v>
      </c>
      <c r="BE24" s="70" t="str">
        <f ca="1">_xll.DBRW(Server&amp;Cube1,$H$13,$BC$3,$H$15,$H$17,BE$1,$H$16,$B24)</f>
        <v>*KEY_ERR</v>
      </c>
      <c r="BF24" s="70" t="str">
        <f ca="1">_xll.DBRW(Server&amp;Cube1,$H$13,$BC$3,$H$15,$H$17,BF$1,$H$16,$B24)</f>
        <v>*KEY_ERR</v>
      </c>
      <c r="BG24" s="70" t="str">
        <f ca="1">_xll.DBRW(Server&amp;Cube1,$H$13,$BC$3,$H$15,$H$17,BG$1,$H$16,$B24)</f>
        <v>*KEY_ERR</v>
      </c>
      <c r="BH24" s="70" t="str">
        <f ca="1">_xll.DBRW(Server&amp;Cube1,$H$13,$BC$3,$H$15,$H$17,BH$1,$H$16,$B24)</f>
        <v>*KEY_ERR</v>
      </c>
      <c r="BI24" s="70" t="str">
        <f ca="1">_xll.DBRW(Server&amp;Cube1,$H$13,$BC$3,$H$15,$H$17,BI$1,$H$16,$B24)</f>
        <v>*KEY_ERR</v>
      </c>
      <c r="BJ24" s="70" t="str">
        <f ca="1">_xll.DBRW(Server&amp;Cube1,$H$13,$BC$3,$H$15,$H$17,BJ$1,$H$16,$B24)</f>
        <v>*KEY_ERR</v>
      </c>
      <c r="BK24" s="70" t="str">
        <f ca="1">_xll.DBRW(Server&amp;Cube1,$H$13,$BC$3,$H$15,$H$17,BK$1,$H$16,$B24)</f>
        <v>*KEY_ERR</v>
      </c>
      <c r="BL24" s="70" t="str">
        <f ca="1">_xll.DBRW(Server&amp;Cube1,$H$13,$BC$3,$H$15,$H$17,BL$1,$H$16,$B24)</f>
        <v>*KEY_ERR</v>
      </c>
      <c r="BM24" s="70" t="str">
        <f ca="1">_xll.DBRW(Server&amp;Cube1,$H$13,$BC$3,$H$15,$H$17,BM$1,$H$16,$B24)</f>
        <v>*KEY_ERR</v>
      </c>
      <c r="BN24" s="70" t="str">
        <f ca="1">_xll.DBRW(Server&amp;Cube1,$H$13,$BC$3,$H$15,$H$17,BN$1,$H$16,$B24)</f>
        <v>*KEY_ERR</v>
      </c>
      <c r="BO24" s="71" t="str">
        <f ca="1">_xll.DBRW(Server&amp;Cube1,$H$13,$BC$3,$H$15,$H$17,BO$1,$H$16,$B24)</f>
        <v>*KEY_ERR</v>
      </c>
      <c r="BP24" s="31"/>
    </row>
    <row r="25" spans="1:68" ht="21" customHeight="1" x14ac:dyDescent="0.25">
      <c r="A25"/>
      <c r="B25" s="12" t="s">
        <v>116</v>
      </c>
      <c r="C25" s="12"/>
      <c r="D25" s="21"/>
      <c r="E25" s="169"/>
      <c r="F25" s="105"/>
      <c r="G25" s="306" t="str">
        <f ca="1">_xll.DBRA(Server&amp;$B$22,$B25,"French")</f>
        <v>Frais de déplacement formateurs / jour</v>
      </c>
      <c r="H25" s="306" t="str">
        <f ca="1">_xll.DBRA(Server&amp;$B$22,$B25,"French")</f>
        <v>Frais de déplacement formateurs / jour</v>
      </c>
      <c r="I25" s="39"/>
      <c r="J25" s="67" t="str">
        <f ca="1">_xll.DBRW(Server&amp;Cube1,$H$13,$H$14,$H$15,$J$1,$J$2,$H$16,$B25)</f>
        <v/>
      </c>
      <c r="K25" s="39"/>
      <c r="L25" s="67" t="str">
        <f ca="1">_xll.DBRW(Server&amp;Cube1,$H$13,$H$14,$H$15,$L$1,$L$2,$H$16,$B25)</f>
        <v/>
      </c>
      <c r="M25" s="68"/>
      <c r="N25" s="67" t="str">
        <f ca="1">_xll.DBRW(Server&amp;Cube1,$H$13,$H$14,$H$15,$P$1,N$2,$H$16,$B25)</f>
        <v>*KEY_ERR</v>
      </c>
      <c r="O25" s="69"/>
      <c r="P25" s="67" t="str">
        <f ca="1">_xll.DBRW(Server&amp;Cube1,$H$13,$P$3,$H$15,$P$1,P$2,$H$16,$B25)</f>
        <v>*KEY_ERR</v>
      </c>
      <c r="Q25" s="67" t="str">
        <f ca="1">_xll.DBRW(Server&amp;Cube1,$H$13,$P$3,$H$15,$H$17,Q$1,$H$16,$B25)</f>
        <v>*KEY_ERR</v>
      </c>
      <c r="R25" s="70" t="str">
        <f ca="1">_xll.DBRW(Server&amp;Cube1,$H$13,$P$3,$H$15,$H$17,R$1,$H$16,$B25)</f>
        <v>*KEY_ERR</v>
      </c>
      <c r="S25" s="70" t="str">
        <f ca="1">_xll.DBRW(Server&amp;Cube1,$H$13,$P$3,$H$15,$H$17,S$1,$H$16,$B25)</f>
        <v>*KEY_ERR</v>
      </c>
      <c r="T25" s="70" t="str">
        <f ca="1">_xll.DBRW(Server&amp;Cube1,$H$13,$P$3,$H$15,$H$17,T$1,$H$16,$B25)</f>
        <v>*KEY_ERR</v>
      </c>
      <c r="U25" s="70" t="str">
        <f ca="1">_xll.DBRW(Server&amp;Cube1,$H$13,$P$3,$H$15,$H$17,U$1,$H$16,$B25)</f>
        <v>*KEY_ERR</v>
      </c>
      <c r="V25" s="70" t="str">
        <f ca="1">_xll.DBRW(Server&amp;Cube1,$H$13,$P$3,$H$15,$H$17,V$1,$H$16,$B25)</f>
        <v>*KEY_ERR</v>
      </c>
      <c r="W25" s="70" t="str">
        <f ca="1">_xll.DBRW(Server&amp;Cube1,$H$13,$P$3,$H$15,$H$17,W$1,$H$16,$B25)</f>
        <v>*KEY_ERR</v>
      </c>
      <c r="X25" s="70" t="str">
        <f ca="1">_xll.DBRW(Server&amp;Cube1,$H$13,$P$3,$H$15,$H$17,X$1,$H$16,$B25)</f>
        <v>*KEY_ERR</v>
      </c>
      <c r="Y25" s="70" t="str">
        <f ca="1">_xll.DBRW(Server&amp;Cube1,$H$13,$P$3,$H$15,$H$17,Y$1,$H$16,$B25)</f>
        <v>*KEY_ERR</v>
      </c>
      <c r="Z25" s="70" t="str">
        <f ca="1">_xll.DBRW(Server&amp;Cube1,$H$13,$P$3,$H$15,$H$17,Z$1,$H$16,$B25)</f>
        <v>*KEY_ERR</v>
      </c>
      <c r="AA25" s="70" t="str">
        <f ca="1">_xll.DBRW(Server&amp;Cube1,$H$13,$P$3,$H$15,$H$17,AA$1,$H$16,$B25)</f>
        <v>*KEY_ERR</v>
      </c>
      <c r="AB25" s="71" t="str">
        <f ca="1">_xll.DBRW(Server&amp;Cube1,$H$13,$P$3,$H$15,$H$17,AB$1,$H$16,$B25)</f>
        <v>*KEY_ERR</v>
      </c>
      <c r="AC25" s="185" t="str">
        <f ca="1">_xll.DBRW(Server&amp;Cube1,$H$13,$AC$3,$H$15,$P$1,AC$2,$H$16,$B25)</f>
        <v>*KEY_ERR</v>
      </c>
      <c r="AD25" s="67" t="str">
        <f ca="1">_xll.DBRW(Server&amp;Cube1,$H$13,$AC$3,$H$15,$H$17,AD$1,$H$16,$B25)</f>
        <v>*KEY_ERR</v>
      </c>
      <c r="AE25" s="70" t="str">
        <f ca="1">_xll.DBRW(Server&amp;Cube1,$H$13,$AC$3,$H$15,$H$17,AE$1,$H$16,$B25)</f>
        <v>*KEY_ERR</v>
      </c>
      <c r="AF25" s="70" t="str">
        <f ca="1">_xll.DBRW(Server&amp;Cube1,$H$13,$AC$3,$H$15,$H$17,AF$1,$H$16,$B25)</f>
        <v>*KEY_ERR</v>
      </c>
      <c r="AG25" s="70" t="str">
        <f ca="1">_xll.DBRW(Server&amp;Cube1,$H$13,$AC$3,$H$15,$H$17,AG$1,$H$16,$B25)</f>
        <v>*KEY_ERR</v>
      </c>
      <c r="AH25" s="70" t="str">
        <f ca="1">_xll.DBRW(Server&amp;Cube1,$H$13,$AC$3,$H$15,$H$17,AH$1,$H$16,$B25)</f>
        <v>*KEY_ERR</v>
      </c>
      <c r="AI25" s="70" t="str">
        <f ca="1">_xll.DBRW(Server&amp;Cube1,$H$13,$AC$3,$H$15,$H$17,AI$1,$H$16,$B25)</f>
        <v>*KEY_ERR</v>
      </c>
      <c r="AJ25" s="70" t="str">
        <f ca="1">_xll.DBRW(Server&amp;Cube1,$H$13,$AC$3,$H$15,$H$17,AJ$1,$H$16,$B25)</f>
        <v>*KEY_ERR</v>
      </c>
      <c r="AK25" s="70" t="str">
        <f ca="1">_xll.DBRW(Server&amp;Cube1,$H$13,$AC$3,$H$15,$H$17,AK$1,$H$16,$B25)</f>
        <v>*KEY_ERR</v>
      </c>
      <c r="AL25" s="70" t="str">
        <f ca="1">_xll.DBRW(Server&amp;Cube1,$H$13,$AC$3,$H$15,$H$17,AL$1,$H$16,$B25)</f>
        <v>*KEY_ERR</v>
      </c>
      <c r="AM25" s="70" t="str">
        <f ca="1">_xll.DBRW(Server&amp;Cube1,$H$13,$AC$3,$H$15,$H$17,AM$1,$H$16,$B25)</f>
        <v>*KEY_ERR</v>
      </c>
      <c r="AN25" s="70" t="str">
        <f ca="1">_xll.DBRW(Server&amp;Cube1,$H$13,$AC$3,$H$15,$H$17,AN$1,$H$16,$B25)</f>
        <v>*KEY_ERR</v>
      </c>
      <c r="AO25" s="71" t="str">
        <f ca="1">_xll.DBRW(Server&amp;Cube1,$H$13,$AC$3,$H$15,$H$17,AO$1,$H$16,$B25)</f>
        <v>*KEY_ERR</v>
      </c>
      <c r="AP25" s="185" t="str">
        <f ca="1">_xll.DBRW(Server&amp;Cube1,$H$13,$AP$3,$H$15,$P$1,AP$2,$H$16,$B25)</f>
        <v>*KEY_ERR</v>
      </c>
      <c r="AQ25" s="67" t="str">
        <f ca="1">_xll.DBRW(Server&amp;Cube1,$H$13,$AP$3,$H$15,$H$17,AQ$1,$H$16,$B25)</f>
        <v>*KEY_ERR</v>
      </c>
      <c r="AR25" s="70" t="str">
        <f ca="1">_xll.DBRW(Server&amp;Cube1,$H$13,$AP$3,$H$15,$H$17,AR$1,$H$16,$B25)</f>
        <v>*KEY_ERR</v>
      </c>
      <c r="AS25" s="70" t="str">
        <f ca="1">_xll.DBRW(Server&amp;Cube1,$H$13,$AP$3,$H$15,$H$17,AS$1,$H$16,$B25)</f>
        <v>*KEY_ERR</v>
      </c>
      <c r="AT25" s="70" t="str">
        <f ca="1">_xll.DBRW(Server&amp;Cube1,$H$13,$AP$3,$H$15,$H$17,AT$1,$H$16,$B25)</f>
        <v>*KEY_ERR</v>
      </c>
      <c r="AU25" s="70" t="str">
        <f ca="1">_xll.DBRW(Server&amp;Cube1,$H$13,$AP$3,$H$15,$H$17,AU$1,$H$16,$B25)</f>
        <v>*KEY_ERR</v>
      </c>
      <c r="AV25" s="70" t="str">
        <f ca="1">_xll.DBRW(Server&amp;Cube1,$H$13,$AP$3,$H$15,$H$17,AV$1,$H$16,$B25)</f>
        <v>*KEY_ERR</v>
      </c>
      <c r="AW25" s="70" t="str">
        <f ca="1">_xll.DBRW(Server&amp;Cube1,$H$13,$AP$3,$H$15,$H$17,AW$1,$H$16,$B25)</f>
        <v>*KEY_ERR</v>
      </c>
      <c r="AX25" s="70" t="str">
        <f ca="1">_xll.DBRW(Server&amp;Cube1,$H$13,$AP$3,$H$15,$H$17,AX$1,$H$16,$B25)</f>
        <v>*KEY_ERR</v>
      </c>
      <c r="AY25" s="70" t="str">
        <f ca="1">_xll.DBRW(Server&amp;Cube1,$H$13,$AP$3,$H$15,$H$17,AY$1,$H$16,$B25)</f>
        <v>*KEY_ERR</v>
      </c>
      <c r="AZ25" s="70" t="str">
        <f ca="1">_xll.DBRW(Server&amp;Cube1,$H$13,$AP$3,$H$15,$H$17,AZ$1,$H$16,$B25)</f>
        <v>*KEY_ERR</v>
      </c>
      <c r="BA25" s="70" t="str">
        <f ca="1">_xll.DBRW(Server&amp;Cube1,$H$13,$AP$3,$H$15,$H$17,BA$1,$H$16,$B25)</f>
        <v>*KEY_ERR</v>
      </c>
      <c r="BB25" s="71" t="str">
        <f ca="1">_xll.DBRW(Server&amp;Cube1,$H$13,$AP$3,$H$15,$H$17,BB$1,$H$16,$B25)</f>
        <v>*KEY_ERR</v>
      </c>
      <c r="BC25" s="185" t="str">
        <f ca="1">_xll.DBRW(Server&amp;Cube1,$H$13,$BC$3,$H$15,$P$1,BC$2,$H$16,$B25)</f>
        <v>*KEY_ERR</v>
      </c>
      <c r="BD25" s="67" t="str">
        <f ca="1">_xll.DBRW(Server&amp;Cube1,$H$13,$BC$3,$H$15,$H$17,BD$1,$H$16,$B25)</f>
        <v>*KEY_ERR</v>
      </c>
      <c r="BE25" s="70" t="str">
        <f ca="1">_xll.DBRW(Server&amp;Cube1,$H$13,$BC$3,$H$15,$H$17,BE$1,$H$16,$B25)</f>
        <v>*KEY_ERR</v>
      </c>
      <c r="BF25" s="70" t="str">
        <f ca="1">_xll.DBRW(Server&amp;Cube1,$H$13,$BC$3,$H$15,$H$17,BF$1,$H$16,$B25)</f>
        <v>*KEY_ERR</v>
      </c>
      <c r="BG25" s="70" t="str">
        <f ca="1">_xll.DBRW(Server&amp;Cube1,$H$13,$BC$3,$H$15,$H$17,BG$1,$H$16,$B25)</f>
        <v>*KEY_ERR</v>
      </c>
      <c r="BH25" s="70" t="str">
        <f ca="1">_xll.DBRW(Server&amp;Cube1,$H$13,$BC$3,$H$15,$H$17,BH$1,$H$16,$B25)</f>
        <v>*KEY_ERR</v>
      </c>
      <c r="BI25" s="70" t="str">
        <f ca="1">_xll.DBRW(Server&amp;Cube1,$H$13,$BC$3,$H$15,$H$17,BI$1,$H$16,$B25)</f>
        <v>*KEY_ERR</v>
      </c>
      <c r="BJ25" s="70" t="str">
        <f ca="1">_xll.DBRW(Server&amp;Cube1,$H$13,$BC$3,$H$15,$H$17,BJ$1,$H$16,$B25)</f>
        <v>*KEY_ERR</v>
      </c>
      <c r="BK25" s="70" t="str">
        <f ca="1">_xll.DBRW(Server&amp;Cube1,$H$13,$BC$3,$H$15,$H$17,BK$1,$H$16,$B25)</f>
        <v>*KEY_ERR</v>
      </c>
      <c r="BL25" s="70" t="str">
        <f ca="1">_xll.DBRW(Server&amp;Cube1,$H$13,$BC$3,$H$15,$H$17,BL$1,$H$16,$B25)</f>
        <v>*KEY_ERR</v>
      </c>
      <c r="BM25" s="70" t="str">
        <f ca="1">_xll.DBRW(Server&amp;Cube1,$H$13,$BC$3,$H$15,$H$17,BM$1,$H$16,$B25)</f>
        <v>*KEY_ERR</v>
      </c>
      <c r="BN25" s="70" t="str">
        <f ca="1">_xll.DBRW(Server&amp;Cube1,$H$13,$BC$3,$H$15,$H$17,BN$1,$H$16,$B25)</f>
        <v>*KEY_ERR</v>
      </c>
      <c r="BO25" s="71" t="str">
        <f ca="1">_xll.DBRW(Server&amp;Cube1,$H$13,$BC$3,$H$15,$H$17,BO$1,$H$16,$B25)</f>
        <v>*KEY_ERR</v>
      </c>
      <c r="BP25" s="31"/>
    </row>
    <row r="26" spans="1:68" ht="3" customHeight="1" x14ac:dyDescent="0.25">
      <c r="A26"/>
      <c r="B26" s="11"/>
      <c r="C26" s="11"/>
      <c r="D26" s="20"/>
      <c r="E26" s="170"/>
      <c r="F26" s="106"/>
      <c r="G26" s="43"/>
      <c r="H26" s="43"/>
      <c r="I26" s="38"/>
      <c r="J26" s="62"/>
      <c r="K26" s="38"/>
      <c r="L26" s="62"/>
      <c r="M26" s="63"/>
      <c r="N26" s="62"/>
      <c r="O26" s="64"/>
      <c r="P26" s="62"/>
      <c r="Q26" s="62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6"/>
      <c r="AC26" s="186"/>
      <c r="AD26" s="62"/>
      <c r="AE26" s="65"/>
      <c r="AF26" s="65"/>
      <c r="AG26" s="65"/>
      <c r="AH26" s="65"/>
      <c r="AI26" s="65"/>
      <c r="AJ26" s="65"/>
      <c r="AK26" s="65"/>
      <c r="AL26" s="65"/>
      <c r="AM26" s="65"/>
      <c r="AN26" s="65"/>
      <c r="AO26" s="66"/>
      <c r="AP26" s="186"/>
      <c r="AQ26" s="62"/>
      <c r="AR26" s="65"/>
      <c r="AS26" s="65"/>
      <c r="AT26" s="65"/>
      <c r="AU26" s="65"/>
      <c r="AV26" s="65"/>
      <c r="AW26" s="65"/>
      <c r="AX26" s="65"/>
      <c r="AY26" s="65"/>
      <c r="AZ26" s="65"/>
      <c r="BA26" s="65"/>
      <c r="BB26" s="66"/>
      <c r="BC26" s="186"/>
      <c r="BD26" s="62"/>
      <c r="BE26" s="65"/>
      <c r="BF26" s="65"/>
      <c r="BG26" s="65"/>
      <c r="BH26" s="65"/>
      <c r="BI26" s="65"/>
      <c r="BJ26" s="65"/>
      <c r="BK26" s="65"/>
      <c r="BL26" s="65"/>
      <c r="BM26" s="65"/>
      <c r="BN26" s="65"/>
      <c r="BO26" s="66"/>
      <c r="BP26" s="31"/>
    </row>
    <row r="27" spans="1:68" ht="21" customHeight="1" x14ac:dyDescent="0.25">
      <c r="A27"/>
      <c r="B27" s="12" t="s">
        <v>22</v>
      </c>
      <c r="C27" s="12"/>
      <c r="D27" s="21"/>
      <c r="E27" s="169"/>
      <c r="F27" s="105"/>
      <c r="G27" s="306" t="str">
        <f ca="1">_xll.DBRA(Server&amp;$B$22,$B27,"French")</f>
        <v>Subventions</v>
      </c>
      <c r="H27" s="306" t="str">
        <f ca="1">_xll.DBRA(Server&amp;$B$22,$B27,"French")</f>
        <v>Subventions</v>
      </c>
      <c r="I27" s="39"/>
      <c r="J27" s="67" t="str">
        <f ca="1">_xll.DBRW(Server&amp;Cube1,$H$13,$H$14,$H$15,$J$1,$J$2,$H$16,$B27)</f>
        <v/>
      </c>
      <c r="K27" s="39"/>
      <c r="L27" s="67" t="str">
        <f ca="1">_xll.DBRW(Server&amp;Cube1,$H$13,$H$14,$H$15,$L$1,$L$2,$H$16,$B27)</f>
        <v/>
      </c>
      <c r="M27" s="68"/>
      <c r="N27" s="67" t="str">
        <f ca="1">_xll.DBRW(Server&amp;Cube1,$H$13,$H$14,$H$15,$P$1,N$2,$H$16,$B27)</f>
        <v>*KEY_ERR</v>
      </c>
      <c r="O27" s="69"/>
      <c r="P27" s="67" t="str">
        <f ca="1">_xll.DBRW(Server&amp;Cube1,$H$13,$P$3,$H$15,$P$1,P$2,$H$16,$B27)</f>
        <v>*KEY_ERR</v>
      </c>
      <c r="Q27" s="67" t="str">
        <f ca="1">_xll.DBRW(Server&amp;Cube1,$H$13,$P$3,$H$15,$H$17,Q$1,$H$16,$B27)</f>
        <v>*KEY_ERR</v>
      </c>
      <c r="R27" s="70" t="str">
        <f ca="1">_xll.DBRW(Server&amp;Cube1,$H$13,$P$3,$H$15,$H$17,R$1,$H$16,$B27)</f>
        <v>*KEY_ERR</v>
      </c>
      <c r="S27" s="70" t="str">
        <f ca="1">_xll.DBRW(Server&amp;Cube1,$H$13,$P$3,$H$15,$H$17,S$1,$H$16,$B27)</f>
        <v>*KEY_ERR</v>
      </c>
      <c r="T27" s="70" t="str">
        <f ca="1">_xll.DBRW(Server&amp;Cube1,$H$13,$P$3,$H$15,$H$17,T$1,$H$16,$B27)</f>
        <v>*KEY_ERR</v>
      </c>
      <c r="U27" s="70" t="str">
        <f ca="1">_xll.DBRW(Server&amp;Cube1,$H$13,$P$3,$H$15,$H$17,U$1,$H$16,$B27)</f>
        <v>*KEY_ERR</v>
      </c>
      <c r="V27" s="70" t="str">
        <f ca="1">_xll.DBRW(Server&amp;Cube1,$H$13,$P$3,$H$15,$H$17,V$1,$H$16,$B27)</f>
        <v>*KEY_ERR</v>
      </c>
      <c r="W27" s="70" t="str">
        <f ca="1">_xll.DBRW(Server&amp;Cube1,$H$13,$P$3,$H$15,$H$17,W$1,$H$16,$B27)</f>
        <v>*KEY_ERR</v>
      </c>
      <c r="X27" s="70" t="str">
        <f ca="1">_xll.DBRW(Server&amp;Cube1,$H$13,$P$3,$H$15,$H$17,X$1,$H$16,$B27)</f>
        <v>*KEY_ERR</v>
      </c>
      <c r="Y27" s="70" t="str">
        <f ca="1">_xll.DBRW(Server&amp;Cube1,$H$13,$P$3,$H$15,$H$17,Y$1,$H$16,$B27)</f>
        <v>*KEY_ERR</v>
      </c>
      <c r="Z27" s="70" t="str">
        <f ca="1">_xll.DBRW(Server&amp;Cube1,$H$13,$P$3,$H$15,$H$17,Z$1,$H$16,$B27)</f>
        <v>*KEY_ERR</v>
      </c>
      <c r="AA27" s="70" t="str">
        <f ca="1">_xll.DBRW(Server&amp;Cube1,$H$13,$P$3,$H$15,$H$17,AA$1,$H$16,$B27)</f>
        <v>*KEY_ERR</v>
      </c>
      <c r="AB27" s="71" t="str">
        <f ca="1">_xll.DBRW(Server&amp;Cube1,$H$13,$P$3,$H$15,$H$17,AB$1,$H$16,$B27)</f>
        <v>*KEY_ERR</v>
      </c>
      <c r="AC27" s="185" t="str">
        <f ca="1">_xll.DBRW(Server&amp;Cube1,$H$13,$AC$3,$H$15,$P$1,AC$2,$H$16,$B27)</f>
        <v>*KEY_ERR</v>
      </c>
      <c r="AD27" s="67" t="str">
        <f ca="1">_xll.DBRW(Server&amp;Cube1,$H$13,$AC$3,$H$15,$H$17,AD$1,$H$16,$B27)</f>
        <v>*KEY_ERR</v>
      </c>
      <c r="AE27" s="70" t="str">
        <f ca="1">_xll.DBRW(Server&amp;Cube1,$H$13,$AC$3,$H$15,$H$17,AE$1,$H$16,$B27)</f>
        <v>*KEY_ERR</v>
      </c>
      <c r="AF27" s="70" t="str">
        <f ca="1">_xll.DBRW(Server&amp;Cube1,$H$13,$AC$3,$H$15,$H$17,AF$1,$H$16,$B27)</f>
        <v>*KEY_ERR</v>
      </c>
      <c r="AG27" s="70" t="str">
        <f ca="1">_xll.DBRW(Server&amp;Cube1,$H$13,$AC$3,$H$15,$H$17,AG$1,$H$16,$B27)</f>
        <v>*KEY_ERR</v>
      </c>
      <c r="AH27" s="70" t="str">
        <f ca="1">_xll.DBRW(Server&amp;Cube1,$H$13,$AC$3,$H$15,$H$17,AH$1,$H$16,$B27)</f>
        <v>*KEY_ERR</v>
      </c>
      <c r="AI27" s="70" t="str">
        <f ca="1">_xll.DBRW(Server&amp;Cube1,$H$13,$AC$3,$H$15,$H$17,AI$1,$H$16,$B27)</f>
        <v>*KEY_ERR</v>
      </c>
      <c r="AJ27" s="70" t="str">
        <f ca="1">_xll.DBRW(Server&amp;Cube1,$H$13,$AC$3,$H$15,$H$17,AJ$1,$H$16,$B27)</f>
        <v>*KEY_ERR</v>
      </c>
      <c r="AK27" s="70" t="str">
        <f ca="1">_xll.DBRW(Server&amp;Cube1,$H$13,$AC$3,$H$15,$H$17,AK$1,$H$16,$B27)</f>
        <v>*KEY_ERR</v>
      </c>
      <c r="AL27" s="70" t="str">
        <f ca="1">_xll.DBRW(Server&amp;Cube1,$H$13,$AC$3,$H$15,$H$17,AL$1,$H$16,$B27)</f>
        <v>*KEY_ERR</v>
      </c>
      <c r="AM27" s="70" t="str">
        <f ca="1">_xll.DBRW(Server&amp;Cube1,$H$13,$AC$3,$H$15,$H$17,AM$1,$H$16,$B27)</f>
        <v>*KEY_ERR</v>
      </c>
      <c r="AN27" s="70" t="str">
        <f ca="1">_xll.DBRW(Server&amp;Cube1,$H$13,$AC$3,$H$15,$H$17,AN$1,$H$16,$B27)</f>
        <v>*KEY_ERR</v>
      </c>
      <c r="AO27" s="71" t="str">
        <f ca="1">_xll.DBRW(Server&amp;Cube1,$H$13,$AC$3,$H$15,$H$17,AO$1,$H$16,$B27)</f>
        <v>*KEY_ERR</v>
      </c>
      <c r="AP27" s="185" t="str">
        <f ca="1">_xll.DBRW(Server&amp;Cube1,$H$13,$AP$3,$H$15,$P$1,AP$2,$H$16,$B27)</f>
        <v>*KEY_ERR</v>
      </c>
      <c r="AQ27" s="67" t="str">
        <f ca="1">_xll.DBRW(Server&amp;Cube1,$H$13,$AP$3,$H$15,$H$17,AQ$1,$H$16,$B27)</f>
        <v>*KEY_ERR</v>
      </c>
      <c r="AR27" s="70" t="str">
        <f ca="1">_xll.DBRW(Server&amp;Cube1,$H$13,$AP$3,$H$15,$H$17,AR$1,$H$16,$B27)</f>
        <v>*KEY_ERR</v>
      </c>
      <c r="AS27" s="70" t="str">
        <f ca="1">_xll.DBRW(Server&amp;Cube1,$H$13,$AP$3,$H$15,$H$17,AS$1,$H$16,$B27)</f>
        <v>*KEY_ERR</v>
      </c>
      <c r="AT27" s="70" t="str">
        <f ca="1">_xll.DBRW(Server&amp;Cube1,$H$13,$AP$3,$H$15,$H$17,AT$1,$H$16,$B27)</f>
        <v>*KEY_ERR</v>
      </c>
      <c r="AU27" s="70" t="str">
        <f ca="1">_xll.DBRW(Server&amp;Cube1,$H$13,$AP$3,$H$15,$H$17,AU$1,$H$16,$B27)</f>
        <v>*KEY_ERR</v>
      </c>
      <c r="AV27" s="70" t="str">
        <f ca="1">_xll.DBRW(Server&amp;Cube1,$H$13,$AP$3,$H$15,$H$17,AV$1,$H$16,$B27)</f>
        <v>*KEY_ERR</v>
      </c>
      <c r="AW27" s="70" t="str">
        <f ca="1">_xll.DBRW(Server&amp;Cube1,$H$13,$AP$3,$H$15,$H$17,AW$1,$H$16,$B27)</f>
        <v>*KEY_ERR</v>
      </c>
      <c r="AX27" s="70" t="str">
        <f ca="1">_xll.DBRW(Server&amp;Cube1,$H$13,$AP$3,$H$15,$H$17,AX$1,$H$16,$B27)</f>
        <v>*KEY_ERR</v>
      </c>
      <c r="AY27" s="70" t="str">
        <f ca="1">_xll.DBRW(Server&amp;Cube1,$H$13,$AP$3,$H$15,$H$17,AY$1,$H$16,$B27)</f>
        <v>*KEY_ERR</v>
      </c>
      <c r="AZ27" s="70" t="str">
        <f ca="1">_xll.DBRW(Server&amp;Cube1,$H$13,$AP$3,$H$15,$H$17,AZ$1,$H$16,$B27)</f>
        <v>*KEY_ERR</v>
      </c>
      <c r="BA27" s="70" t="str">
        <f ca="1">_xll.DBRW(Server&amp;Cube1,$H$13,$AP$3,$H$15,$H$17,BA$1,$H$16,$B27)</f>
        <v>*KEY_ERR</v>
      </c>
      <c r="BB27" s="71" t="str">
        <f ca="1">_xll.DBRW(Server&amp;Cube1,$H$13,$AP$3,$H$15,$H$17,BB$1,$H$16,$B27)</f>
        <v>*KEY_ERR</v>
      </c>
      <c r="BC27" s="185" t="str">
        <f ca="1">_xll.DBRW(Server&amp;Cube1,$H$13,$BC$3,$H$15,$P$1,BC$2,$H$16,$B27)</f>
        <v>*KEY_ERR</v>
      </c>
      <c r="BD27" s="67" t="str">
        <f ca="1">_xll.DBRW(Server&amp;Cube1,$H$13,$BC$3,$H$15,$H$17,BD$1,$H$16,$B27)</f>
        <v>*KEY_ERR</v>
      </c>
      <c r="BE27" s="70" t="str">
        <f ca="1">_xll.DBRW(Server&amp;Cube1,$H$13,$BC$3,$H$15,$H$17,BE$1,$H$16,$B27)</f>
        <v>*KEY_ERR</v>
      </c>
      <c r="BF27" s="70" t="str">
        <f ca="1">_xll.DBRW(Server&amp;Cube1,$H$13,$BC$3,$H$15,$H$17,BF$1,$H$16,$B27)</f>
        <v>*KEY_ERR</v>
      </c>
      <c r="BG27" s="70" t="str">
        <f ca="1">_xll.DBRW(Server&amp;Cube1,$H$13,$BC$3,$H$15,$H$17,BG$1,$H$16,$B27)</f>
        <v>*KEY_ERR</v>
      </c>
      <c r="BH27" s="70" t="str">
        <f ca="1">_xll.DBRW(Server&amp;Cube1,$H$13,$BC$3,$H$15,$H$17,BH$1,$H$16,$B27)</f>
        <v>*KEY_ERR</v>
      </c>
      <c r="BI27" s="70" t="str">
        <f ca="1">_xll.DBRW(Server&amp;Cube1,$H$13,$BC$3,$H$15,$H$17,BI$1,$H$16,$B27)</f>
        <v>*KEY_ERR</v>
      </c>
      <c r="BJ27" s="70" t="str">
        <f ca="1">_xll.DBRW(Server&amp;Cube1,$H$13,$BC$3,$H$15,$H$17,BJ$1,$H$16,$B27)</f>
        <v>*KEY_ERR</v>
      </c>
      <c r="BK27" s="70" t="str">
        <f ca="1">_xll.DBRW(Server&amp;Cube1,$H$13,$BC$3,$H$15,$H$17,BK$1,$H$16,$B27)</f>
        <v>*KEY_ERR</v>
      </c>
      <c r="BL27" s="70" t="str">
        <f ca="1">_xll.DBRW(Server&amp;Cube1,$H$13,$BC$3,$H$15,$H$17,BL$1,$H$16,$B27)</f>
        <v>*KEY_ERR</v>
      </c>
      <c r="BM27" s="70" t="str">
        <f ca="1">_xll.DBRW(Server&amp;Cube1,$H$13,$BC$3,$H$15,$H$17,BM$1,$H$16,$B27)</f>
        <v>*KEY_ERR</v>
      </c>
      <c r="BN27" s="70" t="str">
        <f ca="1">_xll.DBRW(Server&amp;Cube1,$H$13,$BC$3,$H$15,$H$17,BN$1,$H$16,$B27)</f>
        <v>*KEY_ERR</v>
      </c>
      <c r="BO27" s="71" t="str">
        <f ca="1">_xll.DBRW(Server&amp;Cube1,$H$13,$BC$3,$H$15,$H$17,BO$1,$H$16,$B27)</f>
        <v>*KEY_ERR</v>
      </c>
      <c r="BP27" s="31"/>
    </row>
    <row r="28" spans="1:68" ht="21" customHeight="1" x14ac:dyDescent="0.25">
      <c r="A28"/>
      <c r="B28" s="13" t="s">
        <v>23</v>
      </c>
      <c r="C28" s="13"/>
      <c r="D28" s="22"/>
      <c r="E28" s="171"/>
      <c r="F28" s="107"/>
      <c r="G28" s="305" t="str">
        <f ca="1">_xll.DBRA(Server&amp;$B$22,$B28,"French")</f>
        <v>Dédit formation</v>
      </c>
      <c r="H28" s="305" t="str">
        <f ca="1">_xll.DBRA(Server&amp;$B$22,$B28,"French")</f>
        <v>Dédit formation</v>
      </c>
      <c r="I28" s="37"/>
      <c r="J28" s="54" t="str">
        <f ca="1">_xll.DBRW(Server&amp;Cube1,$H$13,$H$14,$H$15,$J$1,$J$2,$H$16,$B28)</f>
        <v/>
      </c>
      <c r="K28" s="37"/>
      <c r="L28" s="54" t="str">
        <f ca="1">_xll.DBRW(Server&amp;Cube1,$H$13,$H$14,$H$15,$L$1,$L$2,$H$16,$B28)</f>
        <v/>
      </c>
      <c r="M28" s="55"/>
      <c r="N28" s="54" t="str">
        <f ca="1">_xll.DBRW(Server&amp;Cube1,$H$13,$H$14,$H$15,$P$1,N$2,$H$16,$B28)</f>
        <v>*KEY_ERR</v>
      </c>
      <c r="O28" s="57"/>
      <c r="P28" s="54" t="str">
        <f ca="1">_xll.DBRW(Server&amp;Cube1,$H$13,$P$3,$H$15,$P$1,P$2,$H$16,$B28)</f>
        <v>*KEY_ERR</v>
      </c>
      <c r="Q28" s="54" t="str">
        <f ca="1">_xll.DBRW(Server&amp;Cube1,$H$13,$P$3,$H$15,$H$17,Q$1,$H$16,$B28)</f>
        <v>*KEY_ERR</v>
      </c>
      <c r="R28" s="58" t="str">
        <f ca="1">_xll.DBRW(Server&amp;Cube1,$H$13,$P$3,$H$15,$H$17,R$1,$H$16,$B28)</f>
        <v>*KEY_ERR</v>
      </c>
      <c r="S28" s="58" t="str">
        <f ca="1">_xll.DBRW(Server&amp;Cube1,$H$13,$P$3,$H$15,$H$17,S$1,$H$16,$B28)</f>
        <v>*KEY_ERR</v>
      </c>
      <c r="T28" s="58" t="str">
        <f ca="1">_xll.DBRW(Server&amp;Cube1,$H$13,$P$3,$H$15,$H$17,T$1,$H$16,$B28)</f>
        <v>*KEY_ERR</v>
      </c>
      <c r="U28" s="58" t="str">
        <f ca="1">_xll.DBRW(Server&amp;Cube1,$H$13,$P$3,$H$15,$H$17,U$1,$H$16,$B28)</f>
        <v>*KEY_ERR</v>
      </c>
      <c r="V28" s="58" t="str">
        <f ca="1">_xll.DBRW(Server&amp;Cube1,$H$13,$P$3,$H$15,$H$17,V$1,$H$16,$B28)</f>
        <v>*KEY_ERR</v>
      </c>
      <c r="W28" s="58" t="str">
        <f ca="1">_xll.DBRW(Server&amp;Cube1,$H$13,$P$3,$H$15,$H$17,W$1,$H$16,$B28)</f>
        <v>*KEY_ERR</v>
      </c>
      <c r="X28" s="58" t="str">
        <f ca="1">_xll.DBRW(Server&amp;Cube1,$H$13,$P$3,$H$15,$H$17,X$1,$H$16,$B28)</f>
        <v>*KEY_ERR</v>
      </c>
      <c r="Y28" s="58" t="str">
        <f ca="1">_xll.DBRW(Server&amp;Cube1,$H$13,$P$3,$H$15,$H$17,Y$1,$H$16,$B28)</f>
        <v>*KEY_ERR</v>
      </c>
      <c r="Z28" s="58" t="str">
        <f ca="1">_xll.DBRW(Server&amp;Cube1,$H$13,$P$3,$H$15,$H$17,Z$1,$H$16,$B28)</f>
        <v>*KEY_ERR</v>
      </c>
      <c r="AA28" s="58" t="str">
        <f ca="1">_xll.DBRW(Server&amp;Cube1,$H$13,$P$3,$H$15,$H$17,AA$1,$H$16,$B28)</f>
        <v>*KEY_ERR</v>
      </c>
      <c r="AB28" s="59" t="str">
        <f ca="1">_xll.DBRW(Server&amp;Cube1,$H$13,$P$3,$H$15,$H$17,AB$1,$H$16,$B28)</f>
        <v>*KEY_ERR</v>
      </c>
      <c r="AC28" s="187" t="str">
        <f ca="1">_xll.DBRW(Server&amp;Cube1,$H$13,$AC$3,$H$15,$P$1,AC$2,$H$16,$B28)</f>
        <v>*KEY_ERR</v>
      </c>
      <c r="AD28" s="54" t="str">
        <f ca="1">_xll.DBRW(Server&amp;Cube1,$H$13,$AC$3,$H$15,$H$17,AD$1,$H$16,$B28)</f>
        <v>*KEY_ERR</v>
      </c>
      <c r="AE28" s="58" t="str">
        <f ca="1">_xll.DBRW(Server&amp;Cube1,$H$13,$AC$3,$H$15,$H$17,AE$1,$H$16,$B28)</f>
        <v>*KEY_ERR</v>
      </c>
      <c r="AF28" s="58" t="str">
        <f ca="1">_xll.DBRW(Server&amp;Cube1,$H$13,$AC$3,$H$15,$H$17,AF$1,$H$16,$B28)</f>
        <v>*KEY_ERR</v>
      </c>
      <c r="AG28" s="58" t="str">
        <f ca="1">_xll.DBRW(Server&amp;Cube1,$H$13,$AC$3,$H$15,$H$17,AG$1,$H$16,$B28)</f>
        <v>*KEY_ERR</v>
      </c>
      <c r="AH28" s="58" t="str">
        <f ca="1">_xll.DBRW(Server&amp;Cube1,$H$13,$AC$3,$H$15,$H$17,AH$1,$H$16,$B28)</f>
        <v>*KEY_ERR</v>
      </c>
      <c r="AI28" s="58" t="str">
        <f ca="1">_xll.DBRW(Server&amp;Cube1,$H$13,$AC$3,$H$15,$H$17,AI$1,$H$16,$B28)</f>
        <v>*KEY_ERR</v>
      </c>
      <c r="AJ28" s="58" t="str">
        <f ca="1">_xll.DBRW(Server&amp;Cube1,$H$13,$AC$3,$H$15,$H$17,AJ$1,$H$16,$B28)</f>
        <v>*KEY_ERR</v>
      </c>
      <c r="AK28" s="58" t="str">
        <f ca="1">_xll.DBRW(Server&amp;Cube1,$H$13,$AC$3,$H$15,$H$17,AK$1,$H$16,$B28)</f>
        <v>*KEY_ERR</v>
      </c>
      <c r="AL28" s="58" t="str">
        <f ca="1">_xll.DBRW(Server&amp;Cube1,$H$13,$AC$3,$H$15,$H$17,AL$1,$H$16,$B28)</f>
        <v>*KEY_ERR</v>
      </c>
      <c r="AM28" s="58" t="str">
        <f ca="1">_xll.DBRW(Server&amp;Cube1,$H$13,$AC$3,$H$15,$H$17,AM$1,$H$16,$B28)</f>
        <v>*KEY_ERR</v>
      </c>
      <c r="AN28" s="58" t="str">
        <f ca="1">_xll.DBRW(Server&amp;Cube1,$H$13,$AC$3,$H$15,$H$17,AN$1,$H$16,$B28)</f>
        <v>*KEY_ERR</v>
      </c>
      <c r="AO28" s="59" t="str">
        <f ca="1">_xll.DBRW(Server&amp;Cube1,$H$13,$AC$3,$H$15,$H$17,AO$1,$H$16,$B28)</f>
        <v>*KEY_ERR</v>
      </c>
      <c r="AP28" s="187" t="str">
        <f ca="1">_xll.DBRW(Server&amp;Cube1,$H$13,$AP$3,$H$15,$P$1,AP$2,$H$16,$B28)</f>
        <v>*KEY_ERR</v>
      </c>
      <c r="AQ28" s="54" t="str">
        <f ca="1">_xll.DBRW(Server&amp;Cube1,$H$13,$AP$3,$H$15,$H$17,AQ$1,$H$16,$B28)</f>
        <v>*KEY_ERR</v>
      </c>
      <c r="AR28" s="58" t="str">
        <f ca="1">_xll.DBRW(Server&amp;Cube1,$H$13,$AP$3,$H$15,$H$17,AR$1,$H$16,$B28)</f>
        <v>*KEY_ERR</v>
      </c>
      <c r="AS28" s="58" t="str">
        <f ca="1">_xll.DBRW(Server&amp;Cube1,$H$13,$AP$3,$H$15,$H$17,AS$1,$H$16,$B28)</f>
        <v>*KEY_ERR</v>
      </c>
      <c r="AT28" s="58" t="str">
        <f ca="1">_xll.DBRW(Server&amp;Cube1,$H$13,$AP$3,$H$15,$H$17,AT$1,$H$16,$B28)</f>
        <v>*KEY_ERR</v>
      </c>
      <c r="AU28" s="58" t="str">
        <f ca="1">_xll.DBRW(Server&amp;Cube1,$H$13,$AP$3,$H$15,$H$17,AU$1,$H$16,$B28)</f>
        <v>*KEY_ERR</v>
      </c>
      <c r="AV28" s="58" t="str">
        <f ca="1">_xll.DBRW(Server&amp;Cube1,$H$13,$AP$3,$H$15,$H$17,AV$1,$H$16,$B28)</f>
        <v>*KEY_ERR</v>
      </c>
      <c r="AW28" s="58" t="str">
        <f ca="1">_xll.DBRW(Server&amp;Cube1,$H$13,$AP$3,$H$15,$H$17,AW$1,$H$16,$B28)</f>
        <v>*KEY_ERR</v>
      </c>
      <c r="AX28" s="58" t="str">
        <f ca="1">_xll.DBRW(Server&amp;Cube1,$H$13,$AP$3,$H$15,$H$17,AX$1,$H$16,$B28)</f>
        <v>*KEY_ERR</v>
      </c>
      <c r="AY28" s="58" t="str">
        <f ca="1">_xll.DBRW(Server&amp;Cube1,$H$13,$AP$3,$H$15,$H$17,AY$1,$H$16,$B28)</f>
        <v>*KEY_ERR</v>
      </c>
      <c r="AZ28" s="58" t="str">
        <f ca="1">_xll.DBRW(Server&amp;Cube1,$H$13,$AP$3,$H$15,$H$17,AZ$1,$H$16,$B28)</f>
        <v>*KEY_ERR</v>
      </c>
      <c r="BA28" s="58" t="str">
        <f ca="1">_xll.DBRW(Server&amp;Cube1,$H$13,$AP$3,$H$15,$H$17,BA$1,$H$16,$B28)</f>
        <v>*KEY_ERR</v>
      </c>
      <c r="BB28" s="59" t="str">
        <f ca="1">_xll.DBRW(Server&amp;Cube1,$H$13,$AP$3,$H$15,$H$17,BB$1,$H$16,$B28)</f>
        <v>*KEY_ERR</v>
      </c>
      <c r="BC28" s="187" t="str">
        <f ca="1">_xll.DBRW(Server&amp;Cube1,$H$13,$BC$3,$H$15,$P$1,BC$2,$H$16,$B28)</f>
        <v>*KEY_ERR</v>
      </c>
      <c r="BD28" s="54" t="str">
        <f ca="1">_xll.DBRW(Server&amp;Cube1,$H$13,$BC$3,$H$15,$H$17,BD$1,$H$16,$B28)</f>
        <v>*KEY_ERR</v>
      </c>
      <c r="BE28" s="58" t="str">
        <f ca="1">_xll.DBRW(Server&amp;Cube1,$H$13,$BC$3,$H$15,$H$17,BE$1,$H$16,$B28)</f>
        <v>*KEY_ERR</v>
      </c>
      <c r="BF28" s="58" t="str">
        <f ca="1">_xll.DBRW(Server&amp;Cube1,$H$13,$BC$3,$H$15,$H$17,BF$1,$H$16,$B28)</f>
        <v>*KEY_ERR</v>
      </c>
      <c r="BG28" s="58" t="str">
        <f ca="1">_xll.DBRW(Server&amp;Cube1,$H$13,$BC$3,$H$15,$H$17,BG$1,$H$16,$B28)</f>
        <v>*KEY_ERR</v>
      </c>
      <c r="BH28" s="58" t="str">
        <f ca="1">_xll.DBRW(Server&amp;Cube1,$H$13,$BC$3,$H$15,$H$17,BH$1,$H$16,$B28)</f>
        <v>*KEY_ERR</v>
      </c>
      <c r="BI28" s="58" t="str">
        <f ca="1">_xll.DBRW(Server&amp;Cube1,$H$13,$BC$3,$H$15,$H$17,BI$1,$H$16,$B28)</f>
        <v>*KEY_ERR</v>
      </c>
      <c r="BJ28" s="58" t="str">
        <f ca="1">_xll.DBRW(Server&amp;Cube1,$H$13,$BC$3,$H$15,$H$17,BJ$1,$H$16,$B28)</f>
        <v>*KEY_ERR</v>
      </c>
      <c r="BK28" s="58" t="str">
        <f ca="1">_xll.DBRW(Server&amp;Cube1,$H$13,$BC$3,$H$15,$H$17,BK$1,$H$16,$B28)</f>
        <v>*KEY_ERR</v>
      </c>
      <c r="BL28" s="58" t="str">
        <f ca="1">_xll.DBRW(Server&amp;Cube1,$H$13,$BC$3,$H$15,$H$17,BL$1,$H$16,$B28)</f>
        <v>*KEY_ERR</v>
      </c>
      <c r="BM28" s="58" t="str">
        <f ca="1">_xll.DBRW(Server&amp;Cube1,$H$13,$BC$3,$H$15,$H$17,BM$1,$H$16,$B28)</f>
        <v>*KEY_ERR</v>
      </c>
      <c r="BN28" s="58" t="str">
        <f ca="1">_xll.DBRW(Server&amp;Cube1,$H$13,$BC$3,$H$15,$H$17,BN$1,$H$16,$B28)</f>
        <v>*KEY_ERR</v>
      </c>
      <c r="BO28" s="59" t="str">
        <f ca="1">_xll.DBRW(Server&amp;Cube1,$H$13,$BC$3,$H$15,$H$17,BO$1,$H$16,$B28)</f>
        <v>*KEY_ERR</v>
      </c>
      <c r="BP28" s="31"/>
    </row>
    <row r="29" spans="1:68" ht="21" customHeight="1" x14ac:dyDescent="0.25">
      <c r="A29" t="s">
        <v>69</v>
      </c>
      <c r="B29" s="13">
        <v>751100</v>
      </c>
      <c r="C29" s="13"/>
      <c r="D29" s="22"/>
      <c r="E29" s="171"/>
      <c r="F29" s="107"/>
      <c r="G29" s="305" t="s">
        <v>69</v>
      </c>
      <c r="H29" s="305"/>
      <c r="I29" s="37"/>
      <c r="J29" s="54" t="str">
        <f ca="1">_xll.DBRW(Server&amp;Cube1,$H$13,$H$14,$H$15,$J$1,$J$2,$H$16,$B29)</f>
        <v/>
      </c>
      <c r="K29" s="37"/>
      <c r="L29" s="54" t="str">
        <f ca="1">_xll.DBRW(Server&amp;Cube1,$H$13,$H$14,$H$15,$L$1,$L$2,$H$16,$B29)</f>
        <v/>
      </c>
      <c r="M29" s="55"/>
      <c r="N29" s="54" t="str">
        <f ca="1">_xll.DBRW(Server&amp;Cube1,$H$13,$H$14,$H$15,$P$1,N$2,$H$16,$B29)</f>
        <v>*KEY_ERR</v>
      </c>
      <c r="O29" s="57"/>
      <c r="P29" s="54" t="str">
        <f ca="1">_xll.DBRW(Server&amp;Cube1,$H$13,$P$3,$H$15,$P$1,P$2,$H$16,$B29)</f>
        <v>*KEY_ERR</v>
      </c>
      <c r="Q29" s="54" t="str">
        <f ca="1">_xll.DBRW(Server&amp;Cube1,$H$13,$P$3,$H$15,$H$17,Q$1,$H$16,$B29)</f>
        <v>*KEY_ERR</v>
      </c>
      <c r="R29" s="58" t="str">
        <f ca="1">_xll.DBRW(Server&amp;Cube1,$H$13,$P$3,$H$15,$H$17,R$1,$H$16,$B29)</f>
        <v>*KEY_ERR</v>
      </c>
      <c r="S29" s="58" t="str">
        <f ca="1">_xll.DBRW(Server&amp;Cube1,$H$13,$P$3,$H$15,$H$17,S$1,$H$16,$B29)</f>
        <v>*KEY_ERR</v>
      </c>
      <c r="T29" s="58" t="str">
        <f ca="1">_xll.DBRW(Server&amp;Cube1,$H$13,$P$3,$H$15,$H$17,T$1,$H$16,$B29)</f>
        <v>*KEY_ERR</v>
      </c>
      <c r="U29" s="58" t="str">
        <f ca="1">_xll.DBRW(Server&amp;Cube1,$H$13,$P$3,$H$15,$H$17,U$1,$H$16,$B29)</f>
        <v>*KEY_ERR</v>
      </c>
      <c r="V29" s="58" t="str">
        <f ca="1">_xll.DBRW(Server&amp;Cube1,$H$13,$P$3,$H$15,$H$17,V$1,$H$16,$B29)</f>
        <v>*KEY_ERR</v>
      </c>
      <c r="W29" s="58" t="str">
        <f ca="1">_xll.DBRW(Server&amp;Cube1,$H$13,$P$3,$H$15,$H$17,W$1,$H$16,$B29)</f>
        <v>*KEY_ERR</v>
      </c>
      <c r="X29" s="58" t="str">
        <f ca="1">_xll.DBRW(Server&amp;Cube1,$H$13,$P$3,$H$15,$H$17,X$1,$H$16,$B29)</f>
        <v>*KEY_ERR</v>
      </c>
      <c r="Y29" s="58" t="str">
        <f ca="1">_xll.DBRW(Server&amp;Cube1,$H$13,$P$3,$H$15,$H$17,Y$1,$H$16,$B29)</f>
        <v>*KEY_ERR</v>
      </c>
      <c r="Z29" s="58" t="str">
        <f ca="1">_xll.DBRW(Server&amp;Cube1,$H$13,$P$3,$H$15,$H$17,Z$1,$H$16,$B29)</f>
        <v>*KEY_ERR</v>
      </c>
      <c r="AA29" s="58" t="str">
        <f ca="1">_xll.DBRW(Server&amp;Cube1,$H$13,$P$3,$H$15,$H$17,AA$1,$H$16,$B29)</f>
        <v>*KEY_ERR</v>
      </c>
      <c r="AB29" s="59" t="str">
        <f ca="1">_xll.DBRW(Server&amp;Cube1,$H$13,$P$3,$H$15,$H$17,AB$1,$H$16,$B29)</f>
        <v>*KEY_ERR</v>
      </c>
      <c r="AC29" s="187" t="str">
        <f ca="1">_xll.DBRW(Server&amp;Cube1,$H$13,$AC$3,$H$15,$P$1,AC$2,$H$16,$B29)</f>
        <v>*KEY_ERR</v>
      </c>
      <c r="AD29" s="54" t="str">
        <f ca="1">_xll.DBRW(Server&amp;Cube1,$H$13,$AC$3,$H$15,$H$17,AD$1,$H$16,$B29)</f>
        <v>*KEY_ERR</v>
      </c>
      <c r="AE29" s="58" t="str">
        <f ca="1">_xll.DBRW(Server&amp;Cube1,$H$13,$AC$3,$H$15,$H$17,AE$1,$H$16,$B29)</f>
        <v>*KEY_ERR</v>
      </c>
      <c r="AF29" s="58" t="str">
        <f ca="1">_xll.DBRW(Server&amp;Cube1,$H$13,$AC$3,$H$15,$H$17,AF$1,$H$16,$B29)</f>
        <v>*KEY_ERR</v>
      </c>
      <c r="AG29" s="58" t="str">
        <f ca="1">_xll.DBRW(Server&amp;Cube1,$H$13,$AC$3,$H$15,$H$17,AG$1,$H$16,$B29)</f>
        <v>*KEY_ERR</v>
      </c>
      <c r="AH29" s="58" t="str">
        <f ca="1">_xll.DBRW(Server&amp;Cube1,$H$13,$AC$3,$H$15,$H$17,AH$1,$H$16,$B29)</f>
        <v>*KEY_ERR</v>
      </c>
      <c r="AI29" s="58" t="str">
        <f ca="1">_xll.DBRW(Server&amp;Cube1,$H$13,$AC$3,$H$15,$H$17,AI$1,$H$16,$B29)</f>
        <v>*KEY_ERR</v>
      </c>
      <c r="AJ29" s="58" t="str">
        <f ca="1">_xll.DBRW(Server&amp;Cube1,$H$13,$AC$3,$H$15,$H$17,AJ$1,$H$16,$B29)</f>
        <v>*KEY_ERR</v>
      </c>
      <c r="AK29" s="58" t="str">
        <f ca="1">_xll.DBRW(Server&amp;Cube1,$H$13,$AC$3,$H$15,$H$17,AK$1,$H$16,$B29)</f>
        <v>*KEY_ERR</v>
      </c>
      <c r="AL29" s="58" t="str">
        <f ca="1">_xll.DBRW(Server&amp;Cube1,$H$13,$AC$3,$H$15,$H$17,AL$1,$H$16,$B29)</f>
        <v>*KEY_ERR</v>
      </c>
      <c r="AM29" s="58" t="str">
        <f ca="1">_xll.DBRW(Server&amp;Cube1,$H$13,$AC$3,$H$15,$H$17,AM$1,$H$16,$B29)</f>
        <v>*KEY_ERR</v>
      </c>
      <c r="AN29" s="58" t="str">
        <f ca="1">_xll.DBRW(Server&amp;Cube1,$H$13,$AC$3,$H$15,$H$17,AN$1,$H$16,$B29)</f>
        <v>*KEY_ERR</v>
      </c>
      <c r="AO29" s="59" t="str">
        <f ca="1">_xll.DBRW(Server&amp;Cube1,$H$13,$AC$3,$H$15,$H$17,AO$1,$H$16,$B29)</f>
        <v>*KEY_ERR</v>
      </c>
      <c r="AP29" s="187" t="str">
        <f ca="1">_xll.DBRW(Server&amp;Cube1,$H$13,$AP$3,$H$15,$P$1,AP$2,$H$16,$B29)</f>
        <v>*KEY_ERR</v>
      </c>
      <c r="AQ29" s="54" t="str">
        <f ca="1">_xll.DBRW(Server&amp;Cube1,$H$13,$AP$3,$H$15,$H$17,AQ$1,$H$16,$B29)</f>
        <v>*KEY_ERR</v>
      </c>
      <c r="AR29" s="58" t="str">
        <f ca="1">_xll.DBRW(Server&amp;Cube1,$H$13,$AP$3,$H$15,$H$17,AR$1,$H$16,$B29)</f>
        <v>*KEY_ERR</v>
      </c>
      <c r="AS29" s="58" t="str">
        <f ca="1">_xll.DBRW(Server&amp;Cube1,$H$13,$AP$3,$H$15,$H$17,AS$1,$H$16,$B29)</f>
        <v>*KEY_ERR</v>
      </c>
      <c r="AT29" s="58" t="str">
        <f ca="1">_xll.DBRW(Server&amp;Cube1,$H$13,$AP$3,$H$15,$H$17,AT$1,$H$16,$B29)</f>
        <v>*KEY_ERR</v>
      </c>
      <c r="AU29" s="58" t="str">
        <f ca="1">_xll.DBRW(Server&amp;Cube1,$H$13,$AP$3,$H$15,$H$17,AU$1,$H$16,$B29)</f>
        <v>*KEY_ERR</v>
      </c>
      <c r="AV29" s="58" t="str">
        <f ca="1">_xll.DBRW(Server&amp;Cube1,$H$13,$AP$3,$H$15,$H$17,AV$1,$H$16,$B29)</f>
        <v>*KEY_ERR</v>
      </c>
      <c r="AW29" s="58" t="str">
        <f ca="1">_xll.DBRW(Server&amp;Cube1,$H$13,$AP$3,$H$15,$H$17,AW$1,$H$16,$B29)</f>
        <v>*KEY_ERR</v>
      </c>
      <c r="AX29" s="58" t="str">
        <f ca="1">_xll.DBRW(Server&amp;Cube1,$H$13,$AP$3,$H$15,$H$17,AX$1,$H$16,$B29)</f>
        <v>*KEY_ERR</v>
      </c>
      <c r="AY29" s="58" t="str">
        <f ca="1">_xll.DBRW(Server&amp;Cube1,$H$13,$AP$3,$H$15,$H$17,AY$1,$H$16,$B29)</f>
        <v>*KEY_ERR</v>
      </c>
      <c r="AZ29" s="58" t="str">
        <f ca="1">_xll.DBRW(Server&amp;Cube1,$H$13,$AP$3,$H$15,$H$17,AZ$1,$H$16,$B29)</f>
        <v>*KEY_ERR</v>
      </c>
      <c r="BA29" s="58" t="str">
        <f ca="1">_xll.DBRW(Server&amp;Cube1,$H$13,$AP$3,$H$15,$H$17,BA$1,$H$16,$B29)</f>
        <v>*KEY_ERR</v>
      </c>
      <c r="BB29" s="59" t="str">
        <f ca="1">_xll.DBRW(Server&amp;Cube1,$H$13,$AP$3,$H$15,$H$17,BB$1,$H$16,$B29)</f>
        <v>*KEY_ERR</v>
      </c>
      <c r="BC29" s="187" t="str">
        <f ca="1">_xll.DBRW(Server&amp;Cube1,$H$13,$BC$3,$H$15,$P$1,BC$2,$H$16,$B29)</f>
        <v>*KEY_ERR</v>
      </c>
      <c r="BD29" s="54" t="str">
        <f ca="1">_xll.DBRW(Server&amp;Cube1,$H$13,$BC$3,$H$15,$H$17,BD$1,$H$16,$B29)</f>
        <v>*KEY_ERR</v>
      </c>
      <c r="BE29" s="58" t="str">
        <f ca="1">_xll.DBRW(Server&amp;Cube1,$H$13,$BC$3,$H$15,$H$17,BE$1,$H$16,$B29)</f>
        <v>*KEY_ERR</v>
      </c>
      <c r="BF29" s="58" t="str">
        <f ca="1">_xll.DBRW(Server&amp;Cube1,$H$13,$BC$3,$H$15,$H$17,BF$1,$H$16,$B29)</f>
        <v>*KEY_ERR</v>
      </c>
      <c r="BG29" s="58" t="str">
        <f ca="1">_xll.DBRW(Server&amp;Cube1,$H$13,$BC$3,$H$15,$H$17,BG$1,$H$16,$B29)</f>
        <v>*KEY_ERR</v>
      </c>
      <c r="BH29" s="58" t="str">
        <f ca="1">_xll.DBRW(Server&amp;Cube1,$H$13,$BC$3,$H$15,$H$17,BH$1,$H$16,$B29)</f>
        <v>*KEY_ERR</v>
      </c>
      <c r="BI29" s="58" t="str">
        <f ca="1">_xll.DBRW(Server&amp;Cube1,$H$13,$BC$3,$H$15,$H$17,BI$1,$H$16,$B29)</f>
        <v>*KEY_ERR</v>
      </c>
      <c r="BJ29" s="58" t="str">
        <f ca="1">_xll.DBRW(Server&amp;Cube1,$H$13,$BC$3,$H$15,$H$17,BJ$1,$H$16,$B29)</f>
        <v>*KEY_ERR</v>
      </c>
      <c r="BK29" s="58" t="str">
        <f ca="1">_xll.DBRW(Server&amp;Cube1,$H$13,$BC$3,$H$15,$H$17,BK$1,$H$16,$B29)</f>
        <v>*KEY_ERR</v>
      </c>
      <c r="BL29" s="58" t="str">
        <f ca="1">_xll.DBRW(Server&amp;Cube1,$H$13,$BC$3,$H$15,$H$17,BL$1,$H$16,$B29)</f>
        <v>*KEY_ERR</v>
      </c>
      <c r="BM29" s="58" t="str">
        <f ca="1">_xll.DBRW(Server&amp;Cube1,$H$13,$BC$3,$H$15,$H$17,BM$1,$H$16,$B29)</f>
        <v>*KEY_ERR</v>
      </c>
      <c r="BN29" s="58" t="str">
        <f ca="1">_xll.DBRW(Server&amp;Cube1,$H$13,$BC$3,$H$15,$H$17,BN$1,$H$16,$B29)</f>
        <v>*KEY_ERR</v>
      </c>
      <c r="BO29" s="59" t="str">
        <f ca="1">_xll.DBRW(Server&amp;Cube1,$H$13,$BC$3,$H$15,$H$17,BO$1,$H$16,$B29)</f>
        <v>*KEY_ERR</v>
      </c>
      <c r="BP29" s="31"/>
    </row>
    <row r="30" spans="1:68" ht="21" customHeight="1" x14ac:dyDescent="0.25">
      <c r="A30"/>
      <c r="B30" s="13" t="s">
        <v>24</v>
      </c>
      <c r="C30" s="13"/>
      <c r="D30" s="22"/>
      <c r="E30" s="171"/>
      <c r="F30" s="107"/>
      <c r="G30" s="305" t="str">
        <f ca="1">_xll.DBRA(Server&amp;$B$22,$B30,"French")</f>
        <v>R.R.R. sur prest. de service</v>
      </c>
      <c r="H30" s="305" t="str">
        <f ca="1">_xll.DBRA(Server&amp;$B$22,$B30,"French")</f>
        <v>R.R.R. sur prest. de service</v>
      </c>
      <c r="I30" s="37"/>
      <c r="J30" s="54" t="str">
        <f ca="1">_xll.DBRW(Server&amp;Cube1,$H$13,$H$14,$H$15,$J$1,$J$2,$H$16,$B30)</f>
        <v/>
      </c>
      <c r="K30" s="37"/>
      <c r="L30" s="54" t="str">
        <f ca="1">_xll.DBRW(Server&amp;Cube1,$H$13,$H$14,$H$15,$L$1,$L$2,$H$16,$B30)</f>
        <v/>
      </c>
      <c r="M30" s="55"/>
      <c r="N30" s="54" t="str">
        <f ca="1">_xll.DBRW(Server&amp;Cube1,$H$13,$H$14,$H$15,$P$1,N$2,$H$16,$B30)</f>
        <v>*KEY_ERR</v>
      </c>
      <c r="O30" s="57"/>
      <c r="P30" s="54" t="str">
        <f ca="1">_xll.DBRW(Server&amp;Cube1,$H$13,$P$3,$H$15,$P$1,P$2,$H$16,$B30)</f>
        <v>*KEY_ERR</v>
      </c>
      <c r="Q30" s="54" t="str">
        <f ca="1">_xll.DBRW(Server&amp;Cube1,$H$13,$P$3,$H$15,$H$17,Q$1,$H$16,$B30)</f>
        <v>*KEY_ERR</v>
      </c>
      <c r="R30" s="58" t="str">
        <f ca="1">_xll.DBRW(Server&amp;Cube1,$H$13,$P$3,$H$15,$H$17,R$1,$H$16,$B30)</f>
        <v>*KEY_ERR</v>
      </c>
      <c r="S30" s="58" t="str">
        <f ca="1">_xll.DBRW(Server&amp;Cube1,$H$13,$P$3,$H$15,$H$17,S$1,$H$16,$B30)</f>
        <v>*KEY_ERR</v>
      </c>
      <c r="T30" s="58" t="str">
        <f ca="1">_xll.DBRW(Server&amp;Cube1,$H$13,$P$3,$H$15,$H$17,T$1,$H$16,$B30)</f>
        <v>*KEY_ERR</v>
      </c>
      <c r="U30" s="58" t="str">
        <f ca="1">_xll.DBRW(Server&amp;Cube1,$H$13,$P$3,$H$15,$H$17,U$1,$H$16,$B30)</f>
        <v>*KEY_ERR</v>
      </c>
      <c r="V30" s="58" t="str">
        <f ca="1">_xll.DBRW(Server&amp;Cube1,$H$13,$P$3,$H$15,$H$17,V$1,$H$16,$B30)</f>
        <v>*KEY_ERR</v>
      </c>
      <c r="W30" s="58" t="str">
        <f ca="1">_xll.DBRW(Server&amp;Cube1,$H$13,$P$3,$H$15,$H$17,W$1,$H$16,$B30)</f>
        <v>*KEY_ERR</v>
      </c>
      <c r="X30" s="58" t="str">
        <f ca="1">_xll.DBRW(Server&amp;Cube1,$H$13,$P$3,$H$15,$H$17,X$1,$H$16,$B30)</f>
        <v>*KEY_ERR</v>
      </c>
      <c r="Y30" s="58" t="str">
        <f ca="1">_xll.DBRW(Server&amp;Cube1,$H$13,$P$3,$H$15,$H$17,Y$1,$H$16,$B30)</f>
        <v>*KEY_ERR</v>
      </c>
      <c r="Z30" s="58" t="str">
        <f ca="1">_xll.DBRW(Server&amp;Cube1,$H$13,$P$3,$H$15,$H$17,Z$1,$H$16,$B30)</f>
        <v>*KEY_ERR</v>
      </c>
      <c r="AA30" s="58" t="str">
        <f ca="1">_xll.DBRW(Server&amp;Cube1,$H$13,$P$3,$H$15,$H$17,AA$1,$H$16,$B30)</f>
        <v>*KEY_ERR</v>
      </c>
      <c r="AB30" s="59" t="str">
        <f ca="1">_xll.DBRW(Server&amp;Cube1,$H$13,$P$3,$H$15,$H$17,AB$1,$H$16,$B30)</f>
        <v>*KEY_ERR</v>
      </c>
      <c r="AC30" s="187" t="str">
        <f ca="1">_xll.DBRW(Server&amp;Cube1,$H$13,$AC$3,$H$15,$P$1,AC$2,$H$16,$B30)</f>
        <v>*KEY_ERR</v>
      </c>
      <c r="AD30" s="54" t="str">
        <f ca="1">_xll.DBRW(Server&amp;Cube1,$H$13,$AC$3,$H$15,$H$17,AD$1,$H$16,$B30)</f>
        <v>*KEY_ERR</v>
      </c>
      <c r="AE30" s="58" t="str">
        <f ca="1">_xll.DBRW(Server&amp;Cube1,$H$13,$AC$3,$H$15,$H$17,AE$1,$H$16,$B30)</f>
        <v>*KEY_ERR</v>
      </c>
      <c r="AF30" s="58" t="str">
        <f ca="1">_xll.DBRW(Server&amp;Cube1,$H$13,$AC$3,$H$15,$H$17,AF$1,$H$16,$B30)</f>
        <v>*KEY_ERR</v>
      </c>
      <c r="AG30" s="58" t="str">
        <f ca="1">_xll.DBRW(Server&amp;Cube1,$H$13,$AC$3,$H$15,$H$17,AG$1,$H$16,$B30)</f>
        <v>*KEY_ERR</v>
      </c>
      <c r="AH30" s="58" t="str">
        <f ca="1">_xll.DBRW(Server&amp;Cube1,$H$13,$AC$3,$H$15,$H$17,AH$1,$H$16,$B30)</f>
        <v>*KEY_ERR</v>
      </c>
      <c r="AI30" s="58" t="str">
        <f ca="1">_xll.DBRW(Server&amp;Cube1,$H$13,$AC$3,$H$15,$H$17,AI$1,$H$16,$B30)</f>
        <v>*KEY_ERR</v>
      </c>
      <c r="AJ30" s="58" t="str">
        <f ca="1">_xll.DBRW(Server&amp;Cube1,$H$13,$AC$3,$H$15,$H$17,AJ$1,$H$16,$B30)</f>
        <v>*KEY_ERR</v>
      </c>
      <c r="AK30" s="58" t="str">
        <f ca="1">_xll.DBRW(Server&amp;Cube1,$H$13,$AC$3,$H$15,$H$17,AK$1,$H$16,$B30)</f>
        <v>*KEY_ERR</v>
      </c>
      <c r="AL30" s="58" t="str">
        <f ca="1">_xll.DBRW(Server&amp;Cube1,$H$13,$AC$3,$H$15,$H$17,AL$1,$H$16,$B30)</f>
        <v>*KEY_ERR</v>
      </c>
      <c r="AM30" s="58" t="str">
        <f ca="1">_xll.DBRW(Server&amp;Cube1,$H$13,$AC$3,$H$15,$H$17,AM$1,$H$16,$B30)</f>
        <v>*KEY_ERR</v>
      </c>
      <c r="AN30" s="58" t="str">
        <f ca="1">_xll.DBRW(Server&amp;Cube1,$H$13,$AC$3,$H$15,$H$17,AN$1,$H$16,$B30)</f>
        <v>*KEY_ERR</v>
      </c>
      <c r="AO30" s="59" t="str">
        <f ca="1">_xll.DBRW(Server&amp;Cube1,$H$13,$AC$3,$H$15,$H$17,AO$1,$H$16,$B30)</f>
        <v>*KEY_ERR</v>
      </c>
      <c r="AP30" s="187" t="str">
        <f ca="1">_xll.DBRW(Server&amp;Cube1,$H$13,$AP$3,$H$15,$P$1,AP$2,$H$16,$B30)</f>
        <v>*KEY_ERR</v>
      </c>
      <c r="AQ30" s="54" t="str">
        <f ca="1">_xll.DBRW(Server&amp;Cube1,$H$13,$AP$3,$H$15,$H$17,AQ$1,$H$16,$B30)</f>
        <v>*KEY_ERR</v>
      </c>
      <c r="AR30" s="58" t="str">
        <f ca="1">_xll.DBRW(Server&amp;Cube1,$H$13,$AP$3,$H$15,$H$17,AR$1,$H$16,$B30)</f>
        <v>*KEY_ERR</v>
      </c>
      <c r="AS30" s="58" t="str">
        <f ca="1">_xll.DBRW(Server&amp;Cube1,$H$13,$AP$3,$H$15,$H$17,AS$1,$H$16,$B30)</f>
        <v>*KEY_ERR</v>
      </c>
      <c r="AT30" s="58" t="str">
        <f ca="1">_xll.DBRW(Server&amp;Cube1,$H$13,$AP$3,$H$15,$H$17,AT$1,$H$16,$B30)</f>
        <v>*KEY_ERR</v>
      </c>
      <c r="AU30" s="58" t="str">
        <f ca="1">_xll.DBRW(Server&amp;Cube1,$H$13,$AP$3,$H$15,$H$17,AU$1,$H$16,$B30)</f>
        <v>*KEY_ERR</v>
      </c>
      <c r="AV30" s="58" t="str">
        <f ca="1">_xll.DBRW(Server&amp;Cube1,$H$13,$AP$3,$H$15,$H$17,AV$1,$H$16,$B30)</f>
        <v>*KEY_ERR</v>
      </c>
      <c r="AW30" s="58" t="str">
        <f ca="1">_xll.DBRW(Server&amp;Cube1,$H$13,$AP$3,$H$15,$H$17,AW$1,$H$16,$B30)</f>
        <v>*KEY_ERR</v>
      </c>
      <c r="AX30" s="58" t="str">
        <f ca="1">_xll.DBRW(Server&amp;Cube1,$H$13,$AP$3,$H$15,$H$17,AX$1,$H$16,$B30)</f>
        <v>*KEY_ERR</v>
      </c>
      <c r="AY30" s="58" t="str">
        <f ca="1">_xll.DBRW(Server&amp;Cube1,$H$13,$AP$3,$H$15,$H$17,AY$1,$H$16,$B30)</f>
        <v>*KEY_ERR</v>
      </c>
      <c r="AZ30" s="58" t="str">
        <f ca="1">_xll.DBRW(Server&amp;Cube1,$H$13,$AP$3,$H$15,$H$17,AZ$1,$H$16,$B30)</f>
        <v>*KEY_ERR</v>
      </c>
      <c r="BA30" s="58" t="str">
        <f ca="1">_xll.DBRW(Server&amp;Cube1,$H$13,$AP$3,$H$15,$H$17,BA$1,$H$16,$B30)</f>
        <v>*KEY_ERR</v>
      </c>
      <c r="BB30" s="59" t="str">
        <f ca="1">_xll.DBRW(Server&amp;Cube1,$H$13,$AP$3,$H$15,$H$17,BB$1,$H$16,$B30)</f>
        <v>*KEY_ERR</v>
      </c>
      <c r="BC30" s="187" t="str">
        <f ca="1">_xll.DBRW(Server&amp;Cube1,$H$13,$BC$3,$H$15,$P$1,BC$2,$H$16,$B30)</f>
        <v>*KEY_ERR</v>
      </c>
      <c r="BD30" s="54" t="str">
        <f ca="1">_xll.DBRW(Server&amp;Cube1,$H$13,$BC$3,$H$15,$H$17,BD$1,$H$16,$B30)</f>
        <v>*KEY_ERR</v>
      </c>
      <c r="BE30" s="58" t="str">
        <f ca="1">_xll.DBRW(Server&amp;Cube1,$H$13,$BC$3,$H$15,$H$17,BE$1,$H$16,$B30)</f>
        <v>*KEY_ERR</v>
      </c>
      <c r="BF30" s="58" t="str">
        <f ca="1">_xll.DBRW(Server&amp;Cube1,$H$13,$BC$3,$H$15,$H$17,BF$1,$H$16,$B30)</f>
        <v>*KEY_ERR</v>
      </c>
      <c r="BG30" s="58" t="str">
        <f ca="1">_xll.DBRW(Server&amp;Cube1,$H$13,$BC$3,$H$15,$H$17,BG$1,$H$16,$B30)</f>
        <v>*KEY_ERR</v>
      </c>
      <c r="BH30" s="58" t="str">
        <f ca="1">_xll.DBRW(Server&amp;Cube1,$H$13,$BC$3,$H$15,$H$17,BH$1,$H$16,$B30)</f>
        <v>*KEY_ERR</v>
      </c>
      <c r="BI30" s="58" t="str">
        <f ca="1">_xll.DBRW(Server&amp;Cube1,$H$13,$BC$3,$H$15,$H$17,BI$1,$H$16,$B30)</f>
        <v>*KEY_ERR</v>
      </c>
      <c r="BJ30" s="58" t="str">
        <f ca="1">_xll.DBRW(Server&amp;Cube1,$H$13,$BC$3,$H$15,$H$17,BJ$1,$H$16,$B30)</f>
        <v>*KEY_ERR</v>
      </c>
      <c r="BK30" s="58" t="str">
        <f ca="1">_xll.DBRW(Server&amp;Cube1,$H$13,$BC$3,$H$15,$H$17,BK$1,$H$16,$B30)</f>
        <v>*KEY_ERR</v>
      </c>
      <c r="BL30" s="58" t="str">
        <f ca="1">_xll.DBRW(Server&amp;Cube1,$H$13,$BC$3,$H$15,$H$17,BL$1,$H$16,$B30)</f>
        <v>*KEY_ERR</v>
      </c>
      <c r="BM30" s="58" t="str">
        <f ca="1">_xll.DBRW(Server&amp;Cube1,$H$13,$BC$3,$H$15,$H$17,BM$1,$H$16,$B30)</f>
        <v>*KEY_ERR</v>
      </c>
      <c r="BN30" s="58" t="str">
        <f ca="1">_xll.DBRW(Server&amp;Cube1,$H$13,$BC$3,$H$15,$H$17,BN$1,$H$16,$B30)</f>
        <v>*KEY_ERR</v>
      </c>
      <c r="BO30" s="59" t="str">
        <f ca="1">_xll.DBRW(Server&amp;Cube1,$H$13,$BC$3,$H$15,$H$17,BO$1,$H$16,$B30)</f>
        <v>*KEY_ERR</v>
      </c>
      <c r="BP30" s="31"/>
    </row>
    <row r="31" spans="1:68" ht="3" customHeight="1" x14ac:dyDescent="0.25">
      <c r="A31"/>
      <c r="B31" s="11"/>
      <c r="C31" s="11"/>
      <c r="D31" s="20"/>
      <c r="E31" s="170"/>
      <c r="F31" s="106"/>
      <c r="G31" s="43"/>
      <c r="H31" s="43"/>
      <c r="I31" s="38"/>
      <c r="J31" s="62"/>
      <c r="K31" s="38"/>
      <c r="L31" s="62"/>
      <c r="M31" s="63"/>
      <c r="N31" s="62"/>
      <c r="O31" s="64"/>
      <c r="P31" s="62"/>
      <c r="Q31" s="62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6"/>
      <c r="AC31" s="186"/>
      <c r="AD31" s="62"/>
      <c r="AE31" s="65"/>
      <c r="AF31" s="65"/>
      <c r="AG31" s="65"/>
      <c r="AH31" s="65"/>
      <c r="AI31" s="65"/>
      <c r="AJ31" s="65"/>
      <c r="AK31" s="65"/>
      <c r="AL31" s="65"/>
      <c r="AM31" s="65"/>
      <c r="AN31" s="65"/>
      <c r="AO31" s="66"/>
      <c r="AP31" s="186"/>
      <c r="AQ31" s="62"/>
      <c r="AR31" s="65"/>
      <c r="AS31" s="65"/>
      <c r="AT31" s="65"/>
      <c r="AU31" s="65"/>
      <c r="AV31" s="65"/>
      <c r="AW31" s="65"/>
      <c r="AX31" s="65"/>
      <c r="AY31" s="65"/>
      <c r="AZ31" s="65"/>
      <c r="BA31" s="65"/>
      <c r="BB31" s="66"/>
      <c r="BC31" s="186"/>
      <c r="BD31" s="62"/>
      <c r="BE31" s="65"/>
      <c r="BF31" s="65"/>
      <c r="BG31" s="65"/>
      <c r="BH31" s="65"/>
      <c r="BI31" s="65"/>
      <c r="BJ31" s="65"/>
      <c r="BK31" s="65"/>
      <c r="BL31" s="65"/>
      <c r="BM31" s="65"/>
      <c r="BN31" s="65"/>
      <c r="BO31" s="66"/>
      <c r="BP31" s="31"/>
    </row>
    <row r="32" spans="1:68" ht="21" customHeight="1" x14ac:dyDescent="0.25">
      <c r="A32"/>
      <c r="B32" s="12" t="s">
        <v>87</v>
      </c>
      <c r="C32" s="12"/>
      <c r="D32" s="21"/>
      <c r="E32" s="169"/>
      <c r="F32" s="105"/>
      <c r="G32" s="306" t="str">
        <f ca="1">_xll.DBRA(Server&amp;$B$22,$B32,"French")</f>
        <v>Autres produits des opérations courantes</v>
      </c>
      <c r="H32" s="306" t="str">
        <f ca="1">_xll.DBRA(Server&amp;$B$22,$B32,"French")</f>
        <v>Autres produits des opérations courantes</v>
      </c>
      <c r="I32" s="39"/>
      <c r="J32" s="67" t="str">
        <f ca="1">_xll.DBRW(Server&amp;Cube1,$H$13,$H$14,$H$15,$J$1,$J$2,$H$16,$B32)</f>
        <v/>
      </c>
      <c r="K32" s="39"/>
      <c r="L32" s="67" t="str">
        <f ca="1">_xll.DBRW(Server&amp;Cube1,$H$13,$H$14,$H$15,$L$1,$L$2,$H$16,$B32)</f>
        <v/>
      </c>
      <c r="M32" s="68"/>
      <c r="N32" s="67" t="str">
        <f ca="1">_xll.DBRW(Server&amp;Cube1,$H$13,$H$14,$H$15,$P$1,N$2,$H$16,$B32)</f>
        <v>*KEY_ERR</v>
      </c>
      <c r="O32" s="69"/>
      <c r="P32" s="67" t="str">
        <f ca="1">_xll.DBRW(Server&amp;Cube1,$H$13,$P$3,$H$15,$P$1,P$2,$H$16,$B32)</f>
        <v>*KEY_ERR</v>
      </c>
      <c r="Q32" s="67" t="str">
        <f ca="1">_xll.DBRW(Server&amp;Cube1,$H$13,$P$3,$H$15,$H$17,Q$1,$H$16,$B32)</f>
        <v>*KEY_ERR</v>
      </c>
      <c r="R32" s="70" t="str">
        <f ca="1">_xll.DBRW(Server&amp;Cube1,$H$13,$P$3,$H$15,$H$17,R$1,$H$16,$B32)</f>
        <v>*KEY_ERR</v>
      </c>
      <c r="S32" s="70" t="str">
        <f ca="1">_xll.DBRW(Server&amp;Cube1,$H$13,$P$3,$H$15,$H$17,S$1,$H$16,$B32)</f>
        <v>*KEY_ERR</v>
      </c>
      <c r="T32" s="70" t="str">
        <f ca="1">_xll.DBRW(Server&amp;Cube1,$H$13,$P$3,$H$15,$H$17,T$1,$H$16,$B32)</f>
        <v>*KEY_ERR</v>
      </c>
      <c r="U32" s="70" t="str">
        <f ca="1">_xll.DBRW(Server&amp;Cube1,$H$13,$P$3,$H$15,$H$17,U$1,$H$16,$B32)</f>
        <v>*KEY_ERR</v>
      </c>
      <c r="V32" s="70" t="str">
        <f ca="1">_xll.DBRW(Server&amp;Cube1,$H$13,$P$3,$H$15,$H$17,V$1,$H$16,$B32)</f>
        <v>*KEY_ERR</v>
      </c>
      <c r="W32" s="70" t="str">
        <f ca="1">_xll.DBRW(Server&amp;Cube1,$H$13,$P$3,$H$15,$H$17,W$1,$H$16,$B32)</f>
        <v>*KEY_ERR</v>
      </c>
      <c r="X32" s="70" t="str">
        <f ca="1">_xll.DBRW(Server&amp;Cube1,$H$13,$P$3,$H$15,$H$17,X$1,$H$16,$B32)</f>
        <v>*KEY_ERR</v>
      </c>
      <c r="Y32" s="70" t="str">
        <f ca="1">_xll.DBRW(Server&amp;Cube1,$H$13,$P$3,$H$15,$H$17,Y$1,$H$16,$B32)</f>
        <v>*KEY_ERR</v>
      </c>
      <c r="Z32" s="70" t="str">
        <f ca="1">_xll.DBRW(Server&amp;Cube1,$H$13,$P$3,$H$15,$H$17,Z$1,$H$16,$B32)</f>
        <v>*KEY_ERR</v>
      </c>
      <c r="AA32" s="70" t="str">
        <f ca="1">_xll.DBRW(Server&amp;Cube1,$H$13,$P$3,$H$15,$H$17,AA$1,$H$16,$B32)</f>
        <v>*KEY_ERR</v>
      </c>
      <c r="AB32" s="71" t="str">
        <f ca="1">_xll.DBRW(Server&amp;Cube1,$H$13,$P$3,$H$15,$H$17,AB$1,$H$16,$B32)</f>
        <v>*KEY_ERR</v>
      </c>
      <c r="AC32" s="185" t="str">
        <f ca="1">_xll.DBRW(Server&amp;Cube1,$H$13,$AC$3,$H$15,$P$1,AC$2,$H$16,$B32)</f>
        <v>*KEY_ERR</v>
      </c>
      <c r="AD32" s="67" t="str">
        <f ca="1">_xll.DBRW(Server&amp;Cube1,$H$13,$AC$3,$H$15,$H$17,AD$1,$H$16,$B32)</f>
        <v>*KEY_ERR</v>
      </c>
      <c r="AE32" s="70" t="str">
        <f ca="1">_xll.DBRW(Server&amp;Cube1,$H$13,$AC$3,$H$15,$H$17,AE$1,$H$16,$B32)</f>
        <v>*KEY_ERR</v>
      </c>
      <c r="AF32" s="70" t="str">
        <f ca="1">_xll.DBRW(Server&amp;Cube1,$H$13,$AC$3,$H$15,$H$17,AF$1,$H$16,$B32)</f>
        <v>*KEY_ERR</v>
      </c>
      <c r="AG32" s="70" t="str">
        <f ca="1">_xll.DBRW(Server&amp;Cube1,$H$13,$AC$3,$H$15,$H$17,AG$1,$H$16,$B32)</f>
        <v>*KEY_ERR</v>
      </c>
      <c r="AH32" s="70" t="str">
        <f ca="1">_xll.DBRW(Server&amp;Cube1,$H$13,$AC$3,$H$15,$H$17,AH$1,$H$16,$B32)</f>
        <v>*KEY_ERR</v>
      </c>
      <c r="AI32" s="70" t="str">
        <f ca="1">_xll.DBRW(Server&amp;Cube1,$H$13,$AC$3,$H$15,$H$17,AI$1,$H$16,$B32)</f>
        <v>*KEY_ERR</v>
      </c>
      <c r="AJ32" s="70" t="str">
        <f ca="1">_xll.DBRW(Server&amp;Cube1,$H$13,$AC$3,$H$15,$H$17,AJ$1,$H$16,$B32)</f>
        <v>*KEY_ERR</v>
      </c>
      <c r="AK32" s="70" t="str">
        <f ca="1">_xll.DBRW(Server&amp;Cube1,$H$13,$AC$3,$H$15,$H$17,AK$1,$H$16,$B32)</f>
        <v>*KEY_ERR</v>
      </c>
      <c r="AL32" s="70" t="str">
        <f ca="1">_xll.DBRW(Server&amp;Cube1,$H$13,$AC$3,$H$15,$H$17,AL$1,$H$16,$B32)</f>
        <v>*KEY_ERR</v>
      </c>
      <c r="AM32" s="70" t="str">
        <f ca="1">_xll.DBRW(Server&amp;Cube1,$H$13,$AC$3,$H$15,$H$17,AM$1,$H$16,$B32)</f>
        <v>*KEY_ERR</v>
      </c>
      <c r="AN32" s="70" t="str">
        <f ca="1">_xll.DBRW(Server&amp;Cube1,$H$13,$AC$3,$H$15,$H$17,AN$1,$H$16,$B32)</f>
        <v>*KEY_ERR</v>
      </c>
      <c r="AO32" s="71" t="str">
        <f ca="1">_xll.DBRW(Server&amp;Cube1,$H$13,$AC$3,$H$15,$H$17,AO$1,$H$16,$B32)</f>
        <v>*KEY_ERR</v>
      </c>
      <c r="AP32" s="185" t="str">
        <f ca="1">_xll.DBRW(Server&amp;Cube1,$H$13,$AP$3,$H$15,$P$1,AP$2,$H$16,$B32)</f>
        <v>*KEY_ERR</v>
      </c>
      <c r="AQ32" s="67" t="str">
        <f ca="1">_xll.DBRW(Server&amp;Cube1,$H$13,$AP$3,$H$15,$H$17,AQ$1,$H$16,$B32)</f>
        <v>*KEY_ERR</v>
      </c>
      <c r="AR32" s="70" t="str">
        <f ca="1">_xll.DBRW(Server&amp;Cube1,$H$13,$AP$3,$H$15,$H$17,AR$1,$H$16,$B32)</f>
        <v>*KEY_ERR</v>
      </c>
      <c r="AS32" s="70" t="str">
        <f ca="1">_xll.DBRW(Server&amp;Cube1,$H$13,$AP$3,$H$15,$H$17,AS$1,$H$16,$B32)</f>
        <v>*KEY_ERR</v>
      </c>
      <c r="AT32" s="70" t="str">
        <f ca="1">_xll.DBRW(Server&amp;Cube1,$H$13,$AP$3,$H$15,$H$17,AT$1,$H$16,$B32)</f>
        <v>*KEY_ERR</v>
      </c>
      <c r="AU32" s="70" t="str">
        <f ca="1">_xll.DBRW(Server&amp;Cube1,$H$13,$AP$3,$H$15,$H$17,AU$1,$H$16,$B32)</f>
        <v>*KEY_ERR</v>
      </c>
      <c r="AV32" s="70" t="str">
        <f ca="1">_xll.DBRW(Server&amp;Cube1,$H$13,$AP$3,$H$15,$H$17,AV$1,$H$16,$B32)</f>
        <v>*KEY_ERR</v>
      </c>
      <c r="AW32" s="70" t="str">
        <f ca="1">_xll.DBRW(Server&amp;Cube1,$H$13,$AP$3,$H$15,$H$17,AW$1,$H$16,$B32)</f>
        <v>*KEY_ERR</v>
      </c>
      <c r="AX32" s="70" t="str">
        <f ca="1">_xll.DBRW(Server&amp;Cube1,$H$13,$AP$3,$H$15,$H$17,AX$1,$H$16,$B32)</f>
        <v>*KEY_ERR</v>
      </c>
      <c r="AY32" s="70" t="str">
        <f ca="1">_xll.DBRW(Server&amp;Cube1,$H$13,$AP$3,$H$15,$H$17,AY$1,$H$16,$B32)</f>
        <v>*KEY_ERR</v>
      </c>
      <c r="AZ32" s="70" t="str">
        <f ca="1">_xll.DBRW(Server&amp;Cube1,$H$13,$AP$3,$H$15,$H$17,AZ$1,$H$16,$B32)</f>
        <v>*KEY_ERR</v>
      </c>
      <c r="BA32" s="70" t="str">
        <f ca="1">_xll.DBRW(Server&amp;Cube1,$H$13,$AP$3,$H$15,$H$17,BA$1,$H$16,$B32)</f>
        <v>*KEY_ERR</v>
      </c>
      <c r="BB32" s="71" t="str">
        <f ca="1">_xll.DBRW(Server&amp;Cube1,$H$13,$AP$3,$H$15,$H$17,BB$1,$H$16,$B32)</f>
        <v>*KEY_ERR</v>
      </c>
      <c r="BC32" s="185" t="str">
        <f ca="1">_xll.DBRW(Server&amp;Cube1,$H$13,$BC$3,$H$15,$P$1,BC$2,$H$16,$B32)</f>
        <v>*KEY_ERR</v>
      </c>
      <c r="BD32" s="67" t="str">
        <f ca="1">_xll.DBRW(Server&amp;Cube1,$H$13,$BC$3,$H$15,$H$17,BD$1,$H$16,$B32)</f>
        <v>*KEY_ERR</v>
      </c>
      <c r="BE32" s="70" t="str">
        <f ca="1">_xll.DBRW(Server&amp;Cube1,$H$13,$BC$3,$H$15,$H$17,BE$1,$H$16,$B32)</f>
        <v>*KEY_ERR</v>
      </c>
      <c r="BF32" s="70" t="str">
        <f ca="1">_xll.DBRW(Server&amp;Cube1,$H$13,$BC$3,$H$15,$H$17,BF$1,$H$16,$B32)</f>
        <v>*KEY_ERR</v>
      </c>
      <c r="BG32" s="70" t="str">
        <f ca="1">_xll.DBRW(Server&amp;Cube1,$H$13,$BC$3,$H$15,$H$17,BG$1,$H$16,$B32)</f>
        <v>*KEY_ERR</v>
      </c>
      <c r="BH32" s="70" t="str">
        <f ca="1">_xll.DBRW(Server&amp;Cube1,$H$13,$BC$3,$H$15,$H$17,BH$1,$H$16,$B32)</f>
        <v>*KEY_ERR</v>
      </c>
      <c r="BI32" s="70" t="str">
        <f ca="1">_xll.DBRW(Server&amp;Cube1,$H$13,$BC$3,$H$15,$H$17,BI$1,$H$16,$B32)</f>
        <v>*KEY_ERR</v>
      </c>
      <c r="BJ32" s="70" t="str">
        <f ca="1">_xll.DBRW(Server&amp;Cube1,$H$13,$BC$3,$H$15,$H$17,BJ$1,$H$16,$B32)</f>
        <v>*KEY_ERR</v>
      </c>
      <c r="BK32" s="70" t="str">
        <f ca="1">_xll.DBRW(Server&amp;Cube1,$H$13,$BC$3,$H$15,$H$17,BK$1,$H$16,$B32)</f>
        <v>*KEY_ERR</v>
      </c>
      <c r="BL32" s="70" t="str">
        <f ca="1">_xll.DBRW(Server&amp;Cube1,$H$13,$BC$3,$H$15,$H$17,BL$1,$H$16,$B32)</f>
        <v>*KEY_ERR</v>
      </c>
      <c r="BM32" s="70" t="str">
        <f ca="1">_xll.DBRW(Server&amp;Cube1,$H$13,$BC$3,$H$15,$H$17,BM$1,$H$16,$B32)</f>
        <v>*KEY_ERR</v>
      </c>
      <c r="BN32" s="70" t="str">
        <f ca="1">_xll.DBRW(Server&amp;Cube1,$H$13,$BC$3,$H$15,$H$17,BN$1,$H$16,$B32)</f>
        <v>*KEY_ERR</v>
      </c>
      <c r="BO32" s="71" t="str">
        <f ca="1">_xll.DBRW(Server&amp;Cube1,$H$13,$BC$3,$H$15,$H$17,BO$1,$H$16,$B32)</f>
        <v>*KEY_ERR</v>
      </c>
      <c r="BP32" s="31"/>
    </row>
    <row r="33" spans="1:68" ht="21" customHeight="1" x14ac:dyDescent="0.25">
      <c r="A33"/>
      <c r="B33" s="13" t="s">
        <v>70</v>
      </c>
      <c r="C33" s="12"/>
      <c r="D33" s="22"/>
      <c r="E33" s="171"/>
      <c r="F33" s="107"/>
      <c r="G33" s="305" t="str">
        <f ca="1">_xll.DBRA(Server&amp;$B$22,$B33,"French")</f>
        <v>Cartes CQC (produit)</v>
      </c>
      <c r="H33" s="305" t="str">
        <f ca="1">_xll.DBRA(Server&amp;$B$22,$B33,"French")</f>
        <v>Cartes CQC (produit)</v>
      </c>
      <c r="I33" s="37"/>
      <c r="J33" s="54" t="str">
        <f ca="1">_xll.DBRW(Server&amp;Cube1,$H$13,$H$14,$H$15,$J$1,$J$2,$H$16,$B33)</f>
        <v/>
      </c>
      <c r="K33" s="37"/>
      <c r="L33" s="54" t="str">
        <f ca="1">_xll.DBRW(Server&amp;Cube1,$H$13,$H$14,$H$15,$L$1,$L$2,$H$16,$B33)</f>
        <v/>
      </c>
      <c r="M33" s="55"/>
      <c r="N33" s="54" t="str">
        <f ca="1">_xll.DBRW(Server&amp;Cube1,$H$13,$H$14,$H$15,$P$1,N$2,$H$16,$B33)</f>
        <v>*KEY_ERR</v>
      </c>
      <c r="O33" s="57"/>
      <c r="P33" s="54" t="str">
        <f ca="1">_xll.DBRW(Server&amp;Cube1,$H$13,$P$3,$H$15,$P$1,P$2,$H$16,$B33)</f>
        <v>*KEY_ERR</v>
      </c>
      <c r="Q33" s="54" t="str">
        <f ca="1">_xll.DBRW(Server&amp;Cube1,$H$13,$P$3,$H$15,$H$17,Q$1,$H$16,$B33)</f>
        <v>*KEY_ERR</v>
      </c>
      <c r="R33" s="58" t="str">
        <f ca="1">_xll.DBRW(Server&amp;Cube1,$H$13,$P$3,$H$15,$H$17,R$1,$H$16,$B33)</f>
        <v>*KEY_ERR</v>
      </c>
      <c r="S33" s="58" t="str">
        <f ca="1">_xll.DBRW(Server&amp;Cube1,$H$13,$P$3,$H$15,$H$17,S$1,$H$16,$B33)</f>
        <v>*KEY_ERR</v>
      </c>
      <c r="T33" s="58" t="str">
        <f ca="1">_xll.DBRW(Server&amp;Cube1,$H$13,$P$3,$H$15,$H$17,T$1,$H$16,$B33)</f>
        <v>*KEY_ERR</v>
      </c>
      <c r="U33" s="58" t="str">
        <f ca="1">_xll.DBRW(Server&amp;Cube1,$H$13,$P$3,$H$15,$H$17,U$1,$H$16,$B33)</f>
        <v>*KEY_ERR</v>
      </c>
      <c r="V33" s="58" t="str">
        <f ca="1">_xll.DBRW(Server&amp;Cube1,$H$13,$P$3,$H$15,$H$17,V$1,$H$16,$B33)</f>
        <v>*KEY_ERR</v>
      </c>
      <c r="W33" s="58" t="str">
        <f ca="1">_xll.DBRW(Server&amp;Cube1,$H$13,$P$3,$H$15,$H$17,W$1,$H$16,$B33)</f>
        <v>*KEY_ERR</v>
      </c>
      <c r="X33" s="58" t="str">
        <f ca="1">_xll.DBRW(Server&amp;Cube1,$H$13,$P$3,$H$15,$H$17,X$1,$H$16,$B33)</f>
        <v>*KEY_ERR</v>
      </c>
      <c r="Y33" s="58" t="str">
        <f ca="1">_xll.DBRW(Server&amp;Cube1,$H$13,$P$3,$H$15,$H$17,Y$1,$H$16,$B33)</f>
        <v>*KEY_ERR</v>
      </c>
      <c r="Z33" s="58" t="str">
        <f ca="1">_xll.DBRW(Server&amp;Cube1,$H$13,$P$3,$H$15,$H$17,Z$1,$H$16,$B33)</f>
        <v>*KEY_ERR</v>
      </c>
      <c r="AA33" s="58" t="str">
        <f ca="1">_xll.DBRW(Server&amp;Cube1,$H$13,$P$3,$H$15,$H$17,AA$1,$H$16,$B33)</f>
        <v>*KEY_ERR</v>
      </c>
      <c r="AB33" s="59" t="str">
        <f ca="1">_xll.DBRW(Server&amp;Cube1,$H$13,$P$3,$H$15,$H$17,AB$1,$H$16,$B33)</f>
        <v>*KEY_ERR</v>
      </c>
      <c r="AC33" s="187" t="str">
        <f ca="1">_xll.DBRW(Server&amp;Cube1,$H$13,$AC$3,$H$15,$P$1,AC$2,$H$16,$B33)</f>
        <v>*KEY_ERR</v>
      </c>
      <c r="AD33" s="54" t="str">
        <f ca="1">_xll.DBRW(Server&amp;Cube1,$H$13,$AC$3,$H$15,$H$17,AD$1,$H$16,$B33)</f>
        <v>*KEY_ERR</v>
      </c>
      <c r="AE33" s="58" t="str">
        <f ca="1">_xll.DBRW(Server&amp;Cube1,$H$13,$AC$3,$H$15,$H$17,AE$1,$H$16,$B33)</f>
        <v>*KEY_ERR</v>
      </c>
      <c r="AF33" s="58" t="str">
        <f ca="1">_xll.DBRW(Server&amp;Cube1,$H$13,$AC$3,$H$15,$H$17,AF$1,$H$16,$B33)</f>
        <v>*KEY_ERR</v>
      </c>
      <c r="AG33" s="58" t="str">
        <f ca="1">_xll.DBRW(Server&amp;Cube1,$H$13,$AC$3,$H$15,$H$17,AG$1,$H$16,$B33)</f>
        <v>*KEY_ERR</v>
      </c>
      <c r="AH33" s="58" t="str">
        <f ca="1">_xll.DBRW(Server&amp;Cube1,$H$13,$AC$3,$H$15,$H$17,AH$1,$H$16,$B33)</f>
        <v>*KEY_ERR</v>
      </c>
      <c r="AI33" s="58" t="str">
        <f ca="1">_xll.DBRW(Server&amp;Cube1,$H$13,$AC$3,$H$15,$H$17,AI$1,$H$16,$B33)</f>
        <v>*KEY_ERR</v>
      </c>
      <c r="AJ33" s="58" t="str">
        <f ca="1">_xll.DBRW(Server&amp;Cube1,$H$13,$AC$3,$H$15,$H$17,AJ$1,$H$16,$B33)</f>
        <v>*KEY_ERR</v>
      </c>
      <c r="AK33" s="58" t="str">
        <f ca="1">_xll.DBRW(Server&amp;Cube1,$H$13,$AC$3,$H$15,$H$17,AK$1,$H$16,$B33)</f>
        <v>*KEY_ERR</v>
      </c>
      <c r="AL33" s="58" t="str">
        <f ca="1">_xll.DBRW(Server&amp;Cube1,$H$13,$AC$3,$H$15,$H$17,AL$1,$H$16,$B33)</f>
        <v>*KEY_ERR</v>
      </c>
      <c r="AM33" s="58" t="str">
        <f ca="1">_xll.DBRW(Server&amp;Cube1,$H$13,$AC$3,$H$15,$H$17,AM$1,$H$16,$B33)</f>
        <v>*KEY_ERR</v>
      </c>
      <c r="AN33" s="58" t="str">
        <f ca="1">_xll.DBRW(Server&amp;Cube1,$H$13,$AC$3,$H$15,$H$17,AN$1,$H$16,$B33)</f>
        <v>*KEY_ERR</v>
      </c>
      <c r="AO33" s="59" t="str">
        <f ca="1">_xll.DBRW(Server&amp;Cube1,$H$13,$AC$3,$H$15,$H$17,AO$1,$H$16,$B33)</f>
        <v>*KEY_ERR</v>
      </c>
      <c r="AP33" s="187" t="str">
        <f ca="1">_xll.DBRW(Server&amp;Cube1,$H$13,$AP$3,$H$15,$P$1,AP$2,$H$16,$B33)</f>
        <v>*KEY_ERR</v>
      </c>
      <c r="AQ33" s="54" t="str">
        <f ca="1">_xll.DBRW(Server&amp;Cube1,$H$13,$AP$3,$H$15,$H$17,AQ$1,$H$16,$B33)</f>
        <v>*KEY_ERR</v>
      </c>
      <c r="AR33" s="58" t="str">
        <f ca="1">_xll.DBRW(Server&amp;Cube1,$H$13,$AP$3,$H$15,$H$17,AR$1,$H$16,$B33)</f>
        <v>*KEY_ERR</v>
      </c>
      <c r="AS33" s="58" t="str">
        <f ca="1">_xll.DBRW(Server&amp;Cube1,$H$13,$AP$3,$H$15,$H$17,AS$1,$H$16,$B33)</f>
        <v>*KEY_ERR</v>
      </c>
      <c r="AT33" s="58" t="str">
        <f ca="1">_xll.DBRW(Server&amp;Cube1,$H$13,$AP$3,$H$15,$H$17,AT$1,$H$16,$B33)</f>
        <v>*KEY_ERR</v>
      </c>
      <c r="AU33" s="58" t="str">
        <f ca="1">_xll.DBRW(Server&amp;Cube1,$H$13,$AP$3,$H$15,$H$17,AU$1,$H$16,$B33)</f>
        <v>*KEY_ERR</v>
      </c>
      <c r="AV33" s="58" t="str">
        <f ca="1">_xll.DBRW(Server&amp;Cube1,$H$13,$AP$3,$H$15,$H$17,AV$1,$H$16,$B33)</f>
        <v>*KEY_ERR</v>
      </c>
      <c r="AW33" s="58" t="str">
        <f ca="1">_xll.DBRW(Server&amp;Cube1,$H$13,$AP$3,$H$15,$H$17,AW$1,$H$16,$B33)</f>
        <v>*KEY_ERR</v>
      </c>
      <c r="AX33" s="58" t="str">
        <f ca="1">_xll.DBRW(Server&amp;Cube1,$H$13,$AP$3,$H$15,$H$17,AX$1,$H$16,$B33)</f>
        <v>*KEY_ERR</v>
      </c>
      <c r="AY33" s="58" t="str">
        <f ca="1">_xll.DBRW(Server&amp;Cube1,$H$13,$AP$3,$H$15,$H$17,AY$1,$H$16,$B33)</f>
        <v>*KEY_ERR</v>
      </c>
      <c r="AZ33" s="58" t="str">
        <f ca="1">_xll.DBRW(Server&amp;Cube1,$H$13,$AP$3,$H$15,$H$17,AZ$1,$H$16,$B33)</f>
        <v>*KEY_ERR</v>
      </c>
      <c r="BA33" s="58" t="str">
        <f ca="1">_xll.DBRW(Server&amp;Cube1,$H$13,$AP$3,$H$15,$H$17,BA$1,$H$16,$B33)</f>
        <v>*KEY_ERR</v>
      </c>
      <c r="BB33" s="59" t="str">
        <f ca="1">_xll.DBRW(Server&amp;Cube1,$H$13,$AP$3,$H$15,$H$17,BB$1,$H$16,$B33)</f>
        <v>*KEY_ERR</v>
      </c>
      <c r="BC33" s="187" t="str">
        <f ca="1">_xll.DBRW(Server&amp;Cube1,$H$13,$BC$3,$H$15,$P$1,BC$2,$H$16,$B33)</f>
        <v>*KEY_ERR</v>
      </c>
      <c r="BD33" s="54" t="str">
        <f ca="1">_xll.DBRW(Server&amp;Cube1,$H$13,$BC$3,$H$15,$H$17,BD$1,$H$16,$B33)</f>
        <v>*KEY_ERR</v>
      </c>
      <c r="BE33" s="58" t="str">
        <f ca="1">_xll.DBRW(Server&amp;Cube1,$H$13,$BC$3,$H$15,$H$17,BE$1,$H$16,$B33)</f>
        <v>*KEY_ERR</v>
      </c>
      <c r="BF33" s="58" t="str">
        <f ca="1">_xll.DBRW(Server&amp;Cube1,$H$13,$BC$3,$H$15,$H$17,BF$1,$H$16,$B33)</f>
        <v>*KEY_ERR</v>
      </c>
      <c r="BG33" s="58" t="str">
        <f ca="1">_xll.DBRW(Server&amp;Cube1,$H$13,$BC$3,$H$15,$H$17,BG$1,$H$16,$B33)</f>
        <v>*KEY_ERR</v>
      </c>
      <c r="BH33" s="58" t="str">
        <f ca="1">_xll.DBRW(Server&amp;Cube1,$H$13,$BC$3,$H$15,$H$17,BH$1,$H$16,$B33)</f>
        <v>*KEY_ERR</v>
      </c>
      <c r="BI33" s="58" t="str">
        <f ca="1">_xll.DBRW(Server&amp;Cube1,$H$13,$BC$3,$H$15,$H$17,BI$1,$H$16,$B33)</f>
        <v>*KEY_ERR</v>
      </c>
      <c r="BJ33" s="58" t="str">
        <f ca="1">_xll.DBRW(Server&amp;Cube1,$H$13,$BC$3,$H$15,$H$17,BJ$1,$H$16,$B33)</f>
        <v>*KEY_ERR</v>
      </c>
      <c r="BK33" s="58" t="str">
        <f ca="1">_xll.DBRW(Server&amp;Cube1,$H$13,$BC$3,$H$15,$H$17,BK$1,$H$16,$B33)</f>
        <v>*KEY_ERR</v>
      </c>
      <c r="BL33" s="58" t="str">
        <f ca="1">_xll.DBRW(Server&amp;Cube1,$H$13,$BC$3,$H$15,$H$17,BL$1,$H$16,$B33)</f>
        <v>*KEY_ERR</v>
      </c>
      <c r="BM33" s="58" t="str">
        <f ca="1">_xll.DBRW(Server&amp;Cube1,$H$13,$BC$3,$H$15,$H$17,BM$1,$H$16,$B33)</f>
        <v>*KEY_ERR</v>
      </c>
      <c r="BN33" s="58" t="str">
        <f ca="1">_xll.DBRW(Server&amp;Cube1,$H$13,$BC$3,$H$15,$H$17,BN$1,$H$16,$B33)</f>
        <v>*KEY_ERR</v>
      </c>
      <c r="BO33" s="59" t="str">
        <f ca="1">_xll.DBRW(Server&amp;Cube1,$H$13,$BC$3,$H$15,$H$17,BO$1,$H$16,$B33)</f>
        <v>*KEY_ERR</v>
      </c>
      <c r="BP33" s="31"/>
    </row>
    <row r="34" spans="1:68" ht="21" customHeight="1" x14ac:dyDescent="0.25">
      <c r="A34"/>
      <c r="B34" s="13" t="s">
        <v>71</v>
      </c>
      <c r="C34" s="12"/>
      <c r="D34" s="22"/>
      <c r="E34" s="171"/>
      <c r="F34" s="107"/>
      <c r="G34" s="305" t="str">
        <f ca="1">_xll.DBRA(Server&amp;$B$22,$B34,"French")</f>
        <v>Frais de déplacement stagiaires / jour</v>
      </c>
      <c r="H34" s="305" t="str">
        <f ca="1">_xll.DBRA(Server&amp;$B$22,$B34,"French")</f>
        <v>Frais de déplacement stagiaires / jour</v>
      </c>
      <c r="I34" s="72"/>
      <c r="J34" s="54" t="str">
        <f ca="1">_xll.DBRW(Server&amp;Cube1,$H$13,$H$14,$H$15,$J$1,$J$2,$H$16,$B34)</f>
        <v/>
      </c>
      <c r="K34" s="37"/>
      <c r="L34" s="54" t="str">
        <f ca="1">_xll.DBRW(Server&amp;Cube1,$H$13,$H$14,$H$15,$L$1,$L$2,$H$16,$B34)</f>
        <v/>
      </c>
      <c r="M34" s="55"/>
      <c r="N34" s="54" t="str">
        <f ca="1">_xll.DBRW(Server&amp;Cube1,$H$13,$H$14,$H$15,$P$1,N$2,$H$16,$B34)</f>
        <v>*KEY_ERR</v>
      </c>
      <c r="O34" s="57"/>
      <c r="P34" s="54" t="str">
        <f ca="1">_xll.DBRW(Server&amp;Cube1,$H$13,$P$3,$H$15,$P$1,P$2,$H$16,$B34)</f>
        <v>*KEY_ERR</v>
      </c>
      <c r="Q34" s="54" t="str">
        <f ca="1">_xll.DBRW(Server&amp;Cube1,$H$13,$P$3,$H$15,$H$17,Q$1,$H$16,$B34)</f>
        <v>*KEY_ERR</v>
      </c>
      <c r="R34" s="58" t="str">
        <f ca="1">_xll.DBRW(Server&amp;Cube1,$H$13,$P$3,$H$15,$H$17,R$1,$H$16,$B34)</f>
        <v>*KEY_ERR</v>
      </c>
      <c r="S34" s="58" t="str">
        <f ca="1">_xll.DBRW(Server&amp;Cube1,$H$13,$P$3,$H$15,$H$17,S$1,$H$16,$B34)</f>
        <v>*KEY_ERR</v>
      </c>
      <c r="T34" s="58" t="str">
        <f ca="1">_xll.DBRW(Server&amp;Cube1,$H$13,$P$3,$H$15,$H$17,T$1,$H$16,$B34)</f>
        <v>*KEY_ERR</v>
      </c>
      <c r="U34" s="58" t="str">
        <f ca="1">_xll.DBRW(Server&amp;Cube1,$H$13,$P$3,$H$15,$H$17,U$1,$H$16,$B34)</f>
        <v>*KEY_ERR</v>
      </c>
      <c r="V34" s="58" t="str">
        <f ca="1">_xll.DBRW(Server&amp;Cube1,$H$13,$P$3,$H$15,$H$17,V$1,$H$16,$B34)</f>
        <v>*KEY_ERR</v>
      </c>
      <c r="W34" s="58" t="str">
        <f ca="1">_xll.DBRW(Server&amp;Cube1,$H$13,$P$3,$H$15,$H$17,W$1,$H$16,$B34)</f>
        <v>*KEY_ERR</v>
      </c>
      <c r="X34" s="58" t="str">
        <f ca="1">_xll.DBRW(Server&amp;Cube1,$H$13,$P$3,$H$15,$H$17,X$1,$H$16,$B34)</f>
        <v>*KEY_ERR</v>
      </c>
      <c r="Y34" s="58" t="str">
        <f ca="1">_xll.DBRW(Server&amp;Cube1,$H$13,$P$3,$H$15,$H$17,Y$1,$H$16,$B34)</f>
        <v>*KEY_ERR</v>
      </c>
      <c r="Z34" s="58" t="str">
        <f ca="1">_xll.DBRW(Server&amp;Cube1,$H$13,$P$3,$H$15,$H$17,Z$1,$H$16,$B34)</f>
        <v>*KEY_ERR</v>
      </c>
      <c r="AA34" s="58" t="str">
        <f ca="1">_xll.DBRW(Server&amp;Cube1,$H$13,$P$3,$H$15,$H$17,AA$1,$H$16,$B34)</f>
        <v>*KEY_ERR</v>
      </c>
      <c r="AB34" s="59" t="str">
        <f ca="1">_xll.DBRW(Server&amp;Cube1,$H$13,$P$3,$H$15,$H$17,AB$1,$H$16,$B34)</f>
        <v>*KEY_ERR</v>
      </c>
      <c r="AC34" s="187" t="str">
        <f ca="1">_xll.DBRW(Server&amp;Cube1,$H$13,$AC$3,$H$15,$P$1,AC$2,$H$16,$B34)</f>
        <v>*KEY_ERR</v>
      </c>
      <c r="AD34" s="54" t="str">
        <f ca="1">_xll.DBRW(Server&amp;Cube1,$H$13,$AC$3,$H$15,$H$17,AD$1,$H$16,$B34)</f>
        <v>*KEY_ERR</v>
      </c>
      <c r="AE34" s="58" t="str">
        <f ca="1">_xll.DBRW(Server&amp;Cube1,$H$13,$AC$3,$H$15,$H$17,AE$1,$H$16,$B34)</f>
        <v>*KEY_ERR</v>
      </c>
      <c r="AF34" s="58" t="str">
        <f ca="1">_xll.DBRW(Server&amp;Cube1,$H$13,$AC$3,$H$15,$H$17,AF$1,$H$16,$B34)</f>
        <v>*KEY_ERR</v>
      </c>
      <c r="AG34" s="58" t="str">
        <f ca="1">_xll.DBRW(Server&amp;Cube1,$H$13,$AC$3,$H$15,$H$17,AG$1,$H$16,$B34)</f>
        <v>*KEY_ERR</v>
      </c>
      <c r="AH34" s="58" t="str">
        <f ca="1">_xll.DBRW(Server&amp;Cube1,$H$13,$AC$3,$H$15,$H$17,AH$1,$H$16,$B34)</f>
        <v>*KEY_ERR</v>
      </c>
      <c r="AI34" s="58" t="str">
        <f ca="1">_xll.DBRW(Server&amp;Cube1,$H$13,$AC$3,$H$15,$H$17,AI$1,$H$16,$B34)</f>
        <v>*KEY_ERR</v>
      </c>
      <c r="AJ34" s="58" t="str">
        <f ca="1">_xll.DBRW(Server&amp;Cube1,$H$13,$AC$3,$H$15,$H$17,AJ$1,$H$16,$B34)</f>
        <v>*KEY_ERR</v>
      </c>
      <c r="AK34" s="58" t="str">
        <f ca="1">_xll.DBRW(Server&amp;Cube1,$H$13,$AC$3,$H$15,$H$17,AK$1,$H$16,$B34)</f>
        <v>*KEY_ERR</v>
      </c>
      <c r="AL34" s="58" t="str">
        <f ca="1">_xll.DBRW(Server&amp;Cube1,$H$13,$AC$3,$H$15,$H$17,AL$1,$H$16,$B34)</f>
        <v>*KEY_ERR</v>
      </c>
      <c r="AM34" s="58" t="str">
        <f ca="1">_xll.DBRW(Server&amp;Cube1,$H$13,$AC$3,$H$15,$H$17,AM$1,$H$16,$B34)</f>
        <v>*KEY_ERR</v>
      </c>
      <c r="AN34" s="58" t="str">
        <f ca="1">_xll.DBRW(Server&amp;Cube1,$H$13,$AC$3,$H$15,$H$17,AN$1,$H$16,$B34)</f>
        <v>*KEY_ERR</v>
      </c>
      <c r="AO34" s="59" t="str">
        <f ca="1">_xll.DBRW(Server&amp;Cube1,$H$13,$AC$3,$H$15,$H$17,AO$1,$H$16,$B34)</f>
        <v>*KEY_ERR</v>
      </c>
      <c r="AP34" s="187" t="str">
        <f ca="1">_xll.DBRW(Server&amp;Cube1,$H$13,$AP$3,$H$15,$P$1,AP$2,$H$16,$B34)</f>
        <v>*KEY_ERR</v>
      </c>
      <c r="AQ34" s="54" t="str">
        <f ca="1">_xll.DBRW(Server&amp;Cube1,$H$13,$AP$3,$H$15,$H$17,AQ$1,$H$16,$B34)</f>
        <v>*KEY_ERR</v>
      </c>
      <c r="AR34" s="58" t="str">
        <f ca="1">_xll.DBRW(Server&amp;Cube1,$H$13,$AP$3,$H$15,$H$17,AR$1,$H$16,$B34)</f>
        <v>*KEY_ERR</v>
      </c>
      <c r="AS34" s="58" t="str">
        <f ca="1">_xll.DBRW(Server&amp;Cube1,$H$13,$AP$3,$H$15,$H$17,AS$1,$H$16,$B34)</f>
        <v>*KEY_ERR</v>
      </c>
      <c r="AT34" s="58" t="str">
        <f ca="1">_xll.DBRW(Server&amp;Cube1,$H$13,$AP$3,$H$15,$H$17,AT$1,$H$16,$B34)</f>
        <v>*KEY_ERR</v>
      </c>
      <c r="AU34" s="58" t="str">
        <f ca="1">_xll.DBRW(Server&amp;Cube1,$H$13,$AP$3,$H$15,$H$17,AU$1,$H$16,$B34)</f>
        <v>*KEY_ERR</v>
      </c>
      <c r="AV34" s="58" t="str">
        <f ca="1">_xll.DBRW(Server&amp;Cube1,$H$13,$AP$3,$H$15,$H$17,AV$1,$H$16,$B34)</f>
        <v>*KEY_ERR</v>
      </c>
      <c r="AW34" s="58" t="str">
        <f ca="1">_xll.DBRW(Server&amp;Cube1,$H$13,$AP$3,$H$15,$H$17,AW$1,$H$16,$B34)</f>
        <v>*KEY_ERR</v>
      </c>
      <c r="AX34" s="58" t="str">
        <f ca="1">_xll.DBRW(Server&amp;Cube1,$H$13,$AP$3,$H$15,$H$17,AX$1,$H$16,$B34)</f>
        <v>*KEY_ERR</v>
      </c>
      <c r="AY34" s="58" t="str">
        <f ca="1">_xll.DBRW(Server&amp;Cube1,$H$13,$AP$3,$H$15,$H$17,AY$1,$H$16,$B34)</f>
        <v>*KEY_ERR</v>
      </c>
      <c r="AZ34" s="58" t="str">
        <f ca="1">_xll.DBRW(Server&amp;Cube1,$H$13,$AP$3,$H$15,$H$17,AZ$1,$H$16,$B34)</f>
        <v>*KEY_ERR</v>
      </c>
      <c r="BA34" s="58" t="str">
        <f ca="1">_xll.DBRW(Server&amp;Cube1,$H$13,$AP$3,$H$15,$H$17,BA$1,$H$16,$B34)</f>
        <v>*KEY_ERR</v>
      </c>
      <c r="BB34" s="59" t="str">
        <f ca="1">_xll.DBRW(Server&amp;Cube1,$H$13,$AP$3,$H$15,$H$17,BB$1,$H$16,$B34)</f>
        <v>*KEY_ERR</v>
      </c>
      <c r="BC34" s="187" t="str">
        <f ca="1">_xll.DBRW(Server&amp;Cube1,$H$13,$BC$3,$H$15,$P$1,BC$2,$H$16,$B34)</f>
        <v>*KEY_ERR</v>
      </c>
      <c r="BD34" s="54" t="str">
        <f ca="1">_xll.DBRW(Server&amp;Cube1,$H$13,$BC$3,$H$15,$H$17,BD$1,$H$16,$B34)</f>
        <v>*KEY_ERR</v>
      </c>
      <c r="BE34" s="58" t="str">
        <f ca="1">_xll.DBRW(Server&amp;Cube1,$H$13,$BC$3,$H$15,$H$17,BE$1,$H$16,$B34)</f>
        <v>*KEY_ERR</v>
      </c>
      <c r="BF34" s="58" t="str">
        <f ca="1">_xll.DBRW(Server&amp;Cube1,$H$13,$BC$3,$H$15,$H$17,BF$1,$H$16,$B34)</f>
        <v>*KEY_ERR</v>
      </c>
      <c r="BG34" s="58" t="str">
        <f ca="1">_xll.DBRW(Server&amp;Cube1,$H$13,$BC$3,$H$15,$H$17,BG$1,$H$16,$B34)</f>
        <v>*KEY_ERR</v>
      </c>
      <c r="BH34" s="58" t="str">
        <f ca="1">_xll.DBRW(Server&amp;Cube1,$H$13,$BC$3,$H$15,$H$17,BH$1,$H$16,$B34)</f>
        <v>*KEY_ERR</v>
      </c>
      <c r="BI34" s="58" t="str">
        <f ca="1">_xll.DBRW(Server&amp;Cube1,$H$13,$BC$3,$H$15,$H$17,BI$1,$H$16,$B34)</f>
        <v>*KEY_ERR</v>
      </c>
      <c r="BJ34" s="58" t="str">
        <f ca="1">_xll.DBRW(Server&amp;Cube1,$H$13,$BC$3,$H$15,$H$17,BJ$1,$H$16,$B34)</f>
        <v>*KEY_ERR</v>
      </c>
      <c r="BK34" s="58" t="str">
        <f ca="1">_xll.DBRW(Server&amp;Cube1,$H$13,$BC$3,$H$15,$H$17,BK$1,$H$16,$B34)</f>
        <v>*KEY_ERR</v>
      </c>
      <c r="BL34" s="58" t="str">
        <f ca="1">_xll.DBRW(Server&amp;Cube1,$H$13,$BC$3,$H$15,$H$17,BL$1,$H$16,$B34)</f>
        <v>*KEY_ERR</v>
      </c>
      <c r="BM34" s="58" t="str">
        <f ca="1">_xll.DBRW(Server&amp;Cube1,$H$13,$BC$3,$H$15,$H$17,BM$1,$H$16,$B34)</f>
        <v>*KEY_ERR</v>
      </c>
      <c r="BN34" s="58" t="str">
        <f ca="1">_xll.DBRW(Server&amp;Cube1,$H$13,$BC$3,$H$15,$H$17,BN$1,$H$16,$B34)</f>
        <v>*KEY_ERR</v>
      </c>
      <c r="BO34" s="59" t="str">
        <f ca="1">_xll.DBRW(Server&amp;Cube1,$H$13,$BC$3,$H$15,$H$17,BO$1,$H$16,$B34)</f>
        <v>*KEY_ERR</v>
      </c>
      <c r="BP34" s="31"/>
    </row>
    <row r="35" spans="1:68" ht="21" customHeight="1" x14ac:dyDescent="0.25">
      <c r="A35"/>
      <c r="B35" s="13" t="s">
        <v>72</v>
      </c>
      <c r="C35" s="12"/>
      <c r="D35" s="22"/>
      <c r="E35" s="171"/>
      <c r="F35" s="107"/>
      <c r="G35" s="305" t="str">
        <f ca="1">_xll.DBRA(Server&amp;$B$22,$B35,"French")</f>
        <v>Autres</v>
      </c>
      <c r="H35" s="305" t="str">
        <f ca="1">_xll.DBRA(Server&amp;$B$22,$B35,"French")</f>
        <v>Autres</v>
      </c>
      <c r="I35" s="72"/>
      <c r="J35" s="54" t="str">
        <f ca="1">_xll.DBRW(Server&amp;Cube1,$H$13,$H$14,$H$15,$J$1,$J$2,$H$16,$B35)</f>
        <v/>
      </c>
      <c r="K35" s="37"/>
      <c r="L35" s="54" t="str">
        <f ca="1">_xll.DBRW(Server&amp;Cube1,$H$13,$H$14,$H$15,$L$1,$L$2,$H$16,$B35)</f>
        <v/>
      </c>
      <c r="M35" s="55"/>
      <c r="N35" s="54" t="str">
        <f ca="1">_xll.DBRW(Server&amp;Cube1,$H$13,$H$14,$H$15,$P$1,N$2,$H$16,$B35)</f>
        <v>*KEY_ERR</v>
      </c>
      <c r="O35" s="57"/>
      <c r="P35" s="54" t="str">
        <f ca="1">_xll.DBRW(Server&amp;Cube1,$H$13,$P$3,$H$15,$P$1,P$2,$H$16,$B35)</f>
        <v>*KEY_ERR</v>
      </c>
      <c r="Q35" s="54" t="str">
        <f ca="1">_xll.DBRW(Server&amp;Cube1,$H$13,$P$3,$H$15,$H$17,Q$1,$H$16,$B35)</f>
        <v>*KEY_ERR</v>
      </c>
      <c r="R35" s="58" t="str">
        <f ca="1">_xll.DBRW(Server&amp;Cube1,$H$13,$P$3,$H$15,$H$17,R$1,$H$16,$B35)</f>
        <v>*KEY_ERR</v>
      </c>
      <c r="S35" s="58" t="str">
        <f ca="1">_xll.DBRW(Server&amp;Cube1,$H$13,$P$3,$H$15,$H$17,S$1,$H$16,$B35)</f>
        <v>*KEY_ERR</v>
      </c>
      <c r="T35" s="58" t="str">
        <f ca="1">_xll.DBRW(Server&amp;Cube1,$H$13,$P$3,$H$15,$H$17,T$1,$H$16,$B35)</f>
        <v>*KEY_ERR</v>
      </c>
      <c r="U35" s="58" t="str">
        <f ca="1">_xll.DBRW(Server&amp;Cube1,$H$13,$P$3,$H$15,$H$17,U$1,$H$16,$B35)</f>
        <v>*KEY_ERR</v>
      </c>
      <c r="V35" s="58" t="str">
        <f ca="1">_xll.DBRW(Server&amp;Cube1,$H$13,$P$3,$H$15,$H$17,V$1,$H$16,$B35)</f>
        <v>*KEY_ERR</v>
      </c>
      <c r="W35" s="58" t="str">
        <f ca="1">_xll.DBRW(Server&amp;Cube1,$H$13,$P$3,$H$15,$H$17,W$1,$H$16,$B35)</f>
        <v>*KEY_ERR</v>
      </c>
      <c r="X35" s="58" t="str">
        <f ca="1">_xll.DBRW(Server&amp;Cube1,$H$13,$P$3,$H$15,$H$17,X$1,$H$16,$B35)</f>
        <v>*KEY_ERR</v>
      </c>
      <c r="Y35" s="58" t="str">
        <f ca="1">_xll.DBRW(Server&amp;Cube1,$H$13,$P$3,$H$15,$H$17,Y$1,$H$16,$B35)</f>
        <v>*KEY_ERR</v>
      </c>
      <c r="Z35" s="58" t="str">
        <f ca="1">_xll.DBRW(Server&amp;Cube1,$H$13,$P$3,$H$15,$H$17,Z$1,$H$16,$B35)</f>
        <v>*KEY_ERR</v>
      </c>
      <c r="AA35" s="58" t="str">
        <f ca="1">_xll.DBRW(Server&amp;Cube1,$H$13,$P$3,$H$15,$H$17,AA$1,$H$16,$B35)</f>
        <v>*KEY_ERR</v>
      </c>
      <c r="AB35" s="59" t="str">
        <f ca="1">_xll.DBRW(Server&amp;Cube1,$H$13,$P$3,$H$15,$H$17,AB$1,$H$16,$B35)</f>
        <v>*KEY_ERR</v>
      </c>
      <c r="AC35" s="187" t="str">
        <f ca="1">_xll.DBRW(Server&amp;Cube1,$H$13,$AC$3,$H$15,$P$1,AC$2,$H$16,$B35)</f>
        <v>*KEY_ERR</v>
      </c>
      <c r="AD35" s="54" t="str">
        <f ca="1">_xll.DBRW(Server&amp;Cube1,$H$13,$AC$3,$H$15,$H$17,AD$1,$H$16,$B35)</f>
        <v>*KEY_ERR</v>
      </c>
      <c r="AE35" s="58" t="str">
        <f ca="1">_xll.DBRW(Server&amp;Cube1,$H$13,$AC$3,$H$15,$H$17,AE$1,$H$16,$B35)</f>
        <v>*KEY_ERR</v>
      </c>
      <c r="AF35" s="58" t="str">
        <f ca="1">_xll.DBRW(Server&amp;Cube1,$H$13,$AC$3,$H$15,$H$17,AF$1,$H$16,$B35)</f>
        <v>*KEY_ERR</v>
      </c>
      <c r="AG35" s="58" t="str">
        <f ca="1">_xll.DBRW(Server&amp;Cube1,$H$13,$AC$3,$H$15,$H$17,AG$1,$H$16,$B35)</f>
        <v>*KEY_ERR</v>
      </c>
      <c r="AH35" s="58" t="str">
        <f ca="1">_xll.DBRW(Server&amp;Cube1,$H$13,$AC$3,$H$15,$H$17,AH$1,$H$16,$B35)</f>
        <v>*KEY_ERR</v>
      </c>
      <c r="AI35" s="58" t="str">
        <f ca="1">_xll.DBRW(Server&amp;Cube1,$H$13,$AC$3,$H$15,$H$17,AI$1,$H$16,$B35)</f>
        <v>*KEY_ERR</v>
      </c>
      <c r="AJ35" s="58" t="str">
        <f ca="1">_xll.DBRW(Server&amp;Cube1,$H$13,$AC$3,$H$15,$H$17,AJ$1,$H$16,$B35)</f>
        <v>*KEY_ERR</v>
      </c>
      <c r="AK35" s="58" t="str">
        <f ca="1">_xll.DBRW(Server&amp;Cube1,$H$13,$AC$3,$H$15,$H$17,AK$1,$H$16,$B35)</f>
        <v>*KEY_ERR</v>
      </c>
      <c r="AL35" s="58" t="str">
        <f ca="1">_xll.DBRW(Server&amp;Cube1,$H$13,$AC$3,$H$15,$H$17,AL$1,$H$16,$B35)</f>
        <v>*KEY_ERR</v>
      </c>
      <c r="AM35" s="58" t="str">
        <f ca="1">_xll.DBRW(Server&amp;Cube1,$H$13,$AC$3,$H$15,$H$17,AM$1,$H$16,$B35)</f>
        <v>*KEY_ERR</v>
      </c>
      <c r="AN35" s="58" t="str">
        <f ca="1">_xll.DBRW(Server&amp;Cube1,$H$13,$AC$3,$H$15,$H$17,AN$1,$H$16,$B35)</f>
        <v>*KEY_ERR</v>
      </c>
      <c r="AO35" s="59" t="str">
        <f ca="1">_xll.DBRW(Server&amp;Cube1,$H$13,$AC$3,$H$15,$H$17,AO$1,$H$16,$B35)</f>
        <v>*KEY_ERR</v>
      </c>
      <c r="AP35" s="187" t="str">
        <f ca="1">_xll.DBRW(Server&amp;Cube1,$H$13,$AP$3,$H$15,$P$1,AP$2,$H$16,$B35)</f>
        <v>*KEY_ERR</v>
      </c>
      <c r="AQ35" s="54" t="str">
        <f ca="1">_xll.DBRW(Server&amp;Cube1,$H$13,$AP$3,$H$15,$H$17,AQ$1,$H$16,$B35)</f>
        <v>*KEY_ERR</v>
      </c>
      <c r="AR35" s="58" t="str">
        <f ca="1">_xll.DBRW(Server&amp;Cube1,$H$13,$AP$3,$H$15,$H$17,AR$1,$H$16,$B35)</f>
        <v>*KEY_ERR</v>
      </c>
      <c r="AS35" s="58" t="str">
        <f ca="1">_xll.DBRW(Server&amp;Cube1,$H$13,$AP$3,$H$15,$H$17,AS$1,$H$16,$B35)</f>
        <v>*KEY_ERR</v>
      </c>
      <c r="AT35" s="58" t="str">
        <f ca="1">_xll.DBRW(Server&amp;Cube1,$H$13,$AP$3,$H$15,$H$17,AT$1,$H$16,$B35)</f>
        <v>*KEY_ERR</v>
      </c>
      <c r="AU35" s="58" t="str">
        <f ca="1">_xll.DBRW(Server&amp;Cube1,$H$13,$AP$3,$H$15,$H$17,AU$1,$H$16,$B35)</f>
        <v>*KEY_ERR</v>
      </c>
      <c r="AV35" s="58" t="str">
        <f ca="1">_xll.DBRW(Server&amp;Cube1,$H$13,$AP$3,$H$15,$H$17,AV$1,$H$16,$B35)</f>
        <v>*KEY_ERR</v>
      </c>
      <c r="AW35" s="58" t="str">
        <f ca="1">_xll.DBRW(Server&amp;Cube1,$H$13,$AP$3,$H$15,$H$17,AW$1,$H$16,$B35)</f>
        <v>*KEY_ERR</v>
      </c>
      <c r="AX35" s="58" t="str">
        <f ca="1">_xll.DBRW(Server&amp;Cube1,$H$13,$AP$3,$H$15,$H$17,AX$1,$H$16,$B35)</f>
        <v>*KEY_ERR</v>
      </c>
      <c r="AY35" s="58" t="str">
        <f ca="1">_xll.DBRW(Server&amp;Cube1,$H$13,$AP$3,$H$15,$H$17,AY$1,$H$16,$B35)</f>
        <v>*KEY_ERR</v>
      </c>
      <c r="AZ35" s="58" t="str">
        <f ca="1">_xll.DBRW(Server&amp;Cube1,$H$13,$AP$3,$H$15,$H$17,AZ$1,$H$16,$B35)</f>
        <v>*KEY_ERR</v>
      </c>
      <c r="BA35" s="58" t="str">
        <f ca="1">_xll.DBRW(Server&amp;Cube1,$H$13,$AP$3,$H$15,$H$17,BA$1,$H$16,$B35)</f>
        <v>*KEY_ERR</v>
      </c>
      <c r="BB35" s="59" t="str">
        <f ca="1">_xll.DBRW(Server&amp;Cube1,$H$13,$AP$3,$H$15,$H$17,BB$1,$H$16,$B35)</f>
        <v>*KEY_ERR</v>
      </c>
      <c r="BC35" s="187" t="str">
        <f ca="1">_xll.DBRW(Server&amp;Cube1,$H$13,$BC$3,$H$15,$P$1,BC$2,$H$16,$B35)</f>
        <v>*KEY_ERR</v>
      </c>
      <c r="BD35" s="54" t="str">
        <f ca="1">_xll.DBRW(Server&amp;Cube1,$H$13,$BC$3,$H$15,$H$17,BD$1,$H$16,$B35)</f>
        <v>*KEY_ERR</v>
      </c>
      <c r="BE35" s="58" t="str">
        <f ca="1">_xll.DBRW(Server&amp;Cube1,$H$13,$BC$3,$H$15,$H$17,BE$1,$H$16,$B35)</f>
        <v>*KEY_ERR</v>
      </c>
      <c r="BF35" s="58" t="str">
        <f ca="1">_xll.DBRW(Server&amp;Cube1,$H$13,$BC$3,$H$15,$H$17,BF$1,$H$16,$B35)</f>
        <v>*KEY_ERR</v>
      </c>
      <c r="BG35" s="58" t="str">
        <f ca="1">_xll.DBRW(Server&amp;Cube1,$H$13,$BC$3,$H$15,$H$17,BG$1,$H$16,$B35)</f>
        <v>*KEY_ERR</v>
      </c>
      <c r="BH35" s="58" t="str">
        <f ca="1">_xll.DBRW(Server&amp;Cube1,$H$13,$BC$3,$H$15,$H$17,BH$1,$H$16,$B35)</f>
        <v>*KEY_ERR</v>
      </c>
      <c r="BI35" s="58" t="str">
        <f ca="1">_xll.DBRW(Server&amp;Cube1,$H$13,$BC$3,$H$15,$H$17,BI$1,$H$16,$B35)</f>
        <v>*KEY_ERR</v>
      </c>
      <c r="BJ35" s="58" t="str">
        <f ca="1">_xll.DBRW(Server&amp;Cube1,$H$13,$BC$3,$H$15,$H$17,BJ$1,$H$16,$B35)</f>
        <v>*KEY_ERR</v>
      </c>
      <c r="BK35" s="58" t="str">
        <f ca="1">_xll.DBRW(Server&amp;Cube1,$H$13,$BC$3,$H$15,$H$17,BK$1,$H$16,$B35)</f>
        <v>*KEY_ERR</v>
      </c>
      <c r="BL35" s="58" t="str">
        <f ca="1">_xll.DBRW(Server&amp;Cube1,$H$13,$BC$3,$H$15,$H$17,BL$1,$H$16,$B35)</f>
        <v>*KEY_ERR</v>
      </c>
      <c r="BM35" s="58" t="str">
        <f ca="1">_xll.DBRW(Server&amp;Cube1,$H$13,$BC$3,$H$15,$H$17,BM$1,$H$16,$B35)</f>
        <v>*KEY_ERR</v>
      </c>
      <c r="BN35" s="58" t="str">
        <f ca="1">_xll.DBRW(Server&amp;Cube1,$H$13,$BC$3,$H$15,$H$17,BN$1,$H$16,$B35)</f>
        <v>*KEY_ERR</v>
      </c>
      <c r="BO35" s="59" t="str">
        <f ca="1">_xll.DBRW(Server&amp;Cube1,$H$13,$BC$3,$H$15,$H$17,BO$1,$H$16,$B35)</f>
        <v>*KEY_ERR</v>
      </c>
      <c r="BP35" s="31"/>
    </row>
    <row r="36" spans="1:68" ht="2.25" customHeight="1" x14ac:dyDescent="0.25">
      <c r="A36"/>
      <c r="B36" s="11"/>
      <c r="C36" s="12"/>
      <c r="D36" s="20"/>
      <c r="E36" s="170"/>
      <c r="F36" s="106"/>
      <c r="G36" s="80"/>
      <c r="H36" s="80"/>
      <c r="I36" s="38"/>
      <c r="J36" s="62"/>
      <c r="K36" s="38"/>
      <c r="L36" s="62"/>
      <c r="M36" s="63"/>
      <c r="N36" s="62"/>
      <c r="O36" s="64"/>
      <c r="P36" s="62"/>
      <c r="Q36" s="62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6"/>
      <c r="AC36" s="186"/>
      <c r="AD36" s="62"/>
      <c r="AE36" s="65"/>
      <c r="AF36" s="65"/>
      <c r="AG36" s="65"/>
      <c r="AH36" s="65"/>
      <c r="AI36" s="65"/>
      <c r="AJ36" s="65"/>
      <c r="AK36" s="65"/>
      <c r="AL36" s="65"/>
      <c r="AM36" s="65"/>
      <c r="AN36" s="65"/>
      <c r="AO36" s="66"/>
      <c r="AP36" s="186"/>
      <c r="AQ36" s="62"/>
      <c r="AR36" s="65"/>
      <c r="AS36" s="65"/>
      <c r="AT36" s="65"/>
      <c r="AU36" s="65"/>
      <c r="AV36" s="65"/>
      <c r="AW36" s="65"/>
      <c r="AX36" s="65"/>
      <c r="AY36" s="65"/>
      <c r="AZ36" s="65"/>
      <c r="BA36" s="65"/>
      <c r="BB36" s="66"/>
      <c r="BC36" s="186"/>
      <c r="BD36" s="62"/>
      <c r="BE36" s="65"/>
      <c r="BF36" s="65"/>
      <c r="BG36" s="65"/>
      <c r="BH36" s="65"/>
      <c r="BI36" s="65"/>
      <c r="BJ36" s="65"/>
      <c r="BK36" s="65"/>
      <c r="BL36" s="65"/>
      <c r="BM36" s="65"/>
      <c r="BN36" s="65"/>
      <c r="BO36" s="66"/>
      <c r="BP36" s="31"/>
    </row>
    <row r="37" spans="1:68" ht="28.5" customHeight="1" x14ac:dyDescent="0.25">
      <c r="A37"/>
      <c r="B37" s="12" t="s">
        <v>21</v>
      </c>
      <c r="C37" s="12"/>
      <c r="D37" s="21"/>
      <c r="E37" s="169"/>
      <c r="F37" s="322" t="str">
        <f ca="1">_xll.DBRA(Server&amp;$B$22,$B37,"French")</f>
        <v>Total Produits</v>
      </c>
      <c r="G37" s="323"/>
      <c r="H37" s="324"/>
      <c r="I37" s="39"/>
      <c r="J37" s="51" t="str">
        <f ca="1">_xll.DBRW(Server&amp;Cube1,$H$13,$H$14,$H$15,$J$1,$J$2,$H$16,$B37)</f>
        <v/>
      </c>
      <c r="K37" s="39"/>
      <c r="L37" s="51" t="str">
        <f ca="1">_xll.DBRW(Server&amp;Cube1,$H$13,$H$14,$H$15,$L$1,$L$2,$H$16,$B37)</f>
        <v/>
      </c>
      <c r="M37" s="60"/>
      <c r="N37" s="51" t="str">
        <f ca="1">_xll.DBRW(Server&amp;Cube1,$H$13,$H$14,$H$15,$P$1,N$2,$H$16,$B37)</f>
        <v>*KEY_ERR</v>
      </c>
      <c r="O37" s="61"/>
      <c r="P37" s="51" t="str">
        <f ca="1">_xll.DBRW(Server&amp;Cube1,$H$13,$P$3,$H$15,$P$1,P$2,$H$16,$B37)</f>
        <v>*KEY_ERR</v>
      </c>
      <c r="Q37" s="49" t="str">
        <f ca="1">_xll.DBRW(Server&amp;Cube1,$H$13,$P$3,$H$15,$H$17,Q$1,$H$16,$B37)</f>
        <v>*KEY_ERR</v>
      </c>
      <c r="R37" s="50" t="str">
        <f ca="1">_xll.DBRW(Server&amp;Cube1,$H$13,$P$3,$H$15,$H$17,R$1,$H$16,$B37)</f>
        <v>*KEY_ERR</v>
      </c>
      <c r="S37" s="50" t="str">
        <f ca="1">_xll.DBRW(Server&amp;Cube1,$H$13,$P$3,$H$15,$H$17,S$1,$H$16,$B37)</f>
        <v>*KEY_ERR</v>
      </c>
      <c r="T37" s="50" t="str">
        <f ca="1">_xll.DBRW(Server&amp;Cube1,$H$13,$P$3,$H$15,$H$17,T$1,$H$16,$B37)</f>
        <v>*KEY_ERR</v>
      </c>
      <c r="U37" s="50" t="str">
        <f ca="1">_xll.DBRW(Server&amp;Cube1,$H$13,$P$3,$H$15,$H$17,U$1,$H$16,$B37)</f>
        <v>*KEY_ERR</v>
      </c>
      <c r="V37" s="50" t="str">
        <f ca="1">_xll.DBRW(Server&amp;Cube1,$H$13,$P$3,$H$15,$H$17,V$1,$H$16,$B37)</f>
        <v>*KEY_ERR</v>
      </c>
      <c r="W37" s="50" t="str">
        <f ca="1">_xll.DBRW(Server&amp;Cube1,$H$13,$P$3,$H$15,$H$17,W$1,$H$16,$B37)</f>
        <v>*KEY_ERR</v>
      </c>
      <c r="X37" s="50" t="str">
        <f ca="1">_xll.DBRW(Server&amp;Cube1,$H$13,$P$3,$H$15,$H$17,X$1,$H$16,$B37)</f>
        <v>*KEY_ERR</v>
      </c>
      <c r="Y37" s="50" t="str">
        <f ca="1">_xll.DBRW(Server&amp;Cube1,$H$13,$P$3,$H$15,$H$17,Y$1,$H$16,$B37)</f>
        <v>*KEY_ERR</v>
      </c>
      <c r="Z37" s="50" t="str">
        <f ca="1">_xll.DBRW(Server&amp;Cube1,$H$13,$P$3,$H$15,$H$17,Z$1,$H$16,$B37)</f>
        <v>*KEY_ERR</v>
      </c>
      <c r="AA37" s="50" t="str">
        <f ca="1">_xll.DBRW(Server&amp;Cube1,$H$13,$P$3,$H$15,$H$17,AA$1,$H$16,$B37)</f>
        <v>*KEY_ERR</v>
      </c>
      <c r="AB37" s="183" t="str">
        <f ca="1">_xll.DBRW(Server&amp;Cube1,$H$13,$P$3,$H$15,$H$17,AB$1,$H$16,$B37)</f>
        <v>*KEY_ERR</v>
      </c>
      <c r="AC37" s="188" t="str">
        <f ca="1">_xll.DBRW(Server&amp;Cube1,$H$13,$AC$3,$H$15,$P$1,AC$2,$H$16,$B37)</f>
        <v>*KEY_ERR</v>
      </c>
      <c r="AD37" s="49" t="str">
        <f ca="1">_xll.DBRW(Server&amp;Cube1,$H$13,$AC$3,$H$15,$H$17,AD$1,$H$16,$B37)</f>
        <v>*KEY_ERR</v>
      </c>
      <c r="AE37" s="50" t="str">
        <f ca="1">_xll.DBRW(Server&amp;Cube1,$H$13,$AC$3,$H$15,$H$17,AE$1,$H$16,$B37)</f>
        <v>*KEY_ERR</v>
      </c>
      <c r="AF37" s="50" t="str">
        <f ca="1">_xll.DBRW(Server&amp;Cube1,$H$13,$AC$3,$H$15,$H$17,AF$1,$H$16,$B37)</f>
        <v>*KEY_ERR</v>
      </c>
      <c r="AG37" s="50" t="str">
        <f ca="1">_xll.DBRW(Server&amp;Cube1,$H$13,$AC$3,$H$15,$H$17,AG$1,$H$16,$B37)</f>
        <v>*KEY_ERR</v>
      </c>
      <c r="AH37" s="50" t="str">
        <f ca="1">_xll.DBRW(Server&amp;Cube1,$H$13,$AC$3,$H$15,$H$17,AH$1,$H$16,$B37)</f>
        <v>*KEY_ERR</v>
      </c>
      <c r="AI37" s="50" t="str">
        <f ca="1">_xll.DBRW(Server&amp;Cube1,$H$13,$AC$3,$H$15,$H$17,AI$1,$H$16,$B37)</f>
        <v>*KEY_ERR</v>
      </c>
      <c r="AJ37" s="50" t="str">
        <f ca="1">_xll.DBRW(Server&amp;Cube1,$H$13,$AC$3,$H$15,$H$17,AJ$1,$H$16,$B37)</f>
        <v>*KEY_ERR</v>
      </c>
      <c r="AK37" s="50" t="str">
        <f ca="1">_xll.DBRW(Server&amp;Cube1,$H$13,$AC$3,$H$15,$H$17,AK$1,$H$16,$B37)</f>
        <v>*KEY_ERR</v>
      </c>
      <c r="AL37" s="50" t="str">
        <f ca="1">_xll.DBRW(Server&amp;Cube1,$H$13,$AC$3,$H$15,$H$17,AL$1,$H$16,$B37)</f>
        <v>*KEY_ERR</v>
      </c>
      <c r="AM37" s="50" t="str">
        <f ca="1">_xll.DBRW(Server&amp;Cube1,$H$13,$AC$3,$H$15,$H$17,AM$1,$H$16,$B37)</f>
        <v>*KEY_ERR</v>
      </c>
      <c r="AN37" s="50" t="str">
        <f ca="1">_xll.DBRW(Server&amp;Cube1,$H$13,$AC$3,$H$15,$H$17,AN$1,$H$16,$B37)</f>
        <v>*KEY_ERR</v>
      </c>
      <c r="AO37" s="183" t="str">
        <f ca="1">_xll.DBRW(Server&amp;Cube1,$H$13,$AC$3,$H$15,$H$17,AO$1,$H$16,$B37)</f>
        <v>*KEY_ERR</v>
      </c>
      <c r="AP37" s="188" t="str">
        <f ca="1">_xll.DBRW(Server&amp;Cube1,$H$13,$AP$3,$H$15,$P$1,AP$2,$H$16,$B37)</f>
        <v>*KEY_ERR</v>
      </c>
      <c r="AQ37" s="49" t="str">
        <f ca="1">_xll.DBRW(Server&amp;Cube1,$H$13,$AP$3,$H$15,$H$17,AQ$1,$H$16,$B37)</f>
        <v>*KEY_ERR</v>
      </c>
      <c r="AR37" s="50" t="str">
        <f ca="1">_xll.DBRW(Server&amp;Cube1,$H$13,$AP$3,$H$15,$H$17,AR$1,$H$16,$B37)</f>
        <v>*KEY_ERR</v>
      </c>
      <c r="AS37" s="50" t="str">
        <f ca="1">_xll.DBRW(Server&amp;Cube1,$H$13,$AP$3,$H$15,$H$17,AS$1,$H$16,$B37)</f>
        <v>*KEY_ERR</v>
      </c>
      <c r="AT37" s="50" t="str">
        <f ca="1">_xll.DBRW(Server&amp;Cube1,$H$13,$AP$3,$H$15,$H$17,AT$1,$H$16,$B37)</f>
        <v>*KEY_ERR</v>
      </c>
      <c r="AU37" s="50" t="str">
        <f ca="1">_xll.DBRW(Server&amp;Cube1,$H$13,$AP$3,$H$15,$H$17,AU$1,$H$16,$B37)</f>
        <v>*KEY_ERR</v>
      </c>
      <c r="AV37" s="50" t="str">
        <f ca="1">_xll.DBRW(Server&amp;Cube1,$H$13,$AP$3,$H$15,$H$17,AV$1,$H$16,$B37)</f>
        <v>*KEY_ERR</v>
      </c>
      <c r="AW37" s="50" t="str">
        <f ca="1">_xll.DBRW(Server&amp;Cube1,$H$13,$AP$3,$H$15,$H$17,AW$1,$H$16,$B37)</f>
        <v>*KEY_ERR</v>
      </c>
      <c r="AX37" s="50" t="str">
        <f ca="1">_xll.DBRW(Server&amp;Cube1,$H$13,$AP$3,$H$15,$H$17,AX$1,$H$16,$B37)</f>
        <v>*KEY_ERR</v>
      </c>
      <c r="AY37" s="50" t="str">
        <f ca="1">_xll.DBRW(Server&amp;Cube1,$H$13,$AP$3,$H$15,$H$17,AY$1,$H$16,$B37)</f>
        <v>*KEY_ERR</v>
      </c>
      <c r="AZ37" s="50" t="str">
        <f ca="1">_xll.DBRW(Server&amp;Cube1,$H$13,$AP$3,$H$15,$H$17,AZ$1,$H$16,$B37)</f>
        <v>*KEY_ERR</v>
      </c>
      <c r="BA37" s="50" t="str">
        <f ca="1">_xll.DBRW(Server&amp;Cube1,$H$13,$AP$3,$H$15,$H$17,BA$1,$H$16,$B37)</f>
        <v>*KEY_ERR</v>
      </c>
      <c r="BB37" s="183" t="str">
        <f ca="1">_xll.DBRW(Server&amp;Cube1,$H$13,$AP$3,$H$15,$H$17,BB$1,$H$16,$B37)</f>
        <v>*KEY_ERR</v>
      </c>
      <c r="BC37" s="188" t="str">
        <f ca="1">_xll.DBRW(Server&amp;Cube1,$H$13,$BC$3,$H$15,$P$1,BC$2,$H$16,$B37)</f>
        <v>*KEY_ERR</v>
      </c>
      <c r="BD37" s="49" t="str">
        <f ca="1">_xll.DBRW(Server&amp;Cube1,$H$13,$BC$3,$H$15,$H$17,BD$1,$H$16,$B37)</f>
        <v>*KEY_ERR</v>
      </c>
      <c r="BE37" s="50" t="str">
        <f ca="1">_xll.DBRW(Server&amp;Cube1,$H$13,$BC$3,$H$15,$H$17,BE$1,$H$16,$B37)</f>
        <v>*KEY_ERR</v>
      </c>
      <c r="BF37" s="50" t="str">
        <f ca="1">_xll.DBRW(Server&amp;Cube1,$H$13,$BC$3,$H$15,$H$17,BF$1,$H$16,$B37)</f>
        <v>*KEY_ERR</v>
      </c>
      <c r="BG37" s="50" t="str">
        <f ca="1">_xll.DBRW(Server&amp;Cube1,$H$13,$BC$3,$H$15,$H$17,BG$1,$H$16,$B37)</f>
        <v>*KEY_ERR</v>
      </c>
      <c r="BH37" s="50" t="str">
        <f ca="1">_xll.DBRW(Server&amp;Cube1,$H$13,$BC$3,$H$15,$H$17,BH$1,$H$16,$B37)</f>
        <v>*KEY_ERR</v>
      </c>
      <c r="BI37" s="50" t="str">
        <f ca="1">_xll.DBRW(Server&amp;Cube1,$H$13,$BC$3,$H$15,$H$17,BI$1,$H$16,$B37)</f>
        <v>*KEY_ERR</v>
      </c>
      <c r="BJ37" s="50" t="str">
        <f ca="1">_xll.DBRW(Server&amp;Cube1,$H$13,$BC$3,$H$15,$H$17,BJ$1,$H$16,$B37)</f>
        <v>*KEY_ERR</v>
      </c>
      <c r="BK37" s="50" t="str">
        <f ca="1">_xll.DBRW(Server&amp;Cube1,$H$13,$BC$3,$H$15,$H$17,BK$1,$H$16,$B37)</f>
        <v>*KEY_ERR</v>
      </c>
      <c r="BL37" s="50" t="str">
        <f ca="1">_xll.DBRW(Server&amp;Cube1,$H$13,$BC$3,$H$15,$H$17,BL$1,$H$16,$B37)</f>
        <v>*KEY_ERR</v>
      </c>
      <c r="BM37" s="50" t="str">
        <f ca="1">_xll.DBRW(Server&amp;Cube1,$H$13,$BC$3,$H$15,$H$17,BM$1,$H$16,$B37)</f>
        <v>*KEY_ERR</v>
      </c>
      <c r="BN37" s="50" t="str">
        <f ca="1">_xll.DBRW(Server&amp;Cube1,$H$13,$BC$3,$H$15,$H$17,BN$1,$H$16,$B37)</f>
        <v>*KEY_ERR</v>
      </c>
      <c r="BO37" s="53" t="str">
        <f ca="1">_xll.DBRW(Server&amp;Cube1,$H$13,$BC$3,$H$15,$H$17,BO$1,$H$16,$B37)</f>
        <v>*KEY_ERR</v>
      </c>
      <c r="BP37" s="31"/>
    </row>
    <row r="38" spans="1:68" ht="15" customHeight="1" x14ac:dyDescent="0.25">
      <c r="A38"/>
      <c r="B38" s="11"/>
      <c r="C38" s="12"/>
      <c r="D38" s="20"/>
      <c r="E38" s="170"/>
      <c r="F38" s="106"/>
      <c r="G38" s="43"/>
      <c r="H38" s="43"/>
      <c r="I38" s="38"/>
      <c r="J38" s="62"/>
      <c r="K38" s="38"/>
      <c r="L38" s="62"/>
      <c r="M38" s="63"/>
      <c r="N38" s="100"/>
      <c r="O38" s="64"/>
      <c r="P38" s="100"/>
      <c r="Q38" s="62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6"/>
      <c r="AC38" s="189"/>
      <c r="AD38" s="62"/>
      <c r="AE38" s="65"/>
      <c r="AF38" s="65"/>
      <c r="AG38" s="65"/>
      <c r="AH38" s="65"/>
      <c r="AI38" s="65"/>
      <c r="AJ38" s="65"/>
      <c r="AK38" s="65"/>
      <c r="AL38" s="65"/>
      <c r="AM38" s="65"/>
      <c r="AN38" s="65"/>
      <c r="AO38" s="66"/>
      <c r="AP38" s="189"/>
      <c r="AQ38" s="62"/>
      <c r="AR38" s="65"/>
      <c r="AS38" s="65"/>
      <c r="AT38" s="65"/>
      <c r="AU38" s="65"/>
      <c r="AV38" s="65"/>
      <c r="AW38" s="65"/>
      <c r="AX38" s="65"/>
      <c r="AY38" s="65"/>
      <c r="AZ38" s="65"/>
      <c r="BA38" s="65"/>
      <c r="BB38" s="66"/>
      <c r="BC38" s="189"/>
      <c r="BD38" s="62"/>
      <c r="BE38" s="65"/>
      <c r="BF38" s="65"/>
      <c r="BG38" s="65"/>
      <c r="BH38" s="65"/>
      <c r="BI38" s="65"/>
      <c r="BJ38" s="65"/>
      <c r="BK38" s="65"/>
      <c r="BL38" s="65"/>
      <c r="BM38" s="65"/>
      <c r="BN38" s="65"/>
      <c r="BO38" s="66"/>
      <c r="BP38" s="31"/>
    </row>
    <row r="39" spans="1:68" ht="21" customHeight="1" x14ac:dyDescent="0.25">
      <c r="A39"/>
      <c r="B39" s="12" t="s">
        <v>88</v>
      </c>
      <c r="C39" s="12"/>
      <c r="D39" s="21"/>
      <c r="E39" s="169"/>
      <c r="F39" s="105"/>
      <c r="G39" s="306" t="str">
        <f ca="1">_xll.DBRA(Server&amp;$B$22,$B39,"French")</f>
        <v>Formateurs et autres frais de personnel directs (interne groupe)</v>
      </c>
      <c r="H39" s="306" t="str">
        <f ca="1">_xll.DBRA(Server&amp;$B$22,$B39,"French")</f>
        <v>Formateurs et autres frais de personnel directs (interne groupe)</v>
      </c>
      <c r="I39" s="39"/>
      <c r="J39" s="67" t="str">
        <f ca="1">_xll.DBRW(Server&amp;Cube1,$H$13,$H$14,$H$15,$J$1,$J$2,$H$16,$B39)</f>
        <v/>
      </c>
      <c r="K39" s="39"/>
      <c r="L39" s="67" t="str">
        <f ca="1">_xll.DBRW(Server&amp;Cube1,$H$13,$H$14,$H$15,$L$1,$L$2,$H$16,$B39)</f>
        <v/>
      </c>
      <c r="M39" s="68"/>
      <c r="N39" s="67" t="str">
        <f ca="1">_xll.DBRW(Server&amp;Cube1,$H$13,$H$14,$H$15,$P$1,N$2,$H$16,$B39)</f>
        <v>*KEY_ERR</v>
      </c>
      <c r="O39" s="69"/>
      <c r="P39" s="67" t="str">
        <f ca="1">_xll.DBRW(Server&amp;Cube1,$H$13,$P$3,$H$15,$P$1,P$2,$H$16,$B39)</f>
        <v>*KEY_ERR</v>
      </c>
      <c r="Q39" s="67" t="str">
        <f ca="1">_xll.DBRW(Server&amp;Cube1,$H$13,$P$3,$H$15,$H$17,Q$1,$H$16,$B39)</f>
        <v>*KEY_ERR</v>
      </c>
      <c r="R39" s="70" t="str">
        <f ca="1">_xll.DBRW(Server&amp;Cube1,$H$13,$P$3,$H$15,$H$17,R$1,$H$16,$B39)</f>
        <v>*KEY_ERR</v>
      </c>
      <c r="S39" s="70" t="str">
        <f ca="1">_xll.DBRW(Server&amp;Cube1,$H$13,$P$3,$H$15,$H$17,S$1,$H$16,$B39)</f>
        <v>*KEY_ERR</v>
      </c>
      <c r="T39" s="70" t="str">
        <f ca="1">_xll.DBRW(Server&amp;Cube1,$H$13,$P$3,$H$15,$H$17,T$1,$H$16,$B39)</f>
        <v>*KEY_ERR</v>
      </c>
      <c r="U39" s="70" t="str">
        <f ca="1">_xll.DBRW(Server&amp;Cube1,$H$13,$P$3,$H$15,$H$17,U$1,$H$16,$B39)</f>
        <v>*KEY_ERR</v>
      </c>
      <c r="V39" s="70" t="str">
        <f ca="1">_xll.DBRW(Server&amp;Cube1,$H$13,$P$3,$H$15,$H$17,V$1,$H$16,$B39)</f>
        <v>*KEY_ERR</v>
      </c>
      <c r="W39" s="70" t="str">
        <f ca="1">_xll.DBRW(Server&amp;Cube1,$H$13,$P$3,$H$15,$H$17,W$1,$H$16,$B39)</f>
        <v>*KEY_ERR</v>
      </c>
      <c r="X39" s="70" t="str">
        <f ca="1">_xll.DBRW(Server&amp;Cube1,$H$13,$P$3,$H$15,$H$17,X$1,$H$16,$B39)</f>
        <v>*KEY_ERR</v>
      </c>
      <c r="Y39" s="70" t="str">
        <f ca="1">_xll.DBRW(Server&amp;Cube1,$H$13,$P$3,$H$15,$H$17,Y$1,$H$16,$B39)</f>
        <v>*KEY_ERR</v>
      </c>
      <c r="Z39" s="70" t="str">
        <f ca="1">_xll.DBRW(Server&amp;Cube1,$H$13,$P$3,$H$15,$H$17,Z$1,$H$16,$B39)</f>
        <v>*KEY_ERR</v>
      </c>
      <c r="AA39" s="70" t="str">
        <f ca="1">_xll.DBRW(Server&amp;Cube1,$H$13,$P$3,$H$15,$H$17,AA$1,$H$16,$B39)</f>
        <v>*KEY_ERR</v>
      </c>
      <c r="AB39" s="71" t="str">
        <f ca="1">_xll.DBRW(Server&amp;Cube1,$H$13,$P$3,$H$15,$H$17,AB$1,$H$16,$B39)</f>
        <v>*KEY_ERR</v>
      </c>
      <c r="AC39" s="185" t="str">
        <f ca="1">_xll.DBRW(Server&amp;Cube1,$H$13,$AC$3,$H$15,$P$1,AC$2,$H$16,$B39)</f>
        <v>*KEY_ERR</v>
      </c>
      <c r="AD39" s="67" t="str">
        <f ca="1">_xll.DBRW(Server&amp;Cube1,$H$13,$AC$3,$H$15,$H$17,AD$1,$H$16,$B39)</f>
        <v>*KEY_ERR</v>
      </c>
      <c r="AE39" s="70" t="str">
        <f ca="1">_xll.DBRW(Server&amp;Cube1,$H$13,$AC$3,$H$15,$H$17,AE$1,$H$16,$B39)</f>
        <v>*KEY_ERR</v>
      </c>
      <c r="AF39" s="70" t="str">
        <f ca="1">_xll.DBRW(Server&amp;Cube1,$H$13,$AC$3,$H$15,$H$17,AF$1,$H$16,$B39)</f>
        <v>*KEY_ERR</v>
      </c>
      <c r="AG39" s="70" t="str">
        <f ca="1">_xll.DBRW(Server&amp;Cube1,$H$13,$AC$3,$H$15,$H$17,AG$1,$H$16,$B39)</f>
        <v>*KEY_ERR</v>
      </c>
      <c r="AH39" s="70" t="str">
        <f ca="1">_xll.DBRW(Server&amp;Cube1,$H$13,$AC$3,$H$15,$H$17,AH$1,$H$16,$B39)</f>
        <v>*KEY_ERR</v>
      </c>
      <c r="AI39" s="70" t="str">
        <f ca="1">_xll.DBRW(Server&amp;Cube1,$H$13,$AC$3,$H$15,$H$17,AI$1,$H$16,$B39)</f>
        <v>*KEY_ERR</v>
      </c>
      <c r="AJ39" s="70" t="str">
        <f ca="1">_xll.DBRW(Server&amp;Cube1,$H$13,$AC$3,$H$15,$H$17,AJ$1,$H$16,$B39)</f>
        <v>*KEY_ERR</v>
      </c>
      <c r="AK39" s="70" t="str">
        <f ca="1">_xll.DBRW(Server&amp;Cube1,$H$13,$AC$3,$H$15,$H$17,AK$1,$H$16,$B39)</f>
        <v>*KEY_ERR</v>
      </c>
      <c r="AL39" s="70" t="str">
        <f ca="1">_xll.DBRW(Server&amp;Cube1,$H$13,$AC$3,$H$15,$H$17,AL$1,$H$16,$B39)</f>
        <v>*KEY_ERR</v>
      </c>
      <c r="AM39" s="70" t="str">
        <f ca="1">_xll.DBRW(Server&amp;Cube1,$H$13,$AC$3,$H$15,$H$17,AM$1,$H$16,$B39)</f>
        <v>*KEY_ERR</v>
      </c>
      <c r="AN39" s="70" t="str">
        <f ca="1">_xll.DBRW(Server&amp;Cube1,$H$13,$AC$3,$H$15,$H$17,AN$1,$H$16,$B39)</f>
        <v>*KEY_ERR</v>
      </c>
      <c r="AO39" s="71" t="str">
        <f ca="1">_xll.DBRW(Server&amp;Cube1,$H$13,$AC$3,$H$15,$H$17,AO$1,$H$16,$B39)</f>
        <v>*KEY_ERR</v>
      </c>
      <c r="AP39" s="185" t="str">
        <f ca="1">_xll.DBRW(Server&amp;Cube1,$H$13,$AP$3,$H$15,$P$1,AP$2,$H$16,$B39)</f>
        <v>*KEY_ERR</v>
      </c>
      <c r="AQ39" s="67" t="str">
        <f ca="1">_xll.DBRW(Server&amp;Cube1,$H$13,$AP$3,$H$15,$H$17,AQ$1,$H$16,$B39)</f>
        <v>*KEY_ERR</v>
      </c>
      <c r="AR39" s="70" t="str">
        <f ca="1">_xll.DBRW(Server&amp;Cube1,$H$13,$AP$3,$H$15,$H$17,AR$1,$H$16,$B39)</f>
        <v>*KEY_ERR</v>
      </c>
      <c r="AS39" s="70" t="str">
        <f ca="1">_xll.DBRW(Server&amp;Cube1,$H$13,$AP$3,$H$15,$H$17,AS$1,$H$16,$B39)</f>
        <v>*KEY_ERR</v>
      </c>
      <c r="AT39" s="70" t="str">
        <f ca="1">_xll.DBRW(Server&amp;Cube1,$H$13,$AP$3,$H$15,$H$17,AT$1,$H$16,$B39)</f>
        <v>*KEY_ERR</v>
      </c>
      <c r="AU39" s="70" t="str">
        <f ca="1">_xll.DBRW(Server&amp;Cube1,$H$13,$AP$3,$H$15,$H$17,AU$1,$H$16,$B39)</f>
        <v>*KEY_ERR</v>
      </c>
      <c r="AV39" s="70" t="str">
        <f ca="1">_xll.DBRW(Server&amp;Cube1,$H$13,$AP$3,$H$15,$H$17,AV$1,$H$16,$B39)</f>
        <v>*KEY_ERR</v>
      </c>
      <c r="AW39" s="70" t="str">
        <f ca="1">_xll.DBRW(Server&amp;Cube1,$H$13,$AP$3,$H$15,$H$17,AW$1,$H$16,$B39)</f>
        <v>*KEY_ERR</v>
      </c>
      <c r="AX39" s="70" t="str">
        <f ca="1">_xll.DBRW(Server&amp;Cube1,$H$13,$AP$3,$H$15,$H$17,AX$1,$H$16,$B39)</f>
        <v>*KEY_ERR</v>
      </c>
      <c r="AY39" s="70" t="str">
        <f ca="1">_xll.DBRW(Server&amp;Cube1,$H$13,$AP$3,$H$15,$H$17,AY$1,$H$16,$B39)</f>
        <v>*KEY_ERR</v>
      </c>
      <c r="AZ39" s="70" t="str">
        <f ca="1">_xll.DBRW(Server&amp;Cube1,$H$13,$AP$3,$H$15,$H$17,AZ$1,$H$16,$B39)</f>
        <v>*KEY_ERR</v>
      </c>
      <c r="BA39" s="70" t="str">
        <f ca="1">_xll.DBRW(Server&amp;Cube1,$H$13,$AP$3,$H$15,$H$17,BA$1,$H$16,$B39)</f>
        <v>*KEY_ERR</v>
      </c>
      <c r="BB39" s="71" t="str">
        <f ca="1">_xll.DBRW(Server&amp;Cube1,$H$13,$AP$3,$H$15,$H$17,BB$1,$H$16,$B39)</f>
        <v>*KEY_ERR</v>
      </c>
      <c r="BC39" s="185" t="str">
        <f ca="1">_xll.DBRW(Server&amp;Cube1,$H$13,$BC$3,$H$15,$P$1,BC$2,$H$16,$B39)</f>
        <v>*KEY_ERR</v>
      </c>
      <c r="BD39" s="67" t="str">
        <f ca="1">_xll.DBRW(Server&amp;Cube1,$H$13,$BC$3,$H$15,$H$17,BD$1,$H$16,$B39)</f>
        <v>*KEY_ERR</v>
      </c>
      <c r="BE39" s="70" t="str">
        <f ca="1">_xll.DBRW(Server&amp;Cube1,$H$13,$BC$3,$H$15,$H$17,BE$1,$H$16,$B39)</f>
        <v>*KEY_ERR</v>
      </c>
      <c r="BF39" s="70" t="str">
        <f ca="1">_xll.DBRW(Server&amp;Cube1,$H$13,$BC$3,$H$15,$H$17,BF$1,$H$16,$B39)</f>
        <v>*KEY_ERR</v>
      </c>
      <c r="BG39" s="70" t="str">
        <f ca="1">_xll.DBRW(Server&amp;Cube1,$H$13,$BC$3,$H$15,$H$17,BG$1,$H$16,$B39)</f>
        <v>*KEY_ERR</v>
      </c>
      <c r="BH39" s="70" t="str">
        <f ca="1">_xll.DBRW(Server&amp;Cube1,$H$13,$BC$3,$H$15,$H$17,BH$1,$H$16,$B39)</f>
        <v>*KEY_ERR</v>
      </c>
      <c r="BI39" s="70" t="str">
        <f ca="1">_xll.DBRW(Server&amp;Cube1,$H$13,$BC$3,$H$15,$H$17,BI$1,$H$16,$B39)</f>
        <v>*KEY_ERR</v>
      </c>
      <c r="BJ39" s="70" t="str">
        <f ca="1">_xll.DBRW(Server&amp;Cube1,$H$13,$BC$3,$H$15,$H$17,BJ$1,$H$16,$B39)</f>
        <v>*KEY_ERR</v>
      </c>
      <c r="BK39" s="70" t="str">
        <f ca="1">_xll.DBRW(Server&amp;Cube1,$H$13,$BC$3,$H$15,$H$17,BK$1,$H$16,$B39)</f>
        <v>*KEY_ERR</v>
      </c>
      <c r="BL39" s="70" t="str">
        <f ca="1">_xll.DBRW(Server&amp;Cube1,$H$13,$BC$3,$H$15,$H$17,BL$1,$H$16,$B39)</f>
        <v>*KEY_ERR</v>
      </c>
      <c r="BM39" s="70" t="str">
        <f ca="1">_xll.DBRW(Server&amp;Cube1,$H$13,$BC$3,$H$15,$H$17,BM$1,$H$16,$B39)</f>
        <v>*KEY_ERR</v>
      </c>
      <c r="BN39" s="70" t="str">
        <f ca="1">_xll.DBRW(Server&amp;Cube1,$H$13,$BC$3,$H$15,$H$17,BN$1,$H$16,$B39)</f>
        <v>*KEY_ERR</v>
      </c>
      <c r="BO39" s="71" t="str">
        <f ca="1">_xll.DBRW(Server&amp;Cube1,$H$13,$BC$3,$H$15,$H$17,BO$1,$H$16,$B39)</f>
        <v>*KEY_ERR</v>
      </c>
      <c r="BP39" s="31"/>
    </row>
    <row r="40" spans="1:68" ht="21" customHeight="1" x14ac:dyDescent="0.25">
      <c r="A40"/>
      <c r="B40" s="13" t="s">
        <v>73</v>
      </c>
      <c r="C40" s="12"/>
      <c r="D40" s="22"/>
      <c r="E40" s="171"/>
      <c r="F40" s="107"/>
      <c r="G40" s="305" t="str">
        <f ca="1">_xll.DBRA(Server&amp;$B$22,$B40,"French")</f>
        <v>MAD formateurs</v>
      </c>
      <c r="H40" s="305" t="str">
        <f ca="1">_xll.DBRA(Server&amp;$B$22,$B40,"French")</f>
        <v>MAD formateurs</v>
      </c>
      <c r="I40" s="37"/>
      <c r="J40" s="54" t="str">
        <f ca="1">_xll.DBRW(Server&amp;Cube1,$H$13,$H$14,$H$15,$J$1,$J$2,$H$16,$B40)</f>
        <v/>
      </c>
      <c r="K40" s="37"/>
      <c r="L40" s="54" t="str">
        <f ca="1">_xll.DBRW(Server&amp;Cube1,$H$13,$H$14,$H$15,$L$1,$L$2,$H$16,$B40)</f>
        <v/>
      </c>
      <c r="M40" s="55"/>
      <c r="N40" s="54" t="str">
        <f ca="1">_xll.DBRW(Server&amp;Cube1,$H$13,$H$14,$H$15,$P$1,N$2,$H$16,$B40)</f>
        <v>*KEY_ERR</v>
      </c>
      <c r="O40" s="57"/>
      <c r="P40" s="54" t="str">
        <f ca="1">_xll.DBRW(Server&amp;Cube1,$H$13,$P$3,$H$15,$P$1,P$2,$H$16,$B40)</f>
        <v>*KEY_ERR</v>
      </c>
      <c r="Q40" s="54" t="str">
        <f ca="1">_xll.DBRW(Server&amp;Cube1,$H$13,$P$3,$H$15,$H$17,Q$1,$H$16,$B40)</f>
        <v>*KEY_ERR</v>
      </c>
      <c r="R40" s="58" t="str">
        <f ca="1">_xll.DBRW(Server&amp;Cube1,$H$13,$P$3,$H$15,$H$17,R$1,$H$16,$B40)</f>
        <v>*KEY_ERR</v>
      </c>
      <c r="S40" s="58" t="str">
        <f ca="1">_xll.DBRW(Server&amp;Cube1,$H$13,$P$3,$H$15,$H$17,S$1,$H$16,$B40)</f>
        <v>*KEY_ERR</v>
      </c>
      <c r="T40" s="58" t="str">
        <f ca="1">_xll.DBRW(Server&amp;Cube1,$H$13,$P$3,$H$15,$H$17,T$1,$H$16,$B40)</f>
        <v>*KEY_ERR</v>
      </c>
      <c r="U40" s="58" t="str">
        <f ca="1">_xll.DBRW(Server&amp;Cube1,$H$13,$P$3,$H$15,$H$17,U$1,$H$16,$B40)</f>
        <v>*KEY_ERR</v>
      </c>
      <c r="V40" s="58" t="str">
        <f ca="1">_xll.DBRW(Server&amp;Cube1,$H$13,$P$3,$H$15,$H$17,V$1,$H$16,$B40)</f>
        <v>*KEY_ERR</v>
      </c>
      <c r="W40" s="58" t="str">
        <f ca="1">_xll.DBRW(Server&amp;Cube1,$H$13,$P$3,$H$15,$H$17,W$1,$H$16,$B40)</f>
        <v>*KEY_ERR</v>
      </c>
      <c r="X40" s="58" t="str">
        <f ca="1">_xll.DBRW(Server&amp;Cube1,$H$13,$P$3,$H$15,$H$17,X$1,$H$16,$B40)</f>
        <v>*KEY_ERR</v>
      </c>
      <c r="Y40" s="58" t="str">
        <f ca="1">_xll.DBRW(Server&amp;Cube1,$H$13,$P$3,$H$15,$H$17,Y$1,$H$16,$B40)</f>
        <v>*KEY_ERR</v>
      </c>
      <c r="Z40" s="58" t="str">
        <f ca="1">_xll.DBRW(Server&amp;Cube1,$H$13,$P$3,$H$15,$H$17,Z$1,$H$16,$B40)</f>
        <v>*KEY_ERR</v>
      </c>
      <c r="AA40" s="58" t="str">
        <f ca="1">_xll.DBRW(Server&amp;Cube1,$H$13,$P$3,$H$15,$H$17,AA$1,$H$16,$B40)</f>
        <v>*KEY_ERR</v>
      </c>
      <c r="AB40" s="59" t="str">
        <f ca="1">_xll.DBRW(Server&amp;Cube1,$H$13,$P$3,$H$15,$H$17,AB$1,$H$16,$B40)</f>
        <v>*KEY_ERR</v>
      </c>
      <c r="AC40" s="187" t="str">
        <f ca="1">_xll.DBRW(Server&amp;Cube1,$H$13,$AC$3,$H$15,$P$1,AC$2,$H$16,$B40)</f>
        <v>*KEY_ERR</v>
      </c>
      <c r="AD40" s="54" t="str">
        <f ca="1">_xll.DBRW(Server&amp;Cube1,$H$13,$AC$3,$H$15,$H$17,AD$1,$H$16,$B40)</f>
        <v>*KEY_ERR</v>
      </c>
      <c r="AE40" s="58" t="str">
        <f ca="1">_xll.DBRW(Server&amp;Cube1,$H$13,$AC$3,$H$15,$H$17,AE$1,$H$16,$B40)</f>
        <v>*KEY_ERR</v>
      </c>
      <c r="AF40" s="58" t="str">
        <f ca="1">_xll.DBRW(Server&amp;Cube1,$H$13,$AC$3,$H$15,$H$17,AF$1,$H$16,$B40)</f>
        <v>*KEY_ERR</v>
      </c>
      <c r="AG40" s="58" t="str">
        <f ca="1">_xll.DBRW(Server&amp;Cube1,$H$13,$AC$3,$H$15,$H$17,AG$1,$H$16,$B40)</f>
        <v>*KEY_ERR</v>
      </c>
      <c r="AH40" s="58" t="str">
        <f ca="1">_xll.DBRW(Server&amp;Cube1,$H$13,$AC$3,$H$15,$H$17,AH$1,$H$16,$B40)</f>
        <v>*KEY_ERR</v>
      </c>
      <c r="AI40" s="58" t="str">
        <f ca="1">_xll.DBRW(Server&amp;Cube1,$H$13,$AC$3,$H$15,$H$17,AI$1,$H$16,$B40)</f>
        <v>*KEY_ERR</v>
      </c>
      <c r="AJ40" s="58" t="str">
        <f ca="1">_xll.DBRW(Server&amp;Cube1,$H$13,$AC$3,$H$15,$H$17,AJ$1,$H$16,$B40)</f>
        <v>*KEY_ERR</v>
      </c>
      <c r="AK40" s="58" t="str">
        <f ca="1">_xll.DBRW(Server&amp;Cube1,$H$13,$AC$3,$H$15,$H$17,AK$1,$H$16,$B40)</f>
        <v>*KEY_ERR</v>
      </c>
      <c r="AL40" s="58" t="str">
        <f ca="1">_xll.DBRW(Server&amp;Cube1,$H$13,$AC$3,$H$15,$H$17,AL$1,$H$16,$B40)</f>
        <v>*KEY_ERR</v>
      </c>
      <c r="AM40" s="58" t="str">
        <f ca="1">_xll.DBRW(Server&amp;Cube1,$H$13,$AC$3,$H$15,$H$17,AM$1,$H$16,$B40)</f>
        <v>*KEY_ERR</v>
      </c>
      <c r="AN40" s="58" t="str">
        <f ca="1">_xll.DBRW(Server&amp;Cube1,$H$13,$AC$3,$H$15,$H$17,AN$1,$H$16,$B40)</f>
        <v>*KEY_ERR</v>
      </c>
      <c r="AO40" s="59" t="str">
        <f ca="1">_xll.DBRW(Server&amp;Cube1,$H$13,$AC$3,$H$15,$H$17,AO$1,$H$16,$B40)</f>
        <v>*KEY_ERR</v>
      </c>
      <c r="AP40" s="187" t="str">
        <f ca="1">_xll.DBRW(Server&amp;Cube1,$H$13,$AP$3,$H$15,$P$1,AP$2,$H$16,$B40)</f>
        <v>*KEY_ERR</v>
      </c>
      <c r="AQ40" s="54" t="str">
        <f ca="1">_xll.DBRW(Server&amp;Cube1,$H$13,$AP$3,$H$15,$H$17,AQ$1,$H$16,$B40)</f>
        <v>*KEY_ERR</v>
      </c>
      <c r="AR40" s="58" t="str">
        <f ca="1">_xll.DBRW(Server&amp;Cube1,$H$13,$AP$3,$H$15,$H$17,AR$1,$H$16,$B40)</f>
        <v>*KEY_ERR</v>
      </c>
      <c r="AS40" s="58" t="str">
        <f ca="1">_xll.DBRW(Server&amp;Cube1,$H$13,$AP$3,$H$15,$H$17,AS$1,$H$16,$B40)</f>
        <v>*KEY_ERR</v>
      </c>
      <c r="AT40" s="58" t="str">
        <f ca="1">_xll.DBRW(Server&amp;Cube1,$H$13,$AP$3,$H$15,$H$17,AT$1,$H$16,$B40)</f>
        <v>*KEY_ERR</v>
      </c>
      <c r="AU40" s="58" t="str">
        <f ca="1">_xll.DBRW(Server&amp;Cube1,$H$13,$AP$3,$H$15,$H$17,AU$1,$H$16,$B40)</f>
        <v>*KEY_ERR</v>
      </c>
      <c r="AV40" s="58" t="str">
        <f ca="1">_xll.DBRW(Server&amp;Cube1,$H$13,$AP$3,$H$15,$H$17,AV$1,$H$16,$B40)</f>
        <v>*KEY_ERR</v>
      </c>
      <c r="AW40" s="58" t="str">
        <f ca="1">_xll.DBRW(Server&amp;Cube1,$H$13,$AP$3,$H$15,$H$17,AW$1,$H$16,$B40)</f>
        <v>*KEY_ERR</v>
      </c>
      <c r="AX40" s="58" t="str">
        <f ca="1">_xll.DBRW(Server&amp;Cube1,$H$13,$AP$3,$H$15,$H$17,AX$1,$H$16,$B40)</f>
        <v>*KEY_ERR</v>
      </c>
      <c r="AY40" s="58" t="str">
        <f ca="1">_xll.DBRW(Server&amp;Cube1,$H$13,$AP$3,$H$15,$H$17,AY$1,$H$16,$B40)</f>
        <v>*KEY_ERR</v>
      </c>
      <c r="AZ40" s="58" t="str">
        <f ca="1">_xll.DBRW(Server&amp;Cube1,$H$13,$AP$3,$H$15,$H$17,AZ$1,$H$16,$B40)</f>
        <v>*KEY_ERR</v>
      </c>
      <c r="BA40" s="58" t="str">
        <f ca="1">_xll.DBRW(Server&amp;Cube1,$H$13,$AP$3,$H$15,$H$17,BA$1,$H$16,$B40)</f>
        <v>*KEY_ERR</v>
      </c>
      <c r="BB40" s="59" t="str">
        <f ca="1">_xll.DBRW(Server&amp;Cube1,$H$13,$AP$3,$H$15,$H$17,BB$1,$H$16,$B40)</f>
        <v>*KEY_ERR</v>
      </c>
      <c r="BC40" s="187" t="str">
        <f ca="1">_xll.DBRW(Server&amp;Cube1,$H$13,$BC$3,$H$15,$P$1,BC$2,$H$16,$B40)</f>
        <v>*KEY_ERR</v>
      </c>
      <c r="BD40" s="54" t="str">
        <f ca="1">_xll.DBRW(Server&amp;Cube1,$H$13,$BC$3,$H$15,$H$17,BD$1,$H$16,$B40)</f>
        <v>*KEY_ERR</v>
      </c>
      <c r="BE40" s="58" t="str">
        <f ca="1">_xll.DBRW(Server&amp;Cube1,$H$13,$BC$3,$H$15,$H$17,BE$1,$H$16,$B40)</f>
        <v>*KEY_ERR</v>
      </c>
      <c r="BF40" s="58" t="str">
        <f ca="1">_xll.DBRW(Server&amp;Cube1,$H$13,$BC$3,$H$15,$H$17,BF$1,$H$16,$B40)</f>
        <v>*KEY_ERR</v>
      </c>
      <c r="BG40" s="58" t="str">
        <f ca="1">_xll.DBRW(Server&amp;Cube1,$H$13,$BC$3,$H$15,$H$17,BG$1,$H$16,$B40)</f>
        <v>*KEY_ERR</v>
      </c>
      <c r="BH40" s="58" t="str">
        <f ca="1">_xll.DBRW(Server&amp;Cube1,$H$13,$BC$3,$H$15,$H$17,BH$1,$H$16,$B40)</f>
        <v>*KEY_ERR</v>
      </c>
      <c r="BI40" s="58" t="str">
        <f ca="1">_xll.DBRW(Server&amp;Cube1,$H$13,$BC$3,$H$15,$H$17,BI$1,$H$16,$B40)</f>
        <v>*KEY_ERR</v>
      </c>
      <c r="BJ40" s="58" t="str">
        <f ca="1">_xll.DBRW(Server&amp;Cube1,$H$13,$BC$3,$H$15,$H$17,BJ$1,$H$16,$B40)</f>
        <v>*KEY_ERR</v>
      </c>
      <c r="BK40" s="58" t="str">
        <f ca="1">_xll.DBRW(Server&amp;Cube1,$H$13,$BC$3,$H$15,$H$17,BK$1,$H$16,$B40)</f>
        <v>*KEY_ERR</v>
      </c>
      <c r="BL40" s="58" t="str">
        <f ca="1">_xll.DBRW(Server&amp;Cube1,$H$13,$BC$3,$H$15,$H$17,BL$1,$H$16,$B40)</f>
        <v>*KEY_ERR</v>
      </c>
      <c r="BM40" s="58" t="str">
        <f ca="1">_xll.DBRW(Server&amp;Cube1,$H$13,$BC$3,$H$15,$H$17,BM$1,$H$16,$B40)</f>
        <v>*KEY_ERR</v>
      </c>
      <c r="BN40" s="58" t="str">
        <f ca="1">_xll.DBRW(Server&amp;Cube1,$H$13,$BC$3,$H$15,$H$17,BN$1,$H$16,$B40)</f>
        <v>*KEY_ERR</v>
      </c>
      <c r="BO40" s="59" t="str">
        <f ca="1">_xll.DBRW(Server&amp;Cube1,$H$13,$BC$3,$H$15,$H$17,BO$1,$H$16,$B40)</f>
        <v>*KEY_ERR</v>
      </c>
      <c r="BP40" s="31"/>
    </row>
    <row r="41" spans="1:68" ht="21" customHeight="1" x14ac:dyDescent="0.25">
      <c r="A41"/>
      <c r="B41" s="13" t="s">
        <v>74</v>
      </c>
      <c r="C41" s="12"/>
      <c r="D41" s="22"/>
      <c r="E41" s="171"/>
      <c r="F41" s="107"/>
      <c r="G41" s="305" t="str">
        <f ca="1">_xll.DBRA(Server&amp;$B$22,$B41,"French")</f>
        <v>Frais du formateur</v>
      </c>
      <c r="H41" s="305" t="str">
        <f ca="1">_xll.DBRA(Server&amp;$B$22,$B41,"French")</f>
        <v>Frais du formateur</v>
      </c>
      <c r="I41" s="37"/>
      <c r="J41" s="54" t="str">
        <f ca="1">_xll.DBRW(Server&amp;Cube1,$H$13,$H$14,$H$15,$J$1,$J$2,$H$16,$B41)</f>
        <v/>
      </c>
      <c r="K41" s="37"/>
      <c r="L41" s="54" t="str">
        <f ca="1">_xll.DBRW(Server&amp;Cube1,$H$13,$H$14,$H$15,$L$1,$L$2,$H$16,$B41)</f>
        <v/>
      </c>
      <c r="M41" s="55"/>
      <c r="N41" s="54" t="str">
        <f ca="1">_xll.DBRW(Server&amp;Cube1,$H$13,$H$14,$H$15,$P$1,N$2,$H$16,$B41)</f>
        <v>*KEY_ERR</v>
      </c>
      <c r="O41" s="57"/>
      <c r="P41" s="54" t="str">
        <f ca="1">_xll.DBRW(Server&amp;Cube1,$H$13,$P$3,$H$15,$P$1,P$2,$H$16,$B41)</f>
        <v>*KEY_ERR</v>
      </c>
      <c r="Q41" s="54" t="str">
        <f ca="1">_xll.DBRW(Server&amp;Cube1,$H$13,$P$3,$H$15,$H$17,Q$1,$H$16,$B41)</f>
        <v>*KEY_ERR</v>
      </c>
      <c r="R41" s="58" t="str">
        <f ca="1">_xll.DBRW(Server&amp;Cube1,$H$13,$P$3,$H$15,$H$17,R$1,$H$16,$B41)</f>
        <v>*KEY_ERR</v>
      </c>
      <c r="S41" s="58" t="str">
        <f ca="1">_xll.DBRW(Server&amp;Cube1,$H$13,$P$3,$H$15,$H$17,S$1,$H$16,$B41)</f>
        <v>*KEY_ERR</v>
      </c>
      <c r="T41" s="58" t="str">
        <f ca="1">_xll.DBRW(Server&amp;Cube1,$H$13,$P$3,$H$15,$H$17,T$1,$H$16,$B41)</f>
        <v>*KEY_ERR</v>
      </c>
      <c r="U41" s="58" t="str">
        <f ca="1">_xll.DBRW(Server&amp;Cube1,$H$13,$P$3,$H$15,$H$17,U$1,$H$16,$B41)</f>
        <v>*KEY_ERR</v>
      </c>
      <c r="V41" s="58" t="str">
        <f ca="1">_xll.DBRW(Server&amp;Cube1,$H$13,$P$3,$H$15,$H$17,V$1,$H$16,$B41)</f>
        <v>*KEY_ERR</v>
      </c>
      <c r="W41" s="58" t="str">
        <f ca="1">_xll.DBRW(Server&amp;Cube1,$H$13,$P$3,$H$15,$H$17,W$1,$H$16,$B41)</f>
        <v>*KEY_ERR</v>
      </c>
      <c r="X41" s="58" t="str">
        <f ca="1">_xll.DBRW(Server&amp;Cube1,$H$13,$P$3,$H$15,$H$17,X$1,$H$16,$B41)</f>
        <v>*KEY_ERR</v>
      </c>
      <c r="Y41" s="58" t="str">
        <f ca="1">_xll.DBRW(Server&amp;Cube1,$H$13,$P$3,$H$15,$H$17,Y$1,$H$16,$B41)</f>
        <v>*KEY_ERR</v>
      </c>
      <c r="Z41" s="58" t="str">
        <f ca="1">_xll.DBRW(Server&amp;Cube1,$H$13,$P$3,$H$15,$H$17,Z$1,$H$16,$B41)</f>
        <v>*KEY_ERR</v>
      </c>
      <c r="AA41" s="58" t="str">
        <f ca="1">_xll.DBRW(Server&amp;Cube1,$H$13,$P$3,$H$15,$H$17,AA$1,$H$16,$B41)</f>
        <v>*KEY_ERR</v>
      </c>
      <c r="AB41" s="59" t="str">
        <f ca="1">_xll.DBRW(Server&amp;Cube1,$H$13,$P$3,$H$15,$H$17,AB$1,$H$16,$B41)</f>
        <v>*KEY_ERR</v>
      </c>
      <c r="AC41" s="187" t="str">
        <f ca="1">_xll.DBRW(Server&amp;Cube1,$H$13,$AC$3,$H$15,$P$1,AC$2,$H$16,$B41)</f>
        <v>*KEY_ERR</v>
      </c>
      <c r="AD41" s="54" t="str">
        <f ca="1">_xll.DBRW(Server&amp;Cube1,$H$13,$AC$3,$H$15,$H$17,AD$1,$H$16,$B41)</f>
        <v>*KEY_ERR</v>
      </c>
      <c r="AE41" s="58" t="str">
        <f ca="1">_xll.DBRW(Server&amp;Cube1,$H$13,$AC$3,$H$15,$H$17,AE$1,$H$16,$B41)</f>
        <v>*KEY_ERR</v>
      </c>
      <c r="AF41" s="58" t="str">
        <f ca="1">_xll.DBRW(Server&amp;Cube1,$H$13,$AC$3,$H$15,$H$17,AF$1,$H$16,$B41)</f>
        <v>*KEY_ERR</v>
      </c>
      <c r="AG41" s="58" t="str">
        <f ca="1">_xll.DBRW(Server&amp;Cube1,$H$13,$AC$3,$H$15,$H$17,AG$1,$H$16,$B41)</f>
        <v>*KEY_ERR</v>
      </c>
      <c r="AH41" s="58" t="str">
        <f ca="1">_xll.DBRW(Server&amp;Cube1,$H$13,$AC$3,$H$15,$H$17,AH$1,$H$16,$B41)</f>
        <v>*KEY_ERR</v>
      </c>
      <c r="AI41" s="58" t="str">
        <f ca="1">_xll.DBRW(Server&amp;Cube1,$H$13,$AC$3,$H$15,$H$17,AI$1,$H$16,$B41)</f>
        <v>*KEY_ERR</v>
      </c>
      <c r="AJ41" s="58" t="str">
        <f ca="1">_xll.DBRW(Server&amp;Cube1,$H$13,$AC$3,$H$15,$H$17,AJ$1,$H$16,$B41)</f>
        <v>*KEY_ERR</v>
      </c>
      <c r="AK41" s="58" t="str">
        <f ca="1">_xll.DBRW(Server&amp;Cube1,$H$13,$AC$3,$H$15,$H$17,AK$1,$H$16,$B41)</f>
        <v>*KEY_ERR</v>
      </c>
      <c r="AL41" s="58" t="str">
        <f ca="1">_xll.DBRW(Server&amp;Cube1,$H$13,$AC$3,$H$15,$H$17,AL$1,$H$16,$B41)</f>
        <v>*KEY_ERR</v>
      </c>
      <c r="AM41" s="58" t="str">
        <f ca="1">_xll.DBRW(Server&amp;Cube1,$H$13,$AC$3,$H$15,$H$17,AM$1,$H$16,$B41)</f>
        <v>*KEY_ERR</v>
      </c>
      <c r="AN41" s="58" t="str">
        <f ca="1">_xll.DBRW(Server&amp;Cube1,$H$13,$AC$3,$H$15,$H$17,AN$1,$H$16,$B41)</f>
        <v>*KEY_ERR</v>
      </c>
      <c r="AO41" s="59" t="str">
        <f ca="1">_xll.DBRW(Server&amp;Cube1,$H$13,$AC$3,$H$15,$H$17,AO$1,$H$16,$B41)</f>
        <v>*KEY_ERR</v>
      </c>
      <c r="AP41" s="187" t="str">
        <f ca="1">_xll.DBRW(Server&amp;Cube1,$H$13,$AP$3,$H$15,$P$1,AP$2,$H$16,$B41)</f>
        <v>*KEY_ERR</v>
      </c>
      <c r="AQ41" s="54" t="str">
        <f ca="1">_xll.DBRW(Server&amp;Cube1,$H$13,$AP$3,$H$15,$H$17,AQ$1,$H$16,$B41)</f>
        <v>*KEY_ERR</v>
      </c>
      <c r="AR41" s="58" t="str">
        <f ca="1">_xll.DBRW(Server&amp;Cube1,$H$13,$AP$3,$H$15,$H$17,AR$1,$H$16,$B41)</f>
        <v>*KEY_ERR</v>
      </c>
      <c r="AS41" s="58" t="str">
        <f ca="1">_xll.DBRW(Server&amp;Cube1,$H$13,$AP$3,$H$15,$H$17,AS$1,$H$16,$B41)</f>
        <v>*KEY_ERR</v>
      </c>
      <c r="AT41" s="58" t="str">
        <f ca="1">_xll.DBRW(Server&amp;Cube1,$H$13,$AP$3,$H$15,$H$17,AT$1,$H$16,$B41)</f>
        <v>*KEY_ERR</v>
      </c>
      <c r="AU41" s="58" t="str">
        <f ca="1">_xll.DBRW(Server&amp;Cube1,$H$13,$AP$3,$H$15,$H$17,AU$1,$H$16,$B41)</f>
        <v>*KEY_ERR</v>
      </c>
      <c r="AV41" s="58" t="str">
        <f ca="1">_xll.DBRW(Server&amp;Cube1,$H$13,$AP$3,$H$15,$H$17,AV$1,$H$16,$B41)</f>
        <v>*KEY_ERR</v>
      </c>
      <c r="AW41" s="58" t="str">
        <f ca="1">_xll.DBRW(Server&amp;Cube1,$H$13,$AP$3,$H$15,$H$17,AW$1,$H$16,$B41)</f>
        <v>*KEY_ERR</v>
      </c>
      <c r="AX41" s="58" t="str">
        <f ca="1">_xll.DBRW(Server&amp;Cube1,$H$13,$AP$3,$H$15,$H$17,AX$1,$H$16,$B41)</f>
        <v>*KEY_ERR</v>
      </c>
      <c r="AY41" s="58" t="str">
        <f ca="1">_xll.DBRW(Server&amp;Cube1,$H$13,$AP$3,$H$15,$H$17,AY$1,$H$16,$B41)</f>
        <v>*KEY_ERR</v>
      </c>
      <c r="AZ41" s="58" t="str">
        <f ca="1">_xll.DBRW(Server&amp;Cube1,$H$13,$AP$3,$H$15,$H$17,AZ$1,$H$16,$B41)</f>
        <v>*KEY_ERR</v>
      </c>
      <c r="BA41" s="58" t="str">
        <f ca="1">_xll.DBRW(Server&amp;Cube1,$H$13,$AP$3,$H$15,$H$17,BA$1,$H$16,$B41)</f>
        <v>*KEY_ERR</v>
      </c>
      <c r="BB41" s="59" t="str">
        <f ca="1">_xll.DBRW(Server&amp;Cube1,$H$13,$AP$3,$H$15,$H$17,BB$1,$H$16,$B41)</f>
        <v>*KEY_ERR</v>
      </c>
      <c r="BC41" s="187" t="str">
        <f ca="1">_xll.DBRW(Server&amp;Cube1,$H$13,$BC$3,$H$15,$P$1,BC$2,$H$16,$B41)</f>
        <v>*KEY_ERR</v>
      </c>
      <c r="BD41" s="54" t="str">
        <f ca="1">_xll.DBRW(Server&amp;Cube1,$H$13,$BC$3,$H$15,$H$17,BD$1,$H$16,$B41)</f>
        <v>*KEY_ERR</v>
      </c>
      <c r="BE41" s="58" t="str">
        <f ca="1">_xll.DBRW(Server&amp;Cube1,$H$13,$BC$3,$H$15,$H$17,BE$1,$H$16,$B41)</f>
        <v>*KEY_ERR</v>
      </c>
      <c r="BF41" s="58" t="str">
        <f ca="1">_xll.DBRW(Server&amp;Cube1,$H$13,$BC$3,$H$15,$H$17,BF$1,$H$16,$B41)</f>
        <v>*KEY_ERR</v>
      </c>
      <c r="BG41" s="58" t="str">
        <f ca="1">_xll.DBRW(Server&amp;Cube1,$H$13,$BC$3,$H$15,$H$17,BG$1,$H$16,$B41)</f>
        <v>*KEY_ERR</v>
      </c>
      <c r="BH41" s="58" t="str">
        <f ca="1">_xll.DBRW(Server&amp;Cube1,$H$13,$BC$3,$H$15,$H$17,BH$1,$H$16,$B41)</f>
        <v>*KEY_ERR</v>
      </c>
      <c r="BI41" s="58" t="str">
        <f ca="1">_xll.DBRW(Server&amp;Cube1,$H$13,$BC$3,$H$15,$H$17,BI$1,$H$16,$B41)</f>
        <v>*KEY_ERR</v>
      </c>
      <c r="BJ41" s="58" t="str">
        <f ca="1">_xll.DBRW(Server&amp;Cube1,$H$13,$BC$3,$H$15,$H$17,BJ$1,$H$16,$B41)</f>
        <v>*KEY_ERR</v>
      </c>
      <c r="BK41" s="58" t="str">
        <f ca="1">_xll.DBRW(Server&amp;Cube1,$H$13,$BC$3,$H$15,$H$17,BK$1,$H$16,$B41)</f>
        <v>*KEY_ERR</v>
      </c>
      <c r="BL41" s="58" t="str">
        <f ca="1">_xll.DBRW(Server&amp;Cube1,$H$13,$BC$3,$H$15,$H$17,BL$1,$H$16,$B41)</f>
        <v>*KEY_ERR</v>
      </c>
      <c r="BM41" s="58" t="str">
        <f ca="1">_xll.DBRW(Server&amp;Cube1,$H$13,$BC$3,$H$15,$H$17,BM$1,$H$16,$B41)</f>
        <v>*KEY_ERR</v>
      </c>
      <c r="BN41" s="58" t="str">
        <f ca="1">_xll.DBRW(Server&amp;Cube1,$H$13,$BC$3,$H$15,$H$17,BN$1,$H$16,$B41)</f>
        <v>*KEY_ERR</v>
      </c>
      <c r="BO41" s="59" t="str">
        <f ca="1">_xll.DBRW(Server&amp;Cube1,$H$13,$BC$3,$H$15,$H$17,BO$1,$H$16,$B41)</f>
        <v>*KEY_ERR</v>
      </c>
      <c r="BP41" s="31"/>
    </row>
    <row r="42" spans="1:68" ht="3" customHeight="1" x14ac:dyDescent="0.25">
      <c r="A42"/>
      <c r="B42" s="11"/>
      <c r="C42" s="11"/>
      <c r="D42" s="20"/>
      <c r="E42" s="170"/>
      <c r="F42" s="106"/>
      <c r="G42" s="43"/>
      <c r="H42" s="43"/>
      <c r="I42" s="38"/>
      <c r="J42" s="62"/>
      <c r="K42" s="38"/>
      <c r="L42" s="62"/>
      <c r="M42" s="63"/>
      <c r="N42" s="62"/>
      <c r="O42" s="64"/>
      <c r="P42" s="62"/>
      <c r="Q42" s="62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6"/>
      <c r="AC42" s="186"/>
      <c r="AD42" s="62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6"/>
      <c r="AP42" s="186"/>
      <c r="AQ42" s="62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6"/>
      <c r="BC42" s="186"/>
      <c r="BD42" s="62"/>
      <c r="BE42" s="65"/>
      <c r="BF42" s="65"/>
      <c r="BG42" s="65"/>
      <c r="BH42" s="65"/>
      <c r="BI42" s="65"/>
      <c r="BJ42" s="65"/>
      <c r="BK42" s="65"/>
      <c r="BL42" s="65"/>
      <c r="BM42" s="65"/>
      <c r="BN42" s="65"/>
      <c r="BO42" s="66"/>
      <c r="BP42" s="31"/>
    </row>
    <row r="43" spans="1:68" ht="21" customHeight="1" x14ac:dyDescent="0.25">
      <c r="A43"/>
      <c r="B43" s="12" t="s">
        <v>26</v>
      </c>
      <c r="C43" s="12"/>
      <c r="D43" s="21"/>
      <c r="E43" s="169"/>
      <c r="F43" s="105"/>
      <c r="G43" s="306" t="str">
        <f ca="1">_xll.DBRA(Server&amp;$B$22,$B43,"French")</f>
        <v>Honoraires conseil et formation</v>
      </c>
      <c r="H43" s="306" t="str">
        <f ca="1">_xll.DBRA(Server&amp;$B$22,$B43,"French")</f>
        <v>Honoraires conseil et formation</v>
      </c>
      <c r="I43" s="39"/>
      <c r="J43" s="67" t="str">
        <f ca="1">_xll.DBRW(Server&amp;Cube1,$H$13,$H$14,$H$15,$J$1,$J$2,$H$16,$B43)</f>
        <v/>
      </c>
      <c r="K43" s="39"/>
      <c r="L43" s="67" t="str">
        <f ca="1">_xll.DBRW(Server&amp;Cube1,$H$13,$H$14,$H$15,$L$1,$L$2,$H$16,$B43)</f>
        <v/>
      </c>
      <c r="M43" s="68"/>
      <c r="N43" s="67" t="str">
        <f ca="1">_xll.DBRW(Server&amp;Cube1,$H$13,$H$14,$H$15,$P$1,N$2,$H$16,$B43)</f>
        <v>*KEY_ERR</v>
      </c>
      <c r="O43" s="69"/>
      <c r="P43" s="67" t="str">
        <f ca="1">_xll.DBRW(Server&amp;Cube1,$H$13,$P$3,$H$15,$P$1,P$2,$H$16,$B43)</f>
        <v>*KEY_ERR</v>
      </c>
      <c r="Q43" s="67" t="str">
        <f ca="1">_xll.DBRW(Server&amp;Cube1,$H$13,$P$3,$H$15,$H$17,Q$1,$H$16,$B43)</f>
        <v>*KEY_ERR</v>
      </c>
      <c r="R43" s="70" t="str">
        <f ca="1">_xll.DBRW(Server&amp;Cube1,$H$13,$P$3,$H$15,$H$17,R$1,$H$16,$B43)</f>
        <v>*KEY_ERR</v>
      </c>
      <c r="S43" s="70" t="str">
        <f ca="1">_xll.DBRW(Server&amp;Cube1,$H$13,$P$3,$H$15,$H$17,S$1,$H$16,$B43)</f>
        <v>*KEY_ERR</v>
      </c>
      <c r="T43" s="70" t="str">
        <f ca="1">_xll.DBRW(Server&amp;Cube1,$H$13,$P$3,$H$15,$H$17,T$1,$H$16,$B43)</f>
        <v>*KEY_ERR</v>
      </c>
      <c r="U43" s="70" t="str">
        <f ca="1">_xll.DBRW(Server&amp;Cube1,$H$13,$P$3,$H$15,$H$17,U$1,$H$16,$B43)</f>
        <v>*KEY_ERR</v>
      </c>
      <c r="V43" s="70" t="str">
        <f ca="1">_xll.DBRW(Server&amp;Cube1,$H$13,$P$3,$H$15,$H$17,V$1,$H$16,$B43)</f>
        <v>*KEY_ERR</v>
      </c>
      <c r="W43" s="70" t="str">
        <f ca="1">_xll.DBRW(Server&amp;Cube1,$H$13,$P$3,$H$15,$H$17,W$1,$H$16,$B43)</f>
        <v>*KEY_ERR</v>
      </c>
      <c r="X43" s="70" t="str">
        <f ca="1">_xll.DBRW(Server&amp;Cube1,$H$13,$P$3,$H$15,$H$17,X$1,$H$16,$B43)</f>
        <v>*KEY_ERR</v>
      </c>
      <c r="Y43" s="70" t="str">
        <f ca="1">_xll.DBRW(Server&amp;Cube1,$H$13,$P$3,$H$15,$H$17,Y$1,$H$16,$B43)</f>
        <v>*KEY_ERR</v>
      </c>
      <c r="Z43" s="70" t="str">
        <f ca="1">_xll.DBRW(Server&amp;Cube1,$H$13,$P$3,$H$15,$H$17,Z$1,$H$16,$B43)</f>
        <v>*KEY_ERR</v>
      </c>
      <c r="AA43" s="70" t="str">
        <f ca="1">_xll.DBRW(Server&amp;Cube1,$H$13,$P$3,$H$15,$H$17,AA$1,$H$16,$B43)</f>
        <v>*KEY_ERR</v>
      </c>
      <c r="AB43" s="71" t="str">
        <f ca="1">_xll.DBRW(Server&amp;Cube1,$H$13,$P$3,$H$15,$H$17,AB$1,$H$16,$B43)</f>
        <v>*KEY_ERR</v>
      </c>
      <c r="AC43" s="185" t="str">
        <f ca="1">_xll.DBRW(Server&amp;Cube1,$H$13,$AC$3,$H$15,$P$1,AC$2,$H$16,$B43)</f>
        <v>*KEY_ERR</v>
      </c>
      <c r="AD43" s="67" t="str">
        <f ca="1">_xll.DBRW(Server&amp;Cube1,$H$13,$AC$3,$H$15,$H$17,AD$1,$H$16,$B43)</f>
        <v>*KEY_ERR</v>
      </c>
      <c r="AE43" s="70" t="str">
        <f ca="1">_xll.DBRW(Server&amp;Cube1,$H$13,$AC$3,$H$15,$H$17,AE$1,$H$16,$B43)</f>
        <v>*KEY_ERR</v>
      </c>
      <c r="AF43" s="70" t="str">
        <f ca="1">_xll.DBRW(Server&amp;Cube1,$H$13,$AC$3,$H$15,$H$17,AF$1,$H$16,$B43)</f>
        <v>*KEY_ERR</v>
      </c>
      <c r="AG43" s="70" t="str">
        <f ca="1">_xll.DBRW(Server&amp;Cube1,$H$13,$AC$3,$H$15,$H$17,AG$1,$H$16,$B43)</f>
        <v>*KEY_ERR</v>
      </c>
      <c r="AH43" s="70" t="str">
        <f ca="1">_xll.DBRW(Server&amp;Cube1,$H$13,$AC$3,$H$15,$H$17,AH$1,$H$16,$B43)</f>
        <v>*KEY_ERR</v>
      </c>
      <c r="AI43" s="70" t="str">
        <f ca="1">_xll.DBRW(Server&amp;Cube1,$H$13,$AC$3,$H$15,$H$17,AI$1,$H$16,$B43)</f>
        <v>*KEY_ERR</v>
      </c>
      <c r="AJ43" s="70" t="str">
        <f ca="1">_xll.DBRW(Server&amp;Cube1,$H$13,$AC$3,$H$15,$H$17,AJ$1,$H$16,$B43)</f>
        <v>*KEY_ERR</v>
      </c>
      <c r="AK43" s="70" t="str">
        <f ca="1">_xll.DBRW(Server&amp;Cube1,$H$13,$AC$3,$H$15,$H$17,AK$1,$H$16,$B43)</f>
        <v>*KEY_ERR</v>
      </c>
      <c r="AL43" s="70" t="str">
        <f ca="1">_xll.DBRW(Server&amp;Cube1,$H$13,$AC$3,$H$15,$H$17,AL$1,$H$16,$B43)</f>
        <v>*KEY_ERR</v>
      </c>
      <c r="AM43" s="70" t="str">
        <f ca="1">_xll.DBRW(Server&amp;Cube1,$H$13,$AC$3,$H$15,$H$17,AM$1,$H$16,$B43)</f>
        <v>*KEY_ERR</v>
      </c>
      <c r="AN43" s="70" t="str">
        <f ca="1">_xll.DBRW(Server&amp;Cube1,$H$13,$AC$3,$H$15,$H$17,AN$1,$H$16,$B43)</f>
        <v>*KEY_ERR</v>
      </c>
      <c r="AO43" s="71" t="str">
        <f ca="1">_xll.DBRW(Server&amp;Cube1,$H$13,$AC$3,$H$15,$H$17,AO$1,$H$16,$B43)</f>
        <v>*KEY_ERR</v>
      </c>
      <c r="AP43" s="185" t="str">
        <f ca="1">_xll.DBRW(Server&amp;Cube1,$H$13,$AP$3,$H$15,$P$1,AP$2,$H$16,$B43)</f>
        <v>*KEY_ERR</v>
      </c>
      <c r="AQ43" s="67" t="str">
        <f ca="1">_xll.DBRW(Server&amp;Cube1,$H$13,$AP$3,$H$15,$H$17,AQ$1,$H$16,$B43)</f>
        <v>*KEY_ERR</v>
      </c>
      <c r="AR43" s="70" t="str">
        <f ca="1">_xll.DBRW(Server&amp;Cube1,$H$13,$AP$3,$H$15,$H$17,AR$1,$H$16,$B43)</f>
        <v>*KEY_ERR</v>
      </c>
      <c r="AS43" s="70" t="str">
        <f ca="1">_xll.DBRW(Server&amp;Cube1,$H$13,$AP$3,$H$15,$H$17,AS$1,$H$16,$B43)</f>
        <v>*KEY_ERR</v>
      </c>
      <c r="AT43" s="70" t="str">
        <f ca="1">_xll.DBRW(Server&amp;Cube1,$H$13,$AP$3,$H$15,$H$17,AT$1,$H$16,$B43)</f>
        <v>*KEY_ERR</v>
      </c>
      <c r="AU43" s="70" t="str">
        <f ca="1">_xll.DBRW(Server&amp;Cube1,$H$13,$AP$3,$H$15,$H$17,AU$1,$H$16,$B43)</f>
        <v>*KEY_ERR</v>
      </c>
      <c r="AV43" s="70" t="str">
        <f ca="1">_xll.DBRW(Server&amp;Cube1,$H$13,$AP$3,$H$15,$H$17,AV$1,$H$16,$B43)</f>
        <v>*KEY_ERR</v>
      </c>
      <c r="AW43" s="70" t="str">
        <f ca="1">_xll.DBRW(Server&amp;Cube1,$H$13,$AP$3,$H$15,$H$17,AW$1,$H$16,$B43)</f>
        <v>*KEY_ERR</v>
      </c>
      <c r="AX43" s="70" t="str">
        <f ca="1">_xll.DBRW(Server&amp;Cube1,$H$13,$AP$3,$H$15,$H$17,AX$1,$H$16,$B43)</f>
        <v>*KEY_ERR</v>
      </c>
      <c r="AY43" s="70" t="str">
        <f ca="1">_xll.DBRW(Server&amp;Cube1,$H$13,$AP$3,$H$15,$H$17,AY$1,$H$16,$B43)</f>
        <v>*KEY_ERR</v>
      </c>
      <c r="AZ43" s="70" t="str">
        <f ca="1">_xll.DBRW(Server&amp;Cube1,$H$13,$AP$3,$H$15,$H$17,AZ$1,$H$16,$B43)</f>
        <v>*KEY_ERR</v>
      </c>
      <c r="BA43" s="70" t="str">
        <f ca="1">_xll.DBRW(Server&amp;Cube1,$H$13,$AP$3,$H$15,$H$17,BA$1,$H$16,$B43)</f>
        <v>*KEY_ERR</v>
      </c>
      <c r="BB43" s="71" t="str">
        <f ca="1">_xll.DBRW(Server&amp;Cube1,$H$13,$AP$3,$H$15,$H$17,BB$1,$H$16,$B43)</f>
        <v>*KEY_ERR</v>
      </c>
      <c r="BC43" s="185" t="str">
        <f ca="1">_xll.DBRW(Server&amp;Cube1,$H$13,$BC$3,$H$15,$P$1,BC$2,$H$16,$B43)</f>
        <v>*KEY_ERR</v>
      </c>
      <c r="BD43" s="67" t="str">
        <f ca="1">_xll.DBRW(Server&amp;Cube1,$H$13,$BC$3,$H$15,$H$17,BD$1,$H$16,$B43)</f>
        <v>*KEY_ERR</v>
      </c>
      <c r="BE43" s="70" t="str">
        <f ca="1">_xll.DBRW(Server&amp;Cube1,$H$13,$BC$3,$H$15,$H$17,BE$1,$H$16,$B43)</f>
        <v>*KEY_ERR</v>
      </c>
      <c r="BF43" s="70" t="str">
        <f ca="1">_xll.DBRW(Server&amp;Cube1,$H$13,$BC$3,$H$15,$H$17,BF$1,$H$16,$B43)</f>
        <v>*KEY_ERR</v>
      </c>
      <c r="BG43" s="70" t="str">
        <f ca="1">_xll.DBRW(Server&amp;Cube1,$H$13,$BC$3,$H$15,$H$17,BG$1,$H$16,$B43)</f>
        <v>*KEY_ERR</v>
      </c>
      <c r="BH43" s="70" t="str">
        <f ca="1">_xll.DBRW(Server&amp;Cube1,$H$13,$BC$3,$H$15,$H$17,BH$1,$H$16,$B43)</f>
        <v>*KEY_ERR</v>
      </c>
      <c r="BI43" s="70" t="str">
        <f ca="1">_xll.DBRW(Server&amp;Cube1,$H$13,$BC$3,$H$15,$H$17,BI$1,$H$16,$B43)</f>
        <v>*KEY_ERR</v>
      </c>
      <c r="BJ43" s="70" t="str">
        <f ca="1">_xll.DBRW(Server&amp;Cube1,$H$13,$BC$3,$H$15,$H$17,BJ$1,$H$16,$B43)</f>
        <v>*KEY_ERR</v>
      </c>
      <c r="BK43" s="70" t="str">
        <f ca="1">_xll.DBRW(Server&amp;Cube1,$H$13,$BC$3,$H$15,$H$17,BK$1,$H$16,$B43)</f>
        <v>*KEY_ERR</v>
      </c>
      <c r="BL43" s="70" t="str">
        <f ca="1">_xll.DBRW(Server&amp;Cube1,$H$13,$BC$3,$H$15,$H$17,BL$1,$H$16,$B43)</f>
        <v>*KEY_ERR</v>
      </c>
      <c r="BM43" s="70" t="str">
        <f ca="1">_xll.DBRW(Server&amp;Cube1,$H$13,$BC$3,$H$15,$H$17,BM$1,$H$16,$B43)</f>
        <v>*KEY_ERR</v>
      </c>
      <c r="BN43" s="70" t="str">
        <f ca="1">_xll.DBRW(Server&amp;Cube1,$H$13,$BC$3,$H$15,$H$17,BN$1,$H$16,$B43)</f>
        <v>*KEY_ERR</v>
      </c>
      <c r="BO43" s="71" t="str">
        <f ca="1">_xll.DBRW(Server&amp;Cube1,$H$13,$BC$3,$H$15,$H$17,BO$1,$H$16,$B43)</f>
        <v>*KEY_ERR</v>
      </c>
      <c r="BP43" s="31"/>
    </row>
    <row r="44" spans="1:68" ht="3" customHeight="1" x14ac:dyDescent="0.25">
      <c r="A44"/>
      <c r="B44" s="11"/>
      <c r="C44" s="11"/>
      <c r="D44" s="20"/>
      <c r="E44" s="170"/>
      <c r="F44" s="106"/>
      <c r="G44" s="43"/>
      <c r="H44" s="43"/>
      <c r="I44" s="38"/>
      <c r="J44" s="62"/>
      <c r="K44" s="38"/>
      <c r="L44" s="62"/>
      <c r="M44" s="63"/>
      <c r="N44" s="62"/>
      <c r="O44" s="64"/>
      <c r="P44" s="62"/>
      <c r="Q44" s="62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6"/>
      <c r="AC44" s="186"/>
      <c r="AD44" s="62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6"/>
      <c r="AP44" s="186"/>
      <c r="AQ44" s="62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6"/>
      <c r="BC44" s="186"/>
      <c r="BD44" s="62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6"/>
      <c r="BP44" s="31"/>
    </row>
    <row r="45" spans="1:68" ht="21" customHeight="1" x14ac:dyDescent="0.25">
      <c r="A45"/>
      <c r="B45" s="12" t="s">
        <v>27</v>
      </c>
      <c r="C45" s="12"/>
      <c r="D45" s="21"/>
      <c r="E45" s="169"/>
      <c r="F45" s="105"/>
      <c r="G45" s="306" t="str">
        <f ca="1">_xll.DBRA(Server&amp;$B$22,$B45,"French")</f>
        <v>MAD et location de matériel et de salle</v>
      </c>
      <c r="H45" s="306" t="str">
        <f ca="1">_xll.DBRA(Server&amp;$B$22,$B45,"French")</f>
        <v>MAD et location de matériel et de salle</v>
      </c>
      <c r="I45" s="39"/>
      <c r="J45" s="67" t="str">
        <f ca="1">_xll.DBRW(Server&amp;Cube1,$H$13,$H$14,$H$15,$J$1,$J$2,$H$16,$B45)</f>
        <v/>
      </c>
      <c r="K45" s="39"/>
      <c r="L45" s="67" t="str">
        <f ca="1">_xll.DBRW(Server&amp;Cube1,$H$13,$H$14,$H$15,$L$1,$L$2,$H$16,$B45)</f>
        <v/>
      </c>
      <c r="M45" s="68"/>
      <c r="N45" s="67" t="str">
        <f ca="1">_xll.DBRW(Server&amp;Cube1,$H$13,$H$14,$H$15,$P$1,N$2,$H$16,$B45)</f>
        <v>*KEY_ERR</v>
      </c>
      <c r="O45" s="69"/>
      <c r="P45" s="67" t="str">
        <f ca="1">_xll.DBRW(Server&amp;Cube1,$H$13,$P$3,$H$15,$P$1,P$2,$H$16,$B45)</f>
        <v>*KEY_ERR</v>
      </c>
      <c r="Q45" s="67" t="str">
        <f ca="1">_xll.DBRW(Server&amp;Cube1,$H$13,$P$3,$H$15,$H$17,Q$1,$H$16,$B45)</f>
        <v>*KEY_ERR</v>
      </c>
      <c r="R45" s="70" t="str">
        <f ca="1">_xll.DBRW(Server&amp;Cube1,$H$13,$P$3,$H$15,$H$17,R$1,$H$16,$B45)</f>
        <v>*KEY_ERR</v>
      </c>
      <c r="S45" s="70" t="str">
        <f ca="1">_xll.DBRW(Server&amp;Cube1,$H$13,$P$3,$H$15,$H$17,S$1,$H$16,$B45)</f>
        <v>*KEY_ERR</v>
      </c>
      <c r="T45" s="70" t="str">
        <f ca="1">_xll.DBRW(Server&amp;Cube1,$H$13,$P$3,$H$15,$H$17,T$1,$H$16,$B45)</f>
        <v>*KEY_ERR</v>
      </c>
      <c r="U45" s="70" t="str">
        <f ca="1">_xll.DBRW(Server&amp;Cube1,$H$13,$P$3,$H$15,$H$17,U$1,$H$16,$B45)</f>
        <v>*KEY_ERR</v>
      </c>
      <c r="V45" s="70" t="str">
        <f ca="1">_xll.DBRW(Server&amp;Cube1,$H$13,$P$3,$H$15,$H$17,V$1,$H$16,$B45)</f>
        <v>*KEY_ERR</v>
      </c>
      <c r="W45" s="70" t="str">
        <f ca="1">_xll.DBRW(Server&amp;Cube1,$H$13,$P$3,$H$15,$H$17,W$1,$H$16,$B45)</f>
        <v>*KEY_ERR</v>
      </c>
      <c r="X45" s="70" t="str">
        <f ca="1">_xll.DBRW(Server&amp;Cube1,$H$13,$P$3,$H$15,$H$17,X$1,$H$16,$B45)</f>
        <v>*KEY_ERR</v>
      </c>
      <c r="Y45" s="70" t="str">
        <f ca="1">_xll.DBRW(Server&amp;Cube1,$H$13,$P$3,$H$15,$H$17,Y$1,$H$16,$B45)</f>
        <v>*KEY_ERR</v>
      </c>
      <c r="Z45" s="70" t="str">
        <f ca="1">_xll.DBRW(Server&amp;Cube1,$H$13,$P$3,$H$15,$H$17,Z$1,$H$16,$B45)</f>
        <v>*KEY_ERR</v>
      </c>
      <c r="AA45" s="70" t="str">
        <f ca="1">_xll.DBRW(Server&amp;Cube1,$H$13,$P$3,$H$15,$H$17,AA$1,$H$16,$B45)</f>
        <v>*KEY_ERR</v>
      </c>
      <c r="AB45" s="71" t="str">
        <f ca="1">_xll.DBRW(Server&amp;Cube1,$H$13,$P$3,$H$15,$H$17,AB$1,$H$16,$B45)</f>
        <v>*KEY_ERR</v>
      </c>
      <c r="AC45" s="185" t="str">
        <f ca="1">_xll.DBRW(Server&amp;Cube1,$H$13,$AC$3,$H$15,$P$1,AC$2,$H$16,$B45)</f>
        <v>*KEY_ERR</v>
      </c>
      <c r="AD45" s="67" t="str">
        <f ca="1">_xll.DBRW(Server&amp;Cube1,$H$13,$AC$3,$H$15,$H$17,AD$1,$H$16,$B45)</f>
        <v>*KEY_ERR</v>
      </c>
      <c r="AE45" s="70" t="str">
        <f ca="1">_xll.DBRW(Server&amp;Cube1,$H$13,$AC$3,$H$15,$H$17,AE$1,$H$16,$B45)</f>
        <v>*KEY_ERR</v>
      </c>
      <c r="AF45" s="70" t="str">
        <f ca="1">_xll.DBRW(Server&amp;Cube1,$H$13,$AC$3,$H$15,$H$17,AF$1,$H$16,$B45)</f>
        <v>*KEY_ERR</v>
      </c>
      <c r="AG45" s="70" t="str">
        <f ca="1">_xll.DBRW(Server&amp;Cube1,$H$13,$AC$3,$H$15,$H$17,AG$1,$H$16,$B45)</f>
        <v>*KEY_ERR</v>
      </c>
      <c r="AH45" s="70" t="str">
        <f ca="1">_xll.DBRW(Server&amp;Cube1,$H$13,$AC$3,$H$15,$H$17,AH$1,$H$16,$B45)</f>
        <v>*KEY_ERR</v>
      </c>
      <c r="AI45" s="70" t="str">
        <f ca="1">_xll.DBRW(Server&amp;Cube1,$H$13,$AC$3,$H$15,$H$17,AI$1,$H$16,$B45)</f>
        <v>*KEY_ERR</v>
      </c>
      <c r="AJ45" s="70" t="str">
        <f ca="1">_xll.DBRW(Server&amp;Cube1,$H$13,$AC$3,$H$15,$H$17,AJ$1,$H$16,$B45)</f>
        <v>*KEY_ERR</v>
      </c>
      <c r="AK45" s="70" t="str">
        <f ca="1">_xll.DBRW(Server&amp;Cube1,$H$13,$AC$3,$H$15,$H$17,AK$1,$H$16,$B45)</f>
        <v>*KEY_ERR</v>
      </c>
      <c r="AL45" s="70" t="str">
        <f ca="1">_xll.DBRW(Server&amp;Cube1,$H$13,$AC$3,$H$15,$H$17,AL$1,$H$16,$B45)</f>
        <v>*KEY_ERR</v>
      </c>
      <c r="AM45" s="70" t="str">
        <f ca="1">_xll.DBRW(Server&amp;Cube1,$H$13,$AC$3,$H$15,$H$17,AM$1,$H$16,$B45)</f>
        <v>*KEY_ERR</v>
      </c>
      <c r="AN45" s="70" t="str">
        <f ca="1">_xll.DBRW(Server&amp;Cube1,$H$13,$AC$3,$H$15,$H$17,AN$1,$H$16,$B45)</f>
        <v>*KEY_ERR</v>
      </c>
      <c r="AO45" s="71" t="str">
        <f ca="1">_xll.DBRW(Server&amp;Cube1,$H$13,$AC$3,$H$15,$H$17,AO$1,$H$16,$B45)</f>
        <v>*KEY_ERR</v>
      </c>
      <c r="AP45" s="185" t="str">
        <f ca="1">_xll.DBRW(Server&amp;Cube1,$H$13,$AP$3,$H$15,$P$1,AP$2,$H$16,$B45)</f>
        <v>*KEY_ERR</v>
      </c>
      <c r="AQ45" s="67" t="str">
        <f ca="1">_xll.DBRW(Server&amp;Cube1,$H$13,$AP$3,$H$15,$H$17,AQ$1,$H$16,$B45)</f>
        <v>*KEY_ERR</v>
      </c>
      <c r="AR45" s="70" t="str">
        <f ca="1">_xll.DBRW(Server&amp;Cube1,$H$13,$AP$3,$H$15,$H$17,AR$1,$H$16,$B45)</f>
        <v>*KEY_ERR</v>
      </c>
      <c r="AS45" s="70" t="str">
        <f ca="1">_xll.DBRW(Server&amp;Cube1,$H$13,$AP$3,$H$15,$H$17,AS$1,$H$16,$B45)</f>
        <v>*KEY_ERR</v>
      </c>
      <c r="AT45" s="70" t="str">
        <f ca="1">_xll.DBRW(Server&amp;Cube1,$H$13,$AP$3,$H$15,$H$17,AT$1,$H$16,$B45)</f>
        <v>*KEY_ERR</v>
      </c>
      <c r="AU45" s="70" t="str">
        <f ca="1">_xll.DBRW(Server&amp;Cube1,$H$13,$AP$3,$H$15,$H$17,AU$1,$H$16,$B45)</f>
        <v>*KEY_ERR</v>
      </c>
      <c r="AV45" s="70" t="str">
        <f ca="1">_xll.DBRW(Server&amp;Cube1,$H$13,$AP$3,$H$15,$H$17,AV$1,$H$16,$B45)</f>
        <v>*KEY_ERR</v>
      </c>
      <c r="AW45" s="70" t="str">
        <f ca="1">_xll.DBRW(Server&amp;Cube1,$H$13,$AP$3,$H$15,$H$17,AW$1,$H$16,$B45)</f>
        <v>*KEY_ERR</v>
      </c>
      <c r="AX45" s="70" t="str">
        <f ca="1">_xll.DBRW(Server&amp;Cube1,$H$13,$AP$3,$H$15,$H$17,AX$1,$H$16,$B45)</f>
        <v>*KEY_ERR</v>
      </c>
      <c r="AY45" s="70" t="str">
        <f ca="1">_xll.DBRW(Server&amp;Cube1,$H$13,$AP$3,$H$15,$H$17,AY$1,$H$16,$B45)</f>
        <v>*KEY_ERR</v>
      </c>
      <c r="AZ45" s="70" t="str">
        <f ca="1">_xll.DBRW(Server&amp;Cube1,$H$13,$AP$3,$H$15,$H$17,AZ$1,$H$16,$B45)</f>
        <v>*KEY_ERR</v>
      </c>
      <c r="BA45" s="70" t="str">
        <f ca="1">_xll.DBRW(Server&amp;Cube1,$H$13,$AP$3,$H$15,$H$17,BA$1,$H$16,$B45)</f>
        <v>*KEY_ERR</v>
      </c>
      <c r="BB45" s="71" t="str">
        <f ca="1">_xll.DBRW(Server&amp;Cube1,$H$13,$AP$3,$H$15,$H$17,BB$1,$H$16,$B45)</f>
        <v>*KEY_ERR</v>
      </c>
      <c r="BC45" s="185" t="str">
        <f ca="1">_xll.DBRW(Server&amp;Cube1,$H$13,$BC$3,$H$15,$P$1,BC$2,$H$16,$B45)</f>
        <v>*KEY_ERR</v>
      </c>
      <c r="BD45" s="67" t="str">
        <f ca="1">_xll.DBRW(Server&amp;Cube1,$H$13,$BC$3,$H$15,$H$17,BD$1,$H$16,$B45)</f>
        <v>*KEY_ERR</v>
      </c>
      <c r="BE45" s="70" t="str">
        <f ca="1">_xll.DBRW(Server&amp;Cube1,$H$13,$BC$3,$H$15,$H$17,BE$1,$H$16,$B45)</f>
        <v>*KEY_ERR</v>
      </c>
      <c r="BF45" s="70" t="str">
        <f ca="1">_xll.DBRW(Server&amp;Cube1,$H$13,$BC$3,$H$15,$H$17,BF$1,$H$16,$B45)</f>
        <v>*KEY_ERR</v>
      </c>
      <c r="BG45" s="70" t="str">
        <f ca="1">_xll.DBRW(Server&amp;Cube1,$H$13,$BC$3,$H$15,$H$17,BG$1,$H$16,$B45)</f>
        <v>*KEY_ERR</v>
      </c>
      <c r="BH45" s="70" t="str">
        <f ca="1">_xll.DBRW(Server&amp;Cube1,$H$13,$BC$3,$H$15,$H$17,BH$1,$H$16,$B45)</f>
        <v>*KEY_ERR</v>
      </c>
      <c r="BI45" s="70" t="str">
        <f ca="1">_xll.DBRW(Server&amp;Cube1,$H$13,$BC$3,$H$15,$H$17,BI$1,$H$16,$B45)</f>
        <v>*KEY_ERR</v>
      </c>
      <c r="BJ45" s="70" t="str">
        <f ca="1">_xll.DBRW(Server&amp;Cube1,$H$13,$BC$3,$H$15,$H$17,BJ$1,$H$16,$B45)</f>
        <v>*KEY_ERR</v>
      </c>
      <c r="BK45" s="70" t="str">
        <f ca="1">_xll.DBRW(Server&amp;Cube1,$H$13,$BC$3,$H$15,$H$17,BK$1,$H$16,$B45)</f>
        <v>*KEY_ERR</v>
      </c>
      <c r="BL45" s="70" t="str">
        <f ca="1">_xll.DBRW(Server&amp;Cube1,$H$13,$BC$3,$H$15,$H$17,BL$1,$H$16,$B45)</f>
        <v>*KEY_ERR</v>
      </c>
      <c r="BM45" s="70" t="str">
        <f ca="1">_xll.DBRW(Server&amp;Cube1,$H$13,$BC$3,$H$15,$H$17,BM$1,$H$16,$B45)</f>
        <v>*KEY_ERR</v>
      </c>
      <c r="BN45" s="70" t="str">
        <f ca="1">_xll.DBRW(Server&amp;Cube1,$H$13,$BC$3,$H$15,$H$17,BN$1,$H$16,$B45)</f>
        <v>*KEY_ERR</v>
      </c>
      <c r="BO45" s="71" t="str">
        <f ca="1">_xll.DBRW(Server&amp;Cube1,$H$13,$BC$3,$H$15,$H$17,BO$1,$H$16,$B45)</f>
        <v>*KEY_ERR</v>
      </c>
      <c r="BP45" s="31"/>
    </row>
    <row r="46" spans="1:68" ht="21" customHeight="1" x14ac:dyDescent="0.25">
      <c r="A46"/>
      <c r="B46" s="13" t="s">
        <v>28</v>
      </c>
      <c r="C46" s="13"/>
      <c r="D46" s="22"/>
      <c r="E46" s="171"/>
      <c r="F46" s="107"/>
      <c r="G46" s="305" t="str">
        <f ca="1">_xll.DBRA(Server&amp;$B$22,$B46,"French")</f>
        <v>Location et MAD salle de formation</v>
      </c>
      <c r="H46" s="305" t="str">
        <f ca="1">_xll.DBRA(Server&amp;$B$22,$B46,"French")</f>
        <v>Location et MAD salle de formation</v>
      </c>
      <c r="I46" s="37"/>
      <c r="J46" s="54" t="str">
        <f ca="1">_xll.DBRW(Server&amp;Cube1,$H$13,$H$14,$H$15,$J$1,$J$2,$H$16,$B46)</f>
        <v/>
      </c>
      <c r="K46" s="37"/>
      <c r="L46" s="54" t="str">
        <f ca="1">_xll.DBRW(Server&amp;Cube1,$H$13,$H$14,$H$15,$L$1,$L$2,$H$16,$B46)</f>
        <v/>
      </c>
      <c r="M46" s="55"/>
      <c r="N46" s="54" t="str">
        <f ca="1">_xll.DBRW(Server&amp;Cube1,$H$13,$H$14,$H$15,$P$1,N$2,$H$16,$B46)</f>
        <v>*KEY_ERR</v>
      </c>
      <c r="O46" s="57"/>
      <c r="P46" s="54" t="str">
        <f ca="1">_xll.DBRW(Server&amp;Cube1,$H$13,$P$3,$H$15,$P$1,P$2,$H$16,$B46)</f>
        <v>*KEY_ERR</v>
      </c>
      <c r="Q46" s="54" t="str">
        <f ca="1">_xll.DBRW(Server&amp;Cube1,$H$13,$P$3,$H$15,$H$17,Q$1,$H$16,$B46)</f>
        <v>*KEY_ERR</v>
      </c>
      <c r="R46" s="58" t="str">
        <f ca="1">_xll.DBRW(Server&amp;Cube1,$H$13,$P$3,$H$15,$H$17,R$1,$H$16,$B46)</f>
        <v>*KEY_ERR</v>
      </c>
      <c r="S46" s="58" t="str">
        <f ca="1">_xll.DBRW(Server&amp;Cube1,$H$13,$P$3,$H$15,$H$17,S$1,$H$16,$B46)</f>
        <v>*KEY_ERR</v>
      </c>
      <c r="T46" s="58" t="str">
        <f ca="1">_xll.DBRW(Server&amp;Cube1,$H$13,$P$3,$H$15,$H$17,T$1,$H$16,$B46)</f>
        <v>*KEY_ERR</v>
      </c>
      <c r="U46" s="58" t="str">
        <f ca="1">_xll.DBRW(Server&amp;Cube1,$H$13,$P$3,$H$15,$H$17,U$1,$H$16,$B46)</f>
        <v>*KEY_ERR</v>
      </c>
      <c r="V46" s="58" t="str">
        <f ca="1">_xll.DBRW(Server&amp;Cube1,$H$13,$P$3,$H$15,$H$17,V$1,$H$16,$B46)</f>
        <v>*KEY_ERR</v>
      </c>
      <c r="W46" s="58" t="str">
        <f ca="1">_xll.DBRW(Server&amp;Cube1,$H$13,$P$3,$H$15,$H$17,W$1,$H$16,$B46)</f>
        <v>*KEY_ERR</v>
      </c>
      <c r="X46" s="58" t="str">
        <f ca="1">_xll.DBRW(Server&amp;Cube1,$H$13,$P$3,$H$15,$H$17,X$1,$H$16,$B46)</f>
        <v>*KEY_ERR</v>
      </c>
      <c r="Y46" s="58" t="str">
        <f ca="1">_xll.DBRW(Server&amp;Cube1,$H$13,$P$3,$H$15,$H$17,Y$1,$H$16,$B46)</f>
        <v>*KEY_ERR</v>
      </c>
      <c r="Z46" s="58" t="str">
        <f ca="1">_xll.DBRW(Server&amp;Cube1,$H$13,$P$3,$H$15,$H$17,Z$1,$H$16,$B46)</f>
        <v>*KEY_ERR</v>
      </c>
      <c r="AA46" s="58" t="str">
        <f ca="1">_xll.DBRW(Server&amp;Cube1,$H$13,$P$3,$H$15,$H$17,AA$1,$H$16,$B46)</f>
        <v>*KEY_ERR</v>
      </c>
      <c r="AB46" s="59" t="str">
        <f ca="1">_xll.DBRW(Server&amp;Cube1,$H$13,$P$3,$H$15,$H$17,AB$1,$H$16,$B46)</f>
        <v>*KEY_ERR</v>
      </c>
      <c r="AC46" s="187" t="str">
        <f ca="1">_xll.DBRW(Server&amp;Cube1,$H$13,$AC$3,$H$15,$P$1,AC$2,$H$16,$B46)</f>
        <v>*KEY_ERR</v>
      </c>
      <c r="AD46" s="54" t="str">
        <f ca="1">_xll.DBRW(Server&amp;Cube1,$H$13,$AC$3,$H$15,$H$17,AD$1,$H$16,$B46)</f>
        <v>*KEY_ERR</v>
      </c>
      <c r="AE46" s="58" t="str">
        <f ca="1">_xll.DBRW(Server&amp;Cube1,$H$13,$AC$3,$H$15,$H$17,AE$1,$H$16,$B46)</f>
        <v>*KEY_ERR</v>
      </c>
      <c r="AF46" s="58" t="str">
        <f ca="1">_xll.DBRW(Server&amp;Cube1,$H$13,$AC$3,$H$15,$H$17,AF$1,$H$16,$B46)</f>
        <v>*KEY_ERR</v>
      </c>
      <c r="AG46" s="58" t="str">
        <f ca="1">_xll.DBRW(Server&amp;Cube1,$H$13,$AC$3,$H$15,$H$17,AG$1,$H$16,$B46)</f>
        <v>*KEY_ERR</v>
      </c>
      <c r="AH46" s="58" t="str">
        <f ca="1">_xll.DBRW(Server&amp;Cube1,$H$13,$AC$3,$H$15,$H$17,AH$1,$H$16,$B46)</f>
        <v>*KEY_ERR</v>
      </c>
      <c r="AI46" s="58" t="str">
        <f ca="1">_xll.DBRW(Server&amp;Cube1,$H$13,$AC$3,$H$15,$H$17,AI$1,$H$16,$B46)</f>
        <v>*KEY_ERR</v>
      </c>
      <c r="AJ46" s="58" t="str">
        <f ca="1">_xll.DBRW(Server&amp;Cube1,$H$13,$AC$3,$H$15,$H$17,AJ$1,$H$16,$B46)</f>
        <v>*KEY_ERR</v>
      </c>
      <c r="AK46" s="58" t="str">
        <f ca="1">_xll.DBRW(Server&amp;Cube1,$H$13,$AC$3,$H$15,$H$17,AK$1,$H$16,$B46)</f>
        <v>*KEY_ERR</v>
      </c>
      <c r="AL46" s="58" t="str">
        <f ca="1">_xll.DBRW(Server&amp;Cube1,$H$13,$AC$3,$H$15,$H$17,AL$1,$H$16,$B46)</f>
        <v>*KEY_ERR</v>
      </c>
      <c r="AM46" s="58" t="str">
        <f ca="1">_xll.DBRW(Server&amp;Cube1,$H$13,$AC$3,$H$15,$H$17,AM$1,$H$16,$B46)</f>
        <v>*KEY_ERR</v>
      </c>
      <c r="AN46" s="58" t="str">
        <f ca="1">_xll.DBRW(Server&amp;Cube1,$H$13,$AC$3,$H$15,$H$17,AN$1,$H$16,$B46)</f>
        <v>*KEY_ERR</v>
      </c>
      <c r="AO46" s="59" t="str">
        <f ca="1">_xll.DBRW(Server&amp;Cube1,$H$13,$AC$3,$H$15,$H$17,AO$1,$H$16,$B46)</f>
        <v>*KEY_ERR</v>
      </c>
      <c r="AP46" s="187" t="str">
        <f ca="1">_xll.DBRW(Server&amp;Cube1,$H$13,$AP$3,$H$15,$P$1,AP$2,$H$16,$B46)</f>
        <v>*KEY_ERR</v>
      </c>
      <c r="AQ46" s="54" t="str">
        <f ca="1">_xll.DBRW(Server&amp;Cube1,$H$13,$AP$3,$H$15,$H$17,AQ$1,$H$16,$B46)</f>
        <v>*KEY_ERR</v>
      </c>
      <c r="AR46" s="58" t="str">
        <f ca="1">_xll.DBRW(Server&amp;Cube1,$H$13,$AP$3,$H$15,$H$17,AR$1,$H$16,$B46)</f>
        <v>*KEY_ERR</v>
      </c>
      <c r="AS46" s="58" t="str">
        <f ca="1">_xll.DBRW(Server&amp;Cube1,$H$13,$AP$3,$H$15,$H$17,AS$1,$H$16,$B46)</f>
        <v>*KEY_ERR</v>
      </c>
      <c r="AT46" s="58" t="str">
        <f ca="1">_xll.DBRW(Server&amp;Cube1,$H$13,$AP$3,$H$15,$H$17,AT$1,$H$16,$B46)</f>
        <v>*KEY_ERR</v>
      </c>
      <c r="AU46" s="58" t="str">
        <f ca="1">_xll.DBRW(Server&amp;Cube1,$H$13,$AP$3,$H$15,$H$17,AU$1,$H$16,$B46)</f>
        <v>*KEY_ERR</v>
      </c>
      <c r="AV46" s="58" t="str">
        <f ca="1">_xll.DBRW(Server&amp;Cube1,$H$13,$AP$3,$H$15,$H$17,AV$1,$H$16,$B46)</f>
        <v>*KEY_ERR</v>
      </c>
      <c r="AW46" s="58" t="str">
        <f ca="1">_xll.DBRW(Server&amp;Cube1,$H$13,$AP$3,$H$15,$H$17,AW$1,$H$16,$B46)</f>
        <v>*KEY_ERR</v>
      </c>
      <c r="AX46" s="58" t="str">
        <f ca="1">_xll.DBRW(Server&amp;Cube1,$H$13,$AP$3,$H$15,$H$17,AX$1,$H$16,$B46)</f>
        <v>*KEY_ERR</v>
      </c>
      <c r="AY46" s="58" t="str">
        <f ca="1">_xll.DBRW(Server&amp;Cube1,$H$13,$AP$3,$H$15,$H$17,AY$1,$H$16,$B46)</f>
        <v>*KEY_ERR</v>
      </c>
      <c r="AZ46" s="58" t="str">
        <f ca="1">_xll.DBRW(Server&amp;Cube1,$H$13,$AP$3,$H$15,$H$17,AZ$1,$H$16,$B46)</f>
        <v>*KEY_ERR</v>
      </c>
      <c r="BA46" s="58" t="str">
        <f ca="1">_xll.DBRW(Server&amp;Cube1,$H$13,$AP$3,$H$15,$H$17,BA$1,$H$16,$B46)</f>
        <v>*KEY_ERR</v>
      </c>
      <c r="BB46" s="59" t="str">
        <f ca="1">_xll.DBRW(Server&amp;Cube1,$H$13,$AP$3,$H$15,$H$17,BB$1,$H$16,$B46)</f>
        <v>*KEY_ERR</v>
      </c>
      <c r="BC46" s="187" t="str">
        <f ca="1">_xll.DBRW(Server&amp;Cube1,$H$13,$BC$3,$H$15,$P$1,BC$2,$H$16,$B46)</f>
        <v>*KEY_ERR</v>
      </c>
      <c r="BD46" s="54" t="str">
        <f ca="1">_xll.DBRW(Server&amp;Cube1,$H$13,$BC$3,$H$15,$H$17,BD$1,$H$16,$B46)</f>
        <v>*KEY_ERR</v>
      </c>
      <c r="BE46" s="58" t="str">
        <f ca="1">_xll.DBRW(Server&amp;Cube1,$H$13,$BC$3,$H$15,$H$17,BE$1,$H$16,$B46)</f>
        <v>*KEY_ERR</v>
      </c>
      <c r="BF46" s="58" t="str">
        <f ca="1">_xll.DBRW(Server&amp;Cube1,$H$13,$BC$3,$H$15,$H$17,BF$1,$H$16,$B46)</f>
        <v>*KEY_ERR</v>
      </c>
      <c r="BG46" s="58" t="str">
        <f ca="1">_xll.DBRW(Server&amp;Cube1,$H$13,$BC$3,$H$15,$H$17,BG$1,$H$16,$B46)</f>
        <v>*KEY_ERR</v>
      </c>
      <c r="BH46" s="58" t="str">
        <f ca="1">_xll.DBRW(Server&amp;Cube1,$H$13,$BC$3,$H$15,$H$17,BH$1,$H$16,$B46)</f>
        <v>*KEY_ERR</v>
      </c>
      <c r="BI46" s="58" t="str">
        <f ca="1">_xll.DBRW(Server&amp;Cube1,$H$13,$BC$3,$H$15,$H$17,BI$1,$H$16,$B46)</f>
        <v>*KEY_ERR</v>
      </c>
      <c r="BJ46" s="58" t="str">
        <f ca="1">_xll.DBRW(Server&amp;Cube1,$H$13,$BC$3,$H$15,$H$17,BJ$1,$H$16,$B46)</f>
        <v>*KEY_ERR</v>
      </c>
      <c r="BK46" s="58" t="str">
        <f ca="1">_xll.DBRW(Server&amp;Cube1,$H$13,$BC$3,$H$15,$H$17,BK$1,$H$16,$B46)</f>
        <v>*KEY_ERR</v>
      </c>
      <c r="BL46" s="58" t="str">
        <f ca="1">_xll.DBRW(Server&amp;Cube1,$H$13,$BC$3,$H$15,$H$17,BL$1,$H$16,$B46)</f>
        <v>*KEY_ERR</v>
      </c>
      <c r="BM46" s="58" t="str">
        <f ca="1">_xll.DBRW(Server&amp;Cube1,$H$13,$BC$3,$H$15,$H$17,BM$1,$H$16,$B46)</f>
        <v>*KEY_ERR</v>
      </c>
      <c r="BN46" s="58" t="str">
        <f ca="1">_xll.DBRW(Server&amp;Cube1,$H$13,$BC$3,$H$15,$H$17,BN$1,$H$16,$B46)</f>
        <v>*KEY_ERR</v>
      </c>
      <c r="BO46" s="59" t="str">
        <f ca="1">_xll.DBRW(Server&amp;Cube1,$H$13,$BC$3,$H$15,$H$17,BO$1,$H$16,$B46)</f>
        <v>*KEY_ERR</v>
      </c>
      <c r="BP46" s="31"/>
    </row>
    <row r="47" spans="1:68" ht="21" customHeight="1" x14ac:dyDescent="0.25">
      <c r="A47"/>
      <c r="B47" s="13">
        <v>613510</v>
      </c>
      <c r="C47" s="13"/>
      <c r="D47" s="22"/>
      <c r="E47" s="171"/>
      <c r="F47" s="107"/>
      <c r="G47" s="305" t="s">
        <v>89</v>
      </c>
      <c r="H47" s="305"/>
      <c r="I47" s="37"/>
      <c r="J47" s="54" t="str">
        <f ca="1">_xll.DBRW(Server&amp;Cube1,$H$13,$H$14,$H$15,$J$1,$J$2,$H$16,$B47)</f>
        <v/>
      </c>
      <c r="K47" s="37"/>
      <c r="L47" s="54" t="str">
        <f ca="1">_xll.DBRW(Server&amp;Cube1,$H$13,$H$14,$H$15,$L$1,$L$2,$H$16,$B47)</f>
        <v/>
      </c>
      <c r="M47" s="55"/>
      <c r="N47" s="54" t="str">
        <f ca="1">_xll.DBRW(Server&amp;Cube1,$H$13,$H$14,$H$15,$P$1,N$2,$H$16,$B47)</f>
        <v>*KEY_ERR</v>
      </c>
      <c r="O47" s="57"/>
      <c r="P47" s="54" t="str">
        <f ca="1">_xll.DBRW(Server&amp;Cube1,$H$13,$P$3,$H$15,$P$1,P$2,$H$16,$B47)</f>
        <v>*KEY_ERR</v>
      </c>
      <c r="Q47" s="54" t="str">
        <f ca="1">_xll.DBRW(Server&amp;Cube1,$H$13,$P$3,$H$15,$H$17,Q$1,$H$16,$B47)</f>
        <v>*KEY_ERR</v>
      </c>
      <c r="R47" s="58" t="str">
        <f ca="1">_xll.DBRW(Server&amp;Cube1,$H$13,$P$3,$H$15,$H$17,R$1,$H$16,$B47)</f>
        <v>*KEY_ERR</v>
      </c>
      <c r="S47" s="58" t="str">
        <f ca="1">_xll.DBRW(Server&amp;Cube1,$H$13,$P$3,$H$15,$H$17,S$1,$H$16,$B47)</f>
        <v>*KEY_ERR</v>
      </c>
      <c r="T47" s="58" t="str">
        <f ca="1">_xll.DBRW(Server&amp;Cube1,$H$13,$P$3,$H$15,$H$17,T$1,$H$16,$B47)</f>
        <v>*KEY_ERR</v>
      </c>
      <c r="U47" s="58" t="str">
        <f ca="1">_xll.DBRW(Server&amp;Cube1,$H$13,$P$3,$H$15,$H$17,U$1,$H$16,$B47)</f>
        <v>*KEY_ERR</v>
      </c>
      <c r="V47" s="58" t="str">
        <f ca="1">_xll.DBRW(Server&amp;Cube1,$H$13,$P$3,$H$15,$H$17,V$1,$H$16,$B47)</f>
        <v>*KEY_ERR</v>
      </c>
      <c r="W47" s="58" t="str">
        <f ca="1">_xll.DBRW(Server&amp;Cube1,$H$13,$P$3,$H$15,$H$17,W$1,$H$16,$B47)</f>
        <v>*KEY_ERR</v>
      </c>
      <c r="X47" s="58" t="str">
        <f ca="1">_xll.DBRW(Server&amp;Cube1,$H$13,$P$3,$H$15,$H$17,X$1,$H$16,$B47)</f>
        <v>*KEY_ERR</v>
      </c>
      <c r="Y47" s="58" t="str">
        <f ca="1">_xll.DBRW(Server&amp;Cube1,$H$13,$P$3,$H$15,$H$17,Y$1,$H$16,$B47)</f>
        <v>*KEY_ERR</v>
      </c>
      <c r="Z47" s="58" t="str">
        <f ca="1">_xll.DBRW(Server&amp;Cube1,$H$13,$P$3,$H$15,$H$17,Z$1,$H$16,$B47)</f>
        <v>*KEY_ERR</v>
      </c>
      <c r="AA47" s="58" t="str">
        <f ca="1">_xll.DBRW(Server&amp;Cube1,$H$13,$P$3,$H$15,$H$17,AA$1,$H$16,$B47)</f>
        <v>*KEY_ERR</v>
      </c>
      <c r="AB47" s="59" t="str">
        <f ca="1">_xll.DBRW(Server&amp;Cube1,$H$13,$P$3,$H$15,$H$17,AB$1,$H$16,$B47)</f>
        <v>*KEY_ERR</v>
      </c>
      <c r="AC47" s="187" t="str">
        <f ca="1">_xll.DBRW(Server&amp;Cube1,$H$13,$AC$3,$H$15,$P$1,AC$2,$H$16,$B47)</f>
        <v>*KEY_ERR</v>
      </c>
      <c r="AD47" s="54" t="str">
        <f ca="1">_xll.DBRW(Server&amp;Cube1,$H$13,$AC$3,$H$15,$H$17,AD$1,$H$16,$B47)</f>
        <v>*KEY_ERR</v>
      </c>
      <c r="AE47" s="58" t="str">
        <f ca="1">_xll.DBRW(Server&amp;Cube1,$H$13,$AC$3,$H$15,$H$17,AE$1,$H$16,$B47)</f>
        <v>*KEY_ERR</v>
      </c>
      <c r="AF47" s="58" t="str">
        <f ca="1">_xll.DBRW(Server&amp;Cube1,$H$13,$AC$3,$H$15,$H$17,AF$1,$H$16,$B47)</f>
        <v>*KEY_ERR</v>
      </c>
      <c r="AG47" s="58" t="str">
        <f ca="1">_xll.DBRW(Server&amp;Cube1,$H$13,$AC$3,$H$15,$H$17,AG$1,$H$16,$B47)</f>
        <v>*KEY_ERR</v>
      </c>
      <c r="AH47" s="58" t="str">
        <f ca="1">_xll.DBRW(Server&amp;Cube1,$H$13,$AC$3,$H$15,$H$17,AH$1,$H$16,$B47)</f>
        <v>*KEY_ERR</v>
      </c>
      <c r="AI47" s="58" t="str">
        <f ca="1">_xll.DBRW(Server&amp;Cube1,$H$13,$AC$3,$H$15,$H$17,AI$1,$H$16,$B47)</f>
        <v>*KEY_ERR</v>
      </c>
      <c r="AJ47" s="58" t="str">
        <f ca="1">_xll.DBRW(Server&amp;Cube1,$H$13,$AC$3,$H$15,$H$17,AJ$1,$H$16,$B47)</f>
        <v>*KEY_ERR</v>
      </c>
      <c r="AK47" s="58" t="str">
        <f ca="1">_xll.DBRW(Server&amp;Cube1,$H$13,$AC$3,$H$15,$H$17,AK$1,$H$16,$B47)</f>
        <v>*KEY_ERR</v>
      </c>
      <c r="AL47" s="58" t="str">
        <f ca="1">_xll.DBRW(Server&amp;Cube1,$H$13,$AC$3,$H$15,$H$17,AL$1,$H$16,$B47)</f>
        <v>*KEY_ERR</v>
      </c>
      <c r="AM47" s="58" t="str">
        <f ca="1">_xll.DBRW(Server&amp;Cube1,$H$13,$AC$3,$H$15,$H$17,AM$1,$H$16,$B47)</f>
        <v>*KEY_ERR</v>
      </c>
      <c r="AN47" s="58" t="str">
        <f ca="1">_xll.DBRW(Server&amp;Cube1,$H$13,$AC$3,$H$15,$H$17,AN$1,$H$16,$B47)</f>
        <v>*KEY_ERR</v>
      </c>
      <c r="AO47" s="59" t="str">
        <f ca="1">_xll.DBRW(Server&amp;Cube1,$H$13,$AC$3,$H$15,$H$17,AO$1,$H$16,$B47)</f>
        <v>*KEY_ERR</v>
      </c>
      <c r="AP47" s="187" t="str">
        <f ca="1">_xll.DBRW(Server&amp;Cube1,$H$13,$AP$3,$H$15,$P$1,AP$2,$H$16,$B47)</f>
        <v>*KEY_ERR</v>
      </c>
      <c r="AQ47" s="54" t="str">
        <f ca="1">_xll.DBRW(Server&amp;Cube1,$H$13,$AP$3,$H$15,$H$17,AQ$1,$H$16,$B47)</f>
        <v>*KEY_ERR</v>
      </c>
      <c r="AR47" s="58" t="str">
        <f ca="1">_xll.DBRW(Server&amp;Cube1,$H$13,$AP$3,$H$15,$H$17,AR$1,$H$16,$B47)</f>
        <v>*KEY_ERR</v>
      </c>
      <c r="AS47" s="58" t="str">
        <f ca="1">_xll.DBRW(Server&amp;Cube1,$H$13,$AP$3,$H$15,$H$17,AS$1,$H$16,$B47)</f>
        <v>*KEY_ERR</v>
      </c>
      <c r="AT47" s="58" t="str">
        <f ca="1">_xll.DBRW(Server&amp;Cube1,$H$13,$AP$3,$H$15,$H$17,AT$1,$H$16,$B47)</f>
        <v>*KEY_ERR</v>
      </c>
      <c r="AU47" s="58" t="str">
        <f ca="1">_xll.DBRW(Server&amp;Cube1,$H$13,$AP$3,$H$15,$H$17,AU$1,$H$16,$B47)</f>
        <v>*KEY_ERR</v>
      </c>
      <c r="AV47" s="58" t="str">
        <f ca="1">_xll.DBRW(Server&amp;Cube1,$H$13,$AP$3,$H$15,$H$17,AV$1,$H$16,$B47)</f>
        <v>*KEY_ERR</v>
      </c>
      <c r="AW47" s="58" t="str">
        <f ca="1">_xll.DBRW(Server&amp;Cube1,$H$13,$AP$3,$H$15,$H$17,AW$1,$H$16,$B47)</f>
        <v>*KEY_ERR</v>
      </c>
      <c r="AX47" s="58" t="str">
        <f ca="1">_xll.DBRW(Server&amp;Cube1,$H$13,$AP$3,$H$15,$H$17,AX$1,$H$16,$B47)</f>
        <v>*KEY_ERR</v>
      </c>
      <c r="AY47" s="58" t="str">
        <f ca="1">_xll.DBRW(Server&amp;Cube1,$H$13,$AP$3,$H$15,$H$17,AY$1,$H$16,$B47)</f>
        <v>*KEY_ERR</v>
      </c>
      <c r="AZ47" s="58" t="str">
        <f ca="1">_xll.DBRW(Server&amp;Cube1,$H$13,$AP$3,$H$15,$H$17,AZ$1,$H$16,$B47)</f>
        <v>*KEY_ERR</v>
      </c>
      <c r="BA47" s="58" t="str">
        <f ca="1">_xll.DBRW(Server&amp;Cube1,$H$13,$AP$3,$H$15,$H$17,BA$1,$H$16,$B47)</f>
        <v>*KEY_ERR</v>
      </c>
      <c r="BB47" s="59" t="str">
        <f ca="1">_xll.DBRW(Server&amp;Cube1,$H$13,$AP$3,$H$15,$H$17,BB$1,$H$16,$B47)</f>
        <v>*KEY_ERR</v>
      </c>
      <c r="BC47" s="187" t="str">
        <f ca="1">_xll.DBRW(Server&amp;Cube1,$H$13,$BC$3,$H$15,$P$1,BC$2,$H$16,$B47)</f>
        <v>*KEY_ERR</v>
      </c>
      <c r="BD47" s="54" t="str">
        <f ca="1">_xll.DBRW(Server&amp;Cube1,$H$13,$BC$3,$H$15,$H$17,BD$1,$H$16,$B47)</f>
        <v>*KEY_ERR</v>
      </c>
      <c r="BE47" s="58" t="str">
        <f ca="1">_xll.DBRW(Server&amp;Cube1,$H$13,$BC$3,$H$15,$H$17,BE$1,$H$16,$B47)</f>
        <v>*KEY_ERR</v>
      </c>
      <c r="BF47" s="58" t="str">
        <f ca="1">_xll.DBRW(Server&amp;Cube1,$H$13,$BC$3,$H$15,$H$17,BF$1,$H$16,$B47)</f>
        <v>*KEY_ERR</v>
      </c>
      <c r="BG47" s="58" t="str">
        <f ca="1">_xll.DBRW(Server&amp;Cube1,$H$13,$BC$3,$H$15,$H$17,BG$1,$H$16,$B47)</f>
        <v>*KEY_ERR</v>
      </c>
      <c r="BH47" s="58" t="str">
        <f ca="1">_xll.DBRW(Server&amp;Cube1,$H$13,$BC$3,$H$15,$H$17,BH$1,$H$16,$B47)</f>
        <v>*KEY_ERR</v>
      </c>
      <c r="BI47" s="58" t="str">
        <f ca="1">_xll.DBRW(Server&amp;Cube1,$H$13,$BC$3,$H$15,$H$17,BI$1,$H$16,$B47)</f>
        <v>*KEY_ERR</v>
      </c>
      <c r="BJ47" s="58" t="str">
        <f ca="1">_xll.DBRW(Server&amp;Cube1,$H$13,$BC$3,$H$15,$H$17,BJ$1,$H$16,$B47)</f>
        <v>*KEY_ERR</v>
      </c>
      <c r="BK47" s="58" t="str">
        <f ca="1">_xll.DBRW(Server&amp;Cube1,$H$13,$BC$3,$H$15,$H$17,BK$1,$H$16,$B47)</f>
        <v>*KEY_ERR</v>
      </c>
      <c r="BL47" s="58" t="str">
        <f ca="1">_xll.DBRW(Server&amp;Cube1,$H$13,$BC$3,$H$15,$H$17,BL$1,$H$16,$B47)</f>
        <v>*KEY_ERR</v>
      </c>
      <c r="BM47" s="58" t="str">
        <f ca="1">_xll.DBRW(Server&amp;Cube1,$H$13,$BC$3,$H$15,$H$17,BM$1,$H$16,$B47)</f>
        <v>*KEY_ERR</v>
      </c>
      <c r="BN47" s="58" t="str">
        <f ca="1">_xll.DBRW(Server&amp;Cube1,$H$13,$BC$3,$H$15,$H$17,BN$1,$H$16,$B47)</f>
        <v>*KEY_ERR</v>
      </c>
      <c r="BO47" s="59" t="str">
        <f ca="1">_xll.DBRW(Server&amp;Cube1,$H$13,$BC$3,$H$15,$H$17,BO$1,$H$16,$B47)</f>
        <v>*KEY_ERR</v>
      </c>
      <c r="BP47" s="31"/>
    </row>
    <row r="48" spans="1:68" ht="3.75" customHeight="1" x14ac:dyDescent="0.25">
      <c r="A48"/>
      <c r="B48" s="11"/>
      <c r="C48" s="11"/>
      <c r="D48" s="20"/>
      <c r="E48" s="170"/>
      <c r="F48" s="106"/>
      <c r="G48" s="43"/>
      <c r="H48" s="43"/>
      <c r="I48" s="38"/>
      <c r="J48" s="62"/>
      <c r="K48" s="38"/>
      <c r="L48" s="62"/>
      <c r="M48" s="63"/>
      <c r="N48" s="62"/>
      <c r="O48" s="64"/>
      <c r="P48" s="62"/>
      <c r="Q48" s="62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6"/>
      <c r="AC48" s="186"/>
      <c r="AD48" s="62"/>
      <c r="AE48" s="65"/>
      <c r="AF48" s="65"/>
      <c r="AG48" s="65"/>
      <c r="AH48" s="65"/>
      <c r="AI48" s="65"/>
      <c r="AJ48" s="65"/>
      <c r="AK48" s="65"/>
      <c r="AL48" s="65"/>
      <c r="AM48" s="65"/>
      <c r="AN48" s="65"/>
      <c r="AO48" s="66"/>
      <c r="AP48" s="186"/>
      <c r="AQ48" s="62"/>
      <c r="AR48" s="65"/>
      <c r="AS48" s="65"/>
      <c r="AT48" s="65"/>
      <c r="AU48" s="65"/>
      <c r="AV48" s="65"/>
      <c r="AW48" s="65"/>
      <c r="AX48" s="65"/>
      <c r="AY48" s="65"/>
      <c r="AZ48" s="65"/>
      <c r="BA48" s="65"/>
      <c r="BB48" s="66"/>
      <c r="BC48" s="186"/>
      <c r="BD48" s="62"/>
      <c r="BE48" s="65"/>
      <c r="BF48" s="65"/>
      <c r="BG48" s="65"/>
      <c r="BH48" s="65"/>
      <c r="BI48" s="65"/>
      <c r="BJ48" s="65"/>
      <c r="BK48" s="65"/>
      <c r="BL48" s="65"/>
      <c r="BM48" s="65"/>
      <c r="BN48" s="65"/>
      <c r="BO48" s="66"/>
      <c r="BP48" s="31"/>
    </row>
    <row r="49" spans="1:68" ht="21" customHeight="1" x14ac:dyDescent="0.25">
      <c r="A49"/>
      <c r="B49" s="12" t="s">
        <v>29</v>
      </c>
      <c r="C49" s="12"/>
      <c r="D49" s="21"/>
      <c r="E49" s="169"/>
      <c r="F49" s="105"/>
      <c r="G49" s="306" t="str">
        <f ca="1">_xll.DBRA(Server&amp;$B$22,$B49,"French")</f>
        <v>Autres coûts directs</v>
      </c>
      <c r="H49" s="306" t="str">
        <f ca="1">_xll.DBRA(Server&amp;$B$22,$B49,"French")</f>
        <v>Autres coûts directs</v>
      </c>
      <c r="I49" s="39"/>
      <c r="J49" s="67" t="str">
        <f ca="1">_xll.DBRW(Server&amp;Cube1,$H$13,$H$14,$H$15,$J$1,$J$2,$H$16,$B49)</f>
        <v/>
      </c>
      <c r="K49" s="39"/>
      <c r="L49" s="67" t="str">
        <f ca="1">_xll.DBRW(Server&amp;Cube1,$H$13,$H$14,$H$15,$L$1,$L$2,$H$16,$B49)</f>
        <v/>
      </c>
      <c r="M49" s="68"/>
      <c r="N49" s="67" t="str">
        <f ca="1">_xll.DBRW(Server&amp;Cube1,$H$13,$H$14,$H$15,$P$1,N$2,$H$16,$B49)</f>
        <v>*KEY_ERR</v>
      </c>
      <c r="O49" s="69"/>
      <c r="P49" s="67" t="str">
        <f ca="1">_xll.DBRW(Server&amp;Cube1,$H$13,$P$3,$H$15,$P$1,P$2,$H$16,$B49)</f>
        <v>*KEY_ERR</v>
      </c>
      <c r="Q49" s="67" t="str">
        <f ca="1">_xll.DBRW(Server&amp;Cube1,$H$13,$P$3,$H$15,$H$17,Q$1,$H$16,$B49)</f>
        <v>*KEY_ERR</v>
      </c>
      <c r="R49" s="70" t="str">
        <f ca="1">_xll.DBRW(Server&amp;Cube1,$H$13,$P$3,$H$15,$H$17,R$1,$H$16,$B49)</f>
        <v>*KEY_ERR</v>
      </c>
      <c r="S49" s="70" t="str">
        <f ca="1">_xll.DBRW(Server&amp;Cube1,$H$13,$P$3,$H$15,$H$17,S$1,$H$16,$B49)</f>
        <v>*KEY_ERR</v>
      </c>
      <c r="T49" s="70" t="str">
        <f ca="1">_xll.DBRW(Server&amp;Cube1,$H$13,$P$3,$H$15,$H$17,T$1,$H$16,$B49)</f>
        <v>*KEY_ERR</v>
      </c>
      <c r="U49" s="70" t="str">
        <f ca="1">_xll.DBRW(Server&amp;Cube1,$H$13,$P$3,$H$15,$H$17,U$1,$H$16,$B49)</f>
        <v>*KEY_ERR</v>
      </c>
      <c r="V49" s="70" t="str">
        <f ca="1">_xll.DBRW(Server&amp;Cube1,$H$13,$P$3,$H$15,$H$17,V$1,$H$16,$B49)</f>
        <v>*KEY_ERR</v>
      </c>
      <c r="W49" s="70" t="str">
        <f ca="1">_xll.DBRW(Server&amp;Cube1,$H$13,$P$3,$H$15,$H$17,W$1,$H$16,$B49)</f>
        <v>*KEY_ERR</v>
      </c>
      <c r="X49" s="70" t="str">
        <f ca="1">_xll.DBRW(Server&amp;Cube1,$H$13,$P$3,$H$15,$H$17,X$1,$H$16,$B49)</f>
        <v>*KEY_ERR</v>
      </c>
      <c r="Y49" s="70" t="str">
        <f ca="1">_xll.DBRW(Server&amp;Cube1,$H$13,$P$3,$H$15,$H$17,Y$1,$H$16,$B49)</f>
        <v>*KEY_ERR</v>
      </c>
      <c r="Z49" s="70" t="str">
        <f ca="1">_xll.DBRW(Server&amp;Cube1,$H$13,$P$3,$H$15,$H$17,Z$1,$H$16,$B49)</f>
        <v>*KEY_ERR</v>
      </c>
      <c r="AA49" s="70" t="str">
        <f ca="1">_xll.DBRW(Server&amp;Cube1,$H$13,$P$3,$H$15,$H$17,AA$1,$H$16,$B49)</f>
        <v>*KEY_ERR</v>
      </c>
      <c r="AB49" s="71" t="str">
        <f ca="1">_xll.DBRW(Server&amp;Cube1,$H$13,$P$3,$H$15,$H$17,AB$1,$H$16,$B49)</f>
        <v>*KEY_ERR</v>
      </c>
      <c r="AC49" s="185" t="str">
        <f ca="1">_xll.DBRW(Server&amp;Cube1,$H$13,$AC$3,$H$15,$P$1,AC$2,$H$16,$B49)</f>
        <v>*KEY_ERR</v>
      </c>
      <c r="AD49" s="67" t="str">
        <f ca="1">_xll.DBRW(Server&amp;Cube1,$H$13,$AC$3,$H$15,$H$17,AD$1,$H$16,$B49)</f>
        <v>*KEY_ERR</v>
      </c>
      <c r="AE49" s="70" t="str">
        <f ca="1">_xll.DBRW(Server&amp;Cube1,$H$13,$AC$3,$H$15,$H$17,AE$1,$H$16,$B49)</f>
        <v>*KEY_ERR</v>
      </c>
      <c r="AF49" s="70" t="str">
        <f ca="1">_xll.DBRW(Server&amp;Cube1,$H$13,$AC$3,$H$15,$H$17,AF$1,$H$16,$B49)</f>
        <v>*KEY_ERR</v>
      </c>
      <c r="AG49" s="70" t="str">
        <f ca="1">_xll.DBRW(Server&amp;Cube1,$H$13,$AC$3,$H$15,$H$17,AG$1,$H$16,$B49)</f>
        <v>*KEY_ERR</v>
      </c>
      <c r="AH49" s="70" t="str">
        <f ca="1">_xll.DBRW(Server&amp;Cube1,$H$13,$AC$3,$H$15,$H$17,AH$1,$H$16,$B49)</f>
        <v>*KEY_ERR</v>
      </c>
      <c r="AI49" s="70" t="str">
        <f ca="1">_xll.DBRW(Server&amp;Cube1,$H$13,$AC$3,$H$15,$H$17,AI$1,$H$16,$B49)</f>
        <v>*KEY_ERR</v>
      </c>
      <c r="AJ49" s="70" t="str">
        <f ca="1">_xll.DBRW(Server&amp;Cube1,$H$13,$AC$3,$H$15,$H$17,AJ$1,$H$16,$B49)</f>
        <v>*KEY_ERR</v>
      </c>
      <c r="AK49" s="70" t="str">
        <f ca="1">_xll.DBRW(Server&amp;Cube1,$H$13,$AC$3,$H$15,$H$17,AK$1,$H$16,$B49)</f>
        <v>*KEY_ERR</v>
      </c>
      <c r="AL49" s="70" t="str">
        <f ca="1">_xll.DBRW(Server&amp;Cube1,$H$13,$AC$3,$H$15,$H$17,AL$1,$H$16,$B49)</f>
        <v>*KEY_ERR</v>
      </c>
      <c r="AM49" s="70" t="str">
        <f ca="1">_xll.DBRW(Server&amp;Cube1,$H$13,$AC$3,$H$15,$H$17,AM$1,$H$16,$B49)</f>
        <v>*KEY_ERR</v>
      </c>
      <c r="AN49" s="70" t="str">
        <f ca="1">_xll.DBRW(Server&amp;Cube1,$H$13,$AC$3,$H$15,$H$17,AN$1,$H$16,$B49)</f>
        <v>*KEY_ERR</v>
      </c>
      <c r="AO49" s="71" t="str">
        <f ca="1">_xll.DBRW(Server&amp;Cube1,$H$13,$AC$3,$H$15,$H$17,AO$1,$H$16,$B49)</f>
        <v>*KEY_ERR</v>
      </c>
      <c r="AP49" s="185" t="str">
        <f ca="1">_xll.DBRW(Server&amp;Cube1,$H$13,$AP$3,$H$15,$P$1,AP$2,$H$16,$B49)</f>
        <v>*KEY_ERR</v>
      </c>
      <c r="AQ49" s="67" t="str">
        <f ca="1">_xll.DBRW(Server&amp;Cube1,$H$13,$AP$3,$H$15,$H$17,AQ$1,$H$16,$B49)</f>
        <v>*KEY_ERR</v>
      </c>
      <c r="AR49" s="70" t="str">
        <f ca="1">_xll.DBRW(Server&amp;Cube1,$H$13,$AP$3,$H$15,$H$17,AR$1,$H$16,$B49)</f>
        <v>*KEY_ERR</v>
      </c>
      <c r="AS49" s="70" t="str">
        <f ca="1">_xll.DBRW(Server&amp;Cube1,$H$13,$AP$3,$H$15,$H$17,AS$1,$H$16,$B49)</f>
        <v>*KEY_ERR</v>
      </c>
      <c r="AT49" s="70" t="str">
        <f ca="1">_xll.DBRW(Server&amp;Cube1,$H$13,$AP$3,$H$15,$H$17,AT$1,$H$16,$B49)</f>
        <v>*KEY_ERR</v>
      </c>
      <c r="AU49" s="70" t="str">
        <f ca="1">_xll.DBRW(Server&amp;Cube1,$H$13,$AP$3,$H$15,$H$17,AU$1,$H$16,$B49)</f>
        <v>*KEY_ERR</v>
      </c>
      <c r="AV49" s="70" t="str">
        <f ca="1">_xll.DBRW(Server&amp;Cube1,$H$13,$AP$3,$H$15,$H$17,AV$1,$H$16,$B49)</f>
        <v>*KEY_ERR</v>
      </c>
      <c r="AW49" s="70" t="str">
        <f ca="1">_xll.DBRW(Server&amp;Cube1,$H$13,$AP$3,$H$15,$H$17,AW$1,$H$16,$B49)</f>
        <v>*KEY_ERR</v>
      </c>
      <c r="AX49" s="70" t="str">
        <f ca="1">_xll.DBRW(Server&amp;Cube1,$H$13,$AP$3,$H$15,$H$17,AX$1,$H$16,$B49)</f>
        <v>*KEY_ERR</v>
      </c>
      <c r="AY49" s="70" t="str">
        <f ca="1">_xll.DBRW(Server&amp;Cube1,$H$13,$AP$3,$H$15,$H$17,AY$1,$H$16,$B49)</f>
        <v>*KEY_ERR</v>
      </c>
      <c r="AZ49" s="70" t="str">
        <f ca="1">_xll.DBRW(Server&amp;Cube1,$H$13,$AP$3,$H$15,$H$17,AZ$1,$H$16,$B49)</f>
        <v>*KEY_ERR</v>
      </c>
      <c r="BA49" s="70" t="str">
        <f ca="1">_xll.DBRW(Server&amp;Cube1,$H$13,$AP$3,$H$15,$H$17,BA$1,$H$16,$B49)</f>
        <v>*KEY_ERR</v>
      </c>
      <c r="BB49" s="71" t="str">
        <f ca="1">_xll.DBRW(Server&amp;Cube1,$H$13,$AP$3,$H$15,$H$17,BB$1,$H$16,$B49)</f>
        <v>*KEY_ERR</v>
      </c>
      <c r="BC49" s="185" t="str">
        <f ca="1">_xll.DBRW(Server&amp;Cube1,$H$13,$BC$3,$H$15,$P$1,BC$2,$H$16,$B49)</f>
        <v>*KEY_ERR</v>
      </c>
      <c r="BD49" s="67" t="str">
        <f ca="1">_xll.DBRW(Server&amp;Cube1,$H$13,$BC$3,$H$15,$H$17,BD$1,$H$16,$B49)</f>
        <v>*KEY_ERR</v>
      </c>
      <c r="BE49" s="70" t="str">
        <f ca="1">_xll.DBRW(Server&amp;Cube1,$H$13,$BC$3,$H$15,$H$17,BE$1,$H$16,$B49)</f>
        <v>*KEY_ERR</v>
      </c>
      <c r="BF49" s="70" t="str">
        <f ca="1">_xll.DBRW(Server&amp;Cube1,$H$13,$BC$3,$H$15,$H$17,BF$1,$H$16,$B49)</f>
        <v>*KEY_ERR</v>
      </c>
      <c r="BG49" s="70" t="str">
        <f ca="1">_xll.DBRW(Server&amp;Cube1,$H$13,$BC$3,$H$15,$H$17,BG$1,$H$16,$B49)</f>
        <v>*KEY_ERR</v>
      </c>
      <c r="BH49" s="70" t="str">
        <f ca="1">_xll.DBRW(Server&amp;Cube1,$H$13,$BC$3,$H$15,$H$17,BH$1,$H$16,$B49)</f>
        <v>*KEY_ERR</v>
      </c>
      <c r="BI49" s="70" t="str">
        <f ca="1">_xll.DBRW(Server&amp;Cube1,$H$13,$BC$3,$H$15,$H$17,BI$1,$H$16,$B49)</f>
        <v>*KEY_ERR</v>
      </c>
      <c r="BJ49" s="70" t="str">
        <f ca="1">_xll.DBRW(Server&amp;Cube1,$H$13,$BC$3,$H$15,$H$17,BJ$1,$H$16,$B49)</f>
        <v>*KEY_ERR</v>
      </c>
      <c r="BK49" s="70" t="str">
        <f ca="1">_xll.DBRW(Server&amp;Cube1,$H$13,$BC$3,$H$15,$H$17,BK$1,$H$16,$B49)</f>
        <v>*KEY_ERR</v>
      </c>
      <c r="BL49" s="70" t="str">
        <f ca="1">_xll.DBRW(Server&amp;Cube1,$H$13,$BC$3,$H$15,$H$17,BL$1,$H$16,$B49)</f>
        <v>*KEY_ERR</v>
      </c>
      <c r="BM49" s="70" t="str">
        <f ca="1">_xll.DBRW(Server&amp;Cube1,$H$13,$BC$3,$H$15,$H$17,BM$1,$H$16,$B49)</f>
        <v>*KEY_ERR</v>
      </c>
      <c r="BN49" s="70" t="str">
        <f ca="1">_xll.DBRW(Server&amp;Cube1,$H$13,$BC$3,$H$15,$H$17,BN$1,$H$16,$B49)</f>
        <v>*KEY_ERR</v>
      </c>
      <c r="BO49" s="71" t="str">
        <f ca="1">_xll.DBRW(Server&amp;Cube1,$H$13,$BC$3,$H$15,$H$17,BO$1,$H$16,$B49)</f>
        <v>*KEY_ERR</v>
      </c>
      <c r="BP49" s="31"/>
    </row>
    <row r="50" spans="1:68" ht="21" customHeight="1" x14ac:dyDescent="0.25">
      <c r="A50"/>
      <c r="B50" s="13" t="s">
        <v>86</v>
      </c>
      <c r="C50" s="13"/>
      <c r="D50" s="22"/>
      <c r="E50" s="171"/>
      <c r="F50" s="107"/>
      <c r="G50" s="305" t="str">
        <f ca="1">_xll.DBRA(Server&amp;$B$22,$B50,"French")</f>
        <v>Documentation technique CQC, livret et DVD</v>
      </c>
      <c r="H50" s="305" t="str">
        <f ca="1">_xll.DBRA(Server&amp;$B$22,$B50,"French")</f>
        <v>Documentation technique CQC, livret et DVD</v>
      </c>
      <c r="I50" s="37"/>
      <c r="J50" s="54" t="str">
        <f ca="1">_xll.DBRW(Server&amp;Cube1,$H$13,$H$14,$H$15,$J$1,$J$2,$H$16,$B50)</f>
        <v/>
      </c>
      <c r="K50" s="37"/>
      <c r="L50" s="54" t="str">
        <f ca="1">_xll.DBRW(Server&amp;Cube1,$H$13,$H$14,$H$15,$L$1,$L$2,$H$16,$B50)</f>
        <v/>
      </c>
      <c r="M50" s="55"/>
      <c r="N50" s="54" t="str">
        <f ca="1">_xll.DBRW(Server&amp;Cube1,$H$13,$H$14,$H$15,$P$1,N$2,$H$16,$B50)</f>
        <v>*KEY_ERR</v>
      </c>
      <c r="O50" s="57"/>
      <c r="P50" s="54" t="str">
        <f ca="1">_xll.DBRW(Server&amp;Cube1,$H$13,$P$3,$H$15,$P$1,P$2,$H$16,$B50)</f>
        <v>*KEY_ERR</v>
      </c>
      <c r="Q50" s="54" t="str">
        <f ca="1">_xll.DBRW(Server&amp;Cube1,$H$13,$P$3,$H$15,$H$17,Q$1,$H$16,$B50)</f>
        <v>*KEY_ERR</v>
      </c>
      <c r="R50" s="58" t="str">
        <f ca="1">_xll.DBRW(Server&amp;Cube1,$H$13,$P$3,$H$15,$H$17,R$1,$H$16,$B50)</f>
        <v>*KEY_ERR</v>
      </c>
      <c r="S50" s="58" t="str">
        <f ca="1">_xll.DBRW(Server&amp;Cube1,$H$13,$P$3,$H$15,$H$17,S$1,$H$16,$B50)</f>
        <v>*KEY_ERR</v>
      </c>
      <c r="T50" s="58" t="str">
        <f ca="1">_xll.DBRW(Server&amp;Cube1,$H$13,$P$3,$H$15,$H$17,T$1,$H$16,$B50)</f>
        <v>*KEY_ERR</v>
      </c>
      <c r="U50" s="58" t="str">
        <f ca="1">_xll.DBRW(Server&amp;Cube1,$H$13,$P$3,$H$15,$H$17,U$1,$H$16,$B50)</f>
        <v>*KEY_ERR</v>
      </c>
      <c r="V50" s="58" t="str">
        <f ca="1">_xll.DBRW(Server&amp;Cube1,$H$13,$P$3,$H$15,$H$17,V$1,$H$16,$B50)</f>
        <v>*KEY_ERR</v>
      </c>
      <c r="W50" s="58" t="str">
        <f ca="1">_xll.DBRW(Server&amp;Cube1,$H$13,$P$3,$H$15,$H$17,W$1,$H$16,$B50)</f>
        <v>*KEY_ERR</v>
      </c>
      <c r="X50" s="58" t="str">
        <f ca="1">_xll.DBRW(Server&amp;Cube1,$H$13,$P$3,$H$15,$H$17,X$1,$H$16,$B50)</f>
        <v>*KEY_ERR</v>
      </c>
      <c r="Y50" s="58" t="str">
        <f ca="1">_xll.DBRW(Server&amp;Cube1,$H$13,$P$3,$H$15,$H$17,Y$1,$H$16,$B50)</f>
        <v>*KEY_ERR</v>
      </c>
      <c r="Z50" s="58" t="str">
        <f ca="1">_xll.DBRW(Server&amp;Cube1,$H$13,$P$3,$H$15,$H$17,Z$1,$H$16,$B50)</f>
        <v>*KEY_ERR</v>
      </c>
      <c r="AA50" s="58" t="str">
        <f ca="1">_xll.DBRW(Server&amp;Cube1,$H$13,$P$3,$H$15,$H$17,AA$1,$H$16,$B50)</f>
        <v>*KEY_ERR</v>
      </c>
      <c r="AB50" s="59" t="str">
        <f ca="1">_xll.DBRW(Server&amp;Cube1,$H$13,$P$3,$H$15,$H$17,AB$1,$H$16,$B50)</f>
        <v>*KEY_ERR</v>
      </c>
      <c r="AC50" s="187" t="str">
        <f ca="1">_xll.DBRW(Server&amp;Cube1,$H$13,$AC$3,$H$15,$P$1,AC$2,$H$16,$B50)</f>
        <v>*KEY_ERR</v>
      </c>
      <c r="AD50" s="54" t="str">
        <f ca="1">_xll.DBRW(Server&amp;Cube1,$H$13,$AC$3,$H$15,$H$17,AD$1,$H$16,$B50)</f>
        <v>*KEY_ERR</v>
      </c>
      <c r="AE50" s="58" t="str">
        <f ca="1">_xll.DBRW(Server&amp;Cube1,$H$13,$AC$3,$H$15,$H$17,AE$1,$H$16,$B50)</f>
        <v>*KEY_ERR</v>
      </c>
      <c r="AF50" s="58" t="str">
        <f ca="1">_xll.DBRW(Server&amp;Cube1,$H$13,$AC$3,$H$15,$H$17,AF$1,$H$16,$B50)</f>
        <v>*KEY_ERR</v>
      </c>
      <c r="AG50" s="58" t="str">
        <f ca="1">_xll.DBRW(Server&amp;Cube1,$H$13,$AC$3,$H$15,$H$17,AG$1,$H$16,$B50)</f>
        <v>*KEY_ERR</v>
      </c>
      <c r="AH50" s="58" t="str">
        <f ca="1">_xll.DBRW(Server&amp;Cube1,$H$13,$AC$3,$H$15,$H$17,AH$1,$H$16,$B50)</f>
        <v>*KEY_ERR</v>
      </c>
      <c r="AI50" s="58" t="str">
        <f ca="1">_xll.DBRW(Server&amp;Cube1,$H$13,$AC$3,$H$15,$H$17,AI$1,$H$16,$B50)</f>
        <v>*KEY_ERR</v>
      </c>
      <c r="AJ50" s="58" t="str">
        <f ca="1">_xll.DBRW(Server&amp;Cube1,$H$13,$AC$3,$H$15,$H$17,AJ$1,$H$16,$B50)</f>
        <v>*KEY_ERR</v>
      </c>
      <c r="AK50" s="58" t="str">
        <f ca="1">_xll.DBRW(Server&amp;Cube1,$H$13,$AC$3,$H$15,$H$17,AK$1,$H$16,$B50)</f>
        <v>*KEY_ERR</v>
      </c>
      <c r="AL50" s="58" t="str">
        <f ca="1">_xll.DBRW(Server&amp;Cube1,$H$13,$AC$3,$H$15,$H$17,AL$1,$H$16,$B50)</f>
        <v>*KEY_ERR</v>
      </c>
      <c r="AM50" s="58" t="str">
        <f ca="1">_xll.DBRW(Server&amp;Cube1,$H$13,$AC$3,$H$15,$H$17,AM$1,$H$16,$B50)</f>
        <v>*KEY_ERR</v>
      </c>
      <c r="AN50" s="58" t="str">
        <f ca="1">_xll.DBRW(Server&amp;Cube1,$H$13,$AC$3,$H$15,$H$17,AN$1,$H$16,$B50)</f>
        <v>*KEY_ERR</v>
      </c>
      <c r="AO50" s="59" t="str">
        <f ca="1">_xll.DBRW(Server&amp;Cube1,$H$13,$AC$3,$H$15,$H$17,AO$1,$H$16,$B50)</f>
        <v>*KEY_ERR</v>
      </c>
      <c r="AP50" s="187" t="str">
        <f ca="1">_xll.DBRW(Server&amp;Cube1,$H$13,$AP$3,$H$15,$P$1,AP$2,$H$16,$B50)</f>
        <v>*KEY_ERR</v>
      </c>
      <c r="AQ50" s="54" t="str">
        <f ca="1">_xll.DBRW(Server&amp;Cube1,$H$13,$AP$3,$H$15,$H$17,AQ$1,$H$16,$B50)</f>
        <v>*KEY_ERR</v>
      </c>
      <c r="AR50" s="58" t="str">
        <f ca="1">_xll.DBRW(Server&amp;Cube1,$H$13,$AP$3,$H$15,$H$17,AR$1,$H$16,$B50)</f>
        <v>*KEY_ERR</v>
      </c>
      <c r="AS50" s="58" t="str">
        <f ca="1">_xll.DBRW(Server&amp;Cube1,$H$13,$AP$3,$H$15,$H$17,AS$1,$H$16,$B50)</f>
        <v>*KEY_ERR</v>
      </c>
      <c r="AT50" s="58" t="str">
        <f ca="1">_xll.DBRW(Server&amp;Cube1,$H$13,$AP$3,$H$15,$H$17,AT$1,$H$16,$B50)</f>
        <v>*KEY_ERR</v>
      </c>
      <c r="AU50" s="58" t="str">
        <f ca="1">_xll.DBRW(Server&amp;Cube1,$H$13,$AP$3,$H$15,$H$17,AU$1,$H$16,$B50)</f>
        <v>*KEY_ERR</v>
      </c>
      <c r="AV50" s="58" t="str">
        <f ca="1">_xll.DBRW(Server&amp;Cube1,$H$13,$AP$3,$H$15,$H$17,AV$1,$H$16,$B50)</f>
        <v>*KEY_ERR</v>
      </c>
      <c r="AW50" s="58" t="str">
        <f ca="1">_xll.DBRW(Server&amp;Cube1,$H$13,$AP$3,$H$15,$H$17,AW$1,$H$16,$B50)</f>
        <v>*KEY_ERR</v>
      </c>
      <c r="AX50" s="58" t="str">
        <f ca="1">_xll.DBRW(Server&amp;Cube1,$H$13,$AP$3,$H$15,$H$17,AX$1,$H$16,$B50)</f>
        <v>*KEY_ERR</v>
      </c>
      <c r="AY50" s="58" t="str">
        <f ca="1">_xll.DBRW(Server&amp;Cube1,$H$13,$AP$3,$H$15,$H$17,AY$1,$H$16,$B50)</f>
        <v>*KEY_ERR</v>
      </c>
      <c r="AZ50" s="58" t="str">
        <f ca="1">_xll.DBRW(Server&amp;Cube1,$H$13,$AP$3,$H$15,$H$17,AZ$1,$H$16,$B50)</f>
        <v>*KEY_ERR</v>
      </c>
      <c r="BA50" s="58" t="str">
        <f ca="1">_xll.DBRW(Server&amp;Cube1,$H$13,$AP$3,$H$15,$H$17,BA$1,$H$16,$B50)</f>
        <v>*KEY_ERR</v>
      </c>
      <c r="BB50" s="59" t="str">
        <f ca="1">_xll.DBRW(Server&amp;Cube1,$H$13,$AP$3,$H$15,$H$17,BB$1,$H$16,$B50)</f>
        <v>*KEY_ERR</v>
      </c>
      <c r="BC50" s="187" t="str">
        <f ca="1">_xll.DBRW(Server&amp;Cube1,$H$13,$BC$3,$H$15,$P$1,BC$2,$H$16,$B50)</f>
        <v>*KEY_ERR</v>
      </c>
      <c r="BD50" s="54" t="str">
        <f ca="1">_xll.DBRW(Server&amp;Cube1,$H$13,$BC$3,$H$15,$H$17,BD$1,$H$16,$B50)</f>
        <v>*KEY_ERR</v>
      </c>
      <c r="BE50" s="58" t="str">
        <f ca="1">_xll.DBRW(Server&amp;Cube1,$H$13,$BC$3,$H$15,$H$17,BE$1,$H$16,$B50)</f>
        <v>*KEY_ERR</v>
      </c>
      <c r="BF50" s="58" t="str">
        <f ca="1">_xll.DBRW(Server&amp;Cube1,$H$13,$BC$3,$H$15,$H$17,BF$1,$H$16,$B50)</f>
        <v>*KEY_ERR</v>
      </c>
      <c r="BG50" s="58" t="str">
        <f ca="1">_xll.DBRW(Server&amp;Cube1,$H$13,$BC$3,$H$15,$H$17,BG$1,$H$16,$B50)</f>
        <v>*KEY_ERR</v>
      </c>
      <c r="BH50" s="58" t="str">
        <f ca="1">_xll.DBRW(Server&amp;Cube1,$H$13,$BC$3,$H$15,$H$17,BH$1,$H$16,$B50)</f>
        <v>*KEY_ERR</v>
      </c>
      <c r="BI50" s="58" t="str">
        <f ca="1">_xll.DBRW(Server&amp;Cube1,$H$13,$BC$3,$H$15,$H$17,BI$1,$H$16,$B50)</f>
        <v>*KEY_ERR</v>
      </c>
      <c r="BJ50" s="58" t="str">
        <f ca="1">_xll.DBRW(Server&amp;Cube1,$H$13,$BC$3,$H$15,$H$17,BJ$1,$H$16,$B50)</f>
        <v>*KEY_ERR</v>
      </c>
      <c r="BK50" s="58" t="str">
        <f ca="1">_xll.DBRW(Server&amp;Cube1,$H$13,$BC$3,$H$15,$H$17,BK$1,$H$16,$B50)</f>
        <v>*KEY_ERR</v>
      </c>
      <c r="BL50" s="58" t="str">
        <f ca="1">_xll.DBRW(Server&amp;Cube1,$H$13,$BC$3,$H$15,$H$17,BL$1,$H$16,$B50)</f>
        <v>*KEY_ERR</v>
      </c>
      <c r="BM50" s="58" t="str">
        <f ca="1">_xll.DBRW(Server&amp;Cube1,$H$13,$BC$3,$H$15,$H$17,BM$1,$H$16,$B50)</f>
        <v>*KEY_ERR</v>
      </c>
      <c r="BN50" s="58" t="str">
        <f ca="1">_xll.DBRW(Server&amp;Cube1,$H$13,$BC$3,$H$15,$H$17,BN$1,$H$16,$B50)</f>
        <v>*KEY_ERR</v>
      </c>
      <c r="BO50" s="59" t="str">
        <f ca="1">_xll.DBRW(Server&amp;Cube1,$H$13,$BC$3,$H$15,$H$17,BO$1,$H$16,$B50)</f>
        <v>*KEY_ERR</v>
      </c>
      <c r="BP50" s="31"/>
    </row>
    <row r="51" spans="1:68" ht="21" customHeight="1" x14ac:dyDescent="0.25">
      <c r="A51"/>
      <c r="B51" s="13" t="s">
        <v>75</v>
      </c>
      <c r="C51" s="13"/>
      <c r="D51" s="22"/>
      <c r="E51" s="171"/>
      <c r="F51" s="107"/>
      <c r="G51" s="321" t="str">
        <f ca="1">_xll.DBRA(Server&amp;$B$22,$B51,"French")</f>
        <v>Documentation Livrets,DVD et Autres (coûts directs)</v>
      </c>
      <c r="H51" s="321" t="str">
        <f ca="1">_xll.DBRA(Server&amp;$B$22,$B51,"French")</f>
        <v>Documentation Livrets,DVD et Autres (coûts directs)</v>
      </c>
      <c r="I51" s="37"/>
      <c r="J51" s="73" t="str">
        <f ca="1">_xll.DBRW(Server&amp;Cube1,$H$13,$H$14,$H$15,$J$1,$J$2,$H$16,$B51)</f>
        <v/>
      </c>
      <c r="K51" s="37"/>
      <c r="L51" s="73" t="str">
        <f ca="1">_xll.DBRW(Server&amp;Cube1,$H$13,$H$14,$H$15,$L$1,$L$2,$H$16,$B51)</f>
        <v/>
      </c>
      <c r="M51" s="55"/>
      <c r="N51" s="73" t="str">
        <f ca="1">_xll.DBRW(Server&amp;Cube1,$H$13,$H$14,$H$15,$P$1,N$2,$H$16,$B51)</f>
        <v>*KEY_ERR</v>
      </c>
      <c r="O51" s="57"/>
      <c r="P51" s="73" t="str">
        <f ca="1">_xll.DBRW(Server&amp;Cube1,$H$13,$P$3,$H$15,$P$1,P$2,$H$16,$B51)</f>
        <v>*KEY_ERR</v>
      </c>
      <c r="Q51" s="73" t="str">
        <f ca="1">_xll.DBRW(Server&amp;Cube1,$H$13,$P$3,$H$15,$H$17,Q$1,$H$16,$B51)</f>
        <v>*KEY_ERR</v>
      </c>
      <c r="R51" s="74" t="str">
        <f ca="1">_xll.DBRW(Server&amp;Cube1,$H$13,$P$3,$H$15,$H$17,R$1,$H$16,$B51)</f>
        <v>*KEY_ERR</v>
      </c>
      <c r="S51" s="74" t="str">
        <f ca="1">_xll.DBRW(Server&amp;Cube1,$H$13,$P$3,$H$15,$H$17,S$1,$H$16,$B51)</f>
        <v>*KEY_ERR</v>
      </c>
      <c r="T51" s="74" t="str">
        <f ca="1">_xll.DBRW(Server&amp;Cube1,$H$13,$P$3,$H$15,$H$17,T$1,$H$16,$B51)</f>
        <v>*KEY_ERR</v>
      </c>
      <c r="U51" s="74" t="str">
        <f ca="1">_xll.DBRW(Server&amp;Cube1,$H$13,$P$3,$H$15,$H$17,U$1,$H$16,$B51)</f>
        <v>*KEY_ERR</v>
      </c>
      <c r="V51" s="74" t="str">
        <f ca="1">_xll.DBRW(Server&amp;Cube1,$H$13,$P$3,$H$15,$H$17,V$1,$H$16,$B51)</f>
        <v>*KEY_ERR</v>
      </c>
      <c r="W51" s="74" t="str">
        <f ca="1">_xll.DBRW(Server&amp;Cube1,$H$13,$P$3,$H$15,$H$17,W$1,$H$16,$B51)</f>
        <v>*KEY_ERR</v>
      </c>
      <c r="X51" s="74" t="str">
        <f ca="1">_xll.DBRW(Server&amp;Cube1,$H$13,$P$3,$H$15,$H$17,X$1,$H$16,$B51)</f>
        <v>*KEY_ERR</v>
      </c>
      <c r="Y51" s="74" t="str">
        <f ca="1">_xll.DBRW(Server&amp;Cube1,$H$13,$P$3,$H$15,$H$17,Y$1,$H$16,$B51)</f>
        <v>*KEY_ERR</v>
      </c>
      <c r="Z51" s="74" t="str">
        <f ca="1">_xll.DBRW(Server&amp;Cube1,$H$13,$P$3,$H$15,$H$17,Z$1,$H$16,$B51)</f>
        <v>*KEY_ERR</v>
      </c>
      <c r="AA51" s="74" t="str">
        <f ca="1">_xll.DBRW(Server&amp;Cube1,$H$13,$P$3,$H$15,$H$17,AA$1,$H$16,$B51)</f>
        <v>*KEY_ERR</v>
      </c>
      <c r="AB51" s="75" t="str">
        <f ca="1">_xll.DBRW(Server&amp;Cube1,$H$13,$P$3,$H$15,$H$17,AB$1,$H$16,$B51)</f>
        <v>*KEY_ERR</v>
      </c>
      <c r="AC51" s="190" t="str">
        <f ca="1">_xll.DBRW(Server&amp;Cube1,$H$13,$AC$3,$H$15,$P$1,AC$2,$H$16,$B51)</f>
        <v>*KEY_ERR</v>
      </c>
      <c r="AD51" s="73" t="str">
        <f ca="1">_xll.DBRW(Server&amp;Cube1,$H$13,$AC$3,$H$15,$H$17,AD$1,$H$16,$B51)</f>
        <v>*KEY_ERR</v>
      </c>
      <c r="AE51" s="74" t="str">
        <f ca="1">_xll.DBRW(Server&amp;Cube1,$H$13,$AC$3,$H$15,$H$17,AE$1,$H$16,$B51)</f>
        <v>*KEY_ERR</v>
      </c>
      <c r="AF51" s="74" t="str">
        <f ca="1">_xll.DBRW(Server&amp;Cube1,$H$13,$AC$3,$H$15,$H$17,AF$1,$H$16,$B51)</f>
        <v>*KEY_ERR</v>
      </c>
      <c r="AG51" s="74" t="str">
        <f ca="1">_xll.DBRW(Server&amp;Cube1,$H$13,$AC$3,$H$15,$H$17,AG$1,$H$16,$B51)</f>
        <v>*KEY_ERR</v>
      </c>
      <c r="AH51" s="74" t="str">
        <f ca="1">_xll.DBRW(Server&amp;Cube1,$H$13,$AC$3,$H$15,$H$17,AH$1,$H$16,$B51)</f>
        <v>*KEY_ERR</v>
      </c>
      <c r="AI51" s="74" t="str">
        <f ca="1">_xll.DBRW(Server&amp;Cube1,$H$13,$AC$3,$H$15,$H$17,AI$1,$H$16,$B51)</f>
        <v>*KEY_ERR</v>
      </c>
      <c r="AJ51" s="74" t="str">
        <f ca="1">_xll.DBRW(Server&amp;Cube1,$H$13,$AC$3,$H$15,$H$17,AJ$1,$H$16,$B51)</f>
        <v>*KEY_ERR</v>
      </c>
      <c r="AK51" s="74" t="str">
        <f ca="1">_xll.DBRW(Server&amp;Cube1,$H$13,$AC$3,$H$15,$H$17,AK$1,$H$16,$B51)</f>
        <v>*KEY_ERR</v>
      </c>
      <c r="AL51" s="74" t="str">
        <f ca="1">_xll.DBRW(Server&amp;Cube1,$H$13,$AC$3,$H$15,$H$17,AL$1,$H$16,$B51)</f>
        <v>*KEY_ERR</v>
      </c>
      <c r="AM51" s="74" t="str">
        <f ca="1">_xll.DBRW(Server&amp;Cube1,$H$13,$AC$3,$H$15,$H$17,AM$1,$H$16,$B51)</f>
        <v>*KEY_ERR</v>
      </c>
      <c r="AN51" s="74" t="str">
        <f ca="1">_xll.DBRW(Server&amp;Cube1,$H$13,$AC$3,$H$15,$H$17,AN$1,$H$16,$B51)</f>
        <v>*KEY_ERR</v>
      </c>
      <c r="AO51" s="75" t="str">
        <f ca="1">_xll.DBRW(Server&amp;Cube1,$H$13,$AC$3,$H$15,$H$17,AO$1,$H$16,$B51)</f>
        <v>*KEY_ERR</v>
      </c>
      <c r="AP51" s="190" t="str">
        <f ca="1">_xll.DBRW(Server&amp;Cube1,$H$13,$AP$3,$H$15,$P$1,AP$2,$H$16,$B51)</f>
        <v>*KEY_ERR</v>
      </c>
      <c r="AQ51" s="73" t="str">
        <f ca="1">_xll.DBRW(Server&amp;Cube1,$H$13,$AP$3,$H$15,$H$17,AQ$1,$H$16,$B51)</f>
        <v>*KEY_ERR</v>
      </c>
      <c r="AR51" s="74" t="str">
        <f ca="1">_xll.DBRW(Server&amp;Cube1,$H$13,$AP$3,$H$15,$H$17,AR$1,$H$16,$B51)</f>
        <v>*KEY_ERR</v>
      </c>
      <c r="AS51" s="74" t="str">
        <f ca="1">_xll.DBRW(Server&amp;Cube1,$H$13,$AP$3,$H$15,$H$17,AS$1,$H$16,$B51)</f>
        <v>*KEY_ERR</v>
      </c>
      <c r="AT51" s="74" t="str">
        <f ca="1">_xll.DBRW(Server&amp;Cube1,$H$13,$AP$3,$H$15,$H$17,AT$1,$H$16,$B51)</f>
        <v>*KEY_ERR</v>
      </c>
      <c r="AU51" s="74" t="str">
        <f ca="1">_xll.DBRW(Server&amp;Cube1,$H$13,$AP$3,$H$15,$H$17,AU$1,$H$16,$B51)</f>
        <v>*KEY_ERR</v>
      </c>
      <c r="AV51" s="74" t="str">
        <f ca="1">_xll.DBRW(Server&amp;Cube1,$H$13,$AP$3,$H$15,$H$17,AV$1,$H$16,$B51)</f>
        <v>*KEY_ERR</v>
      </c>
      <c r="AW51" s="74" t="str">
        <f ca="1">_xll.DBRW(Server&amp;Cube1,$H$13,$AP$3,$H$15,$H$17,AW$1,$H$16,$B51)</f>
        <v>*KEY_ERR</v>
      </c>
      <c r="AX51" s="74" t="str">
        <f ca="1">_xll.DBRW(Server&amp;Cube1,$H$13,$AP$3,$H$15,$H$17,AX$1,$H$16,$B51)</f>
        <v>*KEY_ERR</v>
      </c>
      <c r="AY51" s="74" t="str">
        <f ca="1">_xll.DBRW(Server&amp;Cube1,$H$13,$AP$3,$H$15,$H$17,AY$1,$H$16,$B51)</f>
        <v>*KEY_ERR</v>
      </c>
      <c r="AZ51" s="74" t="str">
        <f ca="1">_xll.DBRW(Server&amp;Cube1,$H$13,$AP$3,$H$15,$H$17,AZ$1,$H$16,$B51)</f>
        <v>*KEY_ERR</v>
      </c>
      <c r="BA51" s="74" t="str">
        <f ca="1">_xll.DBRW(Server&amp;Cube1,$H$13,$AP$3,$H$15,$H$17,BA$1,$H$16,$B51)</f>
        <v>*KEY_ERR</v>
      </c>
      <c r="BB51" s="75" t="str">
        <f ca="1">_xll.DBRW(Server&amp;Cube1,$H$13,$AP$3,$H$15,$H$17,BB$1,$H$16,$B51)</f>
        <v>*KEY_ERR</v>
      </c>
      <c r="BC51" s="190" t="str">
        <f ca="1">_xll.DBRW(Server&amp;Cube1,$H$13,$BC$3,$H$15,$P$1,BC$2,$H$16,$B51)</f>
        <v>*KEY_ERR</v>
      </c>
      <c r="BD51" s="73" t="str">
        <f ca="1">_xll.DBRW(Server&amp;Cube1,$H$13,$BC$3,$H$15,$H$17,BD$1,$H$16,$B51)</f>
        <v>*KEY_ERR</v>
      </c>
      <c r="BE51" s="74" t="str">
        <f ca="1">_xll.DBRW(Server&amp;Cube1,$H$13,$BC$3,$H$15,$H$17,BE$1,$H$16,$B51)</f>
        <v>*KEY_ERR</v>
      </c>
      <c r="BF51" s="74" t="str">
        <f ca="1">_xll.DBRW(Server&amp;Cube1,$H$13,$BC$3,$H$15,$H$17,BF$1,$H$16,$B51)</f>
        <v>*KEY_ERR</v>
      </c>
      <c r="BG51" s="74" t="str">
        <f ca="1">_xll.DBRW(Server&amp;Cube1,$H$13,$BC$3,$H$15,$H$17,BG$1,$H$16,$B51)</f>
        <v>*KEY_ERR</v>
      </c>
      <c r="BH51" s="74" t="str">
        <f ca="1">_xll.DBRW(Server&amp;Cube1,$H$13,$BC$3,$H$15,$H$17,BH$1,$H$16,$B51)</f>
        <v>*KEY_ERR</v>
      </c>
      <c r="BI51" s="74" t="str">
        <f ca="1">_xll.DBRW(Server&amp;Cube1,$H$13,$BC$3,$H$15,$H$17,BI$1,$H$16,$B51)</f>
        <v>*KEY_ERR</v>
      </c>
      <c r="BJ51" s="74" t="str">
        <f ca="1">_xll.DBRW(Server&amp;Cube1,$H$13,$BC$3,$H$15,$H$17,BJ$1,$H$16,$B51)</f>
        <v>*KEY_ERR</v>
      </c>
      <c r="BK51" s="74" t="str">
        <f ca="1">_xll.DBRW(Server&amp;Cube1,$H$13,$BC$3,$H$15,$H$17,BK$1,$H$16,$B51)</f>
        <v>*KEY_ERR</v>
      </c>
      <c r="BL51" s="74" t="str">
        <f ca="1">_xll.DBRW(Server&amp;Cube1,$H$13,$BC$3,$H$15,$H$17,BL$1,$H$16,$B51)</f>
        <v>*KEY_ERR</v>
      </c>
      <c r="BM51" s="74" t="str">
        <f ca="1">_xll.DBRW(Server&amp;Cube1,$H$13,$BC$3,$H$15,$H$17,BM$1,$H$16,$B51)</f>
        <v>*KEY_ERR</v>
      </c>
      <c r="BN51" s="74" t="str">
        <f ca="1">_xll.DBRW(Server&amp;Cube1,$H$13,$BC$3,$H$15,$H$17,BN$1,$H$16,$B51)</f>
        <v>*KEY_ERR</v>
      </c>
      <c r="BO51" s="75" t="str">
        <f ca="1">_xll.DBRW(Server&amp;Cube1,$H$13,$BC$3,$H$15,$H$17,BO$1,$H$16,$B51)</f>
        <v>*KEY_ERR</v>
      </c>
      <c r="BP51" s="31"/>
    </row>
    <row r="52" spans="1:68" ht="21" customHeight="1" x14ac:dyDescent="0.25">
      <c r="A52"/>
      <c r="B52" s="13" t="s">
        <v>76</v>
      </c>
      <c r="C52" s="13"/>
      <c r="D52" s="22"/>
      <c r="E52" s="171"/>
      <c r="F52" s="107"/>
      <c r="G52" s="321" t="str">
        <f ca="1">_xll.DBRA(Server&amp;$B$22,$B52,"French")</f>
        <v>Cartes CQC (charge)</v>
      </c>
      <c r="H52" s="321" t="str">
        <f ca="1">_xll.DBRA(Server&amp;$B$22,$B52,"French")</f>
        <v>Cartes CQC (charge)</v>
      </c>
      <c r="I52" s="37"/>
      <c r="J52" s="73" t="str">
        <f ca="1">_xll.DBRW(Server&amp;Cube1,$H$13,$H$14,$H$15,$J$1,$J$2,$H$16,$B52)</f>
        <v/>
      </c>
      <c r="K52" s="37"/>
      <c r="L52" s="73" t="str">
        <f ca="1">_xll.DBRW(Server&amp;Cube1,$H$13,$H$14,$H$15,$L$1,$L$2,$H$16,$B52)</f>
        <v/>
      </c>
      <c r="M52" s="55"/>
      <c r="N52" s="73" t="str">
        <f ca="1">_xll.DBRW(Server&amp;Cube1,$H$13,$H$14,$H$15,$P$1,N$2,$H$16,$B52)</f>
        <v>*KEY_ERR</v>
      </c>
      <c r="O52" s="57"/>
      <c r="P52" s="73" t="str">
        <f ca="1">_xll.DBRW(Server&amp;Cube1,$H$13,$P$3,$H$15,$P$1,P$2,$H$16,$B52)</f>
        <v>*KEY_ERR</v>
      </c>
      <c r="Q52" s="73" t="str">
        <f ca="1">_xll.DBRW(Server&amp;Cube1,$H$13,$P$3,$H$15,$H$17,Q$1,$H$16,$B52)</f>
        <v>*KEY_ERR</v>
      </c>
      <c r="R52" s="74" t="str">
        <f ca="1">_xll.DBRW(Server&amp;Cube1,$H$13,$P$3,$H$15,$H$17,R$1,$H$16,$B52)</f>
        <v>*KEY_ERR</v>
      </c>
      <c r="S52" s="74" t="str">
        <f ca="1">_xll.DBRW(Server&amp;Cube1,$H$13,$P$3,$H$15,$H$17,S$1,$H$16,$B52)</f>
        <v>*KEY_ERR</v>
      </c>
      <c r="T52" s="74" t="str">
        <f ca="1">_xll.DBRW(Server&amp;Cube1,$H$13,$P$3,$H$15,$H$17,T$1,$H$16,$B52)</f>
        <v>*KEY_ERR</v>
      </c>
      <c r="U52" s="74" t="str">
        <f ca="1">_xll.DBRW(Server&amp;Cube1,$H$13,$P$3,$H$15,$H$17,U$1,$H$16,$B52)</f>
        <v>*KEY_ERR</v>
      </c>
      <c r="V52" s="74" t="str">
        <f ca="1">_xll.DBRW(Server&amp;Cube1,$H$13,$P$3,$H$15,$H$17,V$1,$H$16,$B52)</f>
        <v>*KEY_ERR</v>
      </c>
      <c r="W52" s="74" t="str">
        <f ca="1">_xll.DBRW(Server&amp;Cube1,$H$13,$P$3,$H$15,$H$17,W$1,$H$16,$B52)</f>
        <v>*KEY_ERR</v>
      </c>
      <c r="X52" s="74" t="str">
        <f ca="1">_xll.DBRW(Server&amp;Cube1,$H$13,$P$3,$H$15,$H$17,X$1,$H$16,$B52)</f>
        <v>*KEY_ERR</v>
      </c>
      <c r="Y52" s="74" t="str">
        <f ca="1">_xll.DBRW(Server&amp;Cube1,$H$13,$P$3,$H$15,$H$17,Y$1,$H$16,$B52)</f>
        <v>*KEY_ERR</v>
      </c>
      <c r="Z52" s="74" t="str">
        <f ca="1">_xll.DBRW(Server&amp;Cube1,$H$13,$P$3,$H$15,$H$17,Z$1,$H$16,$B52)</f>
        <v>*KEY_ERR</v>
      </c>
      <c r="AA52" s="74" t="str">
        <f ca="1">_xll.DBRW(Server&amp;Cube1,$H$13,$P$3,$H$15,$H$17,AA$1,$H$16,$B52)</f>
        <v>*KEY_ERR</v>
      </c>
      <c r="AB52" s="75" t="str">
        <f ca="1">_xll.DBRW(Server&amp;Cube1,$H$13,$P$3,$H$15,$H$17,AB$1,$H$16,$B52)</f>
        <v>*KEY_ERR</v>
      </c>
      <c r="AC52" s="190" t="str">
        <f ca="1">_xll.DBRW(Server&amp;Cube1,$H$13,$AC$3,$H$15,$P$1,AC$2,$H$16,$B52)</f>
        <v>*KEY_ERR</v>
      </c>
      <c r="AD52" s="73" t="str">
        <f ca="1">_xll.DBRW(Server&amp;Cube1,$H$13,$AC$3,$H$15,$H$17,AD$1,$H$16,$B52)</f>
        <v>*KEY_ERR</v>
      </c>
      <c r="AE52" s="74" t="str">
        <f ca="1">_xll.DBRW(Server&amp;Cube1,$H$13,$AC$3,$H$15,$H$17,AE$1,$H$16,$B52)</f>
        <v>*KEY_ERR</v>
      </c>
      <c r="AF52" s="74" t="str">
        <f ca="1">_xll.DBRW(Server&amp;Cube1,$H$13,$AC$3,$H$15,$H$17,AF$1,$H$16,$B52)</f>
        <v>*KEY_ERR</v>
      </c>
      <c r="AG52" s="74" t="str">
        <f ca="1">_xll.DBRW(Server&amp;Cube1,$H$13,$AC$3,$H$15,$H$17,AG$1,$H$16,$B52)</f>
        <v>*KEY_ERR</v>
      </c>
      <c r="AH52" s="74" t="str">
        <f ca="1">_xll.DBRW(Server&amp;Cube1,$H$13,$AC$3,$H$15,$H$17,AH$1,$H$16,$B52)</f>
        <v>*KEY_ERR</v>
      </c>
      <c r="AI52" s="74" t="str">
        <f ca="1">_xll.DBRW(Server&amp;Cube1,$H$13,$AC$3,$H$15,$H$17,AI$1,$H$16,$B52)</f>
        <v>*KEY_ERR</v>
      </c>
      <c r="AJ52" s="74" t="str">
        <f ca="1">_xll.DBRW(Server&amp;Cube1,$H$13,$AC$3,$H$15,$H$17,AJ$1,$H$16,$B52)</f>
        <v>*KEY_ERR</v>
      </c>
      <c r="AK52" s="74" t="str">
        <f ca="1">_xll.DBRW(Server&amp;Cube1,$H$13,$AC$3,$H$15,$H$17,AK$1,$H$16,$B52)</f>
        <v>*KEY_ERR</v>
      </c>
      <c r="AL52" s="74" t="str">
        <f ca="1">_xll.DBRW(Server&amp;Cube1,$H$13,$AC$3,$H$15,$H$17,AL$1,$H$16,$B52)</f>
        <v>*KEY_ERR</v>
      </c>
      <c r="AM52" s="74" t="str">
        <f ca="1">_xll.DBRW(Server&amp;Cube1,$H$13,$AC$3,$H$15,$H$17,AM$1,$H$16,$B52)</f>
        <v>*KEY_ERR</v>
      </c>
      <c r="AN52" s="74" t="str">
        <f ca="1">_xll.DBRW(Server&amp;Cube1,$H$13,$AC$3,$H$15,$H$17,AN$1,$H$16,$B52)</f>
        <v>*KEY_ERR</v>
      </c>
      <c r="AO52" s="75" t="str">
        <f ca="1">_xll.DBRW(Server&amp;Cube1,$H$13,$AC$3,$H$15,$H$17,AO$1,$H$16,$B52)</f>
        <v>*KEY_ERR</v>
      </c>
      <c r="AP52" s="190" t="str">
        <f ca="1">_xll.DBRW(Server&amp;Cube1,$H$13,$AP$3,$H$15,$P$1,AP$2,$H$16,$B52)</f>
        <v>*KEY_ERR</v>
      </c>
      <c r="AQ52" s="73" t="str">
        <f ca="1">_xll.DBRW(Server&amp;Cube1,$H$13,$AP$3,$H$15,$H$17,AQ$1,$H$16,$B52)</f>
        <v>*KEY_ERR</v>
      </c>
      <c r="AR52" s="74" t="str">
        <f ca="1">_xll.DBRW(Server&amp;Cube1,$H$13,$AP$3,$H$15,$H$17,AR$1,$H$16,$B52)</f>
        <v>*KEY_ERR</v>
      </c>
      <c r="AS52" s="74" t="str">
        <f ca="1">_xll.DBRW(Server&amp;Cube1,$H$13,$AP$3,$H$15,$H$17,AS$1,$H$16,$B52)</f>
        <v>*KEY_ERR</v>
      </c>
      <c r="AT52" s="74" t="str">
        <f ca="1">_xll.DBRW(Server&amp;Cube1,$H$13,$AP$3,$H$15,$H$17,AT$1,$H$16,$B52)</f>
        <v>*KEY_ERR</v>
      </c>
      <c r="AU52" s="74" t="str">
        <f ca="1">_xll.DBRW(Server&amp;Cube1,$H$13,$AP$3,$H$15,$H$17,AU$1,$H$16,$B52)</f>
        <v>*KEY_ERR</v>
      </c>
      <c r="AV52" s="74" t="str">
        <f ca="1">_xll.DBRW(Server&amp;Cube1,$H$13,$AP$3,$H$15,$H$17,AV$1,$H$16,$B52)</f>
        <v>*KEY_ERR</v>
      </c>
      <c r="AW52" s="74" t="str">
        <f ca="1">_xll.DBRW(Server&amp;Cube1,$H$13,$AP$3,$H$15,$H$17,AW$1,$H$16,$B52)</f>
        <v>*KEY_ERR</v>
      </c>
      <c r="AX52" s="74" t="str">
        <f ca="1">_xll.DBRW(Server&amp;Cube1,$H$13,$AP$3,$H$15,$H$17,AX$1,$H$16,$B52)</f>
        <v>*KEY_ERR</v>
      </c>
      <c r="AY52" s="74" t="str">
        <f ca="1">_xll.DBRW(Server&amp;Cube1,$H$13,$AP$3,$H$15,$H$17,AY$1,$H$16,$B52)</f>
        <v>*KEY_ERR</v>
      </c>
      <c r="AZ52" s="74" t="str">
        <f ca="1">_xll.DBRW(Server&amp;Cube1,$H$13,$AP$3,$H$15,$H$17,AZ$1,$H$16,$B52)</f>
        <v>*KEY_ERR</v>
      </c>
      <c r="BA52" s="74" t="str">
        <f ca="1">_xll.DBRW(Server&amp;Cube1,$H$13,$AP$3,$H$15,$H$17,BA$1,$H$16,$B52)</f>
        <v>*KEY_ERR</v>
      </c>
      <c r="BB52" s="75" t="str">
        <f ca="1">_xll.DBRW(Server&amp;Cube1,$H$13,$AP$3,$H$15,$H$17,BB$1,$H$16,$B52)</f>
        <v>*KEY_ERR</v>
      </c>
      <c r="BC52" s="190" t="str">
        <f ca="1">_xll.DBRW(Server&amp;Cube1,$H$13,$BC$3,$H$15,$P$1,BC$2,$H$16,$B52)</f>
        <v>*KEY_ERR</v>
      </c>
      <c r="BD52" s="73" t="str">
        <f ca="1">_xll.DBRW(Server&amp;Cube1,$H$13,$BC$3,$H$15,$H$17,BD$1,$H$16,$B52)</f>
        <v>*KEY_ERR</v>
      </c>
      <c r="BE52" s="74" t="str">
        <f ca="1">_xll.DBRW(Server&amp;Cube1,$H$13,$BC$3,$H$15,$H$17,BE$1,$H$16,$B52)</f>
        <v>*KEY_ERR</v>
      </c>
      <c r="BF52" s="74" t="str">
        <f ca="1">_xll.DBRW(Server&amp;Cube1,$H$13,$BC$3,$H$15,$H$17,BF$1,$H$16,$B52)</f>
        <v>*KEY_ERR</v>
      </c>
      <c r="BG52" s="74" t="str">
        <f ca="1">_xll.DBRW(Server&amp;Cube1,$H$13,$BC$3,$H$15,$H$17,BG$1,$H$16,$B52)</f>
        <v>*KEY_ERR</v>
      </c>
      <c r="BH52" s="74" t="str">
        <f ca="1">_xll.DBRW(Server&amp;Cube1,$H$13,$BC$3,$H$15,$H$17,BH$1,$H$16,$B52)</f>
        <v>*KEY_ERR</v>
      </c>
      <c r="BI52" s="74" t="str">
        <f ca="1">_xll.DBRW(Server&amp;Cube1,$H$13,$BC$3,$H$15,$H$17,BI$1,$H$16,$B52)</f>
        <v>*KEY_ERR</v>
      </c>
      <c r="BJ52" s="74" t="str">
        <f ca="1">_xll.DBRW(Server&amp;Cube1,$H$13,$BC$3,$H$15,$H$17,BJ$1,$H$16,$B52)</f>
        <v>*KEY_ERR</v>
      </c>
      <c r="BK52" s="74" t="str">
        <f ca="1">_xll.DBRW(Server&amp;Cube1,$H$13,$BC$3,$H$15,$H$17,BK$1,$H$16,$B52)</f>
        <v>*KEY_ERR</v>
      </c>
      <c r="BL52" s="74" t="str">
        <f ca="1">_xll.DBRW(Server&amp;Cube1,$H$13,$BC$3,$H$15,$H$17,BL$1,$H$16,$B52)</f>
        <v>*KEY_ERR</v>
      </c>
      <c r="BM52" s="74" t="str">
        <f ca="1">_xll.DBRW(Server&amp;Cube1,$H$13,$BC$3,$H$15,$H$17,BM$1,$H$16,$B52)</f>
        <v>*KEY_ERR</v>
      </c>
      <c r="BN52" s="74" t="str">
        <f ca="1">_xll.DBRW(Server&amp;Cube1,$H$13,$BC$3,$H$15,$H$17,BN$1,$H$16,$B52)</f>
        <v>*KEY_ERR</v>
      </c>
      <c r="BO52" s="75" t="str">
        <f ca="1">_xll.DBRW(Server&amp;Cube1,$H$13,$BC$3,$H$15,$H$17,BO$1,$H$16,$B52)</f>
        <v>*KEY_ERR</v>
      </c>
      <c r="BP52" s="31"/>
    </row>
    <row r="53" spans="1:68" ht="21" customHeight="1" x14ac:dyDescent="0.25">
      <c r="A53"/>
      <c r="B53" s="13">
        <v>618100</v>
      </c>
      <c r="C53" s="13"/>
      <c r="D53" s="22"/>
      <c r="E53" s="171"/>
      <c r="F53" s="107"/>
      <c r="G53" s="305" t="s">
        <v>113</v>
      </c>
      <c r="H53" s="305"/>
      <c r="I53" s="37"/>
      <c r="J53" s="54" t="str">
        <f ca="1">_xll.DBRW(Server&amp;Cube1,$H$13,$H$14,$H$15,$J$1,$J$2,$H$16,$B53)</f>
        <v/>
      </c>
      <c r="K53" s="37"/>
      <c r="L53" s="54" t="str">
        <f ca="1">_xll.DBRW(Server&amp;Cube1,$H$13,$H$14,$H$15,$L$1,$L$2,$H$16,$B53)</f>
        <v/>
      </c>
      <c r="M53" s="55"/>
      <c r="N53" s="54" t="str">
        <f ca="1">_xll.DBRW(Server&amp;Cube1,$H$13,$H$14,$H$15,$P$1,N$2,$H$16,$B53)</f>
        <v>*KEY_ERR</v>
      </c>
      <c r="O53" s="57"/>
      <c r="P53" s="54" t="str">
        <f ca="1">_xll.DBRW(Server&amp;Cube1,$H$13,$P$3,$H$15,$P$1,P$2,$H$16,$B53)</f>
        <v>*KEY_ERR</v>
      </c>
      <c r="Q53" s="54" t="str">
        <f ca="1">_xll.DBRW(Server&amp;Cube1,$H$13,$P$3,$H$15,$H$17,Q$1,$H$16,$B53)</f>
        <v>*KEY_ERR</v>
      </c>
      <c r="R53" s="58" t="str">
        <f ca="1">_xll.DBRW(Server&amp;Cube1,$H$13,$P$3,$H$15,$H$17,R$1,$H$16,$B53)</f>
        <v>*KEY_ERR</v>
      </c>
      <c r="S53" s="58" t="str">
        <f ca="1">_xll.DBRW(Server&amp;Cube1,$H$13,$P$3,$H$15,$H$17,S$1,$H$16,$B53)</f>
        <v>*KEY_ERR</v>
      </c>
      <c r="T53" s="58" t="str">
        <f ca="1">_xll.DBRW(Server&amp;Cube1,$H$13,$P$3,$H$15,$H$17,T$1,$H$16,$B53)</f>
        <v>*KEY_ERR</v>
      </c>
      <c r="U53" s="58" t="str">
        <f ca="1">_xll.DBRW(Server&amp;Cube1,$H$13,$P$3,$H$15,$H$17,U$1,$H$16,$B53)</f>
        <v>*KEY_ERR</v>
      </c>
      <c r="V53" s="58" t="str">
        <f ca="1">_xll.DBRW(Server&amp;Cube1,$H$13,$P$3,$H$15,$H$17,V$1,$H$16,$B53)</f>
        <v>*KEY_ERR</v>
      </c>
      <c r="W53" s="58" t="str">
        <f ca="1">_xll.DBRW(Server&amp;Cube1,$H$13,$P$3,$H$15,$H$17,W$1,$H$16,$B53)</f>
        <v>*KEY_ERR</v>
      </c>
      <c r="X53" s="58" t="str">
        <f ca="1">_xll.DBRW(Server&amp;Cube1,$H$13,$P$3,$H$15,$H$17,X$1,$H$16,$B53)</f>
        <v>*KEY_ERR</v>
      </c>
      <c r="Y53" s="58" t="str">
        <f ca="1">_xll.DBRW(Server&amp;Cube1,$H$13,$P$3,$H$15,$H$17,Y$1,$H$16,$B53)</f>
        <v>*KEY_ERR</v>
      </c>
      <c r="Z53" s="58" t="str">
        <f ca="1">_xll.DBRW(Server&amp;Cube1,$H$13,$P$3,$H$15,$H$17,Z$1,$H$16,$B53)</f>
        <v>*KEY_ERR</v>
      </c>
      <c r="AA53" s="58" t="str">
        <f ca="1">_xll.DBRW(Server&amp;Cube1,$H$13,$P$3,$H$15,$H$17,AA$1,$H$16,$B53)</f>
        <v>*KEY_ERR</v>
      </c>
      <c r="AB53" s="59" t="str">
        <f ca="1">_xll.DBRW(Server&amp;Cube1,$H$13,$P$3,$H$15,$H$17,AB$1,$H$16,$B53)</f>
        <v>*KEY_ERR</v>
      </c>
      <c r="AC53" s="187" t="str">
        <f ca="1">_xll.DBRW(Server&amp;Cube1,$H$13,$AC$3,$H$15,$P$1,AC$2,$H$16,$B53)</f>
        <v>*KEY_ERR</v>
      </c>
      <c r="AD53" s="54" t="str">
        <f ca="1">_xll.DBRW(Server&amp;Cube1,$H$13,$AC$3,$H$15,$H$17,AD$1,$H$16,$B53)</f>
        <v>*KEY_ERR</v>
      </c>
      <c r="AE53" s="58" t="str">
        <f ca="1">_xll.DBRW(Server&amp;Cube1,$H$13,$AC$3,$H$15,$H$17,AE$1,$H$16,$B53)</f>
        <v>*KEY_ERR</v>
      </c>
      <c r="AF53" s="58" t="str">
        <f ca="1">_xll.DBRW(Server&amp;Cube1,$H$13,$AC$3,$H$15,$H$17,AF$1,$H$16,$B53)</f>
        <v>*KEY_ERR</v>
      </c>
      <c r="AG53" s="58" t="str">
        <f ca="1">_xll.DBRW(Server&amp;Cube1,$H$13,$AC$3,$H$15,$H$17,AG$1,$H$16,$B53)</f>
        <v>*KEY_ERR</v>
      </c>
      <c r="AH53" s="58" t="str">
        <f ca="1">_xll.DBRW(Server&amp;Cube1,$H$13,$AC$3,$H$15,$H$17,AH$1,$H$16,$B53)</f>
        <v>*KEY_ERR</v>
      </c>
      <c r="AI53" s="58" t="str">
        <f ca="1">_xll.DBRW(Server&amp;Cube1,$H$13,$AC$3,$H$15,$H$17,AI$1,$H$16,$B53)</f>
        <v>*KEY_ERR</v>
      </c>
      <c r="AJ53" s="58" t="str">
        <f ca="1">_xll.DBRW(Server&amp;Cube1,$H$13,$AC$3,$H$15,$H$17,AJ$1,$H$16,$B53)</f>
        <v>*KEY_ERR</v>
      </c>
      <c r="AK53" s="58" t="str">
        <f ca="1">_xll.DBRW(Server&amp;Cube1,$H$13,$AC$3,$H$15,$H$17,AK$1,$H$16,$B53)</f>
        <v>*KEY_ERR</v>
      </c>
      <c r="AL53" s="58" t="str">
        <f ca="1">_xll.DBRW(Server&amp;Cube1,$H$13,$AC$3,$H$15,$H$17,AL$1,$H$16,$B53)</f>
        <v>*KEY_ERR</v>
      </c>
      <c r="AM53" s="58" t="str">
        <f ca="1">_xll.DBRW(Server&amp;Cube1,$H$13,$AC$3,$H$15,$H$17,AM$1,$H$16,$B53)</f>
        <v>*KEY_ERR</v>
      </c>
      <c r="AN53" s="58" t="str">
        <f ca="1">_xll.DBRW(Server&amp;Cube1,$H$13,$AC$3,$H$15,$H$17,AN$1,$H$16,$B53)</f>
        <v>*KEY_ERR</v>
      </c>
      <c r="AO53" s="59" t="str">
        <f ca="1">_xll.DBRW(Server&amp;Cube1,$H$13,$AC$3,$H$15,$H$17,AO$1,$H$16,$B53)</f>
        <v>*KEY_ERR</v>
      </c>
      <c r="AP53" s="187" t="str">
        <f ca="1">_xll.DBRW(Server&amp;Cube1,$H$13,$AP$3,$H$15,$P$1,AP$2,$H$16,$B53)</f>
        <v>*KEY_ERR</v>
      </c>
      <c r="AQ53" s="54" t="str">
        <f ca="1">_xll.DBRW(Server&amp;Cube1,$H$13,$AP$3,$H$15,$H$17,AQ$1,$H$16,$B53)</f>
        <v>*KEY_ERR</v>
      </c>
      <c r="AR53" s="58" t="str">
        <f ca="1">_xll.DBRW(Server&amp;Cube1,$H$13,$AP$3,$H$15,$H$17,AR$1,$H$16,$B53)</f>
        <v>*KEY_ERR</v>
      </c>
      <c r="AS53" s="58" t="str">
        <f ca="1">_xll.DBRW(Server&amp;Cube1,$H$13,$AP$3,$H$15,$H$17,AS$1,$H$16,$B53)</f>
        <v>*KEY_ERR</v>
      </c>
      <c r="AT53" s="58" t="str">
        <f ca="1">_xll.DBRW(Server&amp;Cube1,$H$13,$AP$3,$H$15,$H$17,AT$1,$H$16,$B53)</f>
        <v>*KEY_ERR</v>
      </c>
      <c r="AU53" s="58" t="str">
        <f ca="1">_xll.DBRW(Server&amp;Cube1,$H$13,$AP$3,$H$15,$H$17,AU$1,$H$16,$B53)</f>
        <v>*KEY_ERR</v>
      </c>
      <c r="AV53" s="58" t="str">
        <f ca="1">_xll.DBRW(Server&amp;Cube1,$H$13,$AP$3,$H$15,$H$17,AV$1,$H$16,$B53)</f>
        <v>*KEY_ERR</v>
      </c>
      <c r="AW53" s="58" t="str">
        <f ca="1">_xll.DBRW(Server&amp;Cube1,$H$13,$AP$3,$H$15,$H$17,AW$1,$H$16,$B53)</f>
        <v>*KEY_ERR</v>
      </c>
      <c r="AX53" s="58" t="str">
        <f ca="1">_xll.DBRW(Server&amp;Cube1,$H$13,$AP$3,$H$15,$H$17,AX$1,$H$16,$B53)</f>
        <v>*KEY_ERR</v>
      </c>
      <c r="AY53" s="58" t="str">
        <f ca="1">_xll.DBRW(Server&amp;Cube1,$H$13,$AP$3,$H$15,$H$17,AY$1,$H$16,$B53)</f>
        <v>*KEY_ERR</v>
      </c>
      <c r="AZ53" s="58" t="str">
        <f ca="1">_xll.DBRW(Server&amp;Cube1,$H$13,$AP$3,$H$15,$H$17,AZ$1,$H$16,$B53)</f>
        <v>*KEY_ERR</v>
      </c>
      <c r="BA53" s="58" t="str">
        <f ca="1">_xll.DBRW(Server&amp;Cube1,$H$13,$AP$3,$H$15,$H$17,BA$1,$H$16,$B53)</f>
        <v>*KEY_ERR</v>
      </c>
      <c r="BB53" s="59" t="str">
        <f ca="1">_xll.DBRW(Server&amp;Cube1,$H$13,$AP$3,$H$15,$H$17,BB$1,$H$16,$B53)</f>
        <v>*KEY_ERR</v>
      </c>
      <c r="BC53" s="187" t="str">
        <f ca="1">_xll.DBRW(Server&amp;Cube1,$H$13,$BC$3,$H$15,$P$1,BC$2,$H$16,$B53)</f>
        <v>*KEY_ERR</v>
      </c>
      <c r="BD53" s="54" t="str">
        <f ca="1">_xll.DBRW(Server&amp;Cube1,$H$13,$BC$3,$H$15,$H$17,BD$1,$H$16,$B53)</f>
        <v>*KEY_ERR</v>
      </c>
      <c r="BE53" s="58" t="str">
        <f ca="1">_xll.DBRW(Server&amp;Cube1,$H$13,$BC$3,$H$15,$H$17,BE$1,$H$16,$B53)</f>
        <v>*KEY_ERR</v>
      </c>
      <c r="BF53" s="58" t="str">
        <f ca="1">_xll.DBRW(Server&amp;Cube1,$H$13,$BC$3,$H$15,$H$17,BF$1,$H$16,$B53)</f>
        <v>*KEY_ERR</v>
      </c>
      <c r="BG53" s="58" t="str">
        <f ca="1">_xll.DBRW(Server&amp;Cube1,$H$13,$BC$3,$H$15,$H$17,BG$1,$H$16,$B53)</f>
        <v>*KEY_ERR</v>
      </c>
      <c r="BH53" s="58" t="str">
        <f ca="1">_xll.DBRW(Server&amp;Cube1,$H$13,$BC$3,$H$15,$H$17,BH$1,$H$16,$B53)</f>
        <v>*KEY_ERR</v>
      </c>
      <c r="BI53" s="58" t="str">
        <f ca="1">_xll.DBRW(Server&amp;Cube1,$H$13,$BC$3,$H$15,$H$17,BI$1,$H$16,$B53)</f>
        <v>*KEY_ERR</v>
      </c>
      <c r="BJ53" s="58" t="str">
        <f ca="1">_xll.DBRW(Server&amp;Cube1,$H$13,$BC$3,$H$15,$H$17,BJ$1,$H$16,$B53)</f>
        <v>*KEY_ERR</v>
      </c>
      <c r="BK53" s="58" t="str">
        <f ca="1">_xll.DBRW(Server&amp;Cube1,$H$13,$BC$3,$H$15,$H$17,BK$1,$H$16,$B53)</f>
        <v>*KEY_ERR</v>
      </c>
      <c r="BL53" s="58" t="str">
        <f ca="1">_xll.DBRW(Server&amp;Cube1,$H$13,$BC$3,$H$15,$H$17,BL$1,$H$16,$B53)</f>
        <v>*KEY_ERR</v>
      </c>
      <c r="BM53" s="58" t="str">
        <f ca="1">_xll.DBRW(Server&amp;Cube1,$H$13,$BC$3,$H$15,$H$17,BM$1,$H$16,$B53)</f>
        <v>*KEY_ERR</v>
      </c>
      <c r="BN53" s="58" t="str">
        <f ca="1">_xll.DBRW(Server&amp;Cube1,$H$13,$BC$3,$H$15,$H$17,BN$1,$H$16,$B53)</f>
        <v>*KEY_ERR</v>
      </c>
      <c r="BO53" s="59" t="str">
        <f ca="1">_xll.DBRW(Server&amp;Cube1,$H$13,$BC$3,$H$15,$H$17,BO$1,$H$16,$B53)</f>
        <v>*KEY_ERR</v>
      </c>
      <c r="BP53" s="31"/>
    </row>
    <row r="54" spans="1:68" ht="21" customHeight="1" x14ac:dyDescent="0.25">
      <c r="A54"/>
      <c r="B54" s="13" t="s">
        <v>30</v>
      </c>
      <c r="C54" s="13"/>
      <c r="D54" s="22"/>
      <c r="E54" s="171"/>
      <c r="F54" s="107"/>
      <c r="G54" s="305" t="str">
        <f ca="1">_xll.DBRA(Server&amp;$B$22,$B54,"French")</f>
        <v>Catalogue "Siège"</v>
      </c>
      <c r="H54" s="305" t="str">
        <f ca="1">_xll.DBRA(Server&amp;$B$22,$B54,"French")</f>
        <v>Catalogue "Siège"</v>
      </c>
      <c r="I54" s="37"/>
      <c r="J54" s="54" t="str">
        <f ca="1">_xll.DBRW(Server&amp;Cube1,$H$13,$H$14,$H$15,$J$1,$J$2,$H$16,$B54)</f>
        <v/>
      </c>
      <c r="K54" s="37"/>
      <c r="L54" s="54" t="str">
        <f ca="1">_xll.DBRW(Server&amp;Cube1,$H$13,$H$14,$H$15,$L$1,$L$2,$H$16,$B54)</f>
        <v/>
      </c>
      <c r="M54" s="55"/>
      <c r="N54" s="54" t="str">
        <f ca="1">_xll.DBRW(Server&amp;Cube1,$H$13,$H$14,$H$15,$P$1,N$2,$H$16,$B54)</f>
        <v>*KEY_ERR</v>
      </c>
      <c r="O54" s="57"/>
      <c r="P54" s="54" t="str">
        <f ca="1">_xll.DBRW(Server&amp;Cube1,$H$13,$P$3,$H$15,$P$1,P$2,$H$16,$B54)</f>
        <v>*KEY_ERR</v>
      </c>
      <c r="Q54" s="54" t="str">
        <f ca="1">_xll.DBRW(Server&amp;Cube1,$H$13,$P$3,$H$15,$H$17,Q$1,$H$16,$B54)</f>
        <v>*KEY_ERR</v>
      </c>
      <c r="R54" s="58" t="str">
        <f ca="1">_xll.DBRW(Server&amp;Cube1,$H$13,$P$3,$H$15,$H$17,R$1,$H$16,$B54)</f>
        <v>*KEY_ERR</v>
      </c>
      <c r="S54" s="58" t="str">
        <f ca="1">_xll.DBRW(Server&amp;Cube1,$H$13,$P$3,$H$15,$H$17,S$1,$H$16,$B54)</f>
        <v>*KEY_ERR</v>
      </c>
      <c r="T54" s="58" t="str">
        <f ca="1">_xll.DBRW(Server&amp;Cube1,$H$13,$P$3,$H$15,$H$17,T$1,$H$16,$B54)</f>
        <v>*KEY_ERR</v>
      </c>
      <c r="U54" s="58" t="str">
        <f ca="1">_xll.DBRW(Server&amp;Cube1,$H$13,$P$3,$H$15,$H$17,U$1,$H$16,$B54)</f>
        <v>*KEY_ERR</v>
      </c>
      <c r="V54" s="58" t="str">
        <f ca="1">_xll.DBRW(Server&amp;Cube1,$H$13,$P$3,$H$15,$H$17,V$1,$H$16,$B54)</f>
        <v>*KEY_ERR</v>
      </c>
      <c r="W54" s="58" t="str">
        <f ca="1">_xll.DBRW(Server&amp;Cube1,$H$13,$P$3,$H$15,$H$17,W$1,$H$16,$B54)</f>
        <v>*KEY_ERR</v>
      </c>
      <c r="X54" s="58" t="str">
        <f ca="1">_xll.DBRW(Server&amp;Cube1,$H$13,$P$3,$H$15,$H$17,X$1,$H$16,$B54)</f>
        <v>*KEY_ERR</v>
      </c>
      <c r="Y54" s="58" t="str">
        <f ca="1">_xll.DBRW(Server&amp;Cube1,$H$13,$P$3,$H$15,$H$17,Y$1,$H$16,$B54)</f>
        <v>*KEY_ERR</v>
      </c>
      <c r="Z54" s="58" t="str">
        <f ca="1">_xll.DBRW(Server&amp;Cube1,$H$13,$P$3,$H$15,$H$17,Z$1,$H$16,$B54)</f>
        <v>*KEY_ERR</v>
      </c>
      <c r="AA54" s="58" t="str">
        <f ca="1">_xll.DBRW(Server&amp;Cube1,$H$13,$P$3,$H$15,$H$17,AA$1,$H$16,$B54)</f>
        <v>*KEY_ERR</v>
      </c>
      <c r="AB54" s="59" t="str">
        <f ca="1">_xll.DBRW(Server&amp;Cube1,$H$13,$P$3,$H$15,$H$17,AB$1,$H$16,$B54)</f>
        <v>*KEY_ERR</v>
      </c>
      <c r="AC54" s="187" t="str">
        <f ca="1">_xll.DBRW(Server&amp;Cube1,$H$13,$AC$3,$H$15,$P$1,AC$2,$H$16,$B54)</f>
        <v>*KEY_ERR</v>
      </c>
      <c r="AD54" s="54" t="str">
        <f ca="1">_xll.DBRW(Server&amp;Cube1,$H$13,$AC$3,$H$15,$H$17,AD$1,$H$16,$B54)</f>
        <v>*KEY_ERR</v>
      </c>
      <c r="AE54" s="58" t="str">
        <f ca="1">_xll.DBRW(Server&amp;Cube1,$H$13,$AC$3,$H$15,$H$17,AE$1,$H$16,$B54)</f>
        <v>*KEY_ERR</v>
      </c>
      <c r="AF54" s="58" t="str">
        <f ca="1">_xll.DBRW(Server&amp;Cube1,$H$13,$AC$3,$H$15,$H$17,AF$1,$H$16,$B54)</f>
        <v>*KEY_ERR</v>
      </c>
      <c r="AG54" s="58" t="str">
        <f ca="1">_xll.DBRW(Server&amp;Cube1,$H$13,$AC$3,$H$15,$H$17,AG$1,$H$16,$B54)</f>
        <v>*KEY_ERR</v>
      </c>
      <c r="AH54" s="58" t="str">
        <f ca="1">_xll.DBRW(Server&amp;Cube1,$H$13,$AC$3,$H$15,$H$17,AH$1,$H$16,$B54)</f>
        <v>*KEY_ERR</v>
      </c>
      <c r="AI54" s="58" t="str">
        <f ca="1">_xll.DBRW(Server&amp;Cube1,$H$13,$AC$3,$H$15,$H$17,AI$1,$H$16,$B54)</f>
        <v>*KEY_ERR</v>
      </c>
      <c r="AJ54" s="58" t="str">
        <f ca="1">_xll.DBRW(Server&amp;Cube1,$H$13,$AC$3,$H$15,$H$17,AJ$1,$H$16,$B54)</f>
        <v>*KEY_ERR</v>
      </c>
      <c r="AK54" s="58" t="str">
        <f ca="1">_xll.DBRW(Server&amp;Cube1,$H$13,$AC$3,$H$15,$H$17,AK$1,$H$16,$B54)</f>
        <v>*KEY_ERR</v>
      </c>
      <c r="AL54" s="58" t="str">
        <f ca="1">_xll.DBRW(Server&amp;Cube1,$H$13,$AC$3,$H$15,$H$17,AL$1,$H$16,$B54)</f>
        <v>*KEY_ERR</v>
      </c>
      <c r="AM54" s="58" t="str">
        <f ca="1">_xll.DBRW(Server&amp;Cube1,$H$13,$AC$3,$H$15,$H$17,AM$1,$H$16,$B54)</f>
        <v>*KEY_ERR</v>
      </c>
      <c r="AN54" s="58" t="str">
        <f ca="1">_xll.DBRW(Server&amp;Cube1,$H$13,$AC$3,$H$15,$H$17,AN$1,$H$16,$B54)</f>
        <v>*KEY_ERR</v>
      </c>
      <c r="AO54" s="59" t="str">
        <f ca="1">_xll.DBRW(Server&amp;Cube1,$H$13,$AC$3,$H$15,$H$17,AO$1,$H$16,$B54)</f>
        <v>*KEY_ERR</v>
      </c>
      <c r="AP54" s="187" t="str">
        <f ca="1">_xll.DBRW(Server&amp;Cube1,$H$13,$AP$3,$H$15,$P$1,AP$2,$H$16,$B54)</f>
        <v>*KEY_ERR</v>
      </c>
      <c r="AQ54" s="54" t="str">
        <f ca="1">_xll.DBRW(Server&amp;Cube1,$H$13,$AP$3,$H$15,$H$17,AQ$1,$H$16,$B54)</f>
        <v>*KEY_ERR</v>
      </c>
      <c r="AR54" s="58" t="str">
        <f ca="1">_xll.DBRW(Server&amp;Cube1,$H$13,$AP$3,$H$15,$H$17,AR$1,$H$16,$B54)</f>
        <v>*KEY_ERR</v>
      </c>
      <c r="AS54" s="58" t="str">
        <f ca="1">_xll.DBRW(Server&amp;Cube1,$H$13,$AP$3,$H$15,$H$17,AS$1,$H$16,$B54)</f>
        <v>*KEY_ERR</v>
      </c>
      <c r="AT54" s="58" t="str">
        <f ca="1">_xll.DBRW(Server&amp;Cube1,$H$13,$AP$3,$H$15,$H$17,AT$1,$H$16,$B54)</f>
        <v>*KEY_ERR</v>
      </c>
      <c r="AU54" s="58" t="str">
        <f ca="1">_xll.DBRW(Server&amp;Cube1,$H$13,$AP$3,$H$15,$H$17,AU$1,$H$16,$B54)</f>
        <v>*KEY_ERR</v>
      </c>
      <c r="AV54" s="58" t="str">
        <f ca="1">_xll.DBRW(Server&amp;Cube1,$H$13,$AP$3,$H$15,$H$17,AV$1,$H$16,$B54)</f>
        <v>*KEY_ERR</v>
      </c>
      <c r="AW54" s="58" t="str">
        <f ca="1">_xll.DBRW(Server&amp;Cube1,$H$13,$AP$3,$H$15,$H$17,AW$1,$H$16,$B54)</f>
        <v>*KEY_ERR</v>
      </c>
      <c r="AX54" s="58" t="str">
        <f ca="1">_xll.DBRW(Server&amp;Cube1,$H$13,$AP$3,$H$15,$H$17,AX$1,$H$16,$B54)</f>
        <v>*KEY_ERR</v>
      </c>
      <c r="AY54" s="58" t="str">
        <f ca="1">_xll.DBRW(Server&amp;Cube1,$H$13,$AP$3,$H$15,$H$17,AY$1,$H$16,$B54)</f>
        <v>*KEY_ERR</v>
      </c>
      <c r="AZ54" s="58" t="str">
        <f ca="1">_xll.DBRW(Server&amp;Cube1,$H$13,$AP$3,$H$15,$H$17,AZ$1,$H$16,$B54)</f>
        <v>*KEY_ERR</v>
      </c>
      <c r="BA54" s="58" t="str">
        <f ca="1">_xll.DBRW(Server&amp;Cube1,$H$13,$AP$3,$H$15,$H$17,BA$1,$H$16,$B54)</f>
        <v>*KEY_ERR</v>
      </c>
      <c r="BB54" s="59" t="str">
        <f ca="1">_xll.DBRW(Server&amp;Cube1,$H$13,$AP$3,$H$15,$H$17,BB$1,$H$16,$B54)</f>
        <v>*KEY_ERR</v>
      </c>
      <c r="BC54" s="187" t="str">
        <f ca="1">_xll.DBRW(Server&amp;Cube1,$H$13,$BC$3,$H$15,$P$1,BC$2,$H$16,$B54)</f>
        <v>*KEY_ERR</v>
      </c>
      <c r="BD54" s="54" t="str">
        <f ca="1">_xll.DBRW(Server&amp;Cube1,$H$13,$BC$3,$H$15,$H$17,BD$1,$H$16,$B54)</f>
        <v>*KEY_ERR</v>
      </c>
      <c r="BE54" s="58" t="str">
        <f ca="1">_xll.DBRW(Server&amp;Cube1,$H$13,$BC$3,$H$15,$H$17,BE$1,$H$16,$B54)</f>
        <v>*KEY_ERR</v>
      </c>
      <c r="BF54" s="58" t="str">
        <f ca="1">_xll.DBRW(Server&amp;Cube1,$H$13,$BC$3,$H$15,$H$17,BF$1,$H$16,$B54)</f>
        <v>*KEY_ERR</v>
      </c>
      <c r="BG54" s="58" t="str">
        <f ca="1">_xll.DBRW(Server&amp;Cube1,$H$13,$BC$3,$H$15,$H$17,BG$1,$H$16,$B54)</f>
        <v>*KEY_ERR</v>
      </c>
      <c r="BH54" s="58" t="str">
        <f ca="1">_xll.DBRW(Server&amp;Cube1,$H$13,$BC$3,$H$15,$H$17,BH$1,$H$16,$B54)</f>
        <v>*KEY_ERR</v>
      </c>
      <c r="BI54" s="58" t="str">
        <f ca="1">_xll.DBRW(Server&amp;Cube1,$H$13,$BC$3,$H$15,$H$17,BI$1,$H$16,$B54)</f>
        <v>*KEY_ERR</v>
      </c>
      <c r="BJ54" s="58" t="str">
        <f ca="1">_xll.DBRW(Server&amp;Cube1,$H$13,$BC$3,$H$15,$H$17,BJ$1,$H$16,$B54)</f>
        <v>*KEY_ERR</v>
      </c>
      <c r="BK54" s="58" t="str">
        <f ca="1">_xll.DBRW(Server&amp;Cube1,$H$13,$BC$3,$H$15,$H$17,BK$1,$H$16,$B54)</f>
        <v>*KEY_ERR</v>
      </c>
      <c r="BL54" s="58" t="str">
        <f ca="1">_xll.DBRW(Server&amp;Cube1,$H$13,$BC$3,$H$15,$H$17,BL$1,$H$16,$B54)</f>
        <v>*KEY_ERR</v>
      </c>
      <c r="BM54" s="58" t="str">
        <f ca="1">_xll.DBRW(Server&amp;Cube1,$H$13,$BC$3,$H$15,$H$17,BM$1,$H$16,$B54)</f>
        <v>*KEY_ERR</v>
      </c>
      <c r="BN54" s="58" t="str">
        <f ca="1">_xll.DBRW(Server&amp;Cube1,$H$13,$BC$3,$H$15,$H$17,BN$1,$H$16,$B54)</f>
        <v>*KEY_ERR</v>
      </c>
      <c r="BO54" s="59" t="str">
        <f ca="1">_xll.DBRW(Server&amp;Cube1,$H$13,$BC$3,$H$15,$H$17,BO$1,$H$16,$B54)</f>
        <v>*KEY_ERR</v>
      </c>
      <c r="BP54" s="31"/>
    </row>
    <row r="55" spans="1:68" ht="21" customHeight="1" x14ac:dyDescent="0.25">
      <c r="A55"/>
      <c r="B55" s="13" t="s">
        <v>84</v>
      </c>
      <c r="C55" s="13"/>
      <c r="D55" s="22"/>
      <c r="E55" s="171"/>
      <c r="F55" s="107"/>
      <c r="G55" s="305" t="str">
        <f ca="1">_xll.DBRA(Server&amp;$B$22,$B55,"French")</f>
        <v>Autre transport sur achat</v>
      </c>
      <c r="H55" s="305" t="str">
        <f ca="1">_xll.DBRA(Server&amp;$B$22,$B55,"French")</f>
        <v>Autre transport sur achat</v>
      </c>
      <c r="I55" s="37"/>
      <c r="J55" s="54" t="str">
        <f ca="1">_xll.DBRW(Server&amp;Cube1,$H$13,$H$14,$H$15,$J$1,$J$2,$H$16,$B55)</f>
        <v/>
      </c>
      <c r="K55" s="37"/>
      <c r="L55" s="54" t="str">
        <f ca="1">_xll.DBRW(Server&amp;Cube1,$H$13,$H$14,$H$15,$L$1,$L$2,$H$16,$B55)</f>
        <v/>
      </c>
      <c r="M55" s="55"/>
      <c r="N55" s="54" t="str">
        <f ca="1">_xll.DBRW(Server&amp;Cube1,$H$13,$H$14,$H$15,$P$1,N$2,$H$16,$B55)</f>
        <v>*KEY_ERR</v>
      </c>
      <c r="O55" s="57"/>
      <c r="P55" s="54" t="str">
        <f ca="1">_xll.DBRW(Server&amp;Cube1,$H$13,$P$3,$H$15,$P$1,P$2,$H$16,$B55)</f>
        <v>*KEY_ERR</v>
      </c>
      <c r="Q55" s="54" t="str">
        <f ca="1">_xll.DBRW(Server&amp;Cube1,$H$13,$P$3,$H$15,$H$17,Q$1,$H$16,$B55)</f>
        <v>*KEY_ERR</v>
      </c>
      <c r="R55" s="58" t="str">
        <f ca="1">_xll.DBRW(Server&amp;Cube1,$H$13,$P$3,$H$15,$H$17,R$1,$H$16,$B55)</f>
        <v>*KEY_ERR</v>
      </c>
      <c r="S55" s="58" t="str">
        <f ca="1">_xll.DBRW(Server&amp;Cube1,$H$13,$P$3,$H$15,$H$17,S$1,$H$16,$B55)</f>
        <v>*KEY_ERR</v>
      </c>
      <c r="T55" s="58" t="str">
        <f ca="1">_xll.DBRW(Server&amp;Cube1,$H$13,$P$3,$H$15,$H$17,T$1,$H$16,$B55)</f>
        <v>*KEY_ERR</v>
      </c>
      <c r="U55" s="58" t="str">
        <f ca="1">_xll.DBRW(Server&amp;Cube1,$H$13,$P$3,$H$15,$H$17,U$1,$H$16,$B55)</f>
        <v>*KEY_ERR</v>
      </c>
      <c r="V55" s="58" t="str">
        <f ca="1">_xll.DBRW(Server&amp;Cube1,$H$13,$P$3,$H$15,$H$17,V$1,$H$16,$B55)</f>
        <v>*KEY_ERR</v>
      </c>
      <c r="W55" s="58" t="str">
        <f ca="1">_xll.DBRW(Server&amp;Cube1,$H$13,$P$3,$H$15,$H$17,W$1,$H$16,$B55)</f>
        <v>*KEY_ERR</v>
      </c>
      <c r="X55" s="58" t="str">
        <f ca="1">_xll.DBRW(Server&amp;Cube1,$H$13,$P$3,$H$15,$H$17,X$1,$H$16,$B55)</f>
        <v>*KEY_ERR</v>
      </c>
      <c r="Y55" s="58" t="str">
        <f ca="1">_xll.DBRW(Server&amp;Cube1,$H$13,$P$3,$H$15,$H$17,Y$1,$H$16,$B55)</f>
        <v>*KEY_ERR</v>
      </c>
      <c r="Z55" s="58" t="str">
        <f ca="1">_xll.DBRW(Server&amp;Cube1,$H$13,$P$3,$H$15,$H$17,Z$1,$H$16,$B55)</f>
        <v>*KEY_ERR</v>
      </c>
      <c r="AA55" s="58" t="str">
        <f ca="1">_xll.DBRW(Server&amp;Cube1,$H$13,$P$3,$H$15,$H$17,AA$1,$H$16,$B55)</f>
        <v>*KEY_ERR</v>
      </c>
      <c r="AB55" s="59" t="str">
        <f ca="1">_xll.DBRW(Server&amp;Cube1,$H$13,$P$3,$H$15,$H$17,AB$1,$H$16,$B55)</f>
        <v>*KEY_ERR</v>
      </c>
      <c r="AC55" s="187" t="str">
        <f ca="1">_xll.DBRW(Server&amp;Cube1,$H$13,$AC$3,$H$15,$P$1,AC$2,$H$16,$B55)</f>
        <v>*KEY_ERR</v>
      </c>
      <c r="AD55" s="54" t="str">
        <f ca="1">_xll.DBRW(Server&amp;Cube1,$H$13,$AC$3,$H$15,$H$17,AD$1,$H$16,$B55)</f>
        <v>*KEY_ERR</v>
      </c>
      <c r="AE55" s="58" t="str">
        <f ca="1">_xll.DBRW(Server&amp;Cube1,$H$13,$AC$3,$H$15,$H$17,AE$1,$H$16,$B55)</f>
        <v>*KEY_ERR</v>
      </c>
      <c r="AF55" s="58" t="str">
        <f ca="1">_xll.DBRW(Server&amp;Cube1,$H$13,$AC$3,$H$15,$H$17,AF$1,$H$16,$B55)</f>
        <v>*KEY_ERR</v>
      </c>
      <c r="AG55" s="58" t="str">
        <f ca="1">_xll.DBRW(Server&amp;Cube1,$H$13,$AC$3,$H$15,$H$17,AG$1,$H$16,$B55)</f>
        <v>*KEY_ERR</v>
      </c>
      <c r="AH55" s="58" t="str">
        <f ca="1">_xll.DBRW(Server&amp;Cube1,$H$13,$AC$3,$H$15,$H$17,AH$1,$H$16,$B55)</f>
        <v>*KEY_ERR</v>
      </c>
      <c r="AI55" s="58" t="str">
        <f ca="1">_xll.DBRW(Server&amp;Cube1,$H$13,$AC$3,$H$15,$H$17,AI$1,$H$16,$B55)</f>
        <v>*KEY_ERR</v>
      </c>
      <c r="AJ55" s="58" t="str">
        <f ca="1">_xll.DBRW(Server&amp;Cube1,$H$13,$AC$3,$H$15,$H$17,AJ$1,$H$16,$B55)</f>
        <v>*KEY_ERR</v>
      </c>
      <c r="AK55" s="58" t="str">
        <f ca="1">_xll.DBRW(Server&amp;Cube1,$H$13,$AC$3,$H$15,$H$17,AK$1,$H$16,$B55)</f>
        <v>*KEY_ERR</v>
      </c>
      <c r="AL55" s="58" t="str">
        <f ca="1">_xll.DBRW(Server&amp;Cube1,$H$13,$AC$3,$H$15,$H$17,AL$1,$H$16,$B55)</f>
        <v>*KEY_ERR</v>
      </c>
      <c r="AM55" s="58" t="str">
        <f ca="1">_xll.DBRW(Server&amp;Cube1,$H$13,$AC$3,$H$15,$H$17,AM$1,$H$16,$B55)</f>
        <v>*KEY_ERR</v>
      </c>
      <c r="AN55" s="58" t="str">
        <f ca="1">_xll.DBRW(Server&amp;Cube1,$H$13,$AC$3,$H$15,$H$17,AN$1,$H$16,$B55)</f>
        <v>*KEY_ERR</v>
      </c>
      <c r="AO55" s="59" t="str">
        <f ca="1">_xll.DBRW(Server&amp;Cube1,$H$13,$AC$3,$H$15,$H$17,AO$1,$H$16,$B55)</f>
        <v>*KEY_ERR</v>
      </c>
      <c r="AP55" s="187" t="str">
        <f ca="1">_xll.DBRW(Server&amp;Cube1,$H$13,$AP$3,$H$15,$P$1,AP$2,$H$16,$B55)</f>
        <v>*KEY_ERR</v>
      </c>
      <c r="AQ55" s="54" t="str">
        <f ca="1">_xll.DBRW(Server&amp;Cube1,$H$13,$AP$3,$H$15,$H$17,AQ$1,$H$16,$B55)</f>
        <v>*KEY_ERR</v>
      </c>
      <c r="AR55" s="58" t="str">
        <f ca="1">_xll.DBRW(Server&amp;Cube1,$H$13,$AP$3,$H$15,$H$17,AR$1,$H$16,$B55)</f>
        <v>*KEY_ERR</v>
      </c>
      <c r="AS55" s="58" t="str">
        <f ca="1">_xll.DBRW(Server&amp;Cube1,$H$13,$AP$3,$H$15,$H$17,AS$1,$H$16,$B55)</f>
        <v>*KEY_ERR</v>
      </c>
      <c r="AT55" s="58" t="str">
        <f ca="1">_xll.DBRW(Server&amp;Cube1,$H$13,$AP$3,$H$15,$H$17,AT$1,$H$16,$B55)</f>
        <v>*KEY_ERR</v>
      </c>
      <c r="AU55" s="58" t="str">
        <f ca="1">_xll.DBRW(Server&amp;Cube1,$H$13,$AP$3,$H$15,$H$17,AU$1,$H$16,$B55)</f>
        <v>*KEY_ERR</v>
      </c>
      <c r="AV55" s="58" t="str">
        <f ca="1">_xll.DBRW(Server&amp;Cube1,$H$13,$AP$3,$H$15,$H$17,AV$1,$H$16,$B55)</f>
        <v>*KEY_ERR</v>
      </c>
      <c r="AW55" s="58" t="str">
        <f ca="1">_xll.DBRW(Server&amp;Cube1,$H$13,$AP$3,$H$15,$H$17,AW$1,$H$16,$B55)</f>
        <v>*KEY_ERR</v>
      </c>
      <c r="AX55" s="58" t="str">
        <f ca="1">_xll.DBRW(Server&amp;Cube1,$H$13,$AP$3,$H$15,$H$17,AX$1,$H$16,$B55)</f>
        <v>*KEY_ERR</v>
      </c>
      <c r="AY55" s="58" t="str">
        <f ca="1">_xll.DBRW(Server&amp;Cube1,$H$13,$AP$3,$H$15,$H$17,AY$1,$H$16,$B55)</f>
        <v>*KEY_ERR</v>
      </c>
      <c r="AZ55" s="58" t="str">
        <f ca="1">_xll.DBRW(Server&amp;Cube1,$H$13,$AP$3,$H$15,$H$17,AZ$1,$H$16,$B55)</f>
        <v>*KEY_ERR</v>
      </c>
      <c r="BA55" s="58" t="str">
        <f ca="1">_xll.DBRW(Server&amp;Cube1,$H$13,$AP$3,$H$15,$H$17,BA$1,$H$16,$B55)</f>
        <v>*KEY_ERR</v>
      </c>
      <c r="BB55" s="59" t="str">
        <f ca="1">_xll.DBRW(Server&amp;Cube1,$H$13,$AP$3,$H$15,$H$17,BB$1,$H$16,$B55)</f>
        <v>*KEY_ERR</v>
      </c>
      <c r="BC55" s="187" t="str">
        <f ca="1">_xll.DBRW(Server&amp;Cube1,$H$13,$BC$3,$H$15,$P$1,BC$2,$H$16,$B55)</f>
        <v>*KEY_ERR</v>
      </c>
      <c r="BD55" s="54" t="str">
        <f ca="1">_xll.DBRW(Server&amp;Cube1,$H$13,$BC$3,$H$15,$H$17,BD$1,$H$16,$B55)</f>
        <v>*KEY_ERR</v>
      </c>
      <c r="BE55" s="58" t="str">
        <f ca="1">_xll.DBRW(Server&amp;Cube1,$H$13,$BC$3,$H$15,$H$17,BE$1,$H$16,$B55)</f>
        <v>*KEY_ERR</v>
      </c>
      <c r="BF55" s="58" t="str">
        <f ca="1">_xll.DBRW(Server&amp;Cube1,$H$13,$BC$3,$H$15,$H$17,BF$1,$H$16,$B55)</f>
        <v>*KEY_ERR</v>
      </c>
      <c r="BG55" s="58" t="str">
        <f ca="1">_xll.DBRW(Server&amp;Cube1,$H$13,$BC$3,$H$15,$H$17,BG$1,$H$16,$B55)</f>
        <v>*KEY_ERR</v>
      </c>
      <c r="BH55" s="58" t="str">
        <f ca="1">_xll.DBRW(Server&amp;Cube1,$H$13,$BC$3,$H$15,$H$17,BH$1,$H$16,$B55)</f>
        <v>*KEY_ERR</v>
      </c>
      <c r="BI55" s="58" t="str">
        <f ca="1">_xll.DBRW(Server&amp;Cube1,$H$13,$BC$3,$H$15,$H$17,BI$1,$H$16,$B55)</f>
        <v>*KEY_ERR</v>
      </c>
      <c r="BJ55" s="58" t="str">
        <f ca="1">_xll.DBRW(Server&amp;Cube1,$H$13,$BC$3,$H$15,$H$17,BJ$1,$H$16,$B55)</f>
        <v>*KEY_ERR</v>
      </c>
      <c r="BK55" s="58" t="str">
        <f ca="1">_xll.DBRW(Server&amp;Cube1,$H$13,$BC$3,$H$15,$H$17,BK$1,$H$16,$B55)</f>
        <v>*KEY_ERR</v>
      </c>
      <c r="BL55" s="58" t="str">
        <f ca="1">_xll.DBRW(Server&amp;Cube1,$H$13,$BC$3,$H$15,$H$17,BL$1,$H$16,$B55)</f>
        <v>*KEY_ERR</v>
      </c>
      <c r="BM55" s="58" t="str">
        <f ca="1">_xll.DBRW(Server&amp;Cube1,$H$13,$BC$3,$H$15,$H$17,BM$1,$H$16,$B55)</f>
        <v>*KEY_ERR</v>
      </c>
      <c r="BN55" s="58" t="str">
        <f ca="1">_xll.DBRW(Server&amp;Cube1,$H$13,$BC$3,$H$15,$H$17,BN$1,$H$16,$B55)</f>
        <v>*KEY_ERR</v>
      </c>
      <c r="BO55" s="59" t="str">
        <f ca="1">_xll.DBRW(Server&amp;Cube1,$H$13,$BC$3,$H$15,$H$17,BO$1,$H$16,$B55)</f>
        <v>*KEY_ERR</v>
      </c>
      <c r="BP55" s="31"/>
    </row>
    <row r="56" spans="1:68" ht="21" customHeight="1" x14ac:dyDescent="0.25">
      <c r="A56"/>
      <c r="B56" s="13" t="s">
        <v>31</v>
      </c>
      <c r="C56" s="13"/>
      <c r="D56" s="22"/>
      <c r="E56" s="171"/>
      <c r="F56" s="107"/>
      <c r="G56" s="305" t="str">
        <f ca="1">_xll.DBRA(Server&amp;$B$22,$B56,"French")</f>
        <v>Frais de stagiaires</v>
      </c>
      <c r="H56" s="305" t="str">
        <f ca="1">_xll.DBRA(Server&amp;$B$22,$B56,"French")</f>
        <v>Frais de stagiaires</v>
      </c>
      <c r="I56" s="37"/>
      <c r="J56" s="54" t="str">
        <f ca="1">_xll.DBRW(Server&amp;Cube1,$H$13,$H$14,$H$15,$J$1,$J$2,$H$16,$B56)</f>
        <v/>
      </c>
      <c r="K56" s="37"/>
      <c r="L56" s="54" t="str">
        <f ca="1">_xll.DBRW(Server&amp;Cube1,$H$13,$H$14,$H$15,$L$1,$L$2,$H$16,$B56)</f>
        <v/>
      </c>
      <c r="M56" s="55"/>
      <c r="N56" s="54" t="str">
        <f ca="1">_xll.DBRW(Server&amp;Cube1,$H$13,$H$14,$H$15,$P$1,N$2,$H$16,$B56)</f>
        <v>*KEY_ERR</v>
      </c>
      <c r="O56" s="57"/>
      <c r="P56" s="54" t="str">
        <f ca="1">_xll.DBRW(Server&amp;Cube1,$H$13,$P$3,$H$15,$P$1,P$2,$H$16,$B56)</f>
        <v>*KEY_ERR</v>
      </c>
      <c r="Q56" s="54" t="str">
        <f ca="1">_xll.DBRW(Server&amp;Cube1,$H$13,$P$3,$H$15,$H$17,Q$1,$H$16,$B56)</f>
        <v>*KEY_ERR</v>
      </c>
      <c r="R56" s="58" t="str">
        <f ca="1">_xll.DBRW(Server&amp;Cube1,$H$13,$P$3,$H$15,$H$17,R$1,$H$16,$B56)</f>
        <v>*KEY_ERR</v>
      </c>
      <c r="S56" s="58" t="str">
        <f ca="1">_xll.DBRW(Server&amp;Cube1,$H$13,$P$3,$H$15,$H$17,S$1,$H$16,$B56)</f>
        <v>*KEY_ERR</v>
      </c>
      <c r="T56" s="58" t="str">
        <f ca="1">_xll.DBRW(Server&amp;Cube1,$H$13,$P$3,$H$15,$H$17,T$1,$H$16,$B56)</f>
        <v>*KEY_ERR</v>
      </c>
      <c r="U56" s="58" t="str">
        <f ca="1">_xll.DBRW(Server&amp;Cube1,$H$13,$P$3,$H$15,$H$17,U$1,$H$16,$B56)</f>
        <v>*KEY_ERR</v>
      </c>
      <c r="V56" s="58" t="str">
        <f ca="1">_xll.DBRW(Server&amp;Cube1,$H$13,$P$3,$H$15,$H$17,V$1,$H$16,$B56)</f>
        <v>*KEY_ERR</v>
      </c>
      <c r="W56" s="58" t="str">
        <f ca="1">_xll.DBRW(Server&amp;Cube1,$H$13,$P$3,$H$15,$H$17,W$1,$H$16,$B56)</f>
        <v>*KEY_ERR</v>
      </c>
      <c r="X56" s="58" t="str">
        <f ca="1">_xll.DBRW(Server&amp;Cube1,$H$13,$P$3,$H$15,$H$17,X$1,$H$16,$B56)</f>
        <v>*KEY_ERR</v>
      </c>
      <c r="Y56" s="58" t="str">
        <f ca="1">_xll.DBRW(Server&amp;Cube1,$H$13,$P$3,$H$15,$H$17,Y$1,$H$16,$B56)</f>
        <v>*KEY_ERR</v>
      </c>
      <c r="Z56" s="58" t="str">
        <f ca="1">_xll.DBRW(Server&amp;Cube1,$H$13,$P$3,$H$15,$H$17,Z$1,$H$16,$B56)</f>
        <v>*KEY_ERR</v>
      </c>
      <c r="AA56" s="58" t="str">
        <f ca="1">_xll.DBRW(Server&amp;Cube1,$H$13,$P$3,$H$15,$H$17,AA$1,$H$16,$B56)</f>
        <v>*KEY_ERR</v>
      </c>
      <c r="AB56" s="59" t="str">
        <f ca="1">_xll.DBRW(Server&amp;Cube1,$H$13,$P$3,$H$15,$H$17,AB$1,$H$16,$B56)</f>
        <v>*KEY_ERR</v>
      </c>
      <c r="AC56" s="187" t="str">
        <f ca="1">_xll.DBRW(Server&amp;Cube1,$H$13,$AC$3,$H$15,$P$1,AC$2,$H$16,$B56)</f>
        <v>*KEY_ERR</v>
      </c>
      <c r="AD56" s="54" t="str">
        <f ca="1">_xll.DBRW(Server&amp;Cube1,$H$13,$AC$3,$H$15,$H$17,AD$1,$H$16,$B56)</f>
        <v>*KEY_ERR</v>
      </c>
      <c r="AE56" s="58" t="str">
        <f ca="1">_xll.DBRW(Server&amp;Cube1,$H$13,$AC$3,$H$15,$H$17,AE$1,$H$16,$B56)</f>
        <v>*KEY_ERR</v>
      </c>
      <c r="AF56" s="58" t="str">
        <f ca="1">_xll.DBRW(Server&amp;Cube1,$H$13,$AC$3,$H$15,$H$17,AF$1,$H$16,$B56)</f>
        <v>*KEY_ERR</v>
      </c>
      <c r="AG56" s="58" t="str">
        <f ca="1">_xll.DBRW(Server&amp;Cube1,$H$13,$AC$3,$H$15,$H$17,AG$1,$H$16,$B56)</f>
        <v>*KEY_ERR</v>
      </c>
      <c r="AH56" s="58" t="str">
        <f ca="1">_xll.DBRW(Server&amp;Cube1,$H$13,$AC$3,$H$15,$H$17,AH$1,$H$16,$B56)</f>
        <v>*KEY_ERR</v>
      </c>
      <c r="AI56" s="58" t="str">
        <f ca="1">_xll.DBRW(Server&amp;Cube1,$H$13,$AC$3,$H$15,$H$17,AI$1,$H$16,$B56)</f>
        <v>*KEY_ERR</v>
      </c>
      <c r="AJ56" s="58" t="str">
        <f ca="1">_xll.DBRW(Server&amp;Cube1,$H$13,$AC$3,$H$15,$H$17,AJ$1,$H$16,$B56)</f>
        <v>*KEY_ERR</v>
      </c>
      <c r="AK56" s="58" t="str">
        <f ca="1">_xll.DBRW(Server&amp;Cube1,$H$13,$AC$3,$H$15,$H$17,AK$1,$H$16,$B56)</f>
        <v>*KEY_ERR</v>
      </c>
      <c r="AL56" s="58" t="str">
        <f ca="1">_xll.DBRW(Server&amp;Cube1,$H$13,$AC$3,$H$15,$H$17,AL$1,$H$16,$B56)</f>
        <v>*KEY_ERR</v>
      </c>
      <c r="AM56" s="58" t="str">
        <f ca="1">_xll.DBRW(Server&amp;Cube1,$H$13,$AC$3,$H$15,$H$17,AM$1,$H$16,$B56)</f>
        <v>*KEY_ERR</v>
      </c>
      <c r="AN56" s="58" t="str">
        <f ca="1">_xll.DBRW(Server&amp;Cube1,$H$13,$AC$3,$H$15,$H$17,AN$1,$H$16,$B56)</f>
        <v>*KEY_ERR</v>
      </c>
      <c r="AO56" s="59" t="str">
        <f ca="1">_xll.DBRW(Server&amp;Cube1,$H$13,$AC$3,$H$15,$H$17,AO$1,$H$16,$B56)</f>
        <v>*KEY_ERR</v>
      </c>
      <c r="AP56" s="187" t="str">
        <f ca="1">_xll.DBRW(Server&amp;Cube1,$H$13,$AP$3,$H$15,$P$1,AP$2,$H$16,$B56)</f>
        <v>*KEY_ERR</v>
      </c>
      <c r="AQ56" s="54" t="str">
        <f ca="1">_xll.DBRW(Server&amp;Cube1,$H$13,$AP$3,$H$15,$H$17,AQ$1,$H$16,$B56)</f>
        <v>*KEY_ERR</v>
      </c>
      <c r="AR56" s="58" t="str">
        <f ca="1">_xll.DBRW(Server&amp;Cube1,$H$13,$AP$3,$H$15,$H$17,AR$1,$H$16,$B56)</f>
        <v>*KEY_ERR</v>
      </c>
      <c r="AS56" s="58" t="str">
        <f ca="1">_xll.DBRW(Server&amp;Cube1,$H$13,$AP$3,$H$15,$H$17,AS$1,$H$16,$B56)</f>
        <v>*KEY_ERR</v>
      </c>
      <c r="AT56" s="58" t="str">
        <f ca="1">_xll.DBRW(Server&amp;Cube1,$H$13,$AP$3,$H$15,$H$17,AT$1,$H$16,$B56)</f>
        <v>*KEY_ERR</v>
      </c>
      <c r="AU56" s="58" t="str">
        <f ca="1">_xll.DBRW(Server&amp;Cube1,$H$13,$AP$3,$H$15,$H$17,AU$1,$H$16,$B56)</f>
        <v>*KEY_ERR</v>
      </c>
      <c r="AV56" s="58" t="str">
        <f ca="1">_xll.DBRW(Server&amp;Cube1,$H$13,$AP$3,$H$15,$H$17,AV$1,$H$16,$B56)</f>
        <v>*KEY_ERR</v>
      </c>
      <c r="AW56" s="58" t="str">
        <f ca="1">_xll.DBRW(Server&amp;Cube1,$H$13,$AP$3,$H$15,$H$17,AW$1,$H$16,$B56)</f>
        <v>*KEY_ERR</v>
      </c>
      <c r="AX56" s="58" t="str">
        <f ca="1">_xll.DBRW(Server&amp;Cube1,$H$13,$AP$3,$H$15,$H$17,AX$1,$H$16,$B56)</f>
        <v>*KEY_ERR</v>
      </c>
      <c r="AY56" s="58" t="str">
        <f ca="1">_xll.DBRW(Server&amp;Cube1,$H$13,$AP$3,$H$15,$H$17,AY$1,$H$16,$B56)</f>
        <v>*KEY_ERR</v>
      </c>
      <c r="AZ56" s="58" t="str">
        <f ca="1">_xll.DBRW(Server&amp;Cube1,$H$13,$AP$3,$H$15,$H$17,AZ$1,$H$16,$B56)</f>
        <v>*KEY_ERR</v>
      </c>
      <c r="BA56" s="58" t="str">
        <f ca="1">_xll.DBRW(Server&amp;Cube1,$H$13,$AP$3,$H$15,$H$17,BA$1,$H$16,$B56)</f>
        <v>*KEY_ERR</v>
      </c>
      <c r="BB56" s="59" t="str">
        <f ca="1">_xll.DBRW(Server&amp;Cube1,$H$13,$AP$3,$H$15,$H$17,BB$1,$H$16,$B56)</f>
        <v>*KEY_ERR</v>
      </c>
      <c r="BC56" s="187" t="str">
        <f ca="1">_xll.DBRW(Server&amp;Cube1,$H$13,$BC$3,$H$15,$P$1,BC$2,$H$16,$B56)</f>
        <v>*KEY_ERR</v>
      </c>
      <c r="BD56" s="54" t="str">
        <f ca="1">_xll.DBRW(Server&amp;Cube1,$H$13,$BC$3,$H$15,$H$17,BD$1,$H$16,$B56)</f>
        <v>*KEY_ERR</v>
      </c>
      <c r="BE56" s="58" t="str">
        <f ca="1">_xll.DBRW(Server&amp;Cube1,$H$13,$BC$3,$H$15,$H$17,BE$1,$H$16,$B56)</f>
        <v>*KEY_ERR</v>
      </c>
      <c r="BF56" s="58" t="str">
        <f ca="1">_xll.DBRW(Server&amp;Cube1,$H$13,$BC$3,$H$15,$H$17,BF$1,$H$16,$B56)</f>
        <v>*KEY_ERR</v>
      </c>
      <c r="BG56" s="58" t="str">
        <f ca="1">_xll.DBRW(Server&amp;Cube1,$H$13,$BC$3,$H$15,$H$17,BG$1,$H$16,$B56)</f>
        <v>*KEY_ERR</v>
      </c>
      <c r="BH56" s="58" t="str">
        <f ca="1">_xll.DBRW(Server&amp;Cube1,$H$13,$BC$3,$H$15,$H$17,BH$1,$H$16,$B56)</f>
        <v>*KEY_ERR</v>
      </c>
      <c r="BI56" s="58" t="str">
        <f ca="1">_xll.DBRW(Server&amp;Cube1,$H$13,$BC$3,$H$15,$H$17,BI$1,$H$16,$B56)</f>
        <v>*KEY_ERR</v>
      </c>
      <c r="BJ56" s="58" t="str">
        <f ca="1">_xll.DBRW(Server&amp;Cube1,$H$13,$BC$3,$H$15,$H$17,BJ$1,$H$16,$B56)</f>
        <v>*KEY_ERR</v>
      </c>
      <c r="BK56" s="58" t="str">
        <f ca="1">_xll.DBRW(Server&amp;Cube1,$H$13,$BC$3,$H$15,$H$17,BK$1,$H$16,$B56)</f>
        <v>*KEY_ERR</v>
      </c>
      <c r="BL56" s="58" t="str">
        <f ca="1">_xll.DBRW(Server&amp;Cube1,$H$13,$BC$3,$H$15,$H$17,BL$1,$H$16,$B56)</f>
        <v>*KEY_ERR</v>
      </c>
      <c r="BM56" s="58" t="str">
        <f ca="1">_xll.DBRW(Server&amp;Cube1,$H$13,$BC$3,$H$15,$H$17,BM$1,$H$16,$B56)</f>
        <v>*KEY_ERR</v>
      </c>
      <c r="BN56" s="58" t="str">
        <f ca="1">_xll.DBRW(Server&amp;Cube1,$H$13,$BC$3,$H$15,$H$17,BN$1,$H$16,$B56)</f>
        <v>*KEY_ERR</v>
      </c>
      <c r="BO56" s="59" t="str">
        <f ca="1">_xll.DBRW(Server&amp;Cube1,$H$13,$BC$3,$H$15,$H$17,BO$1,$H$16,$B56)</f>
        <v>*KEY_ERR</v>
      </c>
      <c r="BP56" s="31"/>
    </row>
    <row r="57" spans="1:68" ht="21" customHeight="1" x14ac:dyDescent="0.25">
      <c r="A57"/>
      <c r="B57" s="13" t="s">
        <v>32</v>
      </c>
      <c r="C57" s="13"/>
      <c r="D57" s="22"/>
      <c r="E57" s="171"/>
      <c r="F57" s="107"/>
      <c r="G57" s="305" t="str">
        <f ca="1">_xll.DBRA(Server&amp;$B$22,$B57,"French")</f>
        <v>Total Location mobilière diverse</v>
      </c>
      <c r="H57" s="305" t="str">
        <f ca="1">_xll.DBRA(Server&amp;$B$22,$B57,"French")</f>
        <v>Total Location mobilière diverse</v>
      </c>
      <c r="I57" s="37"/>
      <c r="J57" s="54" t="str">
        <f ca="1">_xll.DBRW(Server&amp;Cube1,$H$13,$H$14,$H$15,$J$1,$J$2,$H$16,$B57)</f>
        <v/>
      </c>
      <c r="K57" s="37"/>
      <c r="L57" s="54" t="str">
        <f ca="1">_xll.DBRW(Server&amp;Cube1,$H$13,$H$14,$H$15,$L$1,$L$2,$H$16,$B57)</f>
        <v/>
      </c>
      <c r="M57" s="55"/>
      <c r="N57" s="54" t="str">
        <f ca="1">_xll.DBRW(Server&amp;Cube1,$H$13,$H$14,$H$15,$P$1,N$2,$H$16,$B57)</f>
        <v>*KEY_ERR</v>
      </c>
      <c r="O57" s="57"/>
      <c r="P57" s="54" t="str">
        <f ca="1">_xll.DBRW(Server&amp;Cube1,$H$13,$P$3,$H$15,$P$1,P$2,$H$16,$B57)</f>
        <v>*KEY_ERR</v>
      </c>
      <c r="Q57" s="54" t="str">
        <f ca="1">_xll.DBRW(Server&amp;Cube1,$H$13,$P$3,$H$15,$H$17,Q$1,$H$16,$B57)</f>
        <v>*KEY_ERR</v>
      </c>
      <c r="R57" s="58" t="str">
        <f ca="1">_xll.DBRW(Server&amp;Cube1,$H$13,$P$3,$H$15,$H$17,R$1,$H$16,$B57)</f>
        <v>*KEY_ERR</v>
      </c>
      <c r="S57" s="58" t="str">
        <f ca="1">_xll.DBRW(Server&amp;Cube1,$H$13,$P$3,$H$15,$H$17,S$1,$H$16,$B57)</f>
        <v>*KEY_ERR</v>
      </c>
      <c r="T57" s="58" t="str">
        <f ca="1">_xll.DBRW(Server&amp;Cube1,$H$13,$P$3,$H$15,$H$17,T$1,$H$16,$B57)</f>
        <v>*KEY_ERR</v>
      </c>
      <c r="U57" s="58" t="str">
        <f ca="1">_xll.DBRW(Server&amp;Cube1,$H$13,$P$3,$H$15,$H$17,U$1,$H$16,$B57)</f>
        <v>*KEY_ERR</v>
      </c>
      <c r="V57" s="58" t="str">
        <f ca="1">_xll.DBRW(Server&amp;Cube1,$H$13,$P$3,$H$15,$H$17,V$1,$H$16,$B57)</f>
        <v>*KEY_ERR</v>
      </c>
      <c r="W57" s="58" t="str">
        <f ca="1">_xll.DBRW(Server&amp;Cube1,$H$13,$P$3,$H$15,$H$17,W$1,$H$16,$B57)</f>
        <v>*KEY_ERR</v>
      </c>
      <c r="X57" s="58" t="str">
        <f ca="1">_xll.DBRW(Server&amp;Cube1,$H$13,$P$3,$H$15,$H$17,X$1,$H$16,$B57)</f>
        <v>*KEY_ERR</v>
      </c>
      <c r="Y57" s="58" t="str">
        <f ca="1">_xll.DBRW(Server&amp;Cube1,$H$13,$P$3,$H$15,$H$17,Y$1,$H$16,$B57)</f>
        <v>*KEY_ERR</v>
      </c>
      <c r="Z57" s="58" t="str">
        <f ca="1">_xll.DBRW(Server&amp;Cube1,$H$13,$P$3,$H$15,$H$17,Z$1,$H$16,$B57)</f>
        <v>*KEY_ERR</v>
      </c>
      <c r="AA57" s="58" t="str">
        <f ca="1">_xll.DBRW(Server&amp;Cube1,$H$13,$P$3,$H$15,$H$17,AA$1,$H$16,$B57)</f>
        <v>*KEY_ERR</v>
      </c>
      <c r="AB57" s="59" t="str">
        <f ca="1">_xll.DBRW(Server&amp;Cube1,$H$13,$P$3,$H$15,$H$17,AB$1,$H$16,$B57)</f>
        <v>*KEY_ERR</v>
      </c>
      <c r="AC57" s="187" t="str">
        <f ca="1">_xll.DBRW(Server&amp;Cube1,$H$13,$AC$3,$H$15,$P$1,AC$2,$H$16,$B57)</f>
        <v>*KEY_ERR</v>
      </c>
      <c r="AD57" s="54" t="str">
        <f ca="1">_xll.DBRW(Server&amp;Cube1,$H$13,$AC$3,$H$15,$H$17,AD$1,$H$16,$B57)</f>
        <v>*KEY_ERR</v>
      </c>
      <c r="AE57" s="58" t="str">
        <f ca="1">_xll.DBRW(Server&amp;Cube1,$H$13,$AC$3,$H$15,$H$17,AE$1,$H$16,$B57)</f>
        <v>*KEY_ERR</v>
      </c>
      <c r="AF57" s="58" t="str">
        <f ca="1">_xll.DBRW(Server&amp;Cube1,$H$13,$AC$3,$H$15,$H$17,AF$1,$H$16,$B57)</f>
        <v>*KEY_ERR</v>
      </c>
      <c r="AG57" s="58" t="str">
        <f ca="1">_xll.DBRW(Server&amp;Cube1,$H$13,$AC$3,$H$15,$H$17,AG$1,$H$16,$B57)</f>
        <v>*KEY_ERR</v>
      </c>
      <c r="AH57" s="58" t="str">
        <f ca="1">_xll.DBRW(Server&amp;Cube1,$H$13,$AC$3,$H$15,$H$17,AH$1,$H$16,$B57)</f>
        <v>*KEY_ERR</v>
      </c>
      <c r="AI57" s="58" t="str">
        <f ca="1">_xll.DBRW(Server&amp;Cube1,$H$13,$AC$3,$H$15,$H$17,AI$1,$H$16,$B57)</f>
        <v>*KEY_ERR</v>
      </c>
      <c r="AJ57" s="58" t="str">
        <f ca="1">_xll.DBRW(Server&amp;Cube1,$H$13,$AC$3,$H$15,$H$17,AJ$1,$H$16,$B57)</f>
        <v>*KEY_ERR</v>
      </c>
      <c r="AK57" s="58" t="str">
        <f ca="1">_xll.DBRW(Server&amp;Cube1,$H$13,$AC$3,$H$15,$H$17,AK$1,$H$16,$B57)</f>
        <v>*KEY_ERR</v>
      </c>
      <c r="AL57" s="58" t="str">
        <f ca="1">_xll.DBRW(Server&amp;Cube1,$H$13,$AC$3,$H$15,$H$17,AL$1,$H$16,$B57)</f>
        <v>*KEY_ERR</v>
      </c>
      <c r="AM57" s="58" t="str">
        <f ca="1">_xll.DBRW(Server&amp;Cube1,$H$13,$AC$3,$H$15,$H$17,AM$1,$H$16,$B57)</f>
        <v>*KEY_ERR</v>
      </c>
      <c r="AN57" s="58" t="str">
        <f ca="1">_xll.DBRW(Server&amp;Cube1,$H$13,$AC$3,$H$15,$H$17,AN$1,$H$16,$B57)</f>
        <v>*KEY_ERR</v>
      </c>
      <c r="AO57" s="59" t="str">
        <f ca="1">_xll.DBRW(Server&amp;Cube1,$H$13,$AC$3,$H$15,$H$17,AO$1,$H$16,$B57)</f>
        <v>*KEY_ERR</v>
      </c>
      <c r="AP57" s="187" t="str">
        <f ca="1">_xll.DBRW(Server&amp;Cube1,$H$13,$AP$3,$H$15,$P$1,AP$2,$H$16,$B57)</f>
        <v>*KEY_ERR</v>
      </c>
      <c r="AQ57" s="54" t="str">
        <f ca="1">_xll.DBRW(Server&amp;Cube1,$H$13,$AP$3,$H$15,$H$17,AQ$1,$H$16,$B57)</f>
        <v>*KEY_ERR</v>
      </c>
      <c r="AR57" s="58" t="str">
        <f ca="1">_xll.DBRW(Server&amp;Cube1,$H$13,$AP$3,$H$15,$H$17,AR$1,$H$16,$B57)</f>
        <v>*KEY_ERR</v>
      </c>
      <c r="AS57" s="58" t="str">
        <f ca="1">_xll.DBRW(Server&amp;Cube1,$H$13,$AP$3,$H$15,$H$17,AS$1,$H$16,$B57)</f>
        <v>*KEY_ERR</v>
      </c>
      <c r="AT57" s="58" t="str">
        <f ca="1">_xll.DBRW(Server&amp;Cube1,$H$13,$AP$3,$H$15,$H$17,AT$1,$H$16,$B57)</f>
        <v>*KEY_ERR</v>
      </c>
      <c r="AU57" s="58" t="str">
        <f ca="1">_xll.DBRW(Server&amp;Cube1,$H$13,$AP$3,$H$15,$H$17,AU$1,$H$16,$B57)</f>
        <v>*KEY_ERR</v>
      </c>
      <c r="AV57" s="58" t="str">
        <f ca="1">_xll.DBRW(Server&amp;Cube1,$H$13,$AP$3,$H$15,$H$17,AV$1,$H$16,$B57)</f>
        <v>*KEY_ERR</v>
      </c>
      <c r="AW57" s="58" t="str">
        <f ca="1">_xll.DBRW(Server&amp;Cube1,$H$13,$AP$3,$H$15,$H$17,AW$1,$H$16,$B57)</f>
        <v>*KEY_ERR</v>
      </c>
      <c r="AX57" s="58" t="str">
        <f ca="1">_xll.DBRW(Server&amp;Cube1,$H$13,$AP$3,$H$15,$H$17,AX$1,$H$16,$B57)</f>
        <v>*KEY_ERR</v>
      </c>
      <c r="AY57" s="58" t="str">
        <f ca="1">_xll.DBRW(Server&amp;Cube1,$H$13,$AP$3,$H$15,$H$17,AY$1,$H$16,$B57)</f>
        <v>*KEY_ERR</v>
      </c>
      <c r="AZ57" s="58" t="str">
        <f ca="1">_xll.DBRW(Server&amp;Cube1,$H$13,$AP$3,$H$15,$H$17,AZ$1,$H$16,$B57)</f>
        <v>*KEY_ERR</v>
      </c>
      <c r="BA57" s="58" t="str">
        <f ca="1">_xll.DBRW(Server&amp;Cube1,$H$13,$AP$3,$H$15,$H$17,BA$1,$H$16,$B57)</f>
        <v>*KEY_ERR</v>
      </c>
      <c r="BB57" s="59" t="str">
        <f ca="1">_xll.DBRW(Server&amp;Cube1,$H$13,$AP$3,$H$15,$H$17,BB$1,$H$16,$B57)</f>
        <v>*KEY_ERR</v>
      </c>
      <c r="BC57" s="187" t="str">
        <f ca="1">_xll.DBRW(Server&amp;Cube1,$H$13,$BC$3,$H$15,$P$1,BC$2,$H$16,$B57)</f>
        <v>*KEY_ERR</v>
      </c>
      <c r="BD57" s="54" t="str">
        <f ca="1">_xll.DBRW(Server&amp;Cube1,$H$13,$BC$3,$H$15,$H$17,BD$1,$H$16,$B57)</f>
        <v>*KEY_ERR</v>
      </c>
      <c r="BE57" s="58" t="str">
        <f ca="1">_xll.DBRW(Server&amp;Cube1,$H$13,$BC$3,$H$15,$H$17,BE$1,$H$16,$B57)</f>
        <v>*KEY_ERR</v>
      </c>
      <c r="BF57" s="58" t="str">
        <f ca="1">_xll.DBRW(Server&amp;Cube1,$H$13,$BC$3,$H$15,$H$17,BF$1,$H$16,$B57)</f>
        <v>*KEY_ERR</v>
      </c>
      <c r="BG57" s="58" t="str">
        <f ca="1">_xll.DBRW(Server&amp;Cube1,$H$13,$BC$3,$H$15,$H$17,BG$1,$H$16,$B57)</f>
        <v>*KEY_ERR</v>
      </c>
      <c r="BH57" s="58" t="str">
        <f ca="1">_xll.DBRW(Server&amp;Cube1,$H$13,$BC$3,$H$15,$H$17,BH$1,$H$16,$B57)</f>
        <v>*KEY_ERR</v>
      </c>
      <c r="BI57" s="58" t="str">
        <f ca="1">_xll.DBRW(Server&amp;Cube1,$H$13,$BC$3,$H$15,$H$17,BI$1,$H$16,$B57)</f>
        <v>*KEY_ERR</v>
      </c>
      <c r="BJ57" s="58" t="str">
        <f ca="1">_xll.DBRW(Server&amp;Cube1,$H$13,$BC$3,$H$15,$H$17,BJ$1,$H$16,$B57)</f>
        <v>*KEY_ERR</v>
      </c>
      <c r="BK57" s="58" t="str">
        <f ca="1">_xll.DBRW(Server&amp;Cube1,$H$13,$BC$3,$H$15,$H$17,BK$1,$H$16,$B57)</f>
        <v>*KEY_ERR</v>
      </c>
      <c r="BL57" s="58" t="str">
        <f ca="1">_xll.DBRW(Server&amp;Cube1,$H$13,$BC$3,$H$15,$H$17,BL$1,$H$16,$B57)</f>
        <v>*KEY_ERR</v>
      </c>
      <c r="BM57" s="58" t="str">
        <f ca="1">_xll.DBRW(Server&amp;Cube1,$H$13,$BC$3,$H$15,$H$17,BM$1,$H$16,$B57)</f>
        <v>*KEY_ERR</v>
      </c>
      <c r="BN57" s="58" t="str">
        <f ca="1">_xll.DBRW(Server&amp;Cube1,$H$13,$BC$3,$H$15,$H$17,BN$1,$H$16,$B57)</f>
        <v>*KEY_ERR</v>
      </c>
      <c r="BO57" s="59" t="str">
        <f ca="1">_xll.DBRW(Server&amp;Cube1,$H$13,$BC$3,$H$15,$H$17,BO$1,$H$16,$B57)</f>
        <v>*KEY_ERR</v>
      </c>
      <c r="BP57" s="31"/>
    </row>
    <row r="58" spans="1:68" ht="2.25" customHeight="1" x14ac:dyDescent="0.25">
      <c r="A58"/>
      <c r="B58" s="11"/>
      <c r="C58" s="11"/>
      <c r="D58" s="20"/>
      <c r="E58" s="170"/>
      <c r="F58" s="106"/>
      <c r="G58" s="43"/>
      <c r="H58" s="43"/>
      <c r="I58" s="38"/>
      <c r="J58" s="62"/>
      <c r="K58" s="38"/>
      <c r="L58" s="62"/>
      <c r="M58" s="63"/>
      <c r="N58" s="62"/>
      <c r="O58" s="64"/>
      <c r="P58" s="62"/>
      <c r="Q58" s="62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6"/>
      <c r="AC58" s="186"/>
      <c r="AD58" s="62"/>
      <c r="AE58" s="65"/>
      <c r="AF58" s="65"/>
      <c r="AG58" s="65"/>
      <c r="AH58" s="65"/>
      <c r="AI58" s="65"/>
      <c r="AJ58" s="65"/>
      <c r="AK58" s="65"/>
      <c r="AL58" s="65"/>
      <c r="AM58" s="65"/>
      <c r="AN58" s="65"/>
      <c r="AO58" s="66"/>
      <c r="AP58" s="186"/>
      <c r="AQ58" s="62"/>
      <c r="AR58" s="65"/>
      <c r="AS58" s="65"/>
      <c r="AT58" s="65"/>
      <c r="AU58" s="65"/>
      <c r="AV58" s="65"/>
      <c r="AW58" s="65"/>
      <c r="AX58" s="65"/>
      <c r="AY58" s="65"/>
      <c r="AZ58" s="65"/>
      <c r="BA58" s="65"/>
      <c r="BB58" s="66"/>
      <c r="BC58" s="186"/>
      <c r="BD58" s="62"/>
      <c r="BE58" s="65"/>
      <c r="BF58" s="65"/>
      <c r="BG58" s="65"/>
      <c r="BH58" s="65"/>
      <c r="BI58" s="65"/>
      <c r="BJ58" s="65"/>
      <c r="BK58" s="65"/>
      <c r="BL58" s="65"/>
      <c r="BM58" s="65"/>
      <c r="BN58" s="65"/>
      <c r="BO58" s="66"/>
      <c r="BP58" s="31"/>
    </row>
    <row r="59" spans="1:68" ht="28.5" customHeight="1" x14ac:dyDescent="0.25">
      <c r="A59"/>
      <c r="B59" s="12" t="s">
        <v>25</v>
      </c>
      <c r="C59" s="12"/>
      <c r="D59" s="21"/>
      <c r="E59" s="169"/>
      <c r="F59" s="322" t="str">
        <f ca="1">_xll.DBRA(Server&amp;$B$22,$B59,"French")</f>
        <v>Coûts directs de la formation</v>
      </c>
      <c r="G59" s="323"/>
      <c r="H59" s="324"/>
      <c r="I59" s="39"/>
      <c r="J59" s="51" t="str">
        <f ca="1">_xll.DBRW(Server&amp;Cube1,$H$13,$H$14,$H$15,$J$1,$J$2,$H$16,$B59)</f>
        <v/>
      </c>
      <c r="K59" s="39"/>
      <c r="L59" s="51" t="str">
        <f ca="1">_xll.DBRW(Server&amp;Cube1,$H$13,$H$14,$H$15,$L$1,$L$2,$H$16,$B59)</f>
        <v/>
      </c>
      <c r="M59" s="60"/>
      <c r="N59" s="51" t="str">
        <f ca="1">_xll.DBRW(Server&amp;Cube1,$H$13,$H$14,$H$15,$P$1,N$2,$H$16,$B59)</f>
        <v>*KEY_ERR</v>
      </c>
      <c r="O59" s="61"/>
      <c r="P59" s="51" t="str">
        <f ca="1">_xll.DBRW(Server&amp;Cube1,$H$13,$P$3,$H$15,$P$1,P$2,$H$16,$B59)</f>
        <v>*KEY_ERR</v>
      </c>
      <c r="Q59" s="49" t="str">
        <f ca="1">_xll.DBRW(Server&amp;Cube1,$H$13,$P$3,$H$15,$H$17,Q$1,$H$16,$B59)</f>
        <v>*KEY_ERR</v>
      </c>
      <c r="R59" s="50" t="str">
        <f ca="1">_xll.DBRW(Server&amp;Cube1,$H$13,$P$3,$H$15,$H$17,R$1,$H$16,$B59)</f>
        <v>*KEY_ERR</v>
      </c>
      <c r="S59" s="50" t="str">
        <f ca="1">_xll.DBRW(Server&amp;Cube1,$H$13,$P$3,$H$15,$H$17,S$1,$H$16,$B59)</f>
        <v>*KEY_ERR</v>
      </c>
      <c r="T59" s="50" t="str">
        <f ca="1">_xll.DBRW(Server&amp;Cube1,$H$13,$P$3,$H$15,$H$17,T$1,$H$16,$B59)</f>
        <v>*KEY_ERR</v>
      </c>
      <c r="U59" s="50" t="str">
        <f ca="1">_xll.DBRW(Server&amp;Cube1,$H$13,$P$3,$H$15,$H$17,U$1,$H$16,$B59)</f>
        <v>*KEY_ERR</v>
      </c>
      <c r="V59" s="50" t="str">
        <f ca="1">_xll.DBRW(Server&amp;Cube1,$H$13,$P$3,$H$15,$H$17,V$1,$H$16,$B59)</f>
        <v>*KEY_ERR</v>
      </c>
      <c r="W59" s="50" t="str">
        <f ca="1">_xll.DBRW(Server&amp;Cube1,$H$13,$P$3,$H$15,$H$17,W$1,$H$16,$B59)</f>
        <v>*KEY_ERR</v>
      </c>
      <c r="X59" s="50" t="str">
        <f ca="1">_xll.DBRW(Server&amp;Cube1,$H$13,$P$3,$H$15,$H$17,X$1,$H$16,$B59)</f>
        <v>*KEY_ERR</v>
      </c>
      <c r="Y59" s="50" t="str">
        <f ca="1">_xll.DBRW(Server&amp;Cube1,$H$13,$P$3,$H$15,$H$17,Y$1,$H$16,$B59)</f>
        <v>*KEY_ERR</v>
      </c>
      <c r="Z59" s="50" t="str">
        <f ca="1">_xll.DBRW(Server&amp;Cube1,$H$13,$P$3,$H$15,$H$17,Z$1,$H$16,$B59)</f>
        <v>*KEY_ERR</v>
      </c>
      <c r="AA59" s="50" t="str">
        <f ca="1">_xll.DBRW(Server&amp;Cube1,$H$13,$P$3,$H$15,$H$17,AA$1,$H$16,$B59)</f>
        <v>*KEY_ERR</v>
      </c>
      <c r="AB59" s="183" t="str">
        <f ca="1">_xll.DBRW(Server&amp;Cube1,$H$13,$P$3,$H$15,$H$17,AB$1,$H$16,$B59)</f>
        <v>*KEY_ERR</v>
      </c>
      <c r="AC59" s="188" t="str">
        <f ca="1">_xll.DBRW(Server&amp;Cube1,$H$13,$AC$3,$H$15,$P$1,AC$2,$H$16,$B59)</f>
        <v>*KEY_ERR</v>
      </c>
      <c r="AD59" s="49" t="str">
        <f ca="1">_xll.DBRW(Server&amp;Cube1,$H$13,$AC$3,$H$15,$H$17,AD$1,$H$16,$B59)</f>
        <v>*KEY_ERR</v>
      </c>
      <c r="AE59" s="50" t="str">
        <f ca="1">_xll.DBRW(Server&amp;Cube1,$H$13,$AC$3,$H$15,$H$17,AE$1,$H$16,$B59)</f>
        <v>*KEY_ERR</v>
      </c>
      <c r="AF59" s="50" t="str">
        <f ca="1">_xll.DBRW(Server&amp;Cube1,$H$13,$AC$3,$H$15,$H$17,AF$1,$H$16,$B59)</f>
        <v>*KEY_ERR</v>
      </c>
      <c r="AG59" s="50" t="str">
        <f ca="1">_xll.DBRW(Server&amp;Cube1,$H$13,$AC$3,$H$15,$H$17,AG$1,$H$16,$B59)</f>
        <v>*KEY_ERR</v>
      </c>
      <c r="AH59" s="50" t="str">
        <f ca="1">_xll.DBRW(Server&amp;Cube1,$H$13,$AC$3,$H$15,$H$17,AH$1,$H$16,$B59)</f>
        <v>*KEY_ERR</v>
      </c>
      <c r="AI59" s="50" t="str">
        <f ca="1">_xll.DBRW(Server&amp;Cube1,$H$13,$AC$3,$H$15,$H$17,AI$1,$H$16,$B59)</f>
        <v>*KEY_ERR</v>
      </c>
      <c r="AJ59" s="50" t="str">
        <f ca="1">_xll.DBRW(Server&amp;Cube1,$H$13,$AC$3,$H$15,$H$17,AJ$1,$H$16,$B59)</f>
        <v>*KEY_ERR</v>
      </c>
      <c r="AK59" s="50" t="str">
        <f ca="1">_xll.DBRW(Server&amp;Cube1,$H$13,$AC$3,$H$15,$H$17,AK$1,$H$16,$B59)</f>
        <v>*KEY_ERR</v>
      </c>
      <c r="AL59" s="50" t="str">
        <f ca="1">_xll.DBRW(Server&amp;Cube1,$H$13,$AC$3,$H$15,$H$17,AL$1,$H$16,$B59)</f>
        <v>*KEY_ERR</v>
      </c>
      <c r="AM59" s="50" t="str">
        <f ca="1">_xll.DBRW(Server&amp;Cube1,$H$13,$AC$3,$H$15,$H$17,AM$1,$H$16,$B59)</f>
        <v>*KEY_ERR</v>
      </c>
      <c r="AN59" s="50" t="str">
        <f ca="1">_xll.DBRW(Server&amp;Cube1,$H$13,$AC$3,$H$15,$H$17,AN$1,$H$16,$B59)</f>
        <v>*KEY_ERR</v>
      </c>
      <c r="AO59" s="183" t="str">
        <f ca="1">_xll.DBRW(Server&amp;Cube1,$H$13,$AC$3,$H$15,$H$17,AO$1,$H$16,$B59)</f>
        <v>*KEY_ERR</v>
      </c>
      <c r="AP59" s="188" t="str">
        <f ca="1">_xll.DBRW(Server&amp;Cube1,$H$13,$AP$3,$H$15,$P$1,AP$2,$H$16,$B59)</f>
        <v>*KEY_ERR</v>
      </c>
      <c r="AQ59" s="49" t="str">
        <f ca="1">_xll.DBRW(Server&amp;Cube1,$H$13,$AP$3,$H$15,$H$17,AQ$1,$H$16,$B59)</f>
        <v>*KEY_ERR</v>
      </c>
      <c r="AR59" s="50" t="str">
        <f ca="1">_xll.DBRW(Server&amp;Cube1,$H$13,$AP$3,$H$15,$H$17,AR$1,$H$16,$B59)</f>
        <v>*KEY_ERR</v>
      </c>
      <c r="AS59" s="50" t="str">
        <f ca="1">_xll.DBRW(Server&amp;Cube1,$H$13,$AP$3,$H$15,$H$17,AS$1,$H$16,$B59)</f>
        <v>*KEY_ERR</v>
      </c>
      <c r="AT59" s="50" t="str">
        <f ca="1">_xll.DBRW(Server&amp;Cube1,$H$13,$AP$3,$H$15,$H$17,AT$1,$H$16,$B59)</f>
        <v>*KEY_ERR</v>
      </c>
      <c r="AU59" s="50" t="str">
        <f ca="1">_xll.DBRW(Server&amp;Cube1,$H$13,$AP$3,$H$15,$H$17,AU$1,$H$16,$B59)</f>
        <v>*KEY_ERR</v>
      </c>
      <c r="AV59" s="50" t="str">
        <f ca="1">_xll.DBRW(Server&amp;Cube1,$H$13,$AP$3,$H$15,$H$17,AV$1,$H$16,$B59)</f>
        <v>*KEY_ERR</v>
      </c>
      <c r="AW59" s="50" t="str">
        <f ca="1">_xll.DBRW(Server&amp;Cube1,$H$13,$AP$3,$H$15,$H$17,AW$1,$H$16,$B59)</f>
        <v>*KEY_ERR</v>
      </c>
      <c r="AX59" s="50" t="str">
        <f ca="1">_xll.DBRW(Server&amp;Cube1,$H$13,$AP$3,$H$15,$H$17,AX$1,$H$16,$B59)</f>
        <v>*KEY_ERR</v>
      </c>
      <c r="AY59" s="50" t="str">
        <f ca="1">_xll.DBRW(Server&amp;Cube1,$H$13,$AP$3,$H$15,$H$17,AY$1,$H$16,$B59)</f>
        <v>*KEY_ERR</v>
      </c>
      <c r="AZ59" s="50" t="str">
        <f ca="1">_xll.DBRW(Server&amp;Cube1,$H$13,$AP$3,$H$15,$H$17,AZ$1,$H$16,$B59)</f>
        <v>*KEY_ERR</v>
      </c>
      <c r="BA59" s="50" t="str">
        <f ca="1">_xll.DBRW(Server&amp;Cube1,$H$13,$AP$3,$H$15,$H$17,BA$1,$H$16,$B59)</f>
        <v>*KEY_ERR</v>
      </c>
      <c r="BB59" s="183" t="str">
        <f ca="1">_xll.DBRW(Server&amp;Cube1,$H$13,$AP$3,$H$15,$H$17,BB$1,$H$16,$B59)</f>
        <v>*KEY_ERR</v>
      </c>
      <c r="BC59" s="188" t="str">
        <f ca="1">_xll.DBRW(Server&amp;Cube1,$H$13,$BC$3,$H$15,$P$1,BC$2,$H$16,$B59)</f>
        <v>*KEY_ERR</v>
      </c>
      <c r="BD59" s="49" t="str">
        <f ca="1">_xll.DBRW(Server&amp;Cube1,$H$13,$BC$3,$H$15,$H$17,BD$1,$H$16,$B59)</f>
        <v>*KEY_ERR</v>
      </c>
      <c r="BE59" s="50" t="str">
        <f ca="1">_xll.DBRW(Server&amp;Cube1,$H$13,$BC$3,$H$15,$H$17,BE$1,$H$16,$B59)</f>
        <v>*KEY_ERR</v>
      </c>
      <c r="BF59" s="50" t="str">
        <f ca="1">_xll.DBRW(Server&amp;Cube1,$H$13,$BC$3,$H$15,$H$17,BF$1,$H$16,$B59)</f>
        <v>*KEY_ERR</v>
      </c>
      <c r="BG59" s="50" t="str">
        <f ca="1">_xll.DBRW(Server&amp;Cube1,$H$13,$BC$3,$H$15,$H$17,BG$1,$H$16,$B59)</f>
        <v>*KEY_ERR</v>
      </c>
      <c r="BH59" s="50" t="str">
        <f ca="1">_xll.DBRW(Server&amp;Cube1,$H$13,$BC$3,$H$15,$H$17,BH$1,$H$16,$B59)</f>
        <v>*KEY_ERR</v>
      </c>
      <c r="BI59" s="50" t="str">
        <f ca="1">_xll.DBRW(Server&amp;Cube1,$H$13,$BC$3,$H$15,$H$17,BI$1,$H$16,$B59)</f>
        <v>*KEY_ERR</v>
      </c>
      <c r="BJ59" s="50" t="str">
        <f ca="1">_xll.DBRW(Server&amp;Cube1,$H$13,$BC$3,$H$15,$H$17,BJ$1,$H$16,$B59)</f>
        <v>*KEY_ERR</v>
      </c>
      <c r="BK59" s="50" t="str">
        <f ca="1">_xll.DBRW(Server&amp;Cube1,$H$13,$BC$3,$H$15,$H$17,BK$1,$H$16,$B59)</f>
        <v>*KEY_ERR</v>
      </c>
      <c r="BL59" s="50" t="str">
        <f ca="1">_xll.DBRW(Server&amp;Cube1,$H$13,$BC$3,$H$15,$H$17,BL$1,$H$16,$B59)</f>
        <v>*KEY_ERR</v>
      </c>
      <c r="BM59" s="50" t="str">
        <f ca="1">_xll.DBRW(Server&amp;Cube1,$H$13,$BC$3,$H$15,$H$17,BM$1,$H$16,$B59)</f>
        <v>*KEY_ERR</v>
      </c>
      <c r="BN59" s="50" t="str">
        <f ca="1">_xll.DBRW(Server&amp;Cube1,$H$13,$BC$3,$H$15,$H$17,BN$1,$H$16,$B59)</f>
        <v>*KEY_ERR</v>
      </c>
      <c r="BO59" s="53" t="str">
        <f ca="1">_xll.DBRW(Server&amp;Cube1,$H$13,$BC$3,$H$15,$H$17,BO$1,$H$16,$B59)</f>
        <v>*KEY_ERR</v>
      </c>
      <c r="BP59" s="31"/>
    </row>
    <row r="60" spans="1:68" ht="3" customHeight="1" x14ac:dyDescent="0.25">
      <c r="A60"/>
      <c r="B60" s="11"/>
      <c r="C60" s="11"/>
      <c r="D60" s="20"/>
      <c r="E60" s="170"/>
      <c r="F60" s="106"/>
      <c r="G60" s="43"/>
      <c r="H60" s="43"/>
      <c r="I60" s="38"/>
      <c r="J60" s="62"/>
      <c r="K60" s="38"/>
      <c r="L60" s="62"/>
      <c r="M60" s="63"/>
      <c r="N60" s="64"/>
      <c r="O60" s="64"/>
      <c r="P60" s="64"/>
      <c r="Q60" s="62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6"/>
      <c r="AC60" s="64"/>
      <c r="AD60" s="62"/>
      <c r="AE60" s="65"/>
      <c r="AF60" s="65"/>
      <c r="AG60" s="65"/>
      <c r="AH60" s="65"/>
      <c r="AI60" s="65"/>
      <c r="AJ60" s="65"/>
      <c r="AK60" s="65"/>
      <c r="AL60" s="65"/>
      <c r="AM60" s="65"/>
      <c r="AN60" s="65"/>
      <c r="AO60" s="66"/>
      <c r="AP60" s="64"/>
      <c r="AQ60" s="62"/>
      <c r="AR60" s="65"/>
      <c r="AS60" s="65"/>
      <c r="AT60" s="65"/>
      <c r="AU60" s="65"/>
      <c r="AV60" s="65"/>
      <c r="AW60" s="65"/>
      <c r="AX60" s="65"/>
      <c r="AY60" s="65"/>
      <c r="AZ60" s="65"/>
      <c r="BA60" s="65"/>
      <c r="BB60" s="66"/>
      <c r="BC60" s="64"/>
      <c r="BD60" s="62"/>
      <c r="BE60" s="65"/>
      <c r="BF60" s="65"/>
      <c r="BG60" s="65"/>
      <c r="BH60" s="65"/>
      <c r="BI60" s="65"/>
      <c r="BJ60" s="65"/>
      <c r="BK60" s="65"/>
      <c r="BL60" s="65"/>
      <c r="BM60" s="65"/>
      <c r="BN60" s="65"/>
      <c r="BO60" s="66"/>
      <c r="BP60" s="31"/>
    </row>
    <row r="61" spans="1:68" ht="15" customHeight="1" x14ac:dyDescent="0.25">
      <c r="A61"/>
      <c r="B61" s="11"/>
      <c r="C61" s="11"/>
      <c r="D61" s="20"/>
      <c r="E61" s="170"/>
      <c r="F61" s="106"/>
      <c r="G61" s="80"/>
      <c r="H61" s="80"/>
      <c r="I61" s="82"/>
      <c r="J61" s="100"/>
      <c r="K61" s="82"/>
      <c r="L61" s="100"/>
      <c r="M61" s="124"/>
      <c r="N61" s="100"/>
      <c r="O61" s="100"/>
      <c r="P61" s="100"/>
      <c r="Q61" s="101"/>
      <c r="R61" s="102"/>
      <c r="S61" s="102"/>
      <c r="T61" s="102"/>
      <c r="U61" s="102"/>
      <c r="V61" s="102"/>
      <c r="W61" s="102"/>
      <c r="X61" s="102"/>
      <c r="Y61" s="102"/>
      <c r="Z61" s="102"/>
      <c r="AA61" s="102"/>
      <c r="AB61" s="103"/>
      <c r="AC61" s="100"/>
      <c r="AD61" s="101"/>
      <c r="AE61" s="102"/>
      <c r="AF61" s="102"/>
      <c r="AG61" s="102"/>
      <c r="AH61" s="102"/>
      <c r="AI61" s="102"/>
      <c r="AJ61" s="102"/>
      <c r="AK61" s="102"/>
      <c r="AL61" s="102"/>
      <c r="AM61" s="102"/>
      <c r="AN61" s="102"/>
      <c r="AO61" s="103"/>
      <c r="AP61" s="100"/>
      <c r="AQ61" s="101"/>
      <c r="AR61" s="102"/>
      <c r="AS61" s="102"/>
      <c r="AT61" s="102"/>
      <c r="AU61" s="102"/>
      <c r="AV61" s="102"/>
      <c r="AW61" s="102"/>
      <c r="AX61" s="102"/>
      <c r="AY61" s="102"/>
      <c r="AZ61" s="102"/>
      <c r="BA61" s="102"/>
      <c r="BB61" s="103"/>
      <c r="BC61" s="100"/>
      <c r="BD61" s="101"/>
      <c r="BE61" s="102"/>
      <c r="BF61" s="102"/>
      <c r="BG61" s="102"/>
      <c r="BH61" s="102"/>
      <c r="BI61" s="102"/>
      <c r="BJ61" s="102"/>
      <c r="BK61" s="102"/>
      <c r="BL61" s="102"/>
      <c r="BM61" s="102"/>
      <c r="BN61" s="102"/>
      <c r="BO61" s="103"/>
      <c r="BP61" s="31"/>
    </row>
    <row r="62" spans="1:68" ht="5.25" customHeight="1" x14ac:dyDescent="0.25">
      <c r="A62"/>
      <c r="B62" s="11"/>
      <c r="C62" s="11"/>
      <c r="D62" s="20"/>
      <c r="E62" s="170"/>
      <c r="F62" s="332"/>
      <c r="G62" s="333"/>
      <c r="H62" s="333"/>
      <c r="I62" s="333"/>
      <c r="J62" s="333"/>
      <c r="K62" s="333"/>
      <c r="L62" s="333"/>
      <c r="M62" s="333"/>
      <c r="N62" s="333"/>
      <c r="O62" s="333"/>
      <c r="P62" s="333"/>
      <c r="Q62" s="333"/>
      <c r="R62" s="333"/>
      <c r="S62" s="333"/>
      <c r="T62" s="333"/>
      <c r="U62" s="333"/>
      <c r="V62" s="333"/>
      <c r="W62" s="333"/>
      <c r="X62" s="333"/>
      <c r="Y62" s="333"/>
      <c r="Z62" s="333"/>
      <c r="AA62" s="333"/>
      <c r="AB62" s="333"/>
      <c r="AC62" s="333"/>
      <c r="AD62" s="333"/>
      <c r="AE62" s="333"/>
      <c r="AF62" s="333"/>
      <c r="AG62" s="333"/>
      <c r="AH62" s="333"/>
      <c r="AI62" s="333"/>
      <c r="AJ62" s="333"/>
      <c r="AK62" s="333"/>
      <c r="AL62" s="333"/>
      <c r="AM62" s="333"/>
      <c r="AN62" s="333"/>
      <c r="AO62" s="333"/>
      <c r="AP62" s="333"/>
      <c r="AQ62" s="333"/>
      <c r="AR62" s="333"/>
      <c r="AS62" s="333"/>
      <c r="AT62" s="333"/>
      <c r="AU62" s="333"/>
      <c r="AV62" s="333"/>
      <c r="AW62" s="333"/>
      <c r="AX62" s="333"/>
      <c r="AY62" s="333"/>
      <c r="AZ62" s="333"/>
      <c r="BA62" s="333"/>
      <c r="BB62" s="333"/>
      <c r="BC62" s="333"/>
      <c r="BD62" s="333"/>
      <c r="BE62" s="333"/>
      <c r="BF62" s="333"/>
      <c r="BG62" s="333"/>
      <c r="BH62" s="333"/>
      <c r="BI62" s="333"/>
      <c r="BJ62" s="333"/>
      <c r="BK62" s="333"/>
      <c r="BL62" s="333"/>
      <c r="BM62" s="333"/>
      <c r="BN62" s="333"/>
      <c r="BO62" s="333"/>
      <c r="BP62" s="31"/>
    </row>
    <row r="63" spans="1:68" ht="18.75" customHeight="1" x14ac:dyDescent="0.25">
      <c r="A63"/>
      <c r="B63" s="11"/>
      <c r="C63" s="11"/>
      <c r="D63" s="20"/>
      <c r="E63" s="170"/>
      <c r="F63" s="125"/>
      <c r="G63" s="126"/>
      <c r="H63" s="43"/>
      <c r="I63" s="38"/>
      <c r="J63" s="64"/>
      <c r="K63" s="38"/>
      <c r="L63" s="64"/>
      <c r="M63" s="63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31"/>
    </row>
    <row r="64" spans="1:68" ht="28.5" customHeight="1" x14ac:dyDescent="0.25">
      <c r="A64"/>
      <c r="B64" s="12" t="s">
        <v>20</v>
      </c>
      <c r="C64" s="12"/>
      <c r="D64" s="21"/>
      <c r="E64" s="169"/>
      <c r="F64" s="328" t="str">
        <f ca="1">_xll.DBRA(Server&amp;$B$22,$B64,"French")</f>
        <v>MARGE sur coûts directs de formation</v>
      </c>
      <c r="G64" s="329"/>
      <c r="H64" s="330"/>
      <c r="I64" s="117"/>
      <c r="J64" s="118" t="str">
        <f ca="1">_xll.DBRW(Server&amp;Cube1,$H$13,$H$14,$H$15,$J$1,$J$2,$H$16,$B64)</f>
        <v/>
      </c>
      <c r="K64" s="117"/>
      <c r="L64" s="118" t="str">
        <f ca="1">_xll.DBRW(Server&amp;Cube1,$H$13,$H$14,$H$15,$L$1,$L$2,$H$16,$B64)</f>
        <v/>
      </c>
      <c r="M64" s="119"/>
      <c r="N64" s="118" t="str">
        <f ca="1">_xll.DBRW(Server&amp;Cube1,$H$13,$H$14,$H$15,$P$1,N$2,$H$16,$B64)</f>
        <v>*KEY_ERR</v>
      </c>
      <c r="O64" s="120"/>
      <c r="P64" s="118" t="str">
        <f ca="1">_xll.DBRW(Server&amp;Cube1,$H$13,$P$3,$H$15,$P$1,P$2,$H$16,$B64)</f>
        <v>*KEY_ERR</v>
      </c>
      <c r="Q64" s="121" t="str">
        <f ca="1">_xll.DBRW(Server&amp;Cube1,$H$13,$P$3,$H$15,$H$17,Q$1,$H$16,$B64)</f>
        <v>*KEY_ERR</v>
      </c>
      <c r="R64" s="122" t="str">
        <f ca="1">_xll.DBRW(Server&amp;Cube1,$H$13,$P$3,$H$15,$H$17,R$1,$H$16,$B64)</f>
        <v>*KEY_ERR</v>
      </c>
      <c r="S64" s="122" t="str">
        <f ca="1">_xll.DBRW(Server&amp;Cube1,$H$13,$P$3,$H$15,$H$17,S$1,$H$16,$B64)</f>
        <v>*KEY_ERR</v>
      </c>
      <c r="T64" s="122" t="str">
        <f ca="1">_xll.DBRW(Server&amp;Cube1,$H$13,$P$3,$H$15,$H$17,T$1,$H$16,$B64)</f>
        <v>*KEY_ERR</v>
      </c>
      <c r="U64" s="122" t="str">
        <f ca="1">_xll.DBRW(Server&amp;Cube1,$H$13,$P$3,$H$15,$H$17,U$1,$H$16,$B64)</f>
        <v>*KEY_ERR</v>
      </c>
      <c r="V64" s="122" t="str">
        <f ca="1">_xll.DBRW(Server&amp;Cube1,$H$13,$P$3,$H$15,$H$17,V$1,$H$16,$B64)</f>
        <v>*KEY_ERR</v>
      </c>
      <c r="W64" s="122" t="str">
        <f ca="1">_xll.DBRW(Server&amp;Cube1,$H$13,$P$3,$H$15,$H$17,W$1,$H$16,$B64)</f>
        <v>*KEY_ERR</v>
      </c>
      <c r="X64" s="122" t="str">
        <f ca="1">_xll.DBRW(Server&amp;Cube1,$H$13,$P$3,$H$15,$H$17,X$1,$H$16,$B64)</f>
        <v>*KEY_ERR</v>
      </c>
      <c r="Y64" s="122" t="str">
        <f ca="1">_xll.DBRW(Server&amp;Cube1,$H$13,$P$3,$H$15,$H$17,Y$1,$H$16,$B64)</f>
        <v>*KEY_ERR</v>
      </c>
      <c r="Z64" s="122" t="str">
        <f ca="1">_xll.DBRW(Server&amp;Cube1,$H$13,$P$3,$H$15,$H$17,Z$1,$H$16,$B64)</f>
        <v>*KEY_ERR</v>
      </c>
      <c r="AA64" s="122" t="str">
        <f ca="1">_xll.DBRW(Server&amp;Cube1,$H$13,$P$3,$H$15,$H$17,AA$1,$H$16,$B64)</f>
        <v>*KEY_ERR</v>
      </c>
      <c r="AB64" s="191" t="str">
        <f ca="1">_xll.DBRW(Server&amp;Cube1,$H$13,$P$3,$H$15,$H$17,AB$1,$H$16,$B64)</f>
        <v>*KEY_ERR</v>
      </c>
      <c r="AC64" s="192" t="str">
        <f ca="1">_xll.DBRW(Server&amp;Cube1,$H$13,$AC$3,$H$15,$P$1,AC$2,$H$16,$B64)</f>
        <v>*KEY_ERR</v>
      </c>
      <c r="AD64" s="121" t="str">
        <f ca="1">_xll.DBRW(Server&amp;Cube1,$H$13,$AC$3,$H$15,$H$17,AD$1,$H$16,$B64)</f>
        <v>*KEY_ERR</v>
      </c>
      <c r="AE64" s="122" t="str">
        <f ca="1">_xll.DBRW(Server&amp;Cube1,$H$13,$AC$3,$H$15,$H$17,AE$1,$H$16,$B64)</f>
        <v>*KEY_ERR</v>
      </c>
      <c r="AF64" s="122" t="str">
        <f ca="1">_xll.DBRW(Server&amp;Cube1,$H$13,$AC$3,$H$15,$H$17,AF$1,$H$16,$B64)</f>
        <v>*KEY_ERR</v>
      </c>
      <c r="AG64" s="122" t="str">
        <f ca="1">_xll.DBRW(Server&amp;Cube1,$H$13,$AC$3,$H$15,$H$17,AG$1,$H$16,$B64)</f>
        <v>*KEY_ERR</v>
      </c>
      <c r="AH64" s="122" t="str">
        <f ca="1">_xll.DBRW(Server&amp;Cube1,$H$13,$AC$3,$H$15,$H$17,AH$1,$H$16,$B64)</f>
        <v>*KEY_ERR</v>
      </c>
      <c r="AI64" s="122" t="str">
        <f ca="1">_xll.DBRW(Server&amp;Cube1,$H$13,$AC$3,$H$15,$H$17,AI$1,$H$16,$B64)</f>
        <v>*KEY_ERR</v>
      </c>
      <c r="AJ64" s="122" t="str">
        <f ca="1">_xll.DBRW(Server&amp;Cube1,$H$13,$AC$3,$H$15,$H$17,AJ$1,$H$16,$B64)</f>
        <v>*KEY_ERR</v>
      </c>
      <c r="AK64" s="122" t="str">
        <f ca="1">_xll.DBRW(Server&amp;Cube1,$H$13,$AC$3,$H$15,$H$17,AK$1,$H$16,$B64)</f>
        <v>*KEY_ERR</v>
      </c>
      <c r="AL64" s="122" t="str">
        <f ca="1">_xll.DBRW(Server&amp;Cube1,$H$13,$AC$3,$H$15,$H$17,AL$1,$H$16,$B64)</f>
        <v>*KEY_ERR</v>
      </c>
      <c r="AM64" s="122" t="str">
        <f ca="1">_xll.DBRW(Server&amp;Cube1,$H$13,$AC$3,$H$15,$H$17,AM$1,$H$16,$B64)</f>
        <v>*KEY_ERR</v>
      </c>
      <c r="AN64" s="122" t="str">
        <f ca="1">_xll.DBRW(Server&amp;Cube1,$H$13,$AC$3,$H$15,$H$17,AN$1,$H$16,$B64)</f>
        <v>*KEY_ERR</v>
      </c>
      <c r="AO64" s="191" t="str">
        <f ca="1">_xll.DBRW(Server&amp;Cube1,$H$13,$AC$3,$H$15,$H$17,AO$1,$H$16,$B64)</f>
        <v>*KEY_ERR</v>
      </c>
      <c r="AP64" s="192" t="str">
        <f ca="1">_xll.DBRW(Server&amp;Cube1,$H$13,$AP$3,$H$15,$P$1,AP$2,$H$16,$B64)</f>
        <v>*KEY_ERR</v>
      </c>
      <c r="AQ64" s="121" t="str">
        <f ca="1">_xll.DBRW(Server&amp;Cube1,$H$13,$AP$3,$H$15,$H$17,AQ$1,$H$16,$B64)</f>
        <v>*KEY_ERR</v>
      </c>
      <c r="AR64" s="122" t="str">
        <f ca="1">_xll.DBRW(Server&amp;Cube1,$H$13,$AP$3,$H$15,$H$17,AR$1,$H$16,$B64)</f>
        <v>*KEY_ERR</v>
      </c>
      <c r="AS64" s="122" t="str">
        <f ca="1">_xll.DBRW(Server&amp;Cube1,$H$13,$AP$3,$H$15,$H$17,AS$1,$H$16,$B64)</f>
        <v>*KEY_ERR</v>
      </c>
      <c r="AT64" s="122" t="str">
        <f ca="1">_xll.DBRW(Server&amp;Cube1,$H$13,$AP$3,$H$15,$H$17,AT$1,$H$16,$B64)</f>
        <v>*KEY_ERR</v>
      </c>
      <c r="AU64" s="122" t="str">
        <f ca="1">_xll.DBRW(Server&amp;Cube1,$H$13,$AP$3,$H$15,$H$17,AU$1,$H$16,$B64)</f>
        <v>*KEY_ERR</v>
      </c>
      <c r="AV64" s="122" t="str">
        <f ca="1">_xll.DBRW(Server&amp;Cube1,$H$13,$AP$3,$H$15,$H$17,AV$1,$H$16,$B64)</f>
        <v>*KEY_ERR</v>
      </c>
      <c r="AW64" s="122" t="str">
        <f ca="1">_xll.DBRW(Server&amp;Cube1,$H$13,$AP$3,$H$15,$H$17,AW$1,$H$16,$B64)</f>
        <v>*KEY_ERR</v>
      </c>
      <c r="AX64" s="122" t="str">
        <f ca="1">_xll.DBRW(Server&amp;Cube1,$H$13,$AP$3,$H$15,$H$17,AX$1,$H$16,$B64)</f>
        <v>*KEY_ERR</v>
      </c>
      <c r="AY64" s="122" t="str">
        <f ca="1">_xll.DBRW(Server&amp;Cube1,$H$13,$AP$3,$H$15,$H$17,AY$1,$H$16,$B64)</f>
        <v>*KEY_ERR</v>
      </c>
      <c r="AZ64" s="122" t="str">
        <f ca="1">_xll.DBRW(Server&amp;Cube1,$H$13,$AP$3,$H$15,$H$17,AZ$1,$H$16,$B64)</f>
        <v>*KEY_ERR</v>
      </c>
      <c r="BA64" s="122" t="str">
        <f ca="1">_xll.DBRW(Server&amp;Cube1,$H$13,$AP$3,$H$15,$H$17,BA$1,$H$16,$B64)</f>
        <v>*KEY_ERR</v>
      </c>
      <c r="BB64" s="191" t="str">
        <f ca="1">_xll.DBRW(Server&amp;Cube1,$H$13,$AP$3,$H$15,$H$17,BB$1,$H$16,$B64)</f>
        <v>*KEY_ERR</v>
      </c>
      <c r="BC64" s="192" t="str">
        <f ca="1">_xll.DBRW(Server&amp;Cube1,$H$13,$BC$3,$H$15,$P$1,BC$2,$H$16,$B64)</f>
        <v>*KEY_ERR</v>
      </c>
      <c r="BD64" s="121" t="str">
        <f ca="1">_xll.DBRW(Server&amp;Cube1,$H$13,$BC$3,$H$15,$H$17,BD$1,$H$16,$B64)</f>
        <v>*KEY_ERR</v>
      </c>
      <c r="BE64" s="122" t="str">
        <f ca="1">_xll.DBRW(Server&amp;Cube1,$H$13,$BC$3,$H$15,$H$17,BE$1,$H$16,$B64)</f>
        <v>*KEY_ERR</v>
      </c>
      <c r="BF64" s="122" t="str">
        <f ca="1">_xll.DBRW(Server&amp;Cube1,$H$13,$BC$3,$H$15,$H$17,BF$1,$H$16,$B64)</f>
        <v>*KEY_ERR</v>
      </c>
      <c r="BG64" s="122" t="str">
        <f ca="1">_xll.DBRW(Server&amp;Cube1,$H$13,$BC$3,$H$15,$H$17,BG$1,$H$16,$B64)</f>
        <v>*KEY_ERR</v>
      </c>
      <c r="BH64" s="122" t="str">
        <f ca="1">_xll.DBRW(Server&amp;Cube1,$H$13,$BC$3,$H$15,$H$17,BH$1,$H$16,$B64)</f>
        <v>*KEY_ERR</v>
      </c>
      <c r="BI64" s="122" t="str">
        <f ca="1">_xll.DBRW(Server&amp;Cube1,$H$13,$BC$3,$H$15,$H$17,BI$1,$H$16,$B64)</f>
        <v>*KEY_ERR</v>
      </c>
      <c r="BJ64" s="122" t="str">
        <f ca="1">_xll.DBRW(Server&amp;Cube1,$H$13,$BC$3,$H$15,$H$17,BJ$1,$H$16,$B64)</f>
        <v>*KEY_ERR</v>
      </c>
      <c r="BK64" s="122" t="str">
        <f ca="1">_xll.DBRW(Server&amp;Cube1,$H$13,$BC$3,$H$15,$H$17,BK$1,$H$16,$B64)</f>
        <v>*KEY_ERR</v>
      </c>
      <c r="BL64" s="122" t="str">
        <f ca="1">_xll.DBRW(Server&amp;Cube1,$H$13,$BC$3,$H$15,$H$17,BL$1,$H$16,$B64)</f>
        <v>*KEY_ERR</v>
      </c>
      <c r="BM64" s="122" t="str">
        <f ca="1">_xll.DBRW(Server&amp;Cube1,$H$13,$BC$3,$H$15,$H$17,BM$1,$H$16,$B64)</f>
        <v>*KEY_ERR</v>
      </c>
      <c r="BN64" s="122" t="str">
        <f ca="1">_xll.DBRW(Server&amp;Cube1,$H$13,$BC$3,$H$15,$H$17,BN$1,$H$16,$B64)</f>
        <v>*KEY_ERR</v>
      </c>
      <c r="BO64" s="123" t="str">
        <f ca="1">_xll.DBRW(Server&amp;Cube1,$H$13,$BC$3,$H$15,$H$17,BO$1,$H$16,$B64)</f>
        <v>*KEY_ERR</v>
      </c>
      <c r="BP64" s="31"/>
    </row>
    <row r="65" spans="1:68" ht="18" customHeight="1" x14ac:dyDescent="0.25">
      <c r="A65"/>
      <c r="B65" s="11"/>
      <c r="C65" s="11"/>
      <c r="D65" s="20"/>
      <c r="E65" s="170"/>
      <c r="F65" s="106"/>
      <c r="G65" s="43"/>
      <c r="H65" s="76" t="s">
        <v>77</v>
      </c>
      <c r="I65" s="38"/>
      <c r="J65" s="79" t="str">
        <f ca="1">IF(ISERROR(J64/J37),"-",J64/J37)</f>
        <v>-</v>
      </c>
      <c r="K65" s="38"/>
      <c r="L65" s="79" t="str">
        <f ca="1">IF(ISERROR(L64/L37),"-",L64/L37)</f>
        <v>-</v>
      </c>
      <c r="M65" s="77"/>
      <c r="N65" s="79" t="str">
        <f ca="1">IF(ISERROR(N64/N37),"-",N64/N37)</f>
        <v>-</v>
      </c>
      <c r="O65" s="78"/>
      <c r="P65" s="79" t="str">
        <f ca="1">IF(ISERROR(P64/P37),"-",P64/P37)</f>
        <v>-</v>
      </c>
      <c r="Q65" s="79" t="str">
        <f t="shared" ref="Q65:AC65" ca="1" si="0">IF(ISERROR(Q64/Q37),"-",Q64/Q37)</f>
        <v>-</v>
      </c>
      <c r="R65" s="79" t="str">
        <f t="shared" ca="1" si="0"/>
        <v>-</v>
      </c>
      <c r="S65" s="79" t="str">
        <f t="shared" ca="1" si="0"/>
        <v>-</v>
      </c>
      <c r="T65" s="79" t="str">
        <f t="shared" ca="1" si="0"/>
        <v>-</v>
      </c>
      <c r="U65" s="79" t="str">
        <f t="shared" ca="1" si="0"/>
        <v>-</v>
      </c>
      <c r="V65" s="79" t="str">
        <f t="shared" ca="1" si="0"/>
        <v>-</v>
      </c>
      <c r="W65" s="79" t="str">
        <f t="shared" ca="1" si="0"/>
        <v>-</v>
      </c>
      <c r="X65" s="79" t="str">
        <f t="shared" ca="1" si="0"/>
        <v>-</v>
      </c>
      <c r="Y65" s="79" t="str">
        <f t="shared" ca="1" si="0"/>
        <v>-</v>
      </c>
      <c r="Z65" s="79" t="str">
        <f t="shared" ca="1" si="0"/>
        <v>-</v>
      </c>
      <c r="AA65" s="79" t="str">
        <f t="shared" ca="1" si="0"/>
        <v>-</v>
      </c>
      <c r="AB65" s="79" t="str">
        <f t="shared" ca="1" si="0"/>
        <v>-</v>
      </c>
      <c r="AC65" s="79" t="str">
        <f t="shared" ca="1" si="0"/>
        <v>-</v>
      </c>
      <c r="AD65" s="79" t="str">
        <f t="shared" ref="AD65:AP65" ca="1" si="1">IF(ISERROR(AD64/AD37),"-",AD64/AD37)</f>
        <v>-</v>
      </c>
      <c r="AE65" s="79" t="str">
        <f t="shared" ca="1" si="1"/>
        <v>-</v>
      </c>
      <c r="AF65" s="79" t="str">
        <f t="shared" ca="1" si="1"/>
        <v>-</v>
      </c>
      <c r="AG65" s="79" t="str">
        <f t="shared" ca="1" si="1"/>
        <v>-</v>
      </c>
      <c r="AH65" s="79" t="str">
        <f t="shared" ca="1" si="1"/>
        <v>-</v>
      </c>
      <c r="AI65" s="79" t="str">
        <f t="shared" ca="1" si="1"/>
        <v>-</v>
      </c>
      <c r="AJ65" s="79" t="str">
        <f t="shared" ca="1" si="1"/>
        <v>-</v>
      </c>
      <c r="AK65" s="79" t="str">
        <f t="shared" ca="1" si="1"/>
        <v>-</v>
      </c>
      <c r="AL65" s="79" t="str">
        <f t="shared" ca="1" si="1"/>
        <v>-</v>
      </c>
      <c r="AM65" s="79" t="str">
        <f t="shared" ca="1" si="1"/>
        <v>-</v>
      </c>
      <c r="AN65" s="79" t="str">
        <f t="shared" ca="1" si="1"/>
        <v>-</v>
      </c>
      <c r="AO65" s="193" t="str">
        <f t="shared" ca="1" si="1"/>
        <v>-</v>
      </c>
      <c r="AP65" s="195" t="str">
        <f t="shared" ca="1" si="1"/>
        <v>-</v>
      </c>
      <c r="AQ65" s="79" t="str">
        <f t="shared" ref="AQ65:BC65" ca="1" si="2">IF(ISERROR(AQ64/AQ37),"-",AQ64/AQ37)</f>
        <v>-</v>
      </c>
      <c r="AR65" s="79" t="str">
        <f t="shared" ca="1" si="2"/>
        <v>-</v>
      </c>
      <c r="AS65" s="79" t="str">
        <f t="shared" ca="1" si="2"/>
        <v>-</v>
      </c>
      <c r="AT65" s="79" t="str">
        <f t="shared" ca="1" si="2"/>
        <v>-</v>
      </c>
      <c r="AU65" s="79" t="str">
        <f t="shared" ca="1" si="2"/>
        <v>-</v>
      </c>
      <c r="AV65" s="79" t="str">
        <f t="shared" ca="1" si="2"/>
        <v>-</v>
      </c>
      <c r="AW65" s="79" t="str">
        <f t="shared" ca="1" si="2"/>
        <v>-</v>
      </c>
      <c r="AX65" s="79" t="str">
        <f t="shared" ca="1" si="2"/>
        <v>-</v>
      </c>
      <c r="AY65" s="79" t="str">
        <f t="shared" ca="1" si="2"/>
        <v>-</v>
      </c>
      <c r="AZ65" s="79" t="str">
        <f t="shared" ca="1" si="2"/>
        <v>-</v>
      </c>
      <c r="BA65" s="79" t="str">
        <f t="shared" ca="1" si="2"/>
        <v>-</v>
      </c>
      <c r="BB65" s="79" t="str">
        <f t="shared" ca="1" si="2"/>
        <v>-</v>
      </c>
      <c r="BC65" s="79" t="str">
        <f t="shared" ca="1" si="2"/>
        <v>-</v>
      </c>
      <c r="BD65" s="79" t="str">
        <f t="shared" ref="BD65:BO65" ca="1" si="3">IF(ISERROR(BD64/BD37),"-",BD64/BD37)</f>
        <v>-</v>
      </c>
      <c r="BE65" s="79" t="str">
        <f t="shared" ca="1" si="3"/>
        <v>-</v>
      </c>
      <c r="BF65" s="79" t="str">
        <f t="shared" ca="1" si="3"/>
        <v>-</v>
      </c>
      <c r="BG65" s="79" t="str">
        <f t="shared" ca="1" si="3"/>
        <v>-</v>
      </c>
      <c r="BH65" s="79" t="str">
        <f t="shared" ca="1" si="3"/>
        <v>-</v>
      </c>
      <c r="BI65" s="79" t="str">
        <f t="shared" ca="1" si="3"/>
        <v>-</v>
      </c>
      <c r="BJ65" s="79" t="str">
        <f t="shared" ca="1" si="3"/>
        <v>-</v>
      </c>
      <c r="BK65" s="79" t="str">
        <f t="shared" ca="1" si="3"/>
        <v>-</v>
      </c>
      <c r="BL65" s="79" t="str">
        <f t="shared" ca="1" si="3"/>
        <v>-</v>
      </c>
      <c r="BM65" s="79" t="str">
        <f t="shared" ca="1" si="3"/>
        <v>-</v>
      </c>
      <c r="BN65" s="79" t="str">
        <f t="shared" ca="1" si="3"/>
        <v>-</v>
      </c>
      <c r="BO65" s="79" t="str">
        <f t="shared" ca="1" si="3"/>
        <v>-</v>
      </c>
      <c r="BP65" s="31"/>
    </row>
    <row r="66" spans="1:68" ht="9" customHeight="1" x14ac:dyDescent="0.25">
      <c r="A66"/>
      <c r="B66" s="11"/>
      <c r="C66" s="11"/>
      <c r="D66" s="20"/>
      <c r="E66" s="170"/>
      <c r="F66" s="106"/>
      <c r="G66" s="80"/>
      <c r="H66" s="81"/>
      <c r="I66" s="82"/>
      <c r="J66" s="83"/>
      <c r="K66" s="82"/>
      <c r="L66" s="83"/>
      <c r="M66" s="84"/>
      <c r="N66" s="83"/>
      <c r="O66" s="85"/>
      <c r="P66" s="83"/>
      <c r="Q66" s="83"/>
      <c r="R66" s="83"/>
      <c r="S66" s="83"/>
      <c r="T66" s="83"/>
      <c r="U66" s="83"/>
      <c r="V66" s="83"/>
      <c r="W66" s="83"/>
      <c r="X66" s="83"/>
      <c r="Y66" s="83"/>
      <c r="Z66" s="83"/>
      <c r="AA66" s="83"/>
      <c r="AB66" s="83"/>
      <c r="AC66" s="83"/>
      <c r="AD66" s="83"/>
      <c r="AE66" s="83"/>
      <c r="AF66" s="83"/>
      <c r="AG66" s="83"/>
      <c r="AH66" s="83"/>
      <c r="AI66" s="83"/>
      <c r="AJ66" s="83"/>
      <c r="AK66" s="83"/>
      <c r="AL66" s="83"/>
      <c r="AM66" s="83"/>
      <c r="AN66" s="83"/>
      <c r="AO66" s="83"/>
      <c r="AP66" s="83"/>
      <c r="AQ66" s="83"/>
      <c r="AR66" s="83"/>
      <c r="AS66" s="83"/>
      <c r="AT66" s="83"/>
      <c r="AU66" s="83"/>
      <c r="AV66" s="83"/>
      <c r="AW66" s="83"/>
      <c r="AX66" s="83"/>
      <c r="AY66" s="83"/>
      <c r="AZ66" s="83"/>
      <c r="BA66" s="83"/>
      <c r="BB66" s="83"/>
      <c r="BC66" s="83"/>
      <c r="BD66" s="83"/>
      <c r="BE66" s="83"/>
      <c r="BF66" s="83"/>
      <c r="BG66" s="83"/>
      <c r="BH66" s="83"/>
      <c r="BI66" s="83"/>
      <c r="BJ66" s="83"/>
      <c r="BK66" s="83"/>
      <c r="BL66" s="83"/>
      <c r="BM66" s="83"/>
      <c r="BN66" s="83"/>
      <c r="BO66" s="83"/>
      <c r="BP66" s="31"/>
    </row>
    <row r="67" spans="1:68" ht="5.25" customHeight="1" x14ac:dyDescent="0.25">
      <c r="A67"/>
      <c r="B67" s="11"/>
      <c r="C67" s="11"/>
      <c r="D67" s="20"/>
      <c r="E67" s="170"/>
      <c r="F67" s="332"/>
      <c r="G67" s="333"/>
      <c r="H67" s="333"/>
      <c r="I67" s="333"/>
      <c r="J67" s="333"/>
      <c r="K67" s="333"/>
      <c r="L67" s="333"/>
      <c r="M67" s="333"/>
      <c r="N67" s="333"/>
      <c r="O67" s="333"/>
      <c r="P67" s="333"/>
      <c r="Q67" s="333"/>
      <c r="R67" s="333"/>
      <c r="S67" s="333"/>
      <c r="T67" s="333"/>
      <c r="U67" s="333"/>
      <c r="V67" s="333"/>
      <c r="W67" s="333"/>
      <c r="X67" s="333"/>
      <c r="Y67" s="333"/>
      <c r="Z67" s="333"/>
      <c r="AA67" s="333"/>
      <c r="AB67" s="333"/>
      <c r="AC67" s="333"/>
      <c r="AD67" s="333"/>
      <c r="AE67" s="333"/>
      <c r="AF67" s="333"/>
      <c r="AG67" s="333"/>
      <c r="AH67" s="333"/>
      <c r="AI67" s="333"/>
      <c r="AJ67" s="333"/>
      <c r="AK67" s="333"/>
      <c r="AL67" s="333"/>
      <c r="AM67" s="333"/>
      <c r="AN67" s="333"/>
      <c r="AO67" s="333"/>
      <c r="AP67" s="333"/>
      <c r="AQ67" s="333"/>
      <c r="AR67" s="333"/>
      <c r="AS67" s="333"/>
      <c r="AT67" s="333"/>
      <c r="AU67" s="333"/>
      <c r="AV67" s="333"/>
      <c r="AW67" s="333"/>
      <c r="AX67" s="333"/>
      <c r="AY67" s="333"/>
      <c r="AZ67" s="333"/>
      <c r="BA67" s="333"/>
      <c r="BB67" s="333"/>
      <c r="BC67" s="333"/>
      <c r="BD67" s="333"/>
      <c r="BE67" s="333"/>
      <c r="BF67" s="333"/>
      <c r="BG67" s="333"/>
      <c r="BH67" s="333"/>
      <c r="BI67" s="333"/>
      <c r="BJ67" s="333"/>
      <c r="BK67" s="333"/>
      <c r="BL67" s="333"/>
      <c r="BM67" s="333"/>
      <c r="BN67" s="333"/>
      <c r="BO67" s="333"/>
      <c r="BP67" s="31"/>
    </row>
    <row r="68" spans="1:68" ht="18.75" customHeight="1" x14ac:dyDescent="0.25">
      <c r="A68"/>
      <c r="B68" s="11"/>
      <c r="C68" s="11"/>
      <c r="D68" s="20"/>
      <c r="E68" s="170"/>
      <c r="F68" s="106"/>
      <c r="G68" s="43"/>
      <c r="H68" s="43"/>
      <c r="I68" s="38"/>
      <c r="J68" s="62"/>
      <c r="K68" s="38"/>
      <c r="L68" s="62"/>
      <c r="M68" s="63"/>
      <c r="N68" s="64"/>
      <c r="O68" s="64"/>
      <c r="P68" s="64"/>
      <c r="Q68" s="62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6"/>
      <c r="AC68" s="64"/>
      <c r="AD68" s="62"/>
      <c r="AE68" s="65"/>
      <c r="AF68" s="65"/>
      <c r="AG68" s="65"/>
      <c r="AH68" s="65"/>
      <c r="AI68" s="65"/>
      <c r="AJ68" s="65"/>
      <c r="AK68" s="65"/>
      <c r="AL68" s="65"/>
      <c r="AM68" s="65"/>
      <c r="AN68" s="65"/>
      <c r="AO68" s="66"/>
      <c r="AP68" s="64"/>
      <c r="AQ68" s="62"/>
      <c r="AR68" s="65"/>
      <c r="AS68" s="65"/>
      <c r="AT68" s="65"/>
      <c r="AU68" s="65"/>
      <c r="AV68" s="65"/>
      <c r="AW68" s="65"/>
      <c r="AX68" s="65"/>
      <c r="AY68" s="65"/>
      <c r="AZ68" s="65"/>
      <c r="BA68" s="65"/>
      <c r="BB68" s="66"/>
      <c r="BC68" s="64"/>
      <c r="BD68" s="62"/>
      <c r="BE68" s="65"/>
      <c r="BF68" s="65"/>
      <c r="BG68" s="65"/>
      <c r="BH68" s="65"/>
      <c r="BI68" s="65"/>
      <c r="BJ68" s="65"/>
      <c r="BK68" s="65"/>
      <c r="BL68" s="65"/>
      <c r="BM68" s="65"/>
      <c r="BN68" s="65"/>
      <c r="BO68" s="66"/>
      <c r="BP68" s="31"/>
    </row>
    <row r="69" spans="1:68" ht="21" customHeight="1" x14ac:dyDescent="0.25">
      <c r="A69"/>
      <c r="B69" s="12" t="s">
        <v>34</v>
      </c>
      <c r="C69" s="12"/>
      <c r="D69" s="21"/>
      <c r="E69" s="169"/>
      <c r="F69" s="105"/>
      <c r="G69" s="315" t="str">
        <f ca="1">_xll.DBRA(Server&amp;$B$22,$B69,"French")</f>
        <v>Salaires</v>
      </c>
      <c r="H69" s="315" t="str">
        <f ca="1">_xll.DBRA(Server&amp;$B$22,$B69,"French")</f>
        <v>Salaires</v>
      </c>
      <c r="I69" s="39"/>
      <c r="J69" s="67" t="str">
        <f ca="1">_xll.DBRW(Server&amp;Cube1,$H$13,$H$14,$H$15,$J$1,$J$2,$H$16,$B69)</f>
        <v/>
      </c>
      <c r="K69" s="39"/>
      <c r="L69" s="67" t="str">
        <f ca="1">_xll.DBRW(Server&amp;Cube1,$H$13,$H$14,$H$15,$L$1,$L$2,$H$16,$B69)</f>
        <v/>
      </c>
      <c r="M69" s="68"/>
      <c r="N69" s="67" t="str">
        <f ca="1">_xll.DBRW(Server&amp;Cube1,$H$13,$H$14,$H$15,$P$1,N$2,$H$16,$B69)</f>
        <v>*KEY_ERR</v>
      </c>
      <c r="O69" s="69"/>
      <c r="P69" s="67" t="str">
        <f ca="1">_xll.DBRW(Server&amp;Cube1,$H$13,$P$3,$H$15,$P$1,P$2,$H$16,$B69)</f>
        <v>*KEY_ERR</v>
      </c>
      <c r="Q69" s="67" t="str">
        <f ca="1">_xll.DBRW(Server&amp;Cube1,$H$13,$P$3,$H$15,$H$17,Q$1,$H$16,$B69)</f>
        <v>*KEY_ERR</v>
      </c>
      <c r="R69" s="70" t="str">
        <f ca="1">_xll.DBRW(Server&amp;Cube1,$H$13,$P$3,$H$15,$H$17,R$1,$H$16,$B69)</f>
        <v>*KEY_ERR</v>
      </c>
      <c r="S69" s="70" t="str">
        <f ca="1">_xll.DBRW(Server&amp;Cube1,$H$13,$P$3,$H$15,$H$17,S$1,$H$16,$B69)</f>
        <v>*KEY_ERR</v>
      </c>
      <c r="T69" s="70" t="str">
        <f ca="1">_xll.DBRW(Server&amp;Cube1,$H$13,$P$3,$H$15,$H$17,T$1,$H$16,$B69)</f>
        <v>*KEY_ERR</v>
      </c>
      <c r="U69" s="70" t="str">
        <f ca="1">_xll.DBRW(Server&amp;Cube1,$H$13,$P$3,$H$15,$H$17,U$1,$H$16,$B69)</f>
        <v>*KEY_ERR</v>
      </c>
      <c r="V69" s="70" t="str">
        <f ca="1">_xll.DBRW(Server&amp;Cube1,$H$13,$P$3,$H$15,$H$17,V$1,$H$16,$B69)</f>
        <v>*KEY_ERR</v>
      </c>
      <c r="W69" s="70" t="str">
        <f ca="1">_xll.DBRW(Server&amp;Cube1,$H$13,$P$3,$H$15,$H$17,W$1,$H$16,$B69)</f>
        <v>*KEY_ERR</v>
      </c>
      <c r="X69" s="70" t="str">
        <f ca="1">_xll.DBRW(Server&amp;Cube1,$H$13,$P$3,$H$15,$H$17,X$1,$H$16,$B69)</f>
        <v>*KEY_ERR</v>
      </c>
      <c r="Y69" s="70" t="str">
        <f ca="1">_xll.DBRW(Server&amp;Cube1,$H$13,$P$3,$H$15,$H$17,Y$1,$H$16,$B69)</f>
        <v>*KEY_ERR</v>
      </c>
      <c r="Z69" s="70" t="str">
        <f ca="1">_xll.DBRW(Server&amp;Cube1,$H$13,$P$3,$H$15,$H$17,Z$1,$H$16,$B69)</f>
        <v>*KEY_ERR</v>
      </c>
      <c r="AA69" s="70" t="str">
        <f ca="1">_xll.DBRW(Server&amp;Cube1,$H$13,$P$3,$H$15,$H$17,AA$1,$H$16,$B69)</f>
        <v>*KEY_ERR</v>
      </c>
      <c r="AB69" s="71" t="str">
        <f ca="1">_xll.DBRW(Server&amp;Cube1,$H$13,$P$3,$H$15,$H$17,AB$1,$H$16,$B69)</f>
        <v>*KEY_ERR</v>
      </c>
      <c r="AC69" s="185" t="str">
        <f ca="1">_xll.DBRW(Server&amp;Cube1,$H$13,$AC$3,$H$15,$P$1,AC$2,$H$16,$B69)</f>
        <v>*KEY_ERR</v>
      </c>
      <c r="AD69" s="67" t="str">
        <f ca="1">_xll.DBRW(Server&amp;Cube1,$H$13,$AC$3,$H$15,$H$17,AD$1,$H$16,$B69)</f>
        <v>*KEY_ERR</v>
      </c>
      <c r="AE69" s="70" t="str">
        <f ca="1">_xll.DBRW(Server&amp;Cube1,$H$13,$AC$3,$H$15,$H$17,AE$1,$H$16,$B69)</f>
        <v>*KEY_ERR</v>
      </c>
      <c r="AF69" s="70" t="str">
        <f ca="1">_xll.DBRW(Server&amp;Cube1,$H$13,$AC$3,$H$15,$H$17,AF$1,$H$16,$B69)</f>
        <v>*KEY_ERR</v>
      </c>
      <c r="AG69" s="70" t="str">
        <f ca="1">_xll.DBRW(Server&amp;Cube1,$H$13,$AC$3,$H$15,$H$17,AG$1,$H$16,$B69)</f>
        <v>*KEY_ERR</v>
      </c>
      <c r="AH69" s="70" t="str">
        <f ca="1">_xll.DBRW(Server&amp;Cube1,$H$13,$AC$3,$H$15,$H$17,AH$1,$H$16,$B69)</f>
        <v>*KEY_ERR</v>
      </c>
      <c r="AI69" s="70" t="str">
        <f ca="1">_xll.DBRW(Server&amp;Cube1,$H$13,$AC$3,$H$15,$H$17,AI$1,$H$16,$B69)</f>
        <v>*KEY_ERR</v>
      </c>
      <c r="AJ69" s="70" t="str">
        <f ca="1">_xll.DBRW(Server&amp;Cube1,$H$13,$AC$3,$H$15,$H$17,AJ$1,$H$16,$B69)</f>
        <v>*KEY_ERR</v>
      </c>
      <c r="AK69" s="70" t="str">
        <f ca="1">_xll.DBRW(Server&amp;Cube1,$H$13,$AC$3,$H$15,$H$17,AK$1,$H$16,$B69)</f>
        <v>*KEY_ERR</v>
      </c>
      <c r="AL69" s="70" t="str">
        <f ca="1">_xll.DBRW(Server&amp;Cube1,$H$13,$AC$3,$H$15,$H$17,AL$1,$H$16,$B69)</f>
        <v>*KEY_ERR</v>
      </c>
      <c r="AM69" s="70" t="str">
        <f ca="1">_xll.DBRW(Server&amp;Cube1,$H$13,$AC$3,$H$15,$H$17,AM$1,$H$16,$B69)</f>
        <v>*KEY_ERR</v>
      </c>
      <c r="AN69" s="70" t="str">
        <f ca="1">_xll.DBRW(Server&amp;Cube1,$H$13,$AC$3,$H$15,$H$17,AN$1,$H$16,$B69)</f>
        <v>*KEY_ERR</v>
      </c>
      <c r="AO69" s="71" t="str">
        <f ca="1">_xll.DBRW(Server&amp;Cube1,$H$13,$AC$3,$H$15,$H$17,AO$1,$H$16,$B69)</f>
        <v>*KEY_ERR</v>
      </c>
      <c r="AP69" s="185" t="str">
        <f ca="1">_xll.DBRW(Server&amp;Cube1,$H$13,$AP$3,$H$15,$P$1,AP$2,$H$16,$B69)</f>
        <v>*KEY_ERR</v>
      </c>
      <c r="AQ69" s="67" t="str">
        <f ca="1">_xll.DBRW(Server&amp;Cube1,$H$13,$AP$3,$H$15,$H$17,AQ$1,$H$16,$B69)</f>
        <v>*KEY_ERR</v>
      </c>
      <c r="AR69" s="70" t="str">
        <f ca="1">_xll.DBRW(Server&amp;Cube1,$H$13,$AP$3,$H$15,$H$17,AR$1,$H$16,$B69)</f>
        <v>*KEY_ERR</v>
      </c>
      <c r="AS69" s="70" t="str">
        <f ca="1">_xll.DBRW(Server&amp;Cube1,$H$13,$AP$3,$H$15,$H$17,AS$1,$H$16,$B69)</f>
        <v>*KEY_ERR</v>
      </c>
      <c r="AT69" s="70" t="str">
        <f ca="1">_xll.DBRW(Server&amp;Cube1,$H$13,$AP$3,$H$15,$H$17,AT$1,$H$16,$B69)</f>
        <v>*KEY_ERR</v>
      </c>
      <c r="AU69" s="70" t="str">
        <f ca="1">_xll.DBRW(Server&amp;Cube1,$H$13,$AP$3,$H$15,$H$17,AU$1,$H$16,$B69)</f>
        <v>*KEY_ERR</v>
      </c>
      <c r="AV69" s="70" t="str">
        <f ca="1">_xll.DBRW(Server&amp;Cube1,$H$13,$AP$3,$H$15,$H$17,AV$1,$H$16,$B69)</f>
        <v>*KEY_ERR</v>
      </c>
      <c r="AW69" s="70" t="str">
        <f ca="1">_xll.DBRW(Server&amp;Cube1,$H$13,$AP$3,$H$15,$H$17,AW$1,$H$16,$B69)</f>
        <v>*KEY_ERR</v>
      </c>
      <c r="AX69" s="70" t="str">
        <f ca="1">_xll.DBRW(Server&amp;Cube1,$H$13,$AP$3,$H$15,$H$17,AX$1,$H$16,$B69)</f>
        <v>*KEY_ERR</v>
      </c>
      <c r="AY69" s="70" t="str">
        <f ca="1">_xll.DBRW(Server&amp;Cube1,$H$13,$AP$3,$H$15,$H$17,AY$1,$H$16,$B69)</f>
        <v>*KEY_ERR</v>
      </c>
      <c r="AZ69" s="70" t="str">
        <f ca="1">_xll.DBRW(Server&amp;Cube1,$H$13,$AP$3,$H$15,$H$17,AZ$1,$H$16,$B69)</f>
        <v>*KEY_ERR</v>
      </c>
      <c r="BA69" s="70" t="str">
        <f ca="1">_xll.DBRW(Server&amp;Cube1,$H$13,$AP$3,$H$15,$H$17,BA$1,$H$16,$B69)</f>
        <v>*KEY_ERR</v>
      </c>
      <c r="BB69" s="71" t="str">
        <f ca="1">_xll.DBRW(Server&amp;Cube1,$H$13,$AP$3,$H$15,$H$17,BB$1,$H$16,$B69)</f>
        <v>*KEY_ERR</v>
      </c>
      <c r="BC69" s="185" t="str">
        <f ca="1">_xll.DBRW(Server&amp;Cube1,$H$13,$BC$3,$H$15,$P$1,BC$2,$H$16,$B69)</f>
        <v>*KEY_ERR</v>
      </c>
      <c r="BD69" s="67" t="str">
        <f ca="1">_xll.DBRW(Server&amp;Cube1,$H$13,$BC$3,$H$15,$H$17,BD$1,$H$16,$B69)</f>
        <v>*KEY_ERR</v>
      </c>
      <c r="BE69" s="70" t="str">
        <f ca="1">_xll.DBRW(Server&amp;Cube1,$H$13,$BC$3,$H$15,$H$17,BE$1,$H$16,$B69)</f>
        <v>*KEY_ERR</v>
      </c>
      <c r="BF69" s="70" t="str">
        <f ca="1">_xll.DBRW(Server&amp;Cube1,$H$13,$BC$3,$H$15,$H$17,BF$1,$H$16,$B69)</f>
        <v>*KEY_ERR</v>
      </c>
      <c r="BG69" s="70" t="str">
        <f ca="1">_xll.DBRW(Server&amp;Cube1,$H$13,$BC$3,$H$15,$H$17,BG$1,$H$16,$B69)</f>
        <v>*KEY_ERR</v>
      </c>
      <c r="BH69" s="70" t="str">
        <f ca="1">_xll.DBRW(Server&amp;Cube1,$H$13,$BC$3,$H$15,$H$17,BH$1,$H$16,$B69)</f>
        <v>*KEY_ERR</v>
      </c>
      <c r="BI69" s="70" t="str">
        <f ca="1">_xll.DBRW(Server&amp;Cube1,$H$13,$BC$3,$H$15,$H$17,BI$1,$H$16,$B69)</f>
        <v>*KEY_ERR</v>
      </c>
      <c r="BJ69" s="70" t="str">
        <f ca="1">_xll.DBRW(Server&amp;Cube1,$H$13,$BC$3,$H$15,$H$17,BJ$1,$H$16,$B69)</f>
        <v>*KEY_ERR</v>
      </c>
      <c r="BK69" s="70" t="str">
        <f ca="1">_xll.DBRW(Server&amp;Cube1,$H$13,$BC$3,$H$15,$H$17,BK$1,$H$16,$B69)</f>
        <v>*KEY_ERR</v>
      </c>
      <c r="BL69" s="70" t="str">
        <f ca="1">_xll.DBRW(Server&amp;Cube1,$H$13,$BC$3,$H$15,$H$17,BL$1,$H$16,$B69)</f>
        <v>*KEY_ERR</v>
      </c>
      <c r="BM69" s="70" t="str">
        <f ca="1">_xll.DBRW(Server&amp;Cube1,$H$13,$BC$3,$H$15,$H$17,BM$1,$H$16,$B69)</f>
        <v>*KEY_ERR</v>
      </c>
      <c r="BN69" s="70" t="str">
        <f ca="1">_xll.DBRW(Server&amp;Cube1,$H$13,$BC$3,$H$15,$H$17,BN$1,$H$16,$B69)</f>
        <v>*KEY_ERR</v>
      </c>
      <c r="BO69" s="71" t="str">
        <f ca="1">_xll.DBRW(Server&amp;Cube1,$H$13,$BC$3,$H$15,$H$17,BO$1,$H$16,$B69)</f>
        <v>*KEY_ERR</v>
      </c>
      <c r="BP69" s="31"/>
    </row>
    <row r="70" spans="1:68" ht="21" customHeight="1" x14ac:dyDescent="0.25">
      <c r="A70"/>
      <c r="B70" s="13" t="s">
        <v>35</v>
      </c>
      <c r="C70" s="13"/>
      <c r="D70" s="22"/>
      <c r="E70" s="171"/>
      <c r="F70" s="107"/>
      <c r="G70" s="305" t="str">
        <f ca="1">_xll.DBRA(Server&amp;$B$22,$B70,"French")</f>
        <v>Personnel intérimaire</v>
      </c>
      <c r="H70" s="305" t="str">
        <f ca="1">_xll.DBRA(Server&amp;$B$22,$B70,"French")</f>
        <v>Personnel intérimaire</v>
      </c>
      <c r="I70" s="37"/>
      <c r="J70" s="54" t="str">
        <f ca="1">_xll.DBRW(Server&amp;Cube1,$H$13,$H$14,$H$15,$J$1,$J$2,$H$16,$B70)</f>
        <v/>
      </c>
      <c r="K70" s="37"/>
      <c r="L70" s="54" t="str">
        <f ca="1">_xll.DBRW(Server&amp;Cube1,$H$13,$H$14,$H$15,$L$1,$L$2,$H$16,$B70)</f>
        <v/>
      </c>
      <c r="M70" s="55"/>
      <c r="N70" s="54" t="str">
        <f ca="1">_xll.DBRW(Server&amp;Cube1,$H$13,$H$14,$H$15,$P$1,N$2,$H$16,$B70)</f>
        <v>*KEY_ERR</v>
      </c>
      <c r="O70" s="57"/>
      <c r="P70" s="54" t="str">
        <f ca="1">_xll.DBRW(Server&amp;Cube1,$H$13,$P$3,$H$15,$P$1,P$2,$H$16,$B70)</f>
        <v>*KEY_ERR</v>
      </c>
      <c r="Q70" s="54" t="str">
        <f ca="1">_xll.DBRW(Server&amp;Cube1,$H$13,$P$3,$H$15,$H$17,Q$1,$H$16,$B70)</f>
        <v>*KEY_ERR</v>
      </c>
      <c r="R70" s="58" t="str">
        <f ca="1">_xll.DBRW(Server&amp;Cube1,$H$13,$P$3,$H$15,$H$17,R$1,$H$16,$B70)</f>
        <v>*KEY_ERR</v>
      </c>
      <c r="S70" s="58" t="str">
        <f ca="1">_xll.DBRW(Server&amp;Cube1,$H$13,$P$3,$H$15,$H$17,S$1,$H$16,$B70)</f>
        <v>*KEY_ERR</v>
      </c>
      <c r="T70" s="58" t="str">
        <f ca="1">_xll.DBRW(Server&amp;Cube1,$H$13,$P$3,$H$15,$H$17,T$1,$H$16,$B70)</f>
        <v>*KEY_ERR</v>
      </c>
      <c r="U70" s="58" t="str">
        <f ca="1">_xll.DBRW(Server&amp;Cube1,$H$13,$P$3,$H$15,$H$17,U$1,$H$16,$B70)</f>
        <v>*KEY_ERR</v>
      </c>
      <c r="V70" s="58" t="str">
        <f ca="1">_xll.DBRW(Server&amp;Cube1,$H$13,$P$3,$H$15,$H$17,V$1,$H$16,$B70)</f>
        <v>*KEY_ERR</v>
      </c>
      <c r="W70" s="58" t="str">
        <f ca="1">_xll.DBRW(Server&amp;Cube1,$H$13,$P$3,$H$15,$H$17,W$1,$H$16,$B70)</f>
        <v>*KEY_ERR</v>
      </c>
      <c r="X70" s="58" t="str">
        <f ca="1">_xll.DBRW(Server&amp;Cube1,$H$13,$P$3,$H$15,$H$17,X$1,$H$16,$B70)</f>
        <v>*KEY_ERR</v>
      </c>
      <c r="Y70" s="58" t="str">
        <f ca="1">_xll.DBRW(Server&amp;Cube1,$H$13,$P$3,$H$15,$H$17,Y$1,$H$16,$B70)</f>
        <v>*KEY_ERR</v>
      </c>
      <c r="Z70" s="58" t="str">
        <f ca="1">_xll.DBRW(Server&amp;Cube1,$H$13,$P$3,$H$15,$H$17,Z$1,$H$16,$B70)</f>
        <v>*KEY_ERR</v>
      </c>
      <c r="AA70" s="58" t="str">
        <f ca="1">_xll.DBRW(Server&amp;Cube1,$H$13,$P$3,$H$15,$H$17,AA$1,$H$16,$B70)</f>
        <v>*KEY_ERR</v>
      </c>
      <c r="AB70" s="59" t="str">
        <f ca="1">_xll.DBRW(Server&amp;Cube1,$H$13,$P$3,$H$15,$H$17,AB$1,$H$16,$B70)</f>
        <v>*KEY_ERR</v>
      </c>
      <c r="AC70" s="187" t="str">
        <f ca="1">_xll.DBRW(Server&amp;Cube1,$H$13,$AC$3,$H$15,$P$1,AC$2,$H$16,$B70)</f>
        <v>*KEY_ERR</v>
      </c>
      <c r="AD70" s="54" t="str">
        <f ca="1">_xll.DBRW(Server&amp;Cube1,$H$13,$AC$3,$H$15,$H$17,AD$1,$H$16,$B70)</f>
        <v>*KEY_ERR</v>
      </c>
      <c r="AE70" s="58" t="str">
        <f ca="1">_xll.DBRW(Server&amp;Cube1,$H$13,$AC$3,$H$15,$H$17,AE$1,$H$16,$B70)</f>
        <v>*KEY_ERR</v>
      </c>
      <c r="AF70" s="58" t="str">
        <f ca="1">_xll.DBRW(Server&amp;Cube1,$H$13,$AC$3,$H$15,$H$17,AF$1,$H$16,$B70)</f>
        <v>*KEY_ERR</v>
      </c>
      <c r="AG70" s="58" t="str">
        <f ca="1">_xll.DBRW(Server&amp;Cube1,$H$13,$AC$3,$H$15,$H$17,AG$1,$H$16,$B70)</f>
        <v>*KEY_ERR</v>
      </c>
      <c r="AH70" s="58" t="str">
        <f ca="1">_xll.DBRW(Server&amp;Cube1,$H$13,$AC$3,$H$15,$H$17,AH$1,$H$16,$B70)</f>
        <v>*KEY_ERR</v>
      </c>
      <c r="AI70" s="58" t="str">
        <f ca="1">_xll.DBRW(Server&amp;Cube1,$H$13,$AC$3,$H$15,$H$17,AI$1,$H$16,$B70)</f>
        <v>*KEY_ERR</v>
      </c>
      <c r="AJ70" s="58" t="str">
        <f ca="1">_xll.DBRW(Server&amp;Cube1,$H$13,$AC$3,$H$15,$H$17,AJ$1,$H$16,$B70)</f>
        <v>*KEY_ERR</v>
      </c>
      <c r="AK70" s="58" t="str">
        <f ca="1">_xll.DBRW(Server&amp;Cube1,$H$13,$AC$3,$H$15,$H$17,AK$1,$H$16,$B70)</f>
        <v>*KEY_ERR</v>
      </c>
      <c r="AL70" s="58" t="str">
        <f ca="1">_xll.DBRW(Server&amp;Cube1,$H$13,$AC$3,$H$15,$H$17,AL$1,$H$16,$B70)</f>
        <v>*KEY_ERR</v>
      </c>
      <c r="AM70" s="58" t="str">
        <f ca="1">_xll.DBRW(Server&amp;Cube1,$H$13,$AC$3,$H$15,$H$17,AM$1,$H$16,$B70)</f>
        <v>*KEY_ERR</v>
      </c>
      <c r="AN70" s="58" t="str">
        <f ca="1">_xll.DBRW(Server&amp;Cube1,$H$13,$AC$3,$H$15,$H$17,AN$1,$H$16,$B70)</f>
        <v>*KEY_ERR</v>
      </c>
      <c r="AO70" s="59" t="str">
        <f ca="1">_xll.DBRW(Server&amp;Cube1,$H$13,$AC$3,$H$15,$H$17,AO$1,$H$16,$B70)</f>
        <v>*KEY_ERR</v>
      </c>
      <c r="AP70" s="187" t="str">
        <f ca="1">_xll.DBRW(Server&amp;Cube1,$H$13,$AP$3,$H$15,$P$1,AP$2,$H$16,$B70)</f>
        <v>*KEY_ERR</v>
      </c>
      <c r="AQ70" s="54" t="str">
        <f ca="1">_xll.DBRW(Server&amp;Cube1,$H$13,$AP$3,$H$15,$H$17,AQ$1,$H$16,$B70)</f>
        <v>*KEY_ERR</v>
      </c>
      <c r="AR70" s="58" t="str">
        <f ca="1">_xll.DBRW(Server&amp;Cube1,$H$13,$AP$3,$H$15,$H$17,AR$1,$H$16,$B70)</f>
        <v>*KEY_ERR</v>
      </c>
      <c r="AS70" s="58" t="str">
        <f ca="1">_xll.DBRW(Server&amp;Cube1,$H$13,$AP$3,$H$15,$H$17,AS$1,$H$16,$B70)</f>
        <v>*KEY_ERR</v>
      </c>
      <c r="AT70" s="58" t="str">
        <f ca="1">_xll.DBRW(Server&amp;Cube1,$H$13,$AP$3,$H$15,$H$17,AT$1,$H$16,$B70)</f>
        <v>*KEY_ERR</v>
      </c>
      <c r="AU70" s="58" t="str">
        <f ca="1">_xll.DBRW(Server&amp;Cube1,$H$13,$AP$3,$H$15,$H$17,AU$1,$H$16,$B70)</f>
        <v>*KEY_ERR</v>
      </c>
      <c r="AV70" s="58" t="str">
        <f ca="1">_xll.DBRW(Server&amp;Cube1,$H$13,$AP$3,$H$15,$H$17,AV$1,$H$16,$B70)</f>
        <v>*KEY_ERR</v>
      </c>
      <c r="AW70" s="58" t="str">
        <f ca="1">_xll.DBRW(Server&amp;Cube1,$H$13,$AP$3,$H$15,$H$17,AW$1,$H$16,$B70)</f>
        <v>*KEY_ERR</v>
      </c>
      <c r="AX70" s="58" t="str">
        <f ca="1">_xll.DBRW(Server&amp;Cube1,$H$13,$AP$3,$H$15,$H$17,AX$1,$H$16,$B70)</f>
        <v>*KEY_ERR</v>
      </c>
      <c r="AY70" s="58" t="str">
        <f ca="1">_xll.DBRW(Server&amp;Cube1,$H$13,$AP$3,$H$15,$H$17,AY$1,$H$16,$B70)</f>
        <v>*KEY_ERR</v>
      </c>
      <c r="AZ70" s="58" t="str">
        <f ca="1">_xll.DBRW(Server&amp;Cube1,$H$13,$AP$3,$H$15,$H$17,AZ$1,$H$16,$B70)</f>
        <v>*KEY_ERR</v>
      </c>
      <c r="BA70" s="58" t="str">
        <f ca="1">_xll.DBRW(Server&amp;Cube1,$H$13,$AP$3,$H$15,$H$17,BA$1,$H$16,$B70)</f>
        <v>*KEY_ERR</v>
      </c>
      <c r="BB70" s="59" t="str">
        <f ca="1">_xll.DBRW(Server&amp;Cube1,$H$13,$AP$3,$H$15,$H$17,BB$1,$H$16,$B70)</f>
        <v>*KEY_ERR</v>
      </c>
      <c r="BC70" s="187" t="str">
        <f ca="1">_xll.DBRW(Server&amp;Cube1,$H$13,$BC$3,$H$15,$P$1,BC$2,$H$16,$B70)</f>
        <v>*KEY_ERR</v>
      </c>
      <c r="BD70" s="54" t="str">
        <f ca="1">_xll.DBRW(Server&amp;Cube1,$H$13,$BC$3,$H$15,$H$17,BD$1,$H$16,$B70)</f>
        <v>*KEY_ERR</v>
      </c>
      <c r="BE70" s="58" t="str">
        <f ca="1">_xll.DBRW(Server&amp;Cube1,$H$13,$BC$3,$H$15,$H$17,BE$1,$H$16,$B70)</f>
        <v>*KEY_ERR</v>
      </c>
      <c r="BF70" s="58" t="str">
        <f ca="1">_xll.DBRW(Server&amp;Cube1,$H$13,$BC$3,$H$15,$H$17,BF$1,$H$16,$B70)</f>
        <v>*KEY_ERR</v>
      </c>
      <c r="BG70" s="58" t="str">
        <f ca="1">_xll.DBRW(Server&amp;Cube1,$H$13,$BC$3,$H$15,$H$17,BG$1,$H$16,$B70)</f>
        <v>*KEY_ERR</v>
      </c>
      <c r="BH70" s="58" t="str">
        <f ca="1">_xll.DBRW(Server&amp;Cube1,$H$13,$BC$3,$H$15,$H$17,BH$1,$H$16,$B70)</f>
        <v>*KEY_ERR</v>
      </c>
      <c r="BI70" s="58" t="str">
        <f ca="1">_xll.DBRW(Server&amp;Cube1,$H$13,$BC$3,$H$15,$H$17,BI$1,$H$16,$B70)</f>
        <v>*KEY_ERR</v>
      </c>
      <c r="BJ70" s="58" t="str">
        <f ca="1">_xll.DBRW(Server&amp;Cube1,$H$13,$BC$3,$H$15,$H$17,BJ$1,$H$16,$B70)</f>
        <v>*KEY_ERR</v>
      </c>
      <c r="BK70" s="58" t="str">
        <f ca="1">_xll.DBRW(Server&amp;Cube1,$H$13,$BC$3,$H$15,$H$17,BK$1,$H$16,$B70)</f>
        <v>*KEY_ERR</v>
      </c>
      <c r="BL70" s="58" t="str">
        <f ca="1">_xll.DBRW(Server&amp;Cube1,$H$13,$BC$3,$H$15,$H$17,BL$1,$H$16,$B70)</f>
        <v>*KEY_ERR</v>
      </c>
      <c r="BM70" s="58" t="str">
        <f ca="1">_xll.DBRW(Server&amp;Cube1,$H$13,$BC$3,$H$15,$H$17,BM$1,$H$16,$B70)</f>
        <v>*KEY_ERR</v>
      </c>
      <c r="BN70" s="58" t="str">
        <f ca="1">_xll.DBRW(Server&amp;Cube1,$H$13,$BC$3,$H$15,$H$17,BN$1,$H$16,$B70)</f>
        <v>*KEY_ERR</v>
      </c>
      <c r="BO70" s="59" t="str">
        <f ca="1">_xll.DBRW(Server&amp;Cube1,$H$13,$BC$3,$H$15,$H$17,BO$1,$H$16,$B70)</f>
        <v>*KEY_ERR</v>
      </c>
      <c r="BP70" s="31"/>
    </row>
    <row r="71" spans="1:68" ht="21" customHeight="1" x14ac:dyDescent="0.25">
      <c r="A71"/>
      <c r="B71" s="13" t="s">
        <v>36</v>
      </c>
      <c r="C71" s="13"/>
      <c r="D71" s="22"/>
      <c r="E71" s="171"/>
      <c r="F71" s="107"/>
      <c r="G71" s="305" t="str">
        <f ca="1">_xll.DBRA(Server&amp;$B$22,$B71,"French")</f>
        <v>PMAD Salaires Total</v>
      </c>
      <c r="H71" s="305" t="str">
        <f ca="1">_xll.DBRA(Server&amp;$B$22,$B71,"French")</f>
        <v>PMAD Salaires Total</v>
      </c>
      <c r="I71" s="37"/>
      <c r="J71" s="54" t="str">
        <f ca="1">_xll.DBRW(Server&amp;Cube1,$H$13,$H$14,$H$15,$J$1,$J$2,$H$16,$B71)</f>
        <v/>
      </c>
      <c r="K71" s="37"/>
      <c r="L71" s="54" t="str">
        <f ca="1">_xll.DBRW(Server&amp;Cube1,$H$13,$H$14,$H$15,$L$1,$L$2,$H$16,$B71)</f>
        <v/>
      </c>
      <c r="M71" s="55"/>
      <c r="N71" s="54" t="str">
        <f ca="1">_xll.DBRW(Server&amp;Cube1,$H$13,$H$14,$H$15,$P$1,N$2,$H$16,$B71)</f>
        <v>*KEY_ERR</v>
      </c>
      <c r="O71" s="57"/>
      <c r="P71" s="54" t="str">
        <f ca="1">_xll.DBRW(Server&amp;Cube1,$H$13,$P$3,$H$15,$P$1,P$2,$H$16,$B71)</f>
        <v>*KEY_ERR</v>
      </c>
      <c r="Q71" s="54" t="str">
        <f ca="1">_xll.DBRW(Server&amp;Cube1,$H$13,$P$3,$H$15,$H$17,Q$1,$H$16,$B71)</f>
        <v>*KEY_ERR</v>
      </c>
      <c r="R71" s="58" t="str">
        <f ca="1">_xll.DBRW(Server&amp;Cube1,$H$13,$P$3,$H$15,$H$17,R$1,$H$16,$B71)</f>
        <v>*KEY_ERR</v>
      </c>
      <c r="S71" s="58" t="str">
        <f ca="1">_xll.DBRW(Server&amp;Cube1,$H$13,$P$3,$H$15,$H$17,S$1,$H$16,$B71)</f>
        <v>*KEY_ERR</v>
      </c>
      <c r="T71" s="58" t="str">
        <f ca="1">_xll.DBRW(Server&amp;Cube1,$H$13,$P$3,$H$15,$H$17,T$1,$H$16,$B71)</f>
        <v>*KEY_ERR</v>
      </c>
      <c r="U71" s="58" t="str">
        <f ca="1">_xll.DBRW(Server&amp;Cube1,$H$13,$P$3,$H$15,$H$17,U$1,$H$16,$B71)</f>
        <v>*KEY_ERR</v>
      </c>
      <c r="V71" s="58" t="str">
        <f ca="1">_xll.DBRW(Server&amp;Cube1,$H$13,$P$3,$H$15,$H$17,V$1,$H$16,$B71)</f>
        <v>*KEY_ERR</v>
      </c>
      <c r="W71" s="58" t="str">
        <f ca="1">_xll.DBRW(Server&amp;Cube1,$H$13,$P$3,$H$15,$H$17,W$1,$H$16,$B71)</f>
        <v>*KEY_ERR</v>
      </c>
      <c r="X71" s="58" t="str">
        <f ca="1">_xll.DBRW(Server&amp;Cube1,$H$13,$P$3,$H$15,$H$17,X$1,$H$16,$B71)</f>
        <v>*KEY_ERR</v>
      </c>
      <c r="Y71" s="58" t="str">
        <f ca="1">_xll.DBRW(Server&amp;Cube1,$H$13,$P$3,$H$15,$H$17,Y$1,$H$16,$B71)</f>
        <v>*KEY_ERR</v>
      </c>
      <c r="Z71" s="58" t="str">
        <f ca="1">_xll.DBRW(Server&amp;Cube1,$H$13,$P$3,$H$15,$H$17,Z$1,$H$16,$B71)</f>
        <v>*KEY_ERR</v>
      </c>
      <c r="AA71" s="58" t="str">
        <f ca="1">_xll.DBRW(Server&amp;Cube1,$H$13,$P$3,$H$15,$H$17,AA$1,$H$16,$B71)</f>
        <v>*KEY_ERR</v>
      </c>
      <c r="AB71" s="59" t="str">
        <f ca="1">_xll.DBRW(Server&amp;Cube1,$H$13,$P$3,$H$15,$H$17,AB$1,$H$16,$B71)</f>
        <v>*KEY_ERR</v>
      </c>
      <c r="AC71" s="187" t="str">
        <f ca="1">_xll.DBRW(Server&amp;Cube1,$H$13,$AC$3,$H$15,$P$1,AC$2,$H$16,$B71)</f>
        <v>*KEY_ERR</v>
      </c>
      <c r="AD71" s="54" t="str">
        <f ca="1">_xll.DBRW(Server&amp;Cube1,$H$13,$AC$3,$H$15,$H$17,AD$1,$H$16,$B71)</f>
        <v>*KEY_ERR</v>
      </c>
      <c r="AE71" s="58" t="str">
        <f ca="1">_xll.DBRW(Server&amp;Cube1,$H$13,$AC$3,$H$15,$H$17,AE$1,$H$16,$B71)</f>
        <v>*KEY_ERR</v>
      </c>
      <c r="AF71" s="58" t="str">
        <f ca="1">_xll.DBRW(Server&amp;Cube1,$H$13,$AC$3,$H$15,$H$17,AF$1,$H$16,$B71)</f>
        <v>*KEY_ERR</v>
      </c>
      <c r="AG71" s="58" t="str">
        <f ca="1">_xll.DBRW(Server&amp;Cube1,$H$13,$AC$3,$H$15,$H$17,AG$1,$H$16,$B71)</f>
        <v>*KEY_ERR</v>
      </c>
      <c r="AH71" s="58" t="str">
        <f ca="1">_xll.DBRW(Server&amp;Cube1,$H$13,$AC$3,$H$15,$H$17,AH$1,$H$16,$B71)</f>
        <v>*KEY_ERR</v>
      </c>
      <c r="AI71" s="58" t="str">
        <f ca="1">_xll.DBRW(Server&amp;Cube1,$H$13,$AC$3,$H$15,$H$17,AI$1,$H$16,$B71)</f>
        <v>*KEY_ERR</v>
      </c>
      <c r="AJ71" s="58" t="str">
        <f ca="1">_xll.DBRW(Server&amp;Cube1,$H$13,$AC$3,$H$15,$H$17,AJ$1,$H$16,$B71)</f>
        <v>*KEY_ERR</v>
      </c>
      <c r="AK71" s="58" t="str">
        <f ca="1">_xll.DBRW(Server&amp;Cube1,$H$13,$AC$3,$H$15,$H$17,AK$1,$H$16,$B71)</f>
        <v>*KEY_ERR</v>
      </c>
      <c r="AL71" s="58" t="str">
        <f ca="1">_xll.DBRW(Server&amp;Cube1,$H$13,$AC$3,$H$15,$H$17,AL$1,$H$16,$B71)</f>
        <v>*KEY_ERR</v>
      </c>
      <c r="AM71" s="58" t="str">
        <f ca="1">_xll.DBRW(Server&amp;Cube1,$H$13,$AC$3,$H$15,$H$17,AM$1,$H$16,$B71)</f>
        <v>*KEY_ERR</v>
      </c>
      <c r="AN71" s="58" t="str">
        <f ca="1">_xll.DBRW(Server&amp;Cube1,$H$13,$AC$3,$H$15,$H$17,AN$1,$H$16,$B71)</f>
        <v>*KEY_ERR</v>
      </c>
      <c r="AO71" s="59" t="str">
        <f ca="1">_xll.DBRW(Server&amp;Cube1,$H$13,$AC$3,$H$15,$H$17,AO$1,$H$16,$B71)</f>
        <v>*KEY_ERR</v>
      </c>
      <c r="AP71" s="187" t="str">
        <f ca="1">_xll.DBRW(Server&amp;Cube1,$H$13,$AP$3,$H$15,$P$1,AP$2,$H$16,$B71)</f>
        <v>*KEY_ERR</v>
      </c>
      <c r="AQ71" s="54" t="str">
        <f ca="1">_xll.DBRW(Server&amp;Cube1,$H$13,$AP$3,$H$15,$H$17,AQ$1,$H$16,$B71)</f>
        <v>*KEY_ERR</v>
      </c>
      <c r="AR71" s="58" t="str">
        <f ca="1">_xll.DBRW(Server&amp;Cube1,$H$13,$AP$3,$H$15,$H$17,AR$1,$H$16,$B71)</f>
        <v>*KEY_ERR</v>
      </c>
      <c r="AS71" s="58" t="str">
        <f ca="1">_xll.DBRW(Server&amp;Cube1,$H$13,$AP$3,$H$15,$H$17,AS$1,$H$16,$B71)</f>
        <v>*KEY_ERR</v>
      </c>
      <c r="AT71" s="58" t="str">
        <f ca="1">_xll.DBRW(Server&amp;Cube1,$H$13,$AP$3,$H$15,$H$17,AT$1,$H$16,$B71)</f>
        <v>*KEY_ERR</v>
      </c>
      <c r="AU71" s="58" t="str">
        <f ca="1">_xll.DBRW(Server&amp;Cube1,$H$13,$AP$3,$H$15,$H$17,AU$1,$H$16,$B71)</f>
        <v>*KEY_ERR</v>
      </c>
      <c r="AV71" s="58" t="str">
        <f ca="1">_xll.DBRW(Server&amp;Cube1,$H$13,$AP$3,$H$15,$H$17,AV$1,$H$16,$B71)</f>
        <v>*KEY_ERR</v>
      </c>
      <c r="AW71" s="58" t="str">
        <f ca="1">_xll.DBRW(Server&amp;Cube1,$H$13,$AP$3,$H$15,$H$17,AW$1,$H$16,$B71)</f>
        <v>*KEY_ERR</v>
      </c>
      <c r="AX71" s="58" t="str">
        <f ca="1">_xll.DBRW(Server&amp;Cube1,$H$13,$AP$3,$H$15,$H$17,AX$1,$H$16,$B71)</f>
        <v>*KEY_ERR</v>
      </c>
      <c r="AY71" s="58" t="str">
        <f ca="1">_xll.DBRW(Server&amp;Cube1,$H$13,$AP$3,$H$15,$H$17,AY$1,$H$16,$B71)</f>
        <v>*KEY_ERR</v>
      </c>
      <c r="AZ71" s="58" t="str">
        <f ca="1">_xll.DBRW(Server&amp;Cube1,$H$13,$AP$3,$H$15,$H$17,AZ$1,$H$16,$B71)</f>
        <v>*KEY_ERR</v>
      </c>
      <c r="BA71" s="58" t="str">
        <f ca="1">_xll.DBRW(Server&amp;Cube1,$H$13,$AP$3,$H$15,$H$17,BA$1,$H$16,$B71)</f>
        <v>*KEY_ERR</v>
      </c>
      <c r="BB71" s="59" t="str">
        <f ca="1">_xll.DBRW(Server&amp;Cube1,$H$13,$AP$3,$H$15,$H$17,BB$1,$H$16,$B71)</f>
        <v>*KEY_ERR</v>
      </c>
      <c r="BC71" s="187" t="str">
        <f ca="1">_xll.DBRW(Server&amp;Cube1,$H$13,$BC$3,$H$15,$P$1,BC$2,$H$16,$B71)</f>
        <v>*KEY_ERR</v>
      </c>
      <c r="BD71" s="54" t="str">
        <f ca="1">_xll.DBRW(Server&amp;Cube1,$H$13,$BC$3,$H$15,$H$17,BD$1,$H$16,$B71)</f>
        <v>*KEY_ERR</v>
      </c>
      <c r="BE71" s="58" t="str">
        <f ca="1">_xll.DBRW(Server&amp;Cube1,$H$13,$BC$3,$H$15,$H$17,BE$1,$H$16,$B71)</f>
        <v>*KEY_ERR</v>
      </c>
      <c r="BF71" s="58" t="str">
        <f ca="1">_xll.DBRW(Server&amp;Cube1,$H$13,$BC$3,$H$15,$H$17,BF$1,$H$16,$B71)</f>
        <v>*KEY_ERR</v>
      </c>
      <c r="BG71" s="58" t="str">
        <f ca="1">_xll.DBRW(Server&amp;Cube1,$H$13,$BC$3,$H$15,$H$17,BG$1,$H$16,$B71)</f>
        <v>*KEY_ERR</v>
      </c>
      <c r="BH71" s="58" t="str">
        <f ca="1">_xll.DBRW(Server&amp;Cube1,$H$13,$BC$3,$H$15,$H$17,BH$1,$H$16,$B71)</f>
        <v>*KEY_ERR</v>
      </c>
      <c r="BI71" s="58" t="str">
        <f ca="1">_xll.DBRW(Server&amp;Cube1,$H$13,$BC$3,$H$15,$H$17,BI$1,$H$16,$B71)</f>
        <v>*KEY_ERR</v>
      </c>
      <c r="BJ71" s="58" t="str">
        <f ca="1">_xll.DBRW(Server&amp;Cube1,$H$13,$BC$3,$H$15,$H$17,BJ$1,$H$16,$B71)</f>
        <v>*KEY_ERR</v>
      </c>
      <c r="BK71" s="58" t="str">
        <f ca="1">_xll.DBRW(Server&amp;Cube1,$H$13,$BC$3,$H$15,$H$17,BK$1,$H$16,$B71)</f>
        <v>*KEY_ERR</v>
      </c>
      <c r="BL71" s="58" t="str">
        <f ca="1">_xll.DBRW(Server&amp;Cube1,$H$13,$BC$3,$H$15,$H$17,BL$1,$H$16,$B71)</f>
        <v>*KEY_ERR</v>
      </c>
      <c r="BM71" s="58" t="str">
        <f ca="1">_xll.DBRW(Server&amp;Cube1,$H$13,$BC$3,$H$15,$H$17,BM$1,$H$16,$B71)</f>
        <v>*KEY_ERR</v>
      </c>
      <c r="BN71" s="58" t="str">
        <f ca="1">_xll.DBRW(Server&amp;Cube1,$H$13,$BC$3,$H$15,$H$17,BN$1,$H$16,$B71)</f>
        <v>*KEY_ERR</v>
      </c>
      <c r="BO71" s="59" t="str">
        <f ca="1">_xll.DBRW(Server&amp;Cube1,$H$13,$BC$3,$H$15,$H$17,BO$1,$H$16,$B71)</f>
        <v>*KEY_ERR</v>
      </c>
      <c r="BP71" s="31"/>
    </row>
    <row r="72" spans="1:68" ht="3.75" customHeight="1" x14ac:dyDescent="0.25">
      <c r="A72"/>
      <c r="B72" s="11"/>
      <c r="C72" s="11"/>
      <c r="D72" s="20"/>
      <c r="E72" s="170"/>
      <c r="F72" s="106"/>
      <c r="G72" s="43"/>
      <c r="H72" s="43"/>
      <c r="I72" s="38"/>
      <c r="J72" s="62"/>
      <c r="K72" s="38"/>
      <c r="L72" s="62"/>
      <c r="M72" s="63"/>
      <c r="N72" s="62"/>
      <c r="O72" s="64"/>
      <c r="P72" s="62"/>
      <c r="Q72" s="62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6"/>
      <c r="AC72" s="186"/>
      <c r="AD72" s="62"/>
      <c r="AE72" s="65"/>
      <c r="AF72" s="65"/>
      <c r="AG72" s="65"/>
      <c r="AH72" s="65"/>
      <c r="AI72" s="65"/>
      <c r="AJ72" s="65"/>
      <c r="AK72" s="65"/>
      <c r="AL72" s="65"/>
      <c r="AM72" s="65"/>
      <c r="AN72" s="65"/>
      <c r="AO72" s="66"/>
      <c r="AP72" s="186"/>
      <c r="AQ72" s="62"/>
      <c r="AR72" s="65"/>
      <c r="AS72" s="65"/>
      <c r="AT72" s="65"/>
      <c r="AU72" s="65"/>
      <c r="AV72" s="65"/>
      <c r="AW72" s="65"/>
      <c r="AX72" s="65"/>
      <c r="AY72" s="65"/>
      <c r="AZ72" s="65"/>
      <c r="BA72" s="65"/>
      <c r="BB72" s="66"/>
      <c r="BC72" s="186"/>
      <c r="BD72" s="62"/>
      <c r="BE72" s="65"/>
      <c r="BF72" s="65"/>
      <c r="BG72" s="65"/>
      <c r="BH72" s="65"/>
      <c r="BI72" s="65"/>
      <c r="BJ72" s="65"/>
      <c r="BK72" s="65"/>
      <c r="BL72" s="65"/>
      <c r="BM72" s="65"/>
      <c r="BN72" s="65"/>
      <c r="BO72" s="66"/>
      <c r="BP72" s="31"/>
    </row>
    <row r="73" spans="1:68" ht="6.75" customHeight="1" x14ac:dyDescent="0.25">
      <c r="A73"/>
      <c r="B73" s="11"/>
      <c r="C73" s="11"/>
      <c r="D73" s="20"/>
      <c r="E73" s="170"/>
      <c r="F73" s="106"/>
      <c r="G73" s="43"/>
      <c r="H73" s="43"/>
      <c r="I73" s="38"/>
      <c r="J73" s="62"/>
      <c r="K73" s="38"/>
      <c r="L73" s="62"/>
      <c r="M73" s="63"/>
      <c r="N73" s="62"/>
      <c r="O73" s="64"/>
      <c r="P73" s="62"/>
      <c r="Q73" s="62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6"/>
      <c r="AC73" s="186"/>
      <c r="AD73" s="62"/>
      <c r="AE73" s="65"/>
      <c r="AF73" s="65"/>
      <c r="AG73" s="65"/>
      <c r="AH73" s="65"/>
      <c r="AI73" s="65"/>
      <c r="AJ73" s="65"/>
      <c r="AK73" s="65"/>
      <c r="AL73" s="65"/>
      <c r="AM73" s="65"/>
      <c r="AN73" s="65"/>
      <c r="AO73" s="66"/>
      <c r="AP73" s="186"/>
      <c r="AQ73" s="62"/>
      <c r="AR73" s="65"/>
      <c r="AS73" s="65"/>
      <c r="AT73" s="65"/>
      <c r="AU73" s="65"/>
      <c r="AV73" s="65"/>
      <c r="AW73" s="65"/>
      <c r="AX73" s="65"/>
      <c r="AY73" s="65"/>
      <c r="AZ73" s="65"/>
      <c r="BA73" s="65"/>
      <c r="BB73" s="66"/>
      <c r="BC73" s="186"/>
      <c r="BD73" s="62"/>
      <c r="BE73" s="65"/>
      <c r="BF73" s="65"/>
      <c r="BG73" s="65"/>
      <c r="BH73" s="65"/>
      <c r="BI73" s="65"/>
      <c r="BJ73" s="65"/>
      <c r="BK73" s="65"/>
      <c r="BL73" s="65"/>
      <c r="BM73" s="65"/>
      <c r="BN73" s="65"/>
      <c r="BO73" s="66"/>
      <c r="BP73" s="31"/>
    </row>
    <row r="74" spans="1:68" ht="21" customHeight="1" x14ac:dyDescent="0.25">
      <c r="A74"/>
      <c r="B74" s="12" t="s">
        <v>39</v>
      </c>
      <c r="C74" s="12"/>
      <c r="D74" s="21"/>
      <c r="E74" s="169"/>
      <c r="F74" s="105"/>
      <c r="G74" s="315" t="str">
        <f ca="1">_xll.DBRA(Server&amp;$B$22,$B74,"French")</f>
        <v/>
      </c>
      <c r="H74" s="315" t="str">
        <f ca="1">_xll.DBRA(Server&amp;$B$22,$B74,"French")</f>
        <v/>
      </c>
      <c r="I74" s="39"/>
      <c r="J74" s="67" t="str">
        <f ca="1">_xll.DBRW(Server&amp;Cube1,$H$13,$H$14,$H$15,$J$1,$J$2,$H$16,$B74)</f>
        <v/>
      </c>
      <c r="K74" s="39"/>
      <c r="L74" s="67" t="str">
        <f ca="1">_xll.DBRW(Server&amp;Cube1,$H$13,$H$14,$H$15,$L$1,$L$2,$H$16,$B74)</f>
        <v/>
      </c>
      <c r="M74" s="68"/>
      <c r="N74" s="67" t="str">
        <f ca="1">_xll.DBRW(Server&amp;Cube1,$H$13,$H$14,$H$15,$P$1,N$2,$H$16,$B74)</f>
        <v>*KEY_ERR</v>
      </c>
      <c r="O74" s="69"/>
      <c r="P74" s="67" t="str">
        <f ca="1">_xll.DBRW(Server&amp;Cube1,$H$13,$P$3,$H$15,$P$1,P$2,$H$16,$B74)</f>
        <v>*KEY_ERR</v>
      </c>
      <c r="Q74" s="67" t="str">
        <f ca="1">_xll.DBRW(Server&amp;Cube1,$H$13,$P$3,$H$15,$H$17,Q$1,$H$16,$B74)</f>
        <v>*KEY_ERR</v>
      </c>
      <c r="R74" s="70" t="str">
        <f ca="1">_xll.DBRW(Server&amp;Cube1,$H$13,$P$3,$H$15,$H$17,R$1,$H$16,$B74)</f>
        <v>*KEY_ERR</v>
      </c>
      <c r="S74" s="70" t="str">
        <f ca="1">_xll.DBRW(Server&amp;Cube1,$H$13,$P$3,$H$15,$H$17,S$1,$H$16,$B74)</f>
        <v>*KEY_ERR</v>
      </c>
      <c r="T74" s="70" t="str">
        <f ca="1">_xll.DBRW(Server&amp;Cube1,$H$13,$P$3,$H$15,$H$17,T$1,$H$16,$B74)</f>
        <v>*KEY_ERR</v>
      </c>
      <c r="U74" s="70" t="str">
        <f ca="1">_xll.DBRW(Server&amp;Cube1,$H$13,$P$3,$H$15,$H$17,U$1,$H$16,$B74)</f>
        <v>*KEY_ERR</v>
      </c>
      <c r="V74" s="70" t="str">
        <f ca="1">_xll.DBRW(Server&amp;Cube1,$H$13,$P$3,$H$15,$H$17,V$1,$H$16,$B74)</f>
        <v>*KEY_ERR</v>
      </c>
      <c r="W74" s="70" t="str">
        <f ca="1">_xll.DBRW(Server&amp;Cube1,$H$13,$P$3,$H$15,$H$17,W$1,$H$16,$B74)</f>
        <v>*KEY_ERR</v>
      </c>
      <c r="X74" s="70" t="str">
        <f ca="1">_xll.DBRW(Server&amp;Cube1,$H$13,$P$3,$H$15,$H$17,X$1,$H$16,$B74)</f>
        <v>*KEY_ERR</v>
      </c>
      <c r="Y74" s="70" t="str">
        <f ca="1">_xll.DBRW(Server&amp;Cube1,$H$13,$P$3,$H$15,$H$17,Y$1,$H$16,$B74)</f>
        <v>*KEY_ERR</v>
      </c>
      <c r="Z74" s="70" t="str">
        <f ca="1">_xll.DBRW(Server&amp;Cube1,$H$13,$P$3,$H$15,$H$17,Z$1,$H$16,$B74)</f>
        <v>*KEY_ERR</v>
      </c>
      <c r="AA74" s="70" t="str">
        <f ca="1">_xll.DBRW(Server&amp;Cube1,$H$13,$P$3,$H$15,$H$17,AA$1,$H$16,$B74)</f>
        <v>*KEY_ERR</v>
      </c>
      <c r="AB74" s="71" t="str">
        <f ca="1">_xll.DBRW(Server&amp;Cube1,$H$13,$P$3,$H$15,$H$17,AB$1,$H$16,$B74)</f>
        <v>*KEY_ERR</v>
      </c>
      <c r="AC74" s="185" t="str">
        <f ca="1">_xll.DBRW(Server&amp;Cube1,$H$13,$AC$3,$H$15,$P$1,AC$2,$H$16,$B74)</f>
        <v>*KEY_ERR</v>
      </c>
      <c r="AD74" s="67" t="str">
        <f ca="1">_xll.DBRW(Server&amp;Cube1,$H$13,$AC$3,$H$15,$H$17,AD$1,$H$16,$B74)</f>
        <v>*KEY_ERR</v>
      </c>
      <c r="AE74" s="70" t="str">
        <f ca="1">_xll.DBRW(Server&amp;Cube1,$H$13,$AC$3,$H$15,$H$17,AE$1,$H$16,$B74)</f>
        <v>*KEY_ERR</v>
      </c>
      <c r="AF74" s="70" t="str">
        <f ca="1">_xll.DBRW(Server&amp;Cube1,$H$13,$AC$3,$H$15,$H$17,AF$1,$H$16,$B74)</f>
        <v>*KEY_ERR</v>
      </c>
      <c r="AG74" s="70" t="str">
        <f ca="1">_xll.DBRW(Server&amp;Cube1,$H$13,$AC$3,$H$15,$H$17,AG$1,$H$16,$B74)</f>
        <v>*KEY_ERR</v>
      </c>
      <c r="AH74" s="70" t="str">
        <f ca="1">_xll.DBRW(Server&amp;Cube1,$H$13,$AC$3,$H$15,$H$17,AH$1,$H$16,$B74)</f>
        <v>*KEY_ERR</v>
      </c>
      <c r="AI74" s="70" t="str">
        <f ca="1">_xll.DBRW(Server&amp;Cube1,$H$13,$AC$3,$H$15,$H$17,AI$1,$H$16,$B74)</f>
        <v>*KEY_ERR</v>
      </c>
      <c r="AJ74" s="70" t="str">
        <f ca="1">_xll.DBRW(Server&amp;Cube1,$H$13,$AC$3,$H$15,$H$17,AJ$1,$H$16,$B74)</f>
        <v>*KEY_ERR</v>
      </c>
      <c r="AK74" s="70" t="str">
        <f ca="1">_xll.DBRW(Server&amp;Cube1,$H$13,$AC$3,$H$15,$H$17,AK$1,$H$16,$B74)</f>
        <v>*KEY_ERR</v>
      </c>
      <c r="AL74" s="70" t="str">
        <f ca="1">_xll.DBRW(Server&amp;Cube1,$H$13,$AC$3,$H$15,$H$17,AL$1,$H$16,$B74)</f>
        <v>*KEY_ERR</v>
      </c>
      <c r="AM74" s="70" t="str">
        <f ca="1">_xll.DBRW(Server&amp;Cube1,$H$13,$AC$3,$H$15,$H$17,AM$1,$H$16,$B74)</f>
        <v>*KEY_ERR</v>
      </c>
      <c r="AN74" s="70" t="str">
        <f ca="1">_xll.DBRW(Server&amp;Cube1,$H$13,$AC$3,$H$15,$H$17,AN$1,$H$16,$B74)</f>
        <v>*KEY_ERR</v>
      </c>
      <c r="AO74" s="71" t="str">
        <f ca="1">_xll.DBRW(Server&amp;Cube1,$H$13,$AC$3,$H$15,$H$17,AO$1,$H$16,$B74)</f>
        <v>*KEY_ERR</v>
      </c>
      <c r="AP74" s="185" t="str">
        <f ca="1">_xll.DBRW(Server&amp;Cube1,$H$13,$AP$3,$H$15,$P$1,AP$2,$H$16,$B74)</f>
        <v>*KEY_ERR</v>
      </c>
      <c r="AQ74" s="67" t="str">
        <f ca="1">_xll.DBRW(Server&amp;Cube1,$H$13,$AP$3,$H$15,$H$17,AQ$1,$H$16,$B74)</f>
        <v>*KEY_ERR</v>
      </c>
      <c r="AR74" s="70" t="str">
        <f ca="1">_xll.DBRW(Server&amp;Cube1,$H$13,$AP$3,$H$15,$H$17,AR$1,$H$16,$B74)</f>
        <v>*KEY_ERR</v>
      </c>
      <c r="AS74" s="70" t="str">
        <f ca="1">_xll.DBRW(Server&amp;Cube1,$H$13,$AP$3,$H$15,$H$17,AS$1,$H$16,$B74)</f>
        <v>*KEY_ERR</v>
      </c>
      <c r="AT74" s="70" t="str">
        <f ca="1">_xll.DBRW(Server&amp;Cube1,$H$13,$AP$3,$H$15,$H$17,AT$1,$H$16,$B74)</f>
        <v>*KEY_ERR</v>
      </c>
      <c r="AU74" s="70" t="str">
        <f ca="1">_xll.DBRW(Server&amp;Cube1,$H$13,$AP$3,$H$15,$H$17,AU$1,$H$16,$B74)</f>
        <v>*KEY_ERR</v>
      </c>
      <c r="AV74" s="70" t="str">
        <f ca="1">_xll.DBRW(Server&amp;Cube1,$H$13,$AP$3,$H$15,$H$17,AV$1,$H$16,$B74)</f>
        <v>*KEY_ERR</v>
      </c>
      <c r="AW74" s="70" t="str">
        <f ca="1">_xll.DBRW(Server&amp;Cube1,$H$13,$AP$3,$H$15,$H$17,AW$1,$H$16,$B74)</f>
        <v>*KEY_ERR</v>
      </c>
      <c r="AX74" s="70" t="str">
        <f ca="1">_xll.DBRW(Server&amp;Cube1,$H$13,$AP$3,$H$15,$H$17,AX$1,$H$16,$B74)</f>
        <v>*KEY_ERR</v>
      </c>
      <c r="AY74" s="70" t="str">
        <f ca="1">_xll.DBRW(Server&amp;Cube1,$H$13,$AP$3,$H$15,$H$17,AY$1,$H$16,$B74)</f>
        <v>*KEY_ERR</v>
      </c>
      <c r="AZ74" s="70" t="str">
        <f ca="1">_xll.DBRW(Server&amp;Cube1,$H$13,$AP$3,$H$15,$H$17,AZ$1,$H$16,$B74)</f>
        <v>*KEY_ERR</v>
      </c>
      <c r="BA74" s="70" t="str">
        <f ca="1">_xll.DBRW(Server&amp;Cube1,$H$13,$AP$3,$H$15,$H$17,BA$1,$H$16,$B74)</f>
        <v>*KEY_ERR</v>
      </c>
      <c r="BB74" s="71" t="str">
        <f ca="1">_xll.DBRW(Server&amp;Cube1,$H$13,$AP$3,$H$15,$H$17,BB$1,$H$16,$B74)</f>
        <v>*KEY_ERR</v>
      </c>
      <c r="BC74" s="185" t="str">
        <f ca="1">_xll.DBRW(Server&amp;Cube1,$H$13,$BC$3,$H$15,$P$1,BC$2,$H$16,$B74)</f>
        <v>*KEY_ERR</v>
      </c>
      <c r="BD74" s="67" t="str">
        <f ca="1">_xll.DBRW(Server&amp;Cube1,$H$13,$BC$3,$H$15,$H$17,BD$1,$H$16,$B74)</f>
        <v>*KEY_ERR</v>
      </c>
      <c r="BE74" s="70" t="str">
        <f ca="1">_xll.DBRW(Server&amp;Cube1,$H$13,$BC$3,$H$15,$H$17,BE$1,$H$16,$B74)</f>
        <v>*KEY_ERR</v>
      </c>
      <c r="BF74" s="70" t="str">
        <f ca="1">_xll.DBRW(Server&amp;Cube1,$H$13,$BC$3,$H$15,$H$17,BF$1,$H$16,$B74)</f>
        <v>*KEY_ERR</v>
      </c>
      <c r="BG74" s="70" t="str">
        <f ca="1">_xll.DBRW(Server&amp;Cube1,$H$13,$BC$3,$H$15,$H$17,BG$1,$H$16,$B74)</f>
        <v>*KEY_ERR</v>
      </c>
      <c r="BH74" s="70" t="str">
        <f ca="1">_xll.DBRW(Server&amp;Cube1,$H$13,$BC$3,$H$15,$H$17,BH$1,$H$16,$B74)</f>
        <v>*KEY_ERR</v>
      </c>
      <c r="BI74" s="70" t="str">
        <f ca="1">_xll.DBRW(Server&amp;Cube1,$H$13,$BC$3,$H$15,$H$17,BI$1,$H$16,$B74)</f>
        <v>*KEY_ERR</v>
      </c>
      <c r="BJ74" s="70" t="str">
        <f ca="1">_xll.DBRW(Server&amp;Cube1,$H$13,$BC$3,$H$15,$H$17,BJ$1,$H$16,$B74)</f>
        <v>*KEY_ERR</v>
      </c>
      <c r="BK74" s="70" t="str">
        <f ca="1">_xll.DBRW(Server&amp;Cube1,$H$13,$BC$3,$H$15,$H$17,BK$1,$H$16,$B74)</f>
        <v>*KEY_ERR</v>
      </c>
      <c r="BL74" s="70" t="str">
        <f ca="1">_xll.DBRW(Server&amp;Cube1,$H$13,$BC$3,$H$15,$H$17,BL$1,$H$16,$B74)</f>
        <v>*KEY_ERR</v>
      </c>
      <c r="BM74" s="70" t="str">
        <f ca="1">_xll.DBRW(Server&amp;Cube1,$H$13,$BC$3,$H$15,$H$17,BM$1,$H$16,$B74)</f>
        <v>*KEY_ERR</v>
      </c>
      <c r="BN74" s="70" t="str">
        <f ca="1">_xll.DBRW(Server&amp;Cube1,$H$13,$BC$3,$H$15,$H$17,BN$1,$H$16,$B74)</f>
        <v>*KEY_ERR</v>
      </c>
      <c r="BO74" s="71" t="str">
        <f ca="1">_xll.DBRW(Server&amp;Cube1,$H$13,$BC$3,$H$15,$H$17,BO$1,$H$16,$B74)</f>
        <v>*KEY_ERR</v>
      </c>
      <c r="BP74" s="31"/>
    </row>
    <row r="75" spans="1:68" ht="21" customHeight="1" x14ac:dyDescent="0.25">
      <c r="A75"/>
      <c r="B75" s="13" t="s">
        <v>40</v>
      </c>
      <c r="C75" s="13"/>
      <c r="D75" s="22"/>
      <c r="E75" s="171"/>
      <c r="F75" s="107"/>
      <c r="G75" s="305" t="str">
        <f ca="1">_xll.DBRA(Server&amp;$B$22,$B75,"French")</f>
        <v>Total Maintenance Informatique Pack Finance</v>
      </c>
      <c r="H75" s="305" t="str">
        <f ca="1">_xll.DBRA(Server&amp;$B$22,$B75,"French")</f>
        <v>Total Maintenance Informatique Pack Finance</v>
      </c>
      <c r="I75" s="37"/>
      <c r="J75" s="54" t="str">
        <f ca="1">_xll.DBRW(Server&amp;Cube1,$H$13,$H$14,$H$15,$J$1,$J$2,$H$16,$B75)</f>
        <v/>
      </c>
      <c r="K75" s="37"/>
      <c r="L75" s="54" t="str">
        <f ca="1">_xll.DBRW(Server&amp;Cube1,$H$13,$H$14,$H$15,$L$1,$L$2,$H$16,$B75)</f>
        <v/>
      </c>
      <c r="M75" s="55"/>
      <c r="N75" s="54" t="str">
        <f ca="1">_xll.DBRW(Server&amp;Cube1,$H$13,$H$14,$H$15,$P$1,N$2,$H$16,$B75)</f>
        <v>*KEY_ERR</v>
      </c>
      <c r="O75" s="57"/>
      <c r="P75" s="54" t="str">
        <f ca="1">_xll.DBRW(Server&amp;Cube1,$H$13,$P$3,$H$15,$P$1,P$2,$H$16,$B75)</f>
        <v>*KEY_ERR</v>
      </c>
      <c r="Q75" s="54" t="str">
        <f ca="1">_xll.DBRW(Server&amp;Cube1,$H$13,$P$3,$H$15,$H$17,Q$1,$H$16,$B75)</f>
        <v>*KEY_ERR</v>
      </c>
      <c r="R75" s="58" t="str">
        <f ca="1">_xll.DBRW(Server&amp;Cube1,$H$13,$P$3,$H$15,$H$17,R$1,$H$16,$B75)</f>
        <v>*KEY_ERR</v>
      </c>
      <c r="S75" s="58" t="str">
        <f ca="1">_xll.DBRW(Server&amp;Cube1,$H$13,$P$3,$H$15,$H$17,S$1,$H$16,$B75)</f>
        <v>*KEY_ERR</v>
      </c>
      <c r="T75" s="58" t="str">
        <f ca="1">_xll.DBRW(Server&amp;Cube1,$H$13,$P$3,$H$15,$H$17,T$1,$H$16,$B75)</f>
        <v>*KEY_ERR</v>
      </c>
      <c r="U75" s="58" t="str">
        <f ca="1">_xll.DBRW(Server&amp;Cube1,$H$13,$P$3,$H$15,$H$17,U$1,$H$16,$B75)</f>
        <v>*KEY_ERR</v>
      </c>
      <c r="V75" s="58" t="str">
        <f ca="1">_xll.DBRW(Server&amp;Cube1,$H$13,$P$3,$H$15,$H$17,V$1,$H$16,$B75)</f>
        <v>*KEY_ERR</v>
      </c>
      <c r="W75" s="58" t="str">
        <f ca="1">_xll.DBRW(Server&amp;Cube1,$H$13,$P$3,$H$15,$H$17,W$1,$H$16,$B75)</f>
        <v>*KEY_ERR</v>
      </c>
      <c r="X75" s="58" t="str">
        <f ca="1">_xll.DBRW(Server&amp;Cube1,$H$13,$P$3,$H$15,$H$17,X$1,$H$16,$B75)</f>
        <v>*KEY_ERR</v>
      </c>
      <c r="Y75" s="58" t="str">
        <f ca="1">_xll.DBRW(Server&amp;Cube1,$H$13,$P$3,$H$15,$H$17,Y$1,$H$16,$B75)</f>
        <v>*KEY_ERR</v>
      </c>
      <c r="Z75" s="58" t="str">
        <f ca="1">_xll.DBRW(Server&amp;Cube1,$H$13,$P$3,$H$15,$H$17,Z$1,$H$16,$B75)</f>
        <v>*KEY_ERR</v>
      </c>
      <c r="AA75" s="58" t="str">
        <f ca="1">_xll.DBRW(Server&amp;Cube1,$H$13,$P$3,$H$15,$H$17,AA$1,$H$16,$B75)</f>
        <v>*KEY_ERR</v>
      </c>
      <c r="AB75" s="59" t="str">
        <f ca="1">_xll.DBRW(Server&amp;Cube1,$H$13,$P$3,$H$15,$H$17,AB$1,$H$16,$B75)</f>
        <v>*KEY_ERR</v>
      </c>
      <c r="AC75" s="187" t="str">
        <f ca="1">_xll.DBRW(Server&amp;Cube1,$H$13,$AC$3,$H$15,$P$1,AC$2,$H$16,$B75)</f>
        <v>*KEY_ERR</v>
      </c>
      <c r="AD75" s="54" t="str">
        <f ca="1">_xll.DBRW(Server&amp;Cube1,$H$13,$AC$3,$H$15,$H$17,AD$1,$H$16,$B75)</f>
        <v>*KEY_ERR</v>
      </c>
      <c r="AE75" s="58" t="str">
        <f ca="1">_xll.DBRW(Server&amp;Cube1,$H$13,$AC$3,$H$15,$H$17,AE$1,$H$16,$B75)</f>
        <v>*KEY_ERR</v>
      </c>
      <c r="AF75" s="58" t="str">
        <f ca="1">_xll.DBRW(Server&amp;Cube1,$H$13,$AC$3,$H$15,$H$17,AF$1,$H$16,$B75)</f>
        <v>*KEY_ERR</v>
      </c>
      <c r="AG75" s="58" t="str">
        <f ca="1">_xll.DBRW(Server&amp;Cube1,$H$13,$AC$3,$H$15,$H$17,AG$1,$H$16,$B75)</f>
        <v>*KEY_ERR</v>
      </c>
      <c r="AH75" s="58" t="str">
        <f ca="1">_xll.DBRW(Server&amp;Cube1,$H$13,$AC$3,$H$15,$H$17,AH$1,$H$16,$B75)</f>
        <v>*KEY_ERR</v>
      </c>
      <c r="AI75" s="58" t="str">
        <f ca="1">_xll.DBRW(Server&amp;Cube1,$H$13,$AC$3,$H$15,$H$17,AI$1,$H$16,$B75)</f>
        <v>*KEY_ERR</v>
      </c>
      <c r="AJ75" s="58" t="str">
        <f ca="1">_xll.DBRW(Server&amp;Cube1,$H$13,$AC$3,$H$15,$H$17,AJ$1,$H$16,$B75)</f>
        <v>*KEY_ERR</v>
      </c>
      <c r="AK75" s="58" t="str">
        <f ca="1">_xll.DBRW(Server&amp;Cube1,$H$13,$AC$3,$H$15,$H$17,AK$1,$H$16,$B75)</f>
        <v>*KEY_ERR</v>
      </c>
      <c r="AL75" s="58" t="str">
        <f ca="1">_xll.DBRW(Server&amp;Cube1,$H$13,$AC$3,$H$15,$H$17,AL$1,$H$16,$B75)</f>
        <v>*KEY_ERR</v>
      </c>
      <c r="AM75" s="58" t="str">
        <f ca="1">_xll.DBRW(Server&amp;Cube1,$H$13,$AC$3,$H$15,$H$17,AM$1,$H$16,$B75)</f>
        <v>*KEY_ERR</v>
      </c>
      <c r="AN75" s="58" t="str">
        <f ca="1">_xll.DBRW(Server&amp;Cube1,$H$13,$AC$3,$H$15,$H$17,AN$1,$H$16,$B75)</f>
        <v>*KEY_ERR</v>
      </c>
      <c r="AO75" s="59" t="str">
        <f ca="1">_xll.DBRW(Server&amp;Cube1,$H$13,$AC$3,$H$15,$H$17,AO$1,$H$16,$B75)</f>
        <v>*KEY_ERR</v>
      </c>
      <c r="AP75" s="187" t="str">
        <f ca="1">_xll.DBRW(Server&amp;Cube1,$H$13,$AP$3,$H$15,$P$1,AP$2,$H$16,$B75)</f>
        <v>*KEY_ERR</v>
      </c>
      <c r="AQ75" s="54" t="str">
        <f ca="1">_xll.DBRW(Server&amp;Cube1,$H$13,$AP$3,$H$15,$H$17,AQ$1,$H$16,$B75)</f>
        <v>*KEY_ERR</v>
      </c>
      <c r="AR75" s="58" t="str">
        <f ca="1">_xll.DBRW(Server&amp;Cube1,$H$13,$AP$3,$H$15,$H$17,AR$1,$H$16,$B75)</f>
        <v>*KEY_ERR</v>
      </c>
      <c r="AS75" s="58" t="str">
        <f ca="1">_xll.DBRW(Server&amp;Cube1,$H$13,$AP$3,$H$15,$H$17,AS$1,$H$16,$B75)</f>
        <v>*KEY_ERR</v>
      </c>
      <c r="AT75" s="58" t="str">
        <f ca="1">_xll.DBRW(Server&amp;Cube1,$H$13,$AP$3,$H$15,$H$17,AT$1,$H$16,$B75)</f>
        <v>*KEY_ERR</v>
      </c>
      <c r="AU75" s="58" t="str">
        <f ca="1">_xll.DBRW(Server&amp;Cube1,$H$13,$AP$3,$H$15,$H$17,AU$1,$H$16,$B75)</f>
        <v>*KEY_ERR</v>
      </c>
      <c r="AV75" s="58" t="str">
        <f ca="1">_xll.DBRW(Server&amp;Cube1,$H$13,$AP$3,$H$15,$H$17,AV$1,$H$16,$B75)</f>
        <v>*KEY_ERR</v>
      </c>
      <c r="AW75" s="58" t="str">
        <f ca="1">_xll.DBRW(Server&amp;Cube1,$H$13,$AP$3,$H$15,$H$17,AW$1,$H$16,$B75)</f>
        <v>*KEY_ERR</v>
      </c>
      <c r="AX75" s="58" t="str">
        <f ca="1">_xll.DBRW(Server&amp;Cube1,$H$13,$AP$3,$H$15,$H$17,AX$1,$H$16,$B75)</f>
        <v>*KEY_ERR</v>
      </c>
      <c r="AY75" s="58" t="str">
        <f ca="1">_xll.DBRW(Server&amp;Cube1,$H$13,$AP$3,$H$15,$H$17,AY$1,$H$16,$B75)</f>
        <v>*KEY_ERR</v>
      </c>
      <c r="AZ75" s="58" t="str">
        <f ca="1">_xll.DBRW(Server&amp;Cube1,$H$13,$AP$3,$H$15,$H$17,AZ$1,$H$16,$B75)</f>
        <v>*KEY_ERR</v>
      </c>
      <c r="BA75" s="58" t="str">
        <f ca="1">_xll.DBRW(Server&amp;Cube1,$H$13,$AP$3,$H$15,$H$17,BA$1,$H$16,$B75)</f>
        <v>*KEY_ERR</v>
      </c>
      <c r="BB75" s="59" t="str">
        <f ca="1">_xll.DBRW(Server&amp;Cube1,$H$13,$AP$3,$H$15,$H$17,BB$1,$H$16,$B75)</f>
        <v>*KEY_ERR</v>
      </c>
      <c r="BC75" s="187" t="str">
        <f ca="1">_xll.DBRW(Server&amp;Cube1,$H$13,$BC$3,$H$15,$P$1,BC$2,$H$16,$B75)</f>
        <v>*KEY_ERR</v>
      </c>
      <c r="BD75" s="54" t="str">
        <f ca="1">_xll.DBRW(Server&amp;Cube1,$H$13,$BC$3,$H$15,$H$17,BD$1,$H$16,$B75)</f>
        <v>*KEY_ERR</v>
      </c>
      <c r="BE75" s="58" t="str">
        <f ca="1">_xll.DBRW(Server&amp;Cube1,$H$13,$BC$3,$H$15,$H$17,BE$1,$H$16,$B75)</f>
        <v>*KEY_ERR</v>
      </c>
      <c r="BF75" s="58" t="str">
        <f ca="1">_xll.DBRW(Server&amp;Cube1,$H$13,$BC$3,$H$15,$H$17,BF$1,$H$16,$B75)</f>
        <v>*KEY_ERR</v>
      </c>
      <c r="BG75" s="58" t="str">
        <f ca="1">_xll.DBRW(Server&amp;Cube1,$H$13,$BC$3,$H$15,$H$17,BG$1,$H$16,$B75)</f>
        <v>*KEY_ERR</v>
      </c>
      <c r="BH75" s="58" t="str">
        <f ca="1">_xll.DBRW(Server&amp;Cube1,$H$13,$BC$3,$H$15,$H$17,BH$1,$H$16,$B75)</f>
        <v>*KEY_ERR</v>
      </c>
      <c r="BI75" s="58" t="str">
        <f ca="1">_xll.DBRW(Server&amp;Cube1,$H$13,$BC$3,$H$15,$H$17,BI$1,$H$16,$B75)</f>
        <v>*KEY_ERR</v>
      </c>
      <c r="BJ75" s="58" t="str">
        <f ca="1">_xll.DBRW(Server&amp;Cube1,$H$13,$BC$3,$H$15,$H$17,BJ$1,$H$16,$B75)</f>
        <v>*KEY_ERR</v>
      </c>
      <c r="BK75" s="58" t="str">
        <f ca="1">_xll.DBRW(Server&amp;Cube1,$H$13,$BC$3,$H$15,$H$17,BK$1,$H$16,$B75)</f>
        <v>*KEY_ERR</v>
      </c>
      <c r="BL75" s="58" t="str">
        <f ca="1">_xll.DBRW(Server&amp;Cube1,$H$13,$BC$3,$H$15,$H$17,BL$1,$H$16,$B75)</f>
        <v>*KEY_ERR</v>
      </c>
      <c r="BM75" s="58" t="str">
        <f ca="1">_xll.DBRW(Server&amp;Cube1,$H$13,$BC$3,$H$15,$H$17,BM$1,$H$16,$B75)</f>
        <v>*KEY_ERR</v>
      </c>
      <c r="BN75" s="58" t="str">
        <f ca="1">_xll.DBRW(Server&amp;Cube1,$H$13,$BC$3,$H$15,$H$17,BN$1,$H$16,$B75)</f>
        <v>*KEY_ERR</v>
      </c>
      <c r="BO75" s="59" t="str">
        <f ca="1">_xll.DBRW(Server&amp;Cube1,$H$13,$BC$3,$H$15,$H$17,BO$1,$H$16,$B75)</f>
        <v>*KEY_ERR</v>
      </c>
      <c r="BP75" s="31"/>
    </row>
    <row r="76" spans="1:68" ht="21" customHeight="1" x14ac:dyDescent="0.25">
      <c r="A76"/>
      <c r="B76" s="13" t="s">
        <v>41</v>
      </c>
      <c r="C76" s="13"/>
      <c r="D76" s="22"/>
      <c r="E76" s="171"/>
      <c r="F76" s="107"/>
      <c r="G76" s="305" t="str">
        <f ca="1">_xll.DBRA(Server&amp;$B$22,$B76,"French")</f>
        <v>Abonnement SAAS</v>
      </c>
      <c r="H76" s="305" t="str">
        <f ca="1">_xll.DBRA(Server&amp;$B$22,$B76,"French")</f>
        <v>Abonnement SAAS</v>
      </c>
      <c r="I76" s="37"/>
      <c r="J76" s="54" t="str">
        <f ca="1">_xll.DBRW(Server&amp;Cube1,$H$13,$H$14,$H$15,$J$1,$J$2,$H$16,$B76)</f>
        <v/>
      </c>
      <c r="K76" s="37"/>
      <c r="L76" s="54" t="str">
        <f ca="1">_xll.DBRW(Server&amp;Cube1,$H$13,$H$14,$H$15,$L$1,$L$2,$H$16,$B76)</f>
        <v/>
      </c>
      <c r="M76" s="55"/>
      <c r="N76" s="54" t="str">
        <f ca="1">_xll.DBRW(Server&amp;Cube1,$H$13,$H$14,$H$15,$P$1,N$2,$H$16,$B76)</f>
        <v>*KEY_ERR</v>
      </c>
      <c r="O76" s="57"/>
      <c r="P76" s="54" t="str">
        <f ca="1">_xll.DBRW(Server&amp;Cube1,$H$13,$P$3,$H$15,$P$1,P$2,$H$16,$B76)</f>
        <v>*KEY_ERR</v>
      </c>
      <c r="Q76" s="54" t="str">
        <f ca="1">_xll.DBRW(Server&amp;Cube1,$H$13,$P$3,$H$15,$H$17,Q$1,$H$16,$B76)</f>
        <v>*KEY_ERR</v>
      </c>
      <c r="R76" s="58" t="str">
        <f ca="1">_xll.DBRW(Server&amp;Cube1,$H$13,$P$3,$H$15,$H$17,R$1,$H$16,$B76)</f>
        <v>*KEY_ERR</v>
      </c>
      <c r="S76" s="58" t="str">
        <f ca="1">_xll.DBRW(Server&amp;Cube1,$H$13,$P$3,$H$15,$H$17,S$1,$H$16,$B76)</f>
        <v>*KEY_ERR</v>
      </c>
      <c r="T76" s="58" t="str">
        <f ca="1">_xll.DBRW(Server&amp;Cube1,$H$13,$P$3,$H$15,$H$17,T$1,$H$16,$B76)</f>
        <v>*KEY_ERR</v>
      </c>
      <c r="U76" s="58" t="str">
        <f ca="1">_xll.DBRW(Server&amp;Cube1,$H$13,$P$3,$H$15,$H$17,U$1,$H$16,$B76)</f>
        <v>*KEY_ERR</v>
      </c>
      <c r="V76" s="58" t="str">
        <f ca="1">_xll.DBRW(Server&amp;Cube1,$H$13,$P$3,$H$15,$H$17,V$1,$H$16,$B76)</f>
        <v>*KEY_ERR</v>
      </c>
      <c r="W76" s="58" t="str">
        <f ca="1">_xll.DBRW(Server&amp;Cube1,$H$13,$P$3,$H$15,$H$17,W$1,$H$16,$B76)</f>
        <v>*KEY_ERR</v>
      </c>
      <c r="X76" s="58" t="str">
        <f ca="1">_xll.DBRW(Server&amp;Cube1,$H$13,$P$3,$H$15,$H$17,X$1,$H$16,$B76)</f>
        <v>*KEY_ERR</v>
      </c>
      <c r="Y76" s="58" t="str">
        <f ca="1">_xll.DBRW(Server&amp;Cube1,$H$13,$P$3,$H$15,$H$17,Y$1,$H$16,$B76)</f>
        <v>*KEY_ERR</v>
      </c>
      <c r="Z76" s="58" t="str">
        <f ca="1">_xll.DBRW(Server&amp;Cube1,$H$13,$P$3,$H$15,$H$17,Z$1,$H$16,$B76)</f>
        <v>*KEY_ERR</v>
      </c>
      <c r="AA76" s="58" t="str">
        <f ca="1">_xll.DBRW(Server&amp;Cube1,$H$13,$P$3,$H$15,$H$17,AA$1,$H$16,$B76)</f>
        <v>*KEY_ERR</v>
      </c>
      <c r="AB76" s="59" t="str">
        <f ca="1">_xll.DBRW(Server&amp;Cube1,$H$13,$P$3,$H$15,$H$17,AB$1,$H$16,$B76)</f>
        <v>*KEY_ERR</v>
      </c>
      <c r="AC76" s="187" t="str">
        <f ca="1">_xll.DBRW(Server&amp;Cube1,$H$13,$AC$3,$H$15,$P$1,AC$2,$H$16,$B76)</f>
        <v>*KEY_ERR</v>
      </c>
      <c r="AD76" s="54" t="str">
        <f ca="1">_xll.DBRW(Server&amp;Cube1,$H$13,$AC$3,$H$15,$H$17,AD$1,$H$16,$B76)</f>
        <v>*KEY_ERR</v>
      </c>
      <c r="AE76" s="58" t="str">
        <f ca="1">_xll.DBRW(Server&amp;Cube1,$H$13,$AC$3,$H$15,$H$17,AE$1,$H$16,$B76)</f>
        <v>*KEY_ERR</v>
      </c>
      <c r="AF76" s="58" t="str">
        <f ca="1">_xll.DBRW(Server&amp;Cube1,$H$13,$AC$3,$H$15,$H$17,AF$1,$H$16,$B76)</f>
        <v>*KEY_ERR</v>
      </c>
      <c r="AG76" s="58" t="str">
        <f ca="1">_xll.DBRW(Server&amp;Cube1,$H$13,$AC$3,$H$15,$H$17,AG$1,$H$16,$B76)</f>
        <v>*KEY_ERR</v>
      </c>
      <c r="AH76" s="58" t="str">
        <f ca="1">_xll.DBRW(Server&amp;Cube1,$H$13,$AC$3,$H$15,$H$17,AH$1,$H$16,$B76)</f>
        <v>*KEY_ERR</v>
      </c>
      <c r="AI76" s="58" t="str">
        <f ca="1">_xll.DBRW(Server&amp;Cube1,$H$13,$AC$3,$H$15,$H$17,AI$1,$H$16,$B76)</f>
        <v>*KEY_ERR</v>
      </c>
      <c r="AJ76" s="58" t="str">
        <f ca="1">_xll.DBRW(Server&amp;Cube1,$H$13,$AC$3,$H$15,$H$17,AJ$1,$H$16,$B76)</f>
        <v>*KEY_ERR</v>
      </c>
      <c r="AK76" s="58" t="str">
        <f ca="1">_xll.DBRW(Server&amp;Cube1,$H$13,$AC$3,$H$15,$H$17,AK$1,$H$16,$B76)</f>
        <v>*KEY_ERR</v>
      </c>
      <c r="AL76" s="58" t="str">
        <f ca="1">_xll.DBRW(Server&amp;Cube1,$H$13,$AC$3,$H$15,$H$17,AL$1,$H$16,$B76)</f>
        <v>*KEY_ERR</v>
      </c>
      <c r="AM76" s="58" t="str">
        <f ca="1">_xll.DBRW(Server&amp;Cube1,$H$13,$AC$3,$H$15,$H$17,AM$1,$H$16,$B76)</f>
        <v>*KEY_ERR</v>
      </c>
      <c r="AN76" s="58" t="str">
        <f ca="1">_xll.DBRW(Server&amp;Cube1,$H$13,$AC$3,$H$15,$H$17,AN$1,$H$16,$B76)</f>
        <v>*KEY_ERR</v>
      </c>
      <c r="AO76" s="59" t="str">
        <f ca="1">_xll.DBRW(Server&amp;Cube1,$H$13,$AC$3,$H$15,$H$17,AO$1,$H$16,$B76)</f>
        <v>*KEY_ERR</v>
      </c>
      <c r="AP76" s="187" t="str">
        <f ca="1">_xll.DBRW(Server&amp;Cube1,$H$13,$AP$3,$H$15,$P$1,AP$2,$H$16,$B76)</f>
        <v>*KEY_ERR</v>
      </c>
      <c r="AQ76" s="54" t="str">
        <f ca="1">_xll.DBRW(Server&amp;Cube1,$H$13,$AP$3,$H$15,$H$17,AQ$1,$H$16,$B76)</f>
        <v>*KEY_ERR</v>
      </c>
      <c r="AR76" s="58" t="str">
        <f ca="1">_xll.DBRW(Server&amp;Cube1,$H$13,$AP$3,$H$15,$H$17,AR$1,$H$16,$B76)</f>
        <v>*KEY_ERR</v>
      </c>
      <c r="AS76" s="58" t="str">
        <f ca="1">_xll.DBRW(Server&amp;Cube1,$H$13,$AP$3,$H$15,$H$17,AS$1,$H$16,$B76)</f>
        <v>*KEY_ERR</v>
      </c>
      <c r="AT76" s="58" t="str">
        <f ca="1">_xll.DBRW(Server&amp;Cube1,$H$13,$AP$3,$H$15,$H$17,AT$1,$H$16,$B76)</f>
        <v>*KEY_ERR</v>
      </c>
      <c r="AU76" s="58" t="str">
        <f ca="1">_xll.DBRW(Server&amp;Cube1,$H$13,$AP$3,$H$15,$H$17,AU$1,$H$16,$B76)</f>
        <v>*KEY_ERR</v>
      </c>
      <c r="AV76" s="58" t="str">
        <f ca="1">_xll.DBRW(Server&amp;Cube1,$H$13,$AP$3,$H$15,$H$17,AV$1,$H$16,$B76)</f>
        <v>*KEY_ERR</v>
      </c>
      <c r="AW76" s="58" t="str">
        <f ca="1">_xll.DBRW(Server&amp;Cube1,$H$13,$AP$3,$H$15,$H$17,AW$1,$H$16,$B76)</f>
        <v>*KEY_ERR</v>
      </c>
      <c r="AX76" s="58" t="str">
        <f ca="1">_xll.DBRW(Server&amp;Cube1,$H$13,$AP$3,$H$15,$H$17,AX$1,$H$16,$B76)</f>
        <v>*KEY_ERR</v>
      </c>
      <c r="AY76" s="58" t="str">
        <f ca="1">_xll.DBRW(Server&amp;Cube1,$H$13,$AP$3,$H$15,$H$17,AY$1,$H$16,$B76)</f>
        <v>*KEY_ERR</v>
      </c>
      <c r="AZ76" s="58" t="str">
        <f ca="1">_xll.DBRW(Server&amp;Cube1,$H$13,$AP$3,$H$15,$H$17,AZ$1,$H$16,$B76)</f>
        <v>*KEY_ERR</v>
      </c>
      <c r="BA76" s="58" t="str">
        <f ca="1">_xll.DBRW(Server&amp;Cube1,$H$13,$AP$3,$H$15,$H$17,BA$1,$H$16,$B76)</f>
        <v>*KEY_ERR</v>
      </c>
      <c r="BB76" s="59" t="str">
        <f ca="1">_xll.DBRW(Server&amp;Cube1,$H$13,$AP$3,$H$15,$H$17,BB$1,$H$16,$B76)</f>
        <v>*KEY_ERR</v>
      </c>
      <c r="BC76" s="187" t="str">
        <f ca="1">_xll.DBRW(Server&amp;Cube1,$H$13,$BC$3,$H$15,$P$1,BC$2,$H$16,$B76)</f>
        <v>*KEY_ERR</v>
      </c>
      <c r="BD76" s="54" t="str">
        <f ca="1">_xll.DBRW(Server&amp;Cube1,$H$13,$BC$3,$H$15,$H$17,BD$1,$H$16,$B76)</f>
        <v>*KEY_ERR</v>
      </c>
      <c r="BE76" s="58" t="str">
        <f ca="1">_xll.DBRW(Server&amp;Cube1,$H$13,$BC$3,$H$15,$H$17,BE$1,$H$16,$B76)</f>
        <v>*KEY_ERR</v>
      </c>
      <c r="BF76" s="58" t="str">
        <f ca="1">_xll.DBRW(Server&amp;Cube1,$H$13,$BC$3,$H$15,$H$17,BF$1,$H$16,$B76)</f>
        <v>*KEY_ERR</v>
      </c>
      <c r="BG76" s="58" t="str">
        <f ca="1">_xll.DBRW(Server&amp;Cube1,$H$13,$BC$3,$H$15,$H$17,BG$1,$H$16,$B76)</f>
        <v>*KEY_ERR</v>
      </c>
      <c r="BH76" s="58" t="str">
        <f ca="1">_xll.DBRW(Server&amp;Cube1,$H$13,$BC$3,$H$15,$H$17,BH$1,$H$16,$B76)</f>
        <v>*KEY_ERR</v>
      </c>
      <c r="BI76" s="58" t="str">
        <f ca="1">_xll.DBRW(Server&amp;Cube1,$H$13,$BC$3,$H$15,$H$17,BI$1,$H$16,$B76)</f>
        <v>*KEY_ERR</v>
      </c>
      <c r="BJ76" s="58" t="str">
        <f ca="1">_xll.DBRW(Server&amp;Cube1,$H$13,$BC$3,$H$15,$H$17,BJ$1,$H$16,$B76)</f>
        <v>*KEY_ERR</v>
      </c>
      <c r="BK76" s="58" t="str">
        <f ca="1">_xll.DBRW(Server&amp;Cube1,$H$13,$BC$3,$H$15,$H$17,BK$1,$H$16,$B76)</f>
        <v>*KEY_ERR</v>
      </c>
      <c r="BL76" s="58" t="str">
        <f ca="1">_xll.DBRW(Server&amp;Cube1,$H$13,$BC$3,$H$15,$H$17,BL$1,$H$16,$B76)</f>
        <v>*KEY_ERR</v>
      </c>
      <c r="BM76" s="58" t="str">
        <f ca="1">_xll.DBRW(Server&amp;Cube1,$H$13,$BC$3,$H$15,$H$17,BM$1,$H$16,$B76)</f>
        <v>*KEY_ERR</v>
      </c>
      <c r="BN76" s="58" t="str">
        <f ca="1">_xll.DBRW(Server&amp;Cube1,$H$13,$BC$3,$H$15,$H$17,BN$1,$H$16,$B76)</f>
        <v>*KEY_ERR</v>
      </c>
      <c r="BO76" s="59" t="str">
        <f ca="1">_xll.DBRW(Server&amp;Cube1,$H$13,$BC$3,$H$15,$H$17,BO$1,$H$16,$B76)</f>
        <v>*KEY_ERR</v>
      </c>
      <c r="BP76" s="31"/>
    </row>
    <row r="77" spans="1:68" ht="6.75" customHeight="1" x14ac:dyDescent="0.25">
      <c r="A77"/>
      <c r="B77" s="11"/>
      <c r="C77" s="11"/>
      <c r="D77" s="20"/>
      <c r="E77" s="170"/>
      <c r="F77" s="106"/>
      <c r="G77" s="43"/>
      <c r="H77" s="43"/>
      <c r="I77" s="38"/>
      <c r="J77" s="62"/>
      <c r="K77" s="38"/>
      <c r="L77" s="62"/>
      <c r="M77" s="63"/>
      <c r="N77" s="62"/>
      <c r="O77" s="64"/>
      <c r="P77" s="62"/>
      <c r="Q77" s="62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6"/>
      <c r="AC77" s="186"/>
      <c r="AD77" s="62"/>
      <c r="AE77" s="65"/>
      <c r="AF77" s="65"/>
      <c r="AG77" s="65"/>
      <c r="AH77" s="65"/>
      <c r="AI77" s="65"/>
      <c r="AJ77" s="65"/>
      <c r="AK77" s="65"/>
      <c r="AL77" s="65"/>
      <c r="AM77" s="65"/>
      <c r="AN77" s="65"/>
      <c r="AO77" s="66"/>
      <c r="AP77" s="186"/>
      <c r="AQ77" s="62"/>
      <c r="AR77" s="65"/>
      <c r="AS77" s="65"/>
      <c r="AT77" s="65"/>
      <c r="AU77" s="65"/>
      <c r="AV77" s="65"/>
      <c r="AW77" s="65"/>
      <c r="AX77" s="65"/>
      <c r="AY77" s="65"/>
      <c r="AZ77" s="65"/>
      <c r="BA77" s="65"/>
      <c r="BB77" s="66"/>
      <c r="BC77" s="186"/>
      <c r="BD77" s="62"/>
      <c r="BE77" s="65"/>
      <c r="BF77" s="65"/>
      <c r="BG77" s="65"/>
      <c r="BH77" s="65"/>
      <c r="BI77" s="65"/>
      <c r="BJ77" s="65"/>
      <c r="BK77" s="65"/>
      <c r="BL77" s="65"/>
      <c r="BM77" s="65"/>
      <c r="BN77" s="65"/>
      <c r="BO77" s="66"/>
      <c r="BP77" s="31"/>
    </row>
    <row r="78" spans="1:68" ht="21" customHeight="1" x14ac:dyDescent="0.25">
      <c r="A78"/>
      <c r="B78" s="12" t="s">
        <v>42</v>
      </c>
      <c r="C78" s="12"/>
      <c r="D78" s="21"/>
      <c r="E78" s="169"/>
      <c r="F78" s="105"/>
      <c r="G78" s="315" t="str">
        <f ca="1">_xll.DBRA(Server&amp;$B$22,$B78,"French")</f>
        <v>Location VH et Télephonie</v>
      </c>
      <c r="H78" s="315" t="str">
        <f ca="1">_xll.DBRA(Server&amp;$B$22,$B78,"French")</f>
        <v>Location VH et Télephonie</v>
      </c>
      <c r="I78" s="39"/>
      <c r="J78" s="67" t="str">
        <f ca="1">_xll.DBRW(Server&amp;Cube1,$H$13,$H$14,$H$15,$J$1,$J$2,$H$16,$B78)</f>
        <v/>
      </c>
      <c r="K78" s="39"/>
      <c r="L78" s="67" t="str">
        <f ca="1">_xll.DBRW(Server&amp;Cube1,$H$13,$H$14,$H$15,$L$1,$L$2,$H$16,$B78)</f>
        <v/>
      </c>
      <c r="M78" s="68"/>
      <c r="N78" s="67" t="str">
        <f ca="1">_xll.DBRW(Server&amp;Cube1,$H$13,$H$14,$H$15,$P$1,N$2,$H$16,$B78)</f>
        <v>*KEY_ERR</v>
      </c>
      <c r="O78" s="69"/>
      <c r="P78" s="67" t="str">
        <f ca="1">_xll.DBRW(Server&amp;Cube1,$H$13,$P$3,$H$15,$P$1,P$2,$H$16,$B78)</f>
        <v>*KEY_ERR</v>
      </c>
      <c r="Q78" s="67" t="str">
        <f ca="1">_xll.DBRW(Server&amp;Cube1,$H$13,$P$3,$H$15,$H$17,Q$1,$H$16,$B78)</f>
        <v>*KEY_ERR</v>
      </c>
      <c r="R78" s="70" t="str">
        <f ca="1">_xll.DBRW(Server&amp;Cube1,$H$13,$P$3,$H$15,$H$17,R$1,$H$16,$B78)</f>
        <v>*KEY_ERR</v>
      </c>
      <c r="S78" s="70" t="str">
        <f ca="1">_xll.DBRW(Server&amp;Cube1,$H$13,$P$3,$H$15,$H$17,S$1,$H$16,$B78)</f>
        <v>*KEY_ERR</v>
      </c>
      <c r="T78" s="70" t="str">
        <f ca="1">_xll.DBRW(Server&amp;Cube1,$H$13,$P$3,$H$15,$H$17,T$1,$H$16,$B78)</f>
        <v>*KEY_ERR</v>
      </c>
      <c r="U78" s="70" t="str">
        <f ca="1">_xll.DBRW(Server&amp;Cube1,$H$13,$P$3,$H$15,$H$17,U$1,$H$16,$B78)</f>
        <v>*KEY_ERR</v>
      </c>
      <c r="V78" s="70" t="str">
        <f ca="1">_xll.DBRW(Server&amp;Cube1,$H$13,$P$3,$H$15,$H$17,V$1,$H$16,$B78)</f>
        <v>*KEY_ERR</v>
      </c>
      <c r="W78" s="70" t="str">
        <f ca="1">_xll.DBRW(Server&amp;Cube1,$H$13,$P$3,$H$15,$H$17,W$1,$H$16,$B78)</f>
        <v>*KEY_ERR</v>
      </c>
      <c r="X78" s="70" t="str">
        <f ca="1">_xll.DBRW(Server&amp;Cube1,$H$13,$P$3,$H$15,$H$17,X$1,$H$16,$B78)</f>
        <v>*KEY_ERR</v>
      </c>
      <c r="Y78" s="70" t="str">
        <f ca="1">_xll.DBRW(Server&amp;Cube1,$H$13,$P$3,$H$15,$H$17,Y$1,$H$16,$B78)</f>
        <v>*KEY_ERR</v>
      </c>
      <c r="Z78" s="70" t="str">
        <f ca="1">_xll.DBRW(Server&amp;Cube1,$H$13,$P$3,$H$15,$H$17,Z$1,$H$16,$B78)</f>
        <v>*KEY_ERR</v>
      </c>
      <c r="AA78" s="70" t="str">
        <f ca="1">_xll.DBRW(Server&amp;Cube1,$H$13,$P$3,$H$15,$H$17,AA$1,$H$16,$B78)</f>
        <v>*KEY_ERR</v>
      </c>
      <c r="AB78" s="71" t="str">
        <f ca="1">_xll.DBRW(Server&amp;Cube1,$H$13,$P$3,$H$15,$H$17,AB$1,$H$16,$B78)</f>
        <v>*KEY_ERR</v>
      </c>
      <c r="AC78" s="185" t="str">
        <f ca="1">_xll.DBRW(Server&amp;Cube1,$H$13,$AC$3,$H$15,$P$1,AC$2,$H$16,$B78)</f>
        <v>*KEY_ERR</v>
      </c>
      <c r="AD78" s="67" t="str">
        <f ca="1">_xll.DBRW(Server&amp;Cube1,$H$13,$AC$3,$H$15,$H$17,AD$1,$H$16,$B78)</f>
        <v>*KEY_ERR</v>
      </c>
      <c r="AE78" s="70" t="str">
        <f ca="1">_xll.DBRW(Server&amp;Cube1,$H$13,$AC$3,$H$15,$H$17,AE$1,$H$16,$B78)</f>
        <v>*KEY_ERR</v>
      </c>
      <c r="AF78" s="70" t="str">
        <f ca="1">_xll.DBRW(Server&amp;Cube1,$H$13,$AC$3,$H$15,$H$17,AF$1,$H$16,$B78)</f>
        <v>*KEY_ERR</v>
      </c>
      <c r="AG78" s="70" t="str">
        <f ca="1">_xll.DBRW(Server&amp;Cube1,$H$13,$AC$3,$H$15,$H$17,AG$1,$H$16,$B78)</f>
        <v>*KEY_ERR</v>
      </c>
      <c r="AH78" s="70" t="str">
        <f ca="1">_xll.DBRW(Server&amp;Cube1,$H$13,$AC$3,$H$15,$H$17,AH$1,$H$16,$B78)</f>
        <v>*KEY_ERR</v>
      </c>
      <c r="AI78" s="70" t="str">
        <f ca="1">_xll.DBRW(Server&amp;Cube1,$H$13,$AC$3,$H$15,$H$17,AI$1,$H$16,$B78)</f>
        <v>*KEY_ERR</v>
      </c>
      <c r="AJ78" s="70" t="str">
        <f ca="1">_xll.DBRW(Server&amp;Cube1,$H$13,$AC$3,$H$15,$H$17,AJ$1,$H$16,$B78)</f>
        <v>*KEY_ERR</v>
      </c>
      <c r="AK78" s="70" t="str">
        <f ca="1">_xll.DBRW(Server&amp;Cube1,$H$13,$AC$3,$H$15,$H$17,AK$1,$H$16,$B78)</f>
        <v>*KEY_ERR</v>
      </c>
      <c r="AL78" s="70" t="str">
        <f ca="1">_xll.DBRW(Server&amp;Cube1,$H$13,$AC$3,$H$15,$H$17,AL$1,$H$16,$B78)</f>
        <v>*KEY_ERR</v>
      </c>
      <c r="AM78" s="70" t="str">
        <f ca="1">_xll.DBRW(Server&amp;Cube1,$H$13,$AC$3,$H$15,$H$17,AM$1,$H$16,$B78)</f>
        <v>*KEY_ERR</v>
      </c>
      <c r="AN78" s="70" t="str">
        <f ca="1">_xll.DBRW(Server&amp;Cube1,$H$13,$AC$3,$H$15,$H$17,AN$1,$H$16,$B78)</f>
        <v>*KEY_ERR</v>
      </c>
      <c r="AO78" s="71" t="str">
        <f ca="1">_xll.DBRW(Server&amp;Cube1,$H$13,$AC$3,$H$15,$H$17,AO$1,$H$16,$B78)</f>
        <v>*KEY_ERR</v>
      </c>
      <c r="AP78" s="185" t="str">
        <f ca="1">_xll.DBRW(Server&amp;Cube1,$H$13,$AP$3,$H$15,$P$1,AP$2,$H$16,$B78)</f>
        <v>*KEY_ERR</v>
      </c>
      <c r="AQ78" s="67" t="str">
        <f ca="1">_xll.DBRW(Server&amp;Cube1,$H$13,$AP$3,$H$15,$H$17,AQ$1,$H$16,$B78)</f>
        <v>*KEY_ERR</v>
      </c>
      <c r="AR78" s="70" t="str">
        <f ca="1">_xll.DBRW(Server&amp;Cube1,$H$13,$AP$3,$H$15,$H$17,AR$1,$H$16,$B78)</f>
        <v>*KEY_ERR</v>
      </c>
      <c r="AS78" s="70" t="str">
        <f ca="1">_xll.DBRW(Server&amp;Cube1,$H$13,$AP$3,$H$15,$H$17,AS$1,$H$16,$B78)</f>
        <v>*KEY_ERR</v>
      </c>
      <c r="AT78" s="70" t="str">
        <f ca="1">_xll.DBRW(Server&amp;Cube1,$H$13,$AP$3,$H$15,$H$17,AT$1,$H$16,$B78)</f>
        <v>*KEY_ERR</v>
      </c>
      <c r="AU78" s="70" t="str">
        <f ca="1">_xll.DBRW(Server&amp;Cube1,$H$13,$AP$3,$H$15,$H$17,AU$1,$H$16,$B78)</f>
        <v>*KEY_ERR</v>
      </c>
      <c r="AV78" s="70" t="str">
        <f ca="1">_xll.DBRW(Server&amp;Cube1,$H$13,$AP$3,$H$15,$H$17,AV$1,$H$16,$B78)</f>
        <v>*KEY_ERR</v>
      </c>
      <c r="AW78" s="70" t="str">
        <f ca="1">_xll.DBRW(Server&amp;Cube1,$H$13,$AP$3,$H$15,$H$17,AW$1,$H$16,$B78)</f>
        <v>*KEY_ERR</v>
      </c>
      <c r="AX78" s="70" t="str">
        <f ca="1">_xll.DBRW(Server&amp;Cube1,$H$13,$AP$3,$H$15,$H$17,AX$1,$H$16,$B78)</f>
        <v>*KEY_ERR</v>
      </c>
      <c r="AY78" s="70" t="str">
        <f ca="1">_xll.DBRW(Server&amp;Cube1,$H$13,$AP$3,$H$15,$H$17,AY$1,$H$16,$B78)</f>
        <v>*KEY_ERR</v>
      </c>
      <c r="AZ78" s="70" t="str">
        <f ca="1">_xll.DBRW(Server&amp;Cube1,$H$13,$AP$3,$H$15,$H$17,AZ$1,$H$16,$B78)</f>
        <v>*KEY_ERR</v>
      </c>
      <c r="BA78" s="70" t="str">
        <f ca="1">_xll.DBRW(Server&amp;Cube1,$H$13,$AP$3,$H$15,$H$17,BA$1,$H$16,$B78)</f>
        <v>*KEY_ERR</v>
      </c>
      <c r="BB78" s="71" t="str">
        <f ca="1">_xll.DBRW(Server&amp;Cube1,$H$13,$AP$3,$H$15,$H$17,BB$1,$H$16,$B78)</f>
        <v>*KEY_ERR</v>
      </c>
      <c r="BC78" s="185" t="str">
        <f ca="1">_xll.DBRW(Server&amp;Cube1,$H$13,$BC$3,$H$15,$P$1,BC$2,$H$16,$B78)</f>
        <v>*KEY_ERR</v>
      </c>
      <c r="BD78" s="67" t="str">
        <f ca="1">_xll.DBRW(Server&amp;Cube1,$H$13,$BC$3,$H$15,$H$17,BD$1,$H$16,$B78)</f>
        <v>*KEY_ERR</v>
      </c>
      <c r="BE78" s="70" t="str">
        <f ca="1">_xll.DBRW(Server&amp;Cube1,$H$13,$BC$3,$H$15,$H$17,BE$1,$H$16,$B78)</f>
        <v>*KEY_ERR</v>
      </c>
      <c r="BF78" s="70" t="str">
        <f ca="1">_xll.DBRW(Server&amp;Cube1,$H$13,$BC$3,$H$15,$H$17,BF$1,$H$16,$B78)</f>
        <v>*KEY_ERR</v>
      </c>
      <c r="BG78" s="70" t="str">
        <f ca="1">_xll.DBRW(Server&amp;Cube1,$H$13,$BC$3,$H$15,$H$17,BG$1,$H$16,$B78)</f>
        <v>*KEY_ERR</v>
      </c>
      <c r="BH78" s="70" t="str">
        <f ca="1">_xll.DBRW(Server&amp;Cube1,$H$13,$BC$3,$H$15,$H$17,BH$1,$H$16,$B78)</f>
        <v>*KEY_ERR</v>
      </c>
      <c r="BI78" s="70" t="str">
        <f ca="1">_xll.DBRW(Server&amp;Cube1,$H$13,$BC$3,$H$15,$H$17,BI$1,$H$16,$B78)</f>
        <v>*KEY_ERR</v>
      </c>
      <c r="BJ78" s="70" t="str">
        <f ca="1">_xll.DBRW(Server&amp;Cube1,$H$13,$BC$3,$H$15,$H$17,BJ$1,$H$16,$B78)</f>
        <v>*KEY_ERR</v>
      </c>
      <c r="BK78" s="70" t="str">
        <f ca="1">_xll.DBRW(Server&amp;Cube1,$H$13,$BC$3,$H$15,$H$17,BK$1,$H$16,$B78)</f>
        <v>*KEY_ERR</v>
      </c>
      <c r="BL78" s="70" t="str">
        <f ca="1">_xll.DBRW(Server&amp;Cube1,$H$13,$BC$3,$H$15,$H$17,BL$1,$H$16,$B78)</f>
        <v>*KEY_ERR</v>
      </c>
      <c r="BM78" s="70" t="str">
        <f ca="1">_xll.DBRW(Server&amp;Cube1,$H$13,$BC$3,$H$15,$H$17,BM$1,$H$16,$B78)</f>
        <v>*KEY_ERR</v>
      </c>
      <c r="BN78" s="70" t="str">
        <f ca="1">_xll.DBRW(Server&amp;Cube1,$H$13,$BC$3,$H$15,$H$17,BN$1,$H$16,$B78)</f>
        <v>*KEY_ERR</v>
      </c>
      <c r="BO78" s="71" t="str">
        <f ca="1">_xll.DBRW(Server&amp;Cube1,$H$13,$BC$3,$H$15,$H$17,BO$1,$H$16,$B78)</f>
        <v>*KEY_ERR</v>
      </c>
      <c r="BP78" s="31"/>
    </row>
    <row r="79" spans="1:68" ht="21" customHeight="1" x14ac:dyDescent="0.25">
      <c r="A79"/>
      <c r="B79" s="13">
        <v>625130</v>
      </c>
      <c r="C79" s="13"/>
      <c r="D79" s="22"/>
      <c r="E79" s="171"/>
      <c r="F79" s="107"/>
      <c r="G79" s="305" t="s">
        <v>90</v>
      </c>
      <c r="H79" s="305"/>
      <c r="I79" s="37"/>
      <c r="J79" s="54" t="str">
        <f ca="1">_xll.DBRW(Server&amp;Cube1,$H$13,$H$14,$H$15,$J$1,$J$2,$H$16,$B79)</f>
        <v/>
      </c>
      <c r="K79" s="37"/>
      <c r="L79" s="54" t="str">
        <f ca="1">_xll.DBRW(Server&amp;Cube1,$H$13,$H$14,$H$15,$L$1,$L$2,$H$16,$B79)</f>
        <v/>
      </c>
      <c r="M79" s="55"/>
      <c r="N79" s="54" t="str">
        <f ca="1">_xll.DBRW(Server&amp;Cube1,$H$13,$H$14,$H$15,$P$1,N$2,$H$16,$B79)</f>
        <v>*KEY_ERR</v>
      </c>
      <c r="O79" s="57"/>
      <c r="P79" s="54" t="str">
        <f ca="1">_xll.DBRW(Server&amp;Cube1,$H$13,$P$3,$H$15,$P$1,P$2,$H$16,$B79)</f>
        <v>*KEY_ERR</v>
      </c>
      <c r="Q79" s="54" t="str">
        <f ca="1">_xll.DBRW(Server&amp;Cube1,$H$13,$P$3,$H$15,$H$17,Q$1,$H$16,$B79)</f>
        <v>*KEY_ERR</v>
      </c>
      <c r="R79" s="58" t="str">
        <f ca="1">_xll.DBRW(Server&amp;Cube1,$H$13,$P$3,$H$15,$H$17,R$1,$H$16,$B79)</f>
        <v>*KEY_ERR</v>
      </c>
      <c r="S79" s="58" t="str">
        <f ca="1">_xll.DBRW(Server&amp;Cube1,$H$13,$P$3,$H$15,$H$17,S$1,$H$16,$B79)</f>
        <v>*KEY_ERR</v>
      </c>
      <c r="T79" s="58" t="str">
        <f ca="1">_xll.DBRW(Server&amp;Cube1,$H$13,$P$3,$H$15,$H$17,T$1,$H$16,$B79)</f>
        <v>*KEY_ERR</v>
      </c>
      <c r="U79" s="58" t="str">
        <f ca="1">_xll.DBRW(Server&amp;Cube1,$H$13,$P$3,$H$15,$H$17,U$1,$H$16,$B79)</f>
        <v>*KEY_ERR</v>
      </c>
      <c r="V79" s="58" t="str">
        <f ca="1">_xll.DBRW(Server&amp;Cube1,$H$13,$P$3,$H$15,$H$17,V$1,$H$16,$B79)</f>
        <v>*KEY_ERR</v>
      </c>
      <c r="W79" s="58" t="str">
        <f ca="1">_xll.DBRW(Server&amp;Cube1,$H$13,$P$3,$H$15,$H$17,W$1,$H$16,$B79)</f>
        <v>*KEY_ERR</v>
      </c>
      <c r="X79" s="58" t="str">
        <f ca="1">_xll.DBRW(Server&amp;Cube1,$H$13,$P$3,$H$15,$H$17,X$1,$H$16,$B79)</f>
        <v>*KEY_ERR</v>
      </c>
      <c r="Y79" s="58" t="str">
        <f ca="1">_xll.DBRW(Server&amp;Cube1,$H$13,$P$3,$H$15,$H$17,Y$1,$H$16,$B79)</f>
        <v>*KEY_ERR</v>
      </c>
      <c r="Z79" s="58" t="str">
        <f ca="1">_xll.DBRW(Server&amp;Cube1,$H$13,$P$3,$H$15,$H$17,Z$1,$H$16,$B79)</f>
        <v>*KEY_ERR</v>
      </c>
      <c r="AA79" s="58" t="str">
        <f ca="1">_xll.DBRW(Server&amp;Cube1,$H$13,$P$3,$H$15,$H$17,AA$1,$H$16,$B79)</f>
        <v>*KEY_ERR</v>
      </c>
      <c r="AB79" s="59" t="str">
        <f ca="1">_xll.DBRW(Server&amp;Cube1,$H$13,$P$3,$H$15,$H$17,AB$1,$H$16,$B79)</f>
        <v>*KEY_ERR</v>
      </c>
      <c r="AC79" s="187" t="str">
        <f ca="1">_xll.DBRW(Server&amp;Cube1,$H$13,$AC$3,$H$15,$P$1,AC$2,$H$16,$B79)</f>
        <v>*KEY_ERR</v>
      </c>
      <c r="AD79" s="54" t="str">
        <f ca="1">_xll.DBRW(Server&amp;Cube1,$H$13,$AC$3,$H$15,$H$17,AD$1,$H$16,$B79)</f>
        <v>*KEY_ERR</v>
      </c>
      <c r="AE79" s="58" t="str">
        <f ca="1">_xll.DBRW(Server&amp;Cube1,$H$13,$AC$3,$H$15,$H$17,AE$1,$H$16,$B79)</f>
        <v>*KEY_ERR</v>
      </c>
      <c r="AF79" s="58" t="str">
        <f ca="1">_xll.DBRW(Server&amp;Cube1,$H$13,$AC$3,$H$15,$H$17,AF$1,$H$16,$B79)</f>
        <v>*KEY_ERR</v>
      </c>
      <c r="AG79" s="58" t="str">
        <f ca="1">_xll.DBRW(Server&amp;Cube1,$H$13,$AC$3,$H$15,$H$17,AG$1,$H$16,$B79)</f>
        <v>*KEY_ERR</v>
      </c>
      <c r="AH79" s="58" t="str">
        <f ca="1">_xll.DBRW(Server&amp;Cube1,$H$13,$AC$3,$H$15,$H$17,AH$1,$H$16,$B79)</f>
        <v>*KEY_ERR</v>
      </c>
      <c r="AI79" s="58" t="str">
        <f ca="1">_xll.DBRW(Server&amp;Cube1,$H$13,$AC$3,$H$15,$H$17,AI$1,$H$16,$B79)</f>
        <v>*KEY_ERR</v>
      </c>
      <c r="AJ79" s="58" t="str">
        <f ca="1">_xll.DBRW(Server&amp;Cube1,$H$13,$AC$3,$H$15,$H$17,AJ$1,$H$16,$B79)</f>
        <v>*KEY_ERR</v>
      </c>
      <c r="AK79" s="58" t="str">
        <f ca="1">_xll.DBRW(Server&amp;Cube1,$H$13,$AC$3,$H$15,$H$17,AK$1,$H$16,$B79)</f>
        <v>*KEY_ERR</v>
      </c>
      <c r="AL79" s="58" t="str">
        <f ca="1">_xll.DBRW(Server&amp;Cube1,$H$13,$AC$3,$H$15,$H$17,AL$1,$H$16,$B79)</f>
        <v>*KEY_ERR</v>
      </c>
      <c r="AM79" s="58" t="str">
        <f ca="1">_xll.DBRW(Server&amp;Cube1,$H$13,$AC$3,$H$15,$H$17,AM$1,$H$16,$B79)</f>
        <v>*KEY_ERR</v>
      </c>
      <c r="AN79" s="58" t="str">
        <f ca="1">_xll.DBRW(Server&amp;Cube1,$H$13,$AC$3,$H$15,$H$17,AN$1,$H$16,$B79)</f>
        <v>*KEY_ERR</v>
      </c>
      <c r="AO79" s="59" t="str">
        <f ca="1">_xll.DBRW(Server&amp;Cube1,$H$13,$AC$3,$H$15,$H$17,AO$1,$H$16,$B79)</f>
        <v>*KEY_ERR</v>
      </c>
      <c r="AP79" s="187" t="str">
        <f ca="1">_xll.DBRW(Server&amp;Cube1,$H$13,$AP$3,$H$15,$P$1,AP$2,$H$16,$B79)</f>
        <v>*KEY_ERR</v>
      </c>
      <c r="AQ79" s="54" t="str">
        <f ca="1">_xll.DBRW(Server&amp;Cube1,$H$13,$AP$3,$H$15,$H$17,AQ$1,$H$16,$B79)</f>
        <v>*KEY_ERR</v>
      </c>
      <c r="AR79" s="58" t="str">
        <f ca="1">_xll.DBRW(Server&amp;Cube1,$H$13,$AP$3,$H$15,$H$17,AR$1,$H$16,$B79)</f>
        <v>*KEY_ERR</v>
      </c>
      <c r="AS79" s="58" t="str">
        <f ca="1">_xll.DBRW(Server&amp;Cube1,$H$13,$AP$3,$H$15,$H$17,AS$1,$H$16,$B79)</f>
        <v>*KEY_ERR</v>
      </c>
      <c r="AT79" s="58" t="str">
        <f ca="1">_xll.DBRW(Server&amp;Cube1,$H$13,$AP$3,$H$15,$H$17,AT$1,$H$16,$B79)</f>
        <v>*KEY_ERR</v>
      </c>
      <c r="AU79" s="58" t="str">
        <f ca="1">_xll.DBRW(Server&amp;Cube1,$H$13,$AP$3,$H$15,$H$17,AU$1,$H$16,$B79)</f>
        <v>*KEY_ERR</v>
      </c>
      <c r="AV79" s="58" t="str">
        <f ca="1">_xll.DBRW(Server&amp;Cube1,$H$13,$AP$3,$H$15,$H$17,AV$1,$H$16,$B79)</f>
        <v>*KEY_ERR</v>
      </c>
      <c r="AW79" s="58" t="str">
        <f ca="1">_xll.DBRW(Server&amp;Cube1,$H$13,$AP$3,$H$15,$H$17,AW$1,$H$16,$B79)</f>
        <v>*KEY_ERR</v>
      </c>
      <c r="AX79" s="58" t="str">
        <f ca="1">_xll.DBRW(Server&amp;Cube1,$H$13,$AP$3,$H$15,$H$17,AX$1,$H$16,$B79)</f>
        <v>*KEY_ERR</v>
      </c>
      <c r="AY79" s="58" t="str">
        <f ca="1">_xll.DBRW(Server&amp;Cube1,$H$13,$AP$3,$H$15,$H$17,AY$1,$H$16,$B79)</f>
        <v>*KEY_ERR</v>
      </c>
      <c r="AZ79" s="58" t="str">
        <f ca="1">_xll.DBRW(Server&amp;Cube1,$H$13,$AP$3,$H$15,$H$17,AZ$1,$H$16,$B79)</f>
        <v>*KEY_ERR</v>
      </c>
      <c r="BA79" s="58" t="str">
        <f ca="1">_xll.DBRW(Server&amp;Cube1,$H$13,$AP$3,$H$15,$H$17,BA$1,$H$16,$B79)</f>
        <v>*KEY_ERR</v>
      </c>
      <c r="BB79" s="59" t="str">
        <f ca="1">_xll.DBRW(Server&amp;Cube1,$H$13,$AP$3,$H$15,$H$17,BB$1,$H$16,$B79)</f>
        <v>*KEY_ERR</v>
      </c>
      <c r="BC79" s="187" t="str">
        <f ca="1">_xll.DBRW(Server&amp;Cube1,$H$13,$BC$3,$H$15,$P$1,BC$2,$H$16,$B79)</f>
        <v>*KEY_ERR</v>
      </c>
      <c r="BD79" s="54" t="str">
        <f ca="1">_xll.DBRW(Server&amp;Cube1,$H$13,$BC$3,$H$15,$H$17,BD$1,$H$16,$B79)</f>
        <v>*KEY_ERR</v>
      </c>
      <c r="BE79" s="58" t="str">
        <f ca="1">_xll.DBRW(Server&amp;Cube1,$H$13,$BC$3,$H$15,$H$17,BE$1,$H$16,$B79)</f>
        <v>*KEY_ERR</v>
      </c>
      <c r="BF79" s="58" t="str">
        <f ca="1">_xll.DBRW(Server&amp;Cube1,$H$13,$BC$3,$H$15,$H$17,BF$1,$H$16,$B79)</f>
        <v>*KEY_ERR</v>
      </c>
      <c r="BG79" s="58" t="str">
        <f ca="1">_xll.DBRW(Server&amp;Cube1,$H$13,$BC$3,$H$15,$H$17,BG$1,$H$16,$B79)</f>
        <v>*KEY_ERR</v>
      </c>
      <c r="BH79" s="58" t="str">
        <f ca="1">_xll.DBRW(Server&amp;Cube1,$H$13,$BC$3,$H$15,$H$17,BH$1,$H$16,$B79)</f>
        <v>*KEY_ERR</v>
      </c>
      <c r="BI79" s="58" t="str">
        <f ca="1">_xll.DBRW(Server&amp;Cube1,$H$13,$BC$3,$H$15,$H$17,BI$1,$H$16,$B79)</f>
        <v>*KEY_ERR</v>
      </c>
      <c r="BJ79" s="58" t="str">
        <f ca="1">_xll.DBRW(Server&amp;Cube1,$H$13,$BC$3,$H$15,$H$17,BJ$1,$H$16,$B79)</f>
        <v>*KEY_ERR</v>
      </c>
      <c r="BK79" s="58" t="str">
        <f ca="1">_xll.DBRW(Server&amp;Cube1,$H$13,$BC$3,$H$15,$H$17,BK$1,$H$16,$B79)</f>
        <v>*KEY_ERR</v>
      </c>
      <c r="BL79" s="58" t="str">
        <f ca="1">_xll.DBRW(Server&amp;Cube1,$H$13,$BC$3,$H$15,$H$17,BL$1,$H$16,$B79)</f>
        <v>*KEY_ERR</v>
      </c>
      <c r="BM79" s="58" t="str">
        <f ca="1">_xll.DBRW(Server&amp;Cube1,$H$13,$BC$3,$H$15,$H$17,BM$1,$H$16,$B79)</f>
        <v>*KEY_ERR</v>
      </c>
      <c r="BN79" s="58" t="str">
        <f ca="1">_xll.DBRW(Server&amp;Cube1,$H$13,$BC$3,$H$15,$H$17,BN$1,$H$16,$B79)</f>
        <v>*KEY_ERR</v>
      </c>
      <c r="BO79" s="59" t="str">
        <f ca="1">_xll.DBRW(Server&amp;Cube1,$H$13,$BC$3,$H$15,$H$17,BO$1,$H$16,$B79)</f>
        <v>*KEY_ERR</v>
      </c>
      <c r="BP79" s="31"/>
    </row>
    <row r="80" spans="1:68" ht="21" customHeight="1" x14ac:dyDescent="0.25">
      <c r="A80"/>
      <c r="B80" s="13" t="s">
        <v>43</v>
      </c>
      <c r="C80" s="13"/>
      <c r="D80" s="22"/>
      <c r="E80" s="171"/>
      <c r="F80" s="107"/>
      <c r="G80" s="305" t="str">
        <f ca="1">_xll.DBRA(Server&amp;$B$22,$B80,"French")</f>
        <v>Téléphone mobile</v>
      </c>
      <c r="H80" s="305" t="str">
        <f ca="1">_xll.DBRA(Server&amp;$B$22,$B80,"French")</f>
        <v>Téléphone mobile</v>
      </c>
      <c r="I80" s="37"/>
      <c r="J80" s="54" t="str">
        <f ca="1">_xll.DBRW(Server&amp;Cube1,$H$13,$H$14,$H$15,$J$1,$J$2,$H$16,$B80)</f>
        <v/>
      </c>
      <c r="K80" s="37"/>
      <c r="L80" s="54" t="str">
        <f ca="1">_xll.DBRW(Server&amp;Cube1,$H$13,$H$14,$H$15,$L$1,$L$2,$H$16,$B80)</f>
        <v/>
      </c>
      <c r="M80" s="55"/>
      <c r="N80" s="54" t="str">
        <f ca="1">_xll.DBRW(Server&amp;Cube1,$H$13,$H$14,$H$15,$P$1,N$2,$H$16,$B80)</f>
        <v>*KEY_ERR</v>
      </c>
      <c r="O80" s="57"/>
      <c r="P80" s="54" t="str">
        <f ca="1">_xll.DBRW(Server&amp;Cube1,$H$13,$P$3,$H$15,$P$1,P$2,$H$16,$B80)</f>
        <v>*KEY_ERR</v>
      </c>
      <c r="Q80" s="54" t="str">
        <f ca="1">_xll.DBRW(Server&amp;Cube1,$H$13,$P$3,$H$15,$H$17,Q$1,$H$16,$B80)</f>
        <v>*KEY_ERR</v>
      </c>
      <c r="R80" s="58" t="str">
        <f ca="1">_xll.DBRW(Server&amp;Cube1,$H$13,$P$3,$H$15,$H$17,R$1,$H$16,$B80)</f>
        <v>*KEY_ERR</v>
      </c>
      <c r="S80" s="58" t="str">
        <f ca="1">_xll.DBRW(Server&amp;Cube1,$H$13,$P$3,$H$15,$H$17,S$1,$H$16,$B80)</f>
        <v>*KEY_ERR</v>
      </c>
      <c r="T80" s="58" t="str">
        <f ca="1">_xll.DBRW(Server&amp;Cube1,$H$13,$P$3,$H$15,$H$17,T$1,$H$16,$B80)</f>
        <v>*KEY_ERR</v>
      </c>
      <c r="U80" s="58" t="str">
        <f ca="1">_xll.DBRW(Server&amp;Cube1,$H$13,$P$3,$H$15,$H$17,U$1,$H$16,$B80)</f>
        <v>*KEY_ERR</v>
      </c>
      <c r="V80" s="58" t="str">
        <f ca="1">_xll.DBRW(Server&amp;Cube1,$H$13,$P$3,$H$15,$H$17,V$1,$H$16,$B80)</f>
        <v>*KEY_ERR</v>
      </c>
      <c r="W80" s="58" t="str">
        <f ca="1">_xll.DBRW(Server&amp;Cube1,$H$13,$P$3,$H$15,$H$17,W$1,$H$16,$B80)</f>
        <v>*KEY_ERR</v>
      </c>
      <c r="X80" s="58" t="str">
        <f ca="1">_xll.DBRW(Server&amp;Cube1,$H$13,$P$3,$H$15,$H$17,X$1,$H$16,$B80)</f>
        <v>*KEY_ERR</v>
      </c>
      <c r="Y80" s="58" t="str">
        <f ca="1">_xll.DBRW(Server&amp;Cube1,$H$13,$P$3,$H$15,$H$17,Y$1,$H$16,$B80)</f>
        <v>*KEY_ERR</v>
      </c>
      <c r="Z80" s="58" t="str">
        <f ca="1">_xll.DBRW(Server&amp;Cube1,$H$13,$P$3,$H$15,$H$17,Z$1,$H$16,$B80)</f>
        <v>*KEY_ERR</v>
      </c>
      <c r="AA80" s="58" t="str">
        <f ca="1">_xll.DBRW(Server&amp;Cube1,$H$13,$P$3,$H$15,$H$17,AA$1,$H$16,$B80)</f>
        <v>*KEY_ERR</v>
      </c>
      <c r="AB80" s="59" t="str">
        <f ca="1">_xll.DBRW(Server&amp;Cube1,$H$13,$P$3,$H$15,$H$17,AB$1,$H$16,$B80)</f>
        <v>*KEY_ERR</v>
      </c>
      <c r="AC80" s="187" t="str">
        <f ca="1">_xll.DBRW(Server&amp;Cube1,$H$13,$AC$3,$H$15,$P$1,AC$2,$H$16,$B80)</f>
        <v>*KEY_ERR</v>
      </c>
      <c r="AD80" s="54" t="str">
        <f ca="1">_xll.DBRW(Server&amp;Cube1,$H$13,$AC$3,$H$15,$H$17,AD$1,$H$16,$B80)</f>
        <v>*KEY_ERR</v>
      </c>
      <c r="AE80" s="58" t="str">
        <f ca="1">_xll.DBRW(Server&amp;Cube1,$H$13,$AC$3,$H$15,$H$17,AE$1,$H$16,$B80)</f>
        <v>*KEY_ERR</v>
      </c>
      <c r="AF80" s="58" t="str">
        <f ca="1">_xll.DBRW(Server&amp;Cube1,$H$13,$AC$3,$H$15,$H$17,AF$1,$H$16,$B80)</f>
        <v>*KEY_ERR</v>
      </c>
      <c r="AG80" s="58" t="str">
        <f ca="1">_xll.DBRW(Server&amp;Cube1,$H$13,$AC$3,$H$15,$H$17,AG$1,$H$16,$B80)</f>
        <v>*KEY_ERR</v>
      </c>
      <c r="AH80" s="58" t="str">
        <f ca="1">_xll.DBRW(Server&amp;Cube1,$H$13,$AC$3,$H$15,$H$17,AH$1,$H$16,$B80)</f>
        <v>*KEY_ERR</v>
      </c>
      <c r="AI80" s="58" t="str">
        <f ca="1">_xll.DBRW(Server&amp;Cube1,$H$13,$AC$3,$H$15,$H$17,AI$1,$H$16,$B80)</f>
        <v>*KEY_ERR</v>
      </c>
      <c r="AJ80" s="58" t="str">
        <f ca="1">_xll.DBRW(Server&amp;Cube1,$H$13,$AC$3,$H$15,$H$17,AJ$1,$H$16,$B80)</f>
        <v>*KEY_ERR</v>
      </c>
      <c r="AK80" s="58" t="str">
        <f ca="1">_xll.DBRW(Server&amp;Cube1,$H$13,$AC$3,$H$15,$H$17,AK$1,$H$16,$B80)</f>
        <v>*KEY_ERR</v>
      </c>
      <c r="AL80" s="58" t="str">
        <f ca="1">_xll.DBRW(Server&amp;Cube1,$H$13,$AC$3,$H$15,$H$17,AL$1,$H$16,$B80)</f>
        <v>*KEY_ERR</v>
      </c>
      <c r="AM80" s="58" t="str">
        <f ca="1">_xll.DBRW(Server&amp;Cube1,$H$13,$AC$3,$H$15,$H$17,AM$1,$H$16,$B80)</f>
        <v>*KEY_ERR</v>
      </c>
      <c r="AN80" s="58" t="str">
        <f ca="1">_xll.DBRW(Server&amp;Cube1,$H$13,$AC$3,$H$15,$H$17,AN$1,$H$16,$B80)</f>
        <v>*KEY_ERR</v>
      </c>
      <c r="AO80" s="59" t="str">
        <f ca="1">_xll.DBRW(Server&amp;Cube1,$H$13,$AC$3,$H$15,$H$17,AO$1,$H$16,$B80)</f>
        <v>*KEY_ERR</v>
      </c>
      <c r="AP80" s="187" t="str">
        <f ca="1">_xll.DBRW(Server&amp;Cube1,$H$13,$AP$3,$H$15,$P$1,AP$2,$H$16,$B80)</f>
        <v>*KEY_ERR</v>
      </c>
      <c r="AQ80" s="54" t="str">
        <f ca="1">_xll.DBRW(Server&amp;Cube1,$H$13,$AP$3,$H$15,$H$17,AQ$1,$H$16,$B80)</f>
        <v>*KEY_ERR</v>
      </c>
      <c r="AR80" s="58" t="str">
        <f ca="1">_xll.DBRW(Server&amp;Cube1,$H$13,$AP$3,$H$15,$H$17,AR$1,$H$16,$B80)</f>
        <v>*KEY_ERR</v>
      </c>
      <c r="AS80" s="58" t="str">
        <f ca="1">_xll.DBRW(Server&amp;Cube1,$H$13,$AP$3,$H$15,$H$17,AS$1,$H$16,$B80)</f>
        <v>*KEY_ERR</v>
      </c>
      <c r="AT80" s="58" t="str">
        <f ca="1">_xll.DBRW(Server&amp;Cube1,$H$13,$AP$3,$H$15,$H$17,AT$1,$H$16,$B80)</f>
        <v>*KEY_ERR</v>
      </c>
      <c r="AU80" s="58" t="str">
        <f ca="1">_xll.DBRW(Server&amp;Cube1,$H$13,$AP$3,$H$15,$H$17,AU$1,$H$16,$B80)</f>
        <v>*KEY_ERR</v>
      </c>
      <c r="AV80" s="58" t="str">
        <f ca="1">_xll.DBRW(Server&amp;Cube1,$H$13,$AP$3,$H$15,$H$17,AV$1,$H$16,$B80)</f>
        <v>*KEY_ERR</v>
      </c>
      <c r="AW80" s="58" t="str">
        <f ca="1">_xll.DBRW(Server&amp;Cube1,$H$13,$AP$3,$H$15,$H$17,AW$1,$H$16,$B80)</f>
        <v>*KEY_ERR</v>
      </c>
      <c r="AX80" s="58" t="str">
        <f ca="1">_xll.DBRW(Server&amp;Cube1,$H$13,$AP$3,$H$15,$H$17,AX$1,$H$16,$B80)</f>
        <v>*KEY_ERR</v>
      </c>
      <c r="AY80" s="58" t="str">
        <f ca="1">_xll.DBRW(Server&amp;Cube1,$H$13,$AP$3,$H$15,$H$17,AY$1,$H$16,$B80)</f>
        <v>*KEY_ERR</v>
      </c>
      <c r="AZ80" s="58" t="str">
        <f ca="1">_xll.DBRW(Server&amp;Cube1,$H$13,$AP$3,$H$15,$H$17,AZ$1,$H$16,$B80)</f>
        <v>*KEY_ERR</v>
      </c>
      <c r="BA80" s="58" t="str">
        <f ca="1">_xll.DBRW(Server&amp;Cube1,$H$13,$AP$3,$H$15,$H$17,BA$1,$H$16,$B80)</f>
        <v>*KEY_ERR</v>
      </c>
      <c r="BB80" s="59" t="str">
        <f ca="1">_xll.DBRW(Server&amp;Cube1,$H$13,$AP$3,$H$15,$H$17,BB$1,$H$16,$B80)</f>
        <v>*KEY_ERR</v>
      </c>
      <c r="BC80" s="187" t="str">
        <f ca="1">_xll.DBRW(Server&amp;Cube1,$H$13,$BC$3,$H$15,$P$1,BC$2,$H$16,$B80)</f>
        <v>*KEY_ERR</v>
      </c>
      <c r="BD80" s="54" t="str">
        <f ca="1">_xll.DBRW(Server&amp;Cube1,$H$13,$BC$3,$H$15,$H$17,BD$1,$H$16,$B80)</f>
        <v>*KEY_ERR</v>
      </c>
      <c r="BE80" s="58" t="str">
        <f ca="1">_xll.DBRW(Server&amp;Cube1,$H$13,$BC$3,$H$15,$H$17,BE$1,$H$16,$B80)</f>
        <v>*KEY_ERR</v>
      </c>
      <c r="BF80" s="58" t="str">
        <f ca="1">_xll.DBRW(Server&amp;Cube1,$H$13,$BC$3,$H$15,$H$17,BF$1,$H$16,$B80)</f>
        <v>*KEY_ERR</v>
      </c>
      <c r="BG80" s="58" t="str">
        <f ca="1">_xll.DBRW(Server&amp;Cube1,$H$13,$BC$3,$H$15,$H$17,BG$1,$H$16,$B80)</f>
        <v>*KEY_ERR</v>
      </c>
      <c r="BH80" s="58" t="str">
        <f ca="1">_xll.DBRW(Server&amp;Cube1,$H$13,$BC$3,$H$15,$H$17,BH$1,$H$16,$B80)</f>
        <v>*KEY_ERR</v>
      </c>
      <c r="BI80" s="58" t="str">
        <f ca="1">_xll.DBRW(Server&amp;Cube1,$H$13,$BC$3,$H$15,$H$17,BI$1,$H$16,$B80)</f>
        <v>*KEY_ERR</v>
      </c>
      <c r="BJ80" s="58" t="str">
        <f ca="1">_xll.DBRW(Server&amp;Cube1,$H$13,$BC$3,$H$15,$H$17,BJ$1,$H$16,$B80)</f>
        <v>*KEY_ERR</v>
      </c>
      <c r="BK80" s="58" t="str">
        <f ca="1">_xll.DBRW(Server&amp;Cube1,$H$13,$BC$3,$H$15,$H$17,BK$1,$H$16,$B80)</f>
        <v>*KEY_ERR</v>
      </c>
      <c r="BL80" s="58" t="str">
        <f ca="1">_xll.DBRW(Server&amp;Cube1,$H$13,$BC$3,$H$15,$H$17,BL$1,$H$16,$B80)</f>
        <v>*KEY_ERR</v>
      </c>
      <c r="BM80" s="58" t="str">
        <f ca="1">_xll.DBRW(Server&amp;Cube1,$H$13,$BC$3,$H$15,$H$17,BM$1,$H$16,$B80)</f>
        <v>*KEY_ERR</v>
      </c>
      <c r="BN80" s="58" t="str">
        <f ca="1">_xll.DBRW(Server&amp;Cube1,$H$13,$BC$3,$H$15,$H$17,BN$1,$H$16,$B80)</f>
        <v>*KEY_ERR</v>
      </c>
      <c r="BO80" s="59" t="str">
        <f ca="1">_xll.DBRW(Server&amp;Cube1,$H$13,$BC$3,$H$15,$H$17,BO$1,$H$16,$B80)</f>
        <v>*KEY_ERR</v>
      </c>
      <c r="BP80" s="31"/>
    </row>
    <row r="81" spans="1:68" ht="6.75" customHeight="1" x14ac:dyDescent="0.25">
      <c r="A81"/>
      <c r="B81" s="11"/>
      <c r="C81" s="11"/>
      <c r="D81" s="20"/>
      <c r="E81" s="170"/>
      <c r="F81" s="106"/>
      <c r="G81" s="43"/>
      <c r="H81" s="43"/>
      <c r="I81" s="38"/>
      <c r="J81" s="62"/>
      <c r="K81" s="38"/>
      <c r="L81" s="62"/>
      <c r="M81" s="63"/>
      <c r="N81" s="62"/>
      <c r="O81" s="64"/>
      <c r="P81" s="62"/>
      <c r="Q81" s="62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6"/>
      <c r="AC81" s="186"/>
      <c r="AD81" s="62"/>
      <c r="AE81" s="65"/>
      <c r="AF81" s="65"/>
      <c r="AG81" s="65"/>
      <c r="AH81" s="65"/>
      <c r="AI81" s="65"/>
      <c r="AJ81" s="65"/>
      <c r="AK81" s="65"/>
      <c r="AL81" s="65"/>
      <c r="AM81" s="65"/>
      <c r="AN81" s="65"/>
      <c r="AO81" s="66"/>
      <c r="AP81" s="186"/>
      <c r="AQ81" s="62"/>
      <c r="AR81" s="65"/>
      <c r="AS81" s="65"/>
      <c r="AT81" s="65"/>
      <c r="AU81" s="65"/>
      <c r="AV81" s="65"/>
      <c r="AW81" s="65"/>
      <c r="AX81" s="65"/>
      <c r="AY81" s="65"/>
      <c r="AZ81" s="65"/>
      <c r="BA81" s="65"/>
      <c r="BB81" s="66"/>
      <c r="BC81" s="62"/>
      <c r="BD81" s="62"/>
      <c r="BE81" s="65"/>
      <c r="BF81" s="65"/>
      <c r="BG81" s="65"/>
      <c r="BH81" s="65"/>
      <c r="BI81" s="65"/>
      <c r="BJ81" s="65"/>
      <c r="BK81" s="65"/>
      <c r="BL81" s="65"/>
      <c r="BM81" s="65"/>
      <c r="BN81" s="65"/>
      <c r="BO81" s="66"/>
      <c r="BP81" s="31"/>
    </row>
    <row r="82" spans="1:68" ht="21" customHeight="1" x14ac:dyDescent="0.25">
      <c r="A82"/>
      <c r="B82" s="12" t="s">
        <v>44</v>
      </c>
      <c r="C82" s="12"/>
      <c r="D82" s="21"/>
      <c r="E82" s="169"/>
      <c r="F82" s="105"/>
      <c r="G82" s="315" t="str">
        <f ca="1">_xll.DBRA(Server&amp;$B$22,$B82,"French")</f>
        <v>Honoraires</v>
      </c>
      <c r="H82" s="315" t="str">
        <f ca="1">_xll.DBRA(Server&amp;$B$22,$B82,"French")</f>
        <v>Honoraires</v>
      </c>
      <c r="I82" s="39"/>
      <c r="J82" s="67" t="str">
        <f ca="1">_xll.DBRW(Server&amp;Cube1,$H$13,$H$14,$H$15,$J$1,$J$2,$H$16,$B82)</f>
        <v/>
      </c>
      <c r="K82" s="39"/>
      <c r="L82" s="67" t="str">
        <f ca="1">_xll.DBRW(Server&amp;Cube1,$H$13,$H$14,$H$15,$L$1,$L$2,$H$16,$B82)</f>
        <v/>
      </c>
      <c r="M82" s="68"/>
      <c r="N82" s="67" t="str">
        <f ca="1">_xll.DBRW(Server&amp;Cube1,$H$13,$H$14,$H$15,$P$1,N$2,$H$16,$B82)</f>
        <v>*KEY_ERR</v>
      </c>
      <c r="O82" s="69"/>
      <c r="P82" s="67" t="str">
        <f ca="1">_xll.DBRW(Server&amp;Cube1,$H$13,$P$3,$H$15,$P$1,P$2,$H$16,$B82)</f>
        <v>*KEY_ERR</v>
      </c>
      <c r="Q82" s="67" t="str">
        <f ca="1">_xll.DBRW(Server&amp;Cube1,$H$13,$P$3,$H$15,$H$17,Q$1,$H$16,$B82)</f>
        <v>*KEY_ERR</v>
      </c>
      <c r="R82" s="70" t="str">
        <f ca="1">_xll.DBRW(Server&amp;Cube1,$H$13,$P$3,$H$15,$H$17,R$1,$H$16,$B82)</f>
        <v>*KEY_ERR</v>
      </c>
      <c r="S82" s="70" t="str">
        <f ca="1">_xll.DBRW(Server&amp;Cube1,$H$13,$P$3,$H$15,$H$17,S$1,$H$16,$B82)</f>
        <v>*KEY_ERR</v>
      </c>
      <c r="T82" s="70" t="str">
        <f ca="1">_xll.DBRW(Server&amp;Cube1,$H$13,$P$3,$H$15,$H$17,T$1,$H$16,$B82)</f>
        <v>*KEY_ERR</v>
      </c>
      <c r="U82" s="70" t="str">
        <f ca="1">_xll.DBRW(Server&amp;Cube1,$H$13,$P$3,$H$15,$H$17,U$1,$H$16,$B82)</f>
        <v>*KEY_ERR</v>
      </c>
      <c r="V82" s="70" t="str">
        <f ca="1">_xll.DBRW(Server&amp;Cube1,$H$13,$P$3,$H$15,$H$17,V$1,$H$16,$B82)</f>
        <v>*KEY_ERR</v>
      </c>
      <c r="W82" s="70" t="str">
        <f ca="1">_xll.DBRW(Server&amp;Cube1,$H$13,$P$3,$H$15,$H$17,W$1,$H$16,$B82)</f>
        <v>*KEY_ERR</v>
      </c>
      <c r="X82" s="70" t="str">
        <f ca="1">_xll.DBRW(Server&amp;Cube1,$H$13,$P$3,$H$15,$H$17,X$1,$H$16,$B82)</f>
        <v>*KEY_ERR</v>
      </c>
      <c r="Y82" s="70" t="str">
        <f ca="1">_xll.DBRW(Server&amp;Cube1,$H$13,$P$3,$H$15,$H$17,Y$1,$H$16,$B82)</f>
        <v>*KEY_ERR</v>
      </c>
      <c r="Z82" s="70" t="str">
        <f ca="1">_xll.DBRW(Server&amp;Cube1,$H$13,$P$3,$H$15,$H$17,Z$1,$H$16,$B82)</f>
        <v>*KEY_ERR</v>
      </c>
      <c r="AA82" s="70" t="str">
        <f ca="1">_xll.DBRW(Server&amp;Cube1,$H$13,$P$3,$H$15,$H$17,AA$1,$H$16,$B82)</f>
        <v>*KEY_ERR</v>
      </c>
      <c r="AB82" s="71" t="str">
        <f ca="1">_xll.DBRW(Server&amp;Cube1,$H$13,$P$3,$H$15,$H$17,AB$1,$H$16,$B82)</f>
        <v>*KEY_ERR</v>
      </c>
      <c r="AC82" s="185" t="str">
        <f ca="1">_xll.DBRW(Server&amp;Cube1,$H$13,$AC$3,$H$15,$P$1,AC$2,$H$16,$B82)</f>
        <v>*KEY_ERR</v>
      </c>
      <c r="AD82" s="67" t="str">
        <f ca="1">_xll.DBRW(Server&amp;Cube1,$H$13,$AC$3,$H$15,$H$17,AD$1,$H$16,$B82)</f>
        <v>*KEY_ERR</v>
      </c>
      <c r="AE82" s="70" t="str">
        <f ca="1">_xll.DBRW(Server&amp;Cube1,$H$13,$AC$3,$H$15,$H$17,AE$1,$H$16,$B82)</f>
        <v>*KEY_ERR</v>
      </c>
      <c r="AF82" s="70" t="str">
        <f ca="1">_xll.DBRW(Server&amp;Cube1,$H$13,$AC$3,$H$15,$H$17,AF$1,$H$16,$B82)</f>
        <v>*KEY_ERR</v>
      </c>
      <c r="AG82" s="70" t="str">
        <f ca="1">_xll.DBRW(Server&amp;Cube1,$H$13,$AC$3,$H$15,$H$17,AG$1,$H$16,$B82)</f>
        <v>*KEY_ERR</v>
      </c>
      <c r="AH82" s="70" t="str">
        <f ca="1">_xll.DBRW(Server&amp;Cube1,$H$13,$AC$3,$H$15,$H$17,AH$1,$H$16,$B82)</f>
        <v>*KEY_ERR</v>
      </c>
      <c r="AI82" s="70" t="str">
        <f ca="1">_xll.DBRW(Server&amp;Cube1,$H$13,$AC$3,$H$15,$H$17,AI$1,$H$16,$B82)</f>
        <v>*KEY_ERR</v>
      </c>
      <c r="AJ82" s="70" t="str">
        <f ca="1">_xll.DBRW(Server&amp;Cube1,$H$13,$AC$3,$H$15,$H$17,AJ$1,$H$16,$B82)</f>
        <v>*KEY_ERR</v>
      </c>
      <c r="AK82" s="70" t="str">
        <f ca="1">_xll.DBRW(Server&amp;Cube1,$H$13,$AC$3,$H$15,$H$17,AK$1,$H$16,$B82)</f>
        <v>*KEY_ERR</v>
      </c>
      <c r="AL82" s="70" t="str">
        <f ca="1">_xll.DBRW(Server&amp;Cube1,$H$13,$AC$3,$H$15,$H$17,AL$1,$H$16,$B82)</f>
        <v>*KEY_ERR</v>
      </c>
      <c r="AM82" s="70" t="str">
        <f ca="1">_xll.DBRW(Server&amp;Cube1,$H$13,$AC$3,$H$15,$H$17,AM$1,$H$16,$B82)</f>
        <v>*KEY_ERR</v>
      </c>
      <c r="AN82" s="70" t="str">
        <f ca="1">_xll.DBRW(Server&amp;Cube1,$H$13,$AC$3,$H$15,$H$17,AN$1,$H$16,$B82)</f>
        <v>*KEY_ERR</v>
      </c>
      <c r="AO82" s="71" t="str">
        <f ca="1">_xll.DBRW(Server&amp;Cube1,$H$13,$AC$3,$H$15,$H$17,AO$1,$H$16,$B82)</f>
        <v>*KEY_ERR</v>
      </c>
      <c r="AP82" s="185" t="str">
        <f ca="1">_xll.DBRW(Server&amp;Cube1,$H$13,$AP$3,$H$15,$P$1,AP$2,$H$16,$B82)</f>
        <v>*KEY_ERR</v>
      </c>
      <c r="AQ82" s="67" t="str">
        <f ca="1">_xll.DBRW(Server&amp;Cube1,$H$13,$AP$3,$H$15,$H$17,AQ$1,$H$16,$B82)</f>
        <v>*KEY_ERR</v>
      </c>
      <c r="AR82" s="70" t="str">
        <f ca="1">_xll.DBRW(Server&amp;Cube1,$H$13,$AP$3,$H$15,$H$17,AR$1,$H$16,$B82)</f>
        <v>*KEY_ERR</v>
      </c>
      <c r="AS82" s="70" t="str">
        <f ca="1">_xll.DBRW(Server&amp;Cube1,$H$13,$AP$3,$H$15,$H$17,AS$1,$H$16,$B82)</f>
        <v>*KEY_ERR</v>
      </c>
      <c r="AT82" s="70" t="str">
        <f ca="1">_xll.DBRW(Server&amp;Cube1,$H$13,$AP$3,$H$15,$H$17,AT$1,$H$16,$B82)</f>
        <v>*KEY_ERR</v>
      </c>
      <c r="AU82" s="70" t="str">
        <f ca="1">_xll.DBRW(Server&amp;Cube1,$H$13,$AP$3,$H$15,$H$17,AU$1,$H$16,$B82)</f>
        <v>*KEY_ERR</v>
      </c>
      <c r="AV82" s="70" t="str">
        <f ca="1">_xll.DBRW(Server&amp;Cube1,$H$13,$AP$3,$H$15,$H$17,AV$1,$H$16,$B82)</f>
        <v>*KEY_ERR</v>
      </c>
      <c r="AW82" s="70" t="str">
        <f ca="1">_xll.DBRW(Server&amp;Cube1,$H$13,$AP$3,$H$15,$H$17,AW$1,$H$16,$B82)</f>
        <v>*KEY_ERR</v>
      </c>
      <c r="AX82" s="70" t="str">
        <f ca="1">_xll.DBRW(Server&amp;Cube1,$H$13,$AP$3,$H$15,$H$17,AX$1,$H$16,$B82)</f>
        <v>*KEY_ERR</v>
      </c>
      <c r="AY82" s="70" t="str">
        <f ca="1">_xll.DBRW(Server&amp;Cube1,$H$13,$AP$3,$H$15,$H$17,AY$1,$H$16,$B82)</f>
        <v>*KEY_ERR</v>
      </c>
      <c r="AZ82" s="70" t="str">
        <f ca="1">_xll.DBRW(Server&amp;Cube1,$H$13,$AP$3,$H$15,$H$17,AZ$1,$H$16,$B82)</f>
        <v>*KEY_ERR</v>
      </c>
      <c r="BA82" s="70" t="str">
        <f ca="1">_xll.DBRW(Server&amp;Cube1,$H$13,$AP$3,$H$15,$H$17,BA$1,$H$16,$B82)</f>
        <v>*KEY_ERR</v>
      </c>
      <c r="BB82" s="71" t="str">
        <f ca="1">_xll.DBRW(Server&amp;Cube1,$H$13,$AP$3,$H$15,$H$17,BB$1,$H$16,$B82)</f>
        <v>*KEY_ERR</v>
      </c>
      <c r="BC82" s="185" t="str">
        <f ca="1">_xll.DBRW(Server&amp;Cube1,$H$13,$BC$3,$H$15,$P$1,BC$2,$H$16,$B82)</f>
        <v>*KEY_ERR</v>
      </c>
      <c r="BD82" s="67" t="str">
        <f ca="1">_xll.DBRW(Server&amp;Cube1,$H$13,$BC$3,$H$15,$H$17,BD$1,$H$16,$B82)</f>
        <v>*KEY_ERR</v>
      </c>
      <c r="BE82" s="70" t="str">
        <f ca="1">_xll.DBRW(Server&amp;Cube1,$H$13,$BC$3,$H$15,$H$17,BE$1,$H$16,$B82)</f>
        <v>*KEY_ERR</v>
      </c>
      <c r="BF82" s="70" t="str">
        <f ca="1">_xll.DBRW(Server&amp;Cube1,$H$13,$BC$3,$H$15,$H$17,BF$1,$H$16,$B82)</f>
        <v>*KEY_ERR</v>
      </c>
      <c r="BG82" s="70" t="str">
        <f ca="1">_xll.DBRW(Server&amp;Cube1,$H$13,$BC$3,$H$15,$H$17,BG$1,$H$16,$B82)</f>
        <v>*KEY_ERR</v>
      </c>
      <c r="BH82" s="70" t="str">
        <f ca="1">_xll.DBRW(Server&amp;Cube1,$H$13,$BC$3,$H$15,$H$17,BH$1,$H$16,$B82)</f>
        <v>*KEY_ERR</v>
      </c>
      <c r="BI82" s="70" t="str">
        <f ca="1">_xll.DBRW(Server&amp;Cube1,$H$13,$BC$3,$H$15,$H$17,BI$1,$H$16,$B82)</f>
        <v>*KEY_ERR</v>
      </c>
      <c r="BJ82" s="70" t="str">
        <f ca="1">_xll.DBRW(Server&amp;Cube1,$H$13,$BC$3,$H$15,$H$17,BJ$1,$H$16,$B82)</f>
        <v>*KEY_ERR</v>
      </c>
      <c r="BK82" s="70" t="str">
        <f ca="1">_xll.DBRW(Server&amp;Cube1,$H$13,$BC$3,$H$15,$H$17,BK$1,$H$16,$B82)</f>
        <v>*KEY_ERR</v>
      </c>
      <c r="BL82" s="70" t="str">
        <f ca="1">_xll.DBRW(Server&amp;Cube1,$H$13,$BC$3,$H$15,$H$17,BL$1,$H$16,$B82)</f>
        <v>*KEY_ERR</v>
      </c>
      <c r="BM82" s="70" t="str">
        <f ca="1">_xll.DBRW(Server&amp;Cube1,$H$13,$BC$3,$H$15,$H$17,BM$1,$H$16,$B82)</f>
        <v>*KEY_ERR</v>
      </c>
      <c r="BN82" s="70" t="str">
        <f ca="1">_xll.DBRW(Server&amp;Cube1,$H$13,$BC$3,$H$15,$H$17,BN$1,$H$16,$B82)</f>
        <v>*KEY_ERR</v>
      </c>
      <c r="BO82" s="71" t="str">
        <f ca="1">_xll.DBRW(Server&amp;Cube1,$H$13,$BC$3,$H$15,$H$17,BO$1,$H$16,$B82)</f>
        <v>*KEY_ERR</v>
      </c>
      <c r="BP82" s="31"/>
    </row>
    <row r="83" spans="1:68" ht="21" customHeight="1" x14ac:dyDescent="0.25">
      <c r="A83"/>
      <c r="B83" s="13" t="s">
        <v>117</v>
      </c>
      <c r="C83" s="13"/>
      <c r="D83" s="22"/>
      <c r="E83" s="171"/>
      <c r="F83" s="107"/>
      <c r="G83" s="305" t="str">
        <f ca="1">_xll.DBRA(Server&amp;$B$22,$B83,"French")</f>
        <v>Assistance comptable et financière</v>
      </c>
      <c r="H83" s="305" t="str">
        <f ca="1">_xll.DBRA(Server&amp;$B$22,$B83,"French")</f>
        <v>Assistance comptable et financière</v>
      </c>
      <c r="I83" s="37"/>
      <c r="J83" s="54" t="str">
        <f ca="1">_xll.DBRW(Server&amp;Cube1,$H$13,$H$14,$H$15,$J$1,$J$2,$H$16,$B83)</f>
        <v/>
      </c>
      <c r="K83" s="37"/>
      <c r="L83" s="54" t="str">
        <f ca="1">_xll.DBRW(Server&amp;Cube1,$H$13,$H$14,$H$15,$L$1,$L$2,$H$16,$B83)</f>
        <v/>
      </c>
      <c r="M83" s="55"/>
      <c r="N83" s="54" t="str">
        <f ca="1">_xll.DBRW(Server&amp;Cube1,$H$13,$H$14,$H$15,$P$1,N$2,$H$16,$B83)</f>
        <v>*KEY_ERR</v>
      </c>
      <c r="O83" s="57"/>
      <c r="P83" s="54" t="str">
        <f ca="1">_xll.DBRW(Server&amp;Cube1,$H$13,$P$3,$H$15,$P$1,P$2,$H$16,$B83)</f>
        <v>*KEY_ERR</v>
      </c>
      <c r="Q83" s="54" t="str">
        <f ca="1">_xll.DBRW(Server&amp;Cube1,$H$13,$P$3,$H$15,$H$17,Q$1,$H$16,$B83)</f>
        <v>*KEY_ERR</v>
      </c>
      <c r="R83" s="58" t="str">
        <f ca="1">_xll.DBRW(Server&amp;Cube1,$H$13,$P$3,$H$15,$H$17,R$1,$H$16,$B83)</f>
        <v>*KEY_ERR</v>
      </c>
      <c r="S83" s="58" t="str">
        <f ca="1">_xll.DBRW(Server&amp;Cube1,$H$13,$P$3,$H$15,$H$17,S$1,$H$16,$B83)</f>
        <v>*KEY_ERR</v>
      </c>
      <c r="T83" s="58" t="str">
        <f ca="1">_xll.DBRW(Server&amp;Cube1,$H$13,$P$3,$H$15,$H$17,T$1,$H$16,$B83)</f>
        <v>*KEY_ERR</v>
      </c>
      <c r="U83" s="58" t="str">
        <f ca="1">_xll.DBRW(Server&amp;Cube1,$H$13,$P$3,$H$15,$H$17,U$1,$H$16,$B83)</f>
        <v>*KEY_ERR</v>
      </c>
      <c r="V83" s="58" t="str">
        <f ca="1">_xll.DBRW(Server&amp;Cube1,$H$13,$P$3,$H$15,$H$17,V$1,$H$16,$B83)</f>
        <v>*KEY_ERR</v>
      </c>
      <c r="W83" s="58" t="str">
        <f ca="1">_xll.DBRW(Server&amp;Cube1,$H$13,$P$3,$H$15,$H$17,W$1,$H$16,$B83)</f>
        <v>*KEY_ERR</v>
      </c>
      <c r="X83" s="58" t="str">
        <f ca="1">_xll.DBRW(Server&amp;Cube1,$H$13,$P$3,$H$15,$H$17,X$1,$H$16,$B83)</f>
        <v>*KEY_ERR</v>
      </c>
      <c r="Y83" s="58" t="str">
        <f ca="1">_xll.DBRW(Server&amp;Cube1,$H$13,$P$3,$H$15,$H$17,Y$1,$H$16,$B83)</f>
        <v>*KEY_ERR</v>
      </c>
      <c r="Z83" s="58" t="str">
        <f ca="1">_xll.DBRW(Server&amp;Cube1,$H$13,$P$3,$H$15,$H$17,Z$1,$H$16,$B83)</f>
        <v>*KEY_ERR</v>
      </c>
      <c r="AA83" s="58" t="str">
        <f ca="1">_xll.DBRW(Server&amp;Cube1,$H$13,$P$3,$H$15,$H$17,AA$1,$H$16,$B83)</f>
        <v>*KEY_ERR</v>
      </c>
      <c r="AB83" s="59" t="str">
        <f ca="1">_xll.DBRW(Server&amp;Cube1,$H$13,$P$3,$H$15,$H$17,AB$1,$H$16,$B83)</f>
        <v>*KEY_ERR</v>
      </c>
      <c r="AC83" s="187" t="str">
        <f ca="1">_xll.DBRW(Server&amp;Cube1,$H$13,$AC$3,$H$15,$P$1,AC$2,$H$16,$B83)</f>
        <v>*KEY_ERR</v>
      </c>
      <c r="AD83" s="54" t="str">
        <f ca="1">_xll.DBRW(Server&amp;Cube1,$H$13,$AC$3,$H$15,$H$17,AD$1,$H$16,$B83)</f>
        <v>*KEY_ERR</v>
      </c>
      <c r="AE83" s="58" t="str">
        <f ca="1">_xll.DBRW(Server&amp;Cube1,$H$13,$AC$3,$H$15,$H$17,AE$1,$H$16,$B83)</f>
        <v>*KEY_ERR</v>
      </c>
      <c r="AF83" s="58" t="str">
        <f ca="1">_xll.DBRW(Server&amp;Cube1,$H$13,$AC$3,$H$15,$H$17,AF$1,$H$16,$B83)</f>
        <v>*KEY_ERR</v>
      </c>
      <c r="AG83" s="58" t="str">
        <f ca="1">_xll.DBRW(Server&amp;Cube1,$H$13,$AC$3,$H$15,$H$17,AG$1,$H$16,$B83)</f>
        <v>*KEY_ERR</v>
      </c>
      <c r="AH83" s="58" t="str">
        <f ca="1">_xll.DBRW(Server&amp;Cube1,$H$13,$AC$3,$H$15,$H$17,AH$1,$H$16,$B83)</f>
        <v>*KEY_ERR</v>
      </c>
      <c r="AI83" s="58" t="str">
        <f ca="1">_xll.DBRW(Server&amp;Cube1,$H$13,$AC$3,$H$15,$H$17,AI$1,$H$16,$B83)</f>
        <v>*KEY_ERR</v>
      </c>
      <c r="AJ83" s="58" t="str">
        <f ca="1">_xll.DBRW(Server&amp;Cube1,$H$13,$AC$3,$H$15,$H$17,AJ$1,$H$16,$B83)</f>
        <v>*KEY_ERR</v>
      </c>
      <c r="AK83" s="58" t="str">
        <f ca="1">_xll.DBRW(Server&amp;Cube1,$H$13,$AC$3,$H$15,$H$17,AK$1,$H$16,$B83)</f>
        <v>*KEY_ERR</v>
      </c>
      <c r="AL83" s="58" t="str">
        <f ca="1">_xll.DBRW(Server&amp;Cube1,$H$13,$AC$3,$H$15,$H$17,AL$1,$H$16,$B83)</f>
        <v>*KEY_ERR</v>
      </c>
      <c r="AM83" s="58" t="str">
        <f ca="1">_xll.DBRW(Server&amp;Cube1,$H$13,$AC$3,$H$15,$H$17,AM$1,$H$16,$B83)</f>
        <v>*KEY_ERR</v>
      </c>
      <c r="AN83" s="58" t="str">
        <f ca="1">_xll.DBRW(Server&amp;Cube1,$H$13,$AC$3,$H$15,$H$17,AN$1,$H$16,$B83)</f>
        <v>*KEY_ERR</v>
      </c>
      <c r="AO83" s="59" t="str">
        <f ca="1">_xll.DBRW(Server&amp;Cube1,$H$13,$AC$3,$H$15,$H$17,AO$1,$H$16,$B83)</f>
        <v>*KEY_ERR</v>
      </c>
      <c r="AP83" s="187" t="str">
        <f ca="1">_xll.DBRW(Server&amp;Cube1,$H$13,$AP$3,$H$15,$P$1,AP$2,$H$16,$B83)</f>
        <v>*KEY_ERR</v>
      </c>
      <c r="AQ83" s="54" t="str">
        <f ca="1">_xll.DBRW(Server&amp;Cube1,$H$13,$AP$3,$H$15,$H$17,AQ$1,$H$16,$B83)</f>
        <v>*KEY_ERR</v>
      </c>
      <c r="AR83" s="58" t="str">
        <f ca="1">_xll.DBRW(Server&amp;Cube1,$H$13,$AP$3,$H$15,$H$17,AR$1,$H$16,$B83)</f>
        <v>*KEY_ERR</v>
      </c>
      <c r="AS83" s="58" t="str">
        <f ca="1">_xll.DBRW(Server&amp;Cube1,$H$13,$AP$3,$H$15,$H$17,AS$1,$H$16,$B83)</f>
        <v>*KEY_ERR</v>
      </c>
      <c r="AT83" s="58" t="str">
        <f ca="1">_xll.DBRW(Server&amp;Cube1,$H$13,$AP$3,$H$15,$H$17,AT$1,$H$16,$B83)</f>
        <v>*KEY_ERR</v>
      </c>
      <c r="AU83" s="58" t="str">
        <f ca="1">_xll.DBRW(Server&amp;Cube1,$H$13,$AP$3,$H$15,$H$17,AU$1,$H$16,$B83)</f>
        <v>*KEY_ERR</v>
      </c>
      <c r="AV83" s="58" t="str">
        <f ca="1">_xll.DBRW(Server&amp;Cube1,$H$13,$AP$3,$H$15,$H$17,AV$1,$H$16,$B83)</f>
        <v>*KEY_ERR</v>
      </c>
      <c r="AW83" s="58" t="str">
        <f ca="1">_xll.DBRW(Server&amp;Cube1,$H$13,$AP$3,$H$15,$H$17,AW$1,$H$16,$B83)</f>
        <v>*KEY_ERR</v>
      </c>
      <c r="AX83" s="58" t="str">
        <f ca="1">_xll.DBRW(Server&amp;Cube1,$H$13,$AP$3,$H$15,$H$17,AX$1,$H$16,$B83)</f>
        <v>*KEY_ERR</v>
      </c>
      <c r="AY83" s="58" t="str">
        <f ca="1">_xll.DBRW(Server&amp;Cube1,$H$13,$AP$3,$H$15,$H$17,AY$1,$H$16,$B83)</f>
        <v>*KEY_ERR</v>
      </c>
      <c r="AZ83" s="58" t="str">
        <f ca="1">_xll.DBRW(Server&amp;Cube1,$H$13,$AP$3,$H$15,$H$17,AZ$1,$H$16,$B83)</f>
        <v>*KEY_ERR</v>
      </c>
      <c r="BA83" s="58" t="str">
        <f ca="1">_xll.DBRW(Server&amp;Cube1,$H$13,$AP$3,$H$15,$H$17,BA$1,$H$16,$B83)</f>
        <v>*KEY_ERR</v>
      </c>
      <c r="BB83" s="59" t="str">
        <f ca="1">_xll.DBRW(Server&amp;Cube1,$H$13,$AP$3,$H$15,$H$17,BB$1,$H$16,$B83)</f>
        <v>*KEY_ERR</v>
      </c>
      <c r="BC83" s="187" t="str">
        <f ca="1">_xll.DBRW(Server&amp;Cube1,$H$13,$BC$3,$H$15,$P$1,BC$2,$H$16,$B83)</f>
        <v>*KEY_ERR</v>
      </c>
      <c r="BD83" s="54" t="str">
        <f ca="1">_xll.DBRW(Server&amp;Cube1,$H$13,$BC$3,$H$15,$H$17,BD$1,$H$16,$B83)</f>
        <v>*KEY_ERR</v>
      </c>
      <c r="BE83" s="58" t="str">
        <f ca="1">_xll.DBRW(Server&amp;Cube1,$H$13,$BC$3,$H$15,$H$17,BE$1,$H$16,$B83)</f>
        <v>*KEY_ERR</v>
      </c>
      <c r="BF83" s="58" t="str">
        <f ca="1">_xll.DBRW(Server&amp;Cube1,$H$13,$BC$3,$H$15,$H$17,BF$1,$H$16,$B83)</f>
        <v>*KEY_ERR</v>
      </c>
      <c r="BG83" s="58" t="str">
        <f ca="1">_xll.DBRW(Server&amp;Cube1,$H$13,$BC$3,$H$15,$H$17,BG$1,$H$16,$B83)</f>
        <v>*KEY_ERR</v>
      </c>
      <c r="BH83" s="58" t="str">
        <f ca="1">_xll.DBRW(Server&amp;Cube1,$H$13,$BC$3,$H$15,$H$17,BH$1,$H$16,$B83)</f>
        <v>*KEY_ERR</v>
      </c>
      <c r="BI83" s="58" t="str">
        <f ca="1">_xll.DBRW(Server&amp;Cube1,$H$13,$BC$3,$H$15,$H$17,BI$1,$H$16,$B83)</f>
        <v>*KEY_ERR</v>
      </c>
      <c r="BJ83" s="58" t="str">
        <f ca="1">_xll.DBRW(Server&amp;Cube1,$H$13,$BC$3,$H$15,$H$17,BJ$1,$H$16,$B83)</f>
        <v>*KEY_ERR</v>
      </c>
      <c r="BK83" s="58" t="str">
        <f ca="1">_xll.DBRW(Server&amp;Cube1,$H$13,$BC$3,$H$15,$H$17,BK$1,$H$16,$B83)</f>
        <v>*KEY_ERR</v>
      </c>
      <c r="BL83" s="58" t="str">
        <f ca="1">_xll.DBRW(Server&amp;Cube1,$H$13,$BC$3,$H$15,$H$17,BL$1,$H$16,$B83)</f>
        <v>*KEY_ERR</v>
      </c>
      <c r="BM83" s="58" t="str">
        <f ca="1">_xll.DBRW(Server&amp;Cube1,$H$13,$BC$3,$H$15,$H$17,BM$1,$H$16,$B83)</f>
        <v>*KEY_ERR</v>
      </c>
      <c r="BN83" s="58" t="str">
        <f ca="1">_xll.DBRW(Server&amp;Cube1,$H$13,$BC$3,$H$15,$H$17,BN$1,$H$16,$B83)</f>
        <v>*KEY_ERR</v>
      </c>
      <c r="BO83" s="59" t="str">
        <f ca="1">_xll.DBRW(Server&amp;Cube1,$H$13,$BC$3,$H$15,$H$17,BO$1,$H$16,$B83)</f>
        <v>*KEY_ERR</v>
      </c>
      <c r="BP83" s="31"/>
    </row>
    <row r="84" spans="1:68" ht="21" customHeight="1" x14ac:dyDescent="0.25">
      <c r="A84"/>
      <c r="B84" s="13" t="s">
        <v>118</v>
      </c>
      <c r="C84" s="13"/>
      <c r="D84" s="22"/>
      <c r="E84" s="171"/>
      <c r="F84" s="107"/>
      <c r="G84" s="305" t="str">
        <f ca="1">_xll.DBRA(Server&amp;$B$22,$B84,"French")</f>
        <v>Honoraires CAC</v>
      </c>
      <c r="H84" s="305" t="str">
        <f ca="1">_xll.DBRA(Server&amp;$B$22,$B84,"French")</f>
        <v>Honoraires CAC</v>
      </c>
      <c r="I84" s="37"/>
      <c r="J84" s="54" t="str">
        <f ca="1">_xll.DBRW(Server&amp;Cube1,$H$13,$H$14,$H$15,$J$1,$J$2,$H$16,$B84)</f>
        <v/>
      </c>
      <c r="K84" s="37"/>
      <c r="L84" s="54" t="str">
        <f ca="1">_xll.DBRW(Server&amp;Cube1,$H$13,$H$14,$H$15,$L$1,$L$2,$H$16,$B84)</f>
        <v/>
      </c>
      <c r="M84" s="55"/>
      <c r="N84" s="54" t="str">
        <f ca="1">_xll.DBRW(Server&amp;Cube1,$H$13,$H$14,$H$15,$P$1,N$2,$H$16,$B84)</f>
        <v>*KEY_ERR</v>
      </c>
      <c r="O84" s="57"/>
      <c r="P84" s="54" t="str">
        <f ca="1">_xll.DBRW(Server&amp;Cube1,$H$13,$P$3,$H$15,$P$1,P$2,$H$16,$B84)</f>
        <v>*KEY_ERR</v>
      </c>
      <c r="Q84" s="54" t="str">
        <f ca="1">_xll.DBRW(Server&amp;Cube1,$H$13,$P$3,$H$15,$H$17,Q$1,$H$16,$B84)</f>
        <v>*KEY_ERR</v>
      </c>
      <c r="R84" s="58" t="str">
        <f ca="1">_xll.DBRW(Server&amp;Cube1,$H$13,$P$3,$H$15,$H$17,R$1,$H$16,$B84)</f>
        <v>*KEY_ERR</v>
      </c>
      <c r="S84" s="58" t="str">
        <f ca="1">_xll.DBRW(Server&amp;Cube1,$H$13,$P$3,$H$15,$H$17,S$1,$H$16,$B84)</f>
        <v>*KEY_ERR</v>
      </c>
      <c r="T84" s="58" t="str">
        <f ca="1">_xll.DBRW(Server&amp;Cube1,$H$13,$P$3,$H$15,$H$17,T$1,$H$16,$B84)</f>
        <v>*KEY_ERR</v>
      </c>
      <c r="U84" s="58" t="str">
        <f ca="1">_xll.DBRW(Server&amp;Cube1,$H$13,$P$3,$H$15,$H$17,U$1,$H$16,$B84)</f>
        <v>*KEY_ERR</v>
      </c>
      <c r="V84" s="58" t="str">
        <f ca="1">_xll.DBRW(Server&amp;Cube1,$H$13,$P$3,$H$15,$H$17,V$1,$H$16,$B84)</f>
        <v>*KEY_ERR</v>
      </c>
      <c r="W84" s="58" t="str">
        <f ca="1">_xll.DBRW(Server&amp;Cube1,$H$13,$P$3,$H$15,$H$17,W$1,$H$16,$B84)</f>
        <v>*KEY_ERR</v>
      </c>
      <c r="X84" s="58" t="str">
        <f ca="1">_xll.DBRW(Server&amp;Cube1,$H$13,$P$3,$H$15,$H$17,X$1,$H$16,$B84)</f>
        <v>*KEY_ERR</v>
      </c>
      <c r="Y84" s="58" t="str">
        <f ca="1">_xll.DBRW(Server&amp;Cube1,$H$13,$P$3,$H$15,$H$17,Y$1,$H$16,$B84)</f>
        <v>*KEY_ERR</v>
      </c>
      <c r="Z84" s="58" t="str">
        <f ca="1">_xll.DBRW(Server&amp;Cube1,$H$13,$P$3,$H$15,$H$17,Z$1,$H$16,$B84)</f>
        <v>*KEY_ERR</v>
      </c>
      <c r="AA84" s="58" t="str">
        <f ca="1">_xll.DBRW(Server&amp;Cube1,$H$13,$P$3,$H$15,$H$17,AA$1,$H$16,$B84)</f>
        <v>*KEY_ERR</v>
      </c>
      <c r="AB84" s="59" t="str">
        <f ca="1">_xll.DBRW(Server&amp;Cube1,$H$13,$P$3,$H$15,$H$17,AB$1,$H$16,$B84)</f>
        <v>*KEY_ERR</v>
      </c>
      <c r="AC84" s="187" t="str">
        <f ca="1">_xll.DBRW(Server&amp;Cube1,$H$13,$AC$3,$H$15,$P$1,AC$2,$H$16,$B84)</f>
        <v>*KEY_ERR</v>
      </c>
      <c r="AD84" s="54" t="str">
        <f ca="1">_xll.DBRW(Server&amp;Cube1,$H$13,$AC$3,$H$15,$H$17,AD$1,$H$16,$B84)</f>
        <v>*KEY_ERR</v>
      </c>
      <c r="AE84" s="58" t="str">
        <f ca="1">_xll.DBRW(Server&amp;Cube1,$H$13,$AC$3,$H$15,$H$17,AE$1,$H$16,$B84)</f>
        <v>*KEY_ERR</v>
      </c>
      <c r="AF84" s="58" t="str">
        <f ca="1">_xll.DBRW(Server&amp;Cube1,$H$13,$AC$3,$H$15,$H$17,AF$1,$H$16,$B84)</f>
        <v>*KEY_ERR</v>
      </c>
      <c r="AG84" s="58" t="str">
        <f ca="1">_xll.DBRW(Server&amp;Cube1,$H$13,$AC$3,$H$15,$H$17,AG$1,$H$16,$B84)</f>
        <v>*KEY_ERR</v>
      </c>
      <c r="AH84" s="58" t="str">
        <f ca="1">_xll.DBRW(Server&amp;Cube1,$H$13,$AC$3,$H$15,$H$17,AH$1,$H$16,$B84)</f>
        <v>*KEY_ERR</v>
      </c>
      <c r="AI84" s="58" t="str">
        <f ca="1">_xll.DBRW(Server&amp;Cube1,$H$13,$AC$3,$H$15,$H$17,AI$1,$H$16,$B84)</f>
        <v>*KEY_ERR</v>
      </c>
      <c r="AJ84" s="58" t="str">
        <f ca="1">_xll.DBRW(Server&amp;Cube1,$H$13,$AC$3,$H$15,$H$17,AJ$1,$H$16,$B84)</f>
        <v>*KEY_ERR</v>
      </c>
      <c r="AK84" s="58" t="str">
        <f ca="1">_xll.DBRW(Server&amp;Cube1,$H$13,$AC$3,$H$15,$H$17,AK$1,$H$16,$B84)</f>
        <v>*KEY_ERR</v>
      </c>
      <c r="AL84" s="58" t="str">
        <f ca="1">_xll.DBRW(Server&amp;Cube1,$H$13,$AC$3,$H$15,$H$17,AL$1,$H$16,$B84)</f>
        <v>*KEY_ERR</v>
      </c>
      <c r="AM84" s="58" t="str">
        <f ca="1">_xll.DBRW(Server&amp;Cube1,$H$13,$AC$3,$H$15,$H$17,AM$1,$H$16,$B84)</f>
        <v>*KEY_ERR</v>
      </c>
      <c r="AN84" s="58" t="str">
        <f ca="1">_xll.DBRW(Server&amp;Cube1,$H$13,$AC$3,$H$15,$H$17,AN$1,$H$16,$B84)</f>
        <v>*KEY_ERR</v>
      </c>
      <c r="AO84" s="59" t="str">
        <f ca="1">_xll.DBRW(Server&amp;Cube1,$H$13,$AC$3,$H$15,$H$17,AO$1,$H$16,$B84)</f>
        <v>*KEY_ERR</v>
      </c>
      <c r="AP84" s="187" t="str">
        <f ca="1">_xll.DBRW(Server&amp;Cube1,$H$13,$AP$3,$H$15,$P$1,AP$2,$H$16,$B84)</f>
        <v>*KEY_ERR</v>
      </c>
      <c r="AQ84" s="54" t="str">
        <f ca="1">_xll.DBRW(Server&amp;Cube1,$H$13,$AP$3,$H$15,$H$17,AQ$1,$H$16,$B84)</f>
        <v>*KEY_ERR</v>
      </c>
      <c r="AR84" s="58" t="str">
        <f ca="1">_xll.DBRW(Server&amp;Cube1,$H$13,$AP$3,$H$15,$H$17,AR$1,$H$16,$B84)</f>
        <v>*KEY_ERR</v>
      </c>
      <c r="AS84" s="58" t="str">
        <f ca="1">_xll.DBRW(Server&amp;Cube1,$H$13,$AP$3,$H$15,$H$17,AS$1,$H$16,$B84)</f>
        <v>*KEY_ERR</v>
      </c>
      <c r="AT84" s="58" t="str">
        <f ca="1">_xll.DBRW(Server&amp;Cube1,$H$13,$AP$3,$H$15,$H$17,AT$1,$H$16,$B84)</f>
        <v>*KEY_ERR</v>
      </c>
      <c r="AU84" s="58" t="str">
        <f ca="1">_xll.DBRW(Server&amp;Cube1,$H$13,$AP$3,$H$15,$H$17,AU$1,$H$16,$B84)</f>
        <v>*KEY_ERR</v>
      </c>
      <c r="AV84" s="58" t="str">
        <f ca="1">_xll.DBRW(Server&amp;Cube1,$H$13,$AP$3,$H$15,$H$17,AV$1,$H$16,$B84)</f>
        <v>*KEY_ERR</v>
      </c>
      <c r="AW84" s="58" t="str">
        <f ca="1">_xll.DBRW(Server&amp;Cube1,$H$13,$AP$3,$H$15,$H$17,AW$1,$H$16,$B84)</f>
        <v>*KEY_ERR</v>
      </c>
      <c r="AX84" s="58" t="str">
        <f ca="1">_xll.DBRW(Server&amp;Cube1,$H$13,$AP$3,$H$15,$H$17,AX$1,$H$16,$B84)</f>
        <v>*KEY_ERR</v>
      </c>
      <c r="AY84" s="58" t="str">
        <f ca="1">_xll.DBRW(Server&amp;Cube1,$H$13,$AP$3,$H$15,$H$17,AY$1,$H$16,$B84)</f>
        <v>*KEY_ERR</v>
      </c>
      <c r="AZ84" s="58" t="str">
        <f ca="1">_xll.DBRW(Server&amp;Cube1,$H$13,$AP$3,$H$15,$H$17,AZ$1,$H$16,$B84)</f>
        <v>*KEY_ERR</v>
      </c>
      <c r="BA84" s="58" t="str">
        <f ca="1">_xll.DBRW(Server&amp;Cube1,$H$13,$AP$3,$H$15,$H$17,BA$1,$H$16,$B84)</f>
        <v>*KEY_ERR</v>
      </c>
      <c r="BB84" s="59" t="str">
        <f ca="1">_xll.DBRW(Server&amp;Cube1,$H$13,$AP$3,$H$15,$H$17,BB$1,$H$16,$B84)</f>
        <v>*KEY_ERR</v>
      </c>
      <c r="BC84" s="187" t="str">
        <f ca="1">_xll.DBRW(Server&amp;Cube1,$H$13,$BC$3,$H$15,$P$1,BC$2,$H$16,$B84)</f>
        <v>*KEY_ERR</v>
      </c>
      <c r="BD84" s="54" t="str">
        <f ca="1">_xll.DBRW(Server&amp;Cube1,$H$13,$BC$3,$H$15,$H$17,BD$1,$H$16,$B84)</f>
        <v>*KEY_ERR</v>
      </c>
      <c r="BE84" s="58" t="str">
        <f ca="1">_xll.DBRW(Server&amp;Cube1,$H$13,$BC$3,$H$15,$H$17,BE$1,$H$16,$B84)</f>
        <v>*KEY_ERR</v>
      </c>
      <c r="BF84" s="58" t="str">
        <f ca="1">_xll.DBRW(Server&amp;Cube1,$H$13,$BC$3,$H$15,$H$17,BF$1,$H$16,$B84)</f>
        <v>*KEY_ERR</v>
      </c>
      <c r="BG84" s="58" t="str">
        <f ca="1">_xll.DBRW(Server&amp;Cube1,$H$13,$BC$3,$H$15,$H$17,BG$1,$H$16,$B84)</f>
        <v>*KEY_ERR</v>
      </c>
      <c r="BH84" s="58" t="str">
        <f ca="1">_xll.DBRW(Server&amp;Cube1,$H$13,$BC$3,$H$15,$H$17,BH$1,$H$16,$B84)</f>
        <v>*KEY_ERR</v>
      </c>
      <c r="BI84" s="58" t="str">
        <f ca="1">_xll.DBRW(Server&amp;Cube1,$H$13,$BC$3,$H$15,$H$17,BI$1,$H$16,$B84)</f>
        <v>*KEY_ERR</v>
      </c>
      <c r="BJ84" s="58" t="str">
        <f ca="1">_xll.DBRW(Server&amp;Cube1,$H$13,$BC$3,$H$15,$H$17,BJ$1,$H$16,$B84)</f>
        <v>*KEY_ERR</v>
      </c>
      <c r="BK84" s="58" t="str">
        <f ca="1">_xll.DBRW(Server&amp;Cube1,$H$13,$BC$3,$H$15,$H$17,BK$1,$H$16,$B84)</f>
        <v>*KEY_ERR</v>
      </c>
      <c r="BL84" s="58" t="str">
        <f ca="1">_xll.DBRW(Server&amp;Cube1,$H$13,$BC$3,$H$15,$H$17,BL$1,$H$16,$B84)</f>
        <v>*KEY_ERR</v>
      </c>
      <c r="BM84" s="58" t="str">
        <f ca="1">_xll.DBRW(Server&amp;Cube1,$H$13,$BC$3,$H$15,$H$17,BM$1,$H$16,$B84)</f>
        <v>*KEY_ERR</v>
      </c>
      <c r="BN84" s="58" t="str">
        <f ca="1">_xll.DBRW(Server&amp;Cube1,$H$13,$BC$3,$H$15,$H$17,BN$1,$H$16,$B84)</f>
        <v>*KEY_ERR</v>
      </c>
      <c r="BO84" s="59" t="str">
        <f ca="1">_xll.DBRW(Server&amp;Cube1,$H$13,$BC$3,$H$15,$H$17,BO$1,$H$16,$B84)</f>
        <v>*KEY_ERR</v>
      </c>
      <c r="BP84" s="31"/>
    </row>
    <row r="85" spans="1:68" ht="21" customHeight="1" x14ac:dyDescent="0.25">
      <c r="A85"/>
      <c r="B85" s="13">
        <v>622610</v>
      </c>
      <c r="C85" s="13"/>
      <c r="D85" s="22"/>
      <c r="E85" s="171"/>
      <c r="F85" s="107"/>
      <c r="G85" s="305" t="s">
        <v>119</v>
      </c>
      <c r="H85" s="305"/>
      <c r="I85" s="37"/>
      <c r="J85" s="54" t="str">
        <f ca="1">_xll.DBRW(Server&amp;Cube1,$H$13,$H$14,$H$15,$J$1,$J$2,$H$16,$B85)</f>
        <v/>
      </c>
      <c r="K85" s="37"/>
      <c r="L85" s="54" t="str">
        <f ca="1">_xll.DBRW(Server&amp;Cube1,$H$13,$H$14,$H$15,$L$1,$L$2,$H$16,$B85)</f>
        <v/>
      </c>
      <c r="M85" s="55"/>
      <c r="N85" s="54" t="str">
        <f ca="1">_xll.DBRW(Server&amp;Cube1,$H$13,$H$14,$H$15,$P$1,N$2,$H$16,$B85)</f>
        <v>*KEY_ERR</v>
      </c>
      <c r="O85" s="57"/>
      <c r="P85" s="54" t="str">
        <f ca="1">_xll.DBRW(Server&amp;Cube1,$H$13,$P$3,$H$15,$P$1,P$2,$H$16,$B85)</f>
        <v>*KEY_ERR</v>
      </c>
      <c r="Q85" s="54" t="str">
        <f ca="1">_xll.DBRW(Server&amp;Cube1,$H$13,$P$3,$H$15,$H$17,Q$1,$H$16,$B85)</f>
        <v>*KEY_ERR</v>
      </c>
      <c r="R85" s="58" t="str">
        <f ca="1">_xll.DBRW(Server&amp;Cube1,$H$13,$P$3,$H$15,$H$17,R$1,$H$16,$B85)</f>
        <v>*KEY_ERR</v>
      </c>
      <c r="S85" s="58" t="str">
        <f ca="1">_xll.DBRW(Server&amp;Cube1,$H$13,$P$3,$H$15,$H$17,S$1,$H$16,$B85)</f>
        <v>*KEY_ERR</v>
      </c>
      <c r="T85" s="58" t="str">
        <f ca="1">_xll.DBRW(Server&amp;Cube1,$H$13,$P$3,$H$15,$H$17,T$1,$H$16,$B85)</f>
        <v>*KEY_ERR</v>
      </c>
      <c r="U85" s="58" t="str">
        <f ca="1">_xll.DBRW(Server&amp;Cube1,$H$13,$P$3,$H$15,$H$17,U$1,$H$16,$B85)</f>
        <v>*KEY_ERR</v>
      </c>
      <c r="V85" s="58" t="str">
        <f ca="1">_xll.DBRW(Server&amp;Cube1,$H$13,$P$3,$H$15,$H$17,V$1,$H$16,$B85)</f>
        <v>*KEY_ERR</v>
      </c>
      <c r="W85" s="58" t="str">
        <f ca="1">_xll.DBRW(Server&amp;Cube1,$H$13,$P$3,$H$15,$H$17,W$1,$H$16,$B85)</f>
        <v>*KEY_ERR</v>
      </c>
      <c r="X85" s="58" t="str">
        <f ca="1">_xll.DBRW(Server&amp;Cube1,$H$13,$P$3,$H$15,$H$17,X$1,$H$16,$B85)</f>
        <v>*KEY_ERR</v>
      </c>
      <c r="Y85" s="58" t="str">
        <f ca="1">_xll.DBRW(Server&amp;Cube1,$H$13,$P$3,$H$15,$H$17,Y$1,$H$16,$B85)</f>
        <v>*KEY_ERR</v>
      </c>
      <c r="Z85" s="58" t="str">
        <f ca="1">_xll.DBRW(Server&amp;Cube1,$H$13,$P$3,$H$15,$H$17,Z$1,$H$16,$B85)</f>
        <v>*KEY_ERR</v>
      </c>
      <c r="AA85" s="58" t="str">
        <f ca="1">_xll.DBRW(Server&amp;Cube1,$H$13,$P$3,$H$15,$H$17,AA$1,$H$16,$B85)</f>
        <v>*KEY_ERR</v>
      </c>
      <c r="AB85" s="59" t="str">
        <f ca="1">_xll.DBRW(Server&amp;Cube1,$H$13,$P$3,$H$15,$H$17,AB$1,$H$16,$B85)</f>
        <v>*KEY_ERR</v>
      </c>
      <c r="AC85" s="187" t="str">
        <f ca="1">_xll.DBRW(Server&amp;Cube1,$H$13,$AC$3,$H$15,$P$1,AC$2,$H$16,$B85)</f>
        <v>*KEY_ERR</v>
      </c>
      <c r="AD85" s="54" t="str">
        <f ca="1">_xll.DBRW(Server&amp;Cube1,$H$13,$AC$3,$H$15,$H$17,AD$1,$H$16,$B85)</f>
        <v>*KEY_ERR</v>
      </c>
      <c r="AE85" s="58" t="str">
        <f ca="1">_xll.DBRW(Server&amp;Cube1,$H$13,$AC$3,$H$15,$H$17,AE$1,$H$16,$B85)</f>
        <v>*KEY_ERR</v>
      </c>
      <c r="AF85" s="58" t="str">
        <f ca="1">_xll.DBRW(Server&amp;Cube1,$H$13,$AC$3,$H$15,$H$17,AF$1,$H$16,$B85)</f>
        <v>*KEY_ERR</v>
      </c>
      <c r="AG85" s="58" t="str">
        <f ca="1">_xll.DBRW(Server&amp;Cube1,$H$13,$AC$3,$H$15,$H$17,AG$1,$H$16,$B85)</f>
        <v>*KEY_ERR</v>
      </c>
      <c r="AH85" s="58" t="str">
        <f ca="1">_xll.DBRW(Server&amp;Cube1,$H$13,$AC$3,$H$15,$H$17,AH$1,$H$16,$B85)</f>
        <v>*KEY_ERR</v>
      </c>
      <c r="AI85" s="58" t="str">
        <f ca="1">_xll.DBRW(Server&amp;Cube1,$H$13,$AC$3,$H$15,$H$17,AI$1,$H$16,$B85)</f>
        <v>*KEY_ERR</v>
      </c>
      <c r="AJ85" s="58" t="str">
        <f ca="1">_xll.DBRW(Server&amp;Cube1,$H$13,$AC$3,$H$15,$H$17,AJ$1,$H$16,$B85)</f>
        <v>*KEY_ERR</v>
      </c>
      <c r="AK85" s="58" t="str">
        <f ca="1">_xll.DBRW(Server&amp;Cube1,$H$13,$AC$3,$H$15,$H$17,AK$1,$H$16,$B85)</f>
        <v>*KEY_ERR</v>
      </c>
      <c r="AL85" s="58" t="str">
        <f ca="1">_xll.DBRW(Server&amp;Cube1,$H$13,$AC$3,$H$15,$H$17,AL$1,$H$16,$B85)</f>
        <v>*KEY_ERR</v>
      </c>
      <c r="AM85" s="58" t="str">
        <f ca="1">_xll.DBRW(Server&amp;Cube1,$H$13,$AC$3,$H$15,$H$17,AM$1,$H$16,$B85)</f>
        <v>*KEY_ERR</v>
      </c>
      <c r="AN85" s="58" t="str">
        <f ca="1">_xll.DBRW(Server&amp;Cube1,$H$13,$AC$3,$H$15,$H$17,AN$1,$H$16,$B85)</f>
        <v>*KEY_ERR</v>
      </c>
      <c r="AO85" s="59" t="str">
        <f ca="1">_xll.DBRW(Server&amp;Cube1,$H$13,$AC$3,$H$15,$H$17,AO$1,$H$16,$B85)</f>
        <v>*KEY_ERR</v>
      </c>
      <c r="AP85" s="187" t="str">
        <f ca="1">_xll.DBRW(Server&amp;Cube1,$H$13,$AP$3,$H$15,$P$1,AP$2,$H$16,$B85)</f>
        <v>*KEY_ERR</v>
      </c>
      <c r="AQ85" s="54" t="str">
        <f ca="1">_xll.DBRW(Server&amp;Cube1,$H$13,$AP$3,$H$15,$H$17,AQ$1,$H$16,$B85)</f>
        <v>*KEY_ERR</v>
      </c>
      <c r="AR85" s="58" t="str">
        <f ca="1">_xll.DBRW(Server&amp;Cube1,$H$13,$AP$3,$H$15,$H$17,AR$1,$H$16,$B85)</f>
        <v>*KEY_ERR</v>
      </c>
      <c r="AS85" s="58" t="str">
        <f ca="1">_xll.DBRW(Server&amp;Cube1,$H$13,$AP$3,$H$15,$H$17,AS$1,$H$16,$B85)</f>
        <v>*KEY_ERR</v>
      </c>
      <c r="AT85" s="58" t="str">
        <f ca="1">_xll.DBRW(Server&amp;Cube1,$H$13,$AP$3,$H$15,$H$17,AT$1,$H$16,$B85)</f>
        <v>*KEY_ERR</v>
      </c>
      <c r="AU85" s="58" t="str">
        <f ca="1">_xll.DBRW(Server&amp;Cube1,$H$13,$AP$3,$H$15,$H$17,AU$1,$H$16,$B85)</f>
        <v>*KEY_ERR</v>
      </c>
      <c r="AV85" s="58" t="str">
        <f ca="1">_xll.DBRW(Server&amp;Cube1,$H$13,$AP$3,$H$15,$H$17,AV$1,$H$16,$B85)</f>
        <v>*KEY_ERR</v>
      </c>
      <c r="AW85" s="58" t="str">
        <f ca="1">_xll.DBRW(Server&amp;Cube1,$H$13,$AP$3,$H$15,$H$17,AW$1,$H$16,$B85)</f>
        <v>*KEY_ERR</v>
      </c>
      <c r="AX85" s="58" t="str">
        <f ca="1">_xll.DBRW(Server&amp;Cube1,$H$13,$AP$3,$H$15,$H$17,AX$1,$H$16,$B85)</f>
        <v>*KEY_ERR</v>
      </c>
      <c r="AY85" s="58" t="str">
        <f ca="1">_xll.DBRW(Server&amp;Cube1,$H$13,$AP$3,$H$15,$H$17,AY$1,$H$16,$B85)</f>
        <v>*KEY_ERR</v>
      </c>
      <c r="AZ85" s="58" t="str">
        <f ca="1">_xll.DBRW(Server&amp;Cube1,$H$13,$AP$3,$H$15,$H$17,AZ$1,$H$16,$B85)</f>
        <v>*KEY_ERR</v>
      </c>
      <c r="BA85" s="58" t="str">
        <f ca="1">_xll.DBRW(Server&amp;Cube1,$H$13,$AP$3,$H$15,$H$17,BA$1,$H$16,$B85)</f>
        <v>*KEY_ERR</v>
      </c>
      <c r="BB85" s="59" t="str">
        <f ca="1">_xll.DBRW(Server&amp;Cube1,$H$13,$AP$3,$H$15,$H$17,BB$1,$H$16,$B85)</f>
        <v>*KEY_ERR</v>
      </c>
      <c r="BC85" s="187" t="str">
        <f ca="1">_xll.DBRW(Server&amp;Cube1,$H$13,$BC$3,$H$15,$P$1,BC$2,$H$16,$B85)</f>
        <v>*KEY_ERR</v>
      </c>
      <c r="BD85" s="54" t="str">
        <f ca="1">_xll.DBRW(Server&amp;Cube1,$H$13,$BC$3,$H$15,$H$17,BD$1,$H$16,$B85)</f>
        <v>*KEY_ERR</v>
      </c>
      <c r="BE85" s="58" t="str">
        <f ca="1">_xll.DBRW(Server&amp;Cube1,$H$13,$BC$3,$H$15,$H$17,BE$1,$H$16,$B85)</f>
        <v>*KEY_ERR</v>
      </c>
      <c r="BF85" s="58" t="str">
        <f ca="1">_xll.DBRW(Server&amp;Cube1,$H$13,$BC$3,$H$15,$H$17,BF$1,$H$16,$B85)</f>
        <v>*KEY_ERR</v>
      </c>
      <c r="BG85" s="58" t="str">
        <f ca="1">_xll.DBRW(Server&amp;Cube1,$H$13,$BC$3,$H$15,$H$17,BG$1,$H$16,$B85)</f>
        <v>*KEY_ERR</v>
      </c>
      <c r="BH85" s="58" t="str">
        <f ca="1">_xll.DBRW(Server&amp;Cube1,$H$13,$BC$3,$H$15,$H$17,BH$1,$H$16,$B85)</f>
        <v>*KEY_ERR</v>
      </c>
      <c r="BI85" s="58" t="str">
        <f ca="1">_xll.DBRW(Server&amp;Cube1,$H$13,$BC$3,$H$15,$H$17,BI$1,$H$16,$B85)</f>
        <v>*KEY_ERR</v>
      </c>
      <c r="BJ85" s="58" t="str">
        <f ca="1">_xll.DBRW(Server&amp;Cube1,$H$13,$BC$3,$H$15,$H$17,BJ$1,$H$16,$B85)</f>
        <v>*KEY_ERR</v>
      </c>
      <c r="BK85" s="58" t="str">
        <f ca="1">_xll.DBRW(Server&amp;Cube1,$H$13,$BC$3,$H$15,$H$17,BK$1,$H$16,$B85)</f>
        <v>*KEY_ERR</v>
      </c>
      <c r="BL85" s="58" t="str">
        <f ca="1">_xll.DBRW(Server&amp;Cube1,$H$13,$BC$3,$H$15,$H$17,BL$1,$H$16,$B85)</f>
        <v>*KEY_ERR</v>
      </c>
      <c r="BM85" s="58" t="str">
        <f ca="1">_xll.DBRW(Server&amp;Cube1,$H$13,$BC$3,$H$15,$H$17,BM$1,$H$16,$B85)</f>
        <v>*KEY_ERR</v>
      </c>
      <c r="BN85" s="58" t="str">
        <f ca="1">_xll.DBRW(Server&amp;Cube1,$H$13,$BC$3,$H$15,$H$17,BN$1,$H$16,$B85)</f>
        <v>*KEY_ERR</v>
      </c>
      <c r="BO85" s="59" t="str">
        <f ca="1">_xll.DBRW(Server&amp;Cube1,$H$13,$BC$3,$H$15,$H$17,BO$1,$H$16,$B85)</f>
        <v>*KEY_ERR</v>
      </c>
      <c r="BP85" s="31"/>
    </row>
    <row r="86" spans="1:68" ht="21" customHeight="1" x14ac:dyDescent="0.25">
      <c r="A86"/>
      <c r="B86" s="13" t="s">
        <v>45</v>
      </c>
      <c r="C86" s="13"/>
      <c r="D86" s="22"/>
      <c r="E86" s="171"/>
      <c r="F86" s="107"/>
      <c r="G86" s="305" t="str">
        <f ca="1">_xll.DBRA(Server&amp;$B$22,$B86,"French")</f>
        <v>Frais d'actes et de contentieux publications et divers</v>
      </c>
      <c r="H86" s="305" t="str">
        <f ca="1">_xll.DBRA(Server&amp;$B$22,$B86,"French")</f>
        <v>Frais d'actes et de contentieux publications et divers</v>
      </c>
      <c r="I86" s="37"/>
      <c r="J86" s="54" t="str">
        <f ca="1">_xll.DBRW(Server&amp;Cube1,$H$13,$H$14,$H$15,$J$1,$J$2,$H$16,$B86)</f>
        <v/>
      </c>
      <c r="K86" s="37"/>
      <c r="L86" s="54" t="str">
        <f ca="1">_xll.DBRW(Server&amp;Cube1,$H$13,$H$14,$H$15,$L$1,$L$2,$H$16,$B86)</f>
        <v/>
      </c>
      <c r="M86" s="55"/>
      <c r="N86" s="54" t="str">
        <f ca="1">_xll.DBRW(Server&amp;Cube1,$H$13,$H$14,$H$15,$P$1,N$2,$H$16,$B86)</f>
        <v>*KEY_ERR</v>
      </c>
      <c r="O86" s="57"/>
      <c r="P86" s="54" t="str">
        <f ca="1">_xll.DBRW(Server&amp;Cube1,$H$13,$P$3,$H$15,$P$1,P$2,$H$16,$B86)</f>
        <v>*KEY_ERR</v>
      </c>
      <c r="Q86" s="54" t="str">
        <f ca="1">_xll.DBRW(Server&amp;Cube1,$H$13,$P$3,$H$15,$H$17,Q$1,$H$16,$B86)</f>
        <v>*KEY_ERR</v>
      </c>
      <c r="R86" s="58" t="str">
        <f ca="1">_xll.DBRW(Server&amp;Cube1,$H$13,$P$3,$H$15,$H$17,R$1,$H$16,$B86)</f>
        <v>*KEY_ERR</v>
      </c>
      <c r="S86" s="58" t="str">
        <f ca="1">_xll.DBRW(Server&amp;Cube1,$H$13,$P$3,$H$15,$H$17,S$1,$H$16,$B86)</f>
        <v>*KEY_ERR</v>
      </c>
      <c r="T86" s="58" t="str">
        <f ca="1">_xll.DBRW(Server&amp;Cube1,$H$13,$P$3,$H$15,$H$17,T$1,$H$16,$B86)</f>
        <v>*KEY_ERR</v>
      </c>
      <c r="U86" s="58" t="str">
        <f ca="1">_xll.DBRW(Server&amp;Cube1,$H$13,$P$3,$H$15,$H$17,U$1,$H$16,$B86)</f>
        <v>*KEY_ERR</v>
      </c>
      <c r="V86" s="58" t="str">
        <f ca="1">_xll.DBRW(Server&amp;Cube1,$H$13,$P$3,$H$15,$H$17,V$1,$H$16,$B86)</f>
        <v>*KEY_ERR</v>
      </c>
      <c r="W86" s="58" t="str">
        <f ca="1">_xll.DBRW(Server&amp;Cube1,$H$13,$P$3,$H$15,$H$17,W$1,$H$16,$B86)</f>
        <v>*KEY_ERR</v>
      </c>
      <c r="X86" s="58" t="str">
        <f ca="1">_xll.DBRW(Server&amp;Cube1,$H$13,$P$3,$H$15,$H$17,X$1,$H$16,$B86)</f>
        <v>*KEY_ERR</v>
      </c>
      <c r="Y86" s="58" t="str">
        <f ca="1">_xll.DBRW(Server&amp;Cube1,$H$13,$P$3,$H$15,$H$17,Y$1,$H$16,$B86)</f>
        <v>*KEY_ERR</v>
      </c>
      <c r="Z86" s="58" t="str">
        <f ca="1">_xll.DBRW(Server&amp;Cube1,$H$13,$P$3,$H$15,$H$17,Z$1,$H$16,$B86)</f>
        <v>*KEY_ERR</v>
      </c>
      <c r="AA86" s="58" t="str">
        <f ca="1">_xll.DBRW(Server&amp;Cube1,$H$13,$P$3,$H$15,$H$17,AA$1,$H$16,$B86)</f>
        <v>*KEY_ERR</v>
      </c>
      <c r="AB86" s="59" t="str">
        <f ca="1">_xll.DBRW(Server&amp;Cube1,$H$13,$P$3,$H$15,$H$17,AB$1,$H$16,$B86)</f>
        <v>*KEY_ERR</v>
      </c>
      <c r="AC86" s="187" t="str">
        <f ca="1">_xll.DBRW(Server&amp;Cube1,$H$13,$AC$3,$H$15,$P$1,AC$2,$H$16,$B86)</f>
        <v>*KEY_ERR</v>
      </c>
      <c r="AD86" s="54" t="str">
        <f ca="1">_xll.DBRW(Server&amp;Cube1,$H$13,$AC$3,$H$15,$H$17,AD$1,$H$16,$B86)</f>
        <v>*KEY_ERR</v>
      </c>
      <c r="AE86" s="58" t="str">
        <f ca="1">_xll.DBRW(Server&amp;Cube1,$H$13,$AC$3,$H$15,$H$17,AE$1,$H$16,$B86)</f>
        <v>*KEY_ERR</v>
      </c>
      <c r="AF86" s="58" t="str">
        <f ca="1">_xll.DBRW(Server&amp;Cube1,$H$13,$AC$3,$H$15,$H$17,AF$1,$H$16,$B86)</f>
        <v>*KEY_ERR</v>
      </c>
      <c r="AG86" s="58" t="str">
        <f ca="1">_xll.DBRW(Server&amp;Cube1,$H$13,$AC$3,$H$15,$H$17,AG$1,$H$16,$B86)</f>
        <v>*KEY_ERR</v>
      </c>
      <c r="AH86" s="58" t="str">
        <f ca="1">_xll.DBRW(Server&amp;Cube1,$H$13,$AC$3,$H$15,$H$17,AH$1,$H$16,$B86)</f>
        <v>*KEY_ERR</v>
      </c>
      <c r="AI86" s="58" t="str">
        <f ca="1">_xll.DBRW(Server&amp;Cube1,$H$13,$AC$3,$H$15,$H$17,AI$1,$H$16,$B86)</f>
        <v>*KEY_ERR</v>
      </c>
      <c r="AJ86" s="58" t="str">
        <f ca="1">_xll.DBRW(Server&amp;Cube1,$H$13,$AC$3,$H$15,$H$17,AJ$1,$H$16,$B86)</f>
        <v>*KEY_ERR</v>
      </c>
      <c r="AK86" s="58" t="str">
        <f ca="1">_xll.DBRW(Server&amp;Cube1,$H$13,$AC$3,$H$15,$H$17,AK$1,$H$16,$B86)</f>
        <v>*KEY_ERR</v>
      </c>
      <c r="AL86" s="58" t="str">
        <f ca="1">_xll.DBRW(Server&amp;Cube1,$H$13,$AC$3,$H$15,$H$17,AL$1,$H$16,$B86)</f>
        <v>*KEY_ERR</v>
      </c>
      <c r="AM86" s="58" t="str">
        <f ca="1">_xll.DBRW(Server&amp;Cube1,$H$13,$AC$3,$H$15,$H$17,AM$1,$H$16,$B86)</f>
        <v>*KEY_ERR</v>
      </c>
      <c r="AN86" s="58" t="str">
        <f ca="1">_xll.DBRW(Server&amp;Cube1,$H$13,$AC$3,$H$15,$H$17,AN$1,$H$16,$B86)</f>
        <v>*KEY_ERR</v>
      </c>
      <c r="AO86" s="59" t="str">
        <f ca="1">_xll.DBRW(Server&amp;Cube1,$H$13,$AC$3,$H$15,$H$17,AO$1,$H$16,$B86)</f>
        <v>*KEY_ERR</v>
      </c>
      <c r="AP86" s="187" t="str">
        <f ca="1">_xll.DBRW(Server&amp;Cube1,$H$13,$AP$3,$H$15,$P$1,AP$2,$H$16,$B86)</f>
        <v>*KEY_ERR</v>
      </c>
      <c r="AQ86" s="54" t="str">
        <f ca="1">_xll.DBRW(Server&amp;Cube1,$H$13,$AP$3,$H$15,$H$17,AQ$1,$H$16,$B86)</f>
        <v>*KEY_ERR</v>
      </c>
      <c r="AR86" s="58" t="str">
        <f ca="1">_xll.DBRW(Server&amp;Cube1,$H$13,$AP$3,$H$15,$H$17,AR$1,$H$16,$B86)</f>
        <v>*KEY_ERR</v>
      </c>
      <c r="AS86" s="58" t="str">
        <f ca="1">_xll.DBRW(Server&amp;Cube1,$H$13,$AP$3,$H$15,$H$17,AS$1,$H$16,$B86)</f>
        <v>*KEY_ERR</v>
      </c>
      <c r="AT86" s="58" t="str">
        <f ca="1">_xll.DBRW(Server&amp;Cube1,$H$13,$AP$3,$H$15,$H$17,AT$1,$H$16,$B86)</f>
        <v>*KEY_ERR</v>
      </c>
      <c r="AU86" s="58" t="str">
        <f ca="1">_xll.DBRW(Server&amp;Cube1,$H$13,$AP$3,$H$15,$H$17,AU$1,$H$16,$B86)</f>
        <v>*KEY_ERR</v>
      </c>
      <c r="AV86" s="58" t="str">
        <f ca="1">_xll.DBRW(Server&amp;Cube1,$H$13,$AP$3,$H$15,$H$17,AV$1,$H$16,$B86)</f>
        <v>*KEY_ERR</v>
      </c>
      <c r="AW86" s="58" t="str">
        <f ca="1">_xll.DBRW(Server&amp;Cube1,$H$13,$AP$3,$H$15,$H$17,AW$1,$H$16,$B86)</f>
        <v>*KEY_ERR</v>
      </c>
      <c r="AX86" s="58" t="str">
        <f ca="1">_xll.DBRW(Server&amp;Cube1,$H$13,$AP$3,$H$15,$H$17,AX$1,$H$16,$B86)</f>
        <v>*KEY_ERR</v>
      </c>
      <c r="AY86" s="58" t="str">
        <f ca="1">_xll.DBRW(Server&amp;Cube1,$H$13,$AP$3,$H$15,$H$17,AY$1,$H$16,$B86)</f>
        <v>*KEY_ERR</v>
      </c>
      <c r="AZ86" s="58" t="str">
        <f ca="1">_xll.DBRW(Server&amp;Cube1,$H$13,$AP$3,$H$15,$H$17,AZ$1,$H$16,$B86)</f>
        <v>*KEY_ERR</v>
      </c>
      <c r="BA86" s="58" t="str">
        <f ca="1">_xll.DBRW(Server&amp;Cube1,$H$13,$AP$3,$H$15,$H$17,BA$1,$H$16,$B86)</f>
        <v>*KEY_ERR</v>
      </c>
      <c r="BB86" s="59" t="str">
        <f ca="1">_xll.DBRW(Server&amp;Cube1,$H$13,$AP$3,$H$15,$H$17,BB$1,$H$16,$B86)</f>
        <v>*KEY_ERR</v>
      </c>
      <c r="BC86" s="187" t="str">
        <f ca="1">_xll.DBRW(Server&amp;Cube1,$H$13,$BC$3,$H$15,$P$1,BC$2,$H$16,$B86)</f>
        <v>*KEY_ERR</v>
      </c>
      <c r="BD86" s="54" t="str">
        <f ca="1">_xll.DBRW(Server&amp;Cube1,$H$13,$BC$3,$H$15,$H$17,BD$1,$H$16,$B86)</f>
        <v>*KEY_ERR</v>
      </c>
      <c r="BE86" s="58" t="str">
        <f ca="1">_xll.DBRW(Server&amp;Cube1,$H$13,$BC$3,$H$15,$H$17,BE$1,$H$16,$B86)</f>
        <v>*KEY_ERR</v>
      </c>
      <c r="BF86" s="58" t="str">
        <f ca="1">_xll.DBRW(Server&amp;Cube1,$H$13,$BC$3,$H$15,$H$17,BF$1,$H$16,$B86)</f>
        <v>*KEY_ERR</v>
      </c>
      <c r="BG86" s="58" t="str">
        <f ca="1">_xll.DBRW(Server&amp;Cube1,$H$13,$BC$3,$H$15,$H$17,BG$1,$H$16,$B86)</f>
        <v>*KEY_ERR</v>
      </c>
      <c r="BH86" s="58" t="str">
        <f ca="1">_xll.DBRW(Server&amp;Cube1,$H$13,$BC$3,$H$15,$H$17,BH$1,$H$16,$B86)</f>
        <v>*KEY_ERR</v>
      </c>
      <c r="BI86" s="58" t="str">
        <f ca="1">_xll.DBRW(Server&amp;Cube1,$H$13,$BC$3,$H$15,$H$17,BI$1,$H$16,$B86)</f>
        <v>*KEY_ERR</v>
      </c>
      <c r="BJ86" s="58" t="str">
        <f ca="1">_xll.DBRW(Server&amp;Cube1,$H$13,$BC$3,$H$15,$H$17,BJ$1,$H$16,$B86)</f>
        <v>*KEY_ERR</v>
      </c>
      <c r="BK86" s="58" t="str">
        <f ca="1">_xll.DBRW(Server&amp;Cube1,$H$13,$BC$3,$H$15,$H$17,BK$1,$H$16,$B86)</f>
        <v>*KEY_ERR</v>
      </c>
      <c r="BL86" s="58" t="str">
        <f ca="1">_xll.DBRW(Server&amp;Cube1,$H$13,$BC$3,$H$15,$H$17,BL$1,$H$16,$B86)</f>
        <v>*KEY_ERR</v>
      </c>
      <c r="BM86" s="58" t="str">
        <f ca="1">_xll.DBRW(Server&amp;Cube1,$H$13,$BC$3,$H$15,$H$17,BM$1,$H$16,$B86)</f>
        <v>*KEY_ERR</v>
      </c>
      <c r="BN86" s="58" t="str">
        <f ca="1">_xll.DBRW(Server&amp;Cube1,$H$13,$BC$3,$H$15,$H$17,BN$1,$H$16,$B86)</f>
        <v>*KEY_ERR</v>
      </c>
      <c r="BO86" s="59" t="str">
        <f ca="1">_xll.DBRW(Server&amp;Cube1,$H$13,$BC$3,$H$15,$H$17,BO$1,$H$16,$B86)</f>
        <v>*KEY_ERR</v>
      </c>
      <c r="BP86" s="31"/>
    </row>
    <row r="87" spans="1:68" ht="6.75" customHeight="1" x14ac:dyDescent="0.25">
      <c r="A87"/>
      <c r="B87" s="11"/>
      <c r="C87" s="11"/>
      <c r="D87" s="20"/>
      <c r="E87" s="170"/>
      <c r="F87" s="106"/>
      <c r="G87" s="43"/>
      <c r="H87" s="43"/>
      <c r="I87" s="38"/>
      <c r="J87" s="62"/>
      <c r="K87" s="38"/>
      <c r="L87" s="62"/>
      <c r="M87" s="63"/>
      <c r="N87" s="62"/>
      <c r="O87" s="64"/>
      <c r="P87" s="62"/>
      <c r="Q87" s="62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6"/>
      <c r="AC87" s="186"/>
      <c r="AD87" s="62"/>
      <c r="AE87" s="65"/>
      <c r="AF87" s="65"/>
      <c r="AG87" s="65"/>
      <c r="AH87" s="65"/>
      <c r="AI87" s="65"/>
      <c r="AJ87" s="65"/>
      <c r="AK87" s="65"/>
      <c r="AL87" s="65"/>
      <c r="AM87" s="65"/>
      <c r="AN87" s="65"/>
      <c r="AO87" s="66"/>
      <c r="AP87" s="62"/>
      <c r="AQ87" s="62"/>
      <c r="AR87" s="65"/>
      <c r="AS87" s="65"/>
      <c r="AT87" s="65"/>
      <c r="AU87" s="65"/>
      <c r="AV87" s="65"/>
      <c r="AW87" s="65"/>
      <c r="AX87" s="65"/>
      <c r="AY87" s="65"/>
      <c r="AZ87" s="65"/>
      <c r="BA87" s="65"/>
      <c r="BB87" s="66"/>
      <c r="BC87" s="186"/>
      <c r="BD87" s="62"/>
      <c r="BE87" s="65"/>
      <c r="BF87" s="65"/>
      <c r="BG87" s="65"/>
      <c r="BH87" s="65"/>
      <c r="BI87" s="65"/>
      <c r="BJ87" s="65"/>
      <c r="BK87" s="65"/>
      <c r="BL87" s="65"/>
      <c r="BM87" s="65"/>
      <c r="BN87" s="65"/>
      <c r="BO87" s="66"/>
      <c r="BP87" s="31"/>
    </row>
    <row r="88" spans="1:68" ht="21" customHeight="1" x14ac:dyDescent="0.25">
      <c r="A88"/>
      <c r="B88" s="12" t="s">
        <v>46</v>
      </c>
      <c r="C88" s="12"/>
      <c r="D88" s="21"/>
      <c r="E88" s="169"/>
      <c r="F88" s="105"/>
      <c r="G88" s="315" t="str">
        <f ca="1">_xll.DBRA(Server&amp;$B$22,$B88,"French")</f>
        <v>Autres frais</v>
      </c>
      <c r="H88" s="315" t="str">
        <f ca="1">_xll.DBRA(Server&amp;$B$22,$B88,"French")</f>
        <v>Autres frais</v>
      </c>
      <c r="I88" s="39"/>
      <c r="J88" s="67" t="str">
        <f ca="1">_xll.DBRW(Server&amp;Cube1,$H$13,$H$14,$H$15,$J$1,$J$2,$H$16,$B88)</f>
        <v/>
      </c>
      <c r="K88" s="39"/>
      <c r="L88" s="67" t="str">
        <f ca="1">_xll.DBRW(Server&amp;Cube1,$H$13,$H$14,$H$15,$L$1,$L$2,$H$16,$B88)</f>
        <v/>
      </c>
      <c r="M88" s="68"/>
      <c r="N88" s="67" t="str">
        <f ca="1">_xll.DBRW(Server&amp;Cube1,$H$13,$H$14,$H$15,$P$1,N$2,$H$16,$B88)</f>
        <v>*KEY_ERR</v>
      </c>
      <c r="O88" s="69"/>
      <c r="P88" s="67" t="str">
        <f ca="1">_xll.DBRW(Server&amp;Cube1,$H$13,$P$3,$H$15,$P$1,P$2,$H$16,$B88)</f>
        <v>*KEY_ERR</v>
      </c>
      <c r="Q88" s="67" t="str">
        <f ca="1">_xll.DBRW(Server&amp;Cube1,$H$13,$P$3,$H$15,$H$17,Q$1,$H$16,$B88)</f>
        <v>*KEY_ERR</v>
      </c>
      <c r="R88" s="70" t="str">
        <f ca="1">_xll.DBRW(Server&amp;Cube1,$H$13,$P$3,$H$15,$H$17,R$1,$H$16,$B88)</f>
        <v>*KEY_ERR</v>
      </c>
      <c r="S88" s="70" t="str">
        <f ca="1">_xll.DBRW(Server&amp;Cube1,$H$13,$P$3,$H$15,$H$17,S$1,$H$16,$B88)</f>
        <v>*KEY_ERR</v>
      </c>
      <c r="T88" s="70" t="str">
        <f ca="1">_xll.DBRW(Server&amp;Cube1,$H$13,$P$3,$H$15,$H$17,T$1,$H$16,$B88)</f>
        <v>*KEY_ERR</v>
      </c>
      <c r="U88" s="70" t="str">
        <f ca="1">_xll.DBRW(Server&amp;Cube1,$H$13,$P$3,$H$15,$H$17,U$1,$H$16,$B88)</f>
        <v>*KEY_ERR</v>
      </c>
      <c r="V88" s="70" t="str">
        <f ca="1">_xll.DBRW(Server&amp;Cube1,$H$13,$P$3,$H$15,$H$17,V$1,$H$16,$B88)</f>
        <v>*KEY_ERR</v>
      </c>
      <c r="W88" s="70" t="str">
        <f ca="1">_xll.DBRW(Server&amp;Cube1,$H$13,$P$3,$H$15,$H$17,W$1,$H$16,$B88)</f>
        <v>*KEY_ERR</v>
      </c>
      <c r="X88" s="70" t="str">
        <f ca="1">_xll.DBRW(Server&amp;Cube1,$H$13,$P$3,$H$15,$H$17,X$1,$H$16,$B88)</f>
        <v>*KEY_ERR</v>
      </c>
      <c r="Y88" s="70" t="str">
        <f ca="1">_xll.DBRW(Server&amp;Cube1,$H$13,$P$3,$H$15,$H$17,Y$1,$H$16,$B88)</f>
        <v>*KEY_ERR</v>
      </c>
      <c r="Z88" s="70" t="str">
        <f ca="1">_xll.DBRW(Server&amp;Cube1,$H$13,$P$3,$H$15,$H$17,Z$1,$H$16,$B88)</f>
        <v>*KEY_ERR</v>
      </c>
      <c r="AA88" s="70" t="str">
        <f ca="1">_xll.DBRW(Server&amp;Cube1,$H$13,$P$3,$H$15,$H$17,AA$1,$H$16,$B88)</f>
        <v>*KEY_ERR</v>
      </c>
      <c r="AB88" s="71" t="str">
        <f ca="1">_xll.DBRW(Server&amp;Cube1,$H$13,$P$3,$H$15,$H$17,AB$1,$H$16,$B88)</f>
        <v>*KEY_ERR</v>
      </c>
      <c r="AC88" s="185" t="str">
        <f ca="1">_xll.DBRW(Server&amp;Cube1,$H$13,$AC$3,$H$15,$P$1,AC$2,$H$16,$B88)</f>
        <v>*KEY_ERR</v>
      </c>
      <c r="AD88" s="67" t="str">
        <f ca="1">_xll.DBRW(Server&amp;Cube1,$H$13,$AC$3,$H$15,$H$17,AD$1,$H$16,$B88)</f>
        <v>*KEY_ERR</v>
      </c>
      <c r="AE88" s="70" t="str">
        <f ca="1">_xll.DBRW(Server&amp;Cube1,$H$13,$AC$3,$H$15,$H$17,AE$1,$H$16,$B88)</f>
        <v>*KEY_ERR</v>
      </c>
      <c r="AF88" s="70" t="str">
        <f ca="1">_xll.DBRW(Server&amp;Cube1,$H$13,$AC$3,$H$15,$H$17,AF$1,$H$16,$B88)</f>
        <v>*KEY_ERR</v>
      </c>
      <c r="AG88" s="70" t="str">
        <f ca="1">_xll.DBRW(Server&amp;Cube1,$H$13,$AC$3,$H$15,$H$17,AG$1,$H$16,$B88)</f>
        <v>*KEY_ERR</v>
      </c>
      <c r="AH88" s="70" t="str">
        <f ca="1">_xll.DBRW(Server&amp;Cube1,$H$13,$AC$3,$H$15,$H$17,AH$1,$H$16,$B88)</f>
        <v>*KEY_ERR</v>
      </c>
      <c r="AI88" s="70" t="str">
        <f ca="1">_xll.DBRW(Server&amp;Cube1,$H$13,$AC$3,$H$15,$H$17,AI$1,$H$16,$B88)</f>
        <v>*KEY_ERR</v>
      </c>
      <c r="AJ88" s="70" t="str">
        <f ca="1">_xll.DBRW(Server&amp;Cube1,$H$13,$AC$3,$H$15,$H$17,AJ$1,$H$16,$B88)</f>
        <v>*KEY_ERR</v>
      </c>
      <c r="AK88" s="70" t="str">
        <f ca="1">_xll.DBRW(Server&amp;Cube1,$H$13,$AC$3,$H$15,$H$17,AK$1,$H$16,$B88)</f>
        <v>*KEY_ERR</v>
      </c>
      <c r="AL88" s="70" t="str">
        <f ca="1">_xll.DBRW(Server&amp;Cube1,$H$13,$AC$3,$H$15,$H$17,AL$1,$H$16,$B88)</f>
        <v>*KEY_ERR</v>
      </c>
      <c r="AM88" s="70" t="str">
        <f ca="1">_xll.DBRW(Server&amp;Cube1,$H$13,$AC$3,$H$15,$H$17,AM$1,$H$16,$B88)</f>
        <v>*KEY_ERR</v>
      </c>
      <c r="AN88" s="70" t="str">
        <f ca="1">_xll.DBRW(Server&amp;Cube1,$H$13,$AC$3,$H$15,$H$17,AN$1,$H$16,$B88)</f>
        <v>*KEY_ERR</v>
      </c>
      <c r="AO88" s="71" t="str">
        <f ca="1">_xll.DBRW(Server&amp;Cube1,$H$13,$AC$3,$H$15,$H$17,AO$1,$H$16,$B88)</f>
        <v>*KEY_ERR</v>
      </c>
      <c r="AP88" s="185" t="str">
        <f ca="1">_xll.DBRW(Server&amp;Cube1,$H$13,$AP$3,$H$15,$P$1,AP$2,$H$16,$B88)</f>
        <v>*KEY_ERR</v>
      </c>
      <c r="AQ88" s="67" t="str">
        <f ca="1">_xll.DBRW(Server&amp;Cube1,$H$13,$AP$3,$H$15,$H$17,AQ$1,$H$16,$B88)</f>
        <v>*KEY_ERR</v>
      </c>
      <c r="AR88" s="70" t="str">
        <f ca="1">_xll.DBRW(Server&amp;Cube1,$H$13,$AP$3,$H$15,$H$17,AR$1,$H$16,$B88)</f>
        <v>*KEY_ERR</v>
      </c>
      <c r="AS88" s="70" t="str">
        <f ca="1">_xll.DBRW(Server&amp;Cube1,$H$13,$AP$3,$H$15,$H$17,AS$1,$H$16,$B88)</f>
        <v>*KEY_ERR</v>
      </c>
      <c r="AT88" s="70" t="str">
        <f ca="1">_xll.DBRW(Server&amp;Cube1,$H$13,$AP$3,$H$15,$H$17,AT$1,$H$16,$B88)</f>
        <v>*KEY_ERR</v>
      </c>
      <c r="AU88" s="70" t="str">
        <f ca="1">_xll.DBRW(Server&amp;Cube1,$H$13,$AP$3,$H$15,$H$17,AU$1,$H$16,$B88)</f>
        <v>*KEY_ERR</v>
      </c>
      <c r="AV88" s="70" t="str">
        <f ca="1">_xll.DBRW(Server&amp;Cube1,$H$13,$AP$3,$H$15,$H$17,AV$1,$H$16,$B88)</f>
        <v>*KEY_ERR</v>
      </c>
      <c r="AW88" s="70" t="str">
        <f ca="1">_xll.DBRW(Server&amp;Cube1,$H$13,$AP$3,$H$15,$H$17,AW$1,$H$16,$B88)</f>
        <v>*KEY_ERR</v>
      </c>
      <c r="AX88" s="70" t="str">
        <f ca="1">_xll.DBRW(Server&amp;Cube1,$H$13,$AP$3,$H$15,$H$17,AX$1,$H$16,$B88)</f>
        <v>*KEY_ERR</v>
      </c>
      <c r="AY88" s="70" t="str">
        <f ca="1">_xll.DBRW(Server&amp;Cube1,$H$13,$AP$3,$H$15,$H$17,AY$1,$H$16,$B88)</f>
        <v>*KEY_ERR</v>
      </c>
      <c r="AZ88" s="70" t="str">
        <f ca="1">_xll.DBRW(Server&amp;Cube1,$H$13,$AP$3,$H$15,$H$17,AZ$1,$H$16,$B88)</f>
        <v>*KEY_ERR</v>
      </c>
      <c r="BA88" s="70" t="str">
        <f ca="1">_xll.DBRW(Server&amp;Cube1,$H$13,$AP$3,$H$15,$H$17,BA$1,$H$16,$B88)</f>
        <v>*KEY_ERR</v>
      </c>
      <c r="BB88" s="71" t="str">
        <f ca="1">_xll.DBRW(Server&amp;Cube1,$H$13,$AP$3,$H$15,$H$17,BB$1,$H$16,$B88)</f>
        <v>*KEY_ERR</v>
      </c>
      <c r="BC88" s="185" t="str">
        <f ca="1">_xll.DBRW(Server&amp;Cube1,$H$13,$BC$3,$H$15,$P$1,BC$2,$H$16,$B88)</f>
        <v>*KEY_ERR</v>
      </c>
      <c r="BD88" s="67" t="str">
        <f ca="1">_xll.DBRW(Server&amp;Cube1,$H$13,$BC$3,$H$15,$H$17,BD$1,$H$16,$B88)</f>
        <v>*KEY_ERR</v>
      </c>
      <c r="BE88" s="70" t="str">
        <f ca="1">_xll.DBRW(Server&amp;Cube1,$H$13,$BC$3,$H$15,$H$17,BE$1,$H$16,$B88)</f>
        <v>*KEY_ERR</v>
      </c>
      <c r="BF88" s="70" t="str">
        <f ca="1">_xll.DBRW(Server&amp;Cube1,$H$13,$BC$3,$H$15,$H$17,BF$1,$H$16,$B88)</f>
        <v>*KEY_ERR</v>
      </c>
      <c r="BG88" s="70" t="str">
        <f ca="1">_xll.DBRW(Server&amp;Cube1,$H$13,$BC$3,$H$15,$H$17,BG$1,$H$16,$B88)</f>
        <v>*KEY_ERR</v>
      </c>
      <c r="BH88" s="70" t="str">
        <f ca="1">_xll.DBRW(Server&amp;Cube1,$H$13,$BC$3,$H$15,$H$17,BH$1,$H$16,$B88)</f>
        <v>*KEY_ERR</v>
      </c>
      <c r="BI88" s="70" t="str">
        <f ca="1">_xll.DBRW(Server&amp;Cube1,$H$13,$BC$3,$H$15,$H$17,BI$1,$H$16,$B88)</f>
        <v>*KEY_ERR</v>
      </c>
      <c r="BJ88" s="70" t="str">
        <f ca="1">_xll.DBRW(Server&amp;Cube1,$H$13,$BC$3,$H$15,$H$17,BJ$1,$H$16,$B88)</f>
        <v>*KEY_ERR</v>
      </c>
      <c r="BK88" s="70" t="str">
        <f ca="1">_xll.DBRW(Server&amp;Cube1,$H$13,$BC$3,$H$15,$H$17,BK$1,$H$16,$B88)</f>
        <v>*KEY_ERR</v>
      </c>
      <c r="BL88" s="70" t="str">
        <f ca="1">_xll.DBRW(Server&amp;Cube1,$H$13,$BC$3,$H$15,$H$17,BL$1,$H$16,$B88)</f>
        <v>*KEY_ERR</v>
      </c>
      <c r="BM88" s="70" t="str">
        <f ca="1">_xll.DBRW(Server&amp;Cube1,$H$13,$BC$3,$H$15,$H$17,BM$1,$H$16,$B88)</f>
        <v>*KEY_ERR</v>
      </c>
      <c r="BN88" s="70" t="str">
        <f ca="1">_xll.DBRW(Server&amp;Cube1,$H$13,$BC$3,$H$15,$H$17,BN$1,$H$16,$B88)</f>
        <v>*KEY_ERR</v>
      </c>
      <c r="BO88" s="71" t="str">
        <f ca="1">_xll.DBRW(Server&amp;Cube1,$H$13,$BC$3,$H$15,$H$17,BO$1,$H$16,$B88)</f>
        <v>*KEY_ERR</v>
      </c>
      <c r="BP88" s="31"/>
    </row>
    <row r="89" spans="1:68" ht="21" customHeight="1" x14ac:dyDescent="0.25">
      <c r="A89"/>
      <c r="B89" s="13" t="s">
        <v>37</v>
      </c>
      <c r="C89" s="13"/>
      <c r="D89" s="22"/>
      <c r="E89" s="171"/>
      <c r="F89" s="107"/>
      <c r="G89" s="305" t="str">
        <f ca="1">_xll.DBRA(Server&amp;$B$22,$B89,"French")</f>
        <v>Dot.Amort. Immob. Corporelles</v>
      </c>
      <c r="H89" s="305" t="str">
        <f ca="1">_xll.DBRA(Server&amp;$B$22,$B89,"French")</f>
        <v>Dot.Amort. Immob. Corporelles</v>
      </c>
      <c r="I89" s="37"/>
      <c r="J89" s="54" t="str">
        <f ca="1">_xll.DBRW(Server&amp;Cube1,$H$13,$H$14,$H$15,$J$1,$J$2,$H$16,$B89)</f>
        <v/>
      </c>
      <c r="K89" s="37"/>
      <c r="L89" s="54" t="str">
        <f ca="1">_xll.DBRW(Server&amp;Cube1,$H$13,$H$14,$H$15,$L$1,$L$2,$H$16,$B89)</f>
        <v/>
      </c>
      <c r="M89" s="55"/>
      <c r="N89" s="54" t="str">
        <f ca="1">_xll.DBRW(Server&amp;Cube1,$H$13,$H$14,$H$15,$P$1,N$2,$H$16,$B89)</f>
        <v>*KEY_ERR</v>
      </c>
      <c r="O89" s="57"/>
      <c r="P89" s="54" t="str">
        <f ca="1">_xll.DBRW(Server&amp;Cube1,$H$13,$P$3,$H$15,$P$1,P$2,$H$16,$B89)</f>
        <v>*KEY_ERR</v>
      </c>
      <c r="Q89" s="54" t="str">
        <f ca="1">_xll.DBRW(Server&amp;Cube1,$H$13,$P$3,$H$15,$H$17,Q$1,$H$16,$B89)</f>
        <v>*KEY_ERR</v>
      </c>
      <c r="R89" s="58" t="str">
        <f ca="1">_xll.DBRW(Server&amp;Cube1,$H$13,$P$3,$H$15,$H$17,R$1,$H$16,$B89)</f>
        <v>*KEY_ERR</v>
      </c>
      <c r="S89" s="58" t="str">
        <f ca="1">_xll.DBRW(Server&amp;Cube1,$H$13,$P$3,$H$15,$H$17,S$1,$H$16,$B89)</f>
        <v>*KEY_ERR</v>
      </c>
      <c r="T89" s="58" t="str">
        <f ca="1">_xll.DBRW(Server&amp;Cube1,$H$13,$P$3,$H$15,$H$17,T$1,$H$16,$B89)</f>
        <v>*KEY_ERR</v>
      </c>
      <c r="U89" s="58" t="str">
        <f ca="1">_xll.DBRW(Server&amp;Cube1,$H$13,$P$3,$H$15,$H$17,U$1,$H$16,$B89)</f>
        <v>*KEY_ERR</v>
      </c>
      <c r="V89" s="58" t="str">
        <f ca="1">_xll.DBRW(Server&amp;Cube1,$H$13,$P$3,$H$15,$H$17,V$1,$H$16,$B89)</f>
        <v>*KEY_ERR</v>
      </c>
      <c r="W89" s="58" t="str">
        <f ca="1">_xll.DBRW(Server&amp;Cube1,$H$13,$P$3,$H$15,$H$17,W$1,$H$16,$B89)</f>
        <v>*KEY_ERR</v>
      </c>
      <c r="X89" s="58" t="str">
        <f ca="1">_xll.DBRW(Server&amp;Cube1,$H$13,$P$3,$H$15,$H$17,X$1,$H$16,$B89)</f>
        <v>*KEY_ERR</v>
      </c>
      <c r="Y89" s="58" t="str">
        <f ca="1">_xll.DBRW(Server&amp;Cube1,$H$13,$P$3,$H$15,$H$17,Y$1,$H$16,$B89)</f>
        <v>*KEY_ERR</v>
      </c>
      <c r="Z89" s="58" t="str">
        <f ca="1">_xll.DBRW(Server&amp;Cube1,$H$13,$P$3,$H$15,$H$17,Z$1,$H$16,$B89)</f>
        <v>*KEY_ERR</v>
      </c>
      <c r="AA89" s="58" t="str">
        <f ca="1">_xll.DBRW(Server&amp;Cube1,$H$13,$P$3,$H$15,$H$17,AA$1,$H$16,$B89)</f>
        <v>*KEY_ERR</v>
      </c>
      <c r="AB89" s="59" t="str">
        <f ca="1">_xll.DBRW(Server&amp;Cube1,$H$13,$P$3,$H$15,$H$17,AB$1,$H$16,$B89)</f>
        <v>*KEY_ERR</v>
      </c>
      <c r="AC89" s="187" t="str">
        <f ca="1">_xll.DBRW(Server&amp;Cube1,$H$13,$AC$3,$H$15,$P$1,AC$2,$H$16,$B89)</f>
        <v>*KEY_ERR</v>
      </c>
      <c r="AD89" s="54" t="str">
        <f ca="1">_xll.DBRW(Server&amp;Cube1,$H$13,$AC$3,$H$15,$H$17,AD$1,$H$16,$B89)</f>
        <v>*KEY_ERR</v>
      </c>
      <c r="AE89" s="58" t="str">
        <f ca="1">_xll.DBRW(Server&amp;Cube1,$H$13,$AC$3,$H$15,$H$17,AE$1,$H$16,$B89)</f>
        <v>*KEY_ERR</v>
      </c>
      <c r="AF89" s="58" t="str">
        <f ca="1">_xll.DBRW(Server&amp;Cube1,$H$13,$AC$3,$H$15,$H$17,AF$1,$H$16,$B89)</f>
        <v>*KEY_ERR</v>
      </c>
      <c r="AG89" s="58" t="str">
        <f ca="1">_xll.DBRW(Server&amp;Cube1,$H$13,$AC$3,$H$15,$H$17,AG$1,$H$16,$B89)</f>
        <v>*KEY_ERR</v>
      </c>
      <c r="AH89" s="58" t="str">
        <f ca="1">_xll.DBRW(Server&amp;Cube1,$H$13,$AC$3,$H$15,$H$17,AH$1,$H$16,$B89)</f>
        <v>*KEY_ERR</v>
      </c>
      <c r="AI89" s="58" t="str">
        <f ca="1">_xll.DBRW(Server&amp;Cube1,$H$13,$AC$3,$H$15,$H$17,AI$1,$H$16,$B89)</f>
        <v>*KEY_ERR</v>
      </c>
      <c r="AJ89" s="58" t="str">
        <f ca="1">_xll.DBRW(Server&amp;Cube1,$H$13,$AC$3,$H$15,$H$17,AJ$1,$H$16,$B89)</f>
        <v>*KEY_ERR</v>
      </c>
      <c r="AK89" s="58" t="str">
        <f ca="1">_xll.DBRW(Server&amp;Cube1,$H$13,$AC$3,$H$15,$H$17,AK$1,$H$16,$B89)</f>
        <v>*KEY_ERR</v>
      </c>
      <c r="AL89" s="58" t="str">
        <f ca="1">_xll.DBRW(Server&amp;Cube1,$H$13,$AC$3,$H$15,$H$17,AL$1,$H$16,$B89)</f>
        <v>*KEY_ERR</v>
      </c>
      <c r="AM89" s="58" t="str">
        <f ca="1">_xll.DBRW(Server&amp;Cube1,$H$13,$AC$3,$H$15,$H$17,AM$1,$H$16,$B89)</f>
        <v>*KEY_ERR</v>
      </c>
      <c r="AN89" s="58" t="str">
        <f ca="1">_xll.DBRW(Server&amp;Cube1,$H$13,$AC$3,$H$15,$H$17,AN$1,$H$16,$B89)</f>
        <v>*KEY_ERR</v>
      </c>
      <c r="AO89" s="59" t="str">
        <f ca="1">_xll.DBRW(Server&amp;Cube1,$H$13,$AC$3,$H$15,$H$17,AO$1,$H$16,$B89)</f>
        <v>*KEY_ERR</v>
      </c>
      <c r="AP89" s="187" t="str">
        <f ca="1">_xll.DBRW(Server&amp;Cube1,$H$13,$AP$3,$H$15,$P$1,AP$2,$H$16,$B89)</f>
        <v>*KEY_ERR</v>
      </c>
      <c r="AQ89" s="54" t="str">
        <f ca="1">_xll.DBRW(Server&amp;Cube1,$H$13,$AP$3,$H$15,$H$17,AQ$1,$H$16,$B89)</f>
        <v>*KEY_ERR</v>
      </c>
      <c r="AR89" s="58" t="str">
        <f ca="1">_xll.DBRW(Server&amp;Cube1,$H$13,$AP$3,$H$15,$H$17,AR$1,$H$16,$B89)</f>
        <v>*KEY_ERR</v>
      </c>
      <c r="AS89" s="58" t="str">
        <f ca="1">_xll.DBRW(Server&amp;Cube1,$H$13,$AP$3,$H$15,$H$17,AS$1,$H$16,$B89)</f>
        <v>*KEY_ERR</v>
      </c>
      <c r="AT89" s="58" t="str">
        <f ca="1">_xll.DBRW(Server&amp;Cube1,$H$13,$AP$3,$H$15,$H$17,AT$1,$H$16,$B89)</f>
        <v>*KEY_ERR</v>
      </c>
      <c r="AU89" s="58" t="str">
        <f ca="1">_xll.DBRW(Server&amp;Cube1,$H$13,$AP$3,$H$15,$H$17,AU$1,$H$16,$B89)</f>
        <v>*KEY_ERR</v>
      </c>
      <c r="AV89" s="58" t="str">
        <f ca="1">_xll.DBRW(Server&amp;Cube1,$H$13,$AP$3,$H$15,$H$17,AV$1,$H$16,$B89)</f>
        <v>*KEY_ERR</v>
      </c>
      <c r="AW89" s="58" t="str">
        <f ca="1">_xll.DBRW(Server&amp;Cube1,$H$13,$AP$3,$H$15,$H$17,AW$1,$H$16,$B89)</f>
        <v>*KEY_ERR</v>
      </c>
      <c r="AX89" s="58" t="str">
        <f ca="1">_xll.DBRW(Server&amp;Cube1,$H$13,$AP$3,$H$15,$H$17,AX$1,$H$16,$B89)</f>
        <v>*KEY_ERR</v>
      </c>
      <c r="AY89" s="58" t="str">
        <f ca="1">_xll.DBRW(Server&amp;Cube1,$H$13,$AP$3,$H$15,$H$17,AY$1,$H$16,$B89)</f>
        <v>*KEY_ERR</v>
      </c>
      <c r="AZ89" s="58" t="str">
        <f ca="1">_xll.DBRW(Server&amp;Cube1,$H$13,$AP$3,$H$15,$H$17,AZ$1,$H$16,$B89)</f>
        <v>*KEY_ERR</v>
      </c>
      <c r="BA89" s="58" t="str">
        <f ca="1">_xll.DBRW(Server&amp;Cube1,$H$13,$AP$3,$H$15,$H$17,BA$1,$H$16,$B89)</f>
        <v>*KEY_ERR</v>
      </c>
      <c r="BB89" s="59" t="str">
        <f ca="1">_xll.DBRW(Server&amp;Cube1,$H$13,$AP$3,$H$15,$H$17,BB$1,$H$16,$B89)</f>
        <v>*KEY_ERR</v>
      </c>
      <c r="BC89" s="187" t="str">
        <f ca="1">_xll.DBRW(Server&amp;Cube1,$H$13,$BC$3,$H$15,$P$1,BC$2,$H$16,$B89)</f>
        <v>*KEY_ERR</v>
      </c>
      <c r="BD89" s="54" t="str">
        <f ca="1">_xll.DBRW(Server&amp;Cube1,$H$13,$BC$3,$H$15,$H$17,BD$1,$H$16,$B89)</f>
        <v>*KEY_ERR</v>
      </c>
      <c r="BE89" s="58" t="str">
        <f ca="1">_xll.DBRW(Server&amp;Cube1,$H$13,$BC$3,$H$15,$H$17,BE$1,$H$16,$B89)</f>
        <v>*KEY_ERR</v>
      </c>
      <c r="BF89" s="58" t="str">
        <f ca="1">_xll.DBRW(Server&amp;Cube1,$H$13,$BC$3,$H$15,$H$17,BF$1,$H$16,$B89)</f>
        <v>*KEY_ERR</v>
      </c>
      <c r="BG89" s="58" t="str">
        <f ca="1">_xll.DBRW(Server&amp;Cube1,$H$13,$BC$3,$H$15,$H$17,BG$1,$H$16,$B89)</f>
        <v>*KEY_ERR</v>
      </c>
      <c r="BH89" s="58" t="str">
        <f ca="1">_xll.DBRW(Server&amp;Cube1,$H$13,$BC$3,$H$15,$H$17,BH$1,$H$16,$B89)</f>
        <v>*KEY_ERR</v>
      </c>
      <c r="BI89" s="58" t="str">
        <f ca="1">_xll.DBRW(Server&amp;Cube1,$H$13,$BC$3,$H$15,$H$17,BI$1,$H$16,$B89)</f>
        <v>*KEY_ERR</v>
      </c>
      <c r="BJ89" s="58" t="str">
        <f ca="1">_xll.DBRW(Server&amp;Cube1,$H$13,$BC$3,$H$15,$H$17,BJ$1,$H$16,$B89)</f>
        <v>*KEY_ERR</v>
      </c>
      <c r="BK89" s="58" t="str">
        <f ca="1">_xll.DBRW(Server&amp;Cube1,$H$13,$BC$3,$H$15,$H$17,BK$1,$H$16,$B89)</f>
        <v>*KEY_ERR</v>
      </c>
      <c r="BL89" s="58" t="str">
        <f ca="1">_xll.DBRW(Server&amp;Cube1,$H$13,$BC$3,$H$15,$H$17,BL$1,$H$16,$B89)</f>
        <v>*KEY_ERR</v>
      </c>
      <c r="BM89" s="58" t="str">
        <f ca="1">_xll.DBRW(Server&amp;Cube1,$H$13,$BC$3,$H$15,$H$17,BM$1,$H$16,$B89)</f>
        <v>*KEY_ERR</v>
      </c>
      <c r="BN89" s="58" t="str">
        <f ca="1">_xll.DBRW(Server&amp;Cube1,$H$13,$BC$3,$H$15,$H$17,BN$1,$H$16,$B89)</f>
        <v>*KEY_ERR</v>
      </c>
      <c r="BO89" s="59" t="str">
        <f ca="1">_xll.DBRW(Server&amp;Cube1,$H$13,$BC$3,$H$15,$H$17,BO$1,$H$16,$B89)</f>
        <v>*KEY_ERR</v>
      </c>
      <c r="BP89" s="31"/>
    </row>
    <row r="90" spans="1:68" ht="21" customHeight="1" x14ac:dyDescent="0.25">
      <c r="A90"/>
      <c r="B90" s="13">
        <v>618100</v>
      </c>
      <c r="C90" s="86"/>
      <c r="D90" s="22"/>
      <c r="E90" s="171"/>
      <c r="F90" s="107"/>
      <c r="G90" s="305" t="s">
        <v>113</v>
      </c>
      <c r="H90" s="305"/>
      <c r="I90" s="37"/>
      <c r="J90" s="54" t="str">
        <f ca="1">_xll.DBRW(Server&amp;Cube1,$H$13,$H$14,$H$15,$J$1,$J$2,$H$16,$B90)</f>
        <v/>
      </c>
      <c r="K90" s="37"/>
      <c r="L90" s="54" t="str">
        <f ca="1">_xll.DBRW(Server&amp;Cube1,$H$13,$H$14,$H$15,$L$1,$L$2,$H$16,$B90)</f>
        <v/>
      </c>
      <c r="M90" s="55"/>
      <c r="N90" s="54" t="str">
        <f ca="1">_xll.DBRW(Server&amp;Cube1,$H$13,$H$14,$H$15,$P$1,N$2,$H$16,$B90)</f>
        <v>*KEY_ERR</v>
      </c>
      <c r="O90" s="57"/>
      <c r="P90" s="54" t="str">
        <f ca="1">_xll.DBRW(Server&amp;Cube1,$H$13,$P$3,$H$15,$P$1,P$2,$H$16,$B90)</f>
        <v>*KEY_ERR</v>
      </c>
      <c r="Q90" s="54" t="str">
        <f ca="1">_xll.DBRW(Server&amp;Cube1,$H$13,$P$3,$H$15,$H$17,Q$1,$H$16,$B90)</f>
        <v>*KEY_ERR</v>
      </c>
      <c r="R90" s="58" t="str">
        <f ca="1">_xll.DBRW(Server&amp;Cube1,$H$13,$P$3,$H$15,$H$17,R$1,$H$16,$B90)</f>
        <v>*KEY_ERR</v>
      </c>
      <c r="S90" s="58" t="str">
        <f ca="1">_xll.DBRW(Server&amp;Cube1,$H$13,$P$3,$H$15,$H$17,S$1,$H$16,$B90)</f>
        <v>*KEY_ERR</v>
      </c>
      <c r="T90" s="58" t="str">
        <f ca="1">_xll.DBRW(Server&amp;Cube1,$H$13,$P$3,$H$15,$H$17,T$1,$H$16,$B90)</f>
        <v>*KEY_ERR</v>
      </c>
      <c r="U90" s="58" t="str">
        <f ca="1">_xll.DBRW(Server&amp;Cube1,$H$13,$P$3,$H$15,$H$17,U$1,$H$16,$B90)</f>
        <v>*KEY_ERR</v>
      </c>
      <c r="V90" s="58" t="str">
        <f ca="1">_xll.DBRW(Server&amp;Cube1,$H$13,$P$3,$H$15,$H$17,V$1,$H$16,$B90)</f>
        <v>*KEY_ERR</v>
      </c>
      <c r="W90" s="58" t="str">
        <f ca="1">_xll.DBRW(Server&amp;Cube1,$H$13,$P$3,$H$15,$H$17,W$1,$H$16,$B90)</f>
        <v>*KEY_ERR</v>
      </c>
      <c r="X90" s="58" t="str">
        <f ca="1">_xll.DBRW(Server&amp;Cube1,$H$13,$P$3,$H$15,$H$17,X$1,$H$16,$B90)</f>
        <v>*KEY_ERR</v>
      </c>
      <c r="Y90" s="58" t="str">
        <f ca="1">_xll.DBRW(Server&amp;Cube1,$H$13,$P$3,$H$15,$H$17,Y$1,$H$16,$B90)</f>
        <v>*KEY_ERR</v>
      </c>
      <c r="Z90" s="58" t="str">
        <f ca="1">_xll.DBRW(Server&amp;Cube1,$H$13,$P$3,$H$15,$H$17,Z$1,$H$16,$B90)</f>
        <v>*KEY_ERR</v>
      </c>
      <c r="AA90" s="58" t="str">
        <f ca="1">_xll.DBRW(Server&amp;Cube1,$H$13,$P$3,$H$15,$H$17,AA$1,$H$16,$B90)</f>
        <v>*KEY_ERR</v>
      </c>
      <c r="AB90" s="59" t="str">
        <f ca="1">_xll.DBRW(Server&amp;Cube1,$H$13,$P$3,$H$15,$H$17,AB$1,$H$16,$B90)</f>
        <v>*KEY_ERR</v>
      </c>
      <c r="AC90" s="187" t="str">
        <f ca="1">_xll.DBRW(Server&amp;Cube1,$H$13,$AC$3,$H$15,$P$1,AC$2,$H$16,$B90)</f>
        <v>*KEY_ERR</v>
      </c>
      <c r="AD90" s="54" t="str">
        <f ca="1">_xll.DBRW(Server&amp;Cube1,$H$13,$AC$3,$H$15,$H$17,AD$1,$H$16,$B90)</f>
        <v>*KEY_ERR</v>
      </c>
      <c r="AE90" s="58" t="str">
        <f ca="1">_xll.DBRW(Server&amp;Cube1,$H$13,$AC$3,$H$15,$H$17,AE$1,$H$16,$B90)</f>
        <v>*KEY_ERR</v>
      </c>
      <c r="AF90" s="58" t="str">
        <f ca="1">_xll.DBRW(Server&amp;Cube1,$H$13,$AC$3,$H$15,$H$17,AF$1,$H$16,$B90)</f>
        <v>*KEY_ERR</v>
      </c>
      <c r="AG90" s="58" t="str">
        <f ca="1">_xll.DBRW(Server&amp;Cube1,$H$13,$AC$3,$H$15,$H$17,AG$1,$H$16,$B90)</f>
        <v>*KEY_ERR</v>
      </c>
      <c r="AH90" s="58" t="str">
        <f ca="1">_xll.DBRW(Server&amp;Cube1,$H$13,$AC$3,$H$15,$H$17,AH$1,$H$16,$B90)</f>
        <v>*KEY_ERR</v>
      </c>
      <c r="AI90" s="58" t="str">
        <f ca="1">_xll.DBRW(Server&amp;Cube1,$H$13,$AC$3,$H$15,$H$17,AI$1,$H$16,$B90)</f>
        <v>*KEY_ERR</v>
      </c>
      <c r="AJ90" s="58" t="str">
        <f ca="1">_xll.DBRW(Server&amp;Cube1,$H$13,$AC$3,$H$15,$H$17,AJ$1,$H$16,$B90)</f>
        <v>*KEY_ERR</v>
      </c>
      <c r="AK90" s="58" t="str">
        <f ca="1">_xll.DBRW(Server&amp;Cube1,$H$13,$AC$3,$H$15,$H$17,AK$1,$H$16,$B90)</f>
        <v>*KEY_ERR</v>
      </c>
      <c r="AL90" s="58" t="str">
        <f ca="1">_xll.DBRW(Server&amp;Cube1,$H$13,$AC$3,$H$15,$H$17,AL$1,$H$16,$B90)</f>
        <v>*KEY_ERR</v>
      </c>
      <c r="AM90" s="58" t="str">
        <f ca="1">_xll.DBRW(Server&amp;Cube1,$H$13,$AC$3,$H$15,$H$17,AM$1,$H$16,$B90)</f>
        <v>*KEY_ERR</v>
      </c>
      <c r="AN90" s="58" t="str">
        <f ca="1">_xll.DBRW(Server&amp;Cube1,$H$13,$AC$3,$H$15,$H$17,AN$1,$H$16,$B90)</f>
        <v>*KEY_ERR</v>
      </c>
      <c r="AO90" s="59" t="str">
        <f ca="1">_xll.DBRW(Server&amp;Cube1,$H$13,$AC$3,$H$15,$H$17,AO$1,$H$16,$B90)</f>
        <v>*KEY_ERR</v>
      </c>
      <c r="AP90" s="187" t="str">
        <f ca="1">_xll.DBRW(Server&amp;Cube1,$H$13,$AP$3,$H$15,$P$1,AP$2,$H$16,$B90)</f>
        <v>*KEY_ERR</v>
      </c>
      <c r="AQ90" s="54" t="str">
        <f ca="1">_xll.DBRW(Server&amp;Cube1,$H$13,$AP$3,$H$15,$H$17,AQ$1,$H$16,$B90)</f>
        <v>*KEY_ERR</v>
      </c>
      <c r="AR90" s="58" t="str">
        <f ca="1">_xll.DBRW(Server&amp;Cube1,$H$13,$AP$3,$H$15,$H$17,AR$1,$H$16,$B90)</f>
        <v>*KEY_ERR</v>
      </c>
      <c r="AS90" s="58" t="str">
        <f ca="1">_xll.DBRW(Server&amp;Cube1,$H$13,$AP$3,$H$15,$H$17,AS$1,$H$16,$B90)</f>
        <v>*KEY_ERR</v>
      </c>
      <c r="AT90" s="58" t="str">
        <f ca="1">_xll.DBRW(Server&amp;Cube1,$H$13,$AP$3,$H$15,$H$17,AT$1,$H$16,$B90)</f>
        <v>*KEY_ERR</v>
      </c>
      <c r="AU90" s="58" t="str">
        <f ca="1">_xll.DBRW(Server&amp;Cube1,$H$13,$AP$3,$H$15,$H$17,AU$1,$H$16,$B90)</f>
        <v>*KEY_ERR</v>
      </c>
      <c r="AV90" s="58" t="str">
        <f ca="1">_xll.DBRW(Server&amp;Cube1,$H$13,$AP$3,$H$15,$H$17,AV$1,$H$16,$B90)</f>
        <v>*KEY_ERR</v>
      </c>
      <c r="AW90" s="58" t="str">
        <f ca="1">_xll.DBRW(Server&amp;Cube1,$H$13,$AP$3,$H$15,$H$17,AW$1,$H$16,$B90)</f>
        <v>*KEY_ERR</v>
      </c>
      <c r="AX90" s="58" t="str">
        <f ca="1">_xll.DBRW(Server&amp;Cube1,$H$13,$AP$3,$H$15,$H$17,AX$1,$H$16,$B90)</f>
        <v>*KEY_ERR</v>
      </c>
      <c r="AY90" s="58" t="str">
        <f ca="1">_xll.DBRW(Server&amp;Cube1,$H$13,$AP$3,$H$15,$H$17,AY$1,$H$16,$B90)</f>
        <v>*KEY_ERR</v>
      </c>
      <c r="AZ90" s="58" t="str">
        <f ca="1">_xll.DBRW(Server&amp;Cube1,$H$13,$AP$3,$H$15,$H$17,AZ$1,$H$16,$B90)</f>
        <v>*KEY_ERR</v>
      </c>
      <c r="BA90" s="58" t="str">
        <f ca="1">_xll.DBRW(Server&amp;Cube1,$H$13,$AP$3,$H$15,$H$17,BA$1,$H$16,$B90)</f>
        <v>*KEY_ERR</v>
      </c>
      <c r="BB90" s="59" t="str">
        <f ca="1">_xll.DBRW(Server&amp;Cube1,$H$13,$AP$3,$H$15,$H$17,BB$1,$H$16,$B90)</f>
        <v>*KEY_ERR</v>
      </c>
      <c r="BC90" s="187" t="str">
        <f ca="1">_xll.DBRW(Server&amp;Cube1,$H$13,$BC$3,$H$15,$P$1,BC$2,$H$16,$B90)</f>
        <v>*KEY_ERR</v>
      </c>
      <c r="BD90" s="54" t="str">
        <f ca="1">_xll.DBRW(Server&amp;Cube1,$H$13,$BC$3,$H$15,$H$17,BD$1,$H$16,$B90)</f>
        <v>*KEY_ERR</v>
      </c>
      <c r="BE90" s="58" t="str">
        <f ca="1">_xll.DBRW(Server&amp;Cube1,$H$13,$BC$3,$H$15,$H$17,BE$1,$H$16,$B90)</f>
        <v>*KEY_ERR</v>
      </c>
      <c r="BF90" s="58" t="str">
        <f ca="1">_xll.DBRW(Server&amp;Cube1,$H$13,$BC$3,$H$15,$H$17,BF$1,$H$16,$B90)</f>
        <v>*KEY_ERR</v>
      </c>
      <c r="BG90" s="58" t="str">
        <f ca="1">_xll.DBRW(Server&amp;Cube1,$H$13,$BC$3,$H$15,$H$17,BG$1,$H$16,$B90)</f>
        <v>*KEY_ERR</v>
      </c>
      <c r="BH90" s="58" t="str">
        <f ca="1">_xll.DBRW(Server&amp;Cube1,$H$13,$BC$3,$H$15,$H$17,BH$1,$H$16,$B90)</f>
        <v>*KEY_ERR</v>
      </c>
      <c r="BI90" s="58" t="str">
        <f ca="1">_xll.DBRW(Server&amp;Cube1,$H$13,$BC$3,$H$15,$H$17,BI$1,$H$16,$B90)</f>
        <v>*KEY_ERR</v>
      </c>
      <c r="BJ90" s="58" t="str">
        <f ca="1">_xll.DBRW(Server&amp;Cube1,$H$13,$BC$3,$H$15,$H$17,BJ$1,$H$16,$B90)</f>
        <v>*KEY_ERR</v>
      </c>
      <c r="BK90" s="58" t="str">
        <f ca="1">_xll.DBRW(Server&amp;Cube1,$H$13,$BC$3,$H$15,$H$17,BK$1,$H$16,$B90)</f>
        <v>*KEY_ERR</v>
      </c>
      <c r="BL90" s="58" t="str">
        <f ca="1">_xll.DBRW(Server&amp;Cube1,$H$13,$BC$3,$H$15,$H$17,BL$1,$H$16,$B90)</f>
        <v>*KEY_ERR</v>
      </c>
      <c r="BM90" s="58" t="str">
        <f ca="1">_xll.DBRW(Server&amp;Cube1,$H$13,$BC$3,$H$15,$H$17,BM$1,$H$16,$B90)</f>
        <v>*KEY_ERR</v>
      </c>
      <c r="BN90" s="58" t="str">
        <f ca="1">_xll.DBRW(Server&amp;Cube1,$H$13,$BC$3,$H$15,$H$17,BN$1,$H$16,$B90)</f>
        <v>*KEY_ERR</v>
      </c>
      <c r="BO90" s="59" t="str">
        <f ca="1">_xll.DBRW(Server&amp;Cube1,$H$13,$BC$3,$H$15,$H$17,BO$1,$H$16,$B90)</f>
        <v>*KEY_ERR</v>
      </c>
      <c r="BP90" s="31"/>
    </row>
    <row r="91" spans="1:68" ht="21" customHeight="1" x14ac:dyDescent="0.25">
      <c r="A91"/>
      <c r="B91" s="13" t="s">
        <v>38</v>
      </c>
      <c r="C91" s="13"/>
      <c r="D91" s="22"/>
      <c r="E91" s="171"/>
      <c r="F91" s="107"/>
      <c r="G91" s="305" t="str">
        <f ca="1">_xll.DBRA(Server&amp;$B$22,$B91,"French")</f>
        <v>Location bureau structure</v>
      </c>
      <c r="H91" s="305" t="str">
        <f ca="1">_xll.DBRA(Server&amp;$B$22,$B91,"French")</f>
        <v>Location bureau structure</v>
      </c>
      <c r="I91" s="37"/>
      <c r="J91" s="54" t="str">
        <f ca="1">_xll.DBRW(Server&amp;Cube1,$H$13,$H$14,$H$15,$J$1,$J$2,$H$16,$B91)</f>
        <v/>
      </c>
      <c r="K91" s="37"/>
      <c r="L91" s="54" t="str">
        <f ca="1">_xll.DBRW(Server&amp;Cube1,$H$13,$H$14,$H$15,$L$1,$L$2,$H$16,$B91)</f>
        <v/>
      </c>
      <c r="M91" s="55"/>
      <c r="N91" s="54" t="str">
        <f ca="1">_xll.DBRW(Server&amp;Cube1,$H$13,$H$14,$H$15,$P$1,N$2,$H$16,$B91)</f>
        <v>*KEY_ERR</v>
      </c>
      <c r="O91" s="57"/>
      <c r="P91" s="54" t="str">
        <f ca="1">_xll.DBRW(Server&amp;Cube1,$H$13,$P$3,$H$15,$P$1,P$2,$H$16,$B91)</f>
        <v>*KEY_ERR</v>
      </c>
      <c r="Q91" s="54" t="str">
        <f ca="1">_xll.DBRW(Server&amp;Cube1,$H$13,$P$3,$H$15,$H$17,Q$1,$H$16,$B91)</f>
        <v>*KEY_ERR</v>
      </c>
      <c r="R91" s="58" t="str">
        <f ca="1">_xll.DBRW(Server&amp;Cube1,$H$13,$P$3,$H$15,$H$17,R$1,$H$16,$B91)</f>
        <v>*KEY_ERR</v>
      </c>
      <c r="S91" s="58" t="str">
        <f ca="1">_xll.DBRW(Server&amp;Cube1,$H$13,$P$3,$H$15,$H$17,S$1,$H$16,$B91)</f>
        <v>*KEY_ERR</v>
      </c>
      <c r="T91" s="58" t="str">
        <f ca="1">_xll.DBRW(Server&amp;Cube1,$H$13,$P$3,$H$15,$H$17,T$1,$H$16,$B91)</f>
        <v>*KEY_ERR</v>
      </c>
      <c r="U91" s="58" t="str">
        <f ca="1">_xll.DBRW(Server&amp;Cube1,$H$13,$P$3,$H$15,$H$17,U$1,$H$16,$B91)</f>
        <v>*KEY_ERR</v>
      </c>
      <c r="V91" s="58" t="str">
        <f ca="1">_xll.DBRW(Server&amp;Cube1,$H$13,$P$3,$H$15,$H$17,V$1,$H$16,$B91)</f>
        <v>*KEY_ERR</v>
      </c>
      <c r="W91" s="58" t="str">
        <f ca="1">_xll.DBRW(Server&amp;Cube1,$H$13,$P$3,$H$15,$H$17,W$1,$H$16,$B91)</f>
        <v>*KEY_ERR</v>
      </c>
      <c r="X91" s="58" t="str">
        <f ca="1">_xll.DBRW(Server&amp;Cube1,$H$13,$P$3,$H$15,$H$17,X$1,$H$16,$B91)</f>
        <v>*KEY_ERR</v>
      </c>
      <c r="Y91" s="58" t="str">
        <f ca="1">_xll.DBRW(Server&amp;Cube1,$H$13,$P$3,$H$15,$H$17,Y$1,$H$16,$B91)</f>
        <v>*KEY_ERR</v>
      </c>
      <c r="Z91" s="58" t="str">
        <f ca="1">_xll.DBRW(Server&amp;Cube1,$H$13,$P$3,$H$15,$H$17,Z$1,$H$16,$B91)</f>
        <v>*KEY_ERR</v>
      </c>
      <c r="AA91" s="58" t="str">
        <f ca="1">_xll.DBRW(Server&amp;Cube1,$H$13,$P$3,$H$15,$H$17,AA$1,$H$16,$B91)</f>
        <v>*KEY_ERR</v>
      </c>
      <c r="AB91" s="59" t="str">
        <f ca="1">_xll.DBRW(Server&amp;Cube1,$H$13,$P$3,$H$15,$H$17,AB$1,$H$16,$B91)</f>
        <v>*KEY_ERR</v>
      </c>
      <c r="AC91" s="187" t="str">
        <f ca="1">_xll.DBRW(Server&amp;Cube1,$H$13,$AC$3,$H$15,$P$1,AC$2,$H$16,$B91)</f>
        <v>*KEY_ERR</v>
      </c>
      <c r="AD91" s="54" t="str">
        <f ca="1">_xll.DBRW(Server&amp;Cube1,$H$13,$AC$3,$H$15,$H$17,AD$1,$H$16,$B91)</f>
        <v>*KEY_ERR</v>
      </c>
      <c r="AE91" s="58" t="str">
        <f ca="1">_xll.DBRW(Server&amp;Cube1,$H$13,$AC$3,$H$15,$H$17,AE$1,$H$16,$B91)</f>
        <v>*KEY_ERR</v>
      </c>
      <c r="AF91" s="58" t="str">
        <f ca="1">_xll.DBRW(Server&amp;Cube1,$H$13,$AC$3,$H$15,$H$17,AF$1,$H$16,$B91)</f>
        <v>*KEY_ERR</v>
      </c>
      <c r="AG91" s="58" t="str">
        <f ca="1">_xll.DBRW(Server&amp;Cube1,$H$13,$AC$3,$H$15,$H$17,AG$1,$H$16,$B91)</f>
        <v>*KEY_ERR</v>
      </c>
      <c r="AH91" s="58" t="str">
        <f ca="1">_xll.DBRW(Server&amp;Cube1,$H$13,$AC$3,$H$15,$H$17,AH$1,$H$16,$B91)</f>
        <v>*KEY_ERR</v>
      </c>
      <c r="AI91" s="58" t="str">
        <f ca="1">_xll.DBRW(Server&amp;Cube1,$H$13,$AC$3,$H$15,$H$17,AI$1,$H$16,$B91)</f>
        <v>*KEY_ERR</v>
      </c>
      <c r="AJ91" s="58" t="str">
        <f ca="1">_xll.DBRW(Server&amp;Cube1,$H$13,$AC$3,$H$15,$H$17,AJ$1,$H$16,$B91)</f>
        <v>*KEY_ERR</v>
      </c>
      <c r="AK91" s="58" t="str">
        <f ca="1">_xll.DBRW(Server&amp;Cube1,$H$13,$AC$3,$H$15,$H$17,AK$1,$H$16,$B91)</f>
        <v>*KEY_ERR</v>
      </c>
      <c r="AL91" s="58" t="str">
        <f ca="1">_xll.DBRW(Server&amp;Cube1,$H$13,$AC$3,$H$15,$H$17,AL$1,$H$16,$B91)</f>
        <v>*KEY_ERR</v>
      </c>
      <c r="AM91" s="58" t="str">
        <f ca="1">_xll.DBRW(Server&amp;Cube1,$H$13,$AC$3,$H$15,$H$17,AM$1,$H$16,$B91)</f>
        <v>*KEY_ERR</v>
      </c>
      <c r="AN91" s="58" t="str">
        <f ca="1">_xll.DBRW(Server&amp;Cube1,$H$13,$AC$3,$H$15,$H$17,AN$1,$H$16,$B91)</f>
        <v>*KEY_ERR</v>
      </c>
      <c r="AO91" s="59" t="str">
        <f ca="1">_xll.DBRW(Server&amp;Cube1,$H$13,$AC$3,$H$15,$H$17,AO$1,$H$16,$B91)</f>
        <v>*KEY_ERR</v>
      </c>
      <c r="AP91" s="187" t="str">
        <f ca="1">_xll.DBRW(Server&amp;Cube1,$H$13,$AP$3,$H$15,$P$1,AP$2,$H$16,$B91)</f>
        <v>*KEY_ERR</v>
      </c>
      <c r="AQ91" s="54" t="str">
        <f ca="1">_xll.DBRW(Server&amp;Cube1,$H$13,$AP$3,$H$15,$H$17,AQ$1,$H$16,$B91)</f>
        <v>*KEY_ERR</v>
      </c>
      <c r="AR91" s="58" t="str">
        <f ca="1">_xll.DBRW(Server&amp;Cube1,$H$13,$AP$3,$H$15,$H$17,AR$1,$H$16,$B91)</f>
        <v>*KEY_ERR</v>
      </c>
      <c r="AS91" s="58" t="str">
        <f ca="1">_xll.DBRW(Server&amp;Cube1,$H$13,$AP$3,$H$15,$H$17,AS$1,$H$16,$B91)</f>
        <v>*KEY_ERR</v>
      </c>
      <c r="AT91" s="58" t="str">
        <f ca="1">_xll.DBRW(Server&amp;Cube1,$H$13,$AP$3,$H$15,$H$17,AT$1,$H$16,$B91)</f>
        <v>*KEY_ERR</v>
      </c>
      <c r="AU91" s="58" t="str">
        <f ca="1">_xll.DBRW(Server&amp;Cube1,$H$13,$AP$3,$H$15,$H$17,AU$1,$H$16,$B91)</f>
        <v>*KEY_ERR</v>
      </c>
      <c r="AV91" s="58" t="str">
        <f ca="1">_xll.DBRW(Server&amp;Cube1,$H$13,$AP$3,$H$15,$H$17,AV$1,$H$16,$B91)</f>
        <v>*KEY_ERR</v>
      </c>
      <c r="AW91" s="58" t="str">
        <f ca="1">_xll.DBRW(Server&amp;Cube1,$H$13,$AP$3,$H$15,$H$17,AW$1,$H$16,$B91)</f>
        <v>*KEY_ERR</v>
      </c>
      <c r="AX91" s="58" t="str">
        <f ca="1">_xll.DBRW(Server&amp;Cube1,$H$13,$AP$3,$H$15,$H$17,AX$1,$H$16,$B91)</f>
        <v>*KEY_ERR</v>
      </c>
      <c r="AY91" s="58" t="str">
        <f ca="1">_xll.DBRW(Server&amp;Cube1,$H$13,$AP$3,$H$15,$H$17,AY$1,$H$16,$B91)</f>
        <v>*KEY_ERR</v>
      </c>
      <c r="AZ91" s="58" t="str">
        <f ca="1">_xll.DBRW(Server&amp;Cube1,$H$13,$AP$3,$H$15,$H$17,AZ$1,$H$16,$B91)</f>
        <v>*KEY_ERR</v>
      </c>
      <c r="BA91" s="58" t="str">
        <f ca="1">_xll.DBRW(Server&amp;Cube1,$H$13,$AP$3,$H$15,$H$17,BA$1,$H$16,$B91)</f>
        <v>*KEY_ERR</v>
      </c>
      <c r="BB91" s="59" t="str">
        <f ca="1">_xll.DBRW(Server&amp;Cube1,$H$13,$AP$3,$H$15,$H$17,BB$1,$H$16,$B91)</f>
        <v>*KEY_ERR</v>
      </c>
      <c r="BC91" s="187" t="str">
        <f ca="1">_xll.DBRW(Server&amp;Cube1,$H$13,$BC$3,$H$15,$P$1,BC$2,$H$16,$B91)</f>
        <v>*KEY_ERR</v>
      </c>
      <c r="BD91" s="54" t="str">
        <f ca="1">_xll.DBRW(Server&amp;Cube1,$H$13,$BC$3,$H$15,$H$17,BD$1,$H$16,$B91)</f>
        <v>*KEY_ERR</v>
      </c>
      <c r="BE91" s="58" t="str">
        <f ca="1">_xll.DBRW(Server&amp;Cube1,$H$13,$BC$3,$H$15,$H$17,BE$1,$H$16,$B91)</f>
        <v>*KEY_ERR</v>
      </c>
      <c r="BF91" s="58" t="str">
        <f ca="1">_xll.DBRW(Server&amp;Cube1,$H$13,$BC$3,$H$15,$H$17,BF$1,$H$16,$B91)</f>
        <v>*KEY_ERR</v>
      </c>
      <c r="BG91" s="58" t="str">
        <f ca="1">_xll.DBRW(Server&amp;Cube1,$H$13,$BC$3,$H$15,$H$17,BG$1,$H$16,$B91)</f>
        <v>*KEY_ERR</v>
      </c>
      <c r="BH91" s="58" t="str">
        <f ca="1">_xll.DBRW(Server&amp;Cube1,$H$13,$BC$3,$H$15,$H$17,BH$1,$H$16,$B91)</f>
        <v>*KEY_ERR</v>
      </c>
      <c r="BI91" s="58" t="str">
        <f ca="1">_xll.DBRW(Server&amp;Cube1,$H$13,$BC$3,$H$15,$H$17,BI$1,$H$16,$B91)</f>
        <v>*KEY_ERR</v>
      </c>
      <c r="BJ91" s="58" t="str">
        <f ca="1">_xll.DBRW(Server&amp;Cube1,$H$13,$BC$3,$H$15,$H$17,BJ$1,$H$16,$B91)</f>
        <v>*KEY_ERR</v>
      </c>
      <c r="BK91" s="58" t="str">
        <f ca="1">_xll.DBRW(Server&amp;Cube1,$H$13,$BC$3,$H$15,$H$17,BK$1,$H$16,$B91)</f>
        <v>*KEY_ERR</v>
      </c>
      <c r="BL91" s="58" t="str">
        <f ca="1">_xll.DBRW(Server&amp;Cube1,$H$13,$BC$3,$H$15,$H$17,BL$1,$H$16,$B91)</f>
        <v>*KEY_ERR</v>
      </c>
      <c r="BM91" s="58" t="str">
        <f ca="1">_xll.DBRW(Server&amp;Cube1,$H$13,$BC$3,$H$15,$H$17,BM$1,$H$16,$B91)</f>
        <v>*KEY_ERR</v>
      </c>
      <c r="BN91" s="58" t="str">
        <f ca="1">_xll.DBRW(Server&amp;Cube1,$H$13,$BC$3,$H$15,$H$17,BN$1,$H$16,$B91)</f>
        <v>*KEY_ERR</v>
      </c>
      <c r="BO91" s="59" t="str">
        <f ca="1">_xll.DBRW(Server&amp;Cube1,$H$13,$BC$3,$H$15,$H$17,BO$1,$H$16,$B91)</f>
        <v>*KEY_ERR</v>
      </c>
      <c r="BP91" s="31"/>
    </row>
    <row r="92" spans="1:68" ht="21" customHeight="1" x14ac:dyDescent="0.25">
      <c r="A92"/>
      <c r="B92" s="13" t="s">
        <v>91</v>
      </c>
      <c r="C92" s="13"/>
      <c r="D92" s="22"/>
      <c r="E92" s="171"/>
      <c r="F92" s="107"/>
      <c r="G92" s="305" t="str">
        <f ca="1">_xll.DBRA(Server&amp;$B$22,$B92,"French")</f>
        <v>Transport sur achat (coûts directs)</v>
      </c>
      <c r="H92" s="305" t="str">
        <f ca="1">_xll.DBRA(Server&amp;$B$22,$B92,"French")</f>
        <v>Transport sur achat (coûts directs)</v>
      </c>
      <c r="I92" s="37"/>
      <c r="J92" s="54" t="str">
        <f ca="1">_xll.DBRW(Server&amp;Cube1,$H$13,$H$14,$H$15,$J$1,$J$2,$H$16,$B92)</f>
        <v/>
      </c>
      <c r="K92" s="37"/>
      <c r="L92" s="54" t="str">
        <f ca="1">_xll.DBRW(Server&amp;Cube1,$H$13,$H$14,$H$15,$L$1,$L$2,$H$16,$B92)</f>
        <v/>
      </c>
      <c r="M92" s="55"/>
      <c r="N92" s="54" t="str">
        <f ca="1">_xll.DBRW(Server&amp;Cube1,$H$13,$H$14,$H$15,$P$1,N$2,$H$16,$B92)</f>
        <v>*KEY_ERR</v>
      </c>
      <c r="O92" s="57"/>
      <c r="P92" s="54" t="str">
        <f ca="1">_xll.DBRW(Server&amp;Cube1,$H$13,$P$3,$H$15,$P$1,P$2,$H$16,$B92)</f>
        <v>*KEY_ERR</v>
      </c>
      <c r="Q92" s="54" t="str">
        <f ca="1">_xll.DBRW(Server&amp;Cube1,$H$13,$P$3,$H$15,$H$17,Q$1,$H$16,$B92)</f>
        <v>*KEY_ERR</v>
      </c>
      <c r="R92" s="58" t="str">
        <f ca="1">_xll.DBRW(Server&amp;Cube1,$H$13,$P$3,$H$15,$H$17,R$1,$H$16,$B92)</f>
        <v>*KEY_ERR</v>
      </c>
      <c r="S92" s="58" t="str">
        <f ca="1">_xll.DBRW(Server&amp;Cube1,$H$13,$P$3,$H$15,$H$17,S$1,$H$16,$B92)</f>
        <v>*KEY_ERR</v>
      </c>
      <c r="T92" s="58" t="str">
        <f ca="1">_xll.DBRW(Server&amp;Cube1,$H$13,$P$3,$H$15,$H$17,T$1,$H$16,$B92)</f>
        <v>*KEY_ERR</v>
      </c>
      <c r="U92" s="58" t="str">
        <f ca="1">_xll.DBRW(Server&amp;Cube1,$H$13,$P$3,$H$15,$H$17,U$1,$H$16,$B92)</f>
        <v>*KEY_ERR</v>
      </c>
      <c r="V92" s="58" t="str">
        <f ca="1">_xll.DBRW(Server&amp;Cube1,$H$13,$P$3,$H$15,$H$17,V$1,$H$16,$B92)</f>
        <v>*KEY_ERR</v>
      </c>
      <c r="W92" s="58" t="str">
        <f ca="1">_xll.DBRW(Server&amp;Cube1,$H$13,$P$3,$H$15,$H$17,W$1,$H$16,$B92)</f>
        <v>*KEY_ERR</v>
      </c>
      <c r="X92" s="58" t="str">
        <f ca="1">_xll.DBRW(Server&amp;Cube1,$H$13,$P$3,$H$15,$H$17,X$1,$H$16,$B92)</f>
        <v>*KEY_ERR</v>
      </c>
      <c r="Y92" s="58" t="str">
        <f ca="1">_xll.DBRW(Server&amp;Cube1,$H$13,$P$3,$H$15,$H$17,Y$1,$H$16,$B92)</f>
        <v>*KEY_ERR</v>
      </c>
      <c r="Z92" s="58" t="str">
        <f ca="1">_xll.DBRW(Server&amp;Cube1,$H$13,$P$3,$H$15,$H$17,Z$1,$H$16,$B92)</f>
        <v>*KEY_ERR</v>
      </c>
      <c r="AA92" s="58" t="str">
        <f ca="1">_xll.DBRW(Server&amp;Cube1,$H$13,$P$3,$H$15,$H$17,AA$1,$H$16,$B92)</f>
        <v>*KEY_ERR</v>
      </c>
      <c r="AB92" s="59" t="str">
        <f ca="1">_xll.DBRW(Server&amp;Cube1,$H$13,$P$3,$H$15,$H$17,AB$1,$H$16,$B92)</f>
        <v>*KEY_ERR</v>
      </c>
      <c r="AC92" s="187" t="str">
        <f ca="1">_xll.DBRW(Server&amp;Cube1,$H$13,$AC$3,$H$15,$P$1,AC$2,$H$16,$B92)</f>
        <v>*KEY_ERR</v>
      </c>
      <c r="AD92" s="54" t="str">
        <f ca="1">_xll.DBRW(Server&amp;Cube1,$H$13,$AC$3,$H$15,$H$17,AD$1,$H$16,$B92)</f>
        <v>*KEY_ERR</v>
      </c>
      <c r="AE92" s="58" t="str">
        <f ca="1">_xll.DBRW(Server&amp;Cube1,$H$13,$AC$3,$H$15,$H$17,AE$1,$H$16,$B92)</f>
        <v>*KEY_ERR</v>
      </c>
      <c r="AF92" s="58" t="str">
        <f ca="1">_xll.DBRW(Server&amp;Cube1,$H$13,$AC$3,$H$15,$H$17,AF$1,$H$16,$B92)</f>
        <v>*KEY_ERR</v>
      </c>
      <c r="AG92" s="58" t="str">
        <f ca="1">_xll.DBRW(Server&amp;Cube1,$H$13,$AC$3,$H$15,$H$17,AG$1,$H$16,$B92)</f>
        <v>*KEY_ERR</v>
      </c>
      <c r="AH92" s="58" t="str">
        <f ca="1">_xll.DBRW(Server&amp;Cube1,$H$13,$AC$3,$H$15,$H$17,AH$1,$H$16,$B92)</f>
        <v>*KEY_ERR</v>
      </c>
      <c r="AI92" s="58" t="str">
        <f ca="1">_xll.DBRW(Server&amp;Cube1,$H$13,$AC$3,$H$15,$H$17,AI$1,$H$16,$B92)</f>
        <v>*KEY_ERR</v>
      </c>
      <c r="AJ92" s="58" t="str">
        <f ca="1">_xll.DBRW(Server&amp;Cube1,$H$13,$AC$3,$H$15,$H$17,AJ$1,$H$16,$B92)</f>
        <v>*KEY_ERR</v>
      </c>
      <c r="AK92" s="58" t="str">
        <f ca="1">_xll.DBRW(Server&amp;Cube1,$H$13,$AC$3,$H$15,$H$17,AK$1,$H$16,$B92)</f>
        <v>*KEY_ERR</v>
      </c>
      <c r="AL92" s="58" t="str">
        <f ca="1">_xll.DBRW(Server&amp;Cube1,$H$13,$AC$3,$H$15,$H$17,AL$1,$H$16,$B92)</f>
        <v>*KEY_ERR</v>
      </c>
      <c r="AM92" s="58" t="str">
        <f ca="1">_xll.DBRW(Server&amp;Cube1,$H$13,$AC$3,$H$15,$H$17,AM$1,$H$16,$B92)</f>
        <v>*KEY_ERR</v>
      </c>
      <c r="AN92" s="58" t="str">
        <f ca="1">_xll.DBRW(Server&amp;Cube1,$H$13,$AC$3,$H$15,$H$17,AN$1,$H$16,$B92)</f>
        <v>*KEY_ERR</v>
      </c>
      <c r="AO92" s="59" t="str">
        <f ca="1">_xll.DBRW(Server&amp;Cube1,$H$13,$AC$3,$H$15,$H$17,AO$1,$H$16,$B92)</f>
        <v>*KEY_ERR</v>
      </c>
      <c r="AP92" s="187" t="str">
        <f ca="1">_xll.DBRW(Server&amp;Cube1,$H$13,$AP$3,$H$15,$P$1,AP$2,$H$16,$B92)</f>
        <v>*KEY_ERR</v>
      </c>
      <c r="AQ92" s="54" t="str">
        <f ca="1">_xll.DBRW(Server&amp;Cube1,$H$13,$AP$3,$H$15,$H$17,AQ$1,$H$16,$B92)</f>
        <v>*KEY_ERR</v>
      </c>
      <c r="AR92" s="58" t="str">
        <f ca="1">_xll.DBRW(Server&amp;Cube1,$H$13,$AP$3,$H$15,$H$17,AR$1,$H$16,$B92)</f>
        <v>*KEY_ERR</v>
      </c>
      <c r="AS92" s="58" t="str">
        <f ca="1">_xll.DBRW(Server&amp;Cube1,$H$13,$AP$3,$H$15,$H$17,AS$1,$H$16,$B92)</f>
        <v>*KEY_ERR</v>
      </c>
      <c r="AT92" s="58" t="str">
        <f ca="1">_xll.DBRW(Server&amp;Cube1,$H$13,$AP$3,$H$15,$H$17,AT$1,$H$16,$B92)</f>
        <v>*KEY_ERR</v>
      </c>
      <c r="AU92" s="58" t="str">
        <f ca="1">_xll.DBRW(Server&amp;Cube1,$H$13,$AP$3,$H$15,$H$17,AU$1,$H$16,$B92)</f>
        <v>*KEY_ERR</v>
      </c>
      <c r="AV92" s="58" t="str">
        <f ca="1">_xll.DBRW(Server&amp;Cube1,$H$13,$AP$3,$H$15,$H$17,AV$1,$H$16,$B92)</f>
        <v>*KEY_ERR</v>
      </c>
      <c r="AW92" s="58" t="str">
        <f ca="1">_xll.DBRW(Server&amp;Cube1,$H$13,$AP$3,$H$15,$H$17,AW$1,$H$16,$B92)</f>
        <v>*KEY_ERR</v>
      </c>
      <c r="AX92" s="58" t="str">
        <f ca="1">_xll.DBRW(Server&amp;Cube1,$H$13,$AP$3,$H$15,$H$17,AX$1,$H$16,$B92)</f>
        <v>*KEY_ERR</v>
      </c>
      <c r="AY92" s="58" t="str">
        <f ca="1">_xll.DBRW(Server&amp;Cube1,$H$13,$AP$3,$H$15,$H$17,AY$1,$H$16,$B92)</f>
        <v>*KEY_ERR</v>
      </c>
      <c r="AZ92" s="58" t="str">
        <f ca="1">_xll.DBRW(Server&amp;Cube1,$H$13,$AP$3,$H$15,$H$17,AZ$1,$H$16,$B92)</f>
        <v>*KEY_ERR</v>
      </c>
      <c r="BA92" s="58" t="str">
        <f ca="1">_xll.DBRW(Server&amp;Cube1,$H$13,$AP$3,$H$15,$H$17,BA$1,$H$16,$B92)</f>
        <v>*KEY_ERR</v>
      </c>
      <c r="BB92" s="59" t="str">
        <f ca="1">_xll.DBRW(Server&amp;Cube1,$H$13,$AP$3,$H$15,$H$17,BB$1,$H$16,$B92)</f>
        <v>*KEY_ERR</v>
      </c>
      <c r="BC92" s="187" t="str">
        <f ca="1">_xll.DBRW(Server&amp;Cube1,$H$13,$BC$3,$H$15,$P$1,BC$2,$H$16,$B92)</f>
        <v>*KEY_ERR</v>
      </c>
      <c r="BD92" s="54" t="str">
        <f ca="1">_xll.DBRW(Server&amp;Cube1,$H$13,$BC$3,$H$15,$H$17,BD$1,$H$16,$B92)</f>
        <v>*KEY_ERR</v>
      </c>
      <c r="BE92" s="58" t="str">
        <f ca="1">_xll.DBRW(Server&amp;Cube1,$H$13,$BC$3,$H$15,$H$17,BE$1,$H$16,$B92)</f>
        <v>*KEY_ERR</v>
      </c>
      <c r="BF92" s="58" t="str">
        <f ca="1">_xll.DBRW(Server&amp;Cube1,$H$13,$BC$3,$H$15,$H$17,BF$1,$H$16,$B92)</f>
        <v>*KEY_ERR</v>
      </c>
      <c r="BG92" s="58" t="str">
        <f ca="1">_xll.DBRW(Server&amp;Cube1,$H$13,$BC$3,$H$15,$H$17,BG$1,$H$16,$B92)</f>
        <v>*KEY_ERR</v>
      </c>
      <c r="BH92" s="58" t="str">
        <f ca="1">_xll.DBRW(Server&amp;Cube1,$H$13,$BC$3,$H$15,$H$17,BH$1,$H$16,$B92)</f>
        <v>*KEY_ERR</v>
      </c>
      <c r="BI92" s="58" t="str">
        <f ca="1">_xll.DBRW(Server&amp;Cube1,$H$13,$BC$3,$H$15,$H$17,BI$1,$H$16,$B92)</f>
        <v>*KEY_ERR</v>
      </c>
      <c r="BJ92" s="58" t="str">
        <f ca="1">_xll.DBRW(Server&amp;Cube1,$H$13,$BC$3,$H$15,$H$17,BJ$1,$H$16,$B92)</f>
        <v>*KEY_ERR</v>
      </c>
      <c r="BK92" s="58" t="str">
        <f ca="1">_xll.DBRW(Server&amp;Cube1,$H$13,$BC$3,$H$15,$H$17,BK$1,$H$16,$B92)</f>
        <v>*KEY_ERR</v>
      </c>
      <c r="BL92" s="58" t="str">
        <f ca="1">_xll.DBRW(Server&amp;Cube1,$H$13,$BC$3,$H$15,$H$17,BL$1,$H$16,$B92)</f>
        <v>*KEY_ERR</v>
      </c>
      <c r="BM92" s="58" t="str">
        <f ca="1">_xll.DBRW(Server&amp;Cube1,$H$13,$BC$3,$H$15,$H$17,BM$1,$H$16,$B92)</f>
        <v>*KEY_ERR</v>
      </c>
      <c r="BN92" s="58" t="str">
        <f ca="1">_xll.DBRW(Server&amp;Cube1,$H$13,$BC$3,$H$15,$H$17,BN$1,$H$16,$B92)</f>
        <v>*KEY_ERR</v>
      </c>
      <c r="BO92" s="59" t="str">
        <f ca="1">_xll.DBRW(Server&amp;Cube1,$H$13,$BC$3,$H$15,$H$17,BO$1,$H$16,$B92)</f>
        <v>*KEY_ERR</v>
      </c>
      <c r="BP92" s="31"/>
    </row>
    <row r="93" spans="1:68" ht="21" customHeight="1" x14ac:dyDescent="0.25">
      <c r="A93"/>
      <c r="B93" s="13" t="s">
        <v>47</v>
      </c>
      <c r="C93" s="13"/>
      <c r="D93" s="22"/>
      <c r="E93" s="171"/>
      <c r="F93" s="107"/>
      <c r="G93" s="305" t="str">
        <f ca="1">_xll.DBRA(Server&amp;$B$22,$B93,"French")</f>
        <v>Frais d'affranchissements</v>
      </c>
      <c r="H93" s="305" t="str">
        <f ca="1">_xll.DBRA(Server&amp;$B$22,$B93,"French")</f>
        <v>Frais d'affranchissements</v>
      </c>
      <c r="I93" s="37"/>
      <c r="J93" s="54" t="str">
        <f ca="1">_xll.DBRW(Server&amp;Cube1,$H$13,$H$14,$H$15,$J$1,$J$2,$H$16,$B93)</f>
        <v/>
      </c>
      <c r="K93" s="37"/>
      <c r="L93" s="54" t="str">
        <f ca="1">_xll.DBRW(Server&amp;Cube1,$H$13,$H$14,$H$15,$L$1,$L$2,$H$16,$B93)</f>
        <v/>
      </c>
      <c r="M93" s="55"/>
      <c r="N93" s="54" t="str">
        <f ca="1">_xll.DBRW(Server&amp;Cube1,$H$13,$H$14,$H$15,$P$1,N$2,$H$16,$B93)</f>
        <v>*KEY_ERR</v>
      </c>
      <c r="O93" s="57"/>
      <c r="P93" s="54" t="str">
        <f ca="1">_xll.DBRW(Server&amp;Cube1,$H$13,$P$3,$H$15,$P$1,P$2,$H$16,$B93)</f>
        <v>*KEY_ERR</v>
      </c>
      <c r="Q93" s="54" t="str">
        <f ca="1">_xll.DBRW(Server&amp;Cube1,$H$13,$P$3,$H$15,$H$17,Q$1,$H$16,$B93)</f>
        <v>*KEY_ERR</v>
      </c>
      <c r="R93" s="58" t="str">
        <f ca="1">_xll.DBRW(Server&amp;Cube1,$H$13,$P$3,$H$15,$H$17,R$1,$H$16,$B93)</f>
        <v>*KEY_ERR</v>
      </c>
      <c r="S93" s="58" t="str">
        <f ca="1">_xll.DBRW(Server&amp;Cube1,$H$13,$P$3,$H$15,$H$17,S$1,$H$16,$B93)</f>
        <v>*KEY_ERR</v>
      </c>
      <c r="T93" s="58" t="str">
        <f ca="1">_xll.DBRW(Server&amp;Cube1,$H$13,$P$3,$H$15,$H$17,T$1,$H$16,$B93)</f>
        <v>*KEY_ERR</v>
      </c>
      <c r="U93" s="58" t="str">
        <f ca="1">_xll.DBRW(Server&amp;Cube1,$H$13,$P$3,$H$15,$H$17,U$1,$H$16,$B93)</f>
        <v>*KEY_ERR</v>
      </c>
      <c r="V93" s="58" t="str">
        <f ca="1">_xll.DBRW(Server&amp;Cube1,$H$13,$P$3,$H$15,$H$17,V$1,$H$16,$B93)</f>
        <v>*KEY_ERR</v>
      </c>
      <c r="W93" s="58" t="str">
        <f ca="1">_xll.DBRW(Server&amp;Cube1,$H$13,$P$3,$H$15,$H$17,W$1,$H$16,$B93)</f>
        <v>*KEY_ERR</v>
      </c>
      <c r="X93" s="58" t="str">
        <f ca="1">_xll.DBRW(Server&amp;Cube1,$H$13,$P$3,$H$15,$H$17,X$1,$H$16,$B93)</f>
        <v>*KEY_ERR</v>
      </c>
      <c r="Y93" s="58" t="str">
        <f ca="1">_xll.DBRW(Server&amp;Cube1,$H$13,$P$3,$H$15,$H$17,Y$1,$H$16,$B93)</f>
        <v>*KEY_ERR</v>
      </c>
      <c r="Z93" s="58" t="str">
        <f ca="1">_xll.DBRW(Server&amp;Cube1,$H$13,$P$3,$H$15,$H$17,Z$1,$H$16,$B93)</f>
        <v>*KEY_ERR</v>
      </c>
      <c r="AA93" s="58" t="str">
        <f ca="1">_xll.DBRW(Server&amp;Cube1,$H$13,$P$3,$H$15,$H$17,AA$1,$H$16,$B93)</f>
        <v>*KEY_ERR</v>
      </c>
      <c r="AB93" s="59" t="str">
        <f ca="1">_xll.DBRW(Server&amp;Cube1,$H$13,$P$3,$H$15,$H$17,AB$1,$H$16,$B93)</f>
        <v>*KEY_ERR</v>
      </c>
      <c r="AC93" s="187" t="str">
        <f ca="1">_xll.DBRW(Server&amp;Cube1,$H$13,$AC$3,$H$15,$P$1,AC$2,$H$16,$B93)</f>
        <v>*KEY_ERR</v>
      </c>
      <c r="AD93" s="54" t="str">
        <f ca="1">_xll.DBRW(Server&amp;Cube1,$H$13,$AC$3,$H$15,$H$17,AD$1,$H$16,$B93)</f>
        <v>*KEY_ERR</v>
      </c>
      <c r="AE93" s="58" t="str">
        <f ca="1">_xll.DBRW(Server&amp;Cube1,$H$13,$AC$3,$H$15,$H$17,AE$1,$H$16,$B93)</f>
        <v>*KEY_ERR</v>
      </c>
      <c r="AF93" s="58" t="str">
        <f ca="1">_xll.DBRW(Server&amp;Cube1,$H$13,$AC$3,$H$15,$H$17,AF$1,$H$16,$B93)</f>
        <v>*KEY_ERR</v>
      </c>
      <c r="AG93" s="58" t="str">
        <f ca="1">_xll.DBRW(Server&amp;Cube1,$H$13,$AC$3,$H$15,$H$17,AG$1,$H$16,$B93)</f>
        <v>*KEY_ERR</v>
      </c>
      <c r="AH93" s="58" t="str">
        <f ca="1">_xll.DBRW(Server&amp;Cube1,$H$13,$AC$3,$H$15,$H$17,AH$1,$H$16,$B93)</f>
        <v>*KEY_ERR</v>
      </c>
      <c r="AI93" s="58" t="str">
        <f ca="1">_xll.DBRW(Server&amp;Cube1,$H$13,$AC$3,$H$15,$H$17,AI$1,$H$16,$B93)</f>
        <v>*KEY_ERR</v>
      </c>
      <c r="AJ93" s="58" t="str">
        <f ca="1">_xll.DBRW(Server&amp;Cube1,$H$13,$AC$3,$H$15,$H$17,AJ$1,$H$16,$B93)</f>
        <v>*KEY_ERR</v>
      </c>
      <c r="AK93" s="58" t="str">
        <f ca="1">_xll.DBRW(Server&amp;Cube1,$H$13,$AC$3,$H$15,$H$17,AK$1,$H$16,$B93)</f>
        <v>*KEY_ERR</v>
      </c>
      <c r="AL93" s="58" t="str">
        <f ca="1">_xll.DBRW(Server&amp;Cube1,$H$13,$AC$3,$H$15,$H$17,AL$1,$H$16,$B93)</f>
        <v>*KEY_ERR</v>
      </c>
      <c r="AM93" s="58" t="str">
        <f ca="1">_xll.DBRW(Server&amp;Cube1,$H$13,$AC$3,$H$15,$H$17,AM$1,$H$16,$B93)</f>
        <v>*KEY_ERR</v>
      </c>
      <c r="AN93" s="58" t="str">
        <f ca="1">_xll.DBRW(Server&amp;Cube1,$H$13,$AC$3,$H$15,$H$17,AN$1,$H$16,$B93)</f>
        <v>*KEY_ERR</v>
      </c>
      <c r="AO93" s="59" t="str">
        <f ca="1">_xll.DBRW(Server&amp;Cube1,$H$13,$AC$3,$H$15,$H$17,AO$1,$H$16,$B93)</f>
        <v>*KEY_ERR</v>
      </c>
      <c r="AP93" s="187" t="str">
        <f ca="1">_xll.DBRW(Server&amp;Cube1,$H$13,$AP$3,$H$15,$P$1,AP$2,$H$16,$B93)</f>
        <v>*KEY_ERR</v>
      </c>
      <c r="AQ93" s="54" t="str">
        <f ca="1">_xll.DBRW(Server&amp;Cube1,$H$13,$AP$3,$H$15,$H$17,AQ$1,$H$16,$B93)</f>
        <v>*KEY_ERR</v>
      </c>
      <c r="AR93" s="58" t="str">
        <f ca="1">_xll.DBRW(Server&amp;Cube1,$H$13,$AP$3,$H$15,$H$17,AR$1,$H$16,$B93)</f>
        <v>*KEY_ERR</v>
      </c>
      <c r="AS93" s="58" t="str">
        <f ca="1">_xll.DBRW(Server&amp;Cube1,$H$13,$AP$3,$H$15,$H$17,AS$1,$H$16,$B93)</f>
        <v>*KEY_ERR</v>
      </c>
      <c r="AT93" s="58" t="str">
        <f ca="1">_xll.DBRW(Server&amp;Cube1,$H$13,$AP$3,$H$15,$H$17,AT$1,$H$16,$B93)</f>
        <v>*KEY_ERR</v>
      </c>
      <c r="AU93" s="58" t="str">
        <f ca="1">_xll.DBRW(Server&amp;Cube1,$H$13,$AP$3,$H$15,$H$17,AU$1,$H$16,$B93)</f>
        <v>*KEY_ERR</v>
      </c>
      <c r="AV93" s="58" t="str">
        <f ca="1">_xll.DBRW(Server&amp;Cube1,$H$13,$AP$3,$H$15,$H$17,AV$1,$H$16,$B93)</f>
        <v>*KEY_ERR</v>
      </c>
      <c r="AW93" s="58" t="str">
        <f ca="1">_xll.DBRW(Server&amp;Cube1,$H$13,$AP$3,$H$15,$H$17,AW$1,$H$16,$B93)</f>
        <v>*KEY_ERR</v>
      </c>
      <c r="AX93" s="58" t="str">
        <f ca="1">_xll.DBRW(Server&amp;Cube1,$H$13,$AP$3,$H$15,$H$17,AX$1,$H$16,$B93)</f>
        <v>*KEY_ERR</v>
      </c>
      <c r="AY93" s="58" t="str">
        <f ca="1">_xll.DBRW(Server&amp;Cube1,$H$13,$AP$3,$H$15,$H$17,AY$1,$H$16,$B93)</f>
        <v>*KEY_ERR</v>
      </c>
      <c r="AZ93" s="58" t="str">
        <f ca="1">_xll.DBRW(Server&amp;Cube1,$H$13,$AP$3,$H$15,$H$17,AZ$1,$H$16,$B93)</f>
        <v>*KEY_ERR</v>
      </c>
      <c r="BA93" s="58" t="str">
        <f ca="1">_xll.DBRW(Server&amp;Cube1,$H$13,$AP$3,$H$15,$H$17,BA$1,$H$16,$B93)</f>
        <v>*KEY_ERR</v>
      </c>
      <c r="BB93" s="59" t="str">
        <f ca="1">_xll.DBRW(Server&amp;Cube1,$H$13,$AP$3,$H$15,$H$17,BB$1,$H$16,$B93)</f>
        <v>*KEY_ERR</v>
      </c>
      <c r="BC93" s="187" t="str">
        <f ca="1">_xll.DBRW(Server&amp;Cube1,$H$13,$BC$3,$H$15,$P$1,BC$2,$H$16,$B93)</f>
        <v>*KEY_ERR</v>
      </c>
      <c r="BD93" s="54" t="str">
        <f ca="1">_xll.DBRW(Server&amp;Cube1,$H$13,$BC$3,$H$15,$H$17,BD$1,$H$16,$B93)</f>
        <v>*KEY_ERR</v>
      </c>
      <c r="BE93" s="58" t="str">
        <f ca="1">_xll.DBRW(Server&amp;Cube1,$H$13,$BC$3,$H$15,$H$17,BE$1,$H$16,$B93)</f>
        <v>*KEY_ERR</v>
      </c>
      <c r="BF93" s="58" t="str">
        <f ca="1">_xll.DBRW(Server&amp;Cube1,$H$13,$BC$3,$H$15,$H$17,BF$1,$H$16,$B93)</f>
        <v>*KEY_ERR</v>
      </c>
      <c r="BG93" s="58" t="str">
        <f ca="1">_xll.DBRW(Server&amp;Cube1,$H$13,$BC$3,$H$15,$H$17,BG$1,$H$16,$B93)</f>
        <v>*KEY_ERR</v>
      </c>
      <c r="BH93" s="58" t="str">
        <f ca="1">_xll.DBRW(Server&amp;Cube1,$H$13,$BC$3,$H$15,$H$17,BH$1,$H$16,$B93)</f>
        <v>*KEY_ERR</v>
      </c>
      <c r="BI93" s="58" t="str">
        <f ca="1">_xll.DBRW(Server&amp;Cube1,$H$13,$BC$3,$H$15,$H$17,BI$1,$H$16,$B93)</f>
        <v>*KEY_ERR</v>
      </c>
      <c r="BJ93" s="58" t="str">
        <f ca="1">_xll.DBRW(Server&amp;Cube1,$H$13,$BC$3,$H$15,$H$17,BJ$1,$H$16,$B93)</f>
        <v>*KEY_ERR</v>
      </c>
      <c r="BK93" s="58" t="str">
        <f ca="1">_xll.DBRW(Server&amp;Cube1,$H$13,$BC$3,$H$15,$H$17,BK$1,$H$16,$B93)</f>
        <v>*KEY_ERR</v>
      </c>
      <c r="BL93" s="58" t="str">
        <f ca="1">_xll.DBRW(Server&amp;Cube1,$H$13,$BC$3,$H$15,$H$17,BL$1,$H$16,$B93)</f>
        <v>*KEY_ERR</v>
      </c>
      <c r="BM93" s="58" t="str">
        <f ca="1">_xll.DBRW(Server&amp;Cube1,$H$13,$BC$3,$H$15,$H$17,BM$1,$H$16,$B93)</f>
        <v>*KEY_ERR</v>
      </c>
      <c r="BN93" s="58" t="str">
        <f ca="1">_xll.DBRW(Server&amp;Cube1,$H$13,$BC$3,$H$15,$H$17,BN$1,$H$16,$B93)</f>
        <v>*KEY_ERR</v>
      </c>
      <c r="BO93" s="59" t="str">
        <f ca="1">_xll.DBRW(Server&amp;Cube1,$H$13,$BC$3,$H$15,$H$17,BO$1,$H$16,$B93)</f>
        <v>*KEY_ERR</v>
      </c>
      <c r="BP93" s="31"/>
    </row>
    <row r="94" spans="1:68" ht="21" customHeight="1" x14ac:dyDescent="0.25">
      <c r="A94"/>
      <c r="B94" s="13" t="s">
        <v>48</v>
      </c>
      <c r="C94" s="13"/>
      <c r="D94" s="22"/>
      <c r="E94" s="171"/>
      <c r="F94" s="107"/>
      <c r="G94" s="305" t="str">
        <f ca="1">_xll.DBRA(Server&amp;$B$22,$B94,"French")</f>
        <v>Fournitures de bureau (coûts directs)</v>
      </c>
      <c r="H94" s="305" t="str">
        <f ca="1">_xll.DBRA(Server&amp;$B$22,$B94,"French")</f>
        <v>Fournitures de bureau (coûts directs)</v>
      </c>
      <c r="I94" s="37"/>
      <c r="J94" s="54" t="str">
        <f ca="1">_xll.DBRW(Server&amp;Cube1,$H$13,$H$14,$H$15,$J$1,$J$2,$H$16,$B94)</f>
        <v/>
      </c>
      <c r="K94" s="37"/>
      <c r="L94" s="54" t="str">
        <f ca="1">_xll.DBRW(Server&amp;Cube1,$H$13,$H$14,$H$15,$L$1,$L$2,$H$16,$B94)</f>
        <v/>
      </c>
      <c r="M94" s="55"/>
      <c r="N94" s="54" t="str">
        <f ca="1">_xll.DBRW(Server&amp;Cube1,$H$13,$H$14,$H$15,$P$1,N$2,$H$16,$B94)</f>
        <v>*KEY_ERR</v>
      </c>
      <c r="O94" s="57"/>
      <c r="P94" s="54" t="str">
        <f ca="1">_xll.DBRW(Server&amp;Cube1,$H$13,$P$3,$H$15,$P$1,P$2,$H$16,$B94)</f>
        <v>*KEY_ERR</v>
      </c>
      <c r="Q94" s="54" t="str">
        <f ca="1">_xll.DBRW(Server&amp;Cube1,$H$13,$P$3,$H$15,$H$17,Q$1,$H$16,$B94)</f>
        <v>*KEY_ERR</v>
      </c>
      <c r="R94" s="58" t="str">
        <f ca="1">_xll.DBRW(Server&amp;Cube1,$H$13,$P$3,$H$15,$H$17,R$1,$H$16,$B94)</f>
        <v>*KEY_ERR</v>
      </c>
      <c r="S94" s="58" t="str">
        <f ca="1">_xll.DBRW(Server&amp;Cube1,$H$13,$P$3,$H$15,$H$17,S$1,$H$16,$B94)</f>
        <v>*KEY_ERR</v>
      </c>
      <c r="T94" s="58" t="str">
        <f ca="1">_xll.DBRW(Server&amp;Cube1,$H$13,$P$3,$H$15,$H$17,T$1,$H$16,$B94)</f>
        <v>*KEY_ERR</v>
      </c>
      <c r="U94" s="58" t="str">
        <f ca="1">_xll.DBRW(Server&amp;Cube1,$H$13,$P$3,$H$15,$H$17,U$1,$H$16,$B94)</f>
        <v>*KEY_ERR</v>
      </c>
      <c r="V94" s="58" t="str">
        <f ca="1">_xll.DBRW(Server&amp;Cube1,$H$13,$P$3,$H$15,$H$17,V$1,$H$16,$B94)</f>
        <v>*KEY_ERR</v>
      </c>
      <c r="W94" s="58" t="str">
        <f ca="1">_xll.DBRW(Server&amp;Cube1,$H$13,$P$3,$H$15,$H$17,W$1,$H$16,$B94)</f>
        <v>*KEY_ERR</v>
      </c>
      <c r="X94" s="58" t="str">
        <f ca="1">_xll.DBRW(Server&amp;Cube1,$H$13,$P$3,$H$15,$H$17,X$1,$H$16,$B94)</f>
        <v>*KEY_ERR</v>
      </c>
      <c r="Y94" s="58" t="str">
        <f ca="1">_xll.DBRW(Server&amp;Cube1,$H$13,$P$3,$H$15,$H$17,Y$1,$H$16,$B94)</f>
        <v>*KEY_ERR</v>
      </c>
      <c r="Z94" s="58" t="str">
        <f ca="1">_xll.DBRW(Server&amp;Cube1,$H$13,$P$3,$H$15,$H$17,Z$1,$H$16,$B94)</f>
        <v>*KEY_ERR</v>
      </c>
      <c r="AA94" s="58" t="str">
        <f ca="1">_xll.DBRW(Server&amp;Cube1,$H$13,$P$3,$H$15,$H$17,AA$1,$H$16,$B94)</f>
        <v>*KEY_ERR</v>
      </c>
      <c r="AB94" s="59" t="str">
        <f ca="1">_xll.DBRW(Server&amp;Cube1,$H$13,$P$3,$H$15,$H$17,AB$1,$H$16,$B94)</f>
        <v>*KEY_ERR</v>
      </c>
      <c r="AC94" s="187" t="str">
        <f ca="1">_xll.DBRW(Server&amp;Cube1,$H$13,$AC$3,$H$15,$P$1,AC$2,$H$16,$B94)</f>
        <v>*KEY_ERR</v>
      </c>
      <c r="AD94" s="54" t="str">
        <f ca="1">_xll.DBRW(Server&amp;Cube1,$H$13,$AC$3,$H$15,$H$17,AD$1,$H$16,$B94)</f>
        <v>*KEY_ERR</v>
      </c>
      <c r="AE94" s="58" t="str">
        <f ca="1">_xll.DBRW(Server&amp;Cube1,$H$13,$AC$3,$H$15,$H$17,AE$1,$H$16,$B94)</f>
        <v>*KEY_ERR</v>
      </c>
      <c r="AF94" s="58" t="str">
        <f ca="1">_xll.DBRW(Server&amp;Cube1,$H$13,$AC$3,$H$15,$H$17,AF$1,$H$16,$B94)</f>
        <v>*KEY_ERR</v>
      </c>
      <c r="AG94" s="58" t="str">
        <f ca="1">_xll.DBRW(Server&amp;Cube1,$H$13,$AC$3,$H$15,$H$17,AG$1,$H$16,$B94)</f>
        <v>*KEY_ERR</v>
      </c>
      <c r="AH94" s="58" t="str">
        <f ca="1">_xll.DBRW(Server&amp;Cube1,$H$13,$AC$3,$H$15,$H$17,AH$1,$H$16,$B94)</f>
        <v>*KEY_ERR</v>
      </c>
      <c r="AI94" s="58" t="str">
        <f ca="1">_xll.DBRW(Server&amp;Cube1,$H$13,$AC$3,$H$15,$H$17,AI$1,$H$16,$B94)</f>
        <v>*KEY_ERR</v>
      </c>
      <c r="AJ94" s="58" t="str">
        <f ca="1">_xll.DBRW(Server&amp;Cube1,$H$13,$AC$3,$H$15,$H$17,AJ$1,$H$16,$B94)</f>
        <v>*KEY_ERR</v>
      </c>
      <c r="AK94" s="58" t="str">
        <f ca="1">_xll.DBRW(Server&amp;Cube1,$H$13,$AC$3,$H$15,$H$17,AK$1,$H$16,$B94)</f>
        <v>*KEY_ERR</v>
      </c>
      <c r="AL94" s="58" t="str">
        <f ca="1">_xll.DBRW(Server&amp;Cube1,$H$13,$AC$3,$H$15,$H$17,AL$1,$H$16,$B94)</f>
        <v>*KEY_ERR</v>
      </c>
      <c r="AM94" s="58" t="str">
        <f ca="1">_xll.DBRW(Server&amp;Cube1,$H$13,$AC$3,$H$15,$H$17,AM$1,$H$16,$B94)</f>
        <v>*KEY_ERR</v>
      </c>
      <c r="AN94" s="58" t="str">
        <f ca="1">_xll.DBRW(Server&amp;Cube1,$H$13,$AC$3,$H$15,$H$17,AN$1,$H$16,$B94)</f>
        <v>*KEY_ERR</v>
      </c>
      <c r="AO94" s="59" t="str">
        <f ca="1">_xll.DBRW(Server&amp;Cube1,$H$13,$AC$3,$H$15,$H$17,AO$1,$H$16,$B94)</f>
        <v>*KEY_ERR</v>
      </c>
      <c r="AP94" s="187" t="str">
        <f ca="1">_xll.DBRW(Server&amp;Cube1,$H$13,$AP$3,$H$15,$P$1,AP$2,$H$16,$B94)</f>
        <v>*KEY_ERR</v>
      </c>
      <c r="AQ94" s="54" t="str">
        <f ca="1">_xll.DBRW(Server&amp;Cube1,$H$13,$AP$3,$H$15,$H$17,AQ$1,$H$16,$B94)</f>
        <v>*KEY_ERR</v>
      </c>
      <c r="AR94" s="58" t="str">
        <f ca="1">_xll.DBRW(Server&amp;Cube1,$H$13,$AP$3,$H$15,$H$17,AR$1,$H$16,$B94)</f>
        <v>*KEY_ERR</v>
      </c>
      <c r="AS94" s="58" t="str">
        <f ca="1">_xll.DBRW(Server&amp;Cube1,$H$13,$AP$3,$H$15,$H$17,AS$1,$H$16,$B94)</f>
        <v>*KEY_ERR</v>
      </c>
      <c r="AT94" s="58" t="str">
        <f ca="1">_xll.DBRW(Server&amp;Cube1,$H$13,$AP$3,$H$15,$H$17,AT$1,$H$16,$B94)</f>
        <v>*KEY_ERR</v>
      </c>
      <c r="AU94" s="58" t="str">
        <f ca="1">_xll.DBRW(Server&amp;Cube1,$H$13,$AP$3,$H$15,$H$17,AU$1,$H$16,$B94)</f>
        <v>*KEY_ERR</v>
      </c>
      <c r="AV94" s="58" t="str">
        <f ca="1">_xll.DBRW(Server&amp;Cube1,$H$13,$AP$3,$H$15,$H$17,AV$1,$H$16,$B94)</f>
        <v>*KEY_ERR</v>
      </c>
      <c r="AW94" s="58" t="str">
        <f ca="1">_xll.DBRW(Server&amp;Cube1,$H$13,$AP$3,$H$15,$H$17,AW$1,$H$16,$B94)</f>
        <v>*KEY_ERR</v>
      </c>
      <c r="AX94" s="58" t="str">
        <f ca="1">_xll.DBRW(Server&amp;Cube1,$H$13,$AP$3,$H$15,$H$17,AX$1,$H$16,$B94)</f>
        <v>*KEY_ERR</v>
      </c>
      <c r="AY94" s="58" t="str">
        <f ca="1">_xll.DBRW(Server&amp;Cube1,$H$13,$AP$3,$H$15,$H$17,AY$1,$H$16,$B94)</f>
        <v>*KEY_ERR</v>
      </c>
      <c r="AZ94" s="58" t="str">
        <f ca="1">_xll.DBRW(Server&amp;Cube1,$H$13,$AP$3,$H$15,$H$17,AZ$1,$H$16,$B94)</f>
        <v>*KEY_ERR</v>
      </c>
      <c r="BA94" s="58" t="str">
        <f ca="1">_xll.DBRW(Server&amp;Cube1,$H$13,$AP$3,$H$15,$H$17,BA$1,$H$16,$B94)</f>
        <v>*KEY_ERR</v>
      </c>
      <c r="BB94" s="59" t="str">
        <f ca="1">_xll.DBRW(Server&amp;Cube1,$H$13,$AP$3,$H$15,$H$17,BB$1,$H$16,$B94)</f>
        <v>*KEY_ERR</v>
      </c>
      <c r="BC94" s="187" t="str">
        <f ca="1">_xll.DBRW(Server&amp;Cube1,$H$13,$BC$3,$H$15,$P$1,BC$2,$H$16,$B94)</f>
        <v>*KEY_ERR</v>
      </c>
      <c r="BD94" s="54" t="str">
        <f ca="1">_xll.DBRW(Server&amp;Cube1,$H$13,$BC$3,$H$15,$H$17,BD$1,$H$16,$B94)</f>
        <v>*KEY_ERR</v>
      </c>
      <c r="BE94" s="58" t="str">
        <f ca="1">_xll.DBRW(Server&amp;Cube1,$H$13,$BC$3,$H$15,$H$17,BE$1,$H$16,$B94)</f>
        <v>*KEY_ERR</v>
      </c>
      <c r="BF94" s="58" t="str">
        <f ca="1">_xll.DBRW(Server&amp;Cube1,$H$13,$BC$3,$H$15,$H$17,BF$1,$H$16,$B94)</f>
        <v>*KEY_ERR</v>
      </c>
      <c r="BG94" s="58" t="str">
        <f ca="1">_xll.DBRW(Server&amp;Cube1,$H$13,$BC$3,$H$15,$H$17,BG$1,$H$16,$B94)</f>
        <v>*KEY_ERR</v>
      </c>
      <c r="BH94" s="58" t="str">
        <f ca="1">_xll.DBRW(Server&amp;Cube1,$H$13,$BC$3,$H$15,$H$17,BH$1,$H$16,$B94)</f>
        <v>*KEY_ERR</v>
      </c>
      <c r="BI94" s="58" t="str">
        <f ca="1">_xll.DBRW(Server&amp;Cube1,$H$13,$BC$3,$H$15,$H$17,BI$1,$H$16,$B94)</f>
        <v>*KEY_ERR</v>
      </c>
      <c r="BJ94" s="58" t="str">
        <f ca="1">_xll.DBRW(Server&amp;Cube1,$H$13,$BC$3,$H$15,$H$17,BJ$1,$H$16,$B94)</f>
        <v>*KEY_ERR</v>
      </c>
      <c r="BK94" s="58" t="str">
        <f ca="1">_xll.DBRW(Server&amp;Cube1,$H$13,$BC$3,$H$15,$H$17,BK$1,$H$16,$B94)</f>
        <v>*KEY_ERR</v>
      </c>
      <c r="BL94" s="58" t="str">
        <f ca="1">_xll.DBRW(Server&amp;Cube1,$H$13,$BC$3,$H$15,$H$17,BL$1,$H$16,$B94)</f>
        <v>*KEY_ERR</v>
      </c>
      <c r="BM94" s="58" t="str">
        <f ca="1">_xll.DBRW(Server&amp;Cube1,$H$13,$BC$3,$H$15,$H$17,BM$1,$H$16,$B94)</f>
        <v>*KEY_ERR</v>
      </c>
      <c r="BN94" s="58" t="str">
        <f ca="1">_xll.DBRW(Server&amp;Cube1,$H$13,$BC$3,$H$15,$H$17,BN$1,$H$16,$B94)</f>
        <v>*KEY_ERR</v>
      </c>
      <c r="BO94" s="59" t="str">
        <f ca="1">_xll.DBRW(Server&amp;Cube1,$H$13,$BC$3,$H$15,$H$17,BO$1,$H$16,$B94)</f>
        <v>*KEY_ERR</v>
      </c>
      <c r="BP94" s="31"/>
    </row>
    <row r="95" spans="1:68" ht="21" customHeight="1" x14ac:dyDescent="0.25">
      <c r="A95"/>
      <c r="B95" s="13" t="s">
        <v>49</v>
      </c>
      <c r="C95" s="13"/>
      <c r="D95" s="22"/>
      <c r="E95" s="171"/>
      <c r="F95" s="107"/>
      <c r="G95" s="305" t="str">
        <f ca="1">_xll.DBRA(Server&amp;$B$22,$B95,"French")</f>
        <v>Achats imprimés de bureau/Imprimerie</v>
      </c>
      <c r="H95" s="305" t="str">
        <f ca="1">_xll.DBRA(Server&amp;$B$22,$B95,"French")</f>
        <v>Achats imprimés de bureau/Imprimerie</v>
      </c>
      <c r="I95" s="37"/>
      <c r="J95" s="54" t="str">
        <f ca="1">_xll.DBRW(Server&amp;Cube1,$H$13,$H$14,$H$15,$J$1,$J$2,$H$16,$B95)</f>
        <v/>
      </c>
      <c r="K95" s="37"/>
      <c r="L95" s="54" t="str">
        <f ca="1">_xll.DBRW(Server&amp;Cube1,$H$13,$H$14,$H$15,$L$1,$L$2,$H$16,$B95)</f>
        <v/>
      </c>
      <c r="M95" s="55"/>
      <c r="N95" s="54" t="str">
        <f ca="1">_xll.DBRW(Server&amp;Cube1,$H$13,$H$14,$H$15,$P$1,N$2,$H$16,$B95)</f>
        <v>*KEY_ERR</v>
      </c>
      <c r="O95" s="57"/>
      <c r="P95" s="54" t="str">
        <f ca="1">_xll.DBRW(Server&amp;Cube1,$H$13,$P$3,$H$15,$P$1,P$2,$H$16,$B95)</f>
        <v>*KEY_ERR</v>
      </c>
      <c r="Q95" s="54" t="str">
        <f ca="1">_xll.DBRW(Server&amp;Cube1,$H$13,$P$3,$H$15,$H$17,Q$1,$H$16,$B95)</f>
        <v>*KEY_ERR</v>
      </c>
      <c r="R95" s="58" t="str">
        <f ca="1">_xll.DBRW(Server&amp;Cube1,$H$13,$P$3,$H$15,$H$17,R$1,$H$16,$B95)</f>
        <v>*KEY_ERR</v>
      </c>
      <c r="S95" s="58" t="str">
        <f ca="1">_xll.DBRW(Server&amp;Cube1,$H$13,$P$3,$H$15,$H$17,S$1,$H$16,$B95)</f>
        <v>*KEY_ERR</v>
      </c>
      <c r="T95" s="58" t="str">
        <f ca="1">_xll.DBRW(Server&amp;Cube1,$H$13,$P$3,$H$15,$H$17,T$1,$H$16,$B95)</f>
        <v>*KEY_ERR</v>
      </c>
      <c r="U95" s="58" t="str">
        <f ca="1">_xll.DBRW(Server&amp;Cube1,$H$13,$P$3,$H$15,$H$17,U$1,$H$16,$B95)</f>
        <v>*KEY_ERR</v>
      </c>
      <c r="V95" s="58" t="str">
        <f ca="1">_xll.DBRW(Server&amp;Cube1,$H$13,$P$3,$H$15,$H$17,V$1,$H$16,$B95)</f>
        <v>*KEY_ERR</v>
      </c>
      <c r="W95" s="58" t="str">
        <f ca="1">_xll.DBRW(Server&amp;Cube1,$H$13,$P$3,$H$15,$H$17,W$1,$H$16,$B95)</f>
        <v>*KEY_ERR</v>
      </c>
      <c r="X95" s="58" t="str">
        <f ca="1">_xll.DBRW(Server&amp;Cube1,$H$13,$P$3,$H$15,$H$17,X$1,$H$16,$B95)</f>
        <v>*KEY_ERR</v>
      </c>
      <c r="Y95" s="58" t="str">
        <f ca="1">_xll.DBRW(Server&amp;Cube1,$H$13,$P$3,$H$15,$H$17,Y$1,$H$16,$B95)</f>
        <v>*KEY_ERR</v>
      </c>
      <c r="Z95" s="58" t="str">
        <f ca="1">_xll.DBRW(Server&amp;Cube1,$H$13,$P$3,$H$15,$H$17,Z$1,$H$16,$B95)</f>
        <v>*KEY_ERR</v>
      </c>
      <c r="AA95" s="58" t="str">
        <f ca="1">_xll.DBRW(Server&amp;Cube1,$H$13,$P$3,$H$15,$H$17,AA$1,$H$16,$B95)</f>
        <v>*KEY_ERR</v>
      </c>
      <c r="AB95" s="59" t="str">
        <f ca="1">_xll.DBRW(Server&amp;Cube1,$H$13,$P$3,$H$15,$H$17,AB$1,$H$16,$B95)</f>
        <v>*KEY_ERR</v>
      </c>
      <c r="AC95" s="187" t="str">
        <f ca="1">_xll.DBRW(Server&amp;Cube1,$H$13,$AC$3,$H$15,$P$1,AC$2,$H$16,$B95)</f>
        <v>*KEY_ERR</v>
      </c>
      <c r="AD95" s="54" t="str">
        <f ca="1">_xll.DBRW(Server&amp;Cube1,$H$13,$AC$3,$H$15,$H$17,AD$1,$H$16,$B95)</f>
        <v>*KEY_ERR</v>
      </c>
      <c r="AE95" s="58" t="str">
        <f ca="1">_xll.DBRW(Server&amp;Cube1,$H$13,$AC$3,$H$15,$H$17,AE$1,$H$16,$B95)</f>
        <v>*KEY_ERR</v>
      </c>
      <c r="AF95" s="58" t="str">
        <f ca="1">_xll.DBRW(Server&amp;Cube1,$H$13,$AC$3,$H$15,$H$17,AF$1,$H$16,$B95)</f>
        <v>*KEY_ERR</v>
      </c>
      <c r="AG95" s="58" t="str">
        <f ca="1">_xll.DBRW(Server&amp;Cube1,$H$13,$AC$3,$H$15,$H$17,AG$1,$H$16,$B95)</f>
        <v>*KEY_ERR</v>
      </c>
      <c r="AH95" s="58" t="str">
        <f ca="1">_xll.DBRW(Server&amp;Cube1,$H$13,$AC$3,$H$15,$H$17,AH$1,$H$16,$B95)</f>
        <v>*KEY_ERR</v>
      </c>
      <c r="AI95" s="58" t="str">
        <f ca="1">_xll.DBRW(Server&amp;Cube1,$H$13,$AC$3,$H$15,$H$17,AI$1,$H$16,$B95)</f>
        <v>*KEY_ERR</v>
      </c>
      <c r="AJ95" s="58" t="str">
        <f ca="1">_xll.DBRW(Server&amp;Cube1,$H$13,$AC$3,$H$15,$H$17,AJ$1,$H$16,$B95)</f>
        <v>*KEY_ERR</v>
      </c>
      <c r="AK95" s="58" t="str">
        <f ca="1">_xll.DBRW(Server&amp;Cube1,$H$13,$AC$3,$H$15,$H$17,AK$1,$H$16,$B95)</f>
        <v>*KEY_ERR</v>
      </c>
      <c r="AL95" s="58" t="str">
        <f ca="1">_xll.DBRW(Server&amp;Cube1,$H$13,$AC$3,$H$15,$H$17,AL$1,$H$16,$B95)</f>
        <v>*KEY_ERR</v>
      </c>
      <c r="AM95" s="58" t="str">
        <f ca="1">_xll.DBRW(Server&amp;Cube1,$H$13,$AC$3,$H$15,$H$17,AM$1,$H$16,$B95)</f>
        <v>*KEY_ERR</v>
      </c>
      <c r="AN95" s="58" t="str">
        <f ca="1">_xll.DBRW(Server&amp;Cube1,$H$13,$AC$3,$H$15,$H$17,AN$1,$H$16,$B95)</f>
        <v>*KEY_ERR</v>
      </c>
      <c r="AO95" s="59" t="str">
        <f ca="1">_xll.DBRW(Server&amp;Cube1,$H$13,$AC$3,$H$15,$H$17,AO$1,$H$16,$B95)</f>
        <v>*KEY_ERR</v>
      </c>
      <c r="AP95" s="187" t="str">
        <f ca="1">_xll.DBRW(Server&amp;Cube1,$H$13,$AP$3,$H$15,$P$1,AP$2,$H$16,$B95)</f>
        <v>*KEY_ERR</v>
      </c>
      <c r="AQ95" s="54" t="str">
        <f ca="1">_xll.DBRW(Server&amp;Cube1,$H$13,$AP$3,$H$15,$H$17,AQ$1,$H$16,$B95)</f>
        <v>*KEY_ERR</v>
      </c>
      <c r="AR95" s="58" t="str">
        <f ca="1">_xll.DBRW(Server&amp;Cube1,$H$13,$AP$3,$H$15,$H$17,AR$1,$H$16,$B95)</f>
        <v>*KEY_ERR</v>
      </c>
      <c r="AS95" s="58" t="str">
        <f ca="1">_xll.DBRW(Server&amp;Cube1,$H$13,$AP$3,$H$15,$H$17,AS$1,$H$16,$B95)</f>
        <v>*KEY_ERR</v>
      </c>
      <c r="AT95" s="58" t="str">
        <f ca="1">_xll.DBRW(Server&amp;Cube1,$H$13,$AP$3,$H$15,$H$17,AT$1,$H$16,$B95)</f>
        <v>*KEY_ERR</v>
      </c>
      <c r="AU95" s="58" t="str">
        <f ca="1">_xll.DBRW(Server&amp;Cube1,$H$13,$AP$3,$H$15,$H$17,AU$1,$H$16,$B95)</f>
        <v>*KEY_ERR</v>
      </c>
      <c r="AV95" s="58" t="str">
        <f ca="1">_xll.DBRW(Server&amp;Cube1,$H$13,$AP$3,$H$15,$H$17,AV$1,$H$16,$B95)</f>
        <v>*KEY_ERR</v>
      </c>
      <c r="AW95" s="58" t="str">
        <f ca="1">_xll.DBRW(Server&amp;Cube1,$H$13,$AP$3,$H$15,$H$17,AW$1,$H$16,$B95)</f>
        <v>*KEY_ERR</v>
      </c>
      <c r="AX95" s="58" t="str">
        <f ca="1">_xll.DBRW(Server&amp;Cube1,$H$13,$AP$3,$H$15,$H$17,AX$1,$H$16,$B95)</f>
        <v>*KEY_ERR</v>
      </c>
      <c r="AY95" s="58" t="str">
        <f ca="1">_xll.DBRW(Server&amp;Cube1,$H$13,$AP$3,$H$15,$H$17,AY$1,$H$16,$B95)</f>
        <v>*KEY_ERR</v>
      </c>
      <c r="AZ95" s="58" t="str">
        <f ca="1">_xll.DBRW(Server&amp;Cube1,$H$13,$AP$3,$H$15,$H$17,AZ$1,$H$16,$B95)</f>
        <v>*KEY_ERR</v>
      </c>
      <c r="BA95" s="58" t="str">
        <f ca="1">_xll.DBRW(Server&amp;Cube1,$H$13,$AP$3,$H$15,$H$17,BA$1,$H$16,$B95)</f>
        <v>*KEY_ERR</v>
      </c>
      <c r="BB95" s="59" t="str">
        <f ca="1">_xll.DBRW(Server&amp;Cube1,$H$13,$AP$3,$H$15,$H$17,BB$1,$H$16,$B95)</f>
        <v>*KEY_ERR</v>
      </c>
      <c r="BC95" s="187" t="str">
        <f ca="1">_xll.DBRW(Server&amp;Cube1,$H$13,$BC$3,$H$15,$P$1,BC$2,$H$16,$B95)</f>
        <v>*KEY_ERR</v>
      </c>
      <c r="BD95" s="54" t="str">
        <f ca="1">_xll.DBRW(Server&amp;Cube1,$H$13,$BC$3,$H$15,$H$17,BD$1,$H$16,$B95)</f>
        <v>*KEY_ERR</v>
      </c>
      <c r="BE95" s="58" t="str">
        <f ca="1">_xll.DBRW(Server&amp;Cube1,$H$13,$BC$3,$H$15,$H$17,BE$1,$H$16,$B95)</f>
        <v>*KEY_ERR</v>
      </c>
      <c r="BF95" s="58" t="str">
        <f ca="1">_xll.DBRW(Server&amp;Cube1,$H$13,$BC$3,$H$15,$H$17,BF$1,$H$16,$B95)</f>
        <v>*KEY_ERR</v>
      </c>
      <c r="BG95" s="58" t="str">
        <f ca="1">_xll.DBRW(Server&amp;Cube1,$H$13,$BC$3,$H$15,$H$17,BG$1,$H$16,$B95)</f>
        <v>*KEY_ERR</v>
      </c>
      <c r="BH95" s="58" t="str">
        <f ca="1">_xll.DBRW(Server&amp;Cube1,$H$13,$BC$3,$H$15,$H$17,BH$1,$H$16,$B95)</f>
        <v>*KEY_ERR</v>
      </c>
      <c r="BI95" s="58" t="str">
        <f ca="1">_xll.DBRW(Server&amp;Cube1,$H$13,$BC$3,$H$15,$H$17,BI$1,$H$16,$B95)</f>
        <v>*KEY_ERR</v>
      </c>
      <c r="BJ95" s="58" t="str">
        <f ca="1">_xll.DBRW(Server&amp;Cube1,$H$13,$BC$3,$H$15,$H$17,BJ$1,$H$16,$B95)</f>
        <v>*KEY_ERR</v>
      </c>
      <c r="BK95" s="58" t="str">
        <f ca="1">_xll.DBRW(Server&amp;Cube1,$H$13,$BC$3,$H$15,$H$17,BK$1,$H$16,$B95)</f>
        <v>*KEY_ERR</v>
      </c>
      <c r="BL95" s="58" t="str">
        <f ca="1">_xll.DBRW(Server&amp;Cube1,$H$13,$BC$3,$H$15,$H$17,BL$1,$H$16,$B95)</f>
        <v>*KEY_ERR</v>
      </c>
      <c r="BM95" s="58" t="str">
        <f ca="1">_xll.DBRW(Server&amp;Cube1,$H$13,$BC$3,$H$15,$H$17,BM$1,$H$16,$B95)</f>
        <v>*KEY_ERR</v>
      </c>
      <c r="BN95" s="58" t="str">
        <f ca="1">_xll.DBRW(Server&amp;Cube1,$H$13,$BC$3,$H$15,$H$17,BN$1,$H$16,$B95)</f>
        <v>*KEY_ERR</v>
      </c>
      <c r="BO95" s="59" t="str">
        <f ca="1">_xll.DBRW(Server&amp;Cube1,$H$13,$BC$3,$H$15,$H$17,BO$1,$H$16,$B95)</f>
        <v>*KEY_ERR</v>
      </c>
      <c r="BP95" s="31"/>
    </row>
    <row r="96" spans="1:68" ht="21" customHeight="1" x14ac:dyDescent="0.25">
      <c r="A96"/>
      <c r="B96" s="13" t="s">
        <v>50</v>
      </c>
      <c r="C96" s="13"/>
      <c r="D96" s="22"/>
      <c r="E96" s="171"/>
      <c r="F96" s="107"/>
      <c r="G96" s="305" t="str">
        <f ca="1">_xll.DBRA(Server&amp;$B$22,$B96,"French")</f>
        <v>Achats fournitures informatiques</v>
      </c>
      <c r="H96" s="305" t="str">
        <f ca="1">_xll.DBRA(Server&amp;$B$22,$B96,"French")</f>
        <v>Achats fournitures informatiques</v>
      </c>
      <c r="I96" s="37"/>
      <c r="J96" s="54" t="str">
        <f ca="1">_xll.DBRW(Server&amp;Cube1,$H$13,$H$14,$H$15,$J$1,$J$2,$H$16,$B96)</f>
        <v/>
      </c>
      <c r="K96" s="37"/>
      <c r="L96" s="54" t="str">
        <f ca="1">_xll.DBRW(Server&amp;Cube1,$H$13,$H$14,$H$15,$L$1,$L$2,$H$16,$B96)</f>
        <v/>
      </c>
      <c r="M96" s="55"/>
      <c r="N96" s="54" t="str">
        <f ca="1">_xll.DBRW(Server&amp;Cube1,$H$13,$H$14,$H$15,$P$1,N$2,$H$16,$B96)</f>
        <v>*KEY_ERR</v>
      </c>
      <c r="O96" s="57"/>
      <c r="P96" s="54" t="str">
        <f ca="1">_xll.DBRW(Server&amp;Cube1,$H$13,$P$3,$H$15,$P$1,P$2,$H$16,$B96)</f>
        <v>*KEY_ERR</v>
      </c>
      <c r="Q96" s="54" t="str">
        <f ca="1">_xll.DBRW(Server&amp;Cube1,$H$13,$P$3,$H$15,$H$17,Q$1,$H$16,$B96)</f>
        <v>*KEY_ERR</v>
      </c>
      <c r="R96" s="58" t="str">
        <f ca="1">_xll.DBRW(Server&amp;Cube1,$H$13,$P$3,$H$15,$H$17,R$1,$H$16,$B96)</f>
        <v>*KEY_ERR</v>
      </c>
      <c r="S96" s="58" t="str">
        <f ca="1">_xll.DBRW(Server&amp;Cube1,$H$13,$P$3,$H$15,$H$17,S$1,$H$16,$B96)</f>
        <v>*KEY_ERR</v>
      </c>
      <c r="T96" s="58" t="str">
        <f ca="1">_xll.DBRW(Server&amp;Cube1,$H$13,$P$3,$H$15,$H$17,T$1,$H$16,$B96)</f>
        <v>*KEY_ERR</v>
      </c>
      <c r="U96" s="58" t="str">
        <f ca="1">_xll.DBRW(Server&amp;Cube1,$H$13,$P$3,$H$15,$H$17,U$1,$H$16,$B96)</f>
        <v>*KEY_ERR</v>
      </c>
      <c r="V96" s="58" t="str">
        <f ca="1">_xll.DBRW(Server&amp;Cube1,$H$13,$P$3,$H$15,$H$17,V$1,$H$16,$B96)</f>
        <v>*KEY_ERR</v>
      </c>
      <c r="W96" s="58" t="str">
        <f ca="1">_xll.DBRW(Server&amp;Cube1,$H$13,$P$3,$H$15,$H$17,W$1,$H$16,$B96)</f>
        <v>*KEY_ERR</v>
      </c>
      <c r="X96" s="58" t="str">
        <f ca="1">_xll.DBRW(Server&amp;Cube1,$H$13,$P$3,$H$15,$H$17,X$1,$H$16,$B96)</f>
        <v>*KEY_ERR</v>
      </c>
      <c r="Y96" s="58" t="str">
        <f ca="1">_xll.DBRW(Server&amp;Cube1,$H$13,$P$3,$H$15,$H$17,Y$1,$H$16,$B96)</f>
        <v>*KEY_ERR</v>
      </c>
      <c r="Z96" s="58" t="str">
        <f ca="1">_xll.DBRW(Server&amp;Cube1,$H$13,$P$3,$H$15,$H$17,Z$1,$H$16,$B96)</f>
        <v>*KEY_ERR</v>
      </c>
      <c r="AA96" s="58" t="str">
        <f ca="1">_xll.DBRW(Server&amp;Cube1,$H$13,$P$3,$H$15,$H$17,AA$1,$H$16,$B96)</f>
        <v>*KEY_ERR</v>
      </c>
      <c r="AB96" s="59" t="str">
        <f ca="1">_xll.DBRW(Server&amp;Cube1,$H$13,$P$3,$H$15,$H$17,AB$1,$H$16,$B96)</f>
        <v>*KEY_ERR</v>
      </c>
      <c r="AC96" s="187" t="str">
        <f ca="1">_xll.DBRW(Server&amp;Cube1,$H$13,$AC$3,$H$15,$P$1,AC$2,$H$16,$B96)</f>
        <v>*KEY_ERR</v>
      </c>
      <c r="AD96" s="54" t="str">
        <f ca="1">_xll.DBRW(Server&amp;Cube1,$H$13,$AC$3,$H$15,$H$17,AD$1,$H$16,$B96)</f>
        <v>*KEY_ERR</v>
      </c>
      <c r="AE96" s="58" t="str">
        <f ca="1">_xll.DBRW(Server&amp;Cube1,$H$13,$AC$3,$H$15,$H$17,AE$1,$H$16,$B96)</f>
        <v>*KEY_ERR</v>
      </c>
      <c r="AF96" s="58" t="str">
        <f ca="1">_xll.DBRW(Server&amp;Cube1,$H$13,$AC$3,$H$15,$H$17,AF$1,$H$16,$B96)</f>
        <v>*KEY_ERR</v>
      </c>
      <c r="AG96" s="58" t="str">
        <f ca="1">_xll.DBRW(Server&amp;Cube1,$H$13,$AC$3,$H$15,$H$17,AG$1,$H$16,$B96)</f>
        <v>*KEY_ERR</v>
      </c>
      <c r="AH96" s="58" t="str">
        <f ca="1">_xll.DBRW(Server&amp;Cube1,$H$13,$AC$3,$H$15,$H$17,AH$1,$H$16,$B96)</f>
        <v>*KEY_ERR</v>
      </c>
      <c r="AI96" s="58" t="str">
        <f ca="1">_xll.DBRW(Server&amp;Cube1,$H$13,$AC$3,$H$15,$H$17,AI$1,$H$16,$B96)</f>
        <v>*KEY_ERR</v>
      </c>
      <c r="AJ96" s="58" t="str">
        <f ca="1">_xll.DBRW(Server&amp;Cube1,$H$13,$AC$3,$H$15,$H$17,AJ$1,$H$16,$B96)</f>
        <v>*KEY_ERR</v>
      </c>
      <c r="AK96" s="58" t="str">
        <f ca="1">_xll.DBRW(Server&amp;Cube1,$H$13,$AC$3,$H$15,$H$17,AK$1,$H$16,$B96)</f>
        <v>*KEY_ERR</v>
      </c>
      <c r="AL96" s="58" t="str">
        <f ca="1">_xll.DBRW(Server&amp;Cube1,$H$13,$AC$3,$H$15,$H$17,AL$1,$H$16,$B96)</f>
        <v>*KEY_ERR</v>
      </c>
      <c r="AM96" s="58" t="str">
        <f ca="1">_xll.DBRW(Server&amp;Cube1,$H$13,$AC$3,$H$15,$H$17,AM$1,$H$16,$B96)</f>
        <v>*KEY_ERR</v>
      </c>
      <c r="AN96" s="58" t="str">
        <f ca="1">_xll.DBRW(Server&amp;Cube1,$H$13,$AC$3,$H$15,$H$17,AN$1,$H$16,$B96)</f>
        <v>*KEY_ERR</v>
      </c>
      <c r="AO96" s="59" t="str">
        <f ca="1">_xll.DBRW(Server&amp;Cube1,$H$13,$AC$3,$H$15,$H$17,AO$1,$H$16,$B96)</f>
        <v>*KEY_ERR</v>
      </c>
      <c r="AP96" s="187" t="str">
        <f ca="1">_xll.DBRW(Server&amp;Cube1,$H$13,$AP$3,$H$15,$P$1,AP$2,$H$16,$B96)</f>
        <v>*KEY_ERR</v>
      </c>
      <c r="AQ96" s="54" t="str">
        <f ca="1">_xll.DBRW(Server&amp;Cube1,$H$13,$AP$3,$H$15,$H$17,AQ$1,$H$16,$B96)</f>
        <v>*KEY_ERR</v>
      </c>
      <c r="AR96" s="58" t="str">
        <f ca="1">_xll.DBRW(Server&amp;Cube1,$H$13,$AP$3,$H$15,$H$17,AR$1,$H$16,$B96)</f>
        <v>*KEY_ERR</v>
      </c>
      <c r="AS96" s="58" t="str">
        <f ca="1">_xll.DBRW(Server&amp;Cube1,$H$13,$AP$3,$H$15,$H$17,AS$1,$H$16,$B96)</f>
        <v>*KEY_ERR</v>
      </c>
      <c r="AT96" s="58" t="str">
        <f ca="1">_xll.DBRW(Server&amp;Cube1,$H$13,$AP$3,$H$15,$H$17,AT$1,$H$16,$B96)</f>
        <v>*KEY_ERR</v>
      </c>
      <c r="AU96" s="58" t="str">
        <f ca="1">_xll.DBRW(Server&amp;Cube1,$H$13,$AP$3,$H$15,$H$17,AU$1,$H$16,$B96)</f>
        <v>*KEY_ERR</v>
      </c>
      <c r="AV96" s="58" t="str">
        <f ca="1">_xll.DBRW(Server&amp;Cube1,$H$13,$AP$3,$H$15,$H$17,AV$1,$H$16,$B96)</f>
        <v>*KEY_ERR</v>
      </c>
      <c r="AW96" s="58" t="str">
        <f ca="1">_xll.DBRW(Server&amp;Cube1,$H$13,$AP$3,$H$15,$H$17,AW$1,$H$16,$B96)</f>
        <v>*KEY_ERR</v>
      </c>
      <c r="AX96" s="58" t="str">
        <f ca="1">_xll.DBRW(Server&amp;Cube1,$H$13,$AP$3,$H$15,$H$17,AX$1,$H$16,$B96)</f>
        <v>*KEY_ERR</v>
      </c>
      <c r="AY96" s="58" t="str">
        <f ca="1">_xll.DBRW(Server&amp;Cube1,$H$13,$AP$3,$H$15,$H$17,AY$1,$H$16,$B96)</f>
        <v>*KEY_ERR</v>
      </c>
      <c r="AZ96" s="58" t="str">
        <f ca="1">_xll.DBRW(Server&amp;Cube1,$H$13,$AP$3,$H$15,$H$17,AZ$1,$H$16,$B96)</f>
        <v>*KEY_ERR</v>
      </c>
      <c r="BA96" s="58" t="str">
        <f ca="1">_xll.DBRW(Server&amp;Cube1,$H$13,$AP$3,$H$15,$H$17,BA$1,$H$16,$B96)</f>
        <v>*KEY_ERR</v>
      </c>
      <c r="BB96" s="59" t="str">
        <f ca="1">_xll.DBRW(Server&amp;Cube1,$H$13,$AP$3,$H$15,$H$17,BB$1,$H$16,$B96)</f>
        <v>*KEY_ERR</v>
      </c>
      <c r="BC96" s="187" t="str">
        <f ca="1">_xll.DBRW(Server&amp;Cube1,$H$13,$BC$3,$H$15,$P$1,BC$2,$H$16,$B96)</f>
        <v>*KEY_ERR</v>
      </c>
      <c r="BD96" s="54" t="str">
        <f ca="1">_xll.DBRW(Server&amp;Cube1,$H$13,$BC$3,$H$15,$H$17,BD$1,$H$16,$B96)</f>
        <v>*KEY_ERR</v>
      </c>
      <c r="BE96" s="58" t="str">
        <f ca="1">_xll.DBRW(Server&amp;Cube1,$H$13,$BC$3,$H$15,$H$17,BE$1,$H$16,$B96)</f>
        <v>*KEY_ERR</v>
      </c>
      <c r="BF96" s="58" t="str">
        <f ca="1">_xll.DBRW(Server&amp;Cube1,$H$13,$BC$3,$H$15,$H$17,BF$1,$H$16,$B96)</f>
        <v>*KEY_ERR</v>
      </c>
      <c r="BG96" s="58" t="str">
        <f ca="1">_xll.DBRW(Server&amp;Cube1,$H$13,$BC$3,$H$15,$H$17,BG$1,$H$16,$B96)</f>
        <v>*KEY_ERR</v>
      </c>
      <c r="BH96" s="58" t="str">
        <f ca="1">_xll.DBRW(Server&amp;Cube1,$H$13,$BC$3,$H$15,$H$17,BH$1,$H$16,$B96)</f>
        <v>*KEY_ERR</v>
      </c>
      <c r="BI96" s="58" t="str">
        <f ca="1">_xll.DBRW(Server&amp;Cube1,$H$13,$BC$3,$H$15,$H$17,BI$1,$H$16,$B96)</f>
        <v>*KEY_ERR</v>
      </c>
      <c r="BJ96" s="58" t="str">
        <f ca="1">_xll.DBRW(Server&amp;Cube1,$H$13,$BC$3,$H$15,$H$17,BJ$1,$H$16,$B96)</f>
        <v>*KEY_ERR</v>
      </c>
      <c r="BK96" s="58" t="str">
        <f ca="1">_xll.DBRW(Server&amp;Cube1,$H$13,$BC$3,$H$15,$H$17,BK$1,$H$16,$B96)</f>
        <v>*KEY_ERR</v>
      </c>
      <c r="BL96" s="58" t="str">
        <f ca="1">_xll.DBRW(Server&amp;Cube1,$H$13,$BC$3,$H$15,$H$17,BL$1,$H$16,$B96)</f>
        <v>*KEY_ERR</v>
      </c>
      <c r="BM96" s="58" t="str">
        <f ca="1">_xll.DBRW(Server&amp;Cube1,$H$13,$BC$3,$H$15,$H$17,BM$1,$H$16,$B96)</f>
        <v>*KEY_ERR</v>
      </c>
      <c r="BN96" s="58" t="str">
        <f ca="1">_xll.DBRW(Server&amp;Cube1,$H$13,$BC$3,$H$15,$H$17,BN$1,$H$16,$B96)</f>
        <v>*KEY_ERR</v>
      </c>
      <c r="BO96" s="59" t="str">
        <f ca="1">_xll.DBRW(Server&amp;Cube1,$H$13,$BC$3,$H$15,$H$17,BO$1,$H$16,$B96)</f>
        <v>*KEY_ERR</v>
      </c>
      <c r="BP96" s="31"/>
    </row>
    <row r="97" spans="1:68" ht="21" customHeight="1" x14ac:dyDescent="0.25">
      <c r="A97"/>
      <c r="B97" s="13" t="s">
        <v>51</v>
      </c>
      <c r="C97" s="13"/>
      <c r="D97" s="22"/>
      <c r="E97" s="171"/>
      <c r="F97" s="107"/>
      <c r="G97" s="305" t="str">
        <f ca="1">_xll.DBRA(Server&amp;$B$22,$B97,"French")</f>
        <v>Frais de missions</v>
      </c>
      <c r="H97" s="305" t="str">
        <f ca="1">_xll.DBRA(Server&amp;$B$22,$B97,"French")</f>
        <v>Frais de missions</v>
      </c>
      <c r="I97" s="37"/>
      <c r="J97" s="54" t="str">
        <f ca="1">_xll.DBRW(Server&amp;Cube1,$H$13,$H$14,$H$15,$J$1,$J$2,$H$16,$B97)</f>
        <v/>
      </c>
      <c r="K97" s="37"/>
      <c r="L97" s="54" t="str">
        <f ca="1">_xll.DBRW(Server&amp;Cube1,$H$13,$H$14,$H$15,$L$1,$L$2,$H$16,$B97)</f>
        <v/>
      </c>
      <c r="M97" s="55"/>
      <c r="N97" s="54" t="str">
        <f ca="1">_xll.DBRW(Server&amp;Cube1,$H$13,$H$14,$H$15,$P$1,N$2,$H$16,$B97)</f>
        <v>*KEY_ERR</v>
      </c>
      <c r="O97" s="57"/>
      <c r="P97" s="54" t="str">
        <f ca="1">_xll.DBRW(Server&amp;Cube1,$H$13,$P$3,$H$15,$P$1,P$2,$H$16,$B97)</f>
        <v>*KEY_ERR</v>
      </c>
      <c r="Q97" s="54" t="str">
        <f ca="1">_xll.DBRW(Server&amp;Cube1,$H$13,$P$3,$H$15,$H$17,Q$1,$H$16,$B97)</f>
        <v>*KEY_ERR</v>
      </c>
      <c r="R97" s="58" t="str">
        <f ca="1">_xll.DBRW(Server&amp;Cube1,$H$13,$P$3,$H$15,$H$17,R$1,$H$16,$B97)</f>
        <v>*KEY_ERR</v>
      </c>
      <c r="S97" s="58" t="str">
        <f ca="1">_xll.DBRW(Server&amp;Cube1,$H$13,$P$3,$H$15,$H$17,S$1,$H$16,$B97)</f>
        <v>*KEY_ERR</v>
      </c>
      <c r="T97" s="58" t="str">
        <f ca="1">_xll.DBRW(Server&amp;Cube1,$H$13,$P$3,$H$15,$H$17,T$1,$H$16,$B97)</f>
        <v>*KEY_ERR</v>
      </c>
      <c r="U97" s="58" t="str">
        <f ca="1">_xll.DBRW(Server&amp;Cube1,$H$13,$P$3,$H$15,$H$17,U$1,$H$16,$B97)</f>
        <v>*KEY_ERR</v>
      </c>
      <c r="V97" s="58" t="str">
        <f ca="1">_xll.DBRW(Server&amp;Cube1,$H$13,$P$3,$H$15,$H$17,V$1,$H$16,$B97)</f>
        <v>*KEY_ERR</v>
      </c>
      <c r="W97" s="58" t="str">
        <f ca="1">_xll.DBRW(Server&amp;Cube1,$H$13,$P$3,$H$15,$H$17,W$1,$H$16,$B97)</f>
        <v>*KEY_ERR</v>
      </c>
      <c r="X97" s="58" t="str">
        <f ca="1">_xll.DBRW(Server&amp;Cube1,$H$13,$P$3,$H$15,$H$17,X$1,$H$16,$B97)</f>
        <v>*KEY_ERR</v>
      </c>
      <c r="Y97" s="58" t="str">
        <f ca="1">_xll.DBRW(Server&amp;Cube1,$H$13,$P$3,$H$15,$H$17,Y$1,$H$16,$B97)</f>
        <v>*KEY_ERR</v>
      </c>
      <c r="Z97" s="58" t="str">
        <f ca="1">_xll.DBRW(Server&amp;Cube1,$H$13,$P$3,$H$15,$H$17,Z$1,$H$16,$B97)</f>
        <v>*KEY_ERR</v>
      </c>
      <c r="AA97" s="58" t="str">
        <f ca="1">_xll.DBRW(Server&amp;Cube1,$H$13,$P$3,$H$15,$H$17,AA$1,$H$16,$B97)</f>
        <v>*KEY_ERR</v>
      </c>
      <c r="AB97" s="59" t="str">
        <f ca="1">_xll.DBRW(Server&amp;Cube1,$H$13,$P$3,$H$15,$H$17,AB$1,$H$16,$B97)</f>
        <v>*KEY_ERR</v>
      </c>
      <c r="AC97" s="187" t="str">
        <f ca="1">_xll.DBRW(Server&amp;Cube1,$H$13,$AC$3,$H$15,$P$1,AC$2,$H$16,$B97)</f>
        <v>*KEY_ERR</v>
      </c>
      <c r="AD97" s="54" t="str">
        <f ca="1">_xll.DBRW(Server&amp;Cube1,$H$13,$AC$3,$H$15,$H$17,AD$1,$H$16,$B97)</f>
        <v>*KEY_ERR</v>
      </c>
      <c r="AE97" s="58" t="str">
        <f ca="1">_xll.DBRW(Server&amp;Cube1,$H$13,$AC$3,$H$15,$H$17,AE$1,$H$16,$B97)</f>
        <v>*KEY_ERR</v>
      </c>
      <c r="AF97" s="58" t="str">
        <f ca="1">_xll.DBRW(Server&amp;Cube1,$H$13,$AC$3,$H$15,$H$17,AF$1,$H$16,$B97)</f>
        <v>*KEY_ERR</v>
      </c>
      <c r="AG97" s="58" t="str">
        <f ca="1">_xll.DBRW(Server&amp;Cube1,$H$13,$AC$3,$H$15,$H$17,AG$1,$H$16,$B97)</f>
        <v>*KEY_ERR</v>
      </c>
      <c r="AH97" s="58" t="str">
        <f ca="1">_xll.DBRW(Server&amp;Cube1,$H$13,$AC$3,$H$15,$H$17,AH$1,$H$16,$B97)</f>
        <v>*KEY_ERR</v>
      </c>
      <c r="AI97" s="58" t="str">
        <f ca="1">_xll.DBRW(Server&amp;Cube1,$H$13,$AC$3,$H$15,$H$17,AI$1,$H$16,$B97)</f>
        <v>*KEY_ERR</v>
      </c>
      <c r="AJ97" s="58" t="str">
        <f ca="1">_xll.DBRW(Server&amp;Cube1,$H$13,$AC$3,$H$15,$H$17,AJ$1,$H$16,$B97)</f>
        <v>*KEY_ERR</v>
      </c>
      <c r="AK97" s="58" t="str">
        <f ca="1">_xll.DBRW(Server&amp;Cube1,$H$13,$AC$3,$H$15,$H$17,AK$1,$H$16,$B97)</f>
        <v>*KEY_ERR</v>
      </c>
      <c r="AL97" s="58" t="str">
        <f ca="1">_xll.DBRW(Server&amp;Cube1,$H$13,$AC$3,$H$15,$H$17,AL$1,$H$16,$B97)</f>
        <v>*KEY_ERR</v>
      </c>
      <c r="AM97" s="58" t="str">
        <f ca="1">_xll.DBRW(Server&amp;Cube1,$H$13,$AC$3,$H$15,$H$17,AM$1,$H$16,$B97)</f>
        <v>*KEY_ERR</v>
      </c>
      <c r="AN97" s="58" t="str">
        <f ca="1">_xll.DBRW(Server&amp;Cube1,$H$13,$AC$3,$H$15,$H$17,AN$1,$H$16,$B97)</f>
        <v>*KEY_ERR</v>
      </c>
      <c r="AO97" s="59" t="str">
        <f ca="1">_xll.DBRW(Server&amp;Cube1,$H$13,$AC$3,$H$15,$H$17,AO$1,$H$16,$B97)</f>
        <v>*KEY_ERR</v>
      </c>
      <c r="AP97" s="187" t="str">
        <f ca="1">_xll.DBRW(Server&amp;Cube1,$H$13,$AP$3,$H$15,$P$1,AP$2,$H$16,$B97)</f>
        <v>*KEY_ERR</v>
      </c>
      <c r="AQ97" s="54" t="str">
        <f ca="1">_xll.DBRW(Server&amp;Cube1,$H$13,$AP$3,$H$15,$H$17,AQ$1,$H$16,$B97)</f>
        <v>*KEY_ERR</v>
      </c>
      <c r="AR97" s="58" t="str">
        <f ca="1">_xll.DBRW(Server&amp;Cube1,$H$13,$AP$3,$H$15,$H$17,AR$1,$H$16,$B97)</f>
        <v>*KEY_ERR</v>
      </c>
      <c r="AS97" s="58" t="str">
        <f ca="1">_xll.DBRW(Server&amp;Cube1,$H$13,$AP$3,$H$15,$H$17,AS$1,$H$16,$B97)</f>
        <v>*KEY_ERR</v>
      </c>
      <c r="AT97" s="58" t="str">
        <f ca="1">_xll.DBRW(Server&amp;Cube1,$H$13,$AP$3,$H$15,$H$17,AT$1,$H$16,$B97)</f>
        <v>*KEY_ERR</v>
      </c>
      <c r="AU97" s="58" t="str">
        <f ca="1">_xll.DBRW(Server&amp;Cube1,$H$13,$AP$3,$H$15,$H$17,AU$1,$H$16,$B97)</f>
        <v>*KEY_ERR</v>
      </c>
      <c r="AV97" s="58" t="str">
        <f ca="1">_xll.DBRW(Server&amp;Cube1,$H$13,$AP$3,$H$15,$H$17,AV$1,$H$16,$B97)</f>
        <v>*KEY_ERR</v>
      </c>
      <c r="AW97" s="58" t="str">
        <f ca="1">_xll.DBRW(Server&amp;Cube1,$H$13,$AP$3,$H$15,$H$17,AW$1,$H$16,$B97)</f>
        <v>*KEY_ERR</v>
      </c>
      <c r="AX97" s="58" t="str">
        <f ca="1">_xll.DBRW(Server&amp;Cube1,$H$13,$AP$3,$H$15,$H$17,AX$1,$H$16,$B97)</f>
        <v>*KEY_ERR</v>
      </c>
      <c r="AY97" s="58" t="str">
        <f ca="1">_xll.DBRW(Server&amp;Cube1,$H$13,$AP$3,$H$15,$H$17,AY$1,$H$16,$B97)</f>
        <v>*KEY_ERR</v>
      </c>
      <c r="AZ97" s="58" t="str">
        <f ca="1">_xll.DBRW(Server&amp;Cube1,$H$13,$AP$3,$H$15,$H$17,AZ$1,$H$16,$B97)</f>
        <v>*KEY_ERR</v>
      </c>
      <c r="BA97" s="58" t="str">
        <f ca="1">_xll.DBRW(Server&amp;Cube1,$H$13,$AP$3,$H$15,$H$17,BA$1,$H$16,$B97)</f>
        <v>*KEY_ERR</v>
      </c>
      <c r="BB97" s="59" t="str">
        <f ca="1">_xll.DBRW(Server&amp;Cube1,$H$13,$AP$3,$H$15,$H$17,BB$1,$H$16,$B97)</f>
        <v>*KEY_ERR</v>
      </c>
      <c r="BC97" s="187" t="str">
        <f ca="1">_xll.DBRW(Server&amp;Cube1,$H$13,$BC$3,$H$15,$P$1,BC$2,$H$16,$B97)</f>
        <v>*KEY_ERR</v>
      </c>
      <c r="BD97" s="54" t="str">
        <f ca="1">_xll.DBRW(Server&amp;Cube1,$H$13,$BC$3,$H$15,$H$17,BD$1,$H$16,$B97)</f>
        <v>*KEY_ERR</v>
      </c>
      <c r="BE97" s="58" t="str">
        <f ca="1">_xll.DBRW(Server&amp;Cube1,$H$13,$BC$3,$H$15,$H$17,BE$1,$H$16,$B97)</f>
        <v>*KEY_ERR</v>
      </c>
      <c r="BF97" s="58" t="str">
        <f ca="1">_xll.DBRW(Server&amp;Cube1,$H$13,$BC$3,$H$15,$H$17,BF$1,$H$16,$B97)</f>
        <v>*KEY_ERR</v>
      </c>
      <c r="BG97" s="58" t="str">
        <f ca="1">_xll.DBRW(Server&amp;Cube1,$H$13,$BC$3,$H$15,$H$17,BG$1,$H$16,$B97)</f>
        <v>*KEY_ERR</v>
      </c>
      <c r="BH97" s="58" t="str">
        <f ca="1">_xll.DBRW(Server&amp;Cube1,$H$13,$BC$3,$H$15,$H$17,BH$1,$H$16,$B97)</f>
        <v>*KEY_ERR</v>
      </c>
      <c r="BI97" s="58" t="str">
        <f ca="1">_xll.DBRW(Server&amp;Cube1,$H$13,$BC$3,$H$15,$H$17,BI$1,$H$16,$B97)</f>
        <v>*KEY_ERR</v>
      </c>
      <c r="BJ97" s="58" t="str">
        <f ca="1">_xll.DBRW(Server&amp;Cube1,$H$13,$BC$3,$H$15,$H$17,BJ$1,$H$16,$B97)</f>
        <v>*KEY_ERR</v>
      </c>
      <c r="BK97" s="58" t="str">
        <f ca="1">_xll.DBRW(Server&amp;Cube1,$H$13,$BC$3,$H$15,$H$17,BK$1,$H$16,$B97)</f>
        <v>*KEY_ERR</v>
      </c>
      <c r="BL97" s="58" t="str">
        <f ca="1">_xll.DBRW(Server&amp;Cube1,$H$13,$BC$3,$H$15,$H$17,BL$1,$H$16,$B97)</f>
        <v>*KEY_ERR</v>
      </c>
      <c r="BM97" s="58" t="str">
        <f ca="1">_xll.DBRW(Server&amp;Cube1,$H$13,$BC$3,$H$15,$H$17,BM$1,$H$16,$B97)</f>
        <v>*KEY_ERR</v>
      </c>
      <c r="BN97" s="58" t="str">
        <f ca="1">_xll.DBRW(Server&amp;Cube1,$H$13,$BC$3,$H$15,$H$17,BN$1,$H$16,$B97)</f>
        <v>*KEY_ERR</v>
      </c>
      <c r="BO97" s="59" t="str">
        <f ca="1">_xll.DBRW(Server&amp;Cube1,$H$13,$BC$3,$H$15,$H$17,BO$1,$H$16,$B97)</f>
        <v>*KEY_ERR</v>
      </c>
      <c r="BP97" s="31"/>
    </row>
    <row r="98" spans="1:68" ht="21" customHeight="1" x14ac:dyDescent="0.25">
      <c r="A98"/>
      <c r="B98" s="13" t="s">
        <v>52</v>
      </c>
      <c r="C98" s="13"/>
      <c r="D98" s="22"/>
      <c r="E98" s="171"/>
      <c r="F98" s="107"/>
      <c r="G98" s="305" t="str">
        <f ca="1">_xll.DBRA(Server&amp;$B$22,$B98,"French")</f>
        <v>Frais de réceptions</v>
      </c>
      <c r="H98" s="305" t="str">
        <f ca="1">_xll.DBRA(Server&amp;$B$22,$B98,"French")</f>
        <v>Frais de réceptions</v>
      </c>
      <c r="I98" s="37"/>
      <c r="J98" s="54" t="str">
        <f ca="1">_xll.DBRW(Server&amp;Cube1,$H$13,$H$14,$H$15,$J$1,$J$2,$H$16,$B98)</f>
        <v/>
      </c>
      <c r="K98" s="37"/>
      <c r="L98" s="54" t="str">
        <f ca="1">_xll.DBRW(Server&amp;Cube1,$H$13,$H$14,$H$15,$L$1,$L$2,$H$16,$B98)</f>
        <v/>
      </c>
      <c r="M98" s="55"/>
      <c r="N98" s="54" t="str">
        <f ca="1">_xll.DBRW(Server&amp;Cube1,$H$13,$H$14,$H$15,$P$1,N$2,$H$16,$B98)</f>
        <v>*KEY_ERR</v>
      </c>
      <c r="O98" s="57"/>
      <c r="P98" s="54" t="str">
        <f ca="1">_xll.DBRW(Server&amp;Cube1,$H$13,$P$3,$H$15,$P$1,P$2,$H$16,$B98)</f>
        <v>*KEY_ERR</v>
      </c>
      <c r="Q98" s="54" t="str">
        <f ca="1">_xll.DBRW(Server&amp;Cube1,$H$13,$P$3,$H$15,$H$17,Q$1,$H$16,$B98)</f>
        <v>*KEY_ERR</v>
      </c>
      <c r="R98" s="58" t="str">
        <f ca="1">_xll.DBRW(Server&amp;Cube1,$H$13,$P$3,$H$15,$H$17,R$1,$H$16,$B98)</f>
        <v>*KEY_ERR</v>
      </c>
      <c r="S98" s="58" t="str">
        <f ca="1">_xll.DBRW(Server&amp;Cube1,$H$13,$P$3,$H$15,$H$17,S$1,$H$16,$B98)</f>
        <v>*KEY_ERR</v>
      </c>
      <c r="T98" s="58" t="str">
        <f ca="1">_xll.DBRW(Server&amp;Cube1,$H$13,$P$3,$H$15,$H$17,T$1,$H$16,$B98)</f>
        <v>*KEY_ERR</v>
      </c>
      <c r="U98" s="58" t="str">
        <f ca="1">_xll.DBRW(Server&amp;Cube1,$H$13,$P$3,$H$15,$H$17,U$1,$H$16,$B98)</f>
        <v>*KEY_ERR</v>
      </c>
      <c r="V98" s="58" t="str">
        <f ca="1">_xll.DBRW(Server&amp;Cube1,$H$13,$P$3,$H$15,$H$17,V$1,$H$16,$B98)</f>
        <v>*KEY_ERR</v>
      </c>
      <c r="W98" s="58" t="str">
        <f ca="1">_xll.DBRW(Server&amp;Cube1,$H$13,$P$3,$H$15,$H$17,W$1,$H$16,$B98)</f>
        <v>*KEY_ERR</v>
      </c>
      <c r="X98" s="58" t="str">
        <f ca="1">_xll.DBRW(Server&amp;Cube1,$H$13,$P$3,$H$15,$H$17,X$1,$H$16,$B98)</f>
        <v>*KEY_ERR</v>
      </c>
      <c r="Y98" s="58" t="str">
        <f ca="1">_xll.DBRW(Server&amp;Cube1,$H$13,$P$3,$H$15,$H$17,Y$1,$H$16,$B98)</f>
        <v>*KEY_ERR</v>
      </c>
      <c r="Z98" s="58" t="str">
        <f ca="1">_xll.DBRW(Server&amp;Cube1,$H$13,$P$3,$H$15,$H$17,Z$1,$H$16,$B98)</f>
        <v>*KEY_ERR</v>
      </c>
      <c r="AA98" s="58" t="str">
        <f ca="1">_xll.DBRW(Server&amp;Cube1,$H$13,$P$3,$H$15,$H$17,AA$1,$H$16,$B98)</f>
        <v>*KEY_ERR</v>
      </c>
      <c r="AB98" s="59" t="str">
        <f ca="1">_xll.DBRW(Server&amp;Cube1,$H$13,$P$3,$H$15,$H$17,AB$1,$H$16,$B98)</f>
        <v>*KEY_ERR</v>
      </c>
      <c r="AC98" s="187" t="str">
        <f ca="1">_xll.DBRW(Server&amp;Cube1,$H$13,$AC$3,$H$15,$P$1,AC$2,$H$16,$B98)</f>
        <v>*KEY_ERR</v>
      </c>
      <c r="AD98" s="54" t="str">
        <f ca="1">_xll.DBRW(Server&amp;Cube1,$H$13,$AC$3,$H$15,$H$17,AD$1,$H$16,$B98)</f>
        <v>*KEY_ERR</v>
      </c>
      <c r="AE98" s="58" t="str">
        <f ca="1">_xll.DBRW(Server&amp;Cube1,$H$13,$AC$3,$H$15,$H$17,AE$1,$H$16,$B98)</f>
        <v>*KEY_ERR</v>
      </c>
      <c r="AF98" s="58" t="str">
        <f ca="1">_xll.DBRW(Server&amp;Cube1,$H$13,$AC$3,$H$15,$H$17,AF$1,$H$16,$B98)</f>
        <v>*KEY_ERR</v>
      </c>
      <c r="AG98" s="58" t="str">
        <f ca="1">_xll.DBRW(Server&amp;Cube1,$H$13,$AC$3,$H$15,$H$17,AG$1,$H$16,$B98)</f>
        <v>*KEY_ERR</v>
      </c>
      <c r="AH98" s="58" t="str">
        <f ca="1">_xll.DBRW(Server&amp;Cube1,$H$13,$AC$3,$H$15,$H$17,AH$1,$H$16,$B98)</f>
        <v>*KEY_ERR</v>
      </c>
      <c r="AI98" s="58" t="str">
        <f ca="1">_xll.DBRW(Server&amp;Cube1,$H$13,$AC$3,$H$15,$H$17,AI$1,$H$16,$B98)</f>
        <v>*KEY_ERR</v>
      </c>
      <c r="AJ98" s="58" t="str">
        <f ca="1">_xll.DBRW(Server&amp;Cube1,$H$13,$AC$3,$H$15,$H$17,AJ$1,$H$16,$B98)</f>
        <v>*KEY_ERR</v>
      </c>
      <c r="AK98" s="58" t="str">
        <f ca="1">_xll.DBRW(Server&amp;Cube1,$H$13,$AC$3,$H$15,$H$17,AK$1,$H$16,$B98)</f>
        <v>*KEY_ERR</v>
      </c>
      <c r="AL98" s="58" t="str">
        <f ca="1">_xll.DBRW(Server&amp;Cube1,$H$13,$AC$3,$H$15,$H$17,AL$1,$H$16,$B98)</f>
        <v>*KEY_ERR</v>
      </c>
      <c r="AM98" s="58" t="str">
        <f ca="1">_xll.DBRW(Server&amp;Cube1,$H$13,$AC$3,$H$15,$H$17,AM$1,$H$16,$B98)</f>
        <v>*KEY_ERR</v>
      </c>
      <c r="AN98" s="58" t="str">
        <f ca="1">_xll.DBRW(Server&amp;Cube1,$H$13,$AC$3,$H$15,$H$17,AN$1,$H$16,$B98)</f>
        <v>*KEY_ERR</v>
      </c>
      <c r="AO98" s="59" t="str">
        <f ca="1">_xll.DBRW(Server&amp;Cube1,$H$13,$AC$3,$H$15,$H$17,AO$1,$H$16,$B98)</f>
        <v>*KEY_ERR</v>
      </c>
      <c r="AP98" s="187" t="str">
        <f ca="1">_xll.DBRW(Server&amp;Cube1,$H$13,$AP$3,$H$15,$P$1,AP$2,$H$16,$B98)</f>
        <v>*KEY_ERR</v>
      </c>
      <c r="AQ98" s="54" t="str">
        <f ca="1">_xll.DBRW(Server&amp;Cube1,$H$13,$AP$3,$H$15,$H$17,AQ$1,$H$16,$B98)</f>
        <v>*KEY_ERR</v>
      </c>
      <c r="AR98" s="58" t="str">
        <f ca="1">_xll.DBRW(Server&amp;Cube1,$H$13,$AP$3,$H$15,$H$17,AR$1,$H$16,$B98)</f>
        <v>*KEY_ERR</v>
      </c>
      <c r="AS98" s="58" t="str">
        <f ca="1">_xll.DBRW(Server&amp;Cube1,$H$13,$AP$3,$H$15,$H$17,AS$1,$H$16,$B98)</f>
        <v>*KEY_ERR</v>
      </c>
      <c r="AT98" s="58" t="str">
        <f ca="1">_xll.DBRW(Server&amp;Cube1,$H$13,$AP$3,$H$15,$H$17,AT$1,$H$16,$B98)</f>
        <v>*KEY_ERR</v>
      </c>
      <c r="AU98" s="58" t="str">
        <f ca="1">_xll.DBRW(Server&amp;Cube1,$H$13,$AP$3,$H$15,$H$17,AU$1,$H$16,$B98)</f>
        <v>*KEY_ERR</v>
      </c>
      <c r="AV98" s="58" t="str">
        <f ca="1">_xll.DBRW(Server&amp;Cube1,$H$13,$AP$3,$H$15,$H$17,AV$1,$H$16,$B98)</f>
        <v>*KEY_ERR</v>
      </c>
      <c r="AW98" s="58" t="str">
        <f ca="1">_xll.DBRW(Server&amp;Cube1,$H$13,$AP$3,$H$15,$H$17,AW$1,$H$16,$B98)</f>
        <v>*KEY_ERR</v>
      </c>
      <c r="AX98" s="58" t="str">
        <f ca="1">_xll.DBRW(Server&amp;Cube1,$H$13,$AP$3,$H$15,$H$17,AX$1,$H$16,$B98)</f>
        <v>*KEY_ERR</v>
      </c>
      <c r="AY98" s="58" t="str">
        <f ca="1">_xll.DBRW(Server&amp;Cube1,$H$13,$AP$3,$H$15,$H$17,AY$1,$H$16,$B98)</f>
        <v>*KEY_ERR</v>
      </c>
      <c r="AZ98" s="58" t="str">
        <f ca="1">_xll.DBRW(Server&amp;Cube1,$H$13,$AP$3,$H$15,$H$17,AZ$1,$H$16,$B98)</f>
        <v>*KEY_ERR</v>
      </c>
      <c r="BA98" s="58" t="str">
        <f ca="1">_xll.DBRW(Server&amp;Cube1,$H$13,$AP$3,$H$15,$H$17,BA$1,$H$16,$B98)</f>
        <v>*KEY_ERR</v>
      </c>
      <c r="BB98" s="59" t="str">
        <f ca="1">_xll.DBRW(Server&amp;Cube1,$H$13,$AP$3,$H$15,$H$17,BB$1,$H$16,$B98)</f>
        <v>*KEY_ERR</v>
      </c>
      <c r="BC98" s="187" t="str">
        <f ca="1">_xll.DBRW(Server&amp;Cube1,$H$13,$BC$3,$H$15,$P$1,BC$2,$H$16,$B98)</f>
        <v>*KEY_ERR</v>
      </c>
      <c r="BD98" s="54" t="str">
        <f ca="1">_xll.DBRW(Server&amp;Cube1,$H$13,$BC$3,$H$15,$H$17,BD$1,$H$16,$B98)</f>
        <v>*KEY_ERR</v>
      </c>
      <c r="BE98" s="58" t="str">
        <f ca="1">_xll.DBRW(Server&amp;Cube1,$H$13,$BC$3,$H$15,$H$17,BE$1,$H$16,$B98)</f>
        <v>*KEY_ERR</v>
      </c>
      <c r="BF98" s="58" t="str">
        <f ca="1">_xll.DBRW(Server&amp;Cube1,$H$13,$BC$3,$H$15,$H$17,BF$1,$H$16,$B98)</f>
        <v>*KEY_ERR</v>
      </c>
      <c r="BG98" s="58" t="str">
        <f ca="1">_xll.DBRW(Server&amp;Cube1,$H$13,$BC$3,$H$15,$H$17,BG$1,$H$16,$B98)</f>
        <v>*KEY_ERR</v>
      </c>
      <c r="BH98" s="58" t="str">
        <f ca="1">_xll.DBRW(Server&amp;Cube1,$H$13,$BC$3,$H$15,$H$17,BH$1,$H$16,$B98)</f>
        <v>*KEY_ERR</v>
      </c>
      <c r="BI98" s="58" t="str">
        <f ca="1">_xll.DBRW(Server&amp;Cube1,$H$13,$BC$3,$H$15,$H$17,BI$1,$H$16,$B98)</f>
        <v>*KEY_ERR</v>
      </c>
      <c r="BJ98" s="58" t="str">
        <f ca="1">_xll.DBRW(Server&amp;Cube1,$H$13,$BC$3,$H$15,$H$17,BJ$1,$H$16,$B98)</f>
        <v>*KEY_ERR</v>
      </c>
      <c r="BK98" s="58" t="str">
        <f ca="1">_xll.DBRW(Server&amp;Cube1,$H$13,$BC$3,$H$15,$H$17,BK$1,$H$16,$B98)</f>
        <v>*KEY_ERR</v>
      </c>
      <c r="BL98" s="58" t="str">
        <f ca="1">_xll.DBRW(Server&amp;Cube1,$H$13,$BC$3,$H$15,$H$17,BL$1,$H$16,$B98)</f>
        <v>*KEY_ERR</v>
      </c>
      <c r="BM98" s="58" t="str">
        <f ca="1">_xll.DBRW(Server&amp;Cube1,$H$13,$BC$3,$H$15,$H$17,BM$1,$H$16,$B98)</f>
        <v>*KEY_ERR</v>
      </c>
      <c r="BN98" s="58" t="str">
        <f ca="1">_xll.DBRW(Server&amp;Cube1,$H$13,$BC$3,$H$15,$H$17,BN$1,$H$16,$B98)</f>
        <v>*KEY_ERR</v>
      </c>
      <c r="BO98" s="59" t="str">
        <f ca="1">_xll.DBRW(Server&amp;Cube1,$H$13,$BC$3,$H$15,$H$17,BO$1,$H$16,$B98)</f>
        <v>*KEY_ERR</v>
      </c>
      <c r="BP98" s="31"/>
    </row>
    <row r="99" spans="1:68" ht="21" customHeight="1" x14ac:dyDescent="0.25">
      <c r="A99"/>
      <c r="B99" s="13">
        <v>623100</v>
      </c>
      <c r="C99" s="13"/>
      <c r="D99" s="22"/>
      <c r="E99" s="171"/>
      <c r="F99" s="107"/>
      <c r="G99" s="305" t="s">
        <v>114</v>
      </c>
      <c r="H99" s="305"/>
      <c r="I99" s="37"/>
      <c r="J99" s="54" t="str">
        <f ca="1">_xll.DBRW(Server&amp;Cube1,$H$13,$H$14,$H$15,$J$1,$J$2,$H$16,$B99)</f>
        <v/>
      </c>
      <c r="K99" s="37"/>
      <c r="L99" s="54" t="str">
        <f ca="1">_xll.DBRW(Server&amp;Cube1,$H$13,$H$14,$H$15,$L$1,$L$2,$H$16,$B99)</f>
        <v/>
      </c>
      <c r="M99" s="55"/>
      <c r="N99" s="54" t="str">
        <f ca="1">_xll.DBRW(Server&amp;Cube1,$H$13,$H$14,$H$15,$P$1,N$2,$H$16,$B99)</f>
        <v>*KEY_ERR</v>
      </c>
      <c r="O99" s="57"/>
      <c r="P99" s="54" t="str">
        <f ca="1">_xll.DBRW(Server&amp;Cube1,$H$13,$P$3,$H$15,$P$1,P$2,$H$16,$B99)</f>
        <v>*KEY_ERR</v>
      </c>
      <c r="Q99" s="54" t="str">
        <f ca="1">_xll.DBRW(Server&amp;Cube1,$H$13,$P$3,$H$15,$H$17,Q$1,$H$16,$B99)</f>
        <v>*KEY_ERR</v>
      </c>
      <c r="R99" s="58" t="str">
        <f ca="1">_xll.DBRW(Server&amp;Cube1,$H$13,$P$3,$H$15,$H$17,R$1,$H$16,$B99)</f>
        <v>*KEY_ERR</v>
      </c>
      <c r="S99" s="58" t="str">
        <f ca="1">_xll.DBRW(Server&amp;Cube1,$H$13,$P$3,$H$15,$H$17,S$1,$H$16,$B99)</f>
        <v>*KEY_ERR</v>
      </c>
      <c r="T99" s="58" t="str">
        <f ca="1">_xll.DBRW(Server&amp;Cube1,$H$13,$P$3,$H$15,$H$17,T$1,$H$16,$B99)</f>
        <v>*KEY_ERR</v>
      </c>
      <c r="U99" s="58" t="str">
        <f ca="1">_xll.DBRW(Server&amp;Cube1,$H$13,$P$3,$H$15,$H$17,U$1,$H$16,$B99)</f>
        <v>*KEY_ERR</v>
      </c>
      <c r="V99" s="58" t="str">
        <f ca="1">_xll.DBRW(Server&amp;Cube1,$H$13,$P$3,$H$15,$H$17,V$1,$H$16,$B99)</f>
        <v>*KEY_ERR</v>
      </c>
      <c r="W99" s="58" t="str">
        <f ca="1">_xll.DBRW(Server&amp;Cube1,$H$13,$P$3,$H$15,$H$17,W$1,$H$16,$B99)</f>
        <v>*KEY_ERR</v>
      </c>
      <c r="X99" s="58" t="str">
        <f ca="1">_xll.DBRW(Server&amp;Cube1,$H$13,$P$3,$H$15,$H$17,X$1,$H$16,$B99)</f>
        <v>*KEY_ERR</v>
      </c>
      <c r="Y99" s="58" t="str">
        <f ca="1">_xll.DBRW(Server&amp;Cube1,$H$13,$P$3,$H$15,$H$17,Y$1,$H$16,$B99)</f>
        <v>*KEY_ERR</v>
      </c>
      <c r="Z99" s="58" t="str">
        <f ca="1">_xll.DBRW(Server&amp;Cube1,$H$13,$P$3,$H$15,$H$17,Z$1,$H$16,$B99)</f>
        <v>*KEY_ERR</v>
      </c>
      <c r="AA99" s="58" t="str">
        <f ca="1">_xll.DBRW(Server&amp;Cube1,$H$13,$P$3,$H$15,$H$17,AA$1,$H$16,$B99)</f>
        <v>*KEY_ERR</v>
      </c>
      <c r="AB99" s="59" t="str">
        <f ca="1">_xll.DBRW(Server&amp;Cube1,$H$13,$P$3,$H$15,$H$17,AB$1,$H$16,$B99)</f>
        <v>*KEY_ERR</v>
      </c>
      <c r="AC99" s="187" t="str">
        <f ca="1">_xll.DBRW(Server&amp;Cube1,$H$13,$AC$3,$H$15,$P$1,AC$2,$H$16,$B99)</f>
        <v>*KEY_ERR</v>
      </c>
      <c r="AD99" s="54" t="str">
        <f ca="1">_xll.DBRW(Server&amp;Cube1,$H$13,$AC$3,$H$15,$H$17,AD$1,$H$16,$B99)</f>
        <v>*KEY_ERR</v>
      </c>
      <c r="AE99" s="58" t="str">
        <f ca="1">_xll.DBRW(Server&amp;Cube1,$H$13,$AC$3,$H$15,$H$17,AE$1,$H$16,$B99)</f>
        <v>*KEY_ERR</v>
      </c>
      <c r="AF99" s="58" t="str">
        <f ca="1">_xll.DBRW(Server&amp;Cube1,$H$13,$AC$3,$H$15,$H$17,AF$1,$H$16,$B99)</f>
        <v>*KEY_ERR</v>
      </c>
      <c r="AG99" s="58" t="str">
        <f ca="1">_xll.DBRW(Server&amp;Cube1,$H$13,$AC$3,$H$15,$H$17,AG$1,$H$16,$B99)</f>
        <v>*KEY_ERR</v>
      </c>
      <c r="AH99" s="58" t="str">
        <f ca="1">_xll.DBRW(Server&amp;Cube1,$H$13,$AC$3,$H$15,$H$17,AH$1,$H$16,$B99)</f>
        <v>*KEY_ERR</v>
      </c>
      <c r="AI99" s="58" t="str">
        <f ca="1">_xll.DBRW(Server&amp;Cube1,$H$13,$AC$3,$H$15,$H$17,AI$1,$H$16,$B99)</f>
        <v>*KEY_ERR</v>
      </c>
      <c r="AJ99" s="58" t="str">
        <f ca="1">_xll.DBRW(Server&amp;Cube1,$H$13,$AC$3,$H$15,$H$17,AJ$1,$H$16,$B99)</f>
        <v>*KEY_ERR</v>
      </c>
      <c r="AK99" s="58" t="str">
        <f ca="1">_xll.DBRW(Server&amp;Cube1,$H$13,$AC$3,$H$15,$H$17,AK$1,$H$16,$B99)</f>
        <v>*KEY_ERR</v>
      </c>
      <c r="AL99" s="58" t="str">
        <f ca="1">_xll.DBRW(Server&amp;Cube1,$H$13,$AC$3,$H$15,$H$17,AL$1,$H$16,$B99)</f>
        <v>*KEY_ERR</v>
      </c>
      <c r="AM99" s="58" t="str">
        <f ca="1">_xll.DBRW(Server&amp;Cube1,$H$13,$AC$3,$H$15,$H$17,AM$1,$H$16,$B99)</f>
        <v>*KEY_ERR</v>
      </c>
      <c r="AN99" s="58" t="str">
        <f ca="1">_xll.DBRW(Server&amp;Cube1,$H$13,$AC$3,$H$15,$H$17,AN$1,$H$16,$B99)</f>
        <v>*KEY_ERR</v>
      </c>
      <c r="AO99" s="59" t="str">
        <f ca="1">_xll.DBRW(Server&amp;Cube1,$H$13,$AC$3,$H$15,$H$17,AO$1,$H$16,$B99)</f>
        <v>*KEY_ERR</v>
      </c>
      <c r="AP99" s="187" t="str">
        <f ca="1">_xll.DBRW(Server&amp;Cube1,$H$13,$AP$3,$H$15,$P$1,AP$2,$H$16,$B99)</f>
        <v>*KEY_ERR</v>
      </c>
      <c r="AQ99" s="54" t="str">
        <f ca="1">_xll.DBRW(Server&amp;Cube1,$H$13,$AP$3,$H$15,$H$17,AQ$1,$H$16,$B99)</f>
        <v>*KEY_ERR</v>
      </c>
      <c r="AR99" s="58" t="str">
        <f ca="1">_xll.DBRW(Server&amp;Cube1,$H$13,$AP$3,$H$15,$H$17,AR$1,$H$16,$B99)</f>
        <v>*KEY_ERR</v>
      </c>
      <c r="AS99" s="58" t="str">
        <f ca="1">_xll.DBRW(Server&amp;Cube1,$H$13,$AP$3,$H$15,$H$17,AS$1,$H$16,$B99)</f>
        <v>*KEY_ERR</v>
      </c>
      <c r="AT99" s="58" t="str">
        <f ca="1">_xll.DBRW(Server&amp;Cube1,$H$13,$AP$3,$H$15,$H$17,AT$1,$H$16,$B99)</f>
        <v>*KEY_ERR</v>
      </c>
      <c r="AU99" s="58" t="str">
        <f ca="1">_xll.DBRW(Server&amp;Cube1,$H$13,$AP$3,$H$15,$H$17,AU$1,$H$16,$B99)</f>
        <v>*KEY_ERR</v>
      </c>
      <c r="AV99" s="58" t="str">
        <f ca="1">_xll.DBRW(Server&amp;Cube1,$H$13,$AP$3,$H$15,$H$17,AV$1,$H$16,$B99)</f>
        <v>*KEY_ERR</v>
      </c>
      <c r="AW99" s="58" t="str">
        <f ca="1">_xll.DBRW(Server&amp;Cube1,$H$13,$AP$3,$H$15,$H$17,AW$1,$H$16,$B99)</f>
        <v>*KEY_ERR</v>
      </c>
      <c r="AX99" s="58" t="str">
        <f ca="1">_xll.DBRW(Server&amp;Cube1,$H$13,$AP$3,$H$15,$H$17,AX$1,$H$16,$B99)</f>
        <v>*KEY_ERR</v>
      </c>
      <c r="AY99" s="58" t="str">
        <f ca="1">_xll.DBRW(Server&amp;Cube1,$H$13,$AP$3,$H$15,$H$17,AY$1,$H$16,$B99)</f>
        <v>*KEY_ERR</v>
      </c>
      <c r="AZ99" s="58" t="str">
        <f ca="1">_xll.DBRW(Server&amp;Cube1,$H$13,$AP$3,$H$15,$H$17,AZ$1,$H$16,$B99)</f>
        <v>*KEY_ERR</v>
      </c>
      <c r="BA99" s="58" t="str">
        <f ca="1">_xll.DBRW(Server&amp;Cube1,$H$13,$AP$3,$H$15,$H$17,BA$1,$H$16,$B99)</f>
        <v>*KEY_ERR</v>
      </c>
      <c r="BB99" s="59" t="str">
        <f ca="1">_xll.DBRW(Server&amp;Cube1,$H$13,$AP$3,$H$15,$H$17,BB$1,$H$16,$B99)</f>
        <v>*KEY_ERR</v>
      </c>
      <c r="BC99" s="187" t="str">
        <f ca="1">_xll.DBRW(Server&amp;Cube1,$H$13,$BC$3,$H$15,$P$1,BC$2,$H$16,$B99)</f>
        <v>*KEY_ERR</v>
      </c>
      <c r="BD99" s="54" t="str">
        <f ca="1">_xll.DBRW(Server&amp;Cube1,$H$13,$BC$3,$H$15,$H$17,BD$1,$H$16,$B99)</f>
        <v>*KEY_ERR</v>
      </c>
      <c r="BE99" s="58" t="str">
        <f ca="1">_xll.DBRW(Server&amp;Cube1,$H$13,$BC$3,$H$15,$H$17,BE$1,$H$16,$B99)</f>
        <v>*KEY_ERR</v>
      </c>
      <c r="BF99" s="58" t="str">
        <f ca="1">_xll.DBRW(Server&amp;Cube1,$H$13,$BC$3,$H$15,$H$17,BF$1,$H$16,$B99)</f>
        <v>*KEY_ERR</v>
      </c>
      <c r="BG99" s="58" t="str">
        <f ca="1">_xll.DBRW(Server&amp;Cube1,$H$13,$BC$3,$H$15,$H$17,BG$1,$H$16,$B99)</f>
        <v>*KEY_ERR</v>
      </c>
      <c r="BH99" s="58" t="str">
        <f ca="1">_xll.DBRW(Server&amp;Cube1,$H$13,$BC$3,$H$15,$H$17,BH$1,$H$16,$B99)</f>
        <v>*KEY_ERR</v>
      </c>
      <c r="BI99" s="58" t="str">
        <f ca="1">_xll.DBRW(Server&amp;Cube1,$H$13,$BC$3,$H$15,$H$17,BI$1,$H$16,$B99)</f>
        <v>*KEY_ERR</v>
      </c>
      <c r="BJ99" s="58" t="str">
        <f ca="1">_xll.DBRW(Server&amp;Cube1,$H$13,$BC$3,$H$15,$H$17,BJ$1,$H$16,$B99)</f>
        <v>*KEY_ERR</v>
      </c>
      <c r="BK99" s="58" t="str">
        <f ca="1">_xll.DBRW(Server&amp;Cube1,$H$13,$BC$3,$H$15,$H$17,BK$1,$H$16,$B99)</f>
        <v>*KEY_ERR</v>
      </c>
      <c r="BL99" s="58" t="str">
        <f ca="1">_xll.DBRW(Server&amp;Cube1,$H$13,$BC$3,$H$15,$H$17,BL$1,$H$16,$B99)</f>
        <v>*KEY_ERR</v>
      </c>
      <c r="BM99" s="58" t="str">
        <f ca="1">_xll.DBRW(Server&amp;Cube1,$H$13,$BC$3,$H$15,$H$17,BM$1,$H$16,$B99)</f>
        <v>*KEY_ERR</v>
      </c>
      <c r="BN99" s="58" t="str">
        <f ca="1">_xll.DBRW(Server&amp;Cube1,$H$13,$BC$3,$H$15,$H$17,BN$1,$H$16,$B99)</f>
        <v>*KEY_ERR</v>
      </c>
      <c r="BO99" s="59" t="str">
        <f ca="1">_xll.DBRW(Server&amp;Cube1,$H$13,$BC$3,$H$15,$H$17,BO$1,$H$16,$B99)</f>
        <v>*KEY_ERR</v>
      </c>
      <c r="BP99" s="31"/>
    </row>
    <row r="100" spans="1:68" ht="21" customHeight="1" x14ac:dyDescent="0.25">
      <c r="A100"/>
      <c r="B100" s="13" t="s">
        <v>85</v>
      </c>
      <c r="C100" s="13"/>
      <c r="D100" s="22"/>
      <c r="E100" s="171"/>
      <c r="F100" s="107"/>
      <c r="G100" s="305" t="s">
        <v>78</v>
      </c>
      <c r="H100" s="305"/>
      <c r="I100" s="37"/>
      <c r="J100" s="54" t="str">
        <f ca="1">_xll.DBRW(Server&amp;Cube1,$H$13,$H$14,$H$15,$J$1,$J$2,$H$16,$B100)</f>
        <v/>
      </c>
      <c r="K100" s="37"/>
      <c r="L100" s="54" t="str">
        <f ca="1">_xll.DBRW(Server&amp;Cube1,$H$13,$H$14,$H$15,$L$1,$L$2,$H$16,$B100)</f>
        <v/>
      </c>
      <c r="M100" s="55"/>
      <c r="N100" s="54" t="str">
        <f ca="1">_xll.DBRW(Server&amp;Cube1,$H$13,$H$14,$H$15,$P$1,N$2,$H$16,$B100)</f>
        <v>*KEY_ERR</v>
      </c>
      <c r="O100" s="57"/>
      <c r="P100" s="54" t="str">
        <f ca="1">_xll.DBRW(Server&amp;Cube1,$H$13,$P$3,$H$15,$P$1,P$2,$H$16,$B100)</f>
        <v>*KEY_ERR</v>
      </c>
      <c r="Q100" s="54" t="str">
        <f ca="1">_xll.DBRW(Server&amp;Cube1,$H$13,$P$3,$H$15,$H$17,Q$1,$H$16,$B100)</f>
        <v>*KEY_ERR</v>
      </c>
      <c r="R100" s="58" t="str">
        <f ca="1">_xll.DBRW(Server&amp;Cube1,$H$13,$P$3,$H$15,$H$17,R$1,$H$16,$B100)</f>
        <v>*KEY_ERR</v>
      </c>
      <c r="S100" s="58" t="str">
        <f ca="1">_xll.DBRW(Server&amp;Cube1,$H$13,$P$3,$H$15,$H$17,S$1,$H$16,$B100)</f>
        <v>*KEY_ERR</v>
      </c>
      <c r="T100" s="58" t="str">
        <f ca="1">_xll.DBRW(Server&amp;Cube1,$H$13,$P$3,$H$15,$H$17,T$1,$H$16,$B100)</f>
        <v>*KEY_ERR</v>
      </c>
      <c r="U100" s="58" t="str">
        <f ca="1">_xll.DBRW(Server&amp;Cube1,$H$13,$P$3,$H$15,$H$17,U$1,$H$16,$B100)</f>
        <v>*KEY_ERR</v>
      </c>
      <c r="V100" s="58" t="str">
        <f ca="1">_xll.DBRW(Server&amp;Cube1,$H$13,$P$3,$H$15,$H$17,V$1,$H$16,$B100)</f>
        <v>*KEY_ERR</v>
      </c>
      <c r="W100" s="58" t="str">
        <f ca="1">_xll.DBRW(Server&amp;Cube1,$H$13,$P$3,$H$15,$H$17,W$1,$H$16,$B100)</f>
        <v>*KEY_ERR</v>
      </c>
      <c r="X100" s="58" t="str">
        <f ca="1">_xll.DBRW(Server&amp;Cube1,$H$13,$P$3,$H$15,$H$17,X$1,$H$16,$B100)</f>
        <v>*KEY_ERR</v>
      </c>
      <c r="Y100" s="58" t="str">
        <f ca="1">_xll.DBRW(Server&amp;Cube1,$H$13,$P$3,$H$15,$H$17,Y$1,$H$16,$B100)</f>
        <v>*KEY_ERR</v>
      </c>
      <c r="Z100" s="58" t="str">
        <f ca="1">_xll.DBRW(Server&amp;Cube1,$H$13,$P$3,$H$15,$H$17,Z$1,$H$16,$B100)</f>
        <v>*KEY_ERR</v>
      </c>
      <c r="AA100" s="58" t="str">
        <f ca="1">_xll.DBRW(Server&amp;Cube1,$H$13,$P$3,$H$15,$H$17,AA$1,$H$16,$B100)</f>
        <v>*KEY_ERR</v>
      </c>
      <c r="AB100" s="59" t="str">
        <f ca="1">_xll.DBRW(Server&amp;Cube1,$H$13,$P$3,$H$15,$H$17,AB$1,$H$16,$B100)</f>
        <v>*KEY_ERR</v>
      </c>
      <c r="AC100" s="187" t="str">
        <f ca="1">_xll.DBRW(Server&amp;Cube1,$H$13,$AC$3,$H$15,$P$1,AC$2,$H$16,$B100)</f>
        <v>*KEY_ERR</v>
      </c>
      <c r="AD100" s="54" t="str">
        <f ca="1">_xll.DBRW(Server&amp;Cube1,$H$13,$AC$3,$H$15,$H$17,AD$1,$H$16,$B100)</f>
        <v>*KEY_ERR</v>
      </c>
      <c r="AE100" s="58" t="str">
        <f ca="1">_xll.DBRW(Server&amp;Cube1,$H$13,$AC$3,$H$15,$H$17,AE$1,$H$16,$B100)</f>
        <v>*KEY_ERR</v>
      </c>
      <c r="AF100" s="58" t="str">
        <f ca="1">_xll.DBRW(Server&amp;Cube1,$H$13,$AC$3,$H$15,$H$17,AF$1,$H$16,$B100)</f>
        <v>*KEY_ERR</v>
      </c>
      <c r="AG100" s="58" t="str">
        <f ca="1">_xll.DBRW(Server&amp;Cube1,$H$13,$AC$3,$H$15,$H$17,AG$1,$H$16,$B100)</f>
        <v>*KEY_ERR</v>
      </c>
      <c r="AH100" s="58" t="str">
        <f ca="1">_xll.DBRW(Server&amp;Cube1,$H$13,$AC$3,$H$15,$H$17,AH$1,$H$16,$B100)</f>
        <v>*KEY_ERR</v>
      </c>
      <c r="AI100" s="58" t="str">
        <f ca="1">_xll.DBRW(Server&amp;Cube1,$H$13,$AC$3,$H$15,$H$17,AI$1,$H$16,$B100)</f>
        <v>*KEY_ERR</v>
      </c>
      <c r="AJ100" s="58" t="str">
        <f ca="1">_xll.DBRW(Server&amp;Cube1,$H$13,$AC$3,$H$15,$H$17,AJ$1,$H$16,$B100)</f>
        <v>*KEY_ERR</v>
      </c>
      <c r="AK100" s="58" t="str">
        <f ca="1">_xll.DBRW(Server&amp;Cube1,$H$13,$AC$3,$H$15,$H$17,AK$1,$H$16,$B100)</f>
        <v>*KEY_ERR</v>
      </c>
      <c r="AL100" s="58" t="str">
        <f ca="1">_xll.DBRW(Server&amp;Cube1,$H$13,$AC$3,$H$15,$H$17,AL$1,$H$16,$B100)</f>
        <v>*KEY_ERR</v>
      </c>
      <c r="AM100" s="58" t="str">
        <f ca="1">_xll.DBRW(Server&amp;Cube1,$H$13,$AC$3,$H$15,$H$17,AM$1,$H$16,$B100)</f>
        <v>*KEY_ERR</v>
      </c>
      <c r="AN100" s="58" t="str">
        <f ca="1">_xll.DBRW(Server&amp;Cube1,$H$13,$AC$3,$H$15,$H$17,AN$1,$H$16,$B100)</f>
        <v>*KEY_ERR</v>
      </c>
      <c r="AO100" s="59" t="str">
        <f ca="1">_xll.DBRW(Server&amp;Cube1,$H$13,$AC$3,$H$15,$H$17,AO$1,$H$16,$B100)</f>
        <v>*KEY_ERR</v>
      </c>
      <c r="AP100" s="187" t="str">
        <f ca="1">_xll.DBRW(Server&amp;Cube1,$H$13,$AP$3,$H$15,$P$1,AP$2,$H$16,$B100)</f>
        <v>*KEY_ERR</v>
      </c>
      <c r="AQ100" s="54" t="str">
        <f ca="1">_xll.DBRW(Server&amp;Cube1,$H$13,$AP$3,$H$15,$H$17,AQ$1,$H$16,$B100)</f>
        <v>*KEY_ERR</v>
      </c>
      <c r="AR100" s="58" t="str">
        <f ca="1">_xll.DBRW(Server&amp;Cube1,$H$13,$AP$3,$H$15,$H$17,AR$1,$H$16,$B100)</f>
        <v>*KEY_ERR</v>
      </c>
      <c r="AS100" s="58" t="str">
        <f ca="1">_xll.DBRW(Server&amp;Cube1,$H$13,$AP$3,$H$15,$H$17,AS$1,$H$16,$B100)</f>
        <v>*KEY_ERR</v>
      </c>
      <c r="AT100" s="58" t="str">
        <f ca="1">_xll.DBRW(Server&amp;Cube1,$H$13,$AP$3,$H$15,$H$17,AT$1,$H$16,$B100)</f>
        <v>*KEY_ERR</v>
      </c>
      <c r="AU100" s="58" t="str">
        <f ca="1">_xll.DBRW(Server&amp;Cube1,$H$13,$AP$3,$H$15,$H$17,AU$1,$H$16,$B100)</f>
        <v>*KEY_ERR</v>
      </c>
      <c r="AV100" s="58" t="str">
        <f ca="1">_xll.DBRW(Server&amp;Cube1,$H$13,$AP$3,$H$15,$H$17,AV$1,$H$16,$B100)</f>
        <v>*KEY_ERR</v>
      </c>
      <c r="AW100" s="58" t="str">
        <f ca="1">_xll.DBRW(Server&amp;Cube1,$H$13,$AP$3,$H$15,$H$17,AW$1,$H$16,$B100)</f>
        <v>*KEY_ERR</v>
      </c>
      <c r="AX100" s="58" t="str">
        <f ca="1">_xll.DBRW(Server&amp;Cube1,$H$13,$AP$3,$H$15,$H$17,AX$1,$H$16,$B100)</f>
        <v>*KEY_ERR</v>
      </c>
      <c r="AY100" s="58" t="str">
        <f ca="1">_xll.DBRW(Server&amp;Cube1,$H$13,$AP$3,$H$15,$H$17,AY$1,$H$16,$B100)</f>
        <v>*KEY_ERR</v>
      </c>
      <c r="AZ100" s="58" t="str">
        <f ca="1">_xll.DBRW(Server&amp;Cube1,$H$13,$AP$3,$H$15,$H$17,AZ$1,$H$16,$B100)</f>
        <v>*KEY_ERR</v>
      </c>
      <c r="BA100" s="58" t="str">
        <f ca="1">_xll.DBRW(Server&amp;Cube1,$H$13,$AP$3,$H$15,$H$17,BA$1,$H$16,$B100)</f>
        <v>*KEY_ERR</v>
      </c>
      <c r="BB100" s="59" t="str">
        <f ca="1">_xll.DBRW(Server&amp;Cube1,$H$13,$AP$3,$H$15,$H$17,BB$1,$H$16,$B100)</f>
        <v>*KEY_ERR</v>
      </c>
      <c r="BC100" s="187" t="str">
        <f ca="1">_xll.DBRW(Server&amp;Cube1,$H$13,$BC$3,$H$15,$P$1,BC$2,$H$16,$B100)</f>
        <v>*KEY_ERR</v>
      </c>
      <c r="BD100" s="54" t="str">
        <f ca="1">_xll.DBRW(Server&amp;Cube1,$H$13,$BC$3,$H$15,$H$17,BD$1,$H$16,$B100)</f>
        <v>*KEY_ERR</v>
      </c>
      <c r="BE100" s="58" t="str">
        <f ca="1">_xll.DBRW(Server&amp;Cube1,$H$13,$BC$3,$H$15,$H$17,BE$1,$H$16,$B100)</f>
        <v>*KEY_ERR</v>
      </c>
      <c r="BF100" s="58" t="str">
        <f ca="1">_xll.DBRW(Server&amp;Cube1,$H$13,$BC$3,$H$15,$H$17,BF$1,$H$16,$B100)</f>
        <v>*KEY_ERR</v>
      </c>
      <c r="BG100" s="58" t="str">
        <f ca="1">_xll.DBRW(Server&amp;Cube1,$H$13,$BC$3,$H$15,$H$17,BG$1,$H$16,$B100)</f>
        <v>*KEY_ERR</v>
      </c>
      <c r="BH100" s="58" t="str">
        <f ca="1">_xll.DBRW(Server&amp;Cube1,$H$13,$BC$3,$H$15,$H$17,BH$1,$H$16,$B100)</f>
        <v>*KEY_ERR</v>
      </c>
      <c r="BI100" s="58" t="str">
        <f ca="1">_xll.DBRW(Server&amp;Cube1,$H$13,$BC$3,$H$15,$H$17,BI$1,$H$16,$B100)</f>
        <v>*KEY_ERR</v>
      </c>
      <c r="BJ100" s="58" t="str">
        <f ca="1">_xll.DBRW(Server&amp;Cube1,$H$13,$BC$3,$H$15,$H$17,BJ$1,$H$16,$B100)</f>
        <v>*KEY_ERR</v>
      </c>
      <c r="BK100" s="58" t="str">
        <f ca="1">_xll.DBRW(Server&amp;Cube1,$H$13,$BC$3,$H$15,$H$17,BK$1,$H$16,$B100)</f>
        <v>*KEY_ERR</v>
      </c>
      <c r="BL100" s="58" t="str">
        <f ca="1">_xll.DBRW(Server&amp;Cube1,$H$13,$BC$3,$H$15,$H$17,BL$1,$H$16,$B100)</f>
        <v>*KEY_ERR</v>
      </c>
      <c r="BM100" s="58" t="str">
        <f ca="1">_xll.DBRW(Server&amp;Cube1,$H$13,$BC$3,$H$15,$H$17,BM$1,$H$16,$B100)</f>
        <v>*KEY_ERR</v>
      </c>
      <c r="BN100" s="58" t="str">
        <f ca="1">_xll.DBRW(Server&amp;Cube1,$H$13,$BC$3,$H$15,$H$17,BN$1,$H$16,$B100)</f>
        <v>*KEY_ERR</v>
      </c>
      <c r="BO100" s="59" t="str">
        <f ca="1">_xll.DBRW(Server&amp;Cube1,$H$13,$BC$3,$H$15,$H$17,BO$1,$H$16,$B100)</f>
        <v>*KEY_ERR</v>
      </c>
      <c r="BP100" s="31"/>
    </row>
    <row r="101" spans="1:68" ht="6.75" customHeight="1" x14ac:dyDescent="0.25">
      <c r="A101"/>
      <c r="B101" s="11"/>
      <c r="C101" s="11"/>
      <c r="D101" s="20"/>
      <c r="E101" s="170"/>
      <c r="F101" s="106"/>
      <c r="G101" s="43"/>
      <c r="H101" s="43"/>
      <c r="I101" s="38"/>
      <c r="J101" s="62"/>
      <c r="K101" s="38"/>
      <c r="L101" s="62"/>
      <c r="M101" s="63"/>
      <c r="N101" s="62"/>
      <c r="O101" s="64"/>
      <c r="P101" s="62"/>
      <c r="Q101" s="62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6"/>
      <c r="AC101" s="186"/>
      <c r="AD101" s="62"/>
      <c r="AE101" s="65"/>
      <c r="AF101" s="65"/>
      <c r="AG101" s="65"/>
      <c r="AH101" s="65"/>
      <c r="AI101" s="65"/>
      <c r="AJ101" s="65"/>
      <c r="AK101" s="65"/>
      <c r="AL101" s="65"/>
      <c r="AM101" s="65"/>
      <c r="AN101" s="65"/>
      <c r="AO101" s="66"/>
      <c r="AP101" s="186"/>
      <c r="AQ101" s="62"/>
      <c r="AR101" s="65"/>
      <c r="AS101" s="65"/>
      <c r="AT101" s="65"/>
      <c r="AU101" s="65"/>
      <c r="AV101" s="65"/>
      <c r="AW101" s="65"/>
      <c r="AX101" s="65"/>
      <c r="AY101" s="65"/>
      <c r="AZ101" s="65"/>
      <c r="BA101" s="65"/>
      <c r="BB101" s="66"/>
      <c r="BC101" s="186"/>
      <c r="BD101" s="62"/>
      <c r="BE101" s="65"/>
      <c r="BF101" s="65"/>
      <c r="BG101" s="65"/>
      <c r="BH101" s="65"/>
      <c r="BI101" s="65"/>
      <c r="BJ101" s="65"/>
      <c r="BK101" s="65"/>
      <c r="BL101" s="65"/>
      <c r="BM101" s="65"/>
      <c r="BN101" s="65"/>
      <c r="BO101" s="66"/>
      <c r="BP101" s="31"/>
    </row>
    <row r="102" spans="1:68" ht="28.5" customHeight="1" x14ac:dyDescent="0.25">
      <c r="A102"/>
      <c r="B102" s="12" t="s">
        <v>33</v>
      </c>
      <c r="C102" s="12"/>
      <c r="D102" s="21"/>
      <c r="E102" s="169"/>
      <c r="F102" s="322" t="str">
        <f ca="1">_xll.DBRA(Server&amp;$B$22,$B102,"French")</f>
        <v>Coûts de structure</v>
      </c>
      <c r="G102" s="323"/>
      <c r="H102" s="324"/>
      <c r="I102" s="39"/>
      <c r="J102" s="51" t="str">
        <f ca="1">_xll.DBRW(Server&amp;Cube1,$H$13,$H$14,$H$15,$J$1,$J$2,$H$16,$B102)</f>
        <v/>
      </c>
      <c r="K102" s="39"/>
      <c r="L102" s="51" t="str">
        <f ca="1">_xll.DBRW(Server&amp;Cube1,$H$13,$H$14,$H$15,$L$1,$L$2,$H$16,$B102)</f>
        <v/>
      </c>
      <c r="M102" s="60"/>
      <c r="N102" s="51" t="str">
        <f ca="1">_xll.DBRW(Server&amp;Cube1,$H$13,$H$14,$H$15,$P$1,N$2,$H$16,$B102)</f>
        <v>*KEY_ERR</v>
      </c>
      <c r="O102" s="61"/>
      <c r="P102" s="51" t="str">
        <f ca="1">_xll.DBRW(Server&amp;Cube1,$H$13,$P$3,$H$15,$P$1,P$2,$H$16,$B102)</f>
        <v>*KEY_ERR</v>
      </c>
      <c r="Q102" s="49" t="str">
        <f ca="1">_xll.DBRW(Server&amp;Cube1,$H$13,$P$3,$H$15,$H$17,Q$1,$H$16,$B102)</f>
        <v>*KEY_ERR</v>
      </c>
      <c r="R102" s="50" t="str">
        <f ca="1">_xll.DBRW(Server&amp;Cube1,$H$13,$P$3,$H$15,$H$17,R$1,$H$16,$B102)</f>
        <v>*KEY_ERR</v>
      </c>
      <c r="S102" s="50" t="str">
        <f ca="1">_xll.DBRW(Server&amp;Cube1,$H$13,$P$3,$H$15,$H$17,S$1,$H$16,$B102)</f>
        <v>*KEY_ERR</v>
      </c>
      <c r="T102" s="50" t="str">
        <f ca="1">_xll.DBRW(Server&amp;Cube1,$H$13,$P$3,$H$15,$H$17,T$1,$H$16,$B102)</f>
        <v>*KEY_ERR</v>
      </c>
      <c r="U102" s="50" t="str">
        <f ca="1">_xll.DBRW(Server&amp;Cube1,$H$13,$P$3,$H$15,$H$17,U$1,$H$16,$B102)</f>
        <v>*KEY_ERR</v>
      </c>
      <c r="V102" s="50" t="str">
        <f ca="1">_xll.DBRW(Server&amp;Cube1,$H$13,$P$3,$H$15,$H$17,V$1,$H$16,$B102)</f>
        <v>*KEY_ERR</v>
      </c>
      <c r="W102" s="50" t="str">
        <f ca="1">_xll.DBRW(Server&amp;Cube1,$H$13,$P$3,$H$15,$H$17,W$1,$H$16,$B102)</f>
        <v>*KEY_ERR</v>
      </c>
      <c r="X102" s="50" t="str">
        <f ca="1">_xll.DBRW(Server&amp;Cube1,$H$13,$P$3,$H$15,$H$17,X$1,$H$16,$B102)</f>
        <v>*KEY_ERR</v>
      </c>
      <c r="Y102" s="50" t="str">
        <f ca="1">_xll.DBRW(Server&amp;Cube1,$H$13,$P$3,$H$15,$H$17,Y$1,$H$16,$B102)</f>
        <v>*KEY_ERR</v>
      </c>
      <c r="Z102" s="50" t="str">
        <f ca="1">_xll.DBRW(Server&amp;Cube1,$H$13,$P$3,$H$15,$H$17,Z$1,$H$16,$B102)</f>
        <v>*KEY_ERR</v>
      </c>
      <c r="AA102" s="50" t="str">
        <f ca="1">_xll.DBRW(Server&amp;Cube1,$H$13,$P$3,$H$15,$H$17,AA$1,$H$16,$B102)</f>
        <v>*KEY_ERR</v>
      </c>
      <c r="AB102" s="183" t="str">
        <f ca="1">_xll.DBRW(Server&amp;Cube1,$H$13,$P$3,$H$15,$H$17,AB$1,$H$16,$B102)</f>
        <v>*KEY_ERR</v>
      </c>
      <c r="AC102" s="188" t="str">
        <f ca="1">_xll.DBRW(Server&amp;Cube1,$H$13,$AC$3,$H$15,$P$1,AC$2,$H$16,$B102)</f>
        <v>*KEY_ERR</v>
      </c>
      <c r="AD102" s="49" t="str">
        <f ca="1">_xll.DBRW(Server&amp;Cube1,$H$13,$AC$3,$H$15,$H$17,AD$1,$H$16,$B102)</f>
        <v>*KEY_ERR</v>
      </c>
      <c r="AE102" s="50" t="str">
        <f ca="1">_xll.DBRW(Server&amp;Cube1,$H$13,$AC$3,$H$15,$H$17,AE$1,$H$16,$B102)</f>
        <v>*KEY_ERR</v>
      </c>
      <c r="AF102" s="50" t="str">
        <f ca="1">_xll.DBRW(Server&amp;Cube1,$H$13,$AC$3,$H$15,$H$17,AF$1,$H$16,$B102)</f>
        <v>*KEY_ERR</v>
      </c>
      <c r="AG102" s="50" t="str">
        <f ca="1">_xll.DBRW(Server&amp;Cube1,$H$13,$AC$3,$H$15,$H$17,AG$1,$H$16,$B102)</f>
        <v>*KEY_ERR</v>
      </c>
      <c r="AH102" s="50" t="str">
        <f ca="1">_xll.DBRW(Server&amp;Cube1,$H$13,$AC$3,$H$15,$H$17,AH$1,$H$16,$B102)</f>
        <v>*KEY_ERR</v>
      </c>
      <c r="AI102" s="50" t="str">
        <f ca="1">_xll.DBRW(Server&amp;Cube1,$H$13,$AC$3,$H$15,$H$17,AI$1,$H$16,$B102)</f>
        <v>*KEY_ERR</v>
      </c>
      <c r="AJ102" s="50" t="str">
        <f ca="1">_xll.DBRW(Server&amp;Cube1,$H$13,$AC$3,$H$15,$H$17,AJ$1,$H$16,$B102)</f>
        <v>*KEY_ERR</v>
      </c>
      <c r="AK102" s="50" t="str">
        <f ca="1">_xll.DBRW(Server&amp;Cube1,$H$13,$AC$3,$H$15,$H$17,AK$1,$H$16,$B102)</f>
        <v>*KEY_ERR</v>
      </c>
      <c r="AL102" s="50" t="str">
        <f ca="1">_xll.DBRW(Server&amp;Cube1,$H$13,$AC$3,$H$15,$H$17,AL$1,$H$16,$B102)</f>
        <v>*KEY_ERR</v>
      </c>
      <c r="AM102" s="50" t="str">
        <f ca="1">_xll.DBRW(Server&amp;Cube1,$H$13,$AC$3,$H$15,$H$17,AM$1,$H$16,$B102)</f>
        <v>*KEY_ERR</v>
      </c>
      <c r="AN102" s="50" t="str">
        <f ca="1">_xll.DBRW(Server&amp;Cube1,$H$13,$AC$3,$H$15,$H$17,AN$1,$H$16,$B102)</f>
        <v>*KEY_ERR</v>
      </c>
      <c r="AO102" s="183" t="str">
        <f ca="1">_xll.DBRW(Server&amp;Cube1,$H$13,$AC$3,$H$15,$H$17,AO$1,$H$16,$B102)</f>
        <v>*KEY_ERR</v>
      </c>
      <c r="AP102" s="188" t="str">
        <f ca="1">_xll.DBRW(Server&amp;Cube1,$H$13,$AP$3,$H$15,$P$1,AP$2,$H$16,$B102)</f>
        <v>*KEY_ERR</v>
      </c>
      <c r="AQ102" s="49" t="str">
        <f ca="1">_xll.DBRW(Server&amp;Cube1,$H$13,$AP$3,$H$15,$H$17,AQ$1,$H$16,$B102)</f>
        <v>*KEY_ERR</v>
      </c>
      <c r="AR102" s="50" t="str">
        <f ca="1">_xll.DBRW(Server&amp;Cube1,$H$13,$AP$3,$H$15,$H$17,AR$1,$H$16,$B102)</f>
        <v>*KEY_ERR</v>
      </c>
      <c r="AS102" s="50" t="str">
        <f ca="1">_xll.DBRW(Server&amp;Cube1,$H$13,$AP$3,$H$15,$H$17,AS$1,$H$16,$B102)</f>
        <v>*KEY_ERR</v>
      </c>
      <c r="AT102" s="50" t="str">
        <f ca="1">_xll.DBRW(Server&amp;Cube1,$H$13,$AP$3,$H$15,$H$17,AT$1,$H$16,$B102)</f>
        <v>*KEY_ERR</v>
      </c>
      <c r="AU102" s="50" t="str">
        <f ca="1">_xll.DBRW(Server&amp;Cube1,$H$13,$AP$3,$H$15,$H$17,AU$1,$H$16,$B102)</f>
        <v>*KEY_ERR</v>
      </c>
      <c r="AV102" s="50" t="str">
        <f ca="1">_xll.DBRW(Server&amp;Cube1,$H$13,$AP$3,$H$15,$H$17,AV$1,$H$16,$B102)</f>
        <v>*KEY_ERR</v>
      </c>
      <c r="AW102" s="50" t="str">
        <f ca="1">_xll.DBRW(Server&amp;Cube1,$H$13,$AP$3,$H$15,$H$17,AW$1,$H$16,$B102)</f>
        <v>*KEY_ERR</v>
      </c>
      <c r="AX102" s="50" t="str">
        <f ca="1">_xll.DBRW(Server&amp;Cube1,$H$13,$AP$3,$H$15,$H$17,AX$1,$H$16,$B102)</f>
        <v>*KEY_ERR</v>
      </c>
      <c r="AY102" s="50" t="str">
        <f ca="1">_xll.DBRW(Server&amp;Cube1,$H$13,$AP$3,$H$15,$H$17,AY$1,$H$16,$B102)</f>
        <v>*KEY_ERR</v>
      </c>
      <c r="AZ102" s="50" t="str">
        <f ca="1">_xll.DBRW(Server&amp;Cube1,$H$13,$AP$3,$H$15,$H$17,AZ$1,$H$16,$B102)</f>
        <v>*KEY_ERR</v>
      </c>
      <c r="BA102" s="50" t="str">
        <f ca="1">_xll.DBRW(Server&amp;Cube1,$H$13,$AP$3,$H$15,$H$17,BA$1,$H$16,$B102)</f>
        <v>*KEY_ERR</v>
      </c>
      <c r="BB102" s="183" t="str">
        <f ca="1">_xll.DBRW(Server&amp;Cube1,$H$13,$AP$3,$H$15,$H$17,BB$1,$H$16,$B102)</f>
        <v>*KEY_ERR</v>
      </c>
      <c r="BC102" s="188" t="str">
        <f ca="1">_xll.DBRW(Server&amp;Cube1,$H$13,$BC$3,$H$15,$P$1,BC$2,$H$16,$B102)</f>
        <v>*KEY_ERR</v>
      </c>
      <c r="BD102" s="49" t="str">
        <f ca="1">_xll.DBRW(Server&amp;Cube1,$H$13,$BC$3,$H$15,$H$17,BD$1,$H$16,$B102)</f>
        <v>*KEY_ERR</v>
      </c>
      <c r="BE102" s="50" t="str">
        <f ca="1">_xll.DBRW(Server&amp;Cube1,$H$13,$BC$3,$H$15,$H$17,BE$1,$H$16,$B102)</f>
        <v>*KEY_ERR</v>
      </c>
      <c r="BF102" s="50" t="str">
        <f ca="1">_xll.DBRW(Server&amp;Cube1,$H$13,$BC$3,$H$15,$H$17,BF$1,$H$16,$B102)</f>
        <v>*KEY_ERR</v>
      </c>
      <c r="BG102" s="50" t="str">
        <f ca="1">_xll.DBRW(Server&amp;Cube1,$H$13,$BC$3,$H$15,$H$17,BG$1,$H$16,$B102)</f>
        <v>*KEY_ERR</v>
      </c>
      <c r="BH102" s="50" t="str">
        <f ca="1">_xll.DBRW(Server&amp;Cube1,$H$13,$BC$3,$H$15,$H$17,BH$1,$H$16,$B102)</f>
        <v>*KEY_ERR</v>
      </c>
      <c r="BI102" s="50" t="str">
        <f ca="1">_xll.DBRW(Server&amp;Cube1,$H$13,$BC$3,$H$15,$H$17,BI$1,$H$16,$B102)</f>
        <v>*KEY_ERR</v>
      </c>
      <c r="BJ102" s="50" t="str">
        <f ca="1">_xll.DBRW(Server&amp;Cube1,$H$13,$BC$3,$H$15,$H$17,BJ$1,$H$16,$B102)</f>
        <v>*KEY_ERR</v>
      </c>
      <c r="BK102" s="50" t="str">
        <f ca="1">_xll.DBRW(Server&amp;Cube1,$H$13,$BC$3,$H$15,$H$17,BK$1,$H$16,$B102)</f>
        <v>*KEY_ERR</v>
      </c>
      <c r="BL102" s="50" t="str">
        <f ca="1">_xll.DBRW(Server&amp;Cube1,$H$13,$BC$3,$H$15,$H$17,BL$1,$H$16,$B102)</f>
        <v>*KEY_ERR</v>
      </c>
      <c r="BM102" s="50" t="str">
        <f ca="1">_xll.DBRW(Server&amp;Cube1,$H$13,$BC$3,$H$15,$H$17,BM$1,$H$16,$B102)</f>
        <v>*KEY_ERR</v>
      </c>
      <c r="BN102" s="50" t="str">
        <f ca="1">_xll.DBRW(Server&amp;Cube1,$H$13,$BC$3,$H$15,$H$17,BN$1,$H$16,$B102)</f>
        <v>*KEY_ERR</v>
      </c>
      <c r="BO102" s="53" t="str">
        <f ca="1">_xll.DBRW(Server&amp;Cube1,$H$13,$BC$3,$H$15,$H$17,BO$1,$H$16,$B102)</f>
        <v>*KEY_ERR</v>
      </c>
      <c r="BP102" s="31"/>
    </row>
    <row r="103" spans="1:68" ht="3" customHeight="1" x14ac:dyDescent="0.25">
      <c r="A103"/>
      <c r="B103" s="11"/>
      <c r="C103" s="11"/>
      <c r="D103" s="20"/>
      <c r="E103" s="170"/>
      <c r="F103" s="106"/>
      <c r="G103" s="43"/>
      <c r="H103" s="43"/>
      <c r="I103" s="38"/>
      <c r="J103" s="62"/>
      <c r="K103" s="38"/>
      <c r="L103" s="62"/>
      <c r="M103" s="63"/>
      <c r="N103" s="64"/>
      <c r="O103" s="64"/>
      <c r="P103" s="64"/>
      <c r="Q103" s="62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6"/>
      <c r="AC103" s="64"/>
      <c r="AD103" s="62"/>
      <c r="AE103" s="65"/>
      <c r="AF103" s="65"/>
      <c r="AG103" s="65"/>
      <c r="AH103" s="65"/>
      <c r="AI103" s="65"/>
      <c r="AJ103" s="65"/>
      <c r="AK103" s="65"/>
      <c r="AL103" s="65"/>
      <c r="AM103" s="65"/>
      <c r="AN103" s="65"/>
      <c r="AO103" s="66"/>
      <c r="AP103" s="64"/>
      <c r="AQ103" s="62"/>
      <c r="AR103" s="65"/>
      <c r="AS103" s="65"/>
      <c r="AT103" s="65"/>
      <c r="AU103" s="65"/>
      <c r="AV103" s="65"/>
      <c r="AW103" s="65"/>
      <c r="AX103" s="65"/>
      <c r="AY103" s="65"/>
      <c r="AZ103" s="65"/>
      <c r="BA103" s="65"/>
      <c r="BB103" s="66"/>
      <c r="BC103" s="64"/>
      <c r="BD103" s="62"/>
      <c r="BE103" s="65"/>
      <c r="BF103" s="65"/>
      <c r="BG103" s="65"/>
      <c r="BH103" s="65"/>
      <c r="BI103" s="65"/>
      <c r="BJ103" s="65"/>
      <c r="BK103" s="65"/>
      <c r="BL103" s="65"/>
      <c r="BM103" s="65"/>
      <c r="BN103" s="65"/>
      <c r="BO103" s="66"/>
      <c r="BP103" s="31"/>
    </row>
    <row r="104" spans="1:68" ht="15" customHeight="1" x14ac:dyDescent="0.25">
      <c r="A104"/>
      <c r="B104" s="11"/>
      <c r="C104" s="11"/>
      <c r="D104" s="20"/>
      <c r="E104" s="170"/>
      <c r="F104" s="106"/>
      <c r="G104" s="80"/>
      <c r="H104" s="80"/>
      <c r="I104" s="82"/>
      <c r="J104" s="100"/>
      <c r="K104" s="82"/>
      <c r="L104" s="100"/>
      <c r="M104" s="124"/>
      <c r="N104" s="100"/>
      <c r="O104" s="100"/>
      <c r="P104" s="100"/>
      <c r="Q104" s="101"/>
      <c r="R104" s="102"/>
      <c r="S104" s="102"/>
      <c r="T104" s="102"/>
      <c r="U104" s="102"/>
      <c r="V104" s="102"/>
      <c r="W104" s="102"/>
      <c r="X104" s="102"/>
      <c r="Y104" s="102"/>
      <c r="Z104" s="102"/>
      <c r="AA104" s="102"/>
      <c r="AB104" s="103"/>
      <c r="AC104" s="100"/>
      <c r="AD104" s="101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3"/>
      <c r="AP104" s="100"/>
      <c r="AQ104" s="101"/>
      <c r="AR104" s="102"/>
      <c r="AS104" s="102"/>
      <c r="AT104" s="102"/>
      <c r="AU104" s="102"/>
      <c r="AV104" s="102"/>
      <c r="AW104" s="102"/>
      <c r="AX104" s="102"/>
      <c r="AY104" s="102"/>
      <c r="AZ104" s="102"/>
      <c r="BA104" s="102"/>
      <c r="BB104" s="103"/>
      <c r="BC104" s="100"/>
      <c r="BD104" s="101"/>
      <c r="BE104" s="102"/>
      <c r="BF104" s="102"/>
      <c r="BG104" s="102"/>
      <c r="BH104" s="102"/>
      <c r="BI104" s="102"/>
      <c r="BJ104" s="102"/>
      <c r="BK104" s="102"/>
      <c r="BL104" s="102"/>
      <c r="BM104" s="102"/>
      <c r="BN104" s="102"/>
      <c r="BO104" s="103"/>
      <c r="BP104" s="31"/>
    </row>
    <row r="105" spans="1:68" ht="5.25" customHeight="1" x14ac:dyDescent="0.25">
      <c r="A105"/>
      <c r="B105" s="11"/>
      <c r="C105" s="11"/>
      <c r="D105" s="20"/>
      <c r="E105" s="170"/>
      <c r="F105" s="332"/>
      <c r="G105" s="333"/>
      <c r="H105" s="333"/>
      <c r="I105" s="333"/>
      <c r="J105" s="333"/>
      <c r="K105" s="333"/>
      <c r="L105" s="333"/>
      <c r="M105" s="333"/>
      <c r="N105" s="333"/>
      <c r="O105" s="333"/>
      <c r="P105" s="333"/>
      <c r="Q105" s="333"/>
      <c r="R105" s="333"/>
      <c r="S105" s="333"/>
      <c r="T105" s="333"/>
      <c r="U105" s="333"/>
      <c r="V105" s="333"/>
      <c r="W105" s="333"/>
      <c r="X105" s="333"/>
      <c r="Y105" s="333"/>
      <c r="Z105" s="333"/>
      <c r="AA105" s="333"/>
      <c r="AB105" s="333"/>
      <c r="AC105" s="333"/>
      <c r="AD105" s="333"/>
      <c r="AE105" s="333"/>
      <c r="AF105" s="333"/>
      <c r="AG105" s="333"/>
      <c r="AH105" s="333"/>
      <c r="AI105" s="333"/>
      <c r="AJ105" s="333"/>
      <c r="AK105" s="333"/>
      <c r="AL105" s="333"/>
      <c r="AM105" s="333"/>
      <c r="AN105" s="333"/>
      <c r="AO105" s="333"/>
      <c r="AP105" s="333"/>
      <c r="AQ105" s="333"/>
      <c r="AR105" s="333"/>
      <c r="AS105" s="333"/>
      <c r="AT105" s="333"/>
      <c r="AU105" s="333"/>
      <c r="AV105" s="333"/>
      <c r="AW105" s="333"/>
      <c r="AX105" s="333"/>
      <c r="AY105" s="333"/>
      <c r="AZ105" s="333"/>
      <c r="BA105" s="333"/>
      <c r="BB105" s="333"/>
      <c r="BC105" s="333"/>
      <c r="BD105" s="333"/>
      <c r="BE105" s="333"/>
      <c r="BF105" s="333"/>
      <c r="BG105" s="333"/>
      <c r="BH105" s="333"/>
      <c r="BI105" s="333"/>
      <c r="BJ105" s="333"/>
      <c r="BK105" s="333"/>
      <c r="BL105" s="333"/>
      <c r="BM105" s="333"/>
      <c r="BN105" s="333"/>
      <c r="BO105" s="333"/>
      <c r="BP105" s="31"/>
    </row>
    <row r="106" spans="1:68" ht="18.75" customHeight="1" x14ac:dyDescent="0.25">
      <c r="A106"/>
      <c r="B106" s="11"/>
      <c r="C106" s="11"/>
      <c r="D106" s="20"/>
      <c r="E106" s="170"/>
      <c r="F106" s="125"/>
      <c r="G106" s="126"/>
      <c r="H106" s="43"/>
      <c r="I106" s="38"/>
      <c r="J106" s="64"/>
      <c r="K106" s="38"/>
      <c r="L106" s="64"/>
      <c r="M106" s="63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31"/>
    </row>
    <row r="107" spans="1:68" ht="28.5" customHeight="1" x14ac:dyDescent="0.25">
      <c r="A107"/>
      <c r="B107" s="12" t="s">
        <v>19</v>
      </c>
      <c r="C107" s="12"/>
      <c r="D107" s="21"/>
      <c r="E107" s="169"/>
      <c r="F107" s="328" t="str">
        <f ca="1">_xll.DBRA(Server&amp;$B$22,$B107,"French")</f>
        <v>RESULTAT d'exploitation</v>
      </c>
      <c r="G107" s="329"/>
      <c r="H107" s="330"/>
      <c r="I107" s="117"/>
      <c r="J107" s="118" t="str">
        <f ca="1">_xll.DBRW(Server&amp;Cube1,$H$13,$H$14,$H$15,$J$1,$J$2,$H$16,$B107)</f>
        <v/>
      </c>
      <c r="K107" s="117"/>
      <c r="L107" s="118" t="str">
        <f ca="1">_xll.DBRW(Server&amp;Cube1,$H$13,$H$14,$H$15,$L$1,$L$2,$H$16,$B107)</f>
        <v/>
      </c>
      <c r="M107" s="119"/>
      <c r="N107" s="118" t="str">
        <f ca="1">_xll.DBRW(Server&amp;Cube1,$H$13,$H$14,$H$15,$P$1,N$2,$H$16,$B107)</f>
        <v>*KEY_ERR</v>
      </c>
      <c r="O107" s="120"/>
      <c r="P107" s="118" t="str">
        <f ca="1">_xll.DBRW(Server&amp;Cube1,$H$13,$P$3,$H$15,$P$1,P$2,$H$16,$B107)</f>
        <v>*KEY_ERR</v>
      </c>
      <c r="Q107" s="121" t="str">
        <f ca="1">_xll.DBRW(Server&amp;Cube1,$H$13,$P$3,$H$15,$H$17,Q$1,$H$16,$B107)</f>
        <v>*KEY_ERR</v>
      </c>
      <c r="R107" s="122" t="str">
        <f ca="1">_xll.DBRW(Server&amp;Cube1,$H$13,$P$3,$H$15,$H$17,R$1,$H$16,$B107)</f>
        <v>*KEY_ERR</v>
      </c>
      <c r="S107" s="122" t="str">
        <f ca="1">_xll.DBRW(Server&amp;Cube1,$H$13,$P$3,$H$15,$H$17,S$1,$H$16,$B107)</f>
        <v>*KEY_ERR</v>
      </c>
      <c r="T107" s="122" t="str">
        <f ca="1">_xll.DBRW(Server&amp;Cube1,$H$13,$P$3,$H$15,$H$17,T$1,$H$16,$B107)</f>
        <v>*KEY_ERR</v>
      </c>
      <c r="U107" s="122" t="str">
        <f ca="1">_xll.DBRW(Server&amp;Cube1,$H$13,$P$3,$H$15,$H$17,U$1,$H$16,$B107)</f>
        <v>*KEY_ERR</v>
      </c>
      <c r="V107" s="122" t="str">
        <f ca="1">_xll.DBRW(Server&amp;Cube1,$H$13,$P$3,$H$15,$H$17,V$1,$H$16,$B107)</f>
        <v>*KEY_ERR</v>
      </c>
      <c r="W107" s="122" t="str">
        <f ca="1">_xll.DBRW(Server&amp;Cube1,$H$13,$P$3,$H$15,$H$17,W$1,$H$16,$B107)</f>
        <v>*KEY_ERR</v>
      </c>
      <c r="X107" s="122" t="str">
        <f ca="1">_xll.DBRW(Server&amp;Cube1,$H$13,$P$3,$H$15,$H$17,X$1,$H$16,$B107)</f>
        <v>*KEY_ERR</v>
      </c>
      <c r="Y107" s="122" t="str">
        <f ca="1">_xll.DBRW(Server&amp;Cube1,$H$13,$P$3,$H$15,$H$17,Y$1,$H$16,$B107)</f>
        <v>*KEY_ERR</v>
      </c>
      <c r="Z107" s="122" t="str">
        <f ca="1">_xll.DBRW(Server&amp;Cube1,$H$13,$P$3,$H$15,$H$17,Z$1,$H$16,$B107)</f>
        <v>*KEY_ERR</v>
      </c>
      <c r="AA107" s="122" t="str">
        <f ca="1">_xll.DBRW(Server&amp;Cube1,$H$13,$P$3,$H$15,$H$17,AA$1,$H$16,$B107)</f>
        <v>*KEY_ERR</v>
      </c>
      <c r="AB107" s="191" t="str">
        <f ca="1">_xll.DBRW(Server&amp;Cube1,$H$13,$P$3,$H$15,$H$17,AB$1,$H$16,$B107)</f>
        <v>*KEY_ERR</v>
      </c>
      <c r="AC107" s="192" t="str">
        <f ca="1">_xll.DBRW(Server&amp;Cube1,$H$13,$AC$3,$H$15,$P$1,AC$2,$H$16,$B107)</f>
        <v>*KEY_ERR</v>
      </c>
      <c r="AD107" s="121" t="str">
        <f ca="1">_xll.DBRW(Server&amp;Cube1,$H$13,$AC$3,$H$15,$H$17,AD$1,$H$16,$B107)</f>
        <v>*KEY_ERR</v>
      </c>
      <c r="AE107" s="122" t="str">
        <f ca="1">_xll.DBRW(Server&amp;Cube1,$H$13,$AC$3,$H$15,$H$17,AE$1,$H$16,$B107)</f>
        <v>*KEY_ERR</v>
      </c>
      <c r="AF107" s="122" t="str">
        <f ca="1">_xll.DBRW(Server&amp;Cube1,$H$13,$AC$3,$H$15,$H$17,AF$1,$H$16,$B107)</f>
        <v>*KEY_ERR</v>
      </c>
      <c r="AG107" s="122" t="str">
        <f ca="1">_xll.DBRW(Server&amp;Cube1,$H$13,$AC$3,$H$15,$H$17,AG$1,$H$16,$B107)</f>
        <v>*KEY_ERR</v>
      </c>
      <c r="AH107" s="122" t="str">
        <f ca="1">_xll.DBRW(Server&amp;Cube1,$H$13,$AC$3,$H$15,$H$17,AH$1,$H$16,$B107)</f>
        <v>*KEY_ERR</v>
      </c>
      <c r="AI107" s="122" t="str">
        <f ca="1">_xll.DBRW(Server&amp;Cube1,$H$13,$AC$3,$H$15,$H$17,AI$1,$H$16,$B107)</f>
        <v>*KEY_ERR</v>
      </c>
      <c r="AJ107" s="122" t="str">
        <f ca="1">_xll.DBRW(Server&amp;Cube1,$H$13,$AC$3,$H$15,$H$17,AJ$1,$H$16,$B107)</f>
        <v>*KEY_ERR</v>
      </c>
      <c r="AK107" s="122" t="str">
        <f ca="1">_xll.DBRW(Server&amp;Cube1,$H$13,$AC$3,$H$15,$H$17,AK$1,$H$16,$B107)</f>
        <v>*KEY_ERR</v>
      </c>
      <c r="AL107" s="122" t="str">
        <f ca="1">_xll.DBRW(Server&amp;Cube1,$H$13,$AC$3,$H$15,$H$17,AL$1,$H$16,$B107)</f>
        <v>*KEY_ERR</v>
      </c>
      <c r="AM107" s="122" t="str">
        <f ca="1">_xll.DBRW(Server&amp;Cube1,$H$13,$AC$3,$H$15,$H$17,AM$1,$H$16,$B107)</f>
        <v>*KEY_ERR</v>
      </c>
      <c r="AN107" s="122" t="str">
        <f ca="1">_xll.DBRW(Server&amp;Cube1,$H$13,$AC$3,$H$15,$H$17,AN$1,$H$16,$B107)</f>
        <v>*KEY_ERR</v>
      </c>
      <c r="AO107" s="191" t="str">
        <f ca="1">_xll.DBRW(Server&amp;Cube1,$H$13,$AC$3,$H$15,$H$17,AO$1,$H$16,$B107)</f>
        <v>*KEY_ERR</v>
      </c>
      <c r="AP107" s="192" t="str">
        <f ca="1">_xll.DBRW(Server&amp;Cube1,$H$13,$AP$3,$H$15,$P$1,AP$2,$H$16,$B107)</f>
        <v>*KEY_ERR</v>
      </c>
      <c r="AQ107" s="121" t="str">
        <f ca="1">_xll.DBRW(Server&amp;Cube1,$H$13,$AP$3,$H$15,$H$17,AQ$1,$H$16,$B107)</f>
        <v>*KEY_ERR</v>
      </c>
      <c r="AR107" s="122" t="str">
        <f ca="1">_xll.DBRW(Server&amp;Cube1,$H$13,$AP$3,$H$15,$H$17,AR$1,$H$16,$B107)</f>
        <v>*KEY_ERR</v>
      </c>
      <c r="AS107" s="122" t="str">
        <f ca="1">_xll.DBRW(Server&amp;Cube1,$H$13,$AP$3,$H$15,$H$17,AS$1,$H$16,$B107)</f>
        <v>*KEY_ERR</v>
      </c>
      <c r="AT107" s="122" t="str">
        <f ca="1">_xll.DBRW(Server&amp;Cube1,$H$13,$AP$3,$H$15,$H$17,AT$1,$H$16,$B107)</f>
        <v>*KEY_ERR</v>
      </c>
      <c r="AU107" s="122" t="str">
        <f ca="1">_xll.DBRW(Server&amp;Cube1,$H$13,$AP$3,$H$15,$H$17,AU$1,$H$16,$B107)</f>
        <v>*KEY_ERR</v>
      </c>
      <c r="AV107" s="122" t="str">
        <f ca="1">_xll.DBRW(Server&amp;Cube1,$H$13,$AP$3,$H$15,$H$17,AV$1,$H$16,$B107)</f>
        <v>*KEY_ERR</v>
      </c>
      <c r="AW107" s="122" t="str">
        <f ca="1">_xll.DBRW(Server&amp;Cube1,$H$13,$AP$3,$H$15,$H$17,AW$1,$H$16,$B107)</f>
        <v>*KEY_ERR</v>
      </c>
      <c r="AX107" s="122" t="str">
        <f ca="1">_xll.DBRW(Server&amp;Cube1,$H$13,$AP$3,$H$15,$H$17,AX$1,$H$16,$B107)</f>
        <v>*KEY_ERR</v>
      </c>
      <c r="AY107" s="122" t="str">
        <f ca="1">_xll.DBRW(Server&amp;Cube1,$H$13,$AP$3,$H$15,$H$17,AY$1,$H$16,$B107)</f>
        <v>*KEY_ERR</v>
      </c>
      <c r="AZ107" s="122" t="str">
        <f ca="1">_xll.DBRW(Server&amp;Cube1,$H$13,$AP$3,$H$15,$H$17,AZ$1,$H$16,$B107)</f>
        <v>*KEY_ERR</v>
      </c>
      <c r="BA107" s="122" t="str">
        <f ca="1">_xll.DBRW(Server&amp;Cube1,$H$13,$AP$3,$H$15,$H$17,BA$1,$H$16,$B107)</f>
        <v>*KEY_ERR</v>
      </c>
      <c r="BB107" s="191" t="str">
        <f ca="1">_xll.DBRW(Server&amp;Cube1,$H$13,$AP$3,$H$15,$H$17,BB$1,$H$16,$B107)</f>
        <v>*KEY_ERR</v>
      </c>
      <c r="BC107" s="192" t="str">
        <f ca="1">_xll.DBRW(Server&amp;Cube1,$H$13,$BC$3,$H$15,$P$1,BC$2,$H$16,$B107)</f>
        <v>*KEY_ERR</v>
      </c>
      <c r="BD107" s="121" t="str">
        <f ca="1">_xll.DBRW(Server&amp;Cube1,$H$13,$BC$3,$H$15,$H$17,BD$1,$H$16,$B107)</f>
        <v>*KEY_ERR</v>
      </c>
      <c r="BE107" s="122" t="str">
        <f ca="1">_xll.DBRW(Server&amp;Cube1,$H$13,$BC$3,$H$15,$H$17,BE$1,$H$16,$B107)</f>
        <v>*KEY_ERR</v>
      </c>
      <c r="BF107" s="122" t="str">
        <f ca="1">_xll.DBRW(Server&amp;Cube1,$H$13,$BC$3,$H$15,$H$17,BF$1,$H$16,$B107)</f>
        <v>*KEY_ERR</v>
      </c>
      <c r="BG107" s="122" t="str">
        <f ca="1">_xll.DBRW(Server&amp;Cube1,$H$13,$BC$3,$H$15,$H$17,BG$1,$H$16,$B107)</f>
        <v>*KEY_ERR</v>
      </c>
      <c r="BH107" s="122" t="str">
        <f ca="1">_xll.DBRW(Server&amp;Cube1,$H$13,$BC$3,$H$15,$H$17,BH$1,$H$16,$B107)</f>
        <v>*KEY_ERR</v>
      </c>
      <c r="BI107" s="122" t="str">
        <f ca="1">_xll.DBRW(Server&amp;Cube1,$H$13,$BC$3,$H$15,$H$17,BI$1,$H$16,$B107)</f>
        <v>*KEY_ERR</v>
      </c>
      <c r="BJ107" s="122" t="str">
        <f ca="1">_xll.DBRW(Server&amp;Cube1,$H$13,$BC$3,$H$15,$H$17,BJ$1,$H$16,$B107)</f>
        <v>*KEY_ERR</v>
      </c>
      <c r="BK107" s="122" t="str">
        <f ca="1">_xll.DBRW(Server&amp;Cube1,$H$13,$BC$3,$H$15,$H$17,BK$1,$H$16,$B107)</f>
        <v>*KEY_ERR</v>
      </c>
      <c r="BL107" s="122" t="str">
        <f ca="1">_xll.DBRW(Server&amp;Cube1,$H$13,$BC$3,$H$15,$H$17,BL$1,$H$16,$B107)</f>
        <v>*KEY_ERR</v>
      </c>
      <c r="BM107" s="122" t="str">
        <f ca="1">_xll.DBRW(Server&amp;Cube1,$H$13,$BC$3,$H$15,$H$17,BM$1,$H$16,$B107)</f>
        <v>*KEY_ERR</v>
      </c>
      <c r="BN107" s="122" t="str">
        <f ca="1">_xll.DBRW(Server&amp;Cube1,$H$13,$BC$3,$H$15,$H$17,BN$1,$H$16,$B107)</f>
        <v>*KEY_ERR</v>
      </c>
      <c r="BO107" s="123" t="str">
        <f ca="1">_xll.DBRW(Server&amp;Cube1,$H$13,$BC$3,$H$15,$H$17,BO$1,$H$16,$B107)</f>
        <v>*KEY_ERR</v>
      </c>
      <c r="BP107" s="31"/>
    </row>
    <row r="108" spans="1:68" ht="18" customHeight="1" x14ac:dyDescent="0.25">
      <c r="A108"/>
      <c r="B108" s="11"/>
      <c r="C108" s="11"/>
      <c r="D108" s="20"/>
      <c r="E108" s="170"/>
      <c r="F108" s="106"/>
      <c r="G108" s="43"/>
      <c r="H108" s="76" t="s">
        <v>77</v>
      </c>
      <c r="I108" s="38"/>
      <c r="J108" s="79" t="str">
        <f ca="1">IF(ISERROR(J107/J37),"-",J107/J37)</f>
        <v>-</v>
      </c>
      <c r="K108" s="38"/>
      <c r="L108" s="79" t="str">
        <f ca="1">IF(ISERROR(L107/L37),"-",L107/L37)</f>
        <v>-</v>
      </c>
      <c r="M108" s="77"/>
      <c r="N108" s="79" t="str">
        <f ca="1">IF(ISERROR(N107/N37),"-",N107/N37)</f>
        <v>-</v>
      </c>
      <c r="O108" s="78"/>
      <c r="P108" s="79" t="str">
        <f ca="1">IF(ISERROR(P107/P37),"-",P107/P37)</f>
        <v>-</v>
      </c>
      <c r="Q108" s="79" t="str">
        <f t="shared" ref="Q108:AB108" ca="1" si="4">IF(ISERROR(Q107/Q37),"-",Q107/Q37)</f>
        <v>-</v>
      </c>
      <c r="R108" s="79" t="str">
        <f t="shared" ca="1" si="4"/>
        <v>-</v>
      </c>
      <c r="S108" s="79" t="str">
        <f t="shared" ca="1" si="4"/>
        <v>-</v>
      </c>
      <c r="T108" s="79" t="str">
        <f t="shared" ca="1" si="4"/>
        <v>-</v>
      </c>
      <c r="U108" s="79" t="str">
        <f t="shared" ca="1" si="4"/>
        <v>-</v>
      </c>
      <c r="V108" s="79" t="str">
        <f t="shared" ca="1" si="4"/>
        <v>-</v>
      </c>
      <c r="W108" s="79" t="str">
        <f t="shared" ca="1" si="4"/>
        <v>-</v>
      </c>
      <c r="X108" s="79" t="str">
        <f t="shared" ca="1" si="4"/>
        <v>-</v>
      </c>
      <c r="Y108" s="79" t="str">
        <f t="shared" ca="1" si="4"/>
        <v>-</v>
      </c>
      <c r="Z108" s="79" t="str">
        <f t="shared" ca="1" si="4"/>
        <v>-</v>
      </c>
      <c r="AA108" s="79" t="str">
        <f t="shared" ca="1" si="4"/>
        <v>-</v>
      </c>
      <c r="AB108" s="79" t="str">
        <f t="shared" ca="1" si="4"/>
        <v>-</v>
      </c>
      <c r="AC108" s="79" t="str">
        <f ca="1">IF(ISERROR(AC107/AC37),"-",AC107/AC37)</f>
        <v>-</v>
      </c>
      <c r="AD108" s="79" t="str">
        <f t="shared" ref="AD108" ca="1" si="5">IF(ISERROR(AD107/AD37),"-",AD107/AD37)</f>
        <v>-</v>
      </c>
      <c r="AE108" s="79" t="str">
        <f t="shared" ref="AE108" ca="1" si="6">IF(ISERROR(AE107/AE37),"-",AE107/AE37)</f>
        <v>-</v>
      </c>
      <c r="AF108" s="79" t="str">
        <f t="shared" ref="AF108" ca="1" si="7">IF(ISERROR(AF107/AF37),"-",AF107/AF37)</f>
        <v>-</v>
      </c>
      <c r="AG108" s="79" t="str">
        <f t="shared" ref="AG108" ca="1" si="8">IF(ISERROR(AG107/AG37),"-",AG107/AG37)</f>
        <v>-</v>
      </c>
      <c r="AH108" s="79" t="str">
        <f t="shared" ref="AH108" ca="1" si="9">IF(ISERROR(AH107/AH37),"-",AH107/AH37)</f>
        <v>-</v>
      </c>
      <c r="AI108" s="79" t="str">
        <f t="shared" ref="AI108" ca="1" si="10">IF(ISERROR(AI107/AI37),"-",AI107/AI37)</f>
        <v>-</v>
      </c>
      <c r="AJ108" s="79" t="str">
        <f t="shared" ref="AJ108" ca="1" si="11">IF(ISERROR(AJ107/AJ37),"-",AJ107/AJ37)</f>
        <v>-</v>
      </c>
      <c r="AK108" s="79" t="str">
        <f t="shared" ref="AK108" ca="1" si="12">IF(ISERROR(AK107/AK37),"-",AK107/AK37)</f>
        <v>-</v>
      </c>
      <c r="AL108" s="79" t="str">
        <f t="shared" ref="AL108" ca="1" si="13">IF(ISERROR(AL107/AL37),"-",AL107/AL37)</f>
        <v>-</v>
      </c>
      <c r="AM108" s="79" t="str">
        <f t="shared" ref="AM108" ca="1" si="14">IF(ISERROR(AM107/AM37),"-",AM107/AM37)</f>
        <v>-</v>
      </c>
      <c r="AN108" s="79" t="str">
        <f t="shared" ref="AN108" ca="1" si="15">IF(ISERROR(AN107/AN37),"-",AN107/AN37)</f>
        <v>-</v>
      </c>
      <c r="AO108" s="79" t="str">
        <f t="shared" ref="AO108" ca="1" si="16">IF(ISERROR(AO107/AO37),"-",AO107/AO37)</f>
        <v>-</v>
      </c>
      <c r="AP108" s="79" t="str">
        <f ca="1">IF(ISERROR(AP107/AP37),"-",AP107/AP37)</f>
        <v>-</v>
      </c>
      <c r="AQ108" s="79" t="str">
        <f t="shared" ref="AQ108" ca="1" si="17">IF(ISERROR(AQ107/AQ37),"-",AQ107/AQ37)</f>
        <v>-</v>
      </c>
      <c r="AR108" s="79" t="str">
        <f t="shared" ref="AR108" ca="1" si="18">IF(ISERROR(AR107/AR37),"-",AR107/AR37)</f>
        <v>-</v>
      </c>
      <c r="AS108" s="79" t="str">
        <f t="shared" ref="AS108" ca="1" si="19">IF(ISERROR(AS107/AS37),"-",AS107/AS37)</f>
        <v>-</v>
      </c>
      <c r="AT108" s="79" t="str">
        <f t="shared" ref="AT108" ca="1" si="20">IF(ISERROR(AT107/AT37),"-",AT107/AT37)</f>
        <v>-</v>
      </c>
      <c r="AU108" s="79" t="str">
        <f t="shared" ref="AU108" ca="1" si="21">IF(ISERROR(AU107/AU37),"-",AU107/AU37)</f>
        <v>-</v>
      </c>
      <c r="AV108" s="79" t="str">
        <f t="shared" ref="AV108" ca="1" si="22">IF(ISERROR(AV107/AV37),"-",AV107/AV37)</f>
        <v>-</v>
      </c>
      <c r="AW108" s="79" t="str">
        <f t="shared" ref="AW108" ca="1" si="23">IF(ISERROR(AW107/AW37),"-",AW107/AW37)</f>
        <v>-</v>
      </c>
      <c r="AX108" s="79" t="str">
        <f t="shared" ref="AX108" ca="1" si="24">IF(ISERROR(AX107/AX37),"-",AX107/AX37)</f>
        <v>-</v>
      </c>
      <c r="AY108" s="79" t="str">
        <f t="shared" ref="AY108" ca="1" si="25">IF(ISERROR(AY107/AY37),"-",AY107/AY37)</f>
        <v>-</v>
      </c>
      <c r="AZ108" s="79" t="str">
        <f t="shared" ref="AZ108" ca="1" si="26">IF(ISERROR(AZ107/AZ37),"-",AZ107/AZ37)</f>
        <v>-</v>
      </c>
      <c r="BA108" s="79" t="str">
        <f t="shared" ref="BA108" ca="1" si="27">IF(ISERROR(BA107/BA37),"-",BA107/BA37)</f>
        <v>-</v>
      </c>
      <c r="BB108" s="79" t="str">
        <f t="shared" ref="BB108" ca="1" si="28">IF(ISERROR(BB107/BB37),"-",BB107/BB37)</f>
        <v>-</v>
      </c>
      <c r="BC108" s="79" t="str">
        <f ca="1">IF(ISERROR(BC107/BC37),"-",BC107/BC37)</f>
        <v>-</v>
      </c>
      <c r="BD108" s="79" t="str">
        <f t="shared" ref="BD108" ca="1" si="29">IF(ISERROR(BD107/BD37),"-",BD107/BD37)</f>
        <v>-</v>
      </c>
      <c r="BE108" s="79" t="str">
        <f t="shared" ref="BE108" ca="1" si="30">IF(ISERROR(BE107/BE37),"-",BE107/BE37)</f>
        <v>-</v>
      </c>
      <c r="BF108" s="79" t="str">
        <f t="shared" ref="BF108" ca="1" si="31">IF(ISERROR(BF107/BF37),"-",BF107/BF37)</f>
        <v>-</v>
      </c>
      <c r="BG108" s="79" t="str">
        <f t="shared" ref="BG108" ca="1" si="32">IF(ISERROR(BG107/BG37),"-",BG107/BG37)</f>
        <v>-</v>
      </c>
      <c r="BH108" s="79" t="str">
        <f t="shared" ref="BH108" ca="1" si="33">IF(ISERROR(BH107/BH37),"-",BH107/BH37)</f>
        <v>-</v>
      </c>
      <c r="BI108" s="79" t="str">
        <f t="shared" ref="BI108" ca="1" si="34">IF(ISERROR(BI107/BI37),"-",BI107/BI37)</f>
        <v>-</v>
      </c>
      <c r="BJ108" s="79" t="str">
        <f t="shared" ref="BJ108" ca="1" si="35">IF(ISERROR(BJ107/BJ37),"-",BJ107/BJ37)</f>
        <v>-</v>
      </c>
      <c r="BK108" s="79" t="str">
        <f t="shared" ref="BK108" ca="1" si="36">IF(ISERROR(BK107/BK37),"-",BK107/BK37)</f>
        <v>-</v>
      </c>
      <c r="BL108" s="79" t="str">
        <f t="shared" ref="BL108" ca="1" si="37">IF(ISERROR(BL107/BL37),"-",BL107/BL37)</f>
        <v>-</v>
      </c>
      <c r="BM108" s="79" t="str">
        <f t="shared" ref="BM108" ca="1" si="38">IF(ISERROR(BM107/BM37),"-",BM107/BM37)</f>
        <v>-</v>
      </c>
      <c r="BN108" s="79" t="str">
        <f t="shared" ref="BN108" ca="1" si="39">IF(ISERROR(BN107/BN37),"-",BN107/BN37)</f>
        <v>-</v>
      </c>
      <c r="BO108" s="79" t="str">
        <f t="shared" ref="BO108" ca="1" si="40">IF(ISERROR(BO107/BO37),"-",BO107/BO37)</f>
        <v>-</v>
      </c>
      <c r="BP108" s="31"/>
    </row>
    <row r="109" spans="1:68" ht="9" customHeight="1" x14ac:dyDescent="0.25">
      <c r="A109"/>
      <c r="B109" s="11"/>
      <c r="C109" s="11"/>
      <c r="D109" s="20"/>
      <c r="E109" s="170"/>
      <c r="F109" s="106"/>
      <c r="G109" s="80"/>
      <c r="H109" s="81"/>
      <c r="I109" s="82"/>
      <c r="J109" s="83"/>
      <c r="K109" s="82"/>
      <c r="L109" s="83"/>
      <c r="M109" s="84"/>
      <c r="N109" s="83"/>
      <c r="O109" s="85"/>
      <c r="P109" s="83"/>
      <c r="Q109" s="83"/>
      <c r="R109" s="83"/>
      <c r="S109" s="83"/>
      <c r="T109" s="83"/>
      <c r="U109" s="83"/>
      <c r="V109" s="83"/>
      <c r="W109" s="83"/>
      <c r="X109" s="83"/>
      <c r="Y109" s="83"/>
      <c r="Z109" s="83"/>
      <c r="AA109" s="83"/>
      <c r="AB109" s="83"/>
      <c r="AC109" s="83"/>
      <c r="AD109" s="83"/>
      <c r="AE109" s="83"/>
      <c r="AF109" s="83"/>
      <c r="AG109" s="83"/>
      <c r="AH109" s="83"/>
      <c r="AI109" s="83"/>
      <c r="AJ109" s="83"/>
      <c r="AK109" s="83"/>
      <c r="AL109" s="83"/>
      <c r="AM109" s="83"/>
      <c r="AN109" s="83"/>
      <c r="AO109" s="83"/>
      <c r="AP109" s="83"/>
      <c r="AQ109" s="83"/>
      <c r="AR109" s="83"/>
      <c r="AS109" s="83"/>
      <c r="AT109" s="83"/>
      <c r="AU109" s="83"/>
      <c r="AV109" s="83"/>
      <c r="AW109" s="83"/>
      <c r="AX109" s="83"/>
      <c r="AY109" s="83"/>
      <c r="AZ109" s="83"/>
      <c r="BA109" s="83"/>
      <c r="BB109" s="83"/>
      <c r="BC109" s="83"/>
      <c r="BD109" s="83"/>
      <c r="BE109" s="83"/>
      <c r="BF109" s="83"/>
      <c r="BG109" s="83"/>
      <c r="BH109" s="83"/>
      <c r="BI109" s="83"/>
      <c r="BJ109" s="83"/>
      <c r="BK109" s="83"/>
      <c r="BL109" s="83"/>
      <c r="BM109" s="83"/>
      <c r="BN109" s="83"/>
      <c r="BO109" s="83"/>
      <c r="BP109" s="31"/>
    </row>
    <row r="110" spans="1:68" ht="5.25" customHeight="1" x14ac:dyDescent="0.25">
      <c r="A110"/>
      <c r="B110" s="11"/>
      <c r="C110" s="11"/>
      <c r="D110" s="20"/>
      <c r="E110" s="170"/>
      <c r="F110" s="332"/>
      <c r="G110" s="333"/>
      <c r="H110" s="333"/>
      <c r="I110" s="333"/>
      <c r="J110" s="333"/>
      <c r="K110" s="333"/>
      <c r="L110" s="333"/>
      <c r="M110" s="333"/>
      <c r="N110" s="333"/>
      <c r="O110" s="333"/>
      <c r="P110" s="333"/>
      <c r="Q110" s="333"/>
      <c r="R110" s="333"/>
      <c r="S110" s="333"/>
      <c r="T110" s="333"/>
      <c r="U110" s="333"/>
      <c r="V110" s="333"/>
      <c r="W110" s="333"/>
      <c r="X110" s="333"/>
      <c r="Y110" s="333"/>
      <c r="Z110" s="333"/>
      <c r="AA110" s="333"/>
      <c r="AB110" s="333"/>
      <c r="AC110" s="333"/>
      <c r="AD110" s="333"/>
      <c r="AE110" s="333"/>
      <c r="AF110" s="333"/>
      <c r="AG110" s="333"/>
      <c r="AH110" s="333"/>
      <c r="AI110" s="333"/>
      <c r="AJ110" s="333"/>
      <c r="AK110" s="333"/>
      <c r="AL110" s="333"/>
      <c r="AM110" s="333"/>
      <c r="AN110" s="333"/>
      <c r="AO110" s="333"/>
      <c r="AP110" s="333"/>
      <c r="AQ110" s="333"/>
      <c r="AR110" s="333"/>
      <c r="AS110" s="333"/>
      <c r="AT110" s="333"/>
      <c r="AU110" s="333"/>
      <c r="AV110" s="333"/>
      <c r="AW110" s="333"/>
      <c r="AX110" s="333"/>
      <c r="AY110" s="333"/>
      <c r="AZ110" s="333"/>
      <c r="BA110" s="333"/>
      <c r="BB110" s="333"/>
      <c r="BC110" s="333"/>
      <c r="BD110" s="333"/>
      <c r="BE110" s="333"/>
      <c r="BF110" s="333"/>
      <c r="BG110" s="333"/>
      <c r="BH110" s="333"/>
      <c r="BI110" s="333"/>
      <c r="BJ110" s="333"/>
      <c r="BK110" s="333"/>
      <c r="BL110" s="333"/>
      <c r="BM110" s="333"/>
      <c r="BN110" s="333"/>
      <c r="BO110" s="333"/>
      <c r="BP110" s="31"/>
    </row>
    <row r="111" spans="1:68" ht="18.75" customHeight="1" x14ac:dyDescent="0.25">
      <c r="A111"/>
      <c r="B111" s="11"/>
      <c r="C111" s="11"/>
      <c r="D111" s="20"/>
      <c r="E111" s="170"/>
      <c r="F111" s="106"/>
      <c r="G111" s="43"/>
      <c r="H111" s="43"/>
      <c r="I111" s="38"/>
      <c r="J111" s="62"/>
      <c r="K111" s="38"/>
      <c r="L111" s="62"/>
      <c r="M111" s="63"/>
      <c r="N111" s="64"/>
      <c r="O111" s="64"/>
      <c r="P111" s="64"/>
      <c r="Q111" s="62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6"/>
      <c r="AC111" s="64"/>
      <c r="AD111" s="62"/>
      <c r="AE111" s="65"/>
      <c r="AF111" s="65"/>
      <c r="AG111" s="65"/>
      <c r="AH111" s="65"/>
      <c r="AI111" s="65"/>
      <c r="AJ111" s="65"/>
      <c r="AK111" s="65"/>
      <c r="AL111" s="65"/>
      <c r="AM111" s="65"/>
      <c r="AN111" s="65"/>
      <c r="AO111" s="66"/>
      <c r="AP111" s="64"/>
      <c r="AQ111" s="62"/>
      <c r="AR111" s="65"/>
      <c r="AS111" s="65"/>
      <c r="AT111" s="65"/>
      <c r="AU111" s="65"/>
      <c r="AV111" s="65"/>
      <c r="AW111" s="65"/>
      <c r="AX111" s="65"/>
      <c r="AY111" s="65"/>
      <c r="AZ111" s="65"/>
      <c r="BA111" s="65"/>
      <c r="BB111" s="66"/>
      <c r="BC111" s="64"/>
      <c r="BD111" s="62"/>
      <c r="BE111" s="65"/>
      <c r="BF111" s="65"/>
      <c r="BG111" s="65"/>
      <c r="BH111" s="65"/>
      <c r="BI111" s="65"/>
      <c r="BJ111" s="65"/>
      <c r="BK111" s="65"/>
      <c r="BL111" s="65"/>
      <c r="BM111" s="65"/>
      <c r="BN111" s="65"/>
      <c r="BO111" s="66"/>
      <c r="BP111" s="31"/>
    </row>
    <row r="112" spans="1:68" ht="21" customHeight="1" x14ac:dyDescent="0.25">
      <c r="A112"/>
      <c r="B112" s="12" t="s">
        <v>53</v>
      </c>
      <c r="C112" s="12"/>
      <c r="D112" s="21"/>
      <c r="E112" s="169"/>
      <c r="F112" s="105"/>
      <c r="G112" s="315" t="str">
        <f ca="1">_xll.DBRA(Server&amp;$B$22,$B112,"French")</f>
        <v>Charges financières</v>
      </c>
      <c r="H112" s="315" t="str">
        <f ca="1">_xll.DBRA(Server&amp;$B$22,$B112,"French")</f>
        <v>Charges financières</v>
      </c>
      <c r="I112" s="39"/>
      <c r="J112" s="67" t="str">
        <f ca="1">_xll.DBRW(Server&amp;Cube1,$H$13,$H$14,$H$15,$J$1,$J$2,$H$16,$B112)</f>
        <v/>
      </c>
      <c r="K112" s="39"/>
      <c r="L112" s="67" t="str">
        <f ca="1">_xll.DBRW(Server&amp;Cube1,$H$13,$H$14,$H$15,$L$1,$L$2,$H$16,$B112)</f>
        <v/>
      </c>
      <c r="M112" s="68"/>
      <c r="N112" s="67" t="str">
        <f ca="1">_xll.DBRW(Server&amp;Cube1,$H$13,$H$14,$H$15,$P$1,N$2,$H$16,$B112)</f>
        <v>*KEY_ERR</v>
      </c>
      <c r="O112" s="69"/>
      <c r="P112" s="67" t="str">
        <f ca="1">_xll.DBRW(Server&amp;Cube1,$H$13,$P$3,$H$15,$P$1,P$2,$H$16,$B112)</f>
        <v>*KEY_ERR</v>
      </c>
      <c r="Q112" s="67" t="str">
        <f ca="1">_xll.DBRW(Server&amp;Cube1,$H$13,$P$3,$H$15,$H$17,Q$1,$H$16,$B112)</f>
        <v>*KEY_ERR</v>
      </c>
      <c r="R112" s="70" t="str">
        <f ca="1">_xll.DBRW(Server&amp;Cube1,$H$13,$P$3,$H$15,$H$17,R$1,$H$16,$B112)</f>
        <v>*KEY_ERR</v>
      </c>
      <c r="S112" s="70" t="str">
        <f ca="1">_xll.DBRW(Server&amp;Cube1,$H$13,$P$3,$H$15,$H$17,S$1,$H$16,$B112)</f>
        <v>*KEY_ERR</v>
      </c>
      <c r="T112" s="70" t="str">
        <f ca="1">_xll.DBRW(Server&amp;Cube1,$H$13,$P$3,$H$15,$H$17,T$1,$H$16,$B112)</f>
        <v>*KEY_ERR</v>
      </c>
      <c r="U112" s="70" t="str">
        <f ca="1">_xll.DBRW(Server&amp;Cube1,$H$13,$P$3,$H$15,$H$17,U$1,$H$16,$B112)</f>
        <v>*KEY_ERR</v>
      </c>
      <c r="V112" s="70" t="str">
        <f ca="1">_xll.DBRW(Server&amp;Cube1,$H$13,$P$3,$H$15,$H$17,V$1,$H$16,$B112)</f>
        <v>*KEY_ERR</v>
      </c>
      <c r="W112" s="70" t="str">
        <f ca="1">_xll.DBRW(Server&amp;Cube1,$H$13,$P$3,$H$15,$H$17,W$1,$H$16,$B112)</f>
        <v>*KEY_ERR</v>
      </c>
      <c r="X112" s="70" t="str">
        <f ca="1">_xll.DBRW(Server&amp;Cube1,$H$13,$P$3,$H$15,$H$17,X$1,$H$16,$B112)</f>
        <v>*KEY_ERR</v>
      </c>
      <c r="Y112" s="70" t="str">
        <f ca="1">_xll.DBRW(Server&amp;Cube1,$H$13,$P$3,$H$15,$H$17,Y$1,$H$16,$B112)</f>
        <v>*KEY_ERR</v>
      </c>
      <c r="Z112" s="70" t="str">
        <f ca="1">_xll.DBRW(Server&amp;Cube1,$H$13,$P$3,$H$15,$H$17,Z$1,$H$16,$B112)</f>
        <v>*KEY_ERR</v>
      </c>
      <c r="AA112" s="70" t="str">
        <f ca="1">_xll.DBRW(Server&amp;Cube1,$H$13,$P$3,$H$15,$H$17,AA$1,$H$16,$B112)</f>
        <v>*KEY_ERR</v>
      </c>
      <c r="AB112" s="71" t="str">
        <f ca="1">_xll.DBRW(Server&amp;Cube1,$H$13,$P$3,$H$15,$H$17,AB$1,$H$16,$B112)</f>
        <v>*KEY_ERR</v>
      </c>
      <c r="AC112" s="185" t="str">
        <f ca="1">_xll.DBRW(Server&amp;Cube1,$H$13,$AC$3,$H$15,$P$1,AC$2,$H$16,$B112)</f>
        <v>*KEY_ERR</v>
      </c>
      <c r="AD112" s="67" t="str">
        <f ca="1">_xll.DBRW(Server&amp;Cube1,$H$13,$AC$3,$H$15,$H$17,AD$1,$H$16,$B112)</f>
        <v>*KEY_ERR</v>
      </c>
      <c r="AE112" s="70" t="str">
        <f ca="1">_xll.DBRW(Server&amp;Cube1,$H$13,$AC$3,$H$15,$H$17,AE$1,$H$16,$B112)</f>
        <v>*KEY_ERR</v>
      </c>
      <c r="AF112" s="70" t="str">
        <f ca="1">_xll.DBRW(Server&amp;Cube1,$H$13,$AC$3,$H$15,$H$17,AF$1,$H$16,$B112)</f>
        <v>*KEY_ERR</v>
      </c>
      <c r="AG112" s="70" t="str">
        <f ca="1">_xll.DBRW(Server&amp;Cube1,$H$13,$AC$3,$H$15,$H$17,AG$1,$H$16,$B112)</f>
        <v>*KEY_ERR</v>
      </c>
      <c r="AH112" s="70" t="str">
        <f ca="1">_xll.DBRW(Server&amp;Cube1,$H$13,$AC$3,$H$15,$H$17,AH$1,$H$16,$B112)</f>
        <v>*KEY_ERR</v>
      </c>
      <c r="AI112" s="70" t="str">
        <f ca="1">_xll.DBRW(Server&amp;Cube1,$H$13,$AC$3,$H$15,$H$17,AI$1,$H$16,$B112)</f>
        <v>*KEY_ERR</v>
      </c>
      <c r="AJ112" s="70" t="str">
        <f ca="1">_xll.DBRW(Server&amp;Cube1,$H$13,$AC$3,$H$15,$H$17,AJ$1,$H$16,$B112)</f>
        <v>*KEY_ERR</v>
      </c>
      <c r="AK112" s="70" t="str">
        <f ca="1">_xll.DBRW(Server&amp;Cube1,$H$13,$AC$3,$H$15,$H$17,AK$1,$H$16,$B112)</f>
        <v>*KEY_ERR</v>
      </c>
      <c r="AL112" s="70" t="str">
        <f ca="1">_xll.DBRW(Server&amp;Cube1,$H$13,$AC$3,$H$15,$H$17,AL$1,$H$16,$B112)</f>
        <v>*KEY_ERR</v>
      </c>
      <c r="AM112" s="70" t="str">
        <f ca="1">_xll.DBRW(Server&amp;Cube1,$H$13,$AC$3,$H$15,$H$17,AM$1,$H$16,$B112)</f>
        <v>*KEY_ERR</v>
      </c>
      <c r="AN112" s="70" t="str">
        <f ca="1">_xll.DBRW(Server&amp;Cube1,$H$13,$AC$3,$H$15,$H$17,AN$1,$H$16,$B112)</f>
        <v>*KEY_ERR</v>
      </c>
      <c r="AO112" s="71" t="str">
        <f ca="1">_xll.DBRW(Server&amp;Cube1,$H$13,$AC$3,$H$15,$H$17,AO$1,$H$16,$B112)</f>
        <v>*KEY_ERR</v>
      </c>
      <c r="AP112" s="185" t="str">
        <f ca="1">_xll.DBRW(Server&amp;Cube1,$H$13,$AP$3,$H$15,$P$1,AP$2,$H$16,$B112)</f>
        <v>*KEY_ERR</v>
      </c>
      <c r="AQ112" s="67" t="str">
        <f ca="1">_xll.DBRW(Server&amp;Cube1,$H$13,$AP$3,$H$15,$H$17,AQ$1,$H$16,$B112)</f>
        <v>*KEY_ERR</v>
      </c>
      <c r="AR112" s="70" t="str">
        <f ca="1">_xll.DBRW(Server&amp;Cube1,$H$13,$AP$3,$H$15,$H$17,AR$1,$H$16,$B112)</f>
        <v>*KEY_ERR</v>
      </c>
      <c r="AS112" s="70" t="str">
        <f ca="1">_xll.DBRW(Server&amp;Cube1,$H$13,$AP$3,$H$15,$H$17,AS$1,$H$16,$B112)</f>
        <v>*KEY_ERR</v>
      </c>
      <c r="AT112" s="70" t="str">
        <f ca="1">_xll.DBRW(Server&amp;Cube1,$H$13,$AP$3,$H$15,$H$17,AT$1,$H$16,$B112)</f>
        <v>*KEY_ERR</v>
      </c>
      <c r="AU112" s="70" t="str">
        <f ca="1">_xll.DBRW(Server&amp;Cube1,$H$13,$AP$3,$H$15,$H$17,AU$1,$H$16,$B112)</f>
        <v>*KEY_ERR</v>
      </c>
      <c r="AV112" s="70" t="str">
        <f ca="1">_xll.DBRW(Server&amp;Cube1,$H$13,$AP$3,$H$15,$H$17,AV$1,$H$16,$B112)</f>
        <v>*KEY_ERR</v>
      </c>
      <c r="AW112" s="70" t="str">
        <f ca="1">_xll.DBRW(Server&amp;Cube1,$H$13,$AP$3,$H$15,$H$17,AW$1,$H$16,$B112)</f>
        <v>*KEY_ERR</v>
      </c>
      <c r="AX112" s="70" t="str">
        <f ca="1">_xll.DBRW(Server&amp;Cube1,$H$13,$AP$3,$H$15,$H$17,AX$1,$H$16,$B112)</f>
        <v>*KEY_ERR</v>
      </c>
      <c r="AY112" s="70" t="str">
        <f ca="1">_xll.DBRW(Server&amp;Cube1,$H$13,$AP$3,$H$15,$H$17,AY$1,$H$16,$B112)</f>
        <v>*KEY_ERR</v>
      </c>
      <c r="AZ112" s="70" t="str">
        <f ca="1">_xll.DBRW(Server&amp;Cube1,$H$13,$AP$3,$H$15,$H$17,AZ$1,$H$16,$B112)</f>
        <v>*KEY_ERR</v>
      </c>
      <c r="BA112" s="70" t="str">
        <f ca="1">_xll.DBRW(Server&amp;Cube1,$H$13,$AP$3,$H$15,$H$17,BA$1,$H$16,$B112)</f>
        <v>*KEY_ERR</v>
      </c>
      <c r="BB112" s="71" t="str">
        <f ca="1">_xll.DBRW(Server&amp;Cube1,$H$13,$AP$3,$H$15,$H$17,BB$1,$H$16,$B112)</f>
        <v>*KEY_ERR</v>
      </c>
      <c r="BC112" s="185" t="str">
        <f ca="1">_xll.DBRW(Server&amp;Cube1,$H$13,$BC$3,$H$15,$P$1,BC$2,$H$16,$B112)</f>
        <v>*KEY_ERR</v>
      </c>
      <c r="BD112" s="67" t="str">
        <f ca="1">_xll.DBRW(Server&amp;Cube1,$H$13,$BC$3,$H$15,$H$17,BD$1,$H$16,$B112)</f>
        <v>*KEY_ERR</v>
      </c>
      <c r="BE112" s="70" t="str">
        <f ca="1">_xll.DBRW(Server&amp;Cube1,$H$13,$BC$3,$H$15,$H$17,BE$1,$H$16,$B112)</f>
        <v>*KEY_ERR</v>
      </c>
      <c r="BF112" s="70" t="str">
        <f ca="1">_xll.DBRW(Server&amp;Cube1,$H$13,$BC$3,$H$15,$H$17,BF$1,$H$16,$B112)</f>
        <v>*KEY_ERR</v>
      </c>
      <c r="BG112" s="70" t="str">
        <f ca="1">_xll.DBRW(Server&amp;Cube1,$H$13,$BC$3,$H$15,$H$17,BG$1,$H$16,$B112)</f>
        <v>*KEY_ERR</v>
      </c>
      <c r="BH112" s="70" t="str">
        <f ca="1">_xll.DBRW(Server&amp;Cube1,$H$13,$BC$3,$H$15,$H$17,BH$1,$H$16,$B112)</f>
        <v>*KEY_ERR</v>
      </c>
      <c r="BI112" s="70" t="str">
        <f ca="1">_xll.DBRW(Server&amp;Cube1,$H$13,$BC$3,$H$15,$H$17,BI$1,$H$16,$B112)</f>
        <v>*KEY_ERR</v>
      </c>
      <c r="BJ112" s="70" t="str">
        <f ca="1">_xll.DBRW(Server&amp;Cube1,$H$13,$BC$3,$H$15,$H$17,BJ$1,$H$16,$B112)</f>
        <v>*KEY_ERR</v>
      </c>
      <c r="BK112" s="70" t="str">
        <f ca="1">_xll.DBRW(Server&amp;Cube1,$H$13,$BC$3,$H$15,$H$17,BK$1,$H$16,$B112)</f>
        <v>*KEY_ERR</v>
      </c>
      <c r="BL112" s="70" t="str">
        <f ca="1">_xll.DBRW(Server&amp;Cube1,$H$13,$BC$3,$H$15,$H$17,BL$1,$H$16,$B112)</f>
        <v>*KEY_ERR</v>
      </c>
      <c r="BM112" s="70" t="str">
        <f ca="1">_xll.DBRW(Server&amp;Cube1,$H$13,$BC$3,$H$15,$H$17,BM$1,$H$16,$B112)</f>
        <v>*KEY_ERR</v>
      </c>
      <c r="BN112" s="70" t="str">
        <f ca="1">_xll.DBRW(Server&amp;Cube1,$H$13,$BC$3,$H$15,$H$17,BN$1,$H$16,$B112)</f>
        <v>*KEY_ERR</v>
      </c>
      <c r="BO112" s="71" t="str">
        <f ca="1">_xll.DBRW(Server&amp;Cube1,$H$13,$BC$3,$H$15,$H$17,BO$1,$H$16,$B112)</f>
        <v>*KEY_ERR</v>
      </c>
      <c r="BP112" s="31"/>
    </row>
    <row r="113" spans="1:68" ht="21" customHeight="1" x14ac:dyDescent="0.25">
      <c r="A113"/>
      <c r="B113" s="13" t="s">
        <v>54</v>
      </c>
      <c r="C113" s="13"/>
      <c r="D113" s="22"/>
      <c r="E113" s="171"/>
      <c r="F113" s="107"/>
      <c r="G113" s="305" t="str">
        <f ca="1">_xll.DBRA(Server&amp;$B$22,$B113,"French")</f>
        <v>Charges diverses de gestion courante</v>
      </c>
      <c r="H113" s="305" t="str">
        <f ca="1">_xll.DBRA(Server&amp;$B$22,$B113,"French")</f>
        <v>Charges diverses de gestion courante</v>
      </c>
      <c r="I113" s="37"/>
      <c r="J113" s="54" t="str">
        <f ca="1">_xll.DBRW(Server&amp;Cube1,$H$13,$H$14,$H$15,$J$1,$J$2,$H$16,$B113)</f>
        <v/>
      </c>
      <c r="K113" s="37"/>
      <c r="L113" s="54" t="str">
        <f ca="1">_xll.DBRW(Server&amp;Cube1,$H$13,$H$14,$H$15,$L$1,$L$2,$H$16,$B113)</f>
        <v/>
      </c>
      <c r="M113" s="55"/>
      <c r="N113" s="54" t="str">
        <f ca="1">_xll.DBRW(Server&amp;Cube1,$H$13,$H$14,$H$15,$P$1,N$2,$H$16,$B113)</f>
        <v>*KEY_ERR</v>
      </c>
      <c r="O113" s="57"/>
      <c r="P113" s="54" t="str">
        <f ca="1">_xll.DBRW(Server&amp;Cube1,$H$13,$P$3,$H$15,$P$1,P$2,$H$16,$B113)</f>
        <v>*KEY_ERR</v>
      </c>
      <c r="Q113" s="54" t="str">
        <f ca="1">_xll.DBRW(Server&amp;Cube1,$H$13,$P$3,$H$15,$H$17,Q$1,$H$16,$B113)</f>
        <v>*KEY_ERR</v>
      </c>
      <c r="R113" s="58" t="str">
        <f ca="1">_xll.DBRW(Server&amp;Cube1,$H$13,$P$3,$H$15,$H$17,R$1,$H$16,$B113)</f>
        <v>*KEY_ERR</v>
      </c>
      <c r="S113" s="58" t="str">
        <f ca="1">_xll.DBRW(Server&amp;Cube1,$H$13,$P$3,$H$15,$H$17,S$1,$H$16,$B113)</f>
        <v>*KEY_ERR</v>
      </c>
      <c r="T113" s="58" t="str">
        <f ca="1">_xll.DBRW(Server&amp;Cube1,$H$13,$P$3,$H$15,$H$17,T$1,$H$16,$B113)</f>
        <v>*KEY_ERR</v>
      </c>
      <c r="U113" s="58" t="str">
        <f ca="1">_xll.DBRW(Server&amp;Cube1,$H$13,$P$3,$H$15,$H$17,U$1,$H$16,$B113)</f>
        <v>*KEY_ERR</v>
      </c>
      <c r="V113" s="58" t="str">
        <f ca="1">_xll.DBRW(Server&amp;Cube1,$H$13,$P$3,$H$15,$H$17,V$1,$H$16,$B113)</f>
        <v>*KEY_ERR</v>
      </c>
      <c r="W113" s="58" t="str">
        <f ca="1">_xll.DBRW(Server&amp;Cube1,$H$13,$P$3,$H$15,$H$17,W$1,$H$16,$B113)</f>
        <v>*KEY_ERR</v>
      </c>
      <c r="X113" s="58" t="str">
        <f ca="1">_xll.DBRW(Server&amp;Cube1,$H$13,$P$3,$H$15,$H$17,X$1,$H$16,$B113)</f>
        <v>*KEY_ERR</v>
      </c>
      <c r="Y113" s="58" t="str">
        <f ca="1">_xll.DBRW(Server&amp;Cube1,$H$13,$P$3,$H$15,$H$17,Y$1,$H$16,$B113)</f>
        <v>*KEY_ERR</v>
      </c>
      <c r="Z113" s="58" t="str">
        <f ca="1">_xll.DBRW(Server&amp;Cube1,$H$13,$P$3,$H$15,$H$17,Z$1,$H$16,$B113)</f>
        <v>*KEY_ERR</v>
      </c>
      <c r="AA113" s="58" t="str">
        <f ca="1">_xll.DBRW(Server&amp;Cube1,$H$13,$P$3,$H$15,$H$17,AA$1,$H$16,$B113)</f>
        <v>*KEY_ERR</v>
      </c>
      <c r="AB113" s="59" t="str">
        <f ca="1">_xll.DBRW(Server&amp;Cube1,$H$13,$P$3,$H$15,$H$17,AB$1,$H$16,$B113)</f>
        <v>*KEY_ERR</v>
      </c>
      <c r="AC113" s="187" t="str">
        <f ca="1">_xll.DBRW(Server&amp;Cube1,$H$13,$AC$3,$H$15,$P$1,AC$2,$H$16,$B113)</f>
        <v>*KEY_ERR</v>
      </c>
      <c r="AD113" s="54" t="str">
        <f ca="1">_xll.DBRW(Server&amp;Cube1,$H$13,$AC$3,$H$15,$H$17,AD$1,$H$16,$B113)</f>
        <v>*KEY_ERR</v>
      </c>
      <c r="AE113" s="58" t="str">
        <f ca="1">_xll.DBRW(Server&amp;Cube1,$H$13,$AC$3,$H$15,$H$17,AE$1,$H$16,$B113)</f>
        <v>*KEY_ERR</v>
      </c>
      <c r="AF113" s="58" t="str">
        <f ca="1">_xll.DBRW(Server&amp;Cube1,$H$13,$AC$3,$H$15,$H$17,AF$1,$H$16,$B113)</f>
        <v>*KEY_ERR</v>
      </c>
      <c r="AG113" s="58" t="str">
        <f ca="1">_xll.DBRW(Server&amp;Cube1,$H$13,$AC$3,$H$15,$H$17,AG$1,$H$16,$B113)</f>
        <v>*KEY_ERR</v>
      </c>
      <c r="AH113" s="58" t="str">
        <f ca="1">_xll.DBRW(Server&amp;Cube1,$H$13,$AC$3,$H$15,$H$17,AH$1,$H$16,$B113)</f>
        <v>*KEY_ERR</v>
      </c>
      <c r="AI113" s="58" t="str">
        <f ca="1">_xll.DBRW(Server&amp;Cube1,$H$13,$AC$3,$H$15,$H$17,AI$1,$H$16,$B113)</f>
        <v>*KEY_ERR</v>
      </c>
      <c r="AJ113" s="58" t="str">
        <f ca="1">_xll.DBRW(Server&amp;Cube1,$H$13,$AC$3,$H$15,$H$17,AJ$1,$H$16,$B113)</f>
        <v>*KEY_ERR</v>
      </c>
      <c r="AK113" s="58" t="str">
        <f ca="1">_xll.DBRW(Server&amp;Cube1,$H$13,$AC$3,$H$15,$H$17,AK$1,$H$16,$B113)</f>
        <v>*KEY_ERR</v>
      </c>
      <c r="AL113" s="58" t="str">
        <f ca="1">_xll.DBRW(Server&amp;Cube1,$H$13,$AC$3,$H$15,$H$17,AL$1,$H$16,$B113)</f>
        <v>*KEY_ERR</v>
      </c>
      <c r="AM113" s="58" t="str">
        <f ca="1">_xll.DBRW(Server&amp;Cube1,$H$13,$AC$3,$H$15,$H$17,AM$1,$H$16,$B113)</f>
        <v>*KEY_ERR</v>
      </c>
      <c r="AN113" s="58" t="str">
        <f ca="1">_xll.DBRW(Server&amp;Cube1,$H$13,$AC$3,$H$15,$H$17,AN$1,$H$16,$B113)</f>
        <v>*KEY_ERR</v>
      </c>
      <c r="AO113" s="59" t="str">
        <f ca="1">_xll.DBRW(Server&amp;Cube1,$H$13,$AC$3,$H$15,$H$17,AO$1,$H$16,$B113)</f>
        <v>*KEY_ERR</v>
      </c>
      <c r="AP113" s="187" t="str">
        <f ca="1">_xll.DBRW(Server&amp;Cube1,$H$13,$AP$3,$H$15,$P$1,AP$2,$H$16,$B113)</f>
        <v>*KEY_ERR</v>
      </c>
      <c r="AQ113" s="54" t="str">
        <f ca="1">_xll.DBRW(Server&amp;Cube1,$H$13,$AP$3,$H$15,$H$17,AQ$1,$H$16,$B113)</f>
        <v>*KEY_ERR</v>
      </c>
      <c r="AR113" s="58" t="str">
        <f ca="1">_xll.DBRW(Server&amp;Cube1,$H$13,$AP$3,$H$15,$H$17,AR$1,$H$16,$B113)</f>
        <v>*KEY_ERR</v>
      </c>
      <c r="AS113" s="58" t="str">
        <f ca="1">_xll.DBRW(Server&amp;Cube1,$H$13,$AP$3,$H$15,$H$17,AS$1,$H$16,$B113)</f>
        <v>*KEY_ERR</v>
      </c>
      <c r="AT113" s="58" t="str">
        <f ca="1">_xll.DBRW(Server&amp;Cube1,$H$13,$AP$3,$H$15,$H$17,AT$1,$H$16,$B113)</f>
        <v>*KEY_ERR</v>
      </c>
      <c r="AU113" s="58" t="str">
        <f ca="1">_xll.DBRW(Server&amp;Cube1,$H$13,$AP$3,$H$15,$H$17,AU$1,$H$16,$B113)</f>
        <v>*KEY_ERR</v>
      </c>
      <c r="AV113" s="58" t="str">
        <f ca="1">_xll.DBRW(Server&amp;Cube1,$H$13,$AP$3,$H$15,$H$17,AV$1,$H$16,$B113)</f>
        <v>*KEY_ERR</v>
      </c>
      <c r="AW113" s="58" t="str">
        <f ca="1">_xll.DBRW(Server&amp;Cube1,$H$13,$AP$3,$H$15,$H$17,AW$1,$H$16,$B113)</f>
        <v>*KEY_ERR</v>
      </c>
      <c r="AX113" s="58" t="str">
        <f ca="1">_xll.DBRW(Server&amp;Cube1,$H$13,$AP$3,$H$15,$H$17,AX$1,$H$16,$B113)</f>
        <v>*KEY_ERR</v>
      </c>
      <c r="AY113" s="58" t="str">
        <f ca="1">_xll.DBRW(Server&amp;Cube1,$H$13,$AP$3,$H$15,$H$17,AY$1,$H$16,$B113)</f>
        <v>*KEY_ERR</v>
      </c>
      <c r="AZ113" s="58" t="str">
        <f ca="1">_xll.DBRW(Server&amp;Cube1,$H$13,$AP$3,$H$15,$H$17,AZ$1,$H$16,$B113)</f>
        <v>*KEY_ERR</v>
      </c>
      <c r="BA113" s="58" t="str">
        <f ca="1">_xll.DBRW(Server&amp;Cube1,$H$13,$AP$3,$H$15,$H$17,BA$1,$H$16,$B113)</f>
        <v>*KEY_ERR</v>
      </c>
      <c r="BB113" s="59" t="str">
        <f ca="1">_xll.DBRW(Server&amp;Cube1,$H$13,$AP$3,$H$15,$H$17,BB$1,$H$16,$B113)</f>
        <v>*KEY_ERR</v>
      </c>
      <c r="BC113" s="187" t="str">
        <f ca="1">_xll.DBRW(Server&amp;Cube1,$H$13,$BC$3,$H$15,$P$1,BC$2,$H$16,$B113)</f>
        <v>*KEY_ERR</v>
      </c>
      <c r="BD113" s="54" t="str">
        <f ca="1">_xll.DBRW(Server&amp;Cube1,$H$13,$BC$3,$H$15,$H$17,BD$1,$H$16,$B113)</f>
        <v>*KEY_ERR</v>
      </c>
      <c r="BE113" s="58" t="str">
        <f ca="1">_xll.DBRW(Server&amp;Cube1,$H$13,$BC$3,$H$15,$H$17,BE$1,$H$16,$B113)</f>
        <v>*KEY_ERR</v>
      </c>
      <c r="BF113" s="58" t="str">
        <f ca="1">_xll.DBRW(Server&amp;Cube1,$H$13,$BC$3,$H$15,$H$17,BF$1,$H$16,$B113)</f>
        <v>*KEY_ERR</v>
      </c>
      <c r="BG113" s="58" t="str">
        <f ca="1">_xll.DBRW(Server&amp;Cube1,$H$13,$BC$3,$H$15,$H$17,BG$1,$H$16,$B113)</f>
        <v>*KEY_ERR</v>
      </c>
      <c r="BH113" s="58" t="str">
        <f ca="1">_xll.DBRW(Server&amp;Cube1,$H$13,$BC$3,$H$15,$H$17,BH$1,$H$16,$B113)</f>
        <v>*KEY_ERR</v>
      </c>
      <c r="BI113" s="58" t="str">
        <f ca="1">_xll.DBRW(Server&amp;Cube1,$H$13,$BC$3,$H$15,$H$17,BI$1,$H$16,$B113)</f>
        <v>*KEY_ERR</v>
      </c>
      <c r="BJ113" s="58" t="str">
        <f ca="1">_xll.DBRW(Server&amp;Cube1,$H$13,$BC$3,$H$15,$H$17,BJ$1,$H$16,$B113)</f>
        <v>*KEY_ERR</v>
      </c>
      <c r="BK113" s="58" t="str">
        <f ca="1">_xll.DBRW(Server&amp;Cube1,$H$13,$BC$3,$H$15,$H$17,BK$1,$H$16,$B113)</f>
        <v>*KEY_ERR</v>
      </c>
      <c r="BL113" s="58" t="str">
        <f ca="1">_xll.DBRW(Server&amp;Cube1,$H$13,$BC$3,$H$15,$H$17,BL$1,$H$16,$B113)</f>
        <v>*KEY_ERR</v>
      </c>
      <c r="BM113" s="58" t="str">
        <f ca="1">_xll.DBRW(Server&amp;Cube1,$H$13,$BC$3,$H$15,$H$17,BM$1,$H$16,$B113)</f>
        <v>*KEY_ERR</v>
      </c>
      <c r="BN113" s="58" t="str">
        <f ca="1">_xll.DBRW(Server&amp;Cube1,$H$13,$BC$3,$H$15,$H$17,BN$1,$H$16,$B113)</f>
        <v>*KEY_ERR</v>
      </c>
      <c r="BO113" s="59" t="str">
        <f ca="1">_xll.DBRW(Server&amp;Cube1,$H$13,$BC$3,$H$15,$H$17,BO$1,$H$16,$B113)</f>
        <v>*KEY_ERR</v>
      </c>
      <c r="BP113" s="31"/>
    </row>
    <row r="114" spans="1:68" ht="21" customHeight="1" x14ac:dyDescent="0.25">
      <c r="A114"/>
      <c r="B114" s="13" t="s">
        <v>55</v>
      </c>
      <c r="C114" s="13"/>
      <c r="D114" s="22"/>
      <c r="E114" s="171"/>
      <c r="F114" s="107"/>
      <c r="G114" s="305" t="str">
        <f ca="1">_xll.DBRA(Server&amp;$B$22,$B114,"French")</f>
        <v>Frais de tenue de compte</v>
      </c>
      <c r="H114" s="305" t="str">
        <f ca="1">_xll.DBRA(Server&amp;$B$22,$B114,"French")</f>
        <v>Frais de tenue de compte</v>
      </c>
      <c r="I114" s="37"/>
      <c r="J114" s="54" t="str">
        <f ca="1">_xll.DBRW(Server&amp;Cube1,$H$13,$H$14,$H$15,$J$1,$J$2,$H$16,$B114)</f>
        <v/>
      </c>
      <c r="K114" s="37"/>
      <c r="L114" s="54" t="str">
        <f ca="1">_xll.DBRW(Server&amp;Cube1,$H$13,$H$14,$H$15,$L$1,$L$2,$H$16,$B114)</f>
        <v/>
      </c>
      <c r="M114" s="55"/>
      <c r="N114" s="54" t="str">
        <f ca="1">_xll.DBRW(Server&amp;Cube1,$H$13,$H$14,$H$15,$P$1,N$2,$H$16,$B114)</f>
        <v>*KEY_ERR</v>
      </c>
      <c r="O114" s="57"/>
      <c r="P114" s="54" t="str">
        <f ca="1">_xll.DBRW(Server&amp;Cube1,$H$13,$P$3,$H$15,$P$1,P$2,$H$16,$B114)</f>
        <v>*KEY_ERR</v>
      </c>
      <c r="Q114" s="54" t="str">
        <f ca="1">_xll.DBRW(Server&amp;Cube1,$H$13,$P$3,$H$15,$H$17,Q$1,$H$16,$B114)</f>
        <v>*KEY_ERR</v>
      </c>
      <c r="R114" s="58" t="str">
        <f ca="1">_xll.DBRW(Server&amp;Cube1,$H$13,$P$3,$H$15,$H$17,R$1,$H$16,$B114)</f>
        <v>*KEY_ERR</v>
      </c>
      <c r="S114" s="58" t="str">
        <f ca="1">_xll.DBRW(Server&amp;Cube1,$H$13,$P$3,$H$15,$H$17,S$1,$H$16,$B114)</f>
        <v>*KEY_ERR</v>
      </c>
      <c r="T114" s="58" t="str">
        <f ca="1">_xll.DBRW(Server&amp;Cube1,$H$13,$P$3,$H$15,$H$17,T$1,$H$16,$B114)</f>
        <v>*KEY_ERR</v>
      </c>
      <c r="U114" s="58" t="str">
        <f ca="1">_xll.DBRW(Server&amp;Cube1,$H$13,$P$3,$H$15,$H$17,U$1,$H$16,$B114)</f>
        <v>*KEY_ERR</v>
      </c>
      <c r="V114" s="58" t="str">
        <f ca="1">_xll.DBRW(Server&amp;Cube1,$H$13,$P$3,$H$15,$H$17,V$1,$H$16,$B114)</f>
        <v>*KEY_ERR</v>
      </c>
      <c r="W114" s="58" t="str">
        <f ca="1">_xll.DBRW(Server&amp;Cube1,$H$13,$P$3,$H$15,$H$17,W$1,$H$16,$B114)</f>
        <v>*KEY_ERR</v>
      </c>
      <c r="X114" s="58" t="str">
        <f ca="1">_xll.DBRW(Server&amp;Cube1,$H$13,$P$3,$H$15,$H$17,X$1,$H$16,$B114)</f>
        <v>*KEY_ERR</v>
      </c>
      <c r="Y114" s="58" t="str">
        <f ca="1">_xll.DBRW(Server&amp;Cube1,$H$13,$P$3,$H$15,$H$17,Y$1,$H$16,$B114)</f>
        <v>*KEY_ERR</v>
      </c>
      <c r="Z114" s="58" t="str">
        <f ca="1">_xll.DBRW(Server&amp;Cube1,$H$13,$P$3,$H$15,$H$17,Z$1,$H$16,$B114)</f>
        <v>*KEY_ERR</v>
      </c>
      <c r="AA114" s="58" t="str">
        <f ca="1">_xll.DBRW(Server&amp;Cube1,$H$13,$P$3,$H$15,$H$17,AA$1,$H$16,$B114)</f>
        <v>*KEY_ERR</v>
      </c>
      <c r="AB114" s="59" t="str">
        <f ca="1">_xll.DBRW(Server&amp;Cube1,$H$13,$P$3,$H$15,$H$17,AB$1,$H$16,$B114)</f>
        <v>*KEY_ERR</v>
      </c>
      <c r="AC114" s="187" t="str">
        <f ca="1">_xll.DBRW(Server&amp;Cube1,$H$13,$AC$3,$H$15,$P$1,AC$2,$H$16,$B114)</f>
        <v>*KEY_ERR</v>
      </c>
      <c r="AD114" s="54" t="str">
        <f ca="1">_xll.DBRW(Server&amp;Cube1,$H$13,$AC$3,$H$15,$H$17,AD$1,$H$16,$B114)</f>
        <v>*KEY_ERR</v>
      </c>
      <c r="AE114" s="58" t="str">
        <f ca="1">_xll.DBRW(Server&amp;Cube1,$H$13,$AC$3,$H$15,$H$17,AE$1,$H$16,$B114)</f>
        <v>*KEY_ERR</v>
      </c>
      <c r="AF114" s="58" t="str">
        <f ca="1">_xll.DBRW(Server&amp;Cube1,$H$13,$AC$3,$H$15,$H$17,AF$1,$H$16,$B114)</f>
        <v>*KEY_ERR</v>
      </c>
      <c r="AG114" s="58" t="str">
        <f ca="1">_xll.DBRW(Server&amp;Cube1,$H$13,$AC$3,$H$15,$H$17,AG$1,$H$16,$B114)</f>
        <v>*KEY_ERR</v>
      </c>
      <c r="AH114" s="58" t="str">
        <f ca="1">_xll.DBRW(Server&amp;Cube1,$H$13,$AC$3,$H$15,$H$17,AH$1,$H$16,$B114)</f>
        <v>*KEY_ERR</v>
      </c>
      <c r="AI114" s="58" t="str">
        <f ca="1">_xll.DBRW(Server&amp;Cube1,$H$13,$AC$3,$H$15,$H$17,AI$1,$H$16,$B114)</f>
        <v>*KEY_ERR</v>
      </c>
      <c r="AJ114" s="58" t="str">
        <f ca="1">_xll.DBRW(Server&amp;Cube1,$H$13,$AC$3,$H$15,$H$17,AJ$1,$H$16,$B114)</f>
        <v>*KEY_ERR</v>
      </c>
      <c r="AK114" s="58" t="str">
        <f ca="1">_xll.DBRW(Server&amp;Cube1,$H$13,$AC$3,$H$15,$H$17,AK$1,$H$16,$B114)</f>
        <v>*KEY_ERR</v>
      </c>
      <c r="AL114" s="58" t="str">
        <f ca="1">_xll.DBRW(Server&amp;Cube1,$H$13,$AC$3,$H$15,$H$17,AL$1,$H$16,$B114)</f>
        <v>*KEY_ERR</v>
      </c>
      <c r="AM114" s="58" t="str">
        <f ca="1">_xll.DBRW(Server&amp;Cube1,$H$13,$AC$3,$H$15,$H$17,AM$1,$H$16,$B114)</f>
        <v>*KEY_ERR</v>
      </c>
      <c r="AN114" s="58" t="str">
        <f ca="1">_xll.DBRW(Server&amp;Cube1,$H$13,$AC$3,$H$15,$H$17,AN$1,$H$16,$B114)</f>
        <v>*KEY_ERR</v>
      </c>
      <c r="AO114" s="59" t="str">
        <f ca="1">_xll.DBRW(Server&amp;Cube1,$H$13,$AC$3,$H$15,$H$17,AO$1,$H$16,$B114)</f>
        <v>*KEY_ERR</v>
      </c>
      <c r="AP114" s="187" t="str">
        <f ca="1">_xll.DBRW(Server&amp;Cube1,$H$13,$AP$3,$H$15,$P$1,AP$2,$H$16,$B114)</f>
        <v>*KEY_ERR</v>
      </c>
      <c r="AQ114" s="54" t="str">
        <f ca="1">_xll.DBRW(Server&amp;Cube1,$H$13,$AP$3,$H$15,$H$17,AQ$1,$H$16,$B114)</f>
        <v>*KEY_ERR</v>
      </c>
      <c r="AR114" s="58" t="str">
        <f ca="1">_xll.DBRW(Server&amp;Cube1,$H$13,$AP$3,$H$15,$H$17,AR$1,$H$16,$B114)</f>
        <v>*KEY_ERR</v>
      </c>
      <c r="AS114" s="58" t="str">
        <f ca="1">_xll.DBRW(Server&amp;Cube1,$H$13,$AP$3,$H$15,$H$17,AS$1,$H$16,$B114)</f>
        <v>*KEY_ERR</v>
      </c>
      <c r="AT114" s="58" t="str">
        <f ca="1">_xll.DBRW(Server&amp;Cube1,$H$13,$AP$3,$H$15,$H$17,AT$1,$H$16,$B114)</f>
        <v>*KEY_ERR</v>
      </c>
      <c r="AU114" s="58" t="str">
        <f ca="1">_xll.DBRW(Server&amp;Cube1,$H$13,$AP$3,$H$15,$H$17,AU$1,$H$16,$B114)</f>
        <v>*KEY_ERR</v>
      </c>
      <c r="AV114" s="58" t="str">
        <f ca="1">_xll.DBRW(Server&amp;Cube1,$H$13,$AP$3,$H$15,$H$17,AV$1,$H$16,$B114)</f>
        <v>*KEY_ERR</v>
      </c>
      <c r="AW114" s="58" t="str">
        <f ca="1">_xll.DBRW(Server&amp;Cube1,$H$13,$AP$3,$H$15,$H$17,AW$1,$H$16,$B114)</f>
        <v>*KEY_ERR</v>
      </c>
      <c r="AX114" s="58" t="str">
        <f ca="1">_xll.DBRW(Server&amp;Cube1,$H$13,$AP$3,$H$15,$H$17,AX$1,$H$16,$B114)</f>
        <v>*KEY_ERR</v>
      </c>
      <c r="AY114" s="58" t="str">
        <f ca="1">_xll.DBRW(Server&amp;Cube1,$H$13,$AP$3,$H$15,$H$17,AY$1,$H$16,$B114)</f>
        <v>*KEY_ERR</v>
      </c>
      <c r="AZ114" s="58" t="str">
        <f ca="1">_xll.DBRW(Server&amp;Cube1,$H$13,$AP$3,$H$15,$H$17,AZ$1,$H$16,$B114)</f>
        <v>*KEY_ERR</v>
      </c>
      <c r="BA114" s="58" t="str">
        <f ca="1">_xll.DBRW(Server&amp;Cube1,$H$13,$AP$3,$H$15,$H$17,BA$1,$H$16,$B114)</f>
        <v>*KEY_ERR</v>
      </c>
      <c r="BB114" s="59" t="str">
        <f ca="1">_xll.DBRW(Server&amp;Cube1,$H$13,$AP$3,$H$15,$H$17,BB$1,$H$16,$B114)</f>
        <v>*KEY_ERR</v>
      </c>
      <c r="BC114" s="187" t="str">
        <f ca="1">_xll.DBRW(Server&amp;Cube1,$H$13,$BC$3,$H$15,$P$1,BC$2,$H$16,$B114)</f>
        <v>*KEY_ERR</v>
      </c>
      <c r="BD114" s="54" t="str">
        <f ca="1">_xll.DBRW(Server&amp;Cube1,$H$13,$BC$3,$H$15,$H$17,BD$1,$H$16,$B114)</f>
        <v>*KEY_ERR</v>
      </c>
      <c r="BE114" s="58" t="str">
        <f ca="1">_xll.DBRW(Server&amp;Cube1,$H$13,$BC$3,$H$15,$H$17,BE$1,$H$16,$B114)</f>
        <v>*KEY_ERR</v>
      </c>
      <c r="BF114" s="58" t="str">
        <f ca="1">_xll.DBRW(Server&amp;Cube1,$H$13,$BC$3,$H$15,$H$17,BF$1,$H$16,$B114)</f>
        <v>*KEY_ERR</v>
      </c>
      <c r="BG114" s="58" t="str">
        <f ca="1">_xll.DBRW(Server&amp;Cube1,$H$13,$BC$3,$H$15,$H$17,BG$1,$H$16,$B114)</f>
        <v>*KEY_ERR</v>
      </c>
      <c r="BH114" s="58" t="str">
        <f ca="1">_xll.DBRW(Server&amp;Cube1,$H$13,$BC$3,$H$15,$H$17,BH$1,$H$16,$B114)</f>
        <v>*KEY_ERR</v>
      </c>
      <c r="BI114" s="58" t="str">
        <f ca="1">_xll.DBRW(Server&amp;Cube1,$H$13,$BC$3,$H$15,$H$17,BI$1,$H$16,$B114)</f>
        <v>*KEY_ERR</v>
      </c>
      <c r="BJ114" s="58" t="str">
        <f ca="1">_xll.DBRW(Server&amp;Cube1,$H$13,$BC$3,$H$15,$H$17,BJ$1,$H$16,$B114)</f>
        <v>*KEY_ERR</v>
      </c>
      <c r="BK114" s="58" t="str">
        <f ca="1">_xll.DBRW(Server&amp;Cube1,$H$13,$BC$3,$H$15,$H$17,BK$1,$H$16,$B114)</f>
        <v>*KEY_ERR</v>
      </c>
      <c r="BL114" s="58" t="str">
        <f ca="1">_xll.DBRW(Server&amp;Cube1,$H$13,$BC$3,$H$15,$H$17,BL$1,$H$16,$B114)</f>
        <v>*KEY_ERR</v>
      </c>
      <c r="BM114" s="58" t="str">
        <f ca="1">_xll.DBRW(Server&amp;Cube1,$H$13,$BC$3,$H$15,$H$17,BM$1,$H$16,$B114)</f>
        <v>*KEY_ERR</v>
      </c>
      <c r="BN114" s="58" t="str">
        <f ca="1">_xll.DBRW(Server&amp;Cube1,$H$13,$BC$3,$H$15,$H$17,BN$1,$H$16,$B114)</f>
        <v>*KEY_ERR</v>
      </c>
      <c r="BO114" s="59" t="str">
        <f ca="1">_xll.DBRW(Server&amp;Cube1,$H$13,$BC$3,$H$15,$H$17,BO$1,$H$16,$B114)</f>
        <v>*KEY_ERR</v>
      </c>
      <c r="BP114" s="31"/>
    </row>
    <row r="115" spans="1:68" ht="6.75" customHeight="1" x14ac:dyDescent="0.25">
      <c r="A115"/>
      <c r="B115" s="11"/>
      <c r="C115" s="11"/>
      <c r="D115" s="20"/>
      <c r="E115" s="170"/>
      <c r="F115" s="106"/>
      <c r="G115" s="43"/>
      <c r="H115" s="43"/>
      <c r="I115" s="38"/>
      <c r="J115" s="62"/>
      <c r="K115" s="38"/>
      <c r="L115" s="62"/>
      <c r="M115" s="63"/>
      <c r="N115" s="64"/>
      <c r="O115" s="64"/>
      <c r="P115" s="64"/>
      <c r="Q115" s="62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6"/>
      <c r="AC115" s="194"/>
      <c r="AD115" s="62"/>
      <c r="AE115" s="65"/>
      <c r="AF115" s="65"/>
      <c r="AG115" s="65"/>
      <c r="AH115" s="65"/>
      <c r="AI115" s="65"/>
      <c r="AJ115" s="65"/>
      <c r="AK115" s="65"/>
      <c r="AL115" s="65"/>
      <c r="AM115" s="65"/>
      <c r="AN115" s="65"/>
      <c r="AO115" s="66"/>
      <c r="AP115" s="64"/>
      <c r="AQ115" s="62"/>
      <c r="AR115" s="65"/>
      <c r="AS115" s="65"/>
      <c r="AT115" s="65"/>
      <c r="AU115" s="65"/>
      <c r="AV115" s="65"/>
      <c r="AW115" s="65"/>
      <c r="AX115" s="65"/>
      <c r="AY115" s="65"/>
      <c r="AZ115" s="65"/>
      <c r="BA115" s="65"/>
      <c r="BB115" s="66"/>
      <c r="BC115" s="194"/>
      <c r="BD115" s="62"/>
      <c r="BE115" s="65"/>
      <c r="BF115" s="65"/>
      <c r="BG115" s="65"/>
      <c r="BH115" s="65"/>
      <c r="BI115" s="65"/>
      <c r="BJ115" s="65"/>
      <c r="BK115" s="65"/>
      <c r="BL115" s="65"/>
      <c r="BM115" s="65"/>
      <c r="BN115" s="65"/>
      <c r="BO115" s="66"/>
      <c r="BP115" s="31"/>
    </row>
    <row r="116" spans="1:68" ht="22.5" customHeight="1" x14ac:dyDescent="0.25">
      <c r="A116"/>
      <c r="B116" s="12" t="s">
        <v>67</v>
      </c>
      <c r="C116" s="12"/>
      <c r="D116" s="21"/>
      <c r="E116" s="169"/>
      <c r="F116" s="105"/>
      <c r="G116" s="173" t="str">
        <f ca="1">_xll.DBRA(Server&amp;$B$22,$B116,"French")</f>
        <v>RESULTAT financier</v>
      </c>
      <c r="H116" s="52"/>
      <c r="I116" s="39"/>
      <c r="J116" s="51" t="str">
        <f ca="1">_xll.DBRW(Server&amp;Cube1,$H$13,$H$14,$H$15,$J$1,$J$2,$H$16,$B116)</f>
        <v/>
      </c>
      <c r="K116" s="39"/>
      <c r="L116" s="51" t="str">
        <f ca="1">_xll.DBRW(Server&amp;Cube1,$H$13,$H$14,$H$15,$L$1,$L$2,$H$16,$B116)</f>
        <v/>
      </c>
      <c r="M116" s="60"/>
      <c r="N116" s="51" t="str">
        <f ca="1">_xll.DBRW(Server&amp;Cube1,$H$13,$H$14,$H$15,$P$1,N$2,$H$16,$B116)</f>
        <v>*KEY_ERR</v>
      </c>
      <c r="O116" s="61"/>
      <c r="P116" s="51" t="str">
        <f ca="1">_xll.DBRW(Server&amp;Cube1,$H$13,$P$3,$H$15,$P$1,P$2,$H$16,$B116)</f>
        <v>*KEY_ERR</v>
      </c>
      <c r="Q116" s="49" t="str">
        <f ca="1">_xll.DBRW(Server&amp;Cube1,$H$13,$P$3,$H$15,$H$17,Q$1,$H$16,$B116)</f>
        <v>*KEY_ERR</v>
      </c>
      <c r="R116" s="50" t="str">
        <f ca="1">_xll.DBRW(Server&amp;Cube1,$H$13,$P$3,$H$15,$H$17,R$1,$H$16,$B116)</f>
        <v>*KEY_ERR</v>
      </c>
      <c r="S116" s="50" t="str">
        <f ca="1">_xll.DBRW(Server&amp;Cube1,$H$13,$P$3,$H$15,$H$17,S$1,$H$16,$B116)</f>
        <v>*KEY_ERR</v>
      </c>
      <c r="T116" s="50" t="str">
        <f ca="1">_xll.DBRW(Server&amp;Cube1,$H$13,$P$3,$H$15,$H$17,T$1,$H$16,$B116)</f>
        <v>*KEY_ERR</v>
      </c>
      <c r="U116" s="50" t="str">
        <f ca="1">_xll.DBRW(Server&amp;Cube1,$H$13,$P$3,$H$15,$H$17,U$1,$H$16,$B116)</f>
        <v>*KEY_ERR</v>
      </c>
      <c r="V116" s="50" t="str">
        <f ca="1">_xll.DBRW(Server&amp;Cube1,$H$13,$P$3,$H$15,$H$17,V$1,$H$16,$B116)</f>
        <v>*KEY_ERR</v>
      </c>
      <c r="W116" s="50" t="str">
        <f ca="1">_xll.DBRW(Server&amp;Cube1,$H$13,$P$3,$H$15,$H$17,W$1,$H$16,$B116)</f>
        <v>*KEY_ERR</v>
      </c>
      <c r="X116" s="50" t="str">
        <f ca="1">_xll.DBRW(Server&amp;Cube1,$H$13,$P$3,$H$15,$H$17,X$1,$H$16,$B116)</f>
        <v>*KEY_ERR</v>
      </c>
      <c r="Y116" s="50" t="str">
        <f ca="1">_xll.DBRW(Server&amp;Cube1,$H$13,$P$3,$H$15,$H$17,Y$1,$H$16,$B116)</f>
        <v>*KEY_ERR</v>
      </c>
      <c r="Z116" s="50" t="str">
        <f ca="1">_xll.DBRW(Server&amp;Cube1,$H$13,$P$3,$H$15,$H$17,Z$1,$H$16,$B116)</f>
        <v>*KEY_ERR</v>
      </c>
      <c r="AA116" s="50" t="str">
        <f ca="1">_xll.DBRW(Server&amp;Cube1,$H$13,$P$3,$H$15,$H$17,AA$1,$H$16,$B116)</f>
        <v>*KEY_ERR</v>
      </c>
      <c r="AB116" s="183" t="str">
        <f ca="1">_xll.DBRW(Server&amp;Cube1,$H$13,$P$3,$H$15,$H$17,AB$1,$H$16,$B116)</f>
        <v>*KEY_ERR</v>
      </c>
      <c r="AC116" s="188" t="str">
        <f ca="1">_xll.DBRW(Server&amp;Cube1,$H$13,$AC$3,$H$15,$P$1,AC$2,$H$16,$B116)</f>
        <v>*KEY_ERR</v>
      </c>
      <c r="AD116" s="49" t="str">
        <f ca="1">_xll.DBRW(Server&amp;Cube1,$H$13,$AC$3,$H$15,$H$17,AD$1,$H$16,$B116)</f>
        <v>*KEY_ERR</v>
      </c>
      <c r="AE116" s="50" t="str">
        <f ca="1">_xll.DBRW(Server&amp;Cube1,$H$13,$AC$3,$H$15,$H$17,AE$1,$H$16,$B116)</f>
        <v>*KEY_ERR</v>
      </c>
      <c r="AF116" s="50" t="str">
        <f ca="1">_xll.DBRW(Server&amp;Cube1,$H$13,$AC$3,$H$15,$H$17,AF$1,$H$16,$B116)</f>
        <v>*KEY_ERR</v>
      </c>
      <c r="AG116" s="50" t="str">
        <f ca="1">_xll.DBRW(Server&amp;Cube1,$H$13,$AC$3,$H$15,$H$17,AG$1,$H$16,$B116)</f>
        <v>*KEY_ERR</v>
      </c>
      <c r="AH116" s="50" t="str">
        <f ca="1">_xll.DBRW(Server&amp;Cube1,$H$13,$AC$3,$H$15,$H$17,AH$1,$H$16,$B116)</f>
        <v>*KEY_ERR</v>
      </c>
      <c r="AI116" s="50" t="str">
        <f ca="1">_xll.DBRW(Server&amp;Cube1,$H$13,$AC$3,$H$15,$H$17,AI$1,$H$16,$B116)</f>
        <v>*KEY_ERR</v>
      </c>
      <c r="AJ116" s="50" t="str">
        <f ca="1">_xll.DBRW(Server&amp;Cube1,$H$13,$AC$3,$H$15,$H$17,AJ$1,$H$16,$B116)</f>
        <v>*KEY_ERR</v>
      </c>
      <c r="AK116" s="50" t="str">
        <f ca="1">_xll.DBRW(Server&amp;Cube1,$H$13,$AC$3,$H$15,$H$17,AK$1,$H$16,$B116)</f>
        <v>*KEY_ERR</v>
      </c>
      <c r="AL116" s="50" t="str">
        <f ca="1">_xll.DBRW(Server&amp;Cube1,$H$13,$AC$3,$H$15,$H$17,AL$1,$H$16,$B116)</f>
        <v>*KEY_ERR</v>
      </c>
      <c r="AM116" s="50" t="str">
        <f ca="1">_xll.DBRW(Server&amp;Cube1,$H$13,$AC$3,$H$15,$H$17,AM$1,$H$16,$B116)</f>
        <v>*KEY_ERR</v>
      </c>
      <c r="AN116" s="50" t="str">
        <f ca="1">_xll.DBRW(Server&amp;Cube1,$H$13,$AC$3,$H$15,$H$17,AN$1,$H$16,$B116)</f>
        <v>*KEY_ERR</v>
      </c>
      <c r="AO116" s="183" t="str">
        <f ca="1">_xll.DBRW(Server&amp;Cube1,$H$13,$AC$3,$H$15,$H$17,AO$1,$H$16,$B116)</f>
        <v>*KEY_ERR</v>
      </c>
      <c r="AP116" s="188" t="str">
        <f ca="1">_xll.DBRW(Server&amp;Cube1,$H$13,$AP$3,$H$15,$P$1,AP$2,$H$16,$B116)</f>
        <v>*KEY_ERR</v>
      </c>
      <c r="AQ116" s="49" t="str">
        <f ca="1">_xll.DBRW(Server&amp;Cube1,$H$13,$AP$3,$H$15,$H$17,AQ$1,$H$16,$B116)</f>
        <v>*KEY_ERR</v>
      </c>
      <c r="AR116" s="50" t="str">
        <f ca="1">_xll.DBRW(Server&amp;Cube1,$H$13,$AP$3,$H$15,$H$17,AR$1,$H$16,$B116)</f>
        <v>*KEY_ERR</v>
      </c>
      <c r="AS116" s="50" t="str">
        <f ca="1">_xll.DBRW(Server&amp;Cube1,$H$13,$AP$3,$H$15,$H$17,AS$1,$H$16,$B116)</f>
        <v>*KEY_ERR</v>
      </c>
      <c r="AT116" s="50" t="str">
        <f ca="1">_xll.DBRW(Server&amp;Cube1,$H$13,$AP$3,$H$15,$H$17,AT$1,$H$16,$B116)</f>
        <v>*KEY_ERR</v>
      </c>
      <c r="AU116" s="50" t="str">
        <f ca="1">_xll.DBRW(Server&amp;Cube1,$H$13,$AP$3,$H$15,$H$17,AU$1,$H$16,$B116)</f>
        <v>*KEY_ERR</v>
      </c>
      <c r="AV116" s="50" t="str">
        <f ca="1">_xll.DBRW(Server&amp;Cube1,$H$13,$AP$3,$H$15,$H$17,AV$1,$H$16,$B116)</f>
        <v>*KEY_ERR</v>
      </c>
      <c r="AW116" s="50" t="str">
        <f ca="1">_xll.DBRW(Server&amp;Cube1,$H$13,$AP$3,$H$15,$H$17,AW$1,$H$16,$B116)</f>
        <v>*KEY_ERR</v>
      </c>
      <c r="AX116" s="50" t="str">
        <f ca="1">_xll.DBRW(Server&amp;Cube1,$H$13,$AP$3,$H$15,$H$17,AX$1,$H$16,$B116)</f>
        <v>*KEY_ERR</v>
      </c>
      <c r="AY116" s="50" t="str">
        <f ca="1">_xll.DBRW(Server&amp;Cube1,$H$13,$AP$3,$H$15,$H$17,AY$1,$H$16,$B116)</f>
        <v>*KEY_ERR</v>
      </c>
      <c r="AZ116" s="50" t="str">
        <f ca="1">_xll.DBRW(Server&amp;Cube1,$H$13,$AP$3,$H$15,$H$17,AZ$1,$H$16,$B116)</f>
        <v>*KEY_ERR</v>
      </c>
      <c r="BA116" s="50" t="str">
        <f ca="1">_xll.DBRW(Server&amp;Cube1,$H$13,$AP$3,$H$15,$H$17,BA$1,$H$16,$B116)</f>
        <v>*KEY_ERR</v>
      </c>
      <c r="BB116" s="183" t="str">
        <f ca="1">_xll.DBRW(Server&amp;Cube1,$H$13,$AP$3,$H$15,$H$17,BB$1,$H$16,$B116)</f>
        <v>*KEY_ERR</v>
      </c>
      <c r="BC116" s="188" t="str">
        <f ca="1">_xll.DBRW(Server&amp;Cube1,$H$13,$BC$3,$H$15,$P$1,BC$2,$H$16,$B116)</f>
        <v>*KEY_ERR</v>
      </c>
      <c r="BD116" s="49" t="str">
        <f ca="1">_xll.DBRW(Server&amp;Cube1,$H$13,$BC$3,$H$15,$H$17,BD$1,$H$16,$B116)</f>
        <v>*KEY_ERR</v>
      </c>
      <c r="BE116" s="50" t="str">
        <f ca="1">_xll.DBRW(Server&amp;Cube1,$H$13,$BC$3,$H$15,$H$17,BE$1,$H$16,$B116)</f>
        <v>*KEY_ERR</v>
      </c>
      <c r="BF116" s="50" t="str">
        <f ca="1">_xll.DBRW(Server&amp;Cube1,$H$13,$BC$3,$H$15,$H$17,BF$1,$H$16,$B116)</f>
        <v>*KEY_ERR</v>
      </c>
      <c r="BG116" s="50" t="str">
        <f ca="1">_xll.DBRW(Server&amp;Cube1,$H$13,$BC$3,$H$15,$H$17,BG$1,$H$16,$B116)</f>
        <v>*KEY_ERR</v>
      </c>
      <c r="BH116" s="50" t="str">
        <f ca="1">_xll.DBRW(Server&amp;Cube1,$H$13,$BC$3,$H$15,$H$17,BH$1,$H$16,$B116)</f>
        <v>*KEY_ERR</v>
      </c>
      <c r="BI116" s="50" t="str">
        <f ca="1">_xll.DBRW(Server&amp;Cube1,$H$13,$BC$3,$H$15,$H$17,BI$1,$H$16,$B116)</f>
        <v>*KEY_ERR</v>
      </c>
      <c r="BJ116" s="50" t="str">
        <f ca="1">_xll.DBRW(Server&amp;Cube1,$H$13,$BC$3,$H$15,$H$17,BJ$1,$H$16,$B116)</f>
        <v>*KEY_ERR</v>
      </c>
      <c r="BK116" s="50" t="str">
        <f ca="1">_xll.DBRW(Server&amp;Cube1,$H$13,$BC$3,$H$15,$H$17,BK$1,$H$16,$B116)</f>
        <v>*KEY_ERR</v>
      </c>
      <c r="BL116" s="50" t="str">
        <f ca="1">_xll.DBRW(Server&amp;Cube1,$H$13,$BC$3,$H$15,$H$17,BL$1,$H$16,$B116)</f>
        <v>*KEY_ERR</v>
      </c>
      <c r="BM116" s="50" t="str">
        <f ca="1">_xll.DBRW(Server&amp;Cube1,$H$13,$BC$3,$H$15,$H$17,BM$1,$H$16,$B116)</f>
        <v>*KEY_ERR</v>
      </c>
      <c r="BN116" s="50" t="str">
        <f ca="1">_xll.DBRW(Server&amp;Cube1,$H$13,$BC$3,$H$15,$H$17,BN$1,$H$16,$B116)</f>
        <v>*KEY_ERR</v>
      </c>
      <c r="BO116" s="53" t="str">
        <f ca="1">_xll.DBRW(Server&amp;Cube1,$H$13,$BC$3,$H$15,$H$17,BO$1,$H$16,$B116)</f>
        <v>*KEY_ERR</v>
      </c>
      <c r="BP116" s="31"/>
    </row>
    <row r="117" spans="1:68" ht="5.25" customHeight="1" x14ac:dyDescent="0.25">
      <c r="A117"/>
      <c r="B117" s="11"/>
      <c r="C117" s="11"/>
      <c r="D117" s="20"/>
      <c r="E117" s="170"/>
      <c r="F117" s="106"/>
      <c r="G117" s="43"/>
      <c r="H117" s="43"/>
      <c r="I117" s="38"/>
      <c r="J117" s="62"/>
      <c r="K117" s="38"/>
      <c r="L117" s="62"/>
      <c r="M117" s="63"/>
      <c r="N117" s="64"/>
      <c r="O117" s="64"/>
      <c r="P117" s="64"/>
      <c r="Q117" s="62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6"/>
      <c r="AC117" s="194"/>
      <c r="AD117" s="62"/>
      <c r="AE117" s="65"/>
      <c r="AF117" s="65"/>
      <c r="AG117" s="65"/>
      <c r="AH117" s="65"/>
      <c r="AI117" s="65"/>
      <c r="AJ117" s="65"/>
      <c r="AK117" s="65"/>
      <c r="AL117" s="65"/>
      <c r="AM117" s="65"/>
      <c r="AN117" s="65"/>
      <c r="AO117" s="66"/>
      <c r="AP117" s="194"/>
      <c r="AQ117" s="62"/>
      <c r="AR117" s="65"/>
      <c r="AS117" s="65"/>
      <c r="AT117" s="65"/>
      <c r="AU117" s="65"/>
      <c r="AV117" s="65"/>
      <c r="AW117" s="65"/>
      <c r="AX117" s="65"/>
      <c r="AY117" s="65"/>
      <c r="AZ117" s="65"/>
      <c r="BA117" s="65"/>
      <c r="BB117" s="66"/>
      <c r="BC117" s="194"/>
      <c r="BD117" s="62"/>
      <c r="BE117" s="65"/>
      <c r="BF117" s="65"/>
      <c r="BG117" s="65"/>
      <c r="BH117" s="65"/>
      <c r="BI117" s="65"/>
      <c r="BJ117" s="65"/>
      <c r="BK117" s="65"/>
      <c r="BL117" s="65"/>
      <c r="BM117" s="65"/>
      <c r="BN117" s="65"/>
      <c r="BO117" s="66"/>
      <c r="BP117" s="31"/>
    </row>
    <row r="118" spans="1:68" ht="5.25" customHeight="1" x14ac:dyDescent="0.25">
      <c r="A118"/>
      <c r="B118" s="11"/>
      <c r="C118" s="11"/>
      <c r="D118" s="20"/>
      <c r="E118" s="170"/>
      <c r="F118" s="106"/>
      <c r="G118" s="43"/>
      <c r="H118" s="43"/>
      <c r="I118" s="38"/>
      <c r="J118" s="62"/>
      <c r="K118" s="38"/>
      <c r="L118" s="62"/>
      <c r="M118" s="63"/>
      <c r="N118" s="100"/>
      <c r="O118" s="64"/>
      <c r="P118" s="100"/>
      <c r="Q118" s="62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6"/>
      <c r="AC118" s="189"/>
      <c r="AD118" s="62"/>
      <c r="AE118" s="65"/>
      <c r="AF118" s="65"/>
      <c r="AG118" s="65"/>
      <c r="AH118" s="65"/>
      <c r="AI118" s="65"/>
      <c r="AJ118" s="65"/>
      <c r="AK118" s="65"/>
      <c r="AL118" s="65"/>
      <c r="AM118" s="65"/>
      <c r="AN118" s="65"/>
      <c r="AO118" s="66"/>
      <c r="AP118" s="189"/>
      <c r="AQ118" s="62"/>
      <c r="AR118" s="65"/>
      <c r="AS118" s="65"/>
      <c r="AT118" s="65"/>
      <c r="AU118" s="65"/>
      <c r="AV118" s="65"/>
      <c r="AW118" s="65"/>
      <c r="AX118" s="65"/>
      <c r="AY118" s="65"/>
      <c r="AZ118" s="65"/>
      <c r="BA118" s="65"/>
      <c r="BB118" s="66"/>
      <c r="BC118" s="189"/>
      <c r="BD118" s="62"/>
      <c r="BE118" s="65"/>
      <c r="BF118" s="65"/>
      <c r="BG118" s="65"/>
      <c r="BH118" s="65"/>
      <c r="BI118" s="65"/>
      <c r="BJ118" s="65"/>
      <c r="BK118" s="65"/>
      <c r="BL118" s="65"/>
      <c r="BM118" s="65"/>
      <c r="BN118" s="65"/>
      <c r="BO118" s="66"/>
      <c r="BP118" s="31"/>
    </row>
    <row r="119" spans="1:68" ht="15.75" x14ac:dyDescent="0.25">
      <c r="A119"/>
      <c r="B119" s="11" t="s">
        <v>57</v>
      </c>
      <c r="C119" s="11"/>
      <c r="D119" s="20"/>
      <c r="E119" s="170"/>
      <c r="F119" s="106"/>
      <c r="G119" s="305" t="str">
        <f ca="1">_xll.DBRA(Server&amp;$B$22,$B119,"French")</f>
        <v>Produits exceptionnels</v>
      </c>
      <c r="H119" s="305" t="str">
        <f ca="1">_xll.DBRA(Server&amp;$B$22,$B119,"French")</f>
        <v>Produits exceptionnels</v>
      </c>
      <c r="I119" s="37"/>
      <c r="J119" s="54" t="str">
        <f ca="1">_xll.DBRW(Server&amp;Cube1,$H$13,$H$14,$H$15,$J$1,$J$2,$H$16,$B119)</f>
        <v/>
      </c>
      <c r="K119" s="37"/>
      <c r="L119" s="54" t="str">
        <f ca="1">_xll.DBRW(Server&amp;Cube1,$H$13,$H$14,$H$15,$L$1,$L$2,$H$16,$B119)</f>
        <v/>
      </c>
      <c r="M119" s="55"/>
      <c r="N119" s="54" t="str">
        <f ca="1">_xll.DBRW(Server&amp;Cube1,$H$13,$H$14,$H$15,$P$1,N$2,$H$16,$B119)</f>
        <v>*KEY_ERR</v>
      </c>
      <c r="O119" s="57"/>
      <c r="P119" s="54" t="str">
        <f ca="1">_xll.DBRW(Server&amp;Cube1,$H$13,$P$3,$H$15,$P$1,P$2,$H$16,$B119)</f>
        <v>*KEY_ERR</v>
      </c>
      <c r="Q119" s="54" t="str">
        <f ca="1">_xll.DBRW(Server&amp;Cube1,$H$13,$P$3,$H$15,$H$17,Q$1,$H$16,$B119)</f>
        <v>*KEY_ERR</v>
      </c>
      <c r="R119" s="58" t="str">
        <f ca="1">_xll.DBRW(Server&amp;Cube1,$H$13,$P$3,$H$15,$H$17,R$1,$H$16,$B119)</f>
        <v>*KEY_ERR</v>
      </c>
      <c r="S119" s="58" t="str">
        <f ca="1">_xll.DBRW(Server&amp;Cube1,$H$13,$P$3,$H$15,$H$17,S$1,$H$16,$B119)</f>
        <v>*KEY_ERR</v>
      </c>
      <c r="T119" s="58" t="str">
        <f ca="1">_xll.DBRW(Server&amp;Cube1,$H$13,$P$3,$H$15,$H$17,T$1,$H$16,$B119)</f>
        <v>*KEY_ERR</v>
      </c>
      <c r="U119" s="58" t="str">
        <f ca="1">_xll.DBRW(Server&amp;Cube1,$H$13,$P$3,$H$15,$H$17,U$1,$H$16,$B119)</f>
        <v>*KEY_ERR</v>
      </c>
      <c r="V119" s="58" t="str">
        <f ca="1">_xll.DBRW(Server&amp;Cube1,$H$13,$P$3,$H$15,$H$17,V$1,$H$16,$B119)</f>
        <v>*KEY_ERR</v>
      </c>
      <c r="W119" s="58" t="str">
        <f ca="1">_xll.DBRW(Server&amp;Cube1,$H$13,$P$3,$H$15,$H$17,W$1,$H$16,$B119)</f>
        <v>*KEY_ERR</v>
      </c>
      <c r="X119" s="58" t="str">
        <f ca="1">_xll.DBRW(Server&amp;Cube1,$H$13,$P$3,$H$15,$H$17,X$1,$H$16,$B119)</f>
        <v>*KEY_ERR</v>
      </c>
      <c r="Y119" s="58" t="str">
        <f ca="1">_xll.DBRW(Server&amp;Cube1,$H$13,$P$3,$H$15,$H$17,Y$1,$H$16,$B119)</f>
        <v>*KEY_ERR</v>
      </c>
      <c r="Z119" s="58" t="str">
        <f ca="1">_xll.DBRW(Server&amp;Cube1,$H$13,$P$3,$H$15,$H$17,Z$1,$H$16,$B119)</f>
        <v>*KEY_ERR</v>
      </c>
      <c r="AA119" s="58" t="str">
        <f ca="1">_xll.DBRW(Server&amp;Cube1,$H$13,$P$3,$H$15,$H$17,AA$1,$H$16,$B119)</f>
        <v>*KEY_ERR</v>
      </c>
      <c r="AB119" s="59" t="str">
        <f ca="1">_xll.DBRW(Server&amp;Cube1,$H$13,$P$3,$H$15,$H$17,AB$1,$H$16,$B119)</f>
        <v>*KEY_ERR</v>
      </c>
      <c r="AC119" s="187" t="str">
        <f ca="1">_xll.DBRW(Server&amp;Cube1,$H$13,$AC$3,$H$15,$P$1,AC$2,$H$16,$B119)</f>
        <v>*KEY_ERR</v>
      </c>
      <c r="AD119" s="54" t="str">
        <f ca="1">_xll.DBRW(Server&amp;Cube1,$H$13,$AC$3,$H$15,$H$17,AD$1,$H$16,$B119)</f>
        <v>*KEY_ERR</v>
      </c>
      <c r="AE119" s="58" t="str">
        <f ca="1">_xll.DBRW(Server&amp;Cube1,$H$13,$AC$3,$H$15,$H$17,AE$1,$H$16,$B119)</f>
        <v>*KEY_ERR</v>
      </c>
      <c r="AF119" s="58" t="str">
        <f ca="1">_xll.DBRW(Server&amp;Cube1,$H$13,$AC$3,$H$15,$H$17,AF$1,$H$16,$B119)</f>
        <v>*KEY_ERR</v>
      </c>
      <c r="AG119" s="58" t="str">
        <f ca="1">_xll.DBRW(Server&amp;Cube1,$H$13,$AC$3,$H$15,$H$17,AG$1,$H$16,$B119)</f>
        <v>*KEY_ERR</v>
      </c>
      <c r="AH119" s="58" t="str">
        <f ca="1">_xll.DBRW(Server&amp;Cube1,$H$13,$AC$3,$H$15,$H$17,AH$1,$H$16,$B119)</f>
        <v>*KEY_ERR</v>
      </c>
      <c r="AI119" s="58" t="str">
        <f ca="1">_xll.DBRW(Server&amp;Cube1,$H$13,$AC$3,$H$15,$H$17,AI$1,$H$16,$B119)</f>
        <v>*KEY_ERR</v>
      </c>
      <c r="AJ119" s="58" t="str">
        <f ca="1">_xll.DBRW(Server&amp;Cube1,$H$13,$AC$3,$H$15,$H$17,AJ$1,$H$16,$B119)</f>
        <v>*KEY_ERR</v>
      </c>
      <c r="AK119" s="58" t="str">
        <f ca="1">_xll.DBRW(Server&amp;Cube1,$H$13,$AC$3,$H$15,$H$17,AK$1,$H$16,$B119)</f>
        <v>*KEY_ERR</v>
      </c>
      <c r="AL119" s="58" t="str">
        <f ca="1">_xll.DBRW(Server&amp;Cube1,$H$13,$AC$3,$H$15,$H$17,AL$1,$H$16,$B119)</f>
        <v>*KEY_ERR</v>
      </c>
      <c r="AM119" s="58" t="str">
        <f ca="1">_xll.DBRW(Server&amp;Cube1,$H$13,$AC$3,$H$15,$H$17,AM$1,$H$16,$B119)</f>
        <v>*KEY_ERR</v>
      </c>
      <c r="AN119" s="58" t="str">
        <f ca="1">_xll.DBRW(Server&amp;Cube1,$H$13,$AC$3,$H$15,$H$17,AN$1,$H$16,$B119)</f>
        <v>*KEY_ERR</v>
      </c>
      <c r="AO119" s="59" t="str">
        <f ca="1">_xll.DBRW(Server&amp;Cube1,$H$13,$AC$3,$H$15,$H$17,AO$1,$H$16,$B119)</f>
        <v>*KEY_ERR</v>
      </c>
      <c r="AP119" s="187" t="str">
        <f ca="1">_xll.DBRW(Server&amp;Cube1,$H$13,$AP$3,$H$15,$P$1,AP$2,$H$16,$B119)</f>
        <v>*KEY_ERR</v>
      </c>
      <c r="AQ119" s="54" t="str">
        <f ca="1">_xll.DBRW(Server&amp;Cube1,$H$13,$AP$3,$H$15,$H$17,AQ$1,$H$16,$B119)</f>
        <v>*KEY_ERR</v>
      </c>
      <c r="AR119" s="58" t="str">
        <f ca="1">_xll.DBRW(Server&amp;Cube1,$H$13,$AP$3,$H$15,$H$17,AR$1,$H$16,$B119)</f>
        <v>*KEY_ERR</v>
      </c>
      <c r="AS119" s="58" t="str">
        <f ca="1">_xll.DBRW(Server&amp;Cube1,$H$13,$AP$3,$H$15,$H$17,AS$1,$H$16,$B119)</f>
        <v>*KEY_ERR</v>
      </c>
      <c r="AT119" s="58" t="str">
        <f ca="1">_xll.DBRW(Server&amp;Cube1,$H$13,$AP$3,$H$15,$H$17,AT$1,$H$16,$B119)</f>
        <v>*KEY_ERR</v>
      </c>
      <c r="AU119" s="58" t="str">
        <f ca="1">_xll.DBRW(Server&amp;Cube1,$H$13,$AP$3,$H$15,$H$17,AU$1,$H$16,$B119)</f>
        <v>*KEY_ERR</v>
      </c>
      <c r="AV119" s="58" t="str">
        <f ca="1">_xll.DBRW(Server&amp;Cube1,$H$13,$AP$3,$H$15,$H$17,AV$1,$H$16,$B119)</f>
        <v>*KEY_ERR</v>
      </c>
      <c r="AW119" s="58" t="str">
        <f ca="1">_xll.DBRW(Server&amp;Cube1,$H$13,$AP$3,$H$15,$H$17,AW$1,$H$16,$B119)</f>
        <v>*KEY_ERR</v>
      </c>
      <c r="AX119" s="58" t="str">
        <f ca="1">_xll.DBRW(Server&amp;Cube1,$H$13,$AP$3,$H$15,$H$17,AX$1,$H$16,$B119)</f>
        <v>*KEY_ERR</v>
      </c>
      <c r="AY119" s="58" t="str">
        <f ca="1">_xll.DBRW(Server&amp;Cube1,$H$13,$AP$3,$H$15,$H$17,AY$1,$H$16,$B119)</f>
        <v>*KEY_ERR</v>
      </c>
      <c r="AZ119" s="58" t="str">
        <f ca="1">_xll.DBRW(Server&amp;Cube1,$H$13,$AP$3,$H$15,$H$17,AZ$1,$H$16,$B119)</f>
        <v>*KEY_ERR</v>
      </c>
      <c r="BA119" s="58" t="str">
        <f ca="1">_xll.DBRW(Server&amp;Cube1,$H$13,$AP$3,$H$15,$H$17,BA$1,$H$16,$B119)</f>
        <v>*KEY_ERR</v>
      </c>
      <c r="BB119" s="59" t="str">
        <f ca="1">_xll.DBRW(Server&amp;Cube1,$H$13,$AP$3,$H$15,$H$17,BB$1,$H$16,$B119)</f>
        <v>*KEY_ERR</v>
      </c>
      <c r="BC119" s="187" t="str">
        <f ca="1">_xll.DBRW(Server&amp;Cube1,$H$13,$BC$3,$H$15,$P$1,BC$2,$H$16,$B119)</f>
        <v>*KEY_ERR</v>
      </c>
      <c r="BD119" s="54" t="str">
        <f ca="1">_xll.DBRW(Server&amp;Cube1,$H$13,$BC$3,$H$15,$H$17,BD$1,$H$16,$B119)</f>
        <v>*KEY_ERR</v>
      </c>
      <c r="BE119" s="58" t="str">
        <f ca="1">_xll.DBRW(Server&amp;Cube1,$H$13,$BC$3,$H$15,$H$17,BE$1,$H$16,$B119)</f>
        <v>*KEY_ERR</v>
      </c>
      <c r="BF119" s="58" t="str">
        <f ca="1">_xll.DBRW(Server&amp;Cube1,$H$13,$BC$3,$H$15,$H$17,BF$1,$H$16,$B119)</f>
        <v>*KEY_ERR</v>
      </c>
      <c r="BG119" s="58" t="str">
        <f ca="1">_xll.DBRW(Server&amp;Cube1,$H$13,$BC$3,$H$15,$H$17,BG$1,$H$16,$B119)</f>
        <v>*KEY_ERR</v>
      </c>
      <c r="BH119" s="58" t="str">
        <f ca="1">_xll.DBRW(Server&amp;Cube1,$H$13,$BC$3,$H$15,$H$17,BH$1,$H$16,$B119)</f>
        <v>*KEY_ERR</v>
      </c>
      <c r="BI119" s="58" t="str">
        <f ca="1">_xll.DBRW(Server&amp;Cube1,$H$13,$BC$3,$H$15,$H$17,BI$1,$H$16,$B119)</f>
        <v>*KEY_ERR</v>
      </c>
      <c r="BJ119" s="58" t="str">
        <f ca="1">_xll.DBRW(Server&amp;Cube1,$H$13,$BC$3,$H$15,$H$17,BJ$1,$H$16,$B119)</f>
        <v>*KEY_ERR</v>
      </c>
      <c r="BK119" s="58" t="str">
        <f ca="1">_xll.DBRW(Server&amp;Cube1,$H$13,$BC$3,$H$15,$H$17,BK$1,$H$16,$B119)</f>
        <v>*KEY_ERR</v>
      </c>
      <c r="BL119" s="58" t="str">
        <f ca="1">_xll.DBRW(Server&amp;Cube1,$H$13,$BC$3,$H$15,$H$17,BL$1,$H$16,$B119)</f>
        <v>*KEY_ERR</v>
      </c>
      <c r="BM119" s="58" t="str">
        <f ca="1">_xll.DBRW(Server&amp;Cube1,$H$13,$BC$3,$H$15,$H$17,BM$1,$H$16,$B119)</f>
        <v>*KEY_ERR</v>
      </c>
      <c r="BN119" s="58" t="str">
        <f ca="1">_xll.DBRW(Server&amp;Cube1,$H$13,$BC$3,$H$15,$H$17,BN$1,$H$16,$B119)</f>
        <v>*KEY_ERR</v>
      </c>
      <c r="BO119" s="59" t="str">
        <f ca="1">_xll.DBRW(Server&amp;Cube1,$H$13,$BC$3,$H$15,$H$17,BO$1,$H$16,$B119)</f>
        <v>*KEY_ERR</v>
      </c>
      <c r="BP119" s="31"/>
    </row>
    <row r="120" spans="1:68" ht="15.75" x14ac:dyDescent="0.25">
      <c r="A120"/>
      <c r="B120" s="11" t="s">
        <v>58</v>
      </c>
      <c r="C120" s="11"/>
      <c r="D120" s="20"/>
      <c r="E120" s="170"/>
      <c r="F120" s="106"/>
      <c r="G120" s="305" t="str">
        <f ca="1">_xll.DBRA(Server&amp;$B$22,$B120,"French")</f>
        <v>Charges exceptionnelles</v>
      </c>
      <c r="H120" s="305" t="str">
        <f ca="1">_xll.DBRA(Server&amp;$B$22,$B120,"French")</f>
        <v>Charges exceptionnelles</v>
      </c>
      <c r="I120" s="37"/>
      <c r="J120" s="54" t="str">
        <f ca="1">_xll.DBRW(Server&amp;Cube1,$H$13,$H$14,$H$15,$J$1,$J$2,$H$16,$B120)</f>
        <v/>
      </c>
      <c r="K120" s="37"/>
      <c r="L120" s="54" t="str">
        <f ca="1">_xll.DBRW(Server&amp;Cube1,$H$13,$H$14,$H$15,$L$1,$L$2,$H$16,$B120)</f>
        <v/>
      </c>
      <c r="M120" s="55"/>
      <c r="N120" s="54" t="str">
        <f ca="1">_xll.DBRW(Server&amp;Cube1,$H$13,$H$14,$H$15,$P$1,N$2,$H$16,$B120)</f>
        <v>*KEY_ERR</v>
      </c>
      <c r="O120" s="57"/>
      <c r="P120" s="54" t="str">
        <f ca="1">_xll.DBRW(Server&amp;Cube1,$H$13,$P$3,$H$15,$P$1,P$2,$H$16,$B120)</f>
        <v>*KEY_ERR</v>
      </c>
      <c r="Q120" s="54" t="str">
        <f ca="1">_xll.DBRW(Server&amp;Cube1,$H$13,$P$3,$H$15,$H$17,Q$1,$H$16,$B120)</f>
        <v>*KEY_ERR</v>
      </c>
      <c r="R120" s="58" t="str">
        <f ca="1">_xll.DBRW(Server&amp;Cube1,$H$13,$P$3,$H$15,$H$17,R$1,$H$16,$B120)</f>
        <v>*KEY_ERR</v>
      </c>
      <c r="S120" s="58" t="str">
        <f ca="1">_xll.DBRW(Server&amp;Cube1,$H$13,$P$3,$H$15,$H$17,S$1,$H$16,$B120)</f>
        <v>*KEY_ERR</v>
      </c>
      <c r="T120" s="58" t="str">
        <f ca="1">_xll.DBRW(Server&amp;Cube1,$H$13,$P$3,$H$15,$H$17,T$1,$H$16,$B120)</f>
        <v>*KEY_ERR</v>
      </c>
      <c r="U120" s="58" t="str">
        <f ca="1">_xll.DBRW(Server&amp;Cube1,$H$13,$P$3,$H$15,$H$17,U$1,$H$16,$B120)</f>
        <v>*KEY_ERR</v>
      </c>
      <c r="V120" s="58" t="str">
        <f ca="1">_xll.DBRW(Server&amp;Cube1,$H$13,$P$3,$H$15,$H$17,V$1,$H$16,$B120)</f>
        <v>*KEY_ERR</v>
      </c>
      <c r="W120" s="58" t="str">
        <f ca="1">_xll.DBRW(Server&amp;Cube1,$H$13,$P$3,$H$15,$H$17,W$1,$H$16,$B120)</f>
        <v>*KEY_ERR</v>
      </c>
      <c r="X120" s="58" t="str">
        <f ca="1">_xll.DBRW(Server&amp;Cube1,$H$13,$P$3,$H$15,$H$17,X$1,$H$16,$B120)</f>
        <v>*KEY_ERR</v>
      </c>
      <c r="Y120" s="58" t="str">
        <f ca="1">_xll.DBRW(Server&amp;Cube1,$H$13,$P$3,$H$15,$H$17,Y$1,$H$16,$B120)</f>
        <v>*KEY_ERR</v>
      </c>
      <c r="Z120" s="58" t="str">
        <f ca="1">_xll.DBRW(Server&amp;Cube1,$H$13,$P$3,$H$15,$H$17,Z$1,$H$16,$B120)</f>
        <v>*KEY_ERR</v>
      </c>
      <c r="AA120" s="58" t="str">
        <f ca="1">_xll.DBRW(Server&amp;Cube1,$H$13,$P$3,$H$15,$H$17,AA$1,$H$16,$B120)</f>
        <v>*KEY_ERR</v>
      </c>
      <c r="AB120" s="59" t="str">
        <f ca="1">_xll.DBRW(Server&amp;Cube1,$H$13,$P$3,$H$15,$H$17,AB$1,$H$16,$B120)</f>
        <v>*KEY_ERR</v>
      </c>
      <c r="AC120" s="187" t="str">
        <f ca="1">_xll.DBRW(Server&amp;Cube1,$H$13,$AC$3,$H$15,$P$1,AC$2,$H$16,$B120)</f>
        <v>*KEY_ERR</v>
      </c>
      <c r="AD120" s="54" t="str">
        <f ca="1">_xll.DBRW(Server&amp;Cube1,$H$13,$AC$3,$H$15,$H$17,AD$1,$H$16,$B120)</f>
        <v>*KEY_ERR</v>
      </c>
      <c r="AE120" s="58" t="str">
        <f ca="1">_xll.DBRW(Server&amp;Cube1,$H$13,$AC$3,$H$15,$H$17,AE$1,$H$16,$B120)</f>
        <v>*KEY_ERR</v>
      </c>
      <c r="AF120" s="58" t="str">
        <f ca="1">_xll.DBRW(Server&amp;Cube1,$H$13,$AC$3,$H$15,$H$17,AF$1,$H$16,$B120)</f>
        <v>*KEY_ERR</v>
      </c>
      <c r="AG120" s="58" t="str">
        <f ca="1">_xll.DBRW(Server&amp;Cube1,$H$13,$AC$3,$H$15,$H$17,AG$1,$H$16,$B120)</f>
        <v>*KEY_ERR</v>
      </c>
      <c r="AH120" s="58" t="str">
        <f ca="1">_xll.DBRW(Server&amp;Cube1,$H$13,$AC$3,$H$15,$H$17,AH$1,$H$16,$B120)</f>
        <v>*KEY_ERR</v>
      </c>
      <c r="AI120" s="58" t="str">
        <f ca="1">_xll.DBRW(Server&amp;Cube1,$H$13,$AC$3,$H$15,$H$17,AI$1,$H$16,$B120)</f>
        <v>*KEY_ERR</v>
      </c>
      <c r="AJ120" s="58" t="str">
        <f ca="1">_xll.DBRW(Server&amp;Cube1,$H$13,$AC$3,$H$15,$H$17,AJ$1,$H$16,$B120)</f>
        <v>*KEY_ERR</v>
      </c>
      <c r="AK120" s="58" t="str">
        <f ca="1">_xll.DBRW(Server&amp;Cube1,$H$13,$AC$3,$H$15,$H$17,AK$1,$H$16,$B120)</f>
        <v>*KEY_ERR</v>
      </c>
      <c r="AL120" s="58" t="str">
        <f ca="1">_xll.DBRW(Server&amp;Cube1,$H$13,$AC$3,$H$15,$H$17,AL$1,$H$16,$B120)</f>
        <v>*KEY_ERR</v>
      </c>
      <c r="AM120" s="58" t="str">
        <f ca="1">_xll.DBRW(Server&amp;Cube1,$H$13,$AC$3,$H$15,$H$17,AM$1,$H$16,$B120)</f>
        <v>*KEY_ERR</v>
      </c>
      <c r="AN120" s="58" t="str">
        <f ca="1">_xll.DBRW(Server&amp;Cube1,$H$13,$AC$3,$H$15,$H$17,AN$1,$H$16,$B120)</f>
        <v>*KEY_ERR</v>
      </c>
      <c r="AO120" s="59" t="str">
        <f ca="1">_xll.DBRW(Server&amp;Cube1,$H$13,$AC$3,$H$15,$H$17,AO$1,$H$16,$B120)</f>
        <v>*KEY_ERR</v>
      </c>
      <c r="AP120" s="187" t="str">
        <f ca="1">_xll.DBRW(Server&amp;Cube1,$H$13,$AP$3,$H$15,$P$1,AP$2,$H$16,$B120)</f>
        <v>*KEY_ERR</v>
      </c>
      <c r="AQ120" s="54" t="str">
        <f ca="1">_xll.DBRW(Server&amp;Cube1,$H$13,$AP$3,$H$15,$H$17,AQ$1,$H$16,$B120)</f>
        <v>*KEY_ERR</v>
      </c>
      <c r="AR120" s="58" t="str">
        <f ca="1">_xll.DBRW(Server&amp;Cube1,$H$13,$AP$3,$H$15,$H$17,AR$1,$H$16,$B120)</f>
        <v>*KEY_ERR</v>
      </c>
      <c r="AS120" s="58" t="str">
        <f ca="1">_xll.DBRW(Server&amp;Cube1,$H$13,$AP$3,$H$15,$H$17,AS$1,$H$16,$B120)</f>
        <v>*KEY_ERR</v>
      </c>
      <c r="AT120" s="58" t="str">
        <f ca="1">_xll.DBRW(Server&amp;Cube1,$H$13,$AP$3,$H$15,$H$17,AT$1,$H$16,$B120)</f>
        <v>*KEY_ERR</v>
      </c>
      <c r="AU120" s="58" t="str">
        <f ca="1">_xll.DBRW(Server&amp;Cube1,$H$13,$AP$3,$H$15,$H$17,AU$1,$H$16,$B120)</f>
        <v>*KEY_ERR</v>
      </c>
      <c r="AV120" s="58" t="str">
        <f ca="1">_xll.DBRW(Server&amp;Cube1,$H$13,$AP$3,$H$15,$H$17,AV$1,$H$16,$B120)</f>
        <v>*KEY_ERR</v>
      </c>
      <c r="AW120" s="58" t="str">
        <f ca="1">_xll.DBRW(Server&amp;Cube1,$H$13,$AP$3,$H$15,$H$17,AW$1,$H$16,$B120)</f>
        <v>*KEY_ERR</v>
      </c>
      <c r="AX120" s="58" t="str">
        <f ca="1">_xll.DBRW(Server&amp;Cube1,$H$13,$AP$3,$H$15,$H$17,AX$1,$H$16,$B120)</f>
        <v>*KEY_ERR</v>
      </c>
      <c r="AY120" s="58" t="str">
        <f ca="1">_xll.DBRW(Server&amp;Cube1,$H$13,$AP$3,$H$15,$H$17,AY$1,$H$16,$B120)</f>
        <v>*KEY_ERR</v>
      </c>
      <c r="AZ120" s="58" t="str">
        <f ca="1">_xll.DBRW(Server&amp;Cube1,$H$13,$AP$3,$H$15,$H$17,AZ$1,$H$16,$B120)</f>
        <v>*KEY_ERR</v>
      </c>
      <c r="BA120" s="58" t="str">
        <f ca="1">_xll.DBRW(Server&amp;Cube1,$H$13,$AP$3,$H$15,$H$17,BA$1,$H$16,$B120)</f>
        <v>*KEY_ERR</v>
      </c>
      <c r="BB120" s="59" t="str">
        <f ca="1">_xll.DBRW(Server&amp;Cube1,$H$13,$AP$3,$H$15,$H$17,BB$1,$H$16,$B120)</f>
        <v>*KEY_ERR</v>
      </c>
      <c r="BC120" s="187" t="str">
        <f ca="1">_xll.DBRW(Server&amp;Cube1,$H$13,$BC$3,$H$15,$P$1,BC$2,$H$16,$B120)</f>
        <v>*KEY_ERR</v>
      </c>
      <c r="BD120" s="54" t="str">
        <f ca="1">_xll.DBRW(Server&amp;Cube1,$H$13,$BC$3,$H$15,$H$17,BD$1,$H$16,$B120)</f>
        <v>*KEY_ERR</v>
      </c>
      <c r="BE120" s="58" t="str">
        <f ca="1">_xll.DBRW(Server&amp;Cube1,$H$13,$BC$3,$H$15,$H$17,BE$1,$H$16,$B120)</f>
        <v>*KEY_ERR</v>
      </c>
      <c r="BF120" s="58" t="str">
        <f ca="1">_xll.DBRW(Server&amp;Cube1,$H$13,$BC$3,$H$15,$H$17,BF$1,$H$16,$B120)</f>
        <v>*KEY_ERR</v>
      </c>
      <c r="BG120" s="58" t="str">
        <f ca="1">_xll.DBRW(Server&amp;Cube1,$H$13,$BC$3,$H$15,$H$17,BG$1,$H$16,$B120)</f>
        <v>*KEY_ERR</v>
      </c>
      <c r="BH120" s="58" t="str">
        <f ca="1">_xll.DBRW(Server&amp;Cube1,$H$13,$BC$3,$H$15,$H$17,BH$1,$H$16,$B120)</f>
        <v>*KEY_ERR</v>
      </c>
      <c r="BI120" s="58" t="str">
        <f ca="1">_xll.DBRW(Server&amp;Cube1,$H$13,$BC$3,$H$15,$H$17,BI$1,$H$16,$B120)</f>
        <v>*KEY_ERR</v>
      </c>
      <c r="BJ120" s="58" t="str">
        <f ca="1">_xll.DBRW(Server&amp;Cube1,$H$13,$BC$3,$H$15,$H$17,BJ$1,$H$16,$B120)</f>
        <v>*KEY_ERR</v>
      </c>
      <c r="BK120" s="58" t="str">
        <f ca="1">_xll.DBRW(Server&amp;Cube1,$H$13,$BC$3,$H$15,$H$17,BK$1,$H$16,$B120)</f>
        <v>*KEY_ERR</v>
      </c>
      <c r="BL120" s="58" t="str">
        <f ca="1">_xll.DBRW(Server&amp;Cube1,$H$13,$BC$3,$H$15,$H$17,BL$1,$H$16,$B120)</f>
        <v>*KEY_ERR</v>
      </c>
      <c r="BM120" s="58" t="str">
        <f ca="1">_xll.DBRW(Server&amp;Cube1,$H$13,$BC$3,$H$15,$H$17,BM$1,$H$16,$B120)</f>
        <v>*KEY_ERR</v>
      </c>
      <c r="BN120" s="58" t="str">
        <f ca="1">_xll.DBRW(Server&amp;Cube1,$H$13,$BC$3,$H$15,$H$17,BN$1,$H$16,$B120)</f>
        <v>*KEY_ERR</v>
      </c>
      <c r="BO120" s="59" t="str">
        <f ca="1">_xll.DBRW(Server&amp;Cube1,$H$13,$BC$3,$H$15,$H$17,BO$1,$H$16,$B120)</f>
        <v>*KEY_ERR</v>
      </c>
      <c r="BP120" s="31"/>
    </row>
    <row r="121" spans="1:68" ht="6.75" customHeight="1" x14ac:dyDescent="0.25">
      <c r="A121"/>
      <c r="B121" s="11"/>
      <c r="C121" s="11"/>
      <c r="D121" s="20"/>
      <c r="E121" s="170"/>
      <c r="F121" s="106"/>
      <c r="G121" s="43"/>
      <c r="H121" s="43"/>
      <c r="I121" s="38"/>
      <c r="J121" s="62"/>
      <c r="K121" s="38"/>
      <c r="L121" s="62"/>
      <c r="M121" s="63"/>
      <c r="N121" s="64"/>
      <c r="O121" s="64"/>
      <c r="P121" s="64"/>
      <c r="Q121" s="62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6"/>
      <c r="AC121" s="194"/>
      <c r="AD121" s="62"/>
      <c r="AE121" s="65"/>
      <c r="AF121" s="65"/>
      <c r="AG121" s="65"/>
      <c r="AH121" s="65"/>
      <c r="AI121" s="65"/>
      <c r="AJ121" s="65"/>
      <c r="AK121" s="65"/>
      <c r="AL121" s="65"/>
      <c r="AM121" s="65"/>
      <c r="AN121" s="65"/>
      <c r="AO121" s="66"/>
      <c r="AP121" s="64"/>
      <c r="AQ121" s="62"/>
      <c r="AR121" s="65"/>
      <c r="AS121" s="65"/>
      <c r="AT121" s="65"/>
      <c r="AU121" s="65"/>
      <c r="AV121" s="65"/>
      <c r="AW121" s="65"/>
      <c r="AX121" s="65"/>
      <c r="AY121" s="65"/>
      <c r="AZ121" s="65"/>
      <c r="BA121" s="65"/>
      <c r="BB121" s="66"/>
      <c r="BC121" s="194"/>
      <c r="BD121" s="62"/>
      <c r="BE121" s="65"/>
      <c r="BF121" s="65"/>
      <c r="BG121" s="65"/>
      <c r="BH121" s="65"/>
      <c r="BI121" s="65"/>
      <c r="BJ121" s="65"/>
      <c r="BK121" s="65"/>
      <c r="BL121" s="65"/>
      <c r="BM121" s="65"/>
      <c r="BN121" s="65"/>
      <c r="BO121" s="66"/>
      <c r="BP121" s="31"/>
    </row>
    <row r="122" spans="1:68" ht="22.5" customHeight="1" x14ac:dyDescent="0.25">
      <c r="A122"/>
      <c r="B122" s="12" t="s">
        <v>56</v>
      </c>
      <c r="C122" s="12"/>
      <c r="D122" s="21"/>
      <c r="E122" s="169"/>
      <c r="F122" s="105"/>
      <c r="G122" s="173" t="str">
        <f ca="1">_xll.DBRA(Server&amp;$B$22,$B122,"French")</f>
        <v>RESULTAT exceptionnel</v>
      </c>
      <c r="H122" s="52"/>
      <c r="I122" s="39"/>
      <c r="J122" s="51" t="str">
        <f ca="1">_xll.DBRW(Server&amp;Cube1,$H$13,$H$14,$H$15,$J$1,$J$2,$H$16,$B122)</f>
        <v/>
      </c>
      <c r="K122" s="39"/>
      <c r="L122" s="51" t="str">
        <f ca="1">_xll.DBRW(Server&amp;Cube1,$H$13,$H$14,$H$15,$L$1,$L$2,$H$16,$B122)</f>
        <v/>
      </c>
      <c r="M122" s="60"/>
      <c r="N122" s="51" t="str">
        <f ca="1">_xll.DBRW(Server&amp;Cube1,$H$13,$H$14,$H$15,$P$1,N$2,$H$16,$B122)</f>
        <v>*KEY_ERR</v>
      </c>
      <c r="O122" s="61"/>
      <c r="P122" s="51" t="str">
        <f ca="1">_xll.DBRW(Server&amp;Cube1,$H$13,$P$3,$H$15,$P$1,P$2,$H$16,$B122)</f>
        <v>*KEY_ERR</v>
      </c>
      <c r="Q122" s="49" t="str">
        <f ca="1">_xll.DBRW(Server&amp;Cube1,$H$13,$P$3,$H$15,$H$17,Q$1,$H$16,$B122)</f>
        <v>*KEY_ERR</v>
      </c>
      <c r="R122" s="50" t="str">
        <f ca="1">_xll.DBRW(Server&amp;Cube1,$H$13,$P$3,$H$15,$H$17,R$1,$H$16,$B122)</f>
        <v>*KEY_ERR</v>
      </c>
      <c r="S122" s="50" t="str">
        <f ca="1">_xll.DBRW(Server&amp;Cube1,$H$13,$P$3,$H$15,$H$17,S$1,$H$16,$B122)</f>
        <v>*KEY_ERR</v>
      </c>
      <c r="T122" s="50" t="str">
        <f ca="1">_xll.DBRW(Server&amp;Cube1,$H$13,$P$3,$H$15,$H$17,T$1,$H$16,$B122)</f>
        <v>*KEY_ERR</v>
      </c>
      <c r="U122" s="50" t="str">
        <f ca="1">_xll.DBRW(Server&amp;Cube1,$H$13,$P$3,$H$15,$H$17,U$1,$H$16,$B122)</f>
        <v>*KEY_ERR</v>
      </c>
      <c r="V122" s="50" t="str">
        <f ca="1">_xll.DBRW(Server&amp;Cube1,$H$13,$P$3,$H$15,$H$17,V$1,$H$16,$B122)</f>
        <v>*KEY_ERR</v>
      </c>
      <c r="W122" s="50" t="str">
        <f ca="1">_xll.DBRW(Server&amp;Cube1,$H$13,$P$3,$H$15,$H$17,W$1,$H$16,$B122)</f>
        <v>*KEY_ERR</v>
      </c>
      <c r="X122" s="50" t="str">
        <f ca="1">_xll.DBRW(Server&amp;Cube1,$H$13,$P$3,$H$15,$H$17,X$1,$H$16,$B122)</f>
        <v>*KEY_ERR</v>
      </c>
      <c r="Y122" s="50" t="str">
        <f ca="1">_xll.DBRW(Server&amp;Cube1,$H$13,$P$3,$H$15,$H$17,Y$1,$H$16,$B122)</f>
        <v>*KEY_ERR</v>
      </c>
      <c r="Z122" s="50" t="str">
        <f ca="1">_xll.DBRW(Server&amp;Cube1,$H$13,$P$3,$H$15,$H$17,Z$1,$H$16,$B122)</f>
        <v>*KEY_ERR</v>
      </c>
      <c r="AA122" s="50" t="str">
        <f ca="1">_xll.DBRW(Server&amp;Cube1,$H$13,$P$3,$H$15,$H$17,AA$1,$H$16,$B122)</f>
        <v>*KEY_ERR</v>
      </c>
      <c r="AB122" s="183" t="str">
        <f ca="1">_xll.DBRW(Server&amp;Cube1,$H$13,$P$3,$H$15,$H$17,AB$1,$H$16,$B122)</f>
        <v>*KEY_ERR</v>
      </c>
      <c r="AC122" s="188" t="str">
        <f ca="1">_xll.DBRW(Server&amp;Cube1,$H$13,$AC$3,$H$15,$P$1,AC$2,$H$16,$B122)</f>
        <v>*KEY_ERR</v>
      </c>
      <c r="AD122" s="49" t="str">
        <f ca="1">_xll.DBRW(Server&amp;Cube1,$H$13,$AC$3,$H$15,$H$17,AD$1,$H$16,$B122)</f>
        <v>*KEY_ERR</v>
      </c>
      <c r="AE122" s="50" t="str">
        <f ca="1">_xll.DBRW(Server&amp;Cube1,$H$13,$AC$3,$H$15,$H$17,AE$1,$H$16,$B122)</f>
        <v>*KEY_ERR</v>
      </c>
      <c r="AF122" s="50" t="str">
        <f ca="1">_xll.DBRW(Server&amp;Cube1,$H$13,$AC$3,$H$15,$H$17,AF$1,$H$16,$B122)</f>
        <v>*KEY_ERR</v>
      </c>
      <c r="AG122" s="50" t="str">
        <f ca="1">_xll.DBRW(Server&amp;Cube1,$H$13,$AC$3,$H$15,$H$17,AG$1,$H$16,$B122)</f>
        <v>*KEY_ERR</v>
      </c>
      <c r="AH122" s="50" t="str">
        <f ca="1">_xll.DBRW(Server&amp;Cube1,$H$13,$AC$3,$H$15,$H$17,AH$1,$H$16,$B122)</f>
        <v>*KEY_ERR</v>
      </c>
      <c r="AI122" s="50" t="str">
        <f ca="1">_xll.DBRW(Server&amp;Cube1,$H$13,$AC$3,$H$15,$H$17,AI$1,$H$16,$B122)</f>
        <v>*KEY_ERR</v>
      </c>
      <c r="AJ122" s="50" t="str">
        <f ca="1">_xll.DBRW(Server&amp;Cube1,$H$13,$AC$3,$H$15,$H$17,AJ$1,$H$16,$B122)</f>
        <v>*KEY_ERR</v>
      </c>
      <c r="AK122" s="50" t="str">
        <f ca="1">_xll.DBRW(Server&amp;Cube1,$H$13,$AC$3,$H$15,$H$17,AK$1,$H$16,$B122)</f>
        <v>*KEY_ERR</v>
      </c>
      <c r="AL122" s="50" t="str">
        <f ca="1">_xll.DBRW(Server&amp;Cube1,$H$13,$AC$3,$H$15,$H$17,AL$1,$H$16,$B122)</f>
        <v>*KEY_ERR</v>
      </c>
      <c r="AM122" s="50" t="str">
        <f ca="1">_xll.DBRW(Server&amp;Cube1,$H$13,$AC$3,$H$15,$H$17,AM$1,$H$16,$B122)</f>
        <v>*KEY_ERR</v>
      </c>
      <c r="AN122" s="50" t="str">
        <f ca="1">_xll.DBRW(Server&amp;Cube1,$H$13,$AC$3,$H$15,$H$17,AN$1,$H$16,$B122)</f>
        <v>*KEY_ERR</v>
      </c>
      <c r="AO122" s="183" t="str">
        <f ca="1">_xll.DBRW(Server&amp;Cube1,$H$13,$AC$3,$H$15,$H$17,AO$1,$H$16,$B122)</f>
        <v>*KEY_ERR</v>
      </c>
      <c r="AP122" s="188" t="str">
        <f ca="1">_xll.DBRW(Server&amp;Cube1,$H$13,$AP$3,$H$15,$P$1,AP$2,$H$16,$B122)</f>
        <v>*KEY_ERR</v>
      </c>
      <c r="AQ122" s="49" t="str">
        <f ca="1">_xll.DBRW(Server&amp;Cube1,$H$13,$AP$3,$H$15,$H$17,AQ$1,$H$16,$B122)</f>
        <v>*KEY_ERR</v>
      </c>
      <c r="AR122" s="50" t="str">
        <f ca="1">_xll.DBRW(Server&amp;Cube1,$H$13,$AP$3,$H$15,$H$17,AR$1,$H$16,$B122)</f>
        <v>*KEY_ERR</v>
      </c>
      <c r="AS122" s="50" t="str">
        <f ca="1">_xll.DBRW(Server&amp;Cube1,$H$13,$AP$3,$H$15,$H$17,AS$1,$H$16,$B122)</f>
        <v>*KEY_ERR</v>
      </c>
      <c r="AT122" s="50" t="str">
        <f ca="1">_xll.DBRW(Server&amp;Cube1,$H$13,$AP$3,$H$15,$H$17,AT$1,$H$16,$B122)</f>
        <v>*KEY_ERR</v>
      </c>
      <c r="AU122" s="50" t="str">
        <f ca="1">_xll.DBRW(Server&amp;Cube1,$H$13,$AP$3,$H$15,$H$17,AU$1,$H$16,$B122)</f>
        <v>*KEY_ERR</v>
      </c>
      <c r="AV122" s="50" t="str">
        <f ca="1">_xll.DBRW(Server&amp;Cube1,$H$13,$AP$3,$H$15,$H$17,AV$1,$H$16,$B122)</f>
        <v>*KEY_ERR</v>
      </c>
      <c r="AW122" s="50" t="str">
        <f ca="1">_xll.DBRW(Server&amp;Cube1,$H$13,$AP$3,$H$15,$H$17,AW$1,$H$16,$B122)</f>
        <v>*KEY_ERR</v>
      </c>
      <c r="AX122" s="50" t="str">
        <f ca="1">_xll.DBRW(Server&amp;Cube1,$H$13,$AP$3,$H$15,$H$17,AX$1,$H$16,$B122)</f>
        <v>*KEY_ERR</v>
      </c>
      <c r="AY122" s="50" t="str">
        <f ca="1">_xll.DBRW(Server&amp;Cube1,$H$13,$AP$3,$H$15,$H$17,AY$1,$H$16,$B122)</f>
        <v>*KEY_ERR</v>
      </c>
      <c r="AZ122" s="50" t="str">
        <f ca="1">_xll.DBRW(Server&amp;Cube1,$H$13,$AP$3,$H$15,$H$17,AZ$1,$H$16,$B122)</f>
        <v>*KEY_ERR</v>
      </c>
      <c r="BA122" s="50" t="str">
        <f ca="1">_xll.DBRW(Server&amp;Cube1,$H$13,$AP$3,$H$15,$H$17,BA$1,$H$16,$B122)</f>
        <v>*KEY_ERR</v>
      </c>
      <c r="BB122" s="183" t="str">
        <f ca="1">_xll.DBRW(Server&amp;Cube1,$H$13,$AP$3,$H$15,$H$17,BB$1,$H$16,$B122)</f>
        <v>*KEY_ERR</v>
      </c>
      <c r="BC122" s="188" t="str">
        <f ca="1">_xll.DBRW(Server&amp;Cube1,$H$13,$BC$3,$H$15,$P$1,BC$2,$H$16,$B122)</f>
        <v>*KEY_ERR</v>
      </c>
      <c r="BD122" s="49" t="str">
        <f ca="1">_xll.DBRW(Server&amp;Cube1,$H$13,$BC$3,$H$15,$H$17,BD$1,$H$16,$B122)</f>
        <v>*KEY_ERR</v>
      </c>
      <c r="BE122" s="50" t="str">
        <f ca="1">_xll.DBRW(Server&amp;Cube1,$H$13,$BC$3,$H$15,$H$17,BE$1,$H$16,$B122)</f>
        <v>*KEY_ERR</v>
      </c>
      <c r="BF122" s="50" t="str">
        <f ca="1">_xll.DBRW(Server&amp;Cube1,$H$13,$BC$3,$H$15,$H$17,BF$1,$H$16,$B122)</f>
        <v>*KEY_ERR</v>
      </c>
      <c r="BG122" s="50" t="str">
        <f ca="1">_xll.DBRW(Server&amp;Cube1,$H$13,$BC$3,$H$15,$H$17,BG$1,$H$16,$B122)</f>
        <v>*KEY_ERR</v>
      </c>
      <c r="BH122" s="50" t="str">
        <f ca="1">_xll.DBRW(Server&amp;Cube1,$H$13,$BC$3,$H$15,$H$17,BH$1,$H$16,$B122)</f>
        <v>*KEY_ERR</v>
      </c>
      <c r="BI122" s="50" t="str">
        <f ca="1">_xll.DBRW(Server&amp;Cube1,$H$13,$BC$3,$H$15,$H$17,BI$1,$H$16,$B122)</f>
        <v>*KEY_ERR</v>
      </c>
      <c r="BJ122" s="50" t="str">
        <f ca="1">_xll.DBRW(Server&amp;Cube1,$H$13,$BC$3,$H$15,$H$17,BJ$1,$H$16,$B122)</f>
        <v>*KEY_ERR</v>
      </c>
      <c r="BK122" s="50" t="str">
        <f ca="1">_xll.DBRW(Server&amp;Cube1,$H$13,$BC$3,$H$15,$H$17,BK$1,$H$16,$B122)</f>
        <v>*KEY_ERR</v>
      </c>
      <c r="BL122" s="50" t="str">
        <f ca="1">_xll.DBRW(Server&amp;Cube1,$H$13,$BC$3,$H$15,$H$17,BL$1,$H$16,$B122)</f>
        <v>*KEY_ERR</v>
      </c>
      <c r="BM122" s="50" t="str">
        <f ca="1">_xll.DBRW(Server&amp;Cube1,$H$13,$BC$3,$H$15,$H$17,BM$1,$H$16,$B122)</f>
        <v>*KEY_ERR</v>
      </c>
      <c r="BN122" s="50" t="str">
        <f ca="1">_xll.DBRW(Server&amp;Cube1,$H$13,$BC$3,$H$15,$H$17,BN$1,$H$16,$B122)</f>
        <v>*KEY_ERR</v>
      </c>
      <c r="BO122" s="53" t="str">
        <f ca="1">_xll.DBRW(Server&amp;Cube1,$H$13,$BC$3,$H$15,$H$17,BO$1,$H$16,$B122)</f>
        <v>*KEY_ERR</v>
      </c>
      <c r="BP122" s="31"/>
    </row>
    <row r="123" spans="1:68" ht="5.25" customHeight="1" x14ac:dyDescent="0.25">
      <c r="A123"/>
      <c r="B123" s="11"/>
      <c r="C123" s="11"/>
      <c r="D123" s="20"/>
      <c r="E123" s="170"/>
      <c r="F123" s="106"/>
      <c r="G123" s="43"/>
      <c r="H123" s="43"/>
      <c r="I123" s="38"/>
      <c r="J123" s="62"/>
      <c r="K123" s="38"/>
      <c r="L123" s="62"/>
      <c r="M123" s="63"/>
      <c r="N123" s="64"/>
      <c r="O123" s="64"/>
      <c r="P123" s="64"/>
      <c r="Q123" s="62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6"/>
      <c r="AC123" s="194"/>
      <c r="AD123" s="62"/>
      <c r="AE123" s="65"/>
      <c r="AF123" s="65"/>
      <c r="AG123" s="65"/>
      <c r="AH123" s="65"/>
      <c r="AI123" s="65"/>
      <c r="AJ123" s="65"/>
      <c r="AK123" s="65"/>
      <c r="AL123" s="65"/>
      <c r="AM123" s="65"/>
      <c r="AN123" s="65"/>
      <c r="AO123" s="66"/>
      <c r="AP123" s="194"/>
      <c r="AQ123" s="62"/>
      <c r="AR123" s="65"/>
      <c r="AS123" s="65"/>
      <c r="AT123" s="65"/>
      <c r="AU123" s="65"/>
      <c r="AV123" s="65"/>
      <c r="AW123" s="65"/>
      <c r="AX123" s="65"/>
      <c r="AY123" s="65"/>
      <c r="AZ123" s="65"/>
      <c r="BA123" s="65"/>
      <c r="BB123" s="66"/>
      <c r="BC123" s="194"/>
      <c r="BD123" s="62"/>
      <c r="BE123" s="65"/>
      <c r="BF123" s="65"/>
      <c r="BG123" s="65"/>
      <c r="BH123" s="65"/>
      <c r="BI123" s="65"/>
      <c r="BJ123" s="65"/>
      <c r="BK123" s="65"/>
      <c r="BL123" s="65"/>
      <c r="BM123" s="65"/>
      <c r="BN123" s="65"/>
      <c r="BO123" s="66"/>
      <c r="BP123" s="31"/>
    </row>
    <row r="124" spans="1:68" ht="5.25" customHeight="1" x14ac:dyDescent="0.25">
      <c r="A124"/>
      <c r="B124" s="11"/>
      <c r="C124" s="11"/>
      <c r="D124" s="20"/>
      <c r="E124" s="170"/>
      <c r="F124" s="106"/>
      <c r="G124" s="43"/>
      <c r="H124" s="43"/>
      <c r="I124" s="38"/>
      <c r="J124" s="62"/>
      <c r="K124" s="38"/>
      <c r="L124" s="62"/>
      <c r="M124" s="63"/>
      <c r="N124" s="64"/>
      <c r="O124" s="64"/>
      <c r="P124" s="64"/>
      <c r="Q124" s="62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6"/>
      <c r="AC124" s="194"/>
      <c r="AD124" s="62"/>
      <c r="AE124" s="65"/>
      <c r="AF124" s="65"/>
      <c r="AG124" s="65"/>
      <c r="AH124" s="65"/>
      <c r="AI124" s="65"/>
      <c r="AJ124" s="65"/>
      <c r="AK124" s="65"/>
      <c r="AL124" s="65"/>
      <c r="AM124" s="65"/>
      <c r="AN124" s="65"/>
      <c r="AO124" s="66"/>
      <c r="AP124" s="194"/>
      <c r="AQ124" s="62"/>
      <c r="AR124" s="65"/>
      <c r="AS124" s="65"/>
      <c r="AT124" s="65"/>
      <c r="AU124" s="65"/>
      <c r="AV124" s="65"/>
      <c r="AW124" s="65"/>
      <c r="AX124" s="65"/>
      <c r="AY124" s="65"/>
      <c r="AZ124" s="65"/>
      <c r="BA124" s="65"/>
      <c r="BB124" s="66"/>
      <c r="BC124" s="194"/>
      <c r="BD124" s="62"/>
      <c r="BE124" s="65"/>
      <c r="BF124" s="65"/>
      <c r="BG124" s="65"/>
      <c r="BH124" s="65"/>
      <c r="BI124" s="65"/>
      <c r="BJ124" s="65"/>
      <c r="BK124" s="65"/>
      <c r="BL124" s="65"/>
      <c r="BM124" s="65"/>
      <c r="BN124" s="65"/>
      <c r="BO124" s="66"/>
      <c r="BP124" s="31"/>
    </row>
    <row r="125" spans="1:68" ht="8.25" customHeight="1" x14ac:dyDescent="0.25">
      <c r="A125"/>
      <c r="B125" s="11"/>
      <c r="C125" s="11"/>
      <c r="D125" s="20"/>
      <c r="E125" s="170"/>
      <c r="F125" s="106"/>
      <c r="G125" s="43"/>
      <c r="H125" s="43"/>
      <c r="I125" s="38"/>
      <c r="J125" s="62"/>
      <c r="K125" s="38"/>
      <c r="L125" s="62"/>
      <c r="M125" s="63"/>
      <c r="N125" s="64"/>
      <c r="O125" s="64"/>
      <c r="P125" s="64"/>
      <c r="Q125" s="62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6"/>
      <c r="AC125" s="194"/>
      <c r="AD125" s="62"/>
      <c r="AE125" s="65"/>
      <c r="AF125" s="65"/>
      <c r="AG125" s="65"/>
      <c r="AH125" s="65"/>
      <c r="AI125" s="65"/>
      <c r="AJ125" s="65"/>
      <c r="AK125" s="65"/>
      <c r="AL125" s="65"/>
      <c r="AM125" s="65"/>
      <c r="AN125" s="65"/>
      <c r="AO125" s="66"/>
      <c r="AP125" s="194"/>
      <c r="AQ125" s="62"/>
      <c r="AR125" s="65"/>
      <c r="AS125" s="65"/>
      <c r="AT125" s="65"/>
      <c r="AU125" s="65"/>
      <c r="AV125" s="65"/>
      <c r="AW125" s="65"/>
      <c r="AX125" s="65"/>
      <c r="AY125" s="65"/>
      <c r="AZ125" s="65"/>
      <c r="BA125" s="65"/>
      <c r="BB125" s="66"/>
      <c r="BC125" s="194"/>
      <c r="BD125" s="62"/>
      <c r="BE125" s="65"/>
      <c r="BF125" s="65"/>
      <c r="BG125" s="65"/>
      <c r="BH125" s="65"/>
      <c r="BI125" s="65"/>
      <c r="BJ125" s="65"/>
      <c r="BK125" s="65"/>
      <c r="BL125" s="65"/>
      <c r="BM125" s="65"/>
      <c r="BN125" s="65"/>
      <c r="BO125" s="66"/>
      <c r="BP125" s="31"/>
    </row>
    <row r="126" spans="1:68" ht="28.5" customHeight="1" x14ac:dyDescent="0.25">
      <c r="A126"/>
      <c r="B126" s="12" t="s">
        <v>18</v>
      </c>
      <c r="C126" s="12"/>
      <c r="D126" s="21"/>
      <c r="E126" s="169"/>
      <c r="F126" s="328" t="str">
        <f ca="1">_xll.DBRA(Server&amp;$B$22,$B126,"French")</f>
        <v>RESULTAT avant Impôts et Taxes</v>
      </c>
      <c r="G126" s="329"/>
      <c r="H126" s="330"/>
      <c r="I126" s="39"/>
      <c r="J126" s="51" t="str">
        <f ca="1">_xll.DBRW(Server&amp;Cube1,$H$13,$H$14,$H$15,$J$1,$J$2,$H$16,$B126)</f>
        <v/>
      </c>
      <c r="K126" s="39"/>
      <c r="L126" s="51" t="str">
        <f ca="1">_xll.DBRW(Server&amp;Cube1,$H$13,$H$14,$H$15,$L$1,$L$2,$H$16,$B126)</f>
        <v/>
      </c>
      <c r="M126" s="60"/>
      <c r="N126" s="51" t="str">
        <f ca="1">_xll.DBRW(Server&amp;Cube1,$H$13,$H$14,$H$15,$P$1,N$2,$H$16,$B126)</f>
        <v>*KEY_ERR</v>
      </c>
      <c r="O126" s="61"/>
      <c r="P126" s="51" t="str">
        <f ca="1">_xll.DBRW(Server&amp;Cube1,$H$13,$P$3,$H$15,$P$1,P$2,$H$16,$B126)</f>
        <v>*KEY_ERR</v>
      </c>
      <c r="Q126" s="49" t="str">
        <f ca="1">_xll.DBRW(Server&amp;Cube1,$H$13,$P$3,$H$15,$H$17,Q$1,$H$16,$B126)</f>
        <v>*KEY_ERR</v>
      </c>
      <c r="R126" s="50" t="str">
        <f ca="1">_xll.DBRW(Server&amp;Cube1,$H$13,$P$3,$H$15,$H$17,R$1,$H$16,$B126)</f>
        <v>*KEY_ERR</v>
      </c>
      <c r="S126" s="50" t="str">
        <f ca="1">_xll.DBRW(Server&amp;Cube1,$H$13,$P$3,$H$15,$H$17,S$1,$H$16,$B126)</f>
        <v>*KEY_ERR</v>
      </c>
      <c r="T126" s="50" t="str">
        <f ca="1">_xll.DBRW(Server&amp;Cube1,$H$13,$P$3,$H$15,$H$17,T$1,$H$16,$B126)</f>
        <v>*KEY_ERR</v>
      </c>
      <c r="U126" s="50" t="str">
        <f ca="1">_xll.DBRW(Server&amp;Cube1,$H$13,$P$3,$H$15,$H$17,U$1,$H$16,$B126)</f>
        <v>*KEY_ERR</v>
      </c>
      <c r="V126" s="50" t="str">
        <f ca="1">_xll.DBRW(Server&amp;Cube1,$H$13,$P$3,$H$15,$H$17,V$1,$H$16,$B126)</f>
        <v>*KEY_ERR</v>
      </c>
      <c r="W126" s="50" t="str">
        <f ca="1">_xll.DBRW(Server&amp;Cube1,$H$13,$P$3,$H$15,$H$17,W$1,$H$16,$B126)</f>
        <v>*KEY_ERR</v>
      </c>
      <c r="X126" s="50" t="str">
        <f ca="1">_xll.DBRW(Server&amp;Cube1,$H$13,$P$3,$H$15,$H$17,X$1,$H$16,$B126)</f>
        <v>*KEY_ERR</v>
      </c>
      <c r="Y126" s="50" t="str">
        <f ca="1">_xll.DBRW(Server&amp;Cube1,$H$13,$P$3,$H$15,$H$17,Y$1,$H$16,$B126)</f>
        <v>*KEY_ERR</v>
      </c>
      <c r="Z126" s="50" t="str">
        <f ca="1">_xll.DBRW(Server&amp;Cube1,$H$13,$P$3,$H$15,$H$17,Z$1,$H$16,$B126)</f>
        <v>*KEY_ERR</v>
      </c>
      <c r="AA126" s="50" t="str">
        <f ca="1">_xll.DBRW(Server&amp;Cube1,$H$13,$P$3,$H$15,$H$17,AA$1,$H$16,$B126)</f>
        <v>*KEY_ERR</v>
      </c>
      <c r="AB126" s="183" t="str">
        <f ca="1">_xll.DBRW(Server&amp;Cube1,$H$13,$P$3,$H$15,$H$17,AB$1,$H$16,$B126)</f>
        <v>*KEY_ERR</v>
      </c>
      <c r="AC126" s="188" t="str">
        <f ca="1">_xll.DBRW(Server&amp;Cube1,$H$13,$AC$3,$H$15,$P$1,AC$2,$H$16,$B126)</f>
        <v>*KEY_ERR</v>
      </c>
      <c r="AD126" s="49" t="str">
        <f ca="1">_xll.DBRW(Server&amp;Cube1,$H$13,$AC$3,$H$15,$H$17,AD$1,$H$16,$B126)</f>
        <v>*KEY_ERR</v>
      </c>
      <c r="AE126" s="50" t="str">
        <f ca="1">_xll.DBRW(Server&amp;Cube1,$H$13,$AC$3,$H$15,$H$17,AE$1,$H$16,$B126)</f>
        <v>*KEY_ERR</v>
      </c>
      <c r="AF126" s="50" t="str">
        <f ca="1">_xll.DBRW(Server&amp;Cube1,$H$13,$AC$3,$H$15,$H$17,AF$1,$H$16,$B126)</f>
        <v>*KEY_ERR</v>
      </c>
      <c r="AG126" s="50" t="str">
        <f ca="1">_xll.DBRW(Server&amp;Cube1,$H$13,$AC$3,$H$15,$H$17,AG$1,$H$16,$B126)</f>
        <v>*KEY_ERR</v>
      </c>
      <c r="AH126" s="50" t="str">
        <f ca="1">_xll.DBRW(Server&amp;Cube1,$H$13,$AC$3,$H$15,$H$17,AH$1,$H$16,$B126)</f>
        <v>*KEY_ERR</v>
      </c>
      <c r="AI126" s="50" t="str">
        <f ca="1">_xll.DBRW(Server&amp;Cube1,$H$13,$AC$3,$H$15,$H$17,AI$1,$H$16,$B126)</f>
        <v>*KEY_ERR</v>
      </c>
      <c r="AJ126" s="50" t="str">
        <f ca="1">_xll.DBRW(Server&amp;Cube1,$H$13,$AC$3,$H$15,$H$17,AJ$1,$H$16,$B126)</f>
        <v>*KEY_ERR</v>
      </c>
      <c r="AK126" s="50" t="str">
        <f ca="1">_xll.DBRW(Server&amp;Cube1,$H$13,$AC$3,$H$15,$H$17,AK$1,$H$16,$B126)</f>
        <v>*KEY_ERR</v>
      </c>
      <c r="AL126" s="50" t="str">
        <f ca="1">_xll.DBRW(Server&amp;Cube1,$H$13,$AC$3,$H$15,$H$17,AL$1,$H$16,$B126)</f>
        <v>*KEY_ERR</v>
      </c>
      <c r="AM126" s="50" t="str">
        <f ca="1">_xll.DBRW(Server&amp;Cube1,$H$13,$AC$3,$H$15,$H$17,AM$1,$H$16,$B126)</f>
        <v>*KEY_ERR</v>
      </c>
      <c r="AN126" s="50" t="str">
        <f ca="1">_xll.DBRW(Server&amp;Cube1,$H$13,$AC$3,$H$15,$H$17,AN$1,$H$16,$B126)</f>
        <v>*KEY_ERR</v>
      </c>
      <c r="AO126" s="183" t="str">
        <f ca="1">_xll.DBRW(Server&amp;Cube1,$H$13,$AC$3,$H$15,$H$17,AO$1,$H$16,$B126)</f>
        <v>*KEY_ERR</v>
      </c>
      <c r="AP126" s="188" t="str">
        <f ca="1">_xll.DBRW(Server&amp;Cube1,$H$13,$AP$3,$H$15,$P$1,AP$2,$H$16,$B126)</f>
        <v>*KEY_ERR</v>
      </c>
      <c r="AQ126" s="49" t="str">
        <f ca="1">_xll.DBRW(Server&amp;Cube1,$H$13,$AP$3,$H$15,$H$17,AQ$1,$H$16,$B126)</f>
        <v>*KEY_ERR</v>
      </c>
      <c r="AR126" s="50" t="str">
        <f ca="1">_xll.DBRW(Server&amp;Cube1,$H$13,$AP$3,$H$15,$H$17,AR$1,$H$16,$B126)</f>
        <v>*KEY_ERR</v>
      </c>
      <c r="AS126" s="50" t="str">
        <f ca="1">_xll.DBRW(Server&amp;Cube1,$H$13,$AP$3,$H$15,$H$17,AS$1,$H$16,$B126)</f>
        <v>*KEY_ERR</v>
      </c>
      <c r="AT126" s="50" t="str">
        <f ca="1">_xll.DBRW(Server&amp;Cube1,$H$13,$AP$3,$H$15,$H$17,AT$1,$H$16,$B126)</f>
        <v>*KEY_ERR</v>
      </c>
      <c r="AU126" s="50" t="str">
        <f ca="1">_xll.DBRW(Server&amp;Cube1,$H$13,$AP$3,$H$15,$H$17,AU$1,$H$16,$B126)</f>
        <v>*KEY_ERR</v>
      </c>
      <c r="AV126" s="50" t="str">
        <f ca="1">_xll.DBRW(Server&amp;Cube1,$H$13,$AP$3,$H$15,$H$17,AV$1,$H$16,$B126)</f>
        <v>*KEY_ERR</v>
      </c>
      <c r="AW126" s="50" t="str">
        <f ca="1">_xll.DBRW(Server&amp;Cube1,$H$13,$AP$3,$H$15,$H$17,AW$1,$H$16,$B126)</f>
        <v>*KEY_ERR</v>
      </c>
      <c r="AX126" s="50" t="str">
        <f ca="1">_xll.DBRW(Server&amp;Cube1,$H$13,$AP$3,$H$15,$H$17,AX$1,$H$16,$B126)</f>
        <v>*KEY_ERR</v>
      </c>
      <c r="AY126" s="50" t="str">
        <f ca="1">_xll.DBRW(Server&amp;Cube1,$H$13,$AP$3,$H$15,$H$17,AY$1,$H$16,$B126)</f>
        <v>*KEY_ERR</v>
      </c>
      <c r="AZ126" s="50" t="str">
        <f ca="1">_xll.DBRW(Server&amp;Cube1,$H$13,$AP$3,$H$15,$H$17,AZ$1,$H$16,$B126)</f>
        <v>*KEY_ERR</v>
      </c>
      <c r="BA126" s="50" t="str">
        <f ca="1">_xll.DBRW(Server&amp;Cube1,$H$13,$AP$3,$H$15,$H$17,BA$1,$H$16,$B126)</f>
        <v>*KEY_ERR</v>
      </c>
      <c r="BB126" s="183" t="str">
        <f ca="1">_xll.DBRW(Server&amp;Cube1,$H$13,$AP$3,$H$15,$H$17,BB$1,$H$16,$B126)</f>
        <v>*KEY_ERR</v>
      </c>
      <c r="BC126" s="188" t="str">
        <f ca="1">_xll.DBRW(Server&amp;Cube1,$H$13,$BC$3,$H$15,$P$1,BC$2,$H$16,$B126)</f>
        <v>*KEY_ERR</v>
      </c>
      <c r="BD126" s="49" t="str">
        <f ca="1">_xll.DBRW(Server&amp;Cube1,$H$13,$BC$3,$H$15,$H$17,BD$1,$H$16,$B126)</f>
        <v>*KEY_ERR</v>
      </c>
      <c r="BE126" s="50" t="str">
        <f ca="1">_xll.DBRW(Server&amp;Cube1,$H$13,$BC$3,$H$15,$H$17,BE$1,$H$16,$B126)</f>
        <v>*KEY_ERR</v>
      </c>
      <c r="BF126" s="50" t="str">
        <f ca="1">_xll.DBRW(Server&amp;Cube1,$H$13,$BC$3,$H$15,$H$17,BF$1,$H$16,$B126)</f>
        <v>*KEY_ERR</v>
      </c>
      <c r="BG126" s="50" t="str">
        <f ca="1">_xll.DBRW(Server&amp;Cube1,$H$13,$BC$3,$H$15,$H$17,BG$1,$H$16,$B126)</f>
        <v>*KEY_ERR</v>
      </c>
      <c r="BH126" s="50" t="str">
        <f ca="1">_xll.DBRW(Server&amp;Cube1,$H$13,$BC$3,$H$15,$H$17,BH$1,$H$16,$B126)</f>
        <v>*KEY_ERR</v>
      </c>
      <c r="BI126" s="50" t="str">
        <f ca="1">_xll.DBRW(Server&amp;Cube1,$H$13,$BC$3,$H$15,$H$17,BI$1,$H$16,$B126)</f>
        <v>*KEY_ERR</v>
      </c>
      <c r="BJ126" s="50" t="str">
        <f ca="1">_xll.DBRW(Server&amp;Cube1,$H$13,$BC$3,$H$15,$H$17,BJ$1,$H$16,$B126)</f>
        <v>*KEY_ERR</v>
      </c>
      <c r="BK126" s="50" t="str">
        <f ca="1">_xll.DBRW(Server&amp;Cube1,$H$13,$BC$3,$H$15,$H$17,BK$1,$H$16,$B126)</f>
        <v>*KEY_ERR</v>
      </c>
      <c r="BL126" s="50" t="str">
        <f ca="1">_xll.DBRW(Server&amp;Cube1,$H$13,$BC$3,$H$15,$H$17,BL$1,$H$16,$B126)</f>
        <v>*KEY_ERR</v>
      </c>
      <c r="BM126" s="50" t="str">
        <f ca="1">_xll.DBRW(Server&amp;Cube1,$H$13,$BC$3,$H$15,$H$17,BM$1,$H$16,$B126)</f>
        <v>*KEY_ERR</v>
      </c>
      <c r="BN126" s="50" t="str">
        <f ca="1">_xll.DBRW(Server&amp;Cube1,$H$13,$BC$3,$H$15,$H$17,BN$1,$H$16,$B126)</f>
        <v>*KEY_ERR</v>
      </c>
      <c r="BO126" s="53" t="str">
        <f ca="1">_xll.DBRW(Server&amp;Cube1,$H$13,$BC$3,$H$15,$H$17,BO$1,$H$16,$B126)</f>
        <v>*KEY_ERR</v>
      </c>
      <c r="BP126" s="31"/>
    </row>
    <row r="127" spans="1:68" ht="15.75" customHeight="1" x14ac:dyDescent="0.25">
      <c r="A127"/>
      <c r="B127" s="11"/>
      <c r="C127" s="11"/>
      <c r="D127" s="20"/>
      <c r="E127" s="170"/>
      <c r="F127" s="106"/>
      <c r="G127" s="43"/>
      <c r="H127" s="43"/>
      <c r="I127" s="38"/>
      <c r="J127" s="62"/>
      <c r="K127" s="38"/>
      <c r="L127" s="62"/>
      <c r="M127" s="63"/>
      <c r="N127" s="100"/>
      <c r="O127" s="64"/>
      <c r="P127" s="100"/>
      <c r="Q127" s="62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6"/>
      <c r="AC127" s="189"/>
      <c r="AD127" s="62"/>
      <c r="AE127" s="65"/>
      <c r="AF127" s="65"/>
      <c r="AG127" s="65"/>
      <c r="AH127" s="65"/>
      <c r="AI127" s="65"/>
      <c r="AJ127" s="65"/>
      <c r="AK127" s="65"/>
      <c r="AL127" s="65"/>
      <c r="AM127" s="65"/>
      <c r="AN127" s="65"/>
      <c r="AO127" s="66"/>
      <c r="AP127" s="189"/>
      <c r="AQ127" s="62"/>
      <c r="AR127" s="65"/>
      <c r="AS127" s="65"/>
      <c r="AT127" s="65"/>
      <c r="AU127" s="65"/>
      <c r="AV127" s="65"/>
      <c r="AW127" s="65"/>
      <c r="AX127" s="65"/>
      <c r="AY127" s="65"/>
      <c r="AZ127" s="65"/>
      <c r="BA127" s="65"/>
      <c r="BB127" s="66"/>
      <c r="BC127" s="189"/>
      <c r="BD127" s="62"/>
      <c r="BE127" s="65"/>
      <c r="BF127" s="65"/>
      <c r="BG127" s="65"/>
      <c r="BH127" s="65"/>
      <c r="BI127" s="65"/>
      <c r="BJ127" s="65"/>
      <c r="BK127" s="65"/>
      <c r="BL127" s="65"/>
      <c r="BM127" s="65"/>
      <c r="BN127" s="65"/>
      <c r="BO127" s="66"/>
      <c r="BP127" s="31"/>
    </row>
    <row r="128" spans="1:68" ht="21" customHeight="1" x14ac:dyDescent="0.25">
      <c r="A128"/>
      <c r="B128" s="12" t="s">
        <v>59</v>
      </c>
      <c r="C128" s="12"/>
      <c r="D128" s="21"/>
      <c r="E128" s="169"/>
      <c r="F128" s="105"/>
      <c r="G128" s="315" t="str">
        <f ca="1">_xll.DBRA(Server&amp;$B$22,$B128,"French")</f>
        <v>Impôts et Taxes</v>
      </c>
      <c r="H128" s="315" t="str">
        <f ca="1">_xll.DBRA(Server&amp;$B$22,$B128,"French")</f>
        <v>Impôts et Taxes</v>
      </c>
      <c r="I128" s="39"/>
      <c r="J128" s="67" t="str">
        <f ca="1">_xll.DBRW(Server&amp;Cube1,$H$13,$H$14,$H$15,$J$1,$J$2,$H$16,$B128)</f>
        <v/>
      </c>
      <c r="K128" s="39"/>
      <c r="L128" s="67" t="str">
        <f ca="1">_xll.DBRW(Server&amp;Cube1,$H$13,$H$14,$H$15,$L$1,$L$2,$H$16,$B128)</f>
        <v/>
      </c>
      <c r="M128" s="68"/>
      <c r="N128" s="67" t="str">
        <f ca="1">_xll.DBRW(Server&amp;Cube1,$H$13,$H$14,$H$15,$P$1,N$2,$H$16,$B128)</f>
        <v>*KEY_ERR</v>
      </c>
      <c r="O128" s="69"/>
      <c r="P128" s="67" t="str">
        <f ca="1">_xll.DBRW(Server&amp;Cube1,$H$13,$P$3,$H$15,$P$1,P$2,$H$16,$B128)</f>
        <v>*KEY_ERR</v>
      </c>
      <c r="Q128" s="67" t="str">
        <f ca="1">_xll.DBRW(Server&amp;Cube1,$H$13,$P$3,$H$15,$H$17,Q$1,$H$16,$B128)</f>
        <v>*KEY_ERR</v>
      </c>
      <c r="R128" s="70" t="str">
        <f ca="1">_xll.DBRW(Server&amp;Cube1,$H$13,$P$3,$H$15,$H$17,R$1,$H$16,$B128)</f>
        <v>*KEY_ERR</v>
      </c>
      <c r="S128" s="70" t="str">
        <f ca="1">_xll.DBRW(Server&amp;Cube1,$H$13,$P$3,$H$15,$H$17,S$1,$H$16,$B128)</f>
        <v>*KEY_ERR</v>
      </c>
      <c r="T128" s="70" t="str">
        <f ca="1">_xll.DBRW(Server&amp;Cube1,$H$13,$P$3,$H$15,$H$17,T$1,$H$16,$B128)</f>
        <v>*KEY_ERR</v>
      </c>
      <c r="U128" s="70" t="str">
        <f ca="1">_xll.DBRW(Server&amp;Cube1,$H$13,$P$3,$H$15,$H$17,U$1,$H$16,$B128)</f>
        <v>*KEY_ERR</v>
      </c>
      <c r="V128" s="70" t="str">
        <f ca="1">_xll.DBRW(Server&amp;Cube1,$H$13,$P$3,$H$15,$H$17,V$1,$H$16,$B128)</f>
        <v>*KEY_ERR</v>
      </c>
      <c r="W128" s="70" t="str">
        <f ca="1">_xll.DBRW(Server&amp;Cube1,$H$13,$P$3,$H$15,$H$17,W$1,$H$16,$B128)</f>
        <v>*KEY_ERR</v>
      </c>
      <c r="X128" s="70" t="str">
        <f ca="1">_xll.DBRW(Server&amp;Cube1,$H$13,$P$3,$H$15,$H$17,X$1,$H$16,$B128)</f>
        <v>*KEY_ERR</v>
      </c>
      <c r="Y128" s="70" t="str">
        <f ca="1">_xll.DBRW(Server&amp;Cube1,$H$13,$P$3,$H$15,$H$17,Y$1,$H$16,$B128)</f>
        <v>*KEY_ERR</v>
      </c>
      <c r="Z128" s="70" t="str">
        <f ca="1">_xll.DBRW(Server&amp;Cube1,$H$13,$P$3,$H$15,$H$17,Z$1,$H$16,$B128)</f>
        <v>*KEY_ERR</v>
      </c>
      <c r="AA128" s="70" t="str">
        <f ca="1">_xll.DBRW(Server&amp;Cube1,$H$13,$P$3,$H$15,$H$17,AA$1,$H$16,$B128)</f>
        <v>*KEY_ERR</v>
      </c>
      <c r="AB128" s="71" t="str">
        <f ca="1">_xll.DBRW(Server&amp;Cube1,$H$13,$P$3,$H$15,$H$17,AB$1,$H$16,$B128)</f>
        <v>*KEY_ERR</v>
      </c>
      <c r="AC128" s="185" t="str">
        <f ca="1">_xll.DBRW(Server&amp;Cube1,$H$13,$AC$3,$H$15,$P$1,AC$2,$H$16,$B128)</f>
        <v>*KEY_ERR</v>
      </c>
      <c r="AD128" s="67" t="str">
        <f ca="1">_xll.DBRW(Server&amp;Cube1,$H$13,$AC$3,$H$15,$H$17,AD$1,$H$16,$B128)</f>
        <v>*KEY_ERR</v>
      </c>
      <c r="AE128" s="70" t="str">
        <f ca="1">_xll.DBRW(Server&amp;Cube1,$H$13,$AC$3,$H$15,$H$17,AE$1,$H$16,$B128)</f>
        <v>*KEY_ERR</v>
      </c>
      <c r="AF128" s="70" t="str">
        <f ca="1">_xll.DBRW(Server&amp;Cube1,$H$13,$AC$3,$H$15,$H$17,AF$1,$H$16,$B128)</f>
        <v>*KEY_ERR</v>
      </c>
      <c r="AG128" s="70" t="str">
        <f ca="1">_xll.DBRW(Server&amp;Cube1,$H$13,$AC$3,$H$15,$H$17,AG$1,$H$16,$B128)</f>
        <v>*KEY_ERR</v>
      </c>
      <c r="AH128" s="70" t="str">
        <f ca="1">_xll.DBRW(Server&amp;Cube1,$H$13,$AC$3,$H$15,$H$17,AH$1,$H$16,$B128)</f>
        <v>*KEY_ERR</v>
      </c>
      <c r="AI128" s="70" t="str">
        <f ca="1">_xll.DBRW(Server&amp;Cube1,$H$13,$AC$3,$H$15,$H$17,AI$1,$H$16,$B128)</f>
        <v>*KEY_ERR</v>
      </c>
      <c r="AJ128" s="70" t="str">
        <f ca="1">_xll.DBRW(Server&amp;Cube1,$H$13,$AC$3,$H$15,$H$17,AJ$1,$H$16,$B128)</f>
        <v>*KEY_ERR</v>
      </c>
      <c r="AK128" s="70" t="str">
        <f ca="1">_xll.DBRW(Server&amp;Cube1,$H$13,$AC$3,$H$15,$H$17,AK$1,$H$16,$B128)</f>
        <v>*KEY_ERR</v>
      </c>
      <c r="AL128" s="70" t="str">
        <f ca="1">_xll.DBRW(Server&amp;Cube1,$H$13,$AC$3,$H$15,$H$17,AL$1,$H$16,$B128)</f>
        <v>*KEY_ERR</v>
      </c>
      <c r="AM128" s="70" t="str">
        <f ca="1">_xll.DBRW(Server&amp;Cube1,$H$13,$AC$3,$H$15,$H$17,AM$1,$H$16,$B128)</f>
        <v>*KEY_ERR</v>
      </c>
      <c r="AN128" s="70" t="str">
        <f ca="1">_xll.DBRW(Server&amp;Cube1,$H$13,$AC$3,$H$15,$H$17,AN$1,$H$16,$B128)</f>
        <v>*KEY_ERR</v>
      </c>
      <c r="AO128" s="71" t="str">
        <f ca="1">_xll.DBRW(Server&amp;Cube1,$H$13,$AC$3,$H$15,$H$17,AO$1,$H$16,$B128)</f>
        <v>*KEY_ERR</v>
      </c>
      <c r="AP128" s="185" t="str">
        <f ca="1">_xll.DBRW(Server&amp;Cube1,$H$13,$AP$3,$H$15,$P$1,AP$2,$H$16,$B128)</f>
        <v>*KEY_ERR</v>
      </c>
      <c r="AQ128" s="67" t="str">
        <f ca="1">_xll.DBRW(Server&amp;Cube1,$H$13,$AP$3,$H$15,$H$17,AQ$1,$H$16,$B128)</f>
        <v>*KEY_ERR</v>
      </c>
      <c r="AR128" s="70" t="str">
        <f ca="1">_xll.DBRW(Server&amp;Cube1,$H$13,$AP$3,$H$15,$H$17,AR$1,$H$16,$B128)</f>
        <v>*KEY_ERR</v>
      </c>
      <c r="AS128" s="70" t="str">
        <f ca="1">_xll.DBRW(Server&amp;Cube1,$H$13,$AP$3,$H$15,$H$17,AS$1,$H$16,$B128)</f>
        <v>*KEY_ERR</v>
      </c>
      <c r="AT128" s="70" t="str">
        <f ca="1">_xll.DBRW(Server&amp;Cube1,$H$13,$AP$3,$H$15,$H$17,AT$1,$H$16,$B128)</f>
        <v>*KEY_ERR</v>
      </c>
      <c r="AU128" s="70" t="str">
        <f ca="1">_xll.DBRW(Server&amp;Cube1,$H$13,$AP$3,$H$15,$H$17,AU$1,$H$16,$B128)</f>
        <v>*KEY_ERR</v>
      </c>
      <c r="AV128" s="70" t="str">
        <f ca="1">_xll.DBRW(Server&amp;Cube1,$H$13,$AP$3,$H$15,$H$17,AV$1,$H$16,$B128)</f>
        <v>*KEY_ERR</v>
      </c>
      <c r="AW128" s="70" t="str">
        <f ca="1">_xll.DBRW(Server&amp;Cube1,$H$13,$AP$3,$H$15,$H$17,AW$1,$H$16,$B128)</f>
        <v>*KEY_ERR</v>
      </c>
      <c r="AX128" s="70" t="str">
        <f ca="1">_xll.DBRW(Server&amp;Cube1,$H$13,$AP$3,$H$15,$H$17,AX$1,$H$16,$B128)</f>
        <v>*KEY_ERR</v>
      </c>
      <c r="AY128" s="70" t="str">
        <f ca="1">_xll.DBRW(Server&amp;Cube1,$H$13,$AP$3,$H$15,$H$17,AY$1,$H$16,$B128)</f>
        <v>*KEY_ERR</v>
      </c>
      <c r="AZ128" s="70" t="str">
        <f ca="1">_xll.DBRW(Server&amp;Cube1,$H$13,$AP$3,$H$15,$H$17,AZ$1,$H$16,$B128)</f>
        <v>*KEY_ERR</v>
      </c>
      <c r="BA128" s="70" t="str">
        <f ca="1">_xll.DBRW(Server&amp;Cube1,$H$13,$AP$3,$H$15,$H$17,BA$1,$H$16,$B128)</f>
        <v>*KEY_ERR</v>
      </c>
      <c r="BB128" s="71" t="str">
        <f ca="1">_xll.DBRW(Server&amp;Cube1,$H$13,$AP$3,$H$15,$H$17,BB$1,$H$16,$B128)</f>
        <v>*KEY_ERR</v>
      </c>
      <c r="BC128" s="185" t="str">
        <f ca="1">_xll.DBRW(Server&amp;Cube1,$H$13,$BC$3,$H$15,$P$1,BC$2,$H$16,$B128)</f>
        <v>*KEY_ERR</v>
      </c>
      <c r="BD128" s="67" t="str">
        <f ca="1">_xll.DBRW(Server&amp;Cube1,$H$13,$BC$3,$H$15,$H$17,BD$1,$H$16,$B128)</f>
        <v>*KEY_ERR</v>
      </c>
      <c r="BE128" s="70" t="str">
        <f ca="1">_xll.DBRW(Server&amp;Cube1,$H$13,$BC$3,$H$15,$H$17,BE$1,$H$16,$B128)</f>
        <v>*KEY_ERR</v>
      </c>
      <c r="BF128" s="70" t="str">
        <f ca="1">_xll.DBRW(Server&amp;Cube1,$H$13,$BC$3,$H$15,$H$17,BF$1,$H$16,$B128)</f>
        <v>*KEY_ERR</v>
      </c>
      <c r="BG128" s="70" t="str">
        <f ca="1">_xll.DBRW(Server&amp;Cube1,$H$13,$BC$3,$H$15,$H$17,BG$1,$H$16,$B128)</f>
        <v>*KEY_ERR</v>
      </c>
      <c r="BH128" s="70" t="str">
        <f ca="1">_xll.DBRW(Server&amp;Cube1,$H$13,$BC$3,$H$15,$H$17,BH$1,$H$16,$B128)</f>
        <v>*KEY_ERR</v>
      </c>
      <c r="BI128" s="70" t="str">
        <f ca="1">_xll.DBRW(Server&amp;Cube1,$H$13,$BC$3,$H$15,$H$17,BI$1,$H$16,$B128)</f>
        <v>*KEY_ERR</v>
      </c>
      <c r="BJ128" s="70" t="str">
        <f ca="1">_xll.DBRW(Server&amp;Cube1,$H$13,$BC$3,$H$15,$H$17,BJ$1,$H$16,$B128)</f>
        <v>*KEY_ERR</v>
      </c>
      <c r="BK128" s="70" t="str">
        <f ca="1">_xll.DBRW(Server&amp;Cube1,$H$13,$BC$3,$H$15,$H$17,BK$1,$H$16,$B128)</f>
        <v>*KEY_ERR</v>
      </c>
      <c r="BL128" s="70" t="str">
        <f ca="1">_xll.DBRW(Server&amp;Cube1,$H$13,$BC$3,$H$15,$H$17,BL$1,$H$16,$B128)</f>
        <v>*KEY_ERR</v>
      </c>
      <c r="BM128" s="70" t="str">
        <f ca="1">_xll.DBRW(Server&amp;Cube1,$H$13,$BC$3,$H$15,$H$17,BM$1,$H$16,$B128)</f>
        <v>*KEY_ERR</v>
      </c>
      <c r="BN128" s="70" t="str">
        <f ca="1">_xll.DBRW(Server&amp;Cube1,$H$13,$BC$3,$H$15,$H$17,BN$1,$H$16,$B128)</f>
        <v>*KEY_ERR</v>
      </c>
      <c r="BO128" s="71" t="str">
        <f ca="1">_xll.DBRW(Server&amp;Cube1,$H$13,$BC$3,$H$15,$H$17,BO$1,$H$16,$B128)</f>
        <v>*KEY_ERR</v>
      </c>
      <c r="BP128" s="31"/>
    </row>
    <row r="129" spans="1:68" ht="21" customHeight="1" x14ac:dyDescent="0.25">
      <c r="A129"/>
      <c r="B129" s="13" t="s">
        <v>60</v>
      </c>
      <c r="C129" s="13"/>
      <c r="D129" s="22"/>
      <c r="E129" s="171"/>
      <c r="F129" s="107"/>
      <c r="G129" s="305" t="str">
        <f ca="1">_xll.DBRA(Server&amp;$B$22,$B129,"French")</f>
        <v>CVAE</v>
      </c>
      <c r="H129" s="305" t="str">
        <f ca="1">_xll.DBRA(Server&amp;$B$22,$B129,"French")</f>
        <v>CVAE</v>
      </c>
      <c r="I129" s="37"/>
      <c r="J129" s="54" t="str">
        <f ca="1">_xll.DBRW(Server&amp;Cube1,$H$13,$H$14,$H$15,$J$1,$J$2,$H$16,$B129)</f>
        <v/>
      </c>
      <c r="K129" s="37"/>
      <c r="L129" s="54" t="str">
        <f ca="1">_xll.DBRW(Server&amp;Cube1,$H$13,$H$14,$H$15,$L$1,$L$2,$H$16,$B129)</f>
        <v/>
      </c>
      <c r="M129" s="55"/>
      <c r="N129" s="54" t="str">
        <f ca="1">_xll.DBRW(Server&amp;Cube1,$H$13,$H$14,$H$15,$P$1,N$2,$H$16,$B129)</f>
        <v>*KEY_ERR</v>
      </c>
      <c r="O129" s="57"/>
      <c r="P129" s="54" t="str">
        <f ca="1">_xll.DBRW(Server&amp;Cube1,$H$13,$P$3,$H$15,$P$1,P$2,$H$16,$B129)</f>
        <v>*KEY_ERR</v>
      </c>
      <c r="Q129" s="54" t="str">
        <f ca="1">_xll.DBRW(Server&amp;Cube1,$H$13,$P$3,$H$15,$H$17,Q$1,$H$16,$B129)</f>
        <v>*KEY_ERR</v>
      </c>
      <c r="R129" s="58" t="str">
        <f ca="1">_xll.DBRW(Server&amp;Cube1,$H$13,$P$3,$H$15,$H$17,R$1,$H$16,$B129)</f>
        <v>*KEY_ERR</v>
      </c>
      <c r="S129" s="58" t="str">
        <f ca="1">_xll.DBRW(Server&amp;Cube1,$H$13,$P$3,$H$15,$H$17,S$1,$H$16,$B129)</f>
        <v>*KEY_ERR</v>
      </c>
      <c r="T129" s="58" t="str">
        <f ca="1">_xll.DBRW(Server&amp;Cube1,$H$13,$P$3,$H$15,$H$17,T$1,$H$16,$B129)</f>
        <v>*KEY_ERR</v>
      </c>
      <c r="U129" s="58" t="str">
        <f ca="1">_xll.DBRW(Server&amp;Cube1,$H$13,$P$3,$H$15,$H$17,U$1,$H$16,$B129)</f>
        <v>*KEY_ERR</v>
      </c>
      <c r="V129" s="58" t="str">
        <f ca="1">_xll.DBRW(Server&amp;Cube1,$H$13,$P$3,$H$15,$H$17,V$1,$H$16,$B129)</f>
        <v>*KEY_ERR</v>
      </c>
      <c r="W129" s="58" t="str">
        <f ca="1">_xll.DBRW(Server&amp;Cube1,$H$13,$P$3,$H$15,$H$17,W$1,$H$16,$B129)</f>
        <v>*KEY_ERR</v>
      </c>
      <c r="X129" s="58" t="str">
        <f ca="1">_xll.DBRW(Server&amp;Cube1,$H$13,$P$3,$H$15,$H$17,X$1,$H$16,$B129)</f>
        <v>*KEY_ERR</v>
      </c>
      <c r="Y129" s="58" t="str">
        <f ca="1">_xll.DBRW(Server&amp;Cube1,$H$13,$P$3,$H$15,$H$17,Y$1,$H$16,$B129)</f>
        <v>*KEY_ERR</v>
      </c>
      <c r="Z129" s="58" t="str">
        <f ca="1">_xll.DBRW(Server&amp;Cube1,$H$13,$P$3,$H$15,$H$17,Z$1,$H$16,$B129)</f>
        <v>*KEY_ERR</v>
      </c>
      <c r="AA129" s="58" t="str">
        <f ca="1">_xll.DBRW(Server&amp;Cube1,$H$13,$P$3,$H$15,$H$17,AA$1,$H$16,$B129)</f>
        <v>*KEY_ERR</v>
      </c>
      <c r="AB129" s="59" t="str">
        <f ca="1">_xll.DBRW(Server&amp;Cube1,$H$13,$P$3,$H$15,$H$17,AB$1,$H$16,$B129)</f>
        <v>*KEY_ERR</v>
      </c>
      <c r="AC129" s="187" t="str">
        <f ca="1">_xll.DBRW(Server&amp;Cube1,$H$13,$AC$3,$H$15,$P$1,AC$2,$H$16,$B129)</f>
        <v>*KEY_ERR</v>
      </c>
      <c r="AD129" s="54" t="str">
        <f ca="1">_xll.DBRW(Server&amp;Cube1,$H$13,$AC$3,$H$15,$H$17,AD$1,$H$16,$B129)</f>
        <v>*KEY_ERR</v>
      </c>
      <c r="AE129" s="58" t="str">
        <f ca="1">_xll.DBRW(Server&amp;Cube1,$H$13,$AC$3,$H$15,$H$17,AE$1,$H$16,$B129)</f>
        <v>*KEY_ERR</v>
      </c>
      <c r="AF129" s="58" t="str">
        <f ca="1">_xll.DBRW(Server&amp;Cube1,$H$13,$AC$3,$H$15,$H$17,AF$1,$H$16,$B129)</f>
        <v>*KEY_ERR</v>
      </c>
      <c r="AG129" s="58" t="str">
        <f ca="1">_xll.DBRW(Server&amp;Cube1,$H$13,$AC$3,$H$15,$H$17,AG$1,$H$16,$B129)</f>
        <v>*KEY_ERR</v>
      </c>
      <c r="AH129" s="58" t="str">
        <f ca="1">_xll.DBRW(Server&amp;Cube1,$H$13,$AC$3,$H$15,$H$17,AH$1,$H$16,$B129)</f>
        <v>*KEY_ERR</v>
      </c>
      <c r="AI129" s="58" t="str">
        <f ca="1">_xll.DBRW(Server&amp;Cube1,$H$13,$AC$3,$H$15,$H$17,AI$1,$H$16,$B129)</f>
        <v>*KEY_ERR</v>
      </c>
      <c r="AJ129" s="58" t="str">
        <f ca="1">_xll.DBRW(Server&amp;Cube1,$H$13,$AC$3,$H$15,$H$17,AJ$1,$H$16,$B129)</f>
        <v>*KEY_ERR</v>
      </c>
      <c r="AK129" s="58" t="str">
        <f ca="1">_xll.DBRW(Server&amp;Cube1,$H$13,$AC$3,$H$15,$H$17,AK$1,$H$16,$B129)</f>
        <v>*KEY_ERR</v>
      </c>
      <c r="AL129" s="58" t="str">
        <f ca="1">_xll.DBRW(Server&amp;Cube1,$H$13,$AC$3,$H$15,$H$17,AL$1,$H$16,$B129)</f>
        <v>*KEY_ERR</v>
      </c>
      <c r="AM129" s="58" t="str">
        <f ca="1">_xll.DBRW(Server&amp;Cube1,$H$13,$AC$3,$H$15,$H$17,AM$1,$H$16,$B129)</f>
        <v>*KEY_ERR</v>
      </c>
      <c r="AN129" s="58" t="str">
        <f ca="1">_xll.DBRW(Server&amp;Cube1,$H$13,$AC$3,$H$15,$H$17,AN$1,$H$16,$B129)</f>
        <v>*KEY_ERR</v>
      </c>
      <c r="AO129" s="59" t="str">
        <f ca="1">_xll.DBRW(Server&amp;Cube1,$H$13,$AC$3,$H$15,$H$17,AO$1,$H$16,$B129)</f>
        <v>*KEY_ERR</v>
      </c>
      <c r="AP129" s="187" t="str">
        <f ca="1">_xll.DBRW(Server&amp;Cube1,$H$13,$AP$3,$H$15,$P$1,AP$2,$H$16,$B129)</f>
        <v>*KEY_ERR</v>
      </c>
      <c r="AQ129" s="54" t="str">
        <f ca="1">_xll.DBRW(Server&amp;Cube1,$H$13,$AP$3,$H$15,$H$17,AQ$1,$H$16,$B129)</f>
        <v>*KEY_ERR</v>
      </c>
      <c r="AR129" s="58" t="str">
        <f ca="1">_xll.DBRW(Server&amp;Cube1,$H$13,$AP$3,$H$15,$H$17,AR$1,$H$16,$B129)</f>
        <v>*KEY_ERR</v>
      </c>
      <c r="AS129" s="58" t="str">
        <f ca="1">_xll.DBRW(Server&amp;Cube1,$H$13,$AP$3,$H$15,$H$17,AS$1,$H$16,$B129)</f>
        <v>*KEY_ERR</v>
      </c>
      <c r="AT129" s="58" t="str">
        <f ca="1">_xll.DBRW(Server&amp;Cube1,$H$13,$AP$3,$H$15,$H$17,AT$1,$H$16,$B129)</f>
        <v>*KEY_ERR</v>
      </c>
      <c r="AU129" s="58" t="str">
        <f ca="1">_xll.DBRW(Server&amp;Cube1,$H$13,$AP$3,$H$15,$H$17,AU$1,$H$16,$B129)</f>
        <v>*KEY_ERR</v>
      </c>
      <c r="AV129" s="58" t="str">
        <f ca="1">_xll.DBRW(Server&amp;Cube1,$H$13,$AP$3,$H$15,$H$17,AV$1,$H$16,$B129)</f>
        <v>*KEY_ERR</v>
      </c>
      <c r="AW129" s="58" t="str">
        <f ca="1">_xll.DBRW(Server&amp;Cube1,$H$13,$AP$3,$H$15,$H$17,AW$1,$H$16,$B129)</f>
        <v>*KEY_ERR</v>
      </c>
      <c r="AX129" s="58" t="str">
        <f ca="1">_xll.DBRW(Server&amp;Cube1,$H$13,$AP$3,$H$15,$H$17,AX$1,$H$16,$B129)</f>
        <v>*KEY_ERR</v>
      </c>
      <c r="AY129" s="58" t="str">
        <f ca="1">_xll.DBRW(Server&amp;Cube1,$H$13,$AP$3,$H$15,$H$17,AY$1,$H$16,$B129)</f>
        <v>*KEY_ERR</v>
      </c>
      <c r="AZ129" s="58" t="str">
        <f ca="1">_xll.DBRW(Server&amp;Cube1,$H$13,$AP$3,$H$15,$H$17,AZ$1,$H$16,$B129)</f>
        <v>*KEY_ERR</v>
      </c>
      <c r="BA129" s="58" t="str">
        <f ca="1">_xll.DBRW(Server&amp;Cube1,$H$13,$AP$3,$H$15,$H$17,BA$1,$H$16,$B129)</f>
        <v>*KEY_ERR</v>
      </c>
      <c r="BB129" s="59" t="str">
        <f ca="1">_xll.DBRW(Server&amp;Cube1,$H$13,$AP$3,$H$15,$H$17,BB$1,$H$16,$B129)</f>
        <v>*KEY_ERR</v>
      </c>
      <c r="BC129" s="187" t="str">
        <f ca="1">_xll.DBRW(Server&amp;Cube1,$H$13,$BC$3,$H$15,$P$1,BC$2,$H$16,$B129)</f>
        <v>*KEY_ERR</v>
      </c>
      <c r="BD129" s="54" t="str">
        <f ca="1">_xll.DBRW(Server&amp;Cube1,$H$13,$BC$3,$H$15,$H$17,BD$1,$H$16,$B129)</f>
        <v>*KEY_ERR</v>
      </c>
      <c r="BE129" s="58" t="str">
        <f ca="1">_xll.DBRW(Server&amp;Cube1,$H$13,$BC$3,$H$15,$H$17,BE$1,$H$16,$B129)</f>
        <v>*KEY_ERR</v>
      </c>
      <c r="BF129" s="58" t="str">
        <f ca="1">_xll.DBRW(Server&amp;Cube1,$H$13,$BC$3,$H$15,$H$17,BF$1,$H$16,$B129)</f>
        <v>*KEY_ERR</v>
      </c>
      <c r="BG129" s="58" t="str">
        <f ca="1">_xll.DBRW(Server&amp;Cube1,$H$13,$BC$3,$H$15,$H$17,BG$1,$H$16,$B129)</f>
        <v>*KEY_ERR</v>
      </c>
      <c r="BH129" s="58" t="str">
        <f ca="1">_xll.DBRW(Server&amp;Cube1,$H$13,$BC$3,$H$15,$H$17,BH$1,$H$16,$B129)</f>
        <v>*KEY_ERR</v>
      </c>
      <c r="BI129" s="58" t="str">
        <f ca="1">_xll.DBRW(Server&amp;Cube1,$H$13,$BC$3,$H$15,$H$17,BI$1,$H$16,$B129)</f>
        <v>*KEY_ERR</v>
      </c>
      <c r="BJ129" s="58" t="str">
        <f ca="1">_xll.DBRW(Server&amp;Cube1,$H$13,$BC$3,$H$15,$H$17,BJ$1,$H$16,$B129)</f>
        <v>*KEY_ERR</v>
      </c>
      <c r="BK129" s="58" t="str">
        <f ca="1">_xll.DBRW(Server&amp;Cube1,$H$13,$BC$3,$H$15,$H$17,BK$1,$H$16,$B129)</f>
        <v>*KEY_ERR</v>
      </c>
      <c r="BL129" s="58" t="str">
        <f ca="1">_xll.DBRW(Server&amp;Cube1,$H$13,$BC$3,$H$15,$H$17,BL$1,$H$16,$B129)</f>
        <v>*KEY_ERR</v>
      </c>
      <c r="BM129" s="58" t="str">
        <f ca="1">_xll.DBRW(Server&amp;Cube1,$H$13,$BC$3,$H$15,$H$17,BM$1,$H$16,$B129)</f>
        <v>*KEY_ERR</v>
      </c>
      <c r="BN129" s="58" t="str">
        <f ca="1">_xll.DBRW(Server&amp;Cube1,$H$13,$BC$3,$H$15,$H$17,BN$1,$H$16,$B129)</f>
        <v>*KEY_ERR</v>
      </c>
      <c r="BO129" s="59" t="str">
        <f ca="1">_xll.DBRW(Server&amp;Cube1,$H$13,$BC$3,$H$15,$H$17,BO$1,$H$16,$B129)</f>
        <v>*KEY_ERR</v>
      </c>
      <c r="BP129" s="31"/>
    </row>
    <row r="130" spans="1:68" ht="21" customHeight="1" x14ac:dyDescent="0.25">
      <c r="A130"/>
      <c r="B130" s="13" t="s">
        <v>61</v>
      </c>
      <c r="C130" s="13"/>
      <c r="D130" s="22"/>
      <c r="E130" s="171"/>
      <c r="F130" s="107"/>
      <c r="G130" s="305" t="str">
        <f ca="1">_xll.DBRA(Server&amp;$B$22,$B130,"French")</f>
        <v>Organic</v>
      </c>
      <c r="H130" s="305" t="str">
        <f ca="1">_xll.DBRA(Server&amp;$B$22,$B130,"French")</f>
        <v>Organic</v>
      </c>
      <c r="I130" s="37"/>
      <c r="J130" s="54" t="str">
        <f ca="1">_xll.DBRW(Server&amp;Cube1,$H$13,$H$14,$H$15,$J$1,$J$2,$H$16,$B130)</f>
        <v/>
      </c>
      <c r="K130" s="37"/>
      <c r="L130" s="54" t="str">
        <f ca="1">_xll.DBRW(Server&amp;Cube1,$H$13,$H$14,$H$15,$L$1,$L$2,$H$16,$B130)</f>
        <v/>
      </c>
      <c r="M130" s="55"/>
      <c r="N130" s="54" t="str">
        <f ca="1">_xll.DBRW(Server&amp;Cube1,$H$13,$H$14,$H$15,$P$1,N$2,$H$16,$B130)</f>
        <v>*KEY_ERR</v>
      </c>
      <c r="O130" s="57"/>
      <c r="P130" s="54" t="str">
        <f ca="1">_xll.DBRW(Server&amp;Cube1,$H$13,$P$3,$H$15,$P$1,P$2,$H$16,$B130)</f>
        <v>*KEY_ERR</v>
      </c>
      <c r="Q130" s="54" t="str">
        <f ca="1">_xll.DBRW(Server&amp;Cube1,$H$13,$P$3,$H$15,$H$17,Q$1,$H$16,$B130)</f>
        <v>*KEY_ERR</v>
      </c>
      <c r="R130" s="58" t="str">
        <f ca="1">_xll.DBRW(Server&amp;Cube1,$H$13,$P$3,$H$15,$H$17,R$1,$H$16,$B130)</f>
        <v>*KEY_ERR</v>
      </c>
      <c r="S130" s="58" t="str">
        <f ca="1">_xll.DBRW(Server&amp;Cube1,$H$13,$P$3,$H$15,$H$17,S$1,$H$16,$B130)</f>
        <v>*KEY_ERR</v>
      </c>
      <c r="T130" s="58" t="str">
        <f ca="1">_xll.DBRW(Server&amp;Cube1,$H$13,$P$3,$H$15,$H$17,T$1,$H$16,$B130)</f>
        <v>*KEY_ERR</v>
      </c>
      <c r="U130" s="58" t="str">
        <f ca="1">_xll.DBRW(Server&amp;Cube1,$H$13,$P$3,$H$15,$H$17,U$1,$H$16,$B130)</f>
        <v>*KEY_ERR</v>
      </c>
      <c r="V130" s="58" t="str">
        <f ca="1">_xll.DBRW(Server&amp;Cube1,$H$13,$P$3,$H$15,$H$17,V$1,$H$16,$B130)</f>
        <v>*KEY_ERR</v>
      </c>
      <c r="W130" s="58" t="str">
        <f ca="1">_xll.DBRW(Server&amp;Cube1,$H$13,$P$3,$H$15,$H$17,W$1,$H$16,$B130)</f>
        <v>*KEY_ERR</v>
      </c>
      <c r="X130" s="58" t="str">
        <f ca="1">_xll.DBRW(Server&amp;Cube1,$H$13,$P$3,$H$15,$H$17,X$1,$H$16,$B130)</f>
        <v>*KEY_ERR</v>
      </c>
      <c r="Y130" s="58" t="str">
        <f ca="1">_xll.DBRW(Server&amp;Cube1,$H$13,$P$3,$H$15,$H$17,Y$1,$H$16,$B130)</f>
        <v>*KEY_ERR</v>
      </c>
      <c r="Z130" s="58" t="str">
        <f ca="1">_xll.DBRW(Server&amp;Cube1,$H$13,$P$3,$H$15,$H$17,Z$1,$H$16,$B130)</f>
        <v>*KEY_ERR</v>
      </c>
      <c r="AA130" s="58" t="str">
        <f ca="1">_xll.DBRW(Server&amp;Cube1,$H$13,$P$3,$H$15,$H$17,AA$1,$H$16,$B130)</f>
        <v>*KEY_ERR</v>
      </c>
      <c r="AB130" s="59" t="str">
        <f ca="1">_xll.DBRW(Server&amp;Cube1,$H$13,$P$3,$H$15,$H$17,AB$1,$H$16,$B130)</f>
        <v>*KEY_ERR</v>
      </c>
      <c r="AC130" s="187" t="str">
        <f ca="1">_xll.DBRW(Server&amp;Cube1,$H$13,$AC$3,$H$15,$P$1,AC$2,$H$16,$B130)</f>
        <v>*KEY_ERR</v>
      </c>
      <c r="AD130" s="54" t="str">
        <f ca="1">_xll.DBRW(Server&amp;Cube1,$H$13,$AC$3,$H$15,$H$17,AD$1,$H$16,$B130)</f>
        <v>*KEY_ERR</v>
      </c>
      <c r="AE130" s="58" t="str">
        <f ca="1">_xll.DBRW(Server&amp;Cube1,$H$13,$AC$3,$H$15,$H$17,AE$1,$H$16,$B130)</f>
        <v>*KEY_ERR</v>
      </c>
      <c r="AF130" s="58" t="str">
        <f ca="1">_xll.DBRW(Server&amp;Cube1,$H$13,$AC$3,$H$15,$H$17,AF$1,$H$16,$B130)</f>
        <v>*KEY_ERR</v>
      </c>
      <c r="AG130" s="58" t="str">
        <f ca="1">_xll.DBRW(Server&amp;Cube1,$H$13,$AC$3,$H$15,$H$17,AG$1,$H$16,$B130)</f>
        <v>*KEY_ERR</v>
      </c>
      <c r="AH130" s="58" t="str">
        <f ca="1">_xll.DBRW(Server&amp;Cube1,$H$13,$AC$3,$H$15,$H$17,AH$1,$H$16,$B130)</f>
        <v>*KEY_ERR</v>
      </c>
      <c r="AI130" s="58" t="str">
        <f ca="1">_xll.DBRW(Server&amp;Cube1,$H$13,$AC$3,$H$15,$H$17,AI$1,$H$16,$B130)</f>
        <v>*KEY_ERR</v>
      </c>
      <c r="AJ130" s="58" t="str">
        <f ca="1">_xll.DBRW(Server&amp;Cube1,$H$13,$AC$3,$H$15,$H$17,AJ$1,$H$16,$B130)</f>
        <v>*KEY_ERR</v>
      </c>
      <c r="AK130" s="58" t="str">
        <f ca="1">_xll.DBRW(Server&amp;Cube1,$H$13,$AC$3,$H$15,$H$17,AK$1,$H$16,$B130)</f>
        <v>*KEY_ERR</v>
      </c>
      <c r="AL130" s="58" t="str">
        <f ca="1">_xll.DBRW(Server&amp;Cube1,$H$13,$AC$3,$H$15,$H$17,AL$1,$H$16,$B130)</f>
        <v>*KEY_ERR</v>
      </c>
      <c r="AM130" s="58" t="str">
        <f ca="1">_xll.DBRW(Server&amp;Cube1,$H$13,$AC$3,$H$15,$H$17,AM$1,$H$16,$B130)</f>
        <v>*KEY_ERR</v>
      </c>
      <c r="AN130" s="58" t="str">
        <f ca="1">_xll.DBRW(Server&amp;Cube1,$H$13,$AC$3,$H$15,$H$17,AN$1,$H$16,$B130)</f>
        <v>*KEY_ERR</v>
      </c>
      <c r="AO130" s="59" t="str">
        <f ca="1">_xll.DBRW(Server&amp;Cube1,$H$13,$AC$3,$H$15,$H$17,AO$1,$H$16,$B130)</f>
        <v>*KEY_ERR</v>
      </c>
      <c r="AP130" s="187" t="str">
        <f ca="1">_xll.DBRW(Server&amp;Cube1,$H$13,$AP$3,$H$15,$P$1,AP$2,$H$16,$B130)</f>
        <v>*KEY_ERR</v>
      </c>
      <c r="AQ130" s="54" t="str">
        <f ca="1">_xll.DBRW(Server&amp;Cube1,$H$13,$AP$3,$H$15,$H$17,AQ$1,$H$16,$B130)</f>
        <v>*KEY_ERR</v>
      </c>
      <c r="AR130" s="58" t="str">
        <f ca="1">_xll.DBRW(Server&amp;Cube1,$H$13,$AP$3,$H$15,$H$17,AR$1,$H$16,$B130)</f>
        <v>*KEY_ERR</v>
      </c>
      <c r="AS130" s="58" t="str">
        <f ca="1">_xll.DBRW(Server&amp;Cube1,$H$13,$AP$3,$H$15,$H$17,AS$1,$H$16,$B130)</f>
        <v>*KEY_ERR</v>
      </c>
      <c r="AT130" s="58" t="str">
        <f ca="1">_xll.DBRW(Server&amp;Cube1,$H$13,$AP$3,$H$15,$H$17,AT$1,$H$16,$B130)</f>
        <v>*KEY_ERR</v>
      </c>
      <c r="AU130" s="58" t="str">
        <f ca="1">_xll.DBRW(Server&amp;Cube1,$H$13,$AP$3,$H$15,$H$17,AU$1,$H$16,$B130)</f>
        <v>*KEY_ERR</v>
      </c>
      <c r="AV130" s="58" t="str">
        <f ca="1">_xll.DBRW(Server&amp;Cube1,$H$13,$AP$3,$H$15,$H$17,AV$1,$H$16,$B130)</f>
        <v>*KEY_ERR</v>
      </c>
      <c r="AW130" s="58" t="str">
        <f ca="1">_xll.DBRW(Server&amp;Cube1,$H$13,$AP$3,$H$15,$H$17,AW$1,$H$16,$B130)</f>
        <v>*KEY_ERR</v>
      </c>
      <c r="AX130" s="58" t="str">
        <f ca="1">_xll.DBRW(Server&amp;Cube1,$H$13,$AP$3,$H$15,$H$17,AX$1,$H$16,$B130)</f>
        <v>*KEY_ERR</v>
      </c>
      <c r="AY130" s="58" t="str">
        <f ca="1">_xll.DBRW(Server&amp;Cube1,$H$13,$AP$3,$H$15,$H$17,AY$1,$H$16,$B130)</f>
        <v>*KEY_ERR</v>
      </c>
      <c r="AZ130" s="58" t="str">
        <f ca="1">_xll.DBRW(Server&amp;Cube1,$H$13,$AP$3,$H$15,$H$17,AZ$1,$H$16,$B130)</f>
        <v>*KEY_ERR</v>
      </c>
      <c r="BA130" s="58" t="str">
        <f ca="1">_xll.DBRW(Server&amp;Cube1,$H$13,$AP$3,$H$15,$H$17,BA$1,$H$16,$B130)</f>
        <v>*KEY_ERR</v>
      </c>
      <c r="BB130" s="59" t="str">
        <f ca="1">_xll.DBRW(Server&amp;Cube1,$H$13,$AP$3,$H$15,$H$17,BB$1,$H$16,$B130)</f>
        <v>*KEY_ERR</v>
      </c>
      <c r="BC130" s="187" t="str">
        <f ca="1">_xll.DBRW(Server&amp;Cube1,$H$13,$BC$3,$H$15,$P$1,BC$2,$H$16,$B130)</f>
        <v>*KEY_ERR</v>
      </c>
      <c r="BD130" s="54" t="str">
        <f ca="1">_xll.DBRW(Server&amp;Cube1,$H$13,$BC$3,$H$15,$H$17,BD$1,$H$16,$B130)</f>
        <v>*KEY_ERR</v>
      </c>
      <c r="BE130" s="58" t="str">
        <f ca="1">_xll.DBRW(Server&amp;Cube1,$H$13,$BC$3,$H$15,$H$17,BE$1,$H$16,$B130)</f>
        <v>*KEY_ERR</v>
      </c>
      <c r="BF130" s="58" t="str">
        <f ca="1">_xll.DBRW(Server&amp;Cube1,$H$13,$BC$3,$H$15,$H$17,BF$1,$H$16,$B130)</f>
        <v>*KEY_ERR</v>
      </c>
      <c r="BG130" s="58" t="str">
        <f ca="1">_xll.DBRW(Server&amp;Cube1,$H$13,$BC$3,$H$15,$H$17,BG$1,$H$16,$B130)</f>
        <v>*KEY_ERR</v>
      </c>
      <c r="BH130" s="58" t="str">
        <f ca="1">_xll.DBRW(Server&amp;Cube1,$H$13,$BC$3,$H$15,$H$17,BH$1,$H$16,$B130)</f>
        <v>*KEY_ERR</v>
      </c>
      <c r="BI130" s="58" t="str">
        <f ca="1">_xll.DBRW(Server&amp;Cube1,$H$13,$BC$3,$H$15,$H$17,BI$1,$H$16,$B130)</f>
        <v>*KEY_ERR</v>
      </c>
      <c r="BJ130" s="58" t="str">
        <f ca="1">_xll.DBRW(Server&amp;Cube1,$H$13,$BC$3,$H$15,$H$17,BJ$1,$H$16,$B130)</f>
        <v>*KEY_ERR</v>
      </c>
      <c r="BK130" s="58" t="str">
        <f ca="1">_xll.DBRW(Server&amp;Cube1,$H$13,$BC$3,$H$15,$H$17,BK$1,$H$16,$B130)</f>
        <v>*KEY_ERR</v>
      </c>
      <c r="BL130" s="58" t="str">
        <f ca="1">_xll.DBRW(Server&amp;Cube1,$H$13,$BC$3,$H$15,$H$17,BL$1,$H$16,$B130)</f>
        <v>*KEY_ERR</v>
      </c>
      <c r="BM130" s="58" t="str">
        <f ca="1">_xll.DBRW(Server&amp;Cube1,$H$13,$BC$3,$H$15,$H$17,BM$1,$H$16,$B130)</f>
        <v>*KEY_ERR</v>
      </c>
      <c r="BN130" s="58" t="str">
        <f ca="1">_xll.DBRW(Server&amp;Cube1,$H$13,$BC$3,$H$15,$H$17,BN$1,$H$16,$B130)</f>
        <v>*KEY_ERR</v>
      </c>
      <c r="BO130" s="59" t="str">
        <f ca="1">_xll.DBRW(Server&amp;Cube1,$H$13,$BC$3,$H$15,$H$17,BO$1,$H$16,$B130)</f>
        <v>*KEY_ERR</v>
      </c>
      <c r="BP130" s="31"/>
    </row>
    <row r="131" spans="1:68" ht="21" customHeight="1" x14ac:dyDescent="0.25">
      <c r="A131"/>
      <c r="B131" s="13" t="s">
        <v>62</v>
      </c>
      <c r="C131" s="13"/>
      <c r="D131" s="22"/>
      <c r="E131" s="171"/>
      <c r="F131" s="107"/>
      <c r="G131" s="305" t="str">
        <f ca="1">_xll.DBRA(Server&amp;$B$22,$B131,"French")</f>
        <v>Taxe sur les véhicules de sociétés</v>
      </c>
      <c r="H131" s="305" t="str">
        <f ca="1">_xll.DBRA(Server&amp;$B$22,$B131,"French")</f>
        <v>Taxe sur les véhicules de sociétés</v>
      </c>
      <c r="I131" s="37"/>
      <c r="J131" s="54" t="str">
        <f ca="1">_xll.DBRW(Server&amp;Cube1,$H$13,$H$14,$H$15,$J$1,$J$2,$H$16,$B131)</f>
        <v/>
      </c>
      <c r="K131" s="37"/>
      <c r="L131" s="54" t="str">
        <f ca="1">_xll.DBRW(Server&amp;Cube1,$H$13,$H$14,$H$15,$L$1,$L$2,$H$16,$B131)</f>
        <v/>
      </c>
      <c r="M131" s="55"/>
      <c r="N131" s="54" t="str">
        <f ca="1">_xll.DBRW(Server&amp;Cube1,$H$13,$H$14,$H$15,$P$1,N$2,$H$16,$B131)</f>
        <v>*KEY_ERR</v>
      </c>
      <c r="O131" s="57"/>
      <c r="P131" s="54" t="str">
        <f ca="1">_xll.DBRW(Server&amp;Cube1,$H$13,$P$3,$H$15,$P$1,P$2,$H$16,$B131)</f>
        <v>*KEY_ERR</v>
      </c>
      <c r="Q131" s="54" t="str">
        <f ca="1">_xll.DBRW(Server&amp;Cube1,$H$13,$P$3,$H$15,$H$17,Q$1,$H$16,$B131)</f>
        <v>*KEY_ERR</v>
      </c>
      <c r="R131" s="58" t="str">
        <f ca="1">_xll.DBRW(Server&amp;Cube1,$H$13,$P$3,$H$15,$H$17,R$1,$H$16,$B131)</f>
        <v>*KEY_ERR</v>
      </c>
      <c r="S131" s="58" t="str">
        <f ca="1">_xll.DBRW(Server&amp;Cube1,$H$13,$P$3,$H$15,$H$17,S$1,$H$16,$B131)</f>
        <v>*KEY_ERR</v>
      </c>
      <c r="T131" s="58" t="str">
        <f ca="1">_xll.DBRW(Server&amp;Cube1,$H$13,$P$3,$H$15,$H$17,T$1,$H$16,$B131)</f>
        <v>*KEY_ERR</v>
      </c>
      <c r="U131" s="58" t="str">
        <f ca="1">_xll.DBRW(Server&amp;Cube1,$H$13,$P$3,$H$15,$H$17,U$1,$H$16,$B131)</f>
        <v>*KEY_ERR</v>
      </c>
      <c r="V131" s="58" t="str">
        <f ca="1">_xll.DBRW(Server&amp;Cube1,$H$13,$P$3,$H$15,$H$17,V$1,$H$16,$B131)</f>
        <v>*KEY_ERR</v>
      </c>
      <c r="W131" s="58" t="str">
        <f ca="1">_xll.DBRW(Server&amp;Cube1,$H$13,$P$3,$H$15,$H$17,W$1,$H$16,$B131)</f>
        <v>*KEY_ERR</v>
      </c>
      <c r="X131" s="58" t="str">
        <f ca="1">_xll.DBRW(Server&amp;Cube1,$H$13,$P$3,$H$15,$H$17,X$1,$H$16,$B131)</f>
        <v>*KEY_ERR</v>
      </c>
      <c r="Y131" s="58" t="str">
        <f ca="1">_xll.DBRW(Server&amp;Cube1,$H$13,$P$3,$H$15,$H$17,Y$1,$H$16,$B131)</f>
        <v>*KEY_ERR</v>
      </c>
      <c r="Z131" s="58" t="str">
        <f ca="1">_xll.DBRW(Server&amp;Cube1,$H$13,$P$3,$H$15,$H$17,Z$1,$H$16,$B131)</f>
        <v>*KEY_ERR</v>
      </c>
      <c r="AA131" s="58" t="str">
        <f ca="1">_xll.DBRW(Server&amp;Cube1,$H$13,$P$3,$H$15,$H$17,AA$1,$H$16,$B131)</f>
        <v>*KEY_ERR</v>
      </c>
      <c r="AB131" s="59" t="str">
        <f ca="1">_xll.DBRW(Server&amp;Cube1,$H$13,$P$3,$H$15,$H$17,AB$1,$H$16,$B131)</f>
        <v>*KEY_ERR</v>
      </c>
      <c r="AC131" s="187" t="str">
        <f ca="1">_xll.DBRW(Server&amp;Cube1,$H$13,$AC$3,$H$15,$P$1,AC$2,$H$16,$B131)</f>
        <v>*KEY_ERR</v>
      </c>
      <c r="AD131" s="54" t="str">
        <f ca="1">_xll.DBRW(Server&amp;Cube1,$H$13,$AC$3,$H$15,$H$17,AD$1,$H$16,$B131)</f>
        <v>*KEY_ERR</v>
      </c>
      <c r="AE131" s="58" t="str">
        <f ca="1">_xll.DBRW(Server&amp;Cube1,$H$13,$AC$3,$H$15,$H$17,AE$1,$H$16,$B131)</f>
        <v>*KEY_ERR</v>
      </c>
      <c r="AF131" s="58" t="str">
        <f ca="1">_xll.DBRW(Server&amp;Cube1,$H$13,$AC$3,$H$15,$H$17,AF$1,$H$16,$B131)</f>
        <v>*KEY_ERR</v>
      </c>
      <c r="AG131" s="58" t="str">
        <f ca="1">_xll.DBRW(Server&amp;Cube1,$H$13,$AC$3,$H$15,$H$17,AG$1,$H$16,$B131)</f>
        <v>*KEY_ERR</v>
      </c>
      <c r="AH131" s="58" t="str">
        <f ca="1">_xll.DBRW(Server&amp;Cube1,$H$13,$AC$3,$H$15,$H$17,AH$1,$H$16,$B131)</f>
        <v>*KEY_ERR</v>
      </c>
      <c r="AI131" s="58" t="str">
        <f ca="1">_xll.DBRW(Server&amp;Cube1,$H$13,$AC$3,$H$15,$H$17,AI$1,$H$16,$B131)</f>
        <v>*KEY_ERR</v>
      </c>
      <c r="AJ131" s="58" t="str">
        <f ca="1">_xll.DBRW(Server&amp;Cube1,$H$13,$AC$3,$H$15,$H$17,AJ$1,$H$16,$B131)</f>
        <v>*KEY_ERR</v>
      </c>
      <c r="AK131" s="58" t="str">
        <f ca="1">_xll.DBRW(Server&amp;Cube1,$H$13,$AC$3,$H$15,$H$17,AK$1,$H$16,$B131)</f>
        <v>*KEY_ERR</v>
      </c>
      <c r="AL131" s="58" t="str">
        <f ca="1">_xll.DBRW(Server&amp;Cube1,$H$13,$AC$3,$H$15,$H$17,AL$1,$H$16,$B131)</f>
        <v>*KEY_ERR</v>
      </c>
      <c r="AM131" s="58" t="str">
        <f ca="1">_xll.DBRW(Server&amp;Cube1,$H$13,$AC$3,$H$15,$H$17,AM$1,$H$16,$B131)</f>
        <v>*KEY_ERR</v>
      </c>
      <c r="AN131" s="58" t="str">
        <f ca="1">_xll.DBRW(Server&amp;Cube1,$H$13,$AC$3,$H$15,$H$17,AN$1,$H$16,$B131)</f>
        <v>*KEY_ERR</v>
      </c>
      <c r="AO131" s="59" t="str">
        <f ca="1">_xll.DBRW(Server&amp;Cube1,$H$13,$AC$3,$H$15,$H$17,AO$1,$H$16,$B131)</f>
        <v>*KEY_ERR</v>
      </c>
      <c r="AP131" s="187" t="str">
        <f ca="1">_xll.DBRW(Server&amp;Cube1,$H$13,$AP$3,$H$15,$P$1,AP$2,$H$16,$B131)</f>
        <v>*KEY_ERR</v>
      </c>
      <c r="AQ131" s="54" t="str">
        <f ca="1">_xll.DBRW(Server&amp;Cube1,$H$13,$AP$3,$H$15,$H$17,AQ$1,$H$16,$B131)</f>
        <v>*KEY_ERR</v>
      </c>
      <c r="AR131" s="58" t="str">
        <f ca="1">_xll.DBRW(Server&amp;Cube1,$H$13,$AP$3,$H$15,$H$17,AR$1,$H$16,$B131)</f>
        <v>*KEY_ERR</v>
      </c>
      <c r="AS131" s="58" t="str">
        <f ca="1">_xll.DBRW(Server&amp;Cube1,$H$13,$AP$3,$H$15,$H$17,AS$1,$H$16,$B131)</f>
        <v>*KEY_ERR</v>
      </c>
      <c r="AT131" s="58" t="str">
        <f ca="1">_xll.DBRW(Server&amp;Cube1,$H$13,$AP$3,$H$15,$H$17,AT$1,$H$16,$B131)</f>
        <v>*KEY_ERR</v>
      </c>
      <c r="AU131" s="58" t="str">
        <f ca="1">_xll.DBRW(Server&amp;Cube1,$H$13,$AP$3,$H$15,$H$17,AU$1,$H$16,$B131)</f>
        <v>*KEY_ERR</v>
      </c>
      <c r="AV131" s="58" t="str">
        <f ca="1">_xll.DBRW(Server&amp;Cube1,$H$13,$AP$3,$H$15,$H$17,AV$1,$H$16,$B131)</f>
        <v>*KEY_ERR</v>
      </c>
      <c r="AW131" s="58" t="str">
        <f ca="1">_xll.DBRW(Server&amp;Cube1,$H$13,$AP$3,$H$15,$H$17,AW$1,$H$16,$B131)</f>
        <v>*KEY_ERR</v>
      </c>
      <c r="AX131" s="58" t="str">
        <f ca="1">_xll.DBRW(Server&amp;Cube1,$H$13,$AP$3,$H$15,$H$17,AX$1,$H$16,$B131)</f>
        <v>*KEY_ERR</v>
      </c>
      <c r="AY131" s="58" t="str">
        <f ca="1">_xll.DBRW(Server&amp;Cube1,$H$13,$AP$3,$H$15,$H$17,AY$1,$H$16,$B131)</f>
        <v>*KEY_ERR</v>
      </c>
      <c r="AZ131" s="58" t="str">
        <f ca="1">_xll.DBRW(Server&amp;Cube1,$H$13,$AP$3,$H$15,$H$17,AZ$1,$H$16,$B131)</f>
        <v>*KEY_ERR</v>
      </c>
      <c r="BA131" s="58" t="str">
        <f ca="1">_xll.DBRW(Server&amp;Cube1,$H$13,$AP$3,$H$15,$H$17,BA$1,$H$16,$B131)</f>
        <v>*KEY_ERR</v>
      </c>
      <c r="BB131" s="59" t="str">
        <f ca="1">_xll.DBRW(Server&amp;Cube1,$H$13,$AP$3,$H$15,$H$17,BB$1,$H$16,$B131)</f>
        <v>*KEY_ERR</v>
      </c>
      <c r="BC131" s="187" t="str">
        <f ca="1">_xll.DBRW(Server&amp;Cube1,$H$13,$BC$3,$H$15,$P$1,BC$2,$H$16,$B131)</f>
        <v>*KEY_ERR</v>
      </c>
      <c r="BD131" s="54" t="str">
        <f ca="1">_xll.DBRW(Server&amp;Cube1,$H$13,$BC$3,$H$15,$H$17,BD$1,$H$16,$B131)</f>
        <v>*KEY_ERR</v>
      </c>
      <c r="BE131" s="58" t="str">
        <f ca="1">_xll.DBRW(Server&amp;Cube1,$H$13,$BC$3,$H$15,$H$17,BE$1,$H$16,$B131)</f>
        <v>*KEY_ERR</v>
      </c>
      <c r="BF131" s="58" t="str">
        <f ca="1">_xll.DBRW(Server&amp;Cube1,$H$13,$BC$3,$H$15,$H$17,BF$1,$H$16,$B131)</f>
        <v>*KEY_ERR</v>
      </c>
      <c r="BG131" s="58" t="str">
        <f ca="1">_xll.DBRW(Server&amp;Cube1,$H$13,$BC$3,$H$15,$H$17,BG$1,$H$16,$B131)</f>
        <v>*KEY_ERR</v>
      </c>
      <c r="BH131" s="58" t="str">
        <f ca="1">_xll.DBRW(Server&amp;Cube1,$H$13,$BC$3,$H$15,$H$17,BH$1,$H$16,$B131)</f>
        <v>*KEY_ERR</v>
      </c>
      <c r="BI131" s="58" t="str">
        <f ca="1">_xll.DBRW(Server&amp;Cube1,$H$13,$BC$3,$H$15,$H$17,BI$1,$H$16,$B131)</f>
        <v>*KEY_ERR</v>
      </c>
      <c r="BJ131" s="58" t="str">
        <f ca="1">_xll.DBRW(Server&amp;Cube1,$H$13,$BC$3,$H$15,$H$17,BJ$1,$H$16,$B131)</f>
        <v>*KEY_ERR</v>
      </c>
      <c r="BK131" s="58" t="str">
        <f ca="1">_xll.DBRW(Server&amp;Cube1,$H$13,$BC$3,$H$15,$H$17,BK$1,$H$16,$B131)</f>
        <v>*KEY_ERR</v>
      </c>
      <c r="BL131" s="58" t="str">
        <f ca="1">_xll.DBRW(Server&amp;Cube1,$H$13,$BC$3,$H$15,$H$17,BL$1,$H$16,$B131)</f>
        <v>*KEY_ERR</v>
      </c>
      <c r="BM131" s="58" t="str">
        <f ca="1">_xll.DBRW(Server&amp;Cube1,$H$13,$BC$3,$H$15,$H$17,BM$1,$H$16,$B131)</f>
        <v>*KEY_ERR</v>
      </c>
      <c r="BN131" s="58" t="str">
        <f ca="1">_xll.DBRW(Server&amp;Cube1,$H$13,$BC$3,$H$15,$H$17,BN$1,$H$16,$B131)</f>
        <v>*KEY_ERR</v>
      </c>
      <c r="BO131" s="59" t="str">
        <f ca="1">_xll.DBRW(Server&amp;Cube1,$H$13,$BC$3,$H$15,$H$17,BO$1,$H$16,$B131)</f>
        <v>*KEY_ERR</v>
      </c>
      <c r="BP131" s="31"/>
    </row>
    <row r="132" spans="1:68" ht="3" customHeight="1" x14ac:dyDescent="0.25">
      <c r="A132"/>
      <c r="B132" s="11"/>
      <c r="C132" s="11"/>
      <c r="D132" s="20"/>
      <c r="E132" s="170"/>
      <c r="F132" s="106"/>
      <c r="G132" s="43"/>
      <c r="H132" s="43"/>
      <c r="I132" s="38"/>
      <c r="J132" s="62"/>
      <c r="K132" s="38"/>
      <c r="L132" s="62"/>
      <c r="M132" s="63"/>
      <c r="N132" s="64"/>
      <c r="O132" s="64"/>
      <c r="P132" s="64"/>
      <c r="Q132" s="62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6"/>
      <c r="AC132" s="64"/>
      <c r="AD132" s="62"/>
      <c r="AE132" s="65"/>
      <c r="AF132" s="65"/>
      <c r="AG132" s="65"/>
      <c r="AH132" s="65"/>
      <c r="AI132" s="65"/>
      <c r="AJ132" s="65"/>
      <c r="AK132" s="65"/>
      <c r="AL132" s="65"/>
      <c r="AM132" s="65"/>
      <c r="AN132" s="65"/>
      <c r="AO132" s="66"/>
      <c r="AP132" s="64"/>
      <c r="AQ132" s="62"/>
      <c r="AR132" s="65"/>
      <c r="AS132" s="65"/>
      <c r="AT132" s="65"/>
      <c r="AU132" s="65"/>
      <c r="AV132" s="65"/>
      <c r="AW132" s="65"/>
      <c r="AX132" s="65"/>
      <c r="AY132" s="65"/>
      <c r="AZ132" s="65"/>
      <c r="BA132" s="65"/>
      <c r="BB132" s="66"/>
      <c r="BC132" s="64"/>
      <c r="BD132" s="62"/>
      <c r="BE132" s="65"/>
      <c r="BF132" s="65"/>
      <c r="BG132" s="65"/>
      <c r="BH132" s="65"/>
      <c r="BI132" s="65"/>
      <c r="BJ132" s="65"/>
      <c r="BK132" s="65"/>
      <c r="BL132" s="65"/>
      <c r="BM132" s="65"/>
      <c r="BN132" s="65"/>
      <c r="BO132" s="66"/>
      <c r="BP132" s="31"/>
    </row>
    <row r="133" spans="1:68" ht="15" customHeight="1" x14ac:dyDescent="0.25">
      <c r="A133"/>
      <c r="B133" s="11"/>
      <c r="C133" s="11"/>
      <c r="D133" s="20"/>
      <c r="E133" s="170"/>
      <c r="F133" s="106"/>
      <c r="G133" s="80"/>
      <c r="H133" s="80"/>
      <c r="I133" s="82"/>
      <c r="J133" s="100"/>
      <c r="K133" s="82"/>
      <c r="L133" s="100"/>
      <c r="M133" s="124"/>
      <c r="N133" s="100"/>
      <c r="O133" s="100"/>
      <c r="P133" s="100"/>
      <c r="Q133" s="101"/>
      <c r="R133" s="102"/>
      <c r="S133" s="102"/>
      <c r="T133" s="102"/>
      <c r="U133" s="102"/>
      <c r="V133" s="102"/>
      <c r="W133" s="102"/>
      <c r="X133" s="102"/>
      <c r="Y133" s="102"/>
      <c r="Z133" s="102"/>
      <c r="AA133" s="102"/>
      <c r="AB133" s="103"/>
      <c r="AC133" s="100"/>
      <c r="AD133" s="101"/>
      <c r="AE133" s="102"/>
      <c r="AF133" s="102"/>
      <c r="AG133" s="102"/>
      <c r="AH133" s="102"/>
      <c r="AI133" s="102"/>
      <c r="AJ133" s="102"/>
      <c r="AK133" s="102"/>
      <c r="AL133" s="102"/>
      <c r="AM133" s="102"/>
      <c r="AN133" s="102"/>
      <c r="AO133" s="103"/>
      <c r="AP133" s="100"/>
      <c r="AQ133" s="101"/>
      <c r="AR133" s="102"/>
      <c r="AS133" s="102"/>
      <c r="AT133" s="102"/>
      <c r="AU133" s="102"/>
      <c r="AV133" s="102"/>
      <c r="AW133" s="102"/>
      <c r="AX133" s="102"/>
      <c r="AY133" s="102"/>
      <c r="AZ133" s="102"/>
      <c r="BA133" s="102"/>
      <c r="BB133" s="103"/>
      <c r="BC133" s="100"/>
      <c r="BD133" s="101"/>
      <c r="BE133" s="102"/>
      <c r="BF133" s="102"/>
      <c r="BG133" s="102"/>
      <c r="BH133" s="102"/>
      <c r="BI133" s="102"/>
      <c r="BJ133" s="102"/>
      <c r="BK133" s="102"/>
      <c r="BL133" s="102"/>
      <c r="BM133" s="102"/>
      <c r="BN133" s="102"/>
      <c r="BO133" s="103"/>
      <c r="BP133" s="31"/>
    </row>
    <row r="134" spans="1:68" ht="5.25" customHeight="1" x14ac:dyDescent="0.25">
      <c r="A134"/>
      <c r="B134" s="11"/>
      <c r="C134" s="11"/>
      <c r="D134" s="20"/>
      <c r="E134" s="170"/>
      <c r="F134" s="332"/>
      <c r="G134" s="333"/>
      <c r="H134" s="333"/>
      <c r="I134" s="333"/>
      <c r="J134" s="333"/>
      <c r="K134" s="333"/>
      <c r="L134" s="333"/>
      <c r="M134" s="333"/>
      <c r="N134" s="333"/>
      <c r="O134" s="333"/>
      <c r="P134" s="333"/>
      <c r="Q134" s="333"/>
      <c r="R134" s="333"/>
      <c r="S134" s="333"/>
      <c r="T134" s="333"/>
      <c r="U134" s="333"/>
      <c r="V134" s="333"/>
      <c r="W134" s="333"/>
      <c r="X134" s="333"/>
      <c r="Y134" s="333"/>
      <c r="Z134" s="333"/>
      <c r="AA134" s="333"/>
      <c r="AB134" s="333"/>
      <c r="AC134" s="333"/>
      <c r="AD134" s="333"/>
      <c r="AE134" s="333"/>
      <c r="AF134" s="333"/>
      <c r="AG134" s="333"/>
      <c r="AH134" s="333"/>
      <c r="AI134" s="333"/>
      <c r="AJ134" s="333"/>
      <c r="AK134" s="333"/>
      <c r="AL134" s="333"/>
      <c r="AM134" s="333"/>
      <c r="AN134" s="333"/>
      <c r="AO134" s="333"/>
      <c r="AP134" s="333"/>
      <c r="AQ134" s="333"/>
      <c r="AR134" s="333"/>
      <c r="AS134" s="333"/>
      <c r="AT134" s="333"/>
      <c r="AU134" s="333"/>
      <c r="AV134" s="333"/>
      <c r="AW134" s="333"/>
      <c r="AX134" s="333"/>
      <c r="AY134" s="333"/>
      <c r="AZ134" s="333"/>
      <c r="BA134" s="333"/>
      <c r="BB134" s="333"/>
      <c r="BC134" s="333"/>
      <c r="BD134" s="333"/>
      <c r="BE134" s="333"/>
      <c r="BF134" s="333"/>
      <c r="BG134" s="333"/>
      <c r="BH134" s="333"/>
      <c r="BI134" s="333"/>
      <c r="BJ134" s="333"/>
      <c r="BK134" s="333"/>
      <c r="BL134" s="333"/>
      <c r="BM134" s="333"/>
      <c r="BN134" s="333"/>
      <c r="BO134" s="333"/>
      <c r="BP134" s="31"/>
    </row>
    <row r="135" spans="1:68" ht="18.75" customHeight="1" x14ac:dyDescent="0.25">
      <c r="A135"/>
      <c r="B135" s="11"/>
      <c r="C135" s="11"/>
      <c r="D135" s="20"/>
      <c r="E135" s="170"/>
      <c r="F135" s="174"/>
      <c r="G135" s="175"/>
      <c r="H135" s="176"/>
      <c r="I135" s="177"/>
      <c r="J135" s="178"/>
      <c r="K135" s="177"/>
      <c r="L135" s="178"/>
      <c r="M135" s="179"/>
      <c r="N135" s="178"/>
      <c r="O135" s="64"/>
      <c r="P135" s="178"/>
      <c r="Q135" s="178"/>
      <c r="R135" s="178"/>
      <c r="S135" s="178"/>
      <c r="T135" s="178"/>
      <c r="U135" s="178"/>
      <c r="V135" s="178"/>
      <c r="W135" s="178"/>
      <c r="X135" s="178"/>
      <c r="Y135" s="178"/>
      <c r="Z135" s="178"/>
      <c r="AA135" s="178"/>
      <c r="AB135" s="178"/>
      <c r="AC135" s="178"/>
      <c r="AD135" s="178"/>
      <c r="AE135" s="178"/>
      <c r="AF135" s="178"/>
      <c r="AG135" s="178"/>
      <c r="AH135" s="178"/>
      <c r="AI135" s="178"/>
      <c r="AJ135" s="178"/>
      <c r="AK135" s="178"/>
      <c r="AL135" s="178"/>
      <c r="AM135" s="178"/>
      <c r="AN135" s="178"/>
      <c r="AO135" s="178"/>
      <c r="AP135" s="178"/>
      <c r="AQ135" s="178"/>
      <c r="AR135" s="178"/>
      <c r="AS135" s="178"/>
      <c r="AT135" s="178"/>
      <c r="AU135" s="178"/>
      <c r="AV135" s="178"/>
      <c r="AW135" s="178"/>
      <c r="AX135" s="178"/>
      <c r="AY135" s="178"/>
      <c r="AZ135" s="178"/>
      <c r="BA135" s="178"/>
      <c r="BB135" s="178"/>
      <c r="BC135" s="178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31"/>
    </row>
    <row r="136" spans="1:68" ht="28.5" customHeight="1" x14ac:dyDescent="0.25">
      <c r="A136"/>
      <c r="B136" s="12" t="s">
        <v>17</v>
      </c>
      <c r="C136" s="12"/>
      <c r="D136" s="21"/>
      <c r="E136" s="169"/>
      <c r="F136" s="328" t="str">
        <f ca="1">_xll.DBRA(Server&amp;$B$22,$B136,"French")</f>
        <v>RESULTAT NET</v>
      </c>
      <c r="G136" s="329"/>
      <c r="H136" s="330"/>
      <c r="I136" s="117"/>
      <c r="J136" s="118" t="str">
        <f ca="1">_xll.DBRW(Server&amp;Cube1,$H$13,$H$14,$H$15,$J$1,$J$2,$H$16,$B136)</f>
        <v/>
      </c>
      <c r="K136" s="117"/>
      <c r="L136" s="118" t="str">
        <f ca="1">_xll.DBRW(Server&amp;Cube1,$H$13,$H$14,$H$15,$L$1,$L$2,$H$16,$B136)</f>
        <v/>
      </c>
      <c r="M136" s="119"/>
      <c r="N136" s="118" t="str">
        <f ca="1">_xll.DBRW(Server&amp;Cube1,$H$13,$H$14,$H$15,$P$1,N$2,$H$16,$B136)</f>
        <v>*KEY_ERR</v>
      </c>
      <c r="O136" s="120"/>
      <c r="P136" s="118" t="str">
        <f ca="1">_xll.DBRW(Server&amp;Cube1,$H$13,$P$3,$H$15,$P$1,P$2,$H$16,$B136)</f>
        <v>*KEY_ERR</v>
      </c>
      <c r="Q136" s="121" t="str">
        <f ca="1">_xll.DBRW(Server&amp;Cube1,$H$13,$P$3,$H$15,$H$17,Q$1,$H$16,$B136)</f>
        <v>*KEY_ERR</v>
      </c>
      <c r="R136" s="122" t="str">
        <f ca="1">_xll.DBRW(Server&amp;Cube1,$H$13,$P$3,$H$15,$H$17,R$1,$H$16,$B136)</f>
        <v>*KEY_ERR</v>
      </c>
      <c r="S136" s="122" t="str">
        <f ca="1">_xll.DBRW(Server&amp;Cube1,$H$13,$P$3,$H$15,$H$17,S$1,$H$16,$B136)</f>
        <v>*KEY_ERR</v>
      </c>
      <c r="T136" s="122" t="str">
        <f ca="1">_xll.DBRW(Server&amp;Cube1,$H$13,$P$3,$H$15,$H$17,T$1,$H$16,$B136)</f>
        <v>*KEY_ERR</v>
      </c>
      <c r="U136" s="122" t="str">
        <f ca="1">_xll.DBRW(Server&amp;Cube1,$H$13,$P$3,$H$15,$H$17,U$1,$H$16,$B136)</f>
        <v>*KEY_ERR</v>
      </c>
      <c r="V136" s="122" t="str">
        <f ca="1">_xll.DBRW(Server&amp;Cube1,$H$13,$P$3,$H$15,$H$17,V$1,$H$16,$B136)</f>
        <v>*KEY_ERR</v>
      </c>
      <c r="W136" s="122" t="str">
        <f ca="1">_xll.DBRW(Server&amp;Cube1,$H$13,$P$3,$H$15,$H$17,W$1,$H$16,$B136)</f>
        <v>*KEY_ERR</v>
      </c>
      <c r="X136" s="122" t="str">
        <f ca="1">_xll.DBRW(Server&amp;Cube1,$H$13,$P$3,$H$15,$H$17,X$1,$H$16,$B136)</f>
        <v>*KEY_ERR</v>
      </c>
      <c r="Y136" s="122" t="str">
        <f ca="1">_xll.DBRW(Server&amp;Cube1,$H$13,$P$3,$H$15,$H$17,Y$1,$H$16,$B136)</f>
        <v>*KEY_ERR</v>
      </c>
      <c r="Z136" s="122" t="str">
        <f ca="1">_xll.DBRW(Server&amp;Cube1,$H$13,$P$3,$H$15,$H$17,Z$1,$H$16,$B136)</f>
        <v>*KEY_ERR</v>
      </c>
      <c r="AA136" s="122" t="str">
        <f ca="1">_xll.DBRW(Server&amp;Cube1,$H$13,$P$3,$H$15,$H$17,AA$1,$H$16,$B136)</f>
        <v>*KEY_ERR</v>
      </c>
      <c r="AB136" s="191" t="str">
        <f ca="1">_xll.DBRW(Server&amp;Cube1,$H$13,$P$3,$H$15,$H$17,AB$1,$H$16,$B136)</f>
        <v>*KEY_ERR</v>
      </c>
      <c r="AC136" s="192" t="str">
        <f ca="1">_xll.DBRW(Server&amp;Cube1,$H$13,$AC$3,$H$15,$P$1,AC$2,$H$16,$B136)</f>
        <v>*KEY_ERR</v>
      </c>
      <c r="AD136" s="121" t="str">
        <f ca="1">_xll.DBRW(Server&amp;Cube1,$H$13,$AC$3,$H$15,$H$17,AD$1,$H$16,$B136)</f>
        <v>*KEY_ERR</v>
      </c>
      <c r="AE136" s="122" t="str">
        <f ca="1">_xll.DBRW(Server&amp;Cube1,$H$13,$AC$3,$H$15,$H$17,AE$1,$H$16,$B136)</f>
        <v>*KEY_ERR</v>
      </c>
      <c r="AF136" s="122" t="str">
        <f ca="1">_xll.DBRW(Server&amp;Cube1,$H$13,$AC$3,$H$15,$H$17,AF$1,$H$16,$B136)</f>
        <v>*KEY_ERR</v>
      </c>
      <c r="AG136" s="122" t="str">
        <f ca="1">_xll.DBRW(Server&amp;Cube1,$H$13,$AC$3,$H$15,$H$17,AG$1,$H$16,$B136)</f>
        <v>*KEY_ERR</v>
      </c>
      <c r="AH136" s="122" t="str">
        <f ca="1">_xll.DBRW(Server&amp;Cube1,$H$13,$AC$3,$H$15,$H$17,AH$1,$H$16,$B136)</f>
        <v>*KEY_ERR</v>
      </c>
      <c r="AI136" s="122" t="str">
        <f ca="1">_xll.DBRW(Server&amp;Cube1,$H$13,$AC$3,$H$15,$H$17,AI$1,$H$16,$B136)</f>
        <v>*KEY_ERR</v>
      </c>
      <c r="AJ136" s="122" t="str">
        <f ca="1">_xll.DBRW(Server&amp;Cube1,$H$13,$AC$3,$H$15,$H$17,AJ$1,$H$16,$B136)</f>
        <v>*KEY_ERR</v>
      </c>
      <c r="AK136" s="122" t="str">
        <f ca="1">_xll.DBRW(Server&amp;Cube1,$H$13,$AC$3,$H$15,$H$17,AK$1,$H$16,$B136)</f>
        <v>*KEY_ERR</v>
      </c>
      <c r="AL136" s="122" t="str">
        <f ca="1">_xll.DBRW(Server&amp;Cube1,$H$13,$AC$3,$H$15,$H$17,AL$1,$H$16,$B136)</f>
        <v>*KEY_ERR</v>
      </c>
      <c r="AM136" s="122" t="str">
        <f ca="1">_xll.DBRW(Server&amp;Cube1,$H$13,$AC$3,$H$15,$H$17,AM$1,$H$16,$B136)</f>
        <v>*KEY_ERR</v>
      </c>
      <c r="AN136" s="122" t="str">
        <f ca="1">_xll.DBRW(Server&amp;Cube1,$H$13,$AC$3,$H$15,$H$17,AN$1,$H$16,$B136)</f>
        <v>*KEY_ERR</v>
      </c>
      <c r="AO136" s="191" t="str">
        <f ca="1">_xll.DBRW(Server&amp;Cube1,$H$13,$AC$3,$H$15,$H$17,AO$1,$H$16,$B136)</f>
        <v>*KEY_ERR</v>
      </c>
      <c r="AP136" s="192" t="str">
        <f ca="1">_xll.DBRW(Server&amp;Cube1,$H$13,$AP$3,$H$15,$P$1,AP$2,$H$16,$B136)</f>
        <v>*KEY_ERR</v>
      </c>
      <c r="AQ136" s="121" t="str">
        <f ca="1">_xll.DBRW(Server&amp;Cube1,$H$13,$AP$3,$H$15,$H$17,AQ$1,$H$16,$B136)</f>
        <v>*KEY_ERR</v>
      </c>
      <c r="AR136" s="122" t="str">
        <f ca="1">_xll.DBRW(Server&amp;Cube1,$H$13,$AP$3,$H$15,$H$17,AR$1,$H$16,$B136)</f>
        <v>*KEY_ERR</v>
      </c>
      <c r="AS136" s="122" t="str">
        <f ca="1">_xll.DBRW(Server&amp;Cube1,$H$13,$AP$3,$H$15,$H$17,AS$1,$H$16,$B136)</f>
        <v>*KEY_ERR</v>
      </c>
      <c r="AT136" s="122" t="str">
        <f ca="1">_xll.DBRW(Server&amp;Cube1,$H$13,$AP$3,$H$15,$H$17,AT$1,$H$16,$B136)</f>
        <v>*KEY_ERR</v>
      </c>
      <c r="AU136" s="122" t="str">
        <f ca="1">_xll.DBRW(Server&amp;Cube1,$H$13,$AP$3,$H$15,$H$17,AU$1,$H$16,$B136)</f>
        <v>*KEY_ERR</v>
      </c>
      <c r="AV136" s="122" t="str">
        <f ca="1">_xll.DBRW(Server&amp;Cube1,$H$13,$AP$3,$H$15,$H$17,AV$1,$H$16,$B136)</f>
        <v>*KEY_ERR</v>
      </c>
      <c r="AW136" s="122" t="str">
        <f ca="1">_xll.DBRW(Server&amp;Cube1,$H$13,$AP$3,$H$15,$H$17,AW$1,$H$16,$B136)</f>
        <v>*KEY_ERR</v>
      </c>
      <c r="AX136" s="122" t="str">
        <f ca="1">_xll.DBRW(Server&amp;Cube1,$H$13,$AP$3,$H$15,$H$17,AX$1,$H$16,$B136)</f>
        <v>*KEY_ERR</v>
      </c>
      <c r="AY136" s="122" t="str">
        <f ca="1">_xll.DBRW(Server&amp;Cube1,$H$13,$AP$3,$H$15,$H$17,AY$1,$H$16,$B136)</f>
        <v>*KEY_ERR</v>
      </c>
      <c r="AZ136" s="122" t="str">
        <f ca="1">_xll.DBRW(Server&amp;Cube1,$H$13,$AP$3,$H$15,$H$17,AZ$1,$H$16,$B136)</f>
        <v>*KEY_ERR</v>
      </c>
      <c r="BA136" s="122" t="str">
        <f ca="1">_xll.DBRW(Server&amp;Cube1,$H$13,$AP$3,$H$15,$H$17,BA$1,$H$16,$B136)</f>
        <v>*KEY_ERR</v>
      </c>
      <c r="BB136" s="191" t="str">
        <f ca="1">_xll.DBRW(Server&amp;Cube1,$H$13,$AP$3,$H$15,$H$17,BB$1,$H$16,$B136)</f>
        <v>*KEY_ERR</v>
      </c>
      <c r="BC136" s="192" t="str">
        <f ca="1">_xll.DBRW(Server&amp;Cube1,$H$13,$BC$3,$H$15,$P$1,BC$2,$H$16,$B136)</f>
        <v>*KEY_ERR</v>
      </c>
      <c r="BD136" s="121" t="str">
        <f ca="1">_xll.DBRW(Server&amp;Cube1,$H$13,$BC$3,$H$15,$H$17,BD$1,$H$16,$B136)</f>
        <v>*KEY_ERR</v>
      </c>
      <c r="BE136" s="122" t="str">
        <f ca="1">_xll.DBRW(Server&amp;Cube1,$H$13,$BC$3,$H$15,$H$17,BE$1,$H$16,$B136)</f>
        <v>*KEY_ERR</v>
      </c>
      <c r="BF136" s="122" t="str">
        <f ca="1">_xll.DBRW(Server&amp;Cube1,$H$13,$BC$3,$H$15,$H$17,BF$1,$H$16,$B136)</f>
        <v>*KEY_ERR</v>
      </c>
      <c r="BG136" s="122" t="str">
        <f ca="1">_xll.DBRW(Server&amp;Cube1,$H$13,$BC$3,$H$15,$H$17,BG$1,$H$16,$B136)</f>
        <v>*KEY_ERR</v>
      </c>
      <c r="BH136" s="122" t="str">
        <f ca="1">_xll.DBRW(Server&amp;Cube1,$H$13,$BC$3,$H$15,$H$17,BH$1,$H$16,$B136)</f>
        <v>*KEY_ERR</v>
      </c>
      <c r="BI136" s="122" t="str">
        <f ca="1">_xll.DBRW(Server&amp;Cube1,$H$13,$BC$3,$H$15,$H$17,BI$1,$H$16,$B136)</f>
        <v>*KEY_ERR</v>
      </c>
      <c r="BJ136" s="122" t="str">
        <f ca="1">_xll.DBRW(Server&amp;Cube1,$H$13,$BC$3,$H$15,$H$17,BJ$1,$H$16,$B136)</f>
        <v>*KEY_ERR</v>
      </c>
      <c r="BK136" s="122" t="str">
        <f ca="1">_xll.DBRW(Server&amp;Cube1,$H$13,$BC$3,$H$15,$H$17,BK$1,$H$16,$B136)</f>
        <v>*KEY_ERR</v>
      </c>
      <c r="BL136" s="122" t="str">
        <f ca="1">_xll.DBRW(Server&amp;Cube1,$H$13,$BC$3,$H$15,$H$17,BL$1,$H$16,$B136)</f>
        <v>*KEY_ERR</v>
      </c>
      <c r="BM136" s="122" t="str">
        <f ca="1">_xll.DBRW(Server&amp;Cube1,$H$13,$BC$3,$H$15,$H$17,BM$1,$H$16,$B136)</f>
        <v>*KEY_ERR</v>
      </c>
      <c r="BN136" s="122" t="str">
        <f ca="1">_xll.DBRW(Server&amp;Cube1,$H$13,$BC$3,$H$15,$H$17,BN$1,$H$16,$B136)</f>
        <v>*KEY_ERR</v>
      </c>
      <c r="BO136" s="123" t="str">
        <f ca="1">_xll.DBRW(Server&amp;Cube1,$H$13,$BC$3,$H$15,$H$17,BO$1,$H$16,$B136)</f>
        <v>*KEY_ERR</v>
      </c>
      <c r="BP136" s="31"/>
    </row>
    <row r="137" spans="1:68" ht="18" customHeight="1" x14ac:dyDescent="0.25">
      <c r="A137"/>
      <c r="B137" s="11"/>
      <c r="C137" s="11"/>
      <c r="D137" s="20"/>
      <c r="E137" s="170"/>
      <c r="F137" s="106"/>
      <c r="G137" s="43"/>
      <c r="H137" s="76" t="s">
        <v>77</v>
      </c>
      <c r="I137" s="38"/>
      <c r="J137" s="79" t="str">
        <f ca="1">IF(ISERROR(J136/J37),"-",J136/J37)</f>
        <v>-</v>
      </c>
      <c r="K137" s="38"/>
      <c r="L137" s="79" t="str">
        <f ca="1">IF(ISERROR(L136/L37),"-",L136/L37)</f>
        <v>-</v>
      </c>
      <c r="M137" s="77"/>
      <c r="N137" s="79" t="str">
        <f ca="1">IF(ISERROR(N136/N37),"-",N136/N37)</f>
        <v>-</v>
      </c>
      <c r="O137" s="78"/>
      <c r="P137" s="79" t="str">
        <f ca="1">IF(ISERROR(P136/P37),"-",P136/P37)</f>
        <v>-</v>
      </c>
      <c r="Q137" s="79" t="str">
        <f t="shared" ref="Q137:AB137" ca="1" si="41">IF(ISERROR(Q136/Q37),"-",Q136/Q37)</f>
        <v>-</v>
      </c>
      <c r="R137" s="79" t="str">
        <f t="shared" ca="1" si="41"/>
        <v>-</v>
      </c>
      <c r="S137" s="79" t="str">
        <f t="shared" ca="1" si="41"/>
        <v>-</v>
      </c>
      <c r="T137" s="79" t="str">
        <f t="shared" ca="1" si="41"/>
        <v>-</v>
      </c>
      <c r="U137" s="79" t="str">
        <f t="shared" ca="1" si="41"/>
        <v>-</v>
      </c>
      <c r="V137" s="79" t="str">
        <f t="shared" ca="1" si="41"/>
        <v>-</v>
      </c>
      <c r="W137" s="79" t="str">
        <f t="shared" ca="1" si="41"/>
        <v>-</v>
      </c>
      <c r="X137" s="79" t="str">
        <f t="shared" ca="1" si="41"/>
        <v>-</v>
      </c>
      <c r="Y137" s="79" t="str">
        <f t="shared" ca="1" si="41"/>
        <v>-</v>
      </c>
      <c r="Z137" s="79" t="str">
        <f t="shared" ca="1" si="41"/>
        <v>-</v>
      </c>
      <c r="AA137" s="79" t="str">
        <f t="shared" ca="1" si="41"/>
        <v>-</v>
      </c>
      <c r="AB137" s="193" t="str">
        <f t="shared" ca="1" si="41"/>
        <v>-</v>
      </c>
      <c r="AC137" s="195" t="str">
        <f ca="1">IF(ISERROR(AC136/AC37),"-",AC136/AC37)</f>
        <v>-</v>
      </c>
      <c r="AD137" s="79" t="str">
        <f t="shared" ref="AD137" ca="1" si="42">IF(ISERROR(AD136/AD37),"-",AD136/AD37)</f>
        <v>-</v>
      </c>
      <c r="AE137" s="79" t="str">
        <f t="shared" ref="AE137" ca="1" si="43">IF(ISERROR(AE136/AE37),"-",AE136/AE37)</f>
        <v>-</v>
      </c>
      <c r="AF137" s="79" t="str">
        <f t="shared" ref="AF137" ca="1" si="44">IF(ISERROR(AF136/AF37),"-",AF136/AF37)</f>
        <v>-</v>
      </c>
      <c r="AG137" s="79" t="str">
        <f t="shared" ref="AG137" ca="1" si="45">IF(ISERROR(AG136/AG37),"-",AG136/AG37)</f>
        <v>-</v>
      </c>
      <c r="AH137" s="79" t="str">
        <f t="shared" ref="AH137" ca="1" si="46">IF(ISERROR(AH136/AH37),"-",AH136/AH37)</f>
        <v>-</v>
      </c>
      <c r="AI137" s="79" t="str">
        <f t="shared" ref="AI137" ca="1" si="47">IF(ISERROR(AI136/AI37),"-",AI136/AI37)</f>
        <v>-</v>
      </c>
      <c r="AJ137" s="79" t="str">
        <f t="shared" ref="AJ137" ca="1" si="48">IF(ISERROR(AJ136/AJ37),"-",AJ136/AJ37)</f>
        <v>-</v>
      </c>
      <c r="AK137" s="79" t="str">
        <f t="shared" ref="AK137" ca="1" si="49">IF(ISERROR(AK136/AK37),"-",AK136/AK37)</f>
        <v>-</v>
      </c>
      <c r="AL137" s="79" t="str">
        <f t="shared" ref="AL137" ca="1" si="50">IF(ISERROR(AL136/AL37),"-",AL136/AL37)</f>
        <v>-</v>
      </c>
      <c r="AM137" s="79" t="str">
        <f t="shared" ref="AM137" ca="1" si="51">IF(ISERROR(AM136/AM37),"-",AM136/AM37)</f>
        <v>-</v>
      </c>
      <c r="AN137" s="79" t="str">
        <f t="shared" ref="AN137" ca="1" si="52">IF(ISERROR(AN136/AN37),"-",AN136/AN37)</f>
        <v>-</v>
      </c>
      <c r="AO137" s="79" t="str">
        <f t="shared" ref="AO137" ca="1" si="53">IF(ISERROR(AO136/AO37),"-",AO136/AO37)</f>
        <v>-</v>
      </c>
      <c r="AP137" s="79" t="str">
        <f ca="1">IF(ISERROR(AP136/AP37),"-",AP136/AP37)</f>
        <v>-</v>
      </c>
      <c r="AQ137" s="79" t="str">
        <f t="shared" ref="AQ137" ca="1" si="54">IF(ISERROR(AQ136/AQ37),"-",AQ136/AQ37)</f>
        <v>-</v>
      </c>
      <c r="AR137" s="79" t="str">
        <f t="shared" ref="AR137" ca="1" si="55">IF(ISERROR(AR136/AR37),"-",AR136/AR37)</f>
        <v>-</v>
      </c>
      <c r="AS137" s="79" t="str">
        <f t="shared" ref="AS137" ca="1" si="56">IF(ISERROR(AS136/AS37),"-",AS136/AS37)</f>
        <v>-</v>
      </c>
      <c r="AT137" s="79" t="str">
        <f t="shared" ref="AT137" ca="1" si="57">IF(ISERROR(AT136/AT37),"-",AT136/AT37)</f>
        <v>-</v>
      </c>
      <c r="AU137" s="79" t="str">
        <f t="shared" ref="AU137" ca="1" si="58">IF(ISERROR(AU136/AU37),"-",AU136/AU37)</f>
        <v>-</v>
      </c>
      <c r="AV137" s="79" t="str">
        <f t="shared" ref="AV137" ca="1" si="59">IF(ISERROR(AV136/AV37),"-",AV136/AV37)</f>
        <v>-</v>
      </c>
      <c r="AW137" s="79" t="str">
        <f t="shared" ref="AW137" ca="1" si="60">IF(ISERROR(AW136/AW37),"-",AW136/AW37)</f>
        <v>-</v>
      </c>
      <c r="AX137" s="79" t="str">
        <f t="shared" ref="AX137" ca="1" si="61">IF(ISERROR(AX136/AX37),"-",AX136/AX37)</f>
        <v>-</v>
      </c>
      <c r="AY137" s="79" t="str">
        <f t="shared" ref="AY137" ca="1" si="62">IF(ISERROR(AY136/AY37),"-",AY136/AY37)</f>
        <v>-</v>
      </c>
      <c r="AZ137" s="79" t="str">
        <f t="shared" ref="AZ137" ca="1" si="63">IF(ISERROR(AZ136/AZ37),"-",AZ136/AZ37)</f>
        <v>-</v>
      </c>
      <c r="BA137" s="79" t="str">
        <f t="shared" ref="BA137" ca="1" si="64">IF(ISERROR(BA136/BA37),"-",BA136/BA37)</f>
        <v>-</v>
      </c>
      <c r="BB137" s="79" t="str">
        <f t="shared" ref="BB137" ca="1" si="65">IF(ISERROR(BB136/BB37),"-",BB136/BB37)</f>
        <v>-</v>
      </c>
      <c r="BC137" s="79" t="str">
        <f ca="1">IF(ISERROR(BC136/BC37),"-",BC136/BC37)</f>
        <v>-</v>
      </c>
      <c r="BD137" s="79" t="str">
        <f t="shared" ref="BD137" ca="1" si="66">IF(ISERROR(BD136/BD37),"-",BD136/BD37)</f>
        <v>-</v>
      </c>
      <c r="BE137" s="79" t="str">
        <f t="shared" ref="BE137" ca="1" si="67">IF(ISERROR(BE136/BE37),"-",BE136/BE37)</f>
        <v>-</v>
      </c>
      <c r="BF137" s="79" t="str">
        <f t="shared" ref="BF137" ca="1" si="68">IF(ISERROR(BF136/BF37),"-",BF136/BF37)</f>
        <v>-</v>
      </c>
      <c r="BG137" s="79" t="str">
        <f t="shared" ref="BG137" ca="1" si="69">IF(ISERROR(BG136/BG37),"-",BG136/BG37)</f>
        <v>-</v>
      </c>
      <c r="BH137" s="79" t="str">
        <f t="shared" ref="BH137" ca="1" si="70">IF(ISERROR(BH136/BH37),"-",BH136/BH37)</f>
        <v>-</v>
      </c>
      <c r="BI137" s="79" t="str">
        <f t="shared" ref="BI137" ca="1" si="71">IF(ISERROR(BI136/BI37),"-",BI136/BI37)</f>
        <v>-</v>
      </c>
      <c r="BJ137" s="79" t="str">
        <f t="shared" ref="BJ137" ca="1" si="72">IF(ISERROR(BJ136/BJ37),"-",BJ136/BJ37)</f>
        <v>-</v>
      </c>
      <c r="BK137" s="79" t="str">
        <f t="shared" ref="BK137" ca="1" si="73">IF(ISERROR(BK136/BK37),"-",BK136/BK37)</f>
        <v>-</v>
      </c>
      <c r="BL137" s="79" t="str">
        <f t="shared" ref="BL137" ca="1" si="74">IF(ISERROR(BL136/BL37),"-",BL136/BL37)</f>
        <v>-</v>
      </c>
      <c r="BM137" s="79" t="str">
        <f t="shared" ref="BM137" ca="1" si="75">IF(ISERROR(BM136/BM37),"-",BM136/BM37)</f>
        <v>-</v>
      </c>
      <c r="BN137" s="79" t="str">
        <f t="shared" ref="BN137" ca="1" si="76">IF(ISERROR(BN136/BN37),"-",BN136/BN37)</f>
        <v>-</v>
      </c>
      <c r="BO137" s="79" t="str">
        <f t="shared" ref="BO137" ca="1" si="77">IF(ISERROR(BO136/BO37),"-",BO136/BO37)</f>
        <v>-</v>
      </c>
      <c r="BP137" s="31"/>
    </row>
    <row r="138" spans="1:68" ht="41.25" customHeight="1" x14ac:dyDescent="0.25">
      <c r="A138"/>
      <c r="B138" s="11"/>
      <c r="C138" s="11"/>
      <c r="D138" s="20"/>
      <c r="E138" s="170"/>
      <c r="F138" s="180" t="s">
        <v>120</v>
      </c>
      <c r="G138" s="80"/>
      <c r="H138" s="81"/>
      <c r="I138" s="82"/>
      <c r="J138" s="83"/>
      <c r="K138" s="82"/>
      <c r="L138" s="83"/>
      <c r="M138" s="84"/>
      <c r="N138" s="83"/>
      <c r="O138" s="85"/>
      <c r="P138" s="83"/>
      <c r="Q138" s="83"/>
      <c r="R138" s="83"/>
      <c r="S138" s="83"/>
      <c r="T138" s="83"/>
      <c r="U138" s="83"/>
      <c r="V138" s="83"/>
      <c r="W138" s="83"/>
      <c r="X138" s="83"/>
      <c r="Y138" s="83"/>
      <c r="Z138" s="83"/>
      <c r="AA138" s="83"/>
      <c r="AB138" s="83"/>
      <c r="AC138" s="196"/>
      <c r="AD138" s="83"/>
      <c r="AE138" s="83"/>
      <c r="AF138" s="83"/>
      <c r="AG138" s="83"/>
      <c r="AH138" s="83"/>
      <c r="AI138" s="83"/>
      <c r="AJ138" s="83"/>
      <c r="AK138" s="83"/>
      <c r="AL138" s="83"/>
      <c r="AM138" s="83"/>
      <c r="AN138" s="83"/>
      <c r="AO138" s="83"/>
      <c r="AP138" s="83"/>
      <c r="AQ138" s="83"/>
      <c r="AR138" s="83"/>
      <c r="AS138" s="83"/>
      <c r="AT138" s="83"/>
      <c r="AU138" s="83"/>
      <c r="AV138" s="83"/>
      <c r="AW138" s="83"/>
      <c r="AX138" s="83"/>
      <c r="AY138" s="83"/>
      <c r="AZ138" s="83"/>
      <c r="BA138" s="83"/>
      <c r="BB138" s="83"/>
      <c r="BC138" s="83"/>
      <c r="BD138" s="83"/>
      <c r="BE138" s="83"/>
      <c r="BF138" s="83"/>
      <c r="BG138" s="83"/>
      <c r="BH138" s="83"/>
      <c r="BI138" s="83"/>
      <c r="BJ138" s="83"/>
      <c r="BK138" s="83"/>
      <c r="BL138" s="83"/>
      <c r="BM138" s="83"/>
      <c r="BN138" s="83"/>
      <c r="BO138" s="83"/>
      <c r="BP138" s="31"/>
    </row>
    <row r="139" spans="1:68" ht="21" customHeight="1" x14ac:dyDescent="0.25">
      <c r="A139"/>
      <c r="B139" s="181" t="s">
        <v>121</v>
      </c>
      <c r="C139" s="13"/>
      <c r="D139" s="22"/>
      <c r="E139" s="171"/>
      <c r="F139" s="107"/>
      <c r="G139" s="305" t="str">
        <f ca="1">_xll.DBRA(Server&amp;$B$22,$B139,"French")</f>
        <v>Nombre de stagiaires</v>
      </c>
      <c r="H139" s="305" t="str">
        <f ca="1">_xll.DBRA(Server&amp;$B$22,$B139,"French")</f>
        <v>Nombre de stagiaires</v>
      </c>
      <c r="I139" s="37"/>
      <c r="J139" s="54" t="str">
        <f ca="1">_xll.DBRW(Server&amp;Cube1,$H$13,$H$14,$H$15,$J$1,$J$2,$H$16,$B139)</f>
        <v/>
      </c>
      <c r="K139" s="37"/>
      <c r="L139" s="54" t="str">
        <f ca="1">_xll.DBRW(Server&amp;Cube1,$H$13,$H$14,$H$15,$L$1,$L$2,$H$16,$B139)</f>
        <v/>
      </c>
      <c r="M139" s="55"/>
      <c r="N139" s="54" t="str">
        <f ca="1">_xll.DBRW(Server&amp;Cube1,$H$13,$H$14,$H$15,$P$1,N$2,$H$16,$B139)</f>
        <v>*KEY_ERR</v>
      </c>
      <c r="O139" s="57"/>
      <c r="P139" s="54" t="str">
        <f ca="1">_xll.DBRW(Server&amp;Cube1,$H$13,$P$3,$H$15,$P$1,P$2,$H$16,$B139)</f>
        <v>*KEY_ERR</v>
      </c>
      <c r="Q139" s="54" t="str">
        <f ca="1">_xll.DBRW(Server&amp;Cube1,$H$13,$P$3,$H$15,$H$17,Q$1,$H$16,$B139)</f>
        <v>*KEY_ERR</v>
      </c>
      <c r="R139" s="58" t="str">
        <f ca="1">_xll.DBRW(Server&amp;Cube1,$H$13,$P$3,$H$15,$H$17,R$1,$H$16,$B139)</f>
        <v>*KEY_ERR</v>
      </c>
      <c r="S139" s="58" t="str">
        <f ca="1">_xll.DBRW(Server&amp;Cube1,$H$13,$P$3,$H$15,$H$17,S$1,$H$16,$B139)</f>
        <v>*KEY_ERR</v>
      </c>
      <c r="T139" s="58" t="str">
        <f ca="1">_xll.DBRW(Server&amp;Cube1,$H$13,$P$3,$H$15,$H$17,T$1,$H$16,$B139)</f>
        <v>*KEY_ERR</v>
      </c>
      <c r="U139" s="58" t="str">
        <f ca="1">_xll.DBRW(Server&amp;Cube1,$H$13,$P$3,$H$15,$H$17,U$1,$H$16,$B139)</f>
        <v>*KEY_ERR</v>
      </c>
      <c r="V139" s="58" t="str">
        <f ca="1">_xll.DBRW(Server&amp;Cube1,$H$13,$P$3,$H$15,$H$17,V$1,$H$16,$B139)</f>
        <v>*KEY_ERR</v>
      </c>
      <c r="W139" s="58" t="str">
        <f ca="1">_xll.DBRW(Server&amp;Cube1,$H$13,$P$3,$H$15,$H$17,W$1,$H$16,$B139)</f>
        <v>*KEY_ERR</v>
      </c>
      <c r="X139" s="58" t="str">
        <f ca="1">_xll.DBRW(Server&amp;Cube1,$H$13,$P$3,$H$15,$H$17,X$1,$H$16,$B139)</f>
        <v>*KEY_ERR</v>
      </c>
      <c r="Y139" s="58" t="str">
        <f ca="1">_xll.DBRW(Server&amp;Cube1,$H$13,$P$3,$H$15,$H$17,Y$1,$H$16,$B139)</f>
        <v>*KEY_ERR</v>
      </c>
      <c r="Z139" s="58" t="str">
        <f ca="1">_xll.DBRW(Server&amp;Cube1,$H$13,$P$3,$H$15,$H$17,Z$1,$H$16,$B139)</f>
        <v>*KEY_ERR</v>
      </c>
      <c r="AA139" s="58" t="str">
        <f ca="1">_xll.DBRW(Server&amp;Cube1,$H$13,$P$3,$H$15,$H$17,AA$1,$H$16,$B139)</f>
        <v>*KEY_ERR</v>
      </c>
      <c r="AB139" s="59" t="str">
        <f ca="1">_xll.DBRW(Server&amp;Cube1,$H$13,$P$3,$H$15,$H$17,AB$1,$H$16,$B139)</f>
        <v>*KEY_ERR</v>
      </c>
      <c r="AC139" s="187" t="str">
        <f ca="1">_xll.DBRW(Server&amp;Cube1,$H$13,$AC$3,$H$15,$P$1,AC$2,$H$16,$B139)</f>
        <v>*KEY_ERR</v>
      </c>
      <c r="AD139" s="54" t="str">
        <f ca="1">_xll.DBRW(Server&amp;Cube1,$H$13,$AC$3,$H$15,$H$17,AD$1,$H$16,$B139)</f>
        <v>*KEY_ERR</v>
      </c>
      <c r="AE139" s="58" t="str">
        <f ca="1">_xll.DBRW(Server&amp;Cube1,$H$13,$AC$3,$H$15,$H$17,AE$1,$H$16,$B139)</f>
        <v>*KEY_ERR</v>
      </c>
      <c r="AF139" s="58" t="str">
        <f ca="1">_xll.DBRW(Server&amp;Cube1,$H$13,$AC$3,$H$15,$H$17,AF$1,$H$16,$B139)</f>
        <v>*KEY_ERR</v>
      </c>
      <c r="AG139" s="58" t="str">
        <f ca="1">_xll.DBRW(Server&amp;Cube1,$H$13,$AC$3,$H$15,$H$17,AG$1,$H$16,$B139)</f>
        <v>*KEY_ERR</v>
      </c>
      <c r="AH139" s="58" t="str">
        <f ca="1">_xll.DBRW(Server&amp;Cube1,$H$13,$AC$3,$H$15,$H$17,AH$1,$H$16,$B139)</f>
        <v>*KEY_ERR</v>
      </c>
      <c r="AI139" s="58" t="str">
        <f ca="1">_xll.DBRW(Server&amp;Cube1,$H$13,$AC$3,$H$15,$H$17,AI$1,$H$16,$B139)</f>
        <v>*KEY_ERR</v>
      </c>
      <c r="AJ139" s="58" t="str">
        <f ca="1">_xll.DBRW(Server&amp;Cube1,$H$13,$AC$3,$H$15,$H$17,AJ$1,$H$16,$B139)</f>
        <v>*KEY_ERR</v>
      </c>
      <c r="AK139" s="58" t="str">
        <f ca="1">_xll.DBRW(Server&amp;Cube1,$H$13,$AC$3,$H$15,$H$17,AK$1,$H$16,$B139)</f>
        <v>*KEY_ERR</v>
      </c>
      <c r="AL139" s="58" t="str">
        <f ca="1">_xll.DBRW(Server&amp;Cube1,$H$13,$AC$3,$H$15,$H$17,AL$1,$H$16,$B139)</f>
        <v>*KEY_ERR</v>
      </c>
      <c r="AM139" s="58" t="str">
        <f ca="1">_xll.DBRW(Server&amp;Cube1,$H$13,$AC$3,$H$15,$H$17,AM$1,$H$16,$B139)</f>
        <v>*KEY_ERR</v>
      </c>
      <c r="AN139" s="58" t="str">
        <f ca="1">_xll.DBRW(Server&amp;Cube1,$H$13,$AC$3,$H$15,$H$17,AN$1,$H$16,$B139)</f>
        <v>*KEY_ERR</v>
      </c>
      <c r="AO139" s="59" t="str">
        <f ca="1">_xll.DBRW(Server&amp;Cube1,$H$13,$AC$3,$H$15,$H$17,AO$1,$H$16,$B139)</f>
        <v>*KEY_ERR</v>
      </c>
      <c r="AP139" s="187" t="str">
        <f ca="1">_xll.DBRW(Server&amp;Cube1,$H$13,$AP$3,$H$15,$P$1,AP$2,$H$16,$B139)</f>
        <v>*KEY_ERR</v>
      </c>
      <c r="AQ139" s="54" t="str">
        <f ca="1">_xll.DBRW(Server&amp;Cube1,$H$13,$AP$3,$H$15,$H$17,AQ$1,$H$16,$B139)</f>
        <v>*KEY_ERR</v>
      </c>
      <c r="AR139" s="58" t="str">
        <f ca="1">_xll.DBRW(Server&amp;Cube1,$H$13,$AP$3,$H$15,$H$17,AR$1,$H$16,$B139)</f>
        <v>*KEY_ERR</v>
      </c>
      <c r="AS139" s="58" t="str">
        <f ca="1">_xll.DBRW(Server&amp;Cube1,$H$13,$AP$3,$H$15,$H$17,AS$1,$H$16,$B139)</f>
        <v>*KEY_ERR</v>
      </c>
      <c r="AT139" s="58" t="str">
        <f ca="1">_xll.DBRW(Server&amp;Cube1,$H$13,$AP$3,$H$15,$H$17,AT$1,$H$16,$B139)</f>
        <v>*KEY_ERR</v>
      </c>
      <c r="AU139" s="58" t="str">
        <f ca="1">_xll.DBRW(Server&amp;Cube1,$H$13,$AP$3,$H$15,$H$17,AU$1,$H$16,$B139)</f>
        <v>*KEY_ERR</v>
      </c>
      <c r="AV139" s="58" t="str">
        <f ca="1">_xll.DBRW(Server&amp;Cube1,$H$13,$AP$3,$H$15,$H$17,AV$1,$H$16,$B139)</f>
        <v>*KEY_ERR</v>
      </c>
      <c r="AW139" s="58" t="str">
        <f ca="1">_xll.DBRW(Server&amp;Cube1,$H$13,$AP$3,$H$15,$H$17,AW$1,$H$16,$B139)</f>
        <v>*KEY_ERR</v>
      </c>
      <c r="AX139" s="58" t="str">
        <f ca="1">_xll.DBRW(Server&amp;Cube1,$H$13,$AP$3,$H$15,$H$17,AX$1,$H$16,$B139)</f>
        <v>*KEY_ERR</v>
      </c>
      <c r="AY139" s="58" t="str">
        <f ca="1">_xll.DBRW(Server&amp;Cube1,$H$13,$AP$3,$H$15,$H$17,AY$1,$H$16,$B139)</f>
        <v>*KEY_ERR</v>
      </c>
      <c r="AZ139" s="58" t="str">
        <f ca="1">_xll.DBRW(Server&amp;Cube1,$H$13,$AP$3,$H$15,$H$17,AZ$1,$H$16,$B139)</f>
        <v>*KEY_ERR</v>
      </c>
      <c r="BA139" s="58" t="str">
        <f ca="1">_xll.DBRW(Server&amp;Cube1,$H$13,$AP$3,$H$15,$H$17,BA$1,$H$16,$B139)</f>
        <v>*KEY_ERR</v>
      </c>
      <c r="BB139" s="59" t="str">
        <f ca="1">_xll.DBRW(Server&amp;Cube1,$H$13,$AP$3,$H$15,$H$17,BB$1,$H$16,$B139)</f>
        <v>*KEY_ERR</v>
      </c>
      <c r="BC139" s="187" t="str">
        <f ca="1">_xll.DBRW(Server&amp;Cube1,$H$13,$BC$3,$H$15,$P$1,BC$2,$H$16,$B139)</f>
        <v>*KEY_ERR</v>
      </c>
      <c r="BD139" s="54" t="str">
        <f ca="1">_xll.DBRW(Server&amp;Cube1,$H$13,$BC$3,$H$15,$H$17,BD$1,$H$16,$B139)</f>
        <v>*KEY_ERR</v>
      </c>
      <c r="BE139" s="58" t="str">
        <f ca="1">_xll.DBRW(Server&amp;Cube1,$H$13,$BC$3,$H$15,$H$17,BE$1,$H$16,$B139)</f>
        <v>*KEY_ERR</v>
      </c>
      <c r="BF139" s="58" t="str">
        <f ca="1">_xll.DBRW(Server&amp;Cube1,$H$13,$BC$3,$H$15,$H$17,BF$1,$H$16,$B139)</f>
        <v>*KEY_ERR</v>
      </c>
      <c r="BG139" s="58" t="str">
        <f ca="1">_xll.DBRW(Server&amp;Cube1,$H$13,$BC$3,$H$15,$H$17,BG$1,$H$16,$B139)</f>
        <v>*KEY_ERR</v>
      </c>
      <c r="BH139" s="58" t="str">
        <f ca="1">_xll.DBRW(Server&amp;Cube1,$H$13,$BC$3,$H$15,$H$17,BH$1,$H$16,$B139)</f>
        <v>*KEY_ERR</v>
      </c>
      <c r="BI139" s="58" t="str">
        <f ca="1">_xll.DBRW(Server&amp;Cube1,$H$13,$BC$3,$H$15,$H$17,BI$1,$H$16,$B139)</f>
        <v>*KEY_ERR</v>
      </c>
      <c r="BJ139" s="58" t="str">
        <f ca="1">_xll.DBRW(Server&amp;Cube1,$H$13,$BC$3,$H$15,$H$17,BJ$1,$H$16,$B139)</f>
        <v>*KEY_ERR</v>
      </c>
      <c r="BK139" s="58" t="str">
        <f ca="1">_xll.DBRW(Server&amp;Cube1,$H$13,$BC$3,$H$15,$H$17,BK$1,$H$16,$B139)</f>
        <v>*KEY_ERR</v>
      </c>
      <c r="BL139" s="58" t="str">
        <f ca="1">_xll.DBRW(Server&amp;Cube1,$H$13,$BC$3,$H$15,$H$17,BL$1,$H$16,$B139)</f>
        <v>*KEY_ERR</v>
      </c>
      <c r="BM139" s="58" t="str">
        <f ca="1">_xll.DBRW(Server&amp;Cube1,$H$13,$BC$3,$H$15,$H$17,BM$1,$H$16,$B139)</f>
        <v>*KEY_ERR</v>
      </c>
      <c r="BN139" s="58" t="str">
        <f ca="1">_xll.DBRW(Server&amp;Cube1,$H$13,$BC$3,$H$15,$H$17,BN$1,$H$16,$B139)</f>
        <v>*KEY_ERR</v>
      </c>
      <c r="BO139" s="59" t="str">
        <f ca="1">_xll.DBRW(Server&amp;Cube1,$H$13,$BC$3,$H$15,$H$17,BO$1,$H$16,$B139)</f>
        <v>*KEY_ERR</v>
      </c>
      <c r="BP139" s="31"/>
    </row>
    <row r="140" spans="1:68" ht="21" customHeight="1" x14ac:dyDescent="0.25">
      <c r="A140"/>
      <c r="B140" s="181" t="s">
        <v>122</v>
      </c>
      <c r="C140" s="13"/>
      <c r="D140" s="22"/>
      <c r="E140" s="171"/>
      <c r="F140" s="107"/>
      <c r="G140" s="305" t="str">
        <f ca="1">_xll.DBRA(Server&amp;$B$22,$B140,"French")</f>
        <v>Nombre de sessions</v>
      </c>
      <c r="H140" s="305" t="str">
        <f ca="1">_xll.DBRA(Server&amp;$B$22,$B140,"French")</f>
        <v>Nombre de sessions</v>
      </c>
      <c r="I140" s="37"/>
      <c r="J140" s="54" t="str">
        <f ca="1">_xll.DBRW(Server&amp;Cube1,$H$13,$H$14,$H$15,$J$1,$J$2,$H$16,$B140)</f>
        <v/>
      </c>
      <c r="K140" s="37"/>
      <c r="L140" s="54" t="str">
        <f ca="1">_xll.DBRW(Server&amp;Cube1,$H$13,$H$14,$H$15,$L$1,$L$2,$H$16,$B140)</f>
        <v/>
      </c>
      <c r="M140" s="55"/>
      <c r="N140" s="54" t="str">
        <f ca="1">_xll.DBRW(Server&amp;Cube1,$H$13,$H$14,$H$15,$P$1,N$2,$H$16,$B140)</f>
        <v>*KEY_ERR</v>
      </c>
      <c r="O140" s="57"/>
      <c r="P140" s="54" t="str">
        <f ca="1">_xll.DBRW(Server&amp;Cube1,$H$13,$P$3,$H$15,$P$1,P$2,$H$16,$B140)</f>
        <v>*KEY_ERR</v>
      </c>
      <c r="Q140" s="54" t="str">
        <f ca="1">_xll.DBRW(Server&amp;Cube1,$H$13,$P$3,$H$15,$H$17,Q$1,$H$16,$B140)</f>
        <v>*KEY_ERR</v>
      </c>
      <c r="R140" s="58" t="str">
        <f ca="1">_xll.DBRW(Server&amp;Cube1,$H$13,$P$3,$H$15,$H$17,R$1,$H$16,$B140)</f>
        <v>*KEY_ERR</v>
      </c>
      <c r="S140" s="58" t="str">
        <f ca="1">_xll.DBRW(Server&amp;Cube1,$H$13,$P$3,$H$15,$H$17,S$1,$H$16,$B140)</f>
        <v>*KEY_ERR</v>
      </c>
      <c r="T140" s="58" t="str">
        <f ca="1">_xll.DBRW(Server&amp;Cube1,$H$13,$P$3,$H$15,$H$17,T$1,$H$16,$B140)</f>
        <v>*KEY_ERR</v>
      </c>
      <c r="U140" s="58" t="str">
        <f ca="1">_xll.DBRW(Server&amp;Cube1,$H$13,$P$3,$H$15,$H$17,U$1,$H$16,$B140)</f>
        <v>*KEY_ERR</v>
      </c>
      <c r="V140" s="58" t="str">
        <f ca="1">_xll.DBRW(Server&amp;Cube1,$H$13,$P$3,$H$15,$H$17,V$1,$H$16,$B140)</f>
        <v>*KEY_ERR</v>
      </c>
      <c r="W140" s="58" t="str">
        <f ca="1">_xll.DBRW(Server&amp;Cube1,$H$13,$P$3,$H$15,$H$17,W$1,$H$16,$B140)</f>
        <v>*KEY_ERR</v>
      </c>
      <c r="X140" s="58" t="str">
        <f ca="1">_xll.DBRW(Server&amp;Cube1,$H$13,$P$3,$H$15,$H$17,X$1,$H$16,$B140)</f>
        <v>*KEY_ERR</v>
      </c>
      <c r="Y140" s="58" t="str">
        <f ca="1">_xll.DBRW(Server&amp;Cube1,$H$13,$P$3,$H$15,$H$17,Y$1,$H$16,$B140)</f>
        <v>*KEY_ERR</v>
      </c>
      <c r="Z140" s="58" t="str">
        <f ca="1">_xll.DBRW(Server&amp;Cube1,$H$13,$P$3,$H$15,$H$17,Z$1,$H$16,$B140)</f>
        <v>*KEY_ERR</v>
      </c>
      <c r="AA140" s="58" t="str">
        <f ca="1">_xll.DBRW(Server&amp;Cube1,$H$13,$P$3,$H$15,$H$17,AA$1,$H$16,$B140)</f>
        <v>*KEY_ERR</v>
      </c>
      <c r="AB140" s="59" t="str">
        <f ca="1">_xll.DBRW(Server&amp;Cube1,$H$13,$P$3,$H$15,$H$17,AB$1,$H$16,$B140)</f>
        <v>*KEY_ERR</v>
      </c>
      <c r="AC140" s="187" t="str">
        <f ca="1">_xll.DBRW(Server&amp;Cube1,$H$13,$AC$3,$H$15,$P$1,AC$2,$H$16,$B140)</f>
        <v>*KEY_ERR</v>
      </c>
      <c r="AD140" s="54" t="str">
        <f ca="1">_xll.DBRW(Server&amp;Cube1,$H$13,$AC$3,$H$15,$H$17,AD$1,$H$16,$B140)</f>
        <v>*KEY_ERR</v>
      </c>
      <c r="AE140" s="58" t="str">
        <f ca="1">_xll.DBRW(Server&amp;Cube1,$H$13,$AC$3,$H$15,$H$17,AE$1,$H$16,$B140)</f>
        <v>*KEY_ERR</v>
      </c>
      <c r="AF140" s="58" t="str">
        <f ca="1">_xll.DBRW(Server&amp;Cube1,$H$13,$AC$3,$H$15,$H$17,AF$1,$H$16,$B140)</f>
        <v>*KEY_ERR</v>
      </c>
      <c r="AG140" s="58" t="str">
        <f ca="1">_xll.DBRW(Server&amp;Cube1,$H$13,$AC$3,$H$15,$H$17,AG$1,$H$16,$B140)</f>
        <v>*KEY_ERR</v>
      </c>
      <c r="AH140" s="58" t="str">
        <f ca="1">_xll.DBRW(Server&amp;Cube1,$H$13,$AC$3,$H$15,$H$17,AH$1,$H$16,$B140)</f>
        <v>*KEY_ERR</v>
      </c>
      <c r="AI140" s="58" t="str">
        <f ca="1">_xll.DBRW(Server&amp;Cube1,$H$13,$AC$3,$H$15,$H$17,AI$1,$H$16,$B140)</f>
        <v>*KEY_ERR</v>
      </c>
      <c r="AJ140" s="58" t="str">
        <f ca="1">_xll.DBRW(Server&amp;Cube1,$H$13,$AC$3,$H$15,$H$17,AJ$1,$H$16,$B140)</f>
        <v>*KEY_ERR</v>
      </c>
      <c r="AK140" s="58" t="str">
        <f ca="1">_xll.DBRW(Server&amp;Cube1,$H$13,$AC$3,$H$15,$H$17,AK$1,$H$16,$B140)</f>
        <v>*KEY_ERR</v>
      </c>
      <c r="AL140" s="58" t="str">
        <f ca="1">_xll.DBRW(Server&amp;Cube1,$H$13,$AC$3,$H$15,$H$17,AL$1,$H$16,$B140)</f>
        <v>*KEY_ERR</v>
      </c>
      <c r="AM140" s="58" t="str">
        <f ca="1">_xll.DBRW(Server&amp;Cube1,$H$13,$AC$3,$H$15,$H$17,AM$1,$H$16,$B140)</f>
        <v>*KEY_ERR</v>
      </c>
      <c r="AN140" s="58" t="str">
        <f ca="1">_xll.DBRW(Server&amp;Cube1,$H$13,$AC$3,$H$15,$H$17,AN$1,$H$16,$B140)</f>
        <v>*KEY_ERR</v>
      </c>
      <c r="AO140" s="59" t="str">
        <f ca="1">_xll.DBRW(Server&amp;Cube1,$H$13,$AC$3,$H$15,$H$17,AO$1,$H$16,$B140)</f>
        <v>*KEY_ERR</v>
      </c>
      <c r="AP140" s="187" t="str">
        <f ca="1">_xll.DBRW(Server&amp;Cube1,$H$13,$AP$3,$H$15,$P$1,AP$2,$H$16,$B140)</f>
        <v>*KEY_ERR</v>
      </c>
      <c r="AQ140" s="54" t="str">
        <f ca="1">_xll.DBRW(Server&amp;Cube1,$H$13,$AP$3,$H$15,$H$17,AQ$1,$H$16,$B140)</f>
        <v>*KEY_ERR</v>
      </c>
      <c r="AR140" s="58" t="str">
        <f ca="1">_xll.DBRW(Server&amp;Cube1,$H$13,$AP$3,$H$15,$H$17,AR$1,$H$16,$B140)</f>
        <v>*KEY_ERR</v>
      </c>
      <c r="AS140" s="58" t="str">
        <f ca="1">_xll.DBRW(Server&amp;Cube1,$H$13,$AP$3,$H$15,$H$17,AS$1,$H$16,$B140)</f>
        <v>*KEY_ERR</v>
      </c>
      <c r="AT140" s="58" t="str">
        <f ca="1">_xll.DBRW(Server&amp;Cube1,$H$13,$AP$3,$H$15,$H$17,AT$1,$H$16,$B140)</f>
        <v>*KEY_ERR</v>
      </c>
      <c r="AU140" s="58" t="str">
        <f ca="1">_xll.DBRW(Server&amp;Cube1,$H$13,$AP$3,$H$15,$H$17,AU$1,$H$16,$B140)</f>
        <v>*KEY_ERR</v>
      </c>
      <c r="AV140" s="58" t="str">
        <f ca="1">_xll.DBRW(Server&amp;Cube1,$H$13,$AP$3,$H$15,$H$17,AV$1,$H$16,$B140)</f>
        <v>*KEY_ERR</v>
      </c>
      <c r="AW140" s="58" t="str">
        <f ca="1">_xll.DBRW(Server&amp;Cube1,$H$13,$AP$3,$H$15,$H$17,AW$1,$H$16,$B140)</f>
        <v>*KEY_ERR</v>
      </c>
      <c r="AX140" s="58" t="str">
        <f ca="1">_xll.DBRW(Server&amp;Cube1,$H$13,$AP$3,$H$15,$H$17,AX$1,$H$16,$B140)</f>
        <v>*KEY_ERR</v>
      </c>
      <c r="AY140" s="58" t="str">
        <f ca="1">_xll.DBRW(Server&amp;Cube1,$H$13,$AP$3,$H$15,$H$17,AY$1,$H$16,$B140)</f>
        <v>*KEY_ERR</v>
      </c>
      <c r="AZ140" s="58" t="str">
        <f ca="1">_xll.DBRW(Server&amp;Cube1,$H$13,$AP$3,$H$15,$H$17,AZ$1,$H$16,$B140)</f>
        <v>*KEY_ERR</v>
      </c>
      <c r="BA140" s="58" t="str">
        <f ca="1">_xll.DBRW(Server&amp;Cube1,$H$13,$AP$3,$H$15,$H$17,BA$1,$H$16,$B140)</f>
        <v>*KEY_ERR</v>
      </c>
      <c r="BB140" s="59" t="str">
        <f ca="1">_xll.DBRW(Server&amp;Cube1,$H$13,$AP$3,$H$15,$H$17,BB$1,$H$16,$B140)</f>
        <v>*KEY_ERR</v>
      </c>
      <c r="BC140" s="187" t="str">
        <f ca="1">_xll.DBRW(Server&amp;Cube1,$H$13,$BC$3,$H$15,$P$1,BC$2,$H$16,$B140)</f>
        <v>*KEY_ERR</v>
      </c>
      <c r="BD140" s="54" t="str">
        <f ca="1">_xll.DBRW(Server&amp;Cube1,$H$13,$BC$3,$H$15,$H$17,BD$1,$H$16,$B140)</f>
        <v>*KEY_ERR</v>
      </c>
      <c r="BE140" s="58" t="str">
        <f ca="1">_xll.DBRW(Server&amp;Cube1,$H$13,$BC$3,$H$15,$H$17,BE$1,$H$16,$B140)</f>
        <v>*KEY_ERR</v>
      </c>
      <c r="BF140" s="58" t="str">
        <f ca="1">_xll.DBRW(Server&amp;Cube1,$H$13,$BC$3,$H$15,$H$17,BF$1,$H$16,$B140)</f>
        <v>*KEY_ERR</v>
      </c>
      <c r="BG140" s="58" t="str">
        <f ca="1">_xll.DBRW(Server&amp;Cube1,$H$13,$BC$3,$H$15,$H$17,BG$1,$H$16,$B140)</f>
        <v>*KEY_ERR</v>
      </c>
      <c r="BH140" s="58" t="str">
        <f ca="1">_xll.DBRW(Server&amp;Cube1,$H$13,$BC$3,$H$15,$H$17,BH$1,$H$16,$B140)</f>
        <v>*KEY_ERR</v>
      </c>
      <c r="BI140" s="58" t="str">
        <f ca="1">_xll.DBRW(Server&amp;Cube1,$H$13,$BC$3,$H$15,$H$17,BI$1,$H$16,$B140)</f>
        <v>*KEY_ERR</v>
      </c>
      <c r="BJ140" s="58" t="str">
        <f ca="1">_xll.DBRW(Server&amp;Cube1,$H$13,$BC$3,$H$15,$H$17,BJ$1,$H$16,$B140)</f>
        <v>*KEY_ERR</v>
      </c>
      <c r="BK140" s="58" t="str">
        <f ca="1">_xll.DBRW(Server&amp;Cube1,$H$13,$BC$3,$H$15,$H$17,BK$1,$H$16,$B140)</f>
        <v>*KEY_ERR</v>
      </c>
      <c r="BL140" s="58" t="str">
        <f ca="1">_xll.DBRW(Server&amp;Cube1,$H$13,$BC$3,$H$15,$H$17,BL$1,$H$16,$B140)</f>
        <v>*KEY_ERR</v>
      </c>
      <c r="BM140" s="58" t="str">
        <f ca="1">_xll.DBRW(Server&amp;Cube1,$H$13,$BC$3,$H$15,$H$17,BM$1,$H$16,$B140)</f>
        <v>*KEY_ERR</v>
      </c>
      <c r="BN140" s="58" t="str">
        <f ca="1">_xll.DBRW(Server&amp;Cube1,$H$13,$BC$3,$H$15,$H$17,BN$1,$H$16,$B140)</f>
        <v>*KEY_ERR</v>
      </c>
      <c r="BO140" s="59" t="str">
        <f ca="1">_xll.DBRW(Server&amp;Cube1,$H$13,$BC$3,$H$15,$H$17,BO$1,$H$16,$B140)</f>
        <v>*KEY_ERR</v>
      </c>
      <c r="BP140" s="31"/>
    </row>
    <row r="141" spans="1:68" ht="21" customHeight="1" x14ac:dyDescent="0.25">
      <c r="A141"/>
      <c r="B141" s="181" t="s">
        <v>123</v>
      </c>
      <c r="C141" s="13"/>
      <c r="D141" s="22"/>
      <c r="E141" s="171"/>
      <c r="F141" s="107"/>
      <c r="G141" s="305" t="str">
        <f ca="1">_xll.DBRA(Server&amp;$B$22,$B141,"French")</f>
        <v>Heures de formation</v>
      </c>
      <c r="H141" s="305" t="str">
        <f ca="1">_xll.DBRA(Server&amp;$B$22,$B141,"French")</f>
        <v>Heures de formation</v>
      </c>
      <c r="I141" s="37"/>
      <c r="J141" s="54" t="str">
        <f ca="1">_xll.DBRW(Server&amp;Cube1,$H$13,$H$14,$H$15,$J$1,$J$2,$H$16,$B141)</f>
        <v/>
      </c>
      <c r="K141" s="37"/>
      <c r="L141" s="54" t="str">
        <f ca="1">_xll.DBRW(Server&amp;Cube1,$H$13,$H$14,$H$15,$L$1,$L$2,$H$16,$B141)</f>
        <v/>
      </c>
      <c r="M141" s="55"/>
      <c r="N141" s="54" t="str">
        <f ca="1">_xll.DBRW(Server&amp;Cube1,$H$13,$H$14,$H$15,$P$1,N$2,$H$16,$B141)</f>
        <v>*KEY_ERR</v>
      </c>
      <c r="O141" s="57"/>
      <c r="P141" s="54" t="str">
        <f ca="1">_xll.DBRW(Server&amp;Cube1,$H$13,$P$3,$H$15,$P$1,P$2,$H$16,$B141)</f>
        <v>*KEY_ERR</v>
      </c>
      <c r="Q141" s="54" t="str">
        <f ca="1">_xll.DBRW(Server&amp;Cube1,$H$13,$P$3,$H$15,$H$17,Q$1,$H$16,$B141)</f>
        <v>*KEY_ERR</v>
      </c>
      <c r="R141" s="58" t="str">
        <f ca="1">_xll.DBRW(Server&amp;Cube1,$H$13,$P$3,$H$15,$H$17,R$1,$H$16,$B141)</f>
        <v>*KEY_ERR</v>
      </c>
      <c r="S141" s="58" t="str">
        <f ca="1">_xll.DBRW(Server&amp;Cube1,$H$13,$P$3,$H$15,$H$17,S$1,$H$16,$B141)</f>
        <v>*KEY_ERR</v>
      </c>
      <c r="T141" s="58" t="str">
        <f ca="1">_xll.DBRW(Server&amp;Cube1,$H$13,$P$3,$H$15,$H$17,T$1,$H$16,$B141)</f>
        <v>*KEY_ERR</v>
      </c>
      <c r="U141" s="58" t="str">
        <f ca="1">_xll.DBRW(Server&amp;Cube1,$H$13,$P$3,$H$15,$H$17,U$1,$H$16,$B141)</f>
        <v>*KEY_ERR</v>
      </c>
      <c r="V141" s="58" t="str">
        <f ca="1">_xll.DBRW(Server&amp;Cube1,$H$13,$P$3,$H$15,$H$17,V$1,$H$16,$B141)</f>
        <v>*KEY_ERR</v>
      </c>
      <c r="W141" s="58" t="str">
        <f ca="1">_xll.DBRW(Server&amp;Cube1,$H$13,$P$3,$H$15,$H$17,W$1,$H$16,$B141)</f>
        <v>*KEY_ERR</v>
      </c>
      <c r="X141" s="58" t="str">
        <f ca="1">_xll.DBRW(Server&amp;Cube1,$H$13,$P$3,$H$15,$H$17,X$1,$H$16,$B141)</f>
        <v>*KEY_ERR</v>
      </c>
      <c r="Y141" s="58" t="str">
        <f ca="1">_xll.DBRW(Server&amp;Cube1,$H$13,$P$3,$H$15,$H$17,Y$1,$H$16,$B141)</f>
        <v>*KEY_ERR</v>
      </c>
      <c r="Z141" s="58" t="str">
        <f ca="1">_xll.DBRW(Server&amp;Cube1,$H$13,$P$3,$H$15,$H$17,Z$1,$H$16,$B141)</f>
        <v>*KEY_ERR</v>
      </c>
      <c r="AA141" s="58" t="str">
        <f ca="1">_xll.DBRW(Server&amp;Cube1,$H$13,$P$3,$H$15,$H$17,AA$1,$H$16,$B141)</f>
        <v>*KEY_ERR</v>
      </c>
      <c r="AB141" s="59" t="str">
        <f ca="1">_xll.DBRW(Server&amp;Cube1,$H$13,$P$3,$H$15,$H$17,AB$1,$H$16,$B141)</f>
        <v>*KEY_ERR</v>
      </c>
      <c r="AC141" s="187" t="str">
        <f ca="1">_xll.DBRW(Server&amp;Cube1,$H$13,$AC$3,$H$15,$P$1,AC$2,$H$16,$B141)</f>
        <v>*KEY_ERR</v>
      </c>
      <c r="AD141" s="54" t="str">
        <f ca="1">_xll.DBRW(Server&amp;Cube1,$H$13,$AC$3,$H$15,$H$17,AD$1,$H$16,$B141)</f>
        <v>*KEY_ERR</v>
      </c>
      <c r="AE141" s="58" t="str">
        <f ca="1">_xll.DBRW(Server&amp;Cube1,$H$13,$AC$3,$H$15,$H$17,AE$1,$H$16,$B141)</f>
        <v>*KEY_ERR</v>
      </c>
      <c r="AF141" s="58" t="str">
        <f ca="1">_xll.DBRW(Server&amp;Cube1,$H$13,$AC$3,$H$15,$H$17,AF$1,$H$16,$B141)</f>
        <v>*KEY_ERR</v>
      </c>
      <c r="AG141" s="58" t="str">
        <f ca="1">_xll.DBRW(Server&amp;Cube1,$H$13,$AC$3,$H$15,$H$17,AG$1,$H$16,$B141)</f>
        <v>*KEY_ERR</v>
      </c>
      <c r="AH141" s="58" t="str">
        <f ca="1">_xll.DBRW(Server&amp;Cube1,$H$13,$AC$3,$H$15,$H$17,AH$1,$H$16,$B141)</f>
        <v>*KEY_ERR</v>
      </c>
      <c r="AI141" s="58" t="str">
        <f ca="1">_xll.DBRW(Server&amp;Cube1,$H$13,$AC$3,$H$15,$H$17,AI$1,$H$16,$B141)</f>
        <v>*KEY_ERR</v>
      </c>
      <c r="AJ141" s="58" t="str">
        <f ca="1">_xll.DBRW(Server&amp;Cube1,$H$13,$AC$3,$H$15,$H$17,AJ$1,$H$16,$B141)</f>
        <v>*KEY_ERR</v>
      </c>
      <c r="AK141" s="58" t="str">
        <f ca="1">_xll.DBRW(Server&amp;Cube1,$H$13,$AC$3,$H$15,$H$17,AK$1,$H$16,$B141)</f>
        <v>*KEY_ERR</v>
      </c>
      <c r="AL141" s="58" t="str">
        <f ca="1">_xll.DBRW(Server&amp;Cube1,$H$13,$AC$3,$H$15,$H$17,AL$1,$H$16,$B141)</f>
        <v>*KEY_ERR</v>
      </c>
      <c r="AM141" s="58" t="str">
        <f ca="1">_xll.DBRW(Server&amp;Cube1,$H$13,$AC$3,$H$15,$H$17,AM$1,$H$16,$B141)</f>
        <v>*KEY_ERR</v>
      </c>
      <c r="AN141" s="58" t="str">
        <f ca="1">_xll.DBRW(Server&amp;Cube1,$H$13,$AC$3,$H$15,$H$17,AN$1,$H$16,$B141)</f>
        <v>*KEY_ERR</v>
      </c>
      <c r="AO141" s="59" t="str">
        <f ca="1">_xll.DBRW(Server&amp;Cube1,$H$13,$AC$3,$H$15,$H$17,AO$1,$H$16,$B141)</f>
        <v>*KEY_ERR</v>
      </c>
      <c r="AP141" s="187" t="str">
        <f ca="1">_xll.DBRW(Server&amp;Cube1,$H$13,$AP$3,$H$15,$P$1,AP$2,$H$16,$B141)</f>
        <v>*KEY_ERR</v>
      </c>
      <c r="AQ141" s="54" t="str">
        <f ca="1">_xll.DBRW(Server&amp;Cube1,$H$13,$AP$3,$H$15,$H$17,AQ$1,$H$16,$B141)</f>
        <v>*KEY_ERR</v>
      </c>
      <c r="AR141" s="58" t="str">
        <f ca="1">_xll.DBRW(Server&amp;Cube1,$H$13,$AP$3,$H$15,$H$17,AR$1,$H$16,$B141)</f>
        <v>*KEY_ERR</v>
      </c>
      <c r="AS141" s="58" t="str">
        <f ca="1">_xll.DBRW(Server&amp;Cube1,$H$13,$AP$3,$H$15,$H$17,AS$1,$H$16,$B141)</f>
        <v>*KEY_ERR</v>
      </c>
      <c r="AT141" s="58" t="str">
        <f ca="1">_xll.DBRW(Server&amp;Cube1,$H$13,$AP$3,$H$15,$H$17,AT$1,$H$16,$B141)</f>
        <v>*KEY_ERR</v>
      </c>
      <c r="AU141" s="58" t="str">
        <f ca="1">_xll.DBRW(Server&amp;Cube1,$H$13,$AP$3,$H$15,$H$17,AU$1,$H$16,$B141)</f>
        <v>*KEY_ERR</v>
      </c>
      <c r="AV141" s="58" t="str">
        <f ca="1">_xll.DBRW(Server&amp;Cube1,$H$13,$AP$3,$H$15,$H$17,AV$1,$H$16,$B141)</f>
        <v>*KEY_ERR</v>
      </c>
      <c r="AW141" s="58" t="str">
        <f ca="1">_xll.DBRW(Server&amp;Cube1,$H$13,$AP$3,$H$15,$H$17,AW$1,$H$16,$B141)</f>
        <v>*KEY_ERR</v>
      </c>
      <c r="AX141" s="58" t="str">
        <f ca="1">_xll.DBRW(Server&amp;Cube1,$H$13,$AP$3,$H$15,$H$17,AX$1,$H$16,$B141)</f>
        <v>*KEY_ERR</v>
      </c>
      <c r="AY141" s="58" t="str">
        <f ca="1">_xll.DBRW(Server&amp;Cube1,$H$13,$AP$3,$H$15,$H$17,AY$1,$H$16,$B141)</f>
        <v>*KEY_ERR</v>
      </c>
      <c r="AZ141" s="58" t="str">
        <f ca="1">_xll.DBRW(Server&amp;Cube1,$H$13,$AP$3,$H$15,$H$17,AZ$1,$H$16,$B141)</f>
        <v>*KEY_ERR</v>
      </c>
      <c r="BA141" s="58" t="str">
        <f ca="1">_xll.DBRW(Server&amp;Cube1,$H$13,$AP$3,$H$15,$H$17,BA$1,$H$16,$B141)</f>
        <v>*KEY_ERR</v>
      </c>
      <c r="BB141" s="59" t="str">
        <f ca="1">_xll.DBRW(Server&amp;Cube1,$H$13,$AP$3,$H$15,$H$17,BB$1,$H$16,$B141)</f>
        <v>*KEY_ERR</v>
      </c>
      <c r="BC141" s="187" t="str">
        <f ca="1">_xll.DBRW(Server&amp;Cube1,$H$13,$BC$3,$H$15,$P$1,BC$2,$H$16,$B141)</f>
        <v>*KEY_ERR</v>
      </c>
      <c r="BD141" s="54" t="str">
        <f ca="1">_xll.DBRW(Server&amp;Cube1,$H$13,$BC$3,$H$15,$H$17,BD$1,$H$16,$B141)</f>
        <v>*KEY_ERR</v>
      </c>
      <c r="BE141" s="58" t="str">
        <f ca="1">_xll.DBRW(Server&amp;Cube1,$H$13,$BC$3,$H$15,$H$17,BE$1,$H$16,$B141)</f>
        <v>*KEY_ERR</v>
      </c>
      <c r="BF141" s="58" t="str">
        <f ca="1">_xll.DBRW(Server&amp;Cube1,$H$13,$BC$3,$H$15,$H$17,BF$1,$H$16,$B141)</f>
        <v>*KEY_ERR</v>
      </c>
      <c r="BG141" s="58" t="str">
        <f ca="1">_xll.DBRW(Server&amp;Cube1,$H$13,$BC$3,$H$15,$H$17,BG$1,$H$16,$B141)</f>
        <v>*KEY_ERR</v>
      </c>
      <c r="BH141" s="58" t="str">
        <f ca="1">_xll.DBRW(Server&amp;Cube1,$H$13,$BC$3,$H$15,$H$17,BH$1,$H$16,$B141)</f>
        <v>*KEY_ERR</v>
      </c>
      <c r="BI141" s="58" t="str">
        <f ca="1">_xll.DBRW(Server&amp;Cube1,$H$13,$BC$3,$H$15,$H$17,BI$1,$H$16,$B141)</f>
        <v>*KEY_ERR</v>
      </c>
      <c r="BJ141" s="58" t="str">
        <f ca="1">_xll.DBRW(Server&amp;Cube1,$H$13,$BC$3,$H$15,$H$17,BJ$1,$H$16,$B141)</f>
        <v>*KEY_ERR</v>
      </c>
      <c r="BK141" s="58" t="str">
        <f ca="1">_xll.DBRW(Server&amp;Cube1,$H$13,$BC$3,$H$15,$H$17,BK$1,$H$16,$B141)</f>
        <v>*KEY_ERR</v>
      </c>
      <c r="BL141" s="58" t="str">
        <f ca="1">_xll.DBRW(Server&amp;Cube1,$H$13,$BC$3,$H$15,$H$17,BL$1,$H$16,$B141)</f>
        <v>*KEY_ERR</v>
      </c>
      <c r="BM141" s="58" t="str">
        <f ca="1">_xll.DBRW(Server&amp;Cube1,$H$13,$BC$3,$H$15,$H$17,BM$1,$H$16,$B141)</f>
        <v>*KEY_ERR</v>
      </c>
      <c r="BN141" s="58" t="str">
        <f ca="1">_xll.DBRW(Server&amp;Cube1,$H$13,$BC$3,$H$15,$H$17,BN$1,$H$16,$B141)</f>
        <v>*KEY_ERR</v>
      </c>
      <c r="BO141" s="59" t="str">
        <f ca="1">_xll.DBRW(Server&amp;Cube1,$H$13,$BC$3,$H$15,$H$17,BO$1,$H$16,$B141)</f>
        <v>*KEY_ERR</v>
      </c>
      <c r="BP141" s="31"/>
    </row>
    <row r="142" spans="1:68" ht="21" customHeight="1" x14ac:dyDescent="0.25">
      <c r="A142"/>
      <c r="B142" s="181" t="s">
        <v>124</v>
      </c>
      <c r="C142" s="13"/>
      <c r="D142" s="22"/>
      <c r="E142" s="171"/>
      <c r="F142" s="107"/>
      <c r="G142" s="305" t="str">
        <f ca="1">_xll.DBRA(Server&amp;$B$22,$B142,"French")</f>
        <v>Total journées formateurs  internes</v>
      </c>
      <c r="H142" s="305" t="str">
        <f ca="1">_xll.DBRA(Server&amp;$B$22,$B142,"French")</f>
        <v>Total journées formateurs  internes</v>
      </c>
      <c r="I142" s="37"/>
      <c r="J142" s="54" t="str">
        <f ca="1">_xll.DBRW(Server&amp;Cube1,$H$13,$H$14,$H$15,$J$1,$J$2,$H$16,$B142)</f>
        <v/>
      </c>
      <c r="K142" s="37"/>
      <c r="L142" s="54" t="str">
        <f ca="1">_xll.DBRW(Server&amp;Cube1,$H$13,$H$14,$H$15,$L$1,$L$2,$H$16,$B142)</f>
        <v/>
      </c>
      <c r="M142" s="55"/>
      <c r="N142" s="54" t="str">
        <f ca="1">_xll.DBRW(Server&amp;Cube1,$H$13,$H$14,$H$15,$P$1,N$2,$H$16,$B142)</f>
        <v>*KEY_ERR</v>
      </c>
      <c r="O142" s="57"/>
      <c r="P142" s="54" t="str">
        <f ca="1">_xll.DBRW(Server&amp;Cube1,$H$13,$P$3,$H$15,$P$1,P$2,$H$16,$B142)</f>
        <v>*KEY_ERR</v>
      </c>
      <c r="Q142" s="54" t="str">
        <f ca="1">_xll.DBRW(Server&amp;Cube1,$H$13,$P$3,$H$15,$H$17,Q$1,$H$16,$B142)</f>
        <v>*KEY_ERR</v>
      </c>
      <c r="R142" s="58" t="str">
        <f ca="1">_xll.DBRW(Server&amp;Cube1,$H$13,$P$3,$H$15,$H$17,R$1,$H$16,$B142)</f>
        <v>*KEY_ERR</v>
      </c>
      <c r="S142" s="58" t="str">
        <f ca="1">_xll.DBRW(Server&amp;Cube1,$H$13,$P$3,$H$15,$H$17,S$1,$H$16,$B142)</f>
        <v>*KEY_ERR</v>
      </c>
      <c r="T142" s="58" t="str">
        <f ca="1">_xll.DBRW(Server&amp;Cube1,$H$13,$P$3,$H$15,$H$17,T$1,$H$16,$B142)</f>
        <v>*KEY_ERR</v>
      </c>
      <c r="U142" s="58" t="str">
        <f ca="1">_xll.DBRW(Server&amp;Cube1,$H$13,$P$3,$H$15,$H$17,U$1,$H$16,$B142)</f>
        <v>*KEY_ERR</v>
      </c>
      <c r="V142" s="58" t="str">
        <f ca="1">_xll.DBRW(Server&amp;Cube1,$H$13,$P$3,$H$15,$H$17,V$1,$H$16,$B142)</f>
        <v>*KEY_ERR</v>
      </c>
      <c r="W142" s="58" t="str">
        <f ca="1">_xll.DBRW(Server&amp;Cube1,$H$13,$P$3,$H$15,$H$17,W$1,$H$16,$B142)</f>
        <v>*KEY_ERR</v>
      </c>
      <c r="X142" s="58" t="str">
        <f ca="1">_xll.DBRW(Server&amp;Cube1,$H$13,$P$3,$H$15,$H$17,X$1,$H$16,$B142)</f>
        <v>*KEY_ERR</v>
      </c>
      <c r="Y142" s="58" t="str">
        <f ca="1">_xll.DBRW(Server&amp;Cube1,$H$13,$P$3,$H$15,$H$17,Y$1,$H$16,$B142)</f>
        <v>*KEY_ERR</v>
      </c>
      <c r="Z142" s="58" t="str">
        <f ca="1">_xll.DBRW(Server&amp;Cube1,$H$13,$P$3,$H$15,$H$17,Z$1,$H$16,$B142)</f>
        <v>*KEY_ERR</v>
      </c>
      <c r="AA142" s="58" t="str">
        <f ca="1">_xll.DBRW(Server&amp;Cube1,$H$13,$P$3,$H$15,$H$17,AA$1,$H$16,$B142)</f>
        <v>*KEY_ERR</v>
      </c>
      <c r="AB142" s="59" t="str">
        <f ca="1">_xll.DBRW(Server&amp;Cube1,$H$13,$P$3,$H$15,$H$17,AB$1,$H$16,$B142)</f>
        <v>*KEY_ERR</v>
      </c>
      <c r="AC142" s="187" t="str">
        <f ca="1">_xll.DBRW(Server&amp;Cube1,$H$13,$AC$3,$H$15,$P$1,AC$2,$H$16,$B142)</f>
        <v>*KEY_ERR</v>
      </c>
      <c r="AD142" s="54" t="str">
        <f ca="1">_xll.DBRW(Server&amp;Cube1,$H$13,$AC$3,$H$15,$H$17,AD$1,$H$16,$B142)</f>
        <v>*KEY_ERR</v>
      </c>
      <c r="AE142" s="58" t="str">
        <f ca="1">_xll.DBRW(Server&amp;Cube1,$H$13,$AC$3,$H$15,$H$17,AE$1,$H$16,$B142)</f>
        <v>*KEY_ERR</v>
      </c>
      <c r="AF142" s="58" t="str">
        <f ca="1">_xll.DBRW(Server&amp;Cube1,$H$13,$AC$3,$H$15,$H$17,AF$1,$H$16,$B142)</f>
        <v>*KEY_ERR</v>
      </c>
      <c r="AG142" s="58" t="str">
        <f ca="1">_xll.DBRW(Server&amp;Cube1,$H$13,$AC$3,$H$15,$H$17,AG$1,$H$16,$B142)</f>
        <v>*KEY_ERR</v>
      </c>
      <c r="AH142" s="58" t="str">
        <f ca="1">_xll.DBRW(Server&amp;Cube1,$H$13,$AC$3,$H$15,$H$17,AH$1,$H$16,$B142)</f>
        <v>*KEY_ERR</v>
      </c>
      <c r="AI142" s="58" t="str">
        <f ca="1">_xll.DBRW(Server&amp;Cube1,$H$13,$AC$3,$H$15,$H$17,AI$1,$H$16,$B142)</f>
        <v>*KEY_ERR</v>
      </c>
      <c r="AJ142" s="58" t="str">
        <f ca="1">_xll.DBRW(Server&amp;Cube1,$H$13,$AC$3,$H$15,$H$17,AJ$1,$H$16,$B142)</f>
        <v>*KEY_ERR</v>
      </c>
      <c r="AK142" s="58" t="str">
        <f ca="1">_xll.DBRW(Server&amp;Cube1,$H$13,$AC$3,$H$15,$H$17,AK$1,$H$16,$B142)</f>
        <v>*KEY_ERR</v>
      </c>
      <c r="AL142" s="58" t="str">
        <f ca="1">_xll.DBRW(Server&amp;Cube1,$H$13,$AC$3,$H$15,$H$17,AL$1,$H$16,$B142)</f>
        <v>*KEY_ERR</v>
      </c>
      <c r="AM142" s="58" t="str">
        <f ca="1">_xll.DBRW(Server&amp;Cube1,$H$13,$AC$3,$H$15,$H$17,AM$1,$H$16,$B142)</f>
        <v>*KEY_ERR</v>
      </c>
      <c r="AN142" s="58" t="str">
        <f ca="1">_xll.DBRW(Server&amp;Cube1,$H$13,$AC$3,$H$15,$H$17,AN$1,$H$16,$B142)</f>
        <v>*KEY_ERR</v>
      </c>
      <c r="AO142" s="59" t="str">
        <f ca="1">_xll.DBRW(Server&amp;Cube1,$H$13,$AC$3,$H$15,$H$17,AO$1,$H$16,$B142)</f>
        <v>*KEY_ERR</v>
      </c>
      <c r="AP142" s="187" t="str">
        <f ca="1">_xll.DBRW(Server&amp;Cube1,$H$13,$AP$3,$H$15,$P$1,AP$2,$H$16,$B142)</f>
        <v>*KEY_ERR</v>
      </c>
      <c r="AQ142" s="54" t="str">
        <f ca="1">_xll.DBRW(Server&amp;Cube1,$H$13,$AP$3,$H$15,$H$17,AQ$1,$H$16,$B142)</f>
        <v>*KEY_ERR</v>
      </c>
      <c r="AR142" s="58" t="str">
        <f ca="1">_xll.DBRW(Server&amp;Cube1,$H$13,$AP$3,$H$15,$H$17,AR$1,$H$16,$B142)</f>
        <v>*KEY_ERR</v>
      </c>
      <c r="AS142" s="58" t="str">
        <f ca="1">_xll.DBRW(Server&amp;Cube1,$H$13,$AP$3,$H$15,$H$17,AS$1,$H$16,$B142)</f>
        <v>*KEY_ERR</v>
      </c>
      <c r="AT142" s="58" t="str">
        <f ca="1">_xll.DBRW(Server&amp;Cube1,$H$13,$AP$3,$H$15,$H$17,AT$1,$H$16,$B142)</f>
        <v>*KEY_ERR</v>
      </c>
      <c r="AU142" s="58" t="str">
        <f ca="1">_xll.DBRW(Server&amp;Cube1,$H$13,$AP$3,$H$15,$H$17,AU$1,$H$16,$B142)</f>
        <v>*KEY_ERR</v>
      </c>
      <c r="AV142" s="58" t="str">
        <f ca="1">_xll.DBRW(Server&amp;Cube1,$H$13,$AP$3,$H$15,$H$17,AV$1,$H$16,$B142)</f>
        <v>*KEY_ERR</v>
      </c>
      <c r="AW142" s="58" t="str">
        <f ca="1">_xll.DBRW(Server&amp;Cube1,$H$13,$AP$3,$H$15,$H$17,AW$1,$H$16,$B142)</f>
        <v>*KEY_ERR</v>
      </c>
      <c r="AX142" s="58" t="str">
        <f ca="1">_xll.DBRW(Server&amp;Cube1,$H$13,$AP$3,$H$15,$H$17,AX$1,$H$16,$B142)</f>
        <v>*KEY_ERR</v>
      </c>
      <c r="AY142" s="58" t="str">
        <f ca="1">_xll.DBRW(Server&amp;Cube1,$H$13,$AP$3,$H$15,$H$17,AY$1,$H$16,$B142)</f>
        <v>*KEY_ERR</v>
      </c>
      <c r="AZ142" s="58" t="str">
        <f ca="1">_xll.DBRW(Server&amp;Cube1,$H$13,$AP$3,$H$15,$H$17,AZ$1,$H$16,$B142)</f>
        <v>*KEY_ERR</v>
      </c>
      <c r="BA142" s="58" t="str">
        <f ca="1">_xll.DBRW(Server&amp;Cube1,$H$13,$AP$3,$H$15,$H$17,BA$1,$H$16,$B142)</f>
        <v>*KEY_ERR</v>
      </c>
      <c r="BB142" s="59" t="str">
        <f ca="1">_xll.DBRW(Server&amp;Cube1,$H$13,$AP$3,$H$15,$H$17,BB$1,$H$16,$B142)</f>
        <v>*KEY_ERR</v>
      </c>
      <c r="BC142" s="187" t="str">
        <f ca="1">_xll.DBRW(Server&amp;Cube1,$H$13,$BC$3,$H$15,$P$1,BC$2,$H$16,$B142)</f>
        <v>*KEY_ERR</v>
      </c>
      <c r="BD142" s="54" t="str">
        <f ca="1">_xll.DBRW(Server&amp;Cube1,$H$13,$BC$3,$H$15,$H$17,BD$1,$H$16,$B142)</f>
        <v>*KEY_ERR</v>
      </c>
      <c r="BE142" s="58" t="str">
        <f ca="1">_xll.DBRW(Server&amp;Cube1,$H$13,$BC$3,$H$15,$H$17,BE$1,$H$16,$B142)</f>
        <v>*KEY_ERR</v>
      </c>
      <c r="BF142" s="58" t="str">
        <f ca="1">_xll.DBRW(Server&amp;Cube1,$H$13,$BC$3,$H$15,$H$17,BF$1,$H$16,$B142)</f>
        <v>*KEY_ERR</v>
      </c>
      <c r="BG142" s="58" t="str">
        <f ca="1">_xll.DBRW(Server&amp;Cube1,$H$13,$BC$3,$H$15,$H$17,BG$1,$H$16,$B142)</f>
        <v>*KEY_ERR</v>
      </c>
      <c r="BH142" s="58" t="str">
        <f ca="1">_xll.DBRW(Server&amp;Cube1,$H$13,$BC$3,$H$15,$H$17,BH$1,$H$16,$B142)</f>
        <v>*KEY_ERR</v>
      </c>
      <c r="BI142" s="58" t="str">
        <f ca="1">_xll.DBRW(Server&amp;Cube1,$H$13,$BC$3,$H$15,$H$17,BI$1,$H$16,$B142)</f>
        <v>*KEY_ERR</v>
      </c>
      <c r="BJ142" s="58" t="str">
        <f ca="1">_xll.DBRW(Server&amp;Cube1,$H$13,$BC$3,$H$15,$H$17,BJ$1,$H$16,$B142)</f>
        <v>*KEY_ERR</v>
      </c>
      <c r="BK142" s="58" t="str">
        <f ca="1">_xll.DBRW(Server&amp;Cube1,$H$13,$BC$3,$H$15,$H$17,BK$1,$H$16,$B142)</f>
        <v>*KEY_ERR</v>
      </c>
      <c r="BL142" s="58" t="str">
        <f ca="1">_xll.DBRW(Server&amp;Cube1,$H$13,$BC$3,$H$15,$H$17,BL$1,$H$16,$B142)</f>
        <v>*KEY_ERR</v>
      </c>
      <c r="BM142" s="58" t="str">
        <f ca="1">_xll.DBRW(Server&amp;Cube1,$H$13,$BC$3,$H$15,$H$17,BM$1,$H$16,$B142)</f>
        <v>*KEY_ERR</v>
      </c>
      <c r="BN142" s="58" t="str">
        <f ca="1">_xll.DBRW(Server&amp;Cube1,$H$13,$BC$3,$H$15,$H$17,BN$1,$H$16,$B142)</f>
        <v>*KEY_ERR</v>
      </c>
      <c r="BO142" s="59" t="str">
        <f ca="1">_xll.DBRW(Server&amp;Cube1,$H$13,$BC$3,$H$15,$H$17,BO$1,$H$16,$B142)</f>
        <v>*KEY_ERR</v>
      </c>
      <c r="BP142" s="31"/>
    </row>
    <row r="143" spans="1:68" ht="21" customHeight="1" x14ac:dyDescent="0.25">
      <c r="A143"/>
      <c r="B143" s="181" t="s">
        <v>125</v>
      </c>
      <c r="C143" s="13"/>
      <c r="D143" s="22"/>
      <c r="E143" s="171"/>
      <c r="F143" s="107"/>
      <c r="G143" s="305" t="str">
        <f ca="1">_xll.DBRA(Server&amp;$B$22,$B143,"French")</f>
        <v>Total journées formateurs externes</v>
      </c>
      <c r="H143" s="305" t="str">
        <f ca="1">_xll.DBRA(Server&amp;$B$22,$B143,"French")</f>
        <v>Total journées formateurs externes</v>
      </c>
      <c r="I143" s="37"/>
      <c r="J143" s="54" t="str">
        <f ca="1">_xll.DBRW(Server&amp;Cube1,$H$13,$H$14,$H$15,$J$1,$J$2,$H$16,$B143)</f>
        <v/>
      </c>
      <c r="K143" s="37"/>
      <c r="L143" s="54" t="str">
        <f ca="1">_xll.DBRW(Server&amp;Cube1,$H$13,$H$14,$H$15,$L$1,$L$2,$H$16,$B143)</f>
        <v/>
      </c>
      <c r="M143" s="55"/>
      <c r="N143" s="54" t="str">
        <f ca="1">_xll.DBRW(Server&amp;Cube1,$H$13,$H$14,$H$15,$P$1,N$2,$H$16,$B143)</f>
        <v>*KEY_ERR</v>
      </c>
      <c r="O143" s="57"/>
      <c r="P143" s="54" t="str">
        <f ca="1">_xll.DBRW(Server&amp;Cube1,$H$13,$P$3,$H$15,$P$1,P$2,$H$16,$B143)</f>
        <v>*KEY_ERR</v>
      </c>
      <c r="Q143" s="54" t="str">
        <f ca="1">_xll.DBRW(Server&amp;Cube1,$H$13,$P$3,$H$15,$H$17,Q$1,$H$16,$B143)</f>
        <v>*KEY_ERR</v>
      </c>
      <c r="R143" s="58" t="str">
        <f ca="1">_xll.DBRW(Server&amp;Cube1,$H$13,$P$3,$H$15,$H$17,R$1,$H$16,$B143)</f>
        <v>*KEY_ERR</v>
      </c>
      <c r="S143" s="58" t="str">
        <f ca="1">_xll.DBRW(Server&amp;Cube1,$H$13,$P$3,$H$15,$H$17,S$1,$H$16,$B143)</f>
        <v>*KEY_ERR</v>
      </c>
      <c r="T143" s="58" t="str">
        <f ca="1">_xll.DBRW(Server&amp;Cube1,$H$13,$P$3,$H$15,$H$17,T$1,$H$16,$B143)</f>
        <v>*KEY_ERR</v>
      </c>
      <c r="U143" s="58" t="str">
        <f ca="1">_xll.DBRW(Server&amp;Cube1,$H$13,$P$3,$H$15,$H$17,U$1,$H$16,$B143)</f>
        <v>*KEY_ERR</v>
      </c>
      <c r="V143" s="58" t="str">
        <f ca="1">_xll.DBRW(Server&amp;Cube1,$H$13,$P$3,$H$15,$H$17,V$1,$H$16,$B143)</f>
        <v>*KEY_ERR</v>
      </c>
      <c r="W143" s="58" t="str">
        <f ca="1">_xll.DBRW(Server&amp;Cube1,$H$13,$P$3,$H$15,$H$17,W$1,$H$16,$B143)</f>
        <v>*KEY_ERR</v>
      </c>
      <c r="X143" s="58" t="str">
        <f ca="1">_xll.DBRW(Server&amp;Cube1,$H$13,$P$3,$H$15,$H$17,X$1,$H$16,$B143)</f>
        <v>*KEY_ERR</v>
      </c>
      <c r="Y143" s="58" t="str">
        <f ca="1">_xll.DBRW(Server&amp;Cube1,$H$13,$P$3,$H$15,$H$17,Y$1,$H$16,$B143)</f>
        <v>*KEY_ERR</v>
      </c>
      <c r="Z143" s="58" t="str">
        <f ca="1">_xll.DBRW(Server&amp;Cube1,$H$13,$P$3,$H$15,$H$17,Z$1,$H$16,$B143)</f>
        <v>*KEY_ERR</v>
      </c>
      <c r="AA143" s="58" t="str">
        <f ca="1">_xll.DBRW(Server&amp;Cube1,$H$13,$P$3,$H$15,$H$17,AA$1,$H$16,$B143)</f>
        <v>*KEY_ERR</v>
      </c>
      <c r="AB143" s="59" t="str">
        <f ca="1">_xll.DBRW(Server&amp;Cube1,$H$13,$P$3,$H$15,$H$17,AB$1,$H$16,$B143)</f>
        <v>*KEY_ERR</v>
      </c>
      <c r="AC143" s="187" t="str">
        <f ca="1">_xll.DBRW(Server&amp;Cube1,$H$13,$AC$3,$H$15,$P$1,AC$2,$H$16,$B143)</f>
        <v>*KEY_ERR</v>
      </c>
      <c r="AD143" s="54" t="str">
        <f ca="1">_xll.DBRW(Server&amp;Cube1,$H$13,$AC$3,$H$15,$H$17,AD$1,$H$16,$B143)</f>
        <v>*KEY_ERR</v>
      </c>
      <c r="AE143" s="58" t="str">
        <f ca="1">_xll.DBRW(Server&amp;Cube1,$H$13,$AC$3,$H$15,$H$17,AE$1,$H$16,$B143)</f>
        <v>*KEY_ERR</v>
      </c>
      <c r="AF143" s="58" t="str">
        <f ca="1">_xll.DBRW(Server&amp;Cube1,$H$13,$AC$3,$H$15,$H$17,AF$1,$H$16,$B143)</f>
        <v>*KEY_ERR</v>
      </c>
      <c r="AG143" s="58" t="str">
        <f ca="1">_xll.DBRW(Server&amp;Cube1,$H$13,$AC$3,$H$15,$H$17,AG$1,$H$16,$B143)</f>
        <v>*KEY_ERR</v>
      </c>
      <c r="AH143" s="58" t="str">
        <f ca="1">_xll.DBRW(Server&amp;Cube1,$H$13,$AC$3,$H$15,$H$17,AH$1,$H$16,$B143)</f>
        <v>*KEY_ERR</v>
      </c>
      <c r="AI143" s="58" t="str">
        <f ca="1">_xll.DBRW(Server&amp;Cube1,$H$13,$AC$3,$H$15,$H$17,AI$1,$H$16,$B143)</f>
        <v>*KEY_ERR</v>
      </c>
      <c r="AJ143" s="58" t="str">
        <f ca="1">_xll.DBRW(Server&amp;Cube1,$H$13,$AC$3,$H$15,$H$17,AJ$1,$H$16,$B143)</f>
        <v>*KEY_ERR</v>
      </c>
      <c r="AK143" s="58" t="str">
        <f ca="1">_xll.DBRW(Server&amp;Cube1,$H$13,$AC$3,$H$15,$H$17,AK$1,$H$16,$B143)</f>
        <v>*KEY_ERR</v>
      </c>
      <c r="AL143" s="58" t="str">
        <f ca="1">_xll.DBRW(Server&amp;Cube1,$H$13,$AC$3,$H$15,$H$17,AL$1,$H$16,$B143)</f>
        <v>*KEY_ERR</v>
      </c>
      <c r="AM143" s="58" t="str">
        <f ca="1">_xll.DBRW(Server&amp;Cube1,$H$13,$AC$3,$H$15,$H$17,AM$1,$H$16,$B143)</f>
        <v>*KEY_ERR</v>
      </c>
      <c r="AN143" s="58" t="str">
        <f ca="1">_xll.DBRW(Server&amp;Cube1,$H$13,$AC$3,$H$15,$H$17,AN$1,$H$16,$B143)</f>
        <v>*KEY_ERR</v>
      </c>
      <c r="AO143" s="59" t="str">
        <f ca="1">_xll.DBRW(Server&amp;Cube1,$H$13,$AC$3,$H$15,$H$17,AO$1,$H$16,$B143)</f>
        <v>*KEY_ERR</v>
      </c>
      <c r="AP143" s="187" t="str">
        <f ca="1">_xll.DBRW(Server&amp;Cube1,$H$13,$AP$3,$H$15,$P$1,AP$2,$H$16,$B143)</f>
        <v>*KEY_ERR</v>
      </c>
      <c r="AQ143" s="54" t="str">
        <f ca="1">_xll.DBRW(Server&amp;Cube1,$H$13,$AP$3,$H$15,$H$17,AQ$1,$H$16,$B143)</f>
        <v>*KEY_ERR</v>
      </c>
      <c r="AR143" s="58" t="str">
        <f ca="1">_xll.DBRW(Server&amp;Cube1,$H$13,$AP$3,$H$15,$H$17,AR$1,$H$16,$B143)</f>
        <v>*KEY_ERR</v>
      </c>
      <c r="AS143" s="58" t="str">
        <f ca="1">_xll.DBRW(Server&amp;Cube1,$H$13,$AP$3,$H$15,$H$17,AS$1,$H$16,$B143)</f>
        <v>*KEY_ERR</v>
      </c>
      <c r="AT143" s="58" t="str">
        <f ca="1">_xll.DBRW(Server&amp;Cube1,$H$13,$AP$3,$H$15,$H$17,AT$1,$H$16,$B143)</f>
        <v>*KEY_ERR</v>
      </c>
      <c r="AU143" s="58" t="str">
        <f ca="1">_xll.DBRW(Server&amp;Cube1,$H$13,$AP$3,$H$15,$H$17,AU$1,$H$16,$B143)</f>
        <v>*KEY_ERR</v>
      </c>
      <c r="AV143" s="58" t="str">
        <f ca="1">_xll.DBRW(Server&amp;Cube1,$H$13,$AP$3,$H$15,$H$17,AV$1,$H$16,$B143)</f>
        <v>*KEY_ERR</v>
      </c>
      <c r="AW143" s="58" t="str">
        <f ca="1">_xll.DBRW(Server&amp;Cube1,$H$13,$AP$3,$H$15,$H$17,AW$1,$H$16,$B143)</f>
        <v>*KEY_ERR</v>
      </c>
      <c r="AX143" s="58" t="str">
        <f ca="1">_xll.DBRW(Server&amp;Cube1,$H$13,$AP$3,$H$15,$H$17,AX$1,$H$16,$B143)</f>
        <v>*KEY_ERR</v>
      </c>
      <c r="AY143" s="58" t="str">
        <f ca="1">_xll.DBRW(Server&amp;Cube1,$H$13,$AP$3,$H$15,$H$17,AY$1,$H$16,$B143)</f>
        <v>*KEY_ERR</v>
      </c>
      <c r="AZ143" s="58" t="str">
        <f ca="1">_xll.DBRW(Server&amp;Cube1,$H$13,$AP$3,$H$15,$H$17,AZ$1,$H$16,$B143)</f>
        <v>*KEY_ERR</v>
      </c>
      <c r="BA143" s="58" t="str">
        <f ca="1">_xll.DBRW(Server&amp;Cube1,$H$13,$AP$3,$H$15,$H$17,BA$1,$H$16,$B143)</f>
        <v>*KEY_ERR</v>
      </c>
      <c r="BB143" s="59" t="str">
        <f ca="1">_xll.DBRW(Server&amp;Cube1,$H$13,$AP$3,$H$15,$H$17,BB$1,$H$16,$B143)</f>
        <v>*KEY_ERR</v>
      </c>
      <c r="BC143" s="187" t="str">
        <f ca="1">_xll.DBRW(Server&amp;Cube1,$H$13,$BC$3,$H$15,$P$1,BC$2,$H$16,$B143)</f>
        <v>*KEY_ERR</v>
      </c>
      <c r="BD143" s="54" t="str">
        <f ca="1">_xll.DBRW(Server&amp;Cube1,$H$13,$BC$3,$H$15,$H$17,BD$1,$H$16,$B143)</f>
        <v>*KEY_ERR</v>
      </c>
      <c r="BE143" s="58" t="str">
        <f ca="1">_xll.DBRW(Server&amp;Cube1,$H$13,$BC$3,$H$15,$H$17,BE$1,$H$16,$B143)</f>
        <v>*KEY_ERR</v>
      </c>
      <c r="BF143" s="58" t="str">
        <f ca="1">_xll.DBRW(Server&amp;Cube1,$H$13,$BC$3,$H$15,$H$17,BF$1,$H$16,$B143)</f>
        <v>*KEY_ERR</v>
      </c>
      <c r="BG143" s="58" t="str">
        <f ca="1">_xll.DBRW(Server&amp;Cube1,$H$13,$BC$3,$H$15,$H$17,BG$1,$H$16,$B143)</f>
        <v>*KEY_ERR</v>
      </c>
      <c r="BH143" s="58" t="str">
        <f ca="1">_xll.DBRW(Server&amp;Cube1,$H$13,$BC$3,$H$15,$H$17,BH$1,$H$16,$B143)</f>
        <v>*KEY_ERR</v>
      </c>
      <c r="BI143" s="58" t="str">
        <f ca="1">_xll.DBRW(Server&amp;Cube1,$H$13,$BC$3,$H$15,$H$17,BI$1,$H$16,$B143)</f>
        <v>*KEY_ERR</v>
      </c>
      <c r="BJ143" s="58" t="str">
        <f ca="1">_xll.DBRW(Server&amp;Cube1,$H$13,$BC$3,$H$15,$H$17,BJ$1,$H$16,$B143)</f>
        <v>*KEY_ERR</v>
      </c>
      <c r="BK143" s="58" t="str">
        <f ca="1">_xll.DBRW(Server&amp;Cube1,$H$13,$BC$3,$H$15,$H$17,BK$1,$H$16,$B143)</f>
        <v>*KEY_ERR</v>
      </c>
      <c r="BL143" s="58" t="str">
        <f ca="1">_xll.DBRW(Server&amp;Cube1,$H$13,$BC$3,$H$15,$H$17,BL$1,$H$16,$B143)</f>
        <v>*KEY_ERR</v>
      </c>
      <c r="BM143" s="58" t="str">
        <f ca="1">_xll.DBRW(Server&amp;Cube1,$H$13,$BC$3,$H$15,$H$17,BM$1,$H$16,$B143)</f>
        <v>*KEY_ERR</v>
      </c>
      <c r="BN143" s="58" t="str">
        <f ca="1">_xll.DBRW(Server&amp;Cube1,$H$13,$BC$3,$H$15,$H$17,BN$1,$H$16,$B143)</f>
        <v>*KEY_ERR</v>
      </c>
      <c r="BO143" s="59" t="str">
        <f ca="1">_xll.DBRW(Server&amp;Cube1,$H$13,$BC$3,$H$15,$H$17,BO$1,$H$16,$B143)</f>
        <v>*KEY_ERR</v>
      </c>
      <c r="BP143" s="31"/>
    </row>
    <row r="144" spans="1:68" ht="51" customHeight="1" x14ac:dyDescent="0.25">
      <c r="A144"/>
      <c r="B144"/>
      <c r="C144"/>
      <c r="E144" s="32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  <c r="AN144" s="33"/>
      <c r="AO144" s="33"/>
      <c r="AP144" s="33"/>
      <c r="AQ144" s="33"/>
      <c r="AR144" s="33"/>
      <c r="AS144" s="33"/>
      <c r="AT144" s="33"/>
      <c r="AU144" s="33"/>
      <c r="AV144" s="33"/>
      <c r="AW144" s="33"/>
      <c r="AX144" s="33"/>
      <c r="AY144" s="33"/>
      <c r="AZ144" s="33"/>
      <c r="BA144" s="33"/>
      <c r="BB144" s="33"/>
      <c r="BC144" s="33"/>
      <c r="BD144" s="33"/>
      <c r="BE144" s="33"/>
      <c r="BF144" s="33"/>
      <c r="BG144" s="33"/>
      <c r="BH144" s="33"/>
      <c r="BI144" s="33"/>
      <c r="BJ144" s="33"/>
      <c r="BK144" s="33"/>
      <c r="BL144" s="33"/>
      <c r="BM144" s="33"/>
      <c r="BN144" s="33"/>
      <c r="BO144" s="33"/>
      <c r="BP144" s="34"/>
    </row>
  </sheetData>
  <sheetProtection password="D70F" sheet="1" objects="1" scenarios="1" formatColumns="0" formatRows="0"/>
  <mergeCells count="87">
    <mergeCell ref="G53:H53"/>
    <mergeCell ref="BC21:BC22"/>
    <mergeCell ref="G8:BO8"/>
    <mergeCell ref="G9:BO9"/>
    <mergeCell ref="F136:H136"/>
    <mergeCell ref="AC21:AC22"/>
    <mergeCell ref="AP21:AP22"/>
    <mergeCell ref="N21:N22"/>
    <mergeCell ref="G120:H120"/>
    <mergeCell ref="F126:H126"/>
    <mergeCell ref="G128:H128"/>
    <mergeCell ref="G129:H129"/>
    <mergeCell ref="G130:H130"/>
    <mergeCell ref="G131:H131"/>
    <mergeCell ref="F107:H107"/>
    <mergeCell ref="G112:H112"/>
    <mergeCell ref="G114:H114"/>
    <mergeCell ref="G119:H119"/>
    <mergeCell ref="G97:H97"/>
    <mergeCell ref="G98:H98"/>
    <mergeCell ref="G99:H99"/>
    <mergeCell ref="G100:H100"/>
    <mergeCell ref="F102:H102"/>
    <mergeCell ref="G113:H113"/>
    <mergeCell ref="G70:H70"/>
    <mergeCell ref="G69:H69"/>
    <mergeCell ref="G93:H93"/>
    <mergeCell ref="G94:H94"/>
    <mergeCell ref="G90:H90"/>
    <mergeCell ref="G91:H91"/>
    <mergeCell ref="G92:H92"/>
    <mergeCell ref="G78:H78"/>
    <mergeCell ref="G79:H79"/>
    <mergeCell ref="G88:H88"/>
    <mergeCell ref="G89:H89"/>
    <mergeCell ref="P21:P22"/>
    <mergeCell ref="G24:H24"/>
    <mergeCell ref="G27:H27"/>
    <mergeCell ref="G43:H43"/>
    <mergeCell ref="G28:H28"/>
    <mergeCell ref="G29:H29"/>
    <mergeCell ref="G30:H30"/>
    <mergeCell ref="G32:H32"/>
    <mergeCell ref="G33:H33"/>
    <mergeCell ref="G34:H34"/>
    <mergeCell ref="G35:H35"/>
    <mergeCell ref="F37:H37"/>
    <mergeCell ref="G39:H39"/>
    <mergeCell ref="G40:H40"/>
    <mergeCell ref="G41:H41"/>
    <mergeCell ref="G143:H143"/>
    <mergeCell ref="G142:H142"/>
    <mergeCell ref="G139:H139"/>
    <mergeCell ref="G141:H141"/>
    <mergeCell ref="G140:H140"/>
    <mergeCell ref="F134:BO134"/>
    <mergeCell ref="G54:H54"/>
    <mergeCell ref="G55:H55"/>
    <mergeCell ref="G56:H56"/>
    <mergeCell ref="G57:H57"/>
    <mergeCell ref="G76:H76"/>
    <mergeCell ref="G71:H71"/>
    <mergeCell ref="G74:H74"/>
    <mergeCell ref="G75:H75"/>
    <mergeCell ref="G80:H80"/>
    <mergeCell ref="F64:H64"/>
    <mergeCell ref="G96:H96"/>
    <mergeCell ref="G82:H82"/>
    <mergeCell ref="G83:H83"/>
    <mergeCell ref="G86:H86"/>
    <mergeCell ref="G95:H95"/>
    <mergeCell ref="N20:BO20"/>
    <mergeCell ref="F67:BO67"/>
    <mergeCell ref="F62:BO62"/>
    <mergeCell ref="F105:BO105"/>
    <mergeCell ref="F110:BO110"/>
    <mergeCell ref="G25:H25"/>
    <mergeCell ref="G85:H85"/>
    <mergeCell ref="G84:H84"/>
    <mergeCell ref="F59:H59"/>
    <mergeCell ref="G45:H45"/>
    <mergeCell ref="G46:H46"/>
    <mergeCell ref="G47:H47"/>
    <mergeCell ref="G49:H49"/>
    <mergeCell ref="G50:H50"/>
    <mergeCell ref="G51:H51"/>
    <mergeCell ref="G52:H52"/>
  </mergeCells>
  <printOptions horizontalCentered="1"/>
  <pageMargins left="0.70866141732283472" right="0.70866141732283472" top="0.74803149606299213" bottom="0.74803149606299213" header="0.31496062992125984" footer="0.31496062992125984"/>
  <pageSetup paperSize="8" scale="5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71</vt:i4>
      </vt:variant>
    </vt:vector>
  </HeadingPairs>
  <TitlesOfParts>
    <vt:vector size="77" baseType="lpstr">
      <vt:lpstr>Context</vt:lpstr>
      <vt:lpstr>Contexte</vt:lpstr>
      <vt:lpstr>SAISIE</vt:lpstr>
      <vt:lpstr>SAISIE_DBS</vt:lpstr>
      <vt:lpstr>Ajustements manuels</vt:lpstr>
      <vt:lpstr>Synthèse</vt:lpstr>
      <vt:lpstr>Antenne</vt:lpstr>
      <vt:lpstr>'Ajustements manuels'!Auto_fit2</vt:lpstr>
      <vt:lpstr>SAISIE!Auto_fit2</vt:lpstr>
      <vt:lpstr>SAISIE_DBS!Auto_fit2</vt:lpstr>
      <vt:lpstr>Synthèse!Auto_fit2</vt:lpstr>
      <vt:lpstr>Cube1</vt:lpstr>
      <vt:lpstr>MAN_A_1</vt:lpstr>
      <vt:lpstr>MAN_A_2</vt:lpstr>
      <vt:lpstr>MAN_A_3</vt:lpstr>
      <vt:lpstr>MAN_A_4</vt:lpstr>
      <vt:lpstr>MAN_A_5</vt:lpstr>
      <vt:lpstr>MAN_A_6</vt:lpstr>
      <vt:lpstr>MAN_A_7</vt:lpstr>
      <vt:lpstr>MAN_B_1</vt:lpstr>
      <vt:lpstr>MAN_B_2</vt:lpstr>
      <vt:lpstr>MAN_B_3</vt:lpstr>
      <vt:lpstr>MAN_B_4</vt:lpstr>
      <vt:lpstr>MAN_B_5</vt:lpstr>
      <vt:lpstr>MAN_B_6</vt:lpstr>
      <vt:lpstr>MAN_B_7</vt:lpstr>
      <vt:lpstr>Nature_Analytique</vt:lpstr>
      <vt:lpstr>Partenaire</vt:lpstr>
      <vt:lpstr>Periode</vt:lpstr>
      <vt:lpstr>PFC_A_1</vt:lpstr>
      <vt:lpstr>PFC_A_10</vt:lpstr>
      <vt:lpstr>PFC_A_11</vt:lpstr>
      <vt:lpstr>PFC_A_12</vt:lpstr>
      <vt:lpstr>PFC_A_13</vt:lpstr>
      <vt:lpstr>PFC_A_14</vt:lpstr>
      <vt:lpstr>PFC_A_15</vt:lpstr>
      <vt:lpstr>PFC_A_16</vt:lpstr>
      <vt:lpstr>PFC_A_17</vt:lpstr>
      <vt:lpstr>PFC_A_18</vt:lpstr>
      <vt:lpstr>PFC_A_2</vt:lpstr>
      <vt:lpstr>PFC_A_20</vt:lpstr>
      <vt:lpstr>PFC_A_3</vt:lpstr>
      <vt:lpstr>PFC_A_4</vt:lpstr>
      <vt:lpstr>PFC_A_5</vt:lpstr>
      <vt:lpstr>PFC_A_6</vt:lpstr>
      <vt:lpstr>PFC_A_7</vt:lpstr>
      <vt:lpstr>PFC_A_8</vt:lpstr>
      <vt:lpstr>PFC_A_9</vt:lpstr>
      <vt:lpstr>PFC_B_1</vt:lpstr>
      <vt:lpstr>PFC_B_10</vt:lpstr>
      <vt:lpstr>PFC_B_11</vt:lpstr>
      <vt:lpstr>PFC_B_12</vt:lpstr>
      <vt:lpstr>PFC_B_13</vt:lpstr>
      <vt:lpstr>PFC_B_14</vt:lpstr>
      <vt:lpstr>PFC_B_15</vt:lpstr>
      <vt:lpstr>PFC_B_16</vt:lpstr>
      <vt:lpstr>PFC_B_17</vt:lpstr>
      <vt:lpstr>PFC_B_18</vt:lpstr>
      <vt:lpstr>PFC_B_2</vt:lpstr>
      <vt:lpstr>PFC_B_20</vt:lpstr>
      <vt:lpstr>PFC_B_3</vt:lpstr>
      <vt:lpstr>PFC_B_4</vt:lpstr>
      <vt:lpstr>PFC_B_5</vt:lpstr>
      <vt:lpstr>PFC_B_6</vt:lpstr>
      <vt:lpstr>PFC_B_7</vt:lpstr>
      <vt:lpstr>PFC_B_8</vt:lpstr>
      <vt:lpstr>PFC_B_9</vt:lpstr>
      <vt:lpstr>Phase</vt:lpstr>
      <vt:lpstr>'Ajustements manuels'!Print_Area</vt:lpstr>
      <vt:lpstr>Contexte!Print_Area</vt:lpstr>
      <vt:lpstr>SAISIE!Print_Area</vt:lpstr>
      <vt:lpstr>SAISIE_DBS!Print_Area</vt:lpstr>
      <vt:lpstr>Synthèse!Print_Area</vt:lpstr>
      <vt:lpstr>Server</vt:lpstr>
      <vt:lpstr>Type_de_formation</vt:lpstr>
      <vt:lpstr>xflag</vt:lpstr>
      <vt:lpstr>xServer</vt:lpstr>
    </vt:vector>
  </TitlesOfParts>
  <Company>Veolia Transport - Transdev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teddy.saint-amand</dc:creator>
  <cp:lastModifiedBy>SAINT JOHN de CREVECOEUR, Rozenn</cp:lastModifiedBy>
  <cp:lastPrinted>2017-04-14T07:52:02Z</cp:lastPrinted>
  <dcterms:created xsi:type="dcterms:W3CDTF">2014-02-25T15:58:27Z</dcterms:created>
  <dcterms:modified xsi:type="dcterms:W3CDTF">2020-07-03T16:52:53Z</dcterms:modified>
</cp:coreProperties>
</file>