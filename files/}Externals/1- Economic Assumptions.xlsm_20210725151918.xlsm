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45" windowWidth="18780" windowHeight="6600" tabRatio="728" firstSheet="2" activeTab="2"/>
  </bookViews>
  <sheets>
    <sheet name="{AR}01" sheetId="18" state="hidden" r:id="rId1"/>
    <sheet name="Context" sheetId="2" r:id="rId2"/>
    <sheet name="PLT - Taxes and Interest Rates" sheetId="1" r:id="rId3"/>
    <sheet name="Tx de change &gt;&gt;&gt;" sheetId="15" r:id="rId4"/>
    <sheet name="Opening Data 1" sheetId="9" r:id="rId5"/>
    <sheet name="Opening Data 2" sheetId="10" r:id="rId6"/>
    <sheet name="Opening Data 3" sheetId="14" r:id="rId7"/>
    <sheet name="LTP" sheetId="11" r:id="rId8"/>
    <sheet name="Active Form Devises" sheetId="16" r:id="rId9"/>
  </sheets>
  <definedNames>
    <definedName name="F_Year_2022">Context!$C$11:$C$15,Context!$F$11:$F$15</definedName>
    <definedName name="Flag" localSheetId="7">LTP!$D$2</definedName>
    <definedName name="Flag" localSheetId="5">'Opening Data 2'!$F$2</definedName>
    <definedName name="Flag" localSheetId="6">'Opening Data 3'!$F$2</definedName>
    <definedName name="Flag" localSheetId="2">'PLT - Taxes and Interest Rates'!$X$11</definedName>
    <definedName name="Flag">'Opening Data 1'!$F$2</definedName>
    <definedName name="LTP_1">Context!$D$11</definedName>
    <definedName name="LTP_2">Context!$D$12</definedName>
    <definedName name="LTP_3">Context!$D$13</definedName>
    <definedName name="LTP_4">Context!$D$14</definedName>
    <definedName name="LTP_5">Context!$D$15</definedName>
    <definedName name="PHASE_LTP">Context!$B$3</definedName>
    <definedName name="Server">Context!$B$1</definedName>
    <definedName name="TM1REBUILDOPTION">0</definedName>
    <definedName name="TM1RPTDATARNG1" localSheetId="8">'Active Form Devises'!$17:$40</definedName>
    <definedName name="TM1RPTDATARNGARPT1" localSheetId="2">'PLT - Taxes and Interest Rates'!$25:$52</definedName>
    <definedName name="TM1RPTFMTIDCOL" localSheetId="8">'Active Form Devises'!$A$1:$A$8</definedName>
    <definedName name="TM1RPTFMTIDCOL" localSheetId="2">'PLT - Taxes and Interest Rates'!$A$1:$A$8</definedName>
    <definedName name="TM1RPTFMTRNG" localSheetId="8">'Active Form Devises'!$B$1:$C$8</definedName>
    <definedName name="TM1RPTFMTRNG" localSheetId="2">'PLT - Taxes and Interest Rates'!$C$1:$U$8</definedName>
    <definedName name="xCurrentLTP">'PLT - Taxes and Interest Rates'!$C$15</definedName>
    <definedName name="xStart">'PLT - Taxes and Interest Rates'!$E$24</definedName>
    <definedName name="xStartFormula">'PLT - Taxes and Interest Rates'!$W$24</definedName>
    <definedName name="Year_Selected">Context!$B$2</definedName>
  </definedNames>
  <calcPr calcId="145621" calcMode="manual" iterate="1" iterateCount="20" calcCompleted="0" calcOnSave="0" concurrentCalc="0"/>
</workbook>
</file>

<file path=xl/calcChain.xml><?xml version="1.0" encoding="utf-8"?>
<calcChain xmlns="http://schemas.openxmlformats.org/spreadsheetml/2006/main">
  <c r="A40" i="16" l="1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F40" i="16"/>
  <c r="B9" i="16"/>
  <c r="E16" i="16"/>
  <c r="E15" i="16"/>
  <c r="C11" i="16"/>
  <c r="C12" i="16"/>
  <c r="E40" i="16"/>
  <c r="D16" i="16"/>
  <c r="D15" i="16"/>
  <c r="D40" i="16"/>
  <c r="C16" i="16"/>
  <c r="C15" i="16"/>
  <c r="C40" i="16"/>
  <c r="F39" i="16"/>
  <c r="E39" i="16"/>
  <c r="D39" i="16"/>
  <c r="C39" i="16"/>
  <c r="F38" i="16"/>
  <c r="E38" i="16"/>
  <c r="D38" i="16"/>
  <c r="C38" i="16"/>
  <c r="F37" i="16"/>
  <c r="E37" i="16"/>
  <c r="D37" i="16"/>
  <c r="C37" i="16"/>
  <c r="F36" i="16"/>
  <c r="E36" i="16"/>
  <c r="D36" i="16"/>
  <c r="C36" i="16"/>
  <c r="F35" i="16"/>
  <c r="E35" i="16"/>
  <c r="D35" i="16"/>
  <c r="C35" i="16"/>
  <c r="F34" i="16"/>
  <c r="E34" i="16"/>
  <c r="D34" i="16"/>
  <c r="C34" i="16"/>
  <c r="F33" i="16"/>
  <c r="E33" i="16"/>
  <c r="D33" i="16"/>
  <c r="C33" i="16"/>
  <c r="F32" i="16"/>
  <c r="E32" i="16"/>
  <c r="D32" i="16"/>
  <c r="C32" i="16"/>
  <c r="F31" i="16"/>
  <c r="E31" i="16"/>
  <c r="D31" i="16"/>
  <c r="C31" i="16"/>
  <c r="F30" i="16"/>
  <c r="E30" i="16"/>
  <c r="D30" i="16"/>
  <c r="C30" i="16"/>
  <c r="F29" i="16"/>
  <c r="E29" i="16"/>
  <c r="D29" i="16"/>
  <c r="C29" i="16"/>
  <c r="F28" i="16"/>
  <c r="E28" i="16"/>
  <c r="D28" i="16"/>
  <c r="C28" i="16"/>
  <c r="F27" i="16"/>
  <c r="E27" i="16"/>
  <c r="D27" i="16"/>
  <c r="C27" i="16"/>
  <c r="F26" i="16"/>
  <c r="E26" i="16"/>
  <c r="D26" i="16"/>
  <c r="C26" i="16"/>
  <c r="F25" i="16"/>
  <c r="E25" i="16"/>
  <c r="D25" i="16"/>
  <c r="C25" i="16"/>
  <c r="F24" i="16"/>
  <c r="E24" i="16"/>
  <c r="D24" i="16"/>
  <c r="C24" i="16"/>
  <c r="F23" i="16"/>
  <c r="E23" i="16"/>
  <c r="D23" i="16"/>
  <c r="C23" i="16"/>
  <c r="F22" i="16"/>
  <c r="E22" i="16"/>
  <c r="D22" i="16"/>
  <c r="C22" i="16"/>
  <c r="F21" i="16"/>
  <c r="E21" i="16"/>
  <c r="D21" i="16"/>
  <c r="C21" i="16"/>
  <c r="F20" i="16"/>
  <c r="E20" i="16"/>
  <c r="D20" i="16"/>
  <c r="C20" i="16"/>
  <c r="F19" i="16"/>
  <c r="E19" i="16"/>
  <c r="D19" i="16"/>
  <c r="C19" i="16"/>
  <c r="F18" i="16"/>
  <c r="E18" i="16"/>
  <c r="D18" i="16"/>
  <c r="C18" i="16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C9" i="1"/>
  <c r="C15" i="1"/>
  <c r="AM24" i="1"/>
  <c r="AM17" i="1"/>
  <c r="AM52" i="1"/>
  <c r="AL24" i="1"/>
  <c r="AL17" i="1"/>
  <c r="AL52" i="1"/>
  <c r="AK24" i="1"/>
  <c r="AK17" i="1"/>
  <c r="AK52" i="1"/>
  <c r="AJ24" i="1"/>
  <c r="AJ17" i="1"/>
  <c r="AJ52" i="1"/>
  <c r="AI24" i="1"/>
  <c r="AI17" i="1"/>
  <c r="AI52" i="1"/>
  <c r="AG24" i="1"/>
  <c r="AG17" i="1"/>
  <c r="AG52" i="1"/>
  <c r="AF24" i="1"/>
  <c r="AF17" i="1"/>
  <c r="AF52" i="1"/>
  <c r="AE24" i="1"/>
  <c r="AE17" i="1"/>
  <c r="AE52" i="1"/>
  <c r="AD24" i="1"/>
  <c r="AD17" i="1"/>
  <c r="AD52" i="1"/>
  <c r="AC24" i="1"/>
  <c r="AC17" i="1"/>
  <c r="AC52" i="1"/>
  <c r="AA24" i="1"/>
  <c r="AA17" i="1"/>
  <c r="AA52" i="1"/>
  <c r="Z24" i="1"/>
  <c r="Z17" i="1"/>
  <c r="Z52" i="1"/>
  <c r="Y24" i="1"/>
  <c r="Y17" i="1"/>
  <c r="Y52" i="1"/>
  <c r="X24" i="1"/>
  <c r="X17" i="1"/>
  <c r="X52" i="1"/>
  <c r="W24" i="1"/>
  <c r="W17" i="1"/>
  <c r="W52" i="1"/>
  <c r="AM51" i="1"/>
  <c r="AL51" i="1"/>
  <c r="AK51" i="1"/>
  <c r="AJ51" i="1"/>
  <c r="AI51" i="1"/>
  <c r="AG51" i="1"/>
  <c r="AF51" i="1"/>
  <c r="AE51" i="1"/>
  <c r="AD51" i="1"/>
  <c r="AC51" i="1"/>
  <c r="AA51" i="1"/>
  <c r="Z51" i="1"/>
  <c r="Y51" i="1"/>
  <c r="X51" i="1"/>
  <c r="W51" i="1"/>
  <c r="AM50" i="1"/>
  <c r="AL50" i="1"/>
  <c r="AK50" i="1"/>
  <c r="AJ50" i="1"/>
  <c r="AI50" i="1"/>
  <c r="AG50" i="1"/>
  <c r="AF50" i="1"/>
  <c r="AE50" i="1"/>
  <c r="AD50" i="1"/>
  <c r="AC50" i="1"/>
  <c r="AA50" i="1"/>
  <c r="Z50" i="1"/>
  <c r="Y50" i="1"/>
  <c r="X50" i="1"/>
  <c r="W50" i="1"/>
  <c r="AM49" i="1"/>
  <c r="AL49" i="1"/>
  <c r="AK49" i="1"/>
  <c r="AJ49" i="1"/>
  <c r="AI49" i="1"/>
  <c r="AG49" i="1"/>
  <c r="AF49" i="1"/>
  <c r="AE49" i="1"/>
  <c r="AD49" i="1"/>
  <c r="AC49" i="1"/>
  <c r="AA49" i="1"/>
  <c r="Z49" i="1"/>
  <c r="Y49" i="1"/>
  <c r="X49" i="1"/>
  <c r="W49" i="1"/>
  <c r="AM48" i="1"/>
  <c r="AL48" i="1"/>
  <c r="AK48" i="1"/>
  <c r="AJ48" i="1"/>
  <c r="AI48" i="1"/>
  <c r="AG48" i="1"/>
  <c r="AF48" i="1"/>
  <c r="AE48" i="1"/>
  <c r="AD48" i="1"/>
  <c r="AC48" i="1"/>
  <c r="AA48" i="1"/>
  <c r="Z48" i="1"/>
  <c r="Y48" i="1"/>
  <c r="X48" i="1"/>
  <c r="W48" i="1"/>
  <c r="AM47" i="1"/>
  <c r="AL47" i="1"/>
  <c r="AK47" i="1"/>
  <c r="AJ47" i="1"/>
  <c r="AI47" i="1"/>
  <c r="AG47" i="1"/>
  <c r="AF47" i="1"/>
  <c r="AE47" i="1"/>
  <c r="AD47" i="1"/>
  <c r="AC47" i="1"/>
  <c r="AA47" i="1"/>
  <c r="Z47" i="1"/>
  <c r="Y47" i="1"/>
  <c r="X47" i="1"/>
  <c r="W47" i="1"/>
  <c r="AM46" i="1"/>
  <c r="AL46" i="1"/>
  <c r="AK46" i="1"/>
  <c r="AJ46" i="1"/>
  <c r="AI46" i="1"/>
  <c r="AG46" i="1"/>
  <c r="AF46" i="1"/>
  <c r="AE46" i="1"/>
  <c r="AD46" i="1"/>
  <c r="AC46" i="1"/>
  <c r="AA46" i="1"/>
  <c r="Z46" i="1"/>
  <c r="Y46" i="1"/>
  <c r="X46" i="1"/>
  <c r="W46" i="1"/>
  <c r="AM45" i="1"/>
  <c r="AL45" i="1"/>
  <c r="AK45" i="1"/>
  <c r="AJ45" i="1"/>
  <c r="AI45" i="1"/>
  <c r="AG45" i="1"/>
  <c r="AF45" i="1"/>
  <c r="AE45" i="1"/>
  <c r="AD45" i="1"/>
  <c r="AC45" i="1"/>
  <c r="AA45" i="1"/>
  <c r="Z45" i="1"/>
  <c r="Y45" i="1"/>
  <c r="X45" i="1"/>
  <c r="W45" i="1"/>
  <c r="AM44" i="1"/>
  <c r="AL44" i="1"/>
  <c r="AK44" i="1"/>
  <c r="AJ44" i="1"/>
  <c r="AI44" i="1"/>
  <c r="AG44" i="1"/>
  <c r="AF44" i="1"/>
  <c r="AE44" i="1"/>
  <c r="AD44" i="1"/>
  <c r="AC44" i="1"/>
  <c r="AA44" i="1"/>
  <c r="Z44" i="1"/>
  <c r="Y44" i="1"/>
  <c r="X44" i="1"/>
  <c r="W44" i="1"/>
  <c r="AM43" i="1"/>
  <c r="AL43" i="1"/>
  <c r="AK43" i="1"/>
  <c r="AJ43" i="1"/>
  <c r="AI43" i="1"/>
  <c r="AG43" i="1"/>
  <c r="AF43" i="1"/>
  <c r="AE43" i="1"/>
  <c r="AD43" i="1"/>
  <c r="AC43" i="1"/>
  <c r="AA43" i="1"/>
  <c r="Z43" i="1"/>
  <c r="Y43" i="1"/>
  <c r="X43" i="1"/>
  <c r="W43" i="1"/>
  <c r="AM42" i="1"/>
  <c r="AL42" i="1"/>
  <c r="AK42" i="1"/>
  <c r="AJ42" i="1"/>
  <c r="AI42" i="1"/>
  <c r="AG42" i="1"/>
  <c r="AF42" i="1"/>
  <c r="AE42" i="1"/>
  <c r="AD42" i="1"/>
  <c r="AC42" i="1"/>
  <c r="AA42" i="1"/>
  <c r="Z42" i="1"/>
  <c r="Y42" i="1"/>
  <c r="X42" i="1"/>
  <c r="W42" i="1"/>
  <c r="AM41" i="1"/>
  <c r="AL41" i="1"/>
  <c r="AK41" i="1"/>
  <c r="AJ41" i="1"/>
  <c r="AI41" i="1"/>
  <c r="AG41" i="1"/>
  <c r="AF41" i="1"/>
  <c r="AE41" i="1"/>
  <c r="AD41" i="1"/>
  <c r="AC41" i="1"/>
  <c r="AA41" i="1"/>
  <c r="Z41" i="1"/>
  <c r="Y41" i="1"/>
  <c r="X41" i="1"/>
  <c r="W41" i="1"/>
  <c r="AM40" i="1"/>
  <c r="AL40" i="1"/>
  <c r="AK40" i="1"/>
  <c r="AJ40" i="1"/>
  <c r="AI40" i="1"/>
  <c r="AG40" i="1"/>
  <c r="AF40" i="1"/>
  <c r="AE40" i="1"/>
  <c r="AD40" i="1"/>
  <c r="AC40" i="1"/>
  <c r="AA40" i="1"/>
  <c r="Z40" i="1"/>
  <c r="Y40" i="1"/>
  <c r="X40" i="1"/>
  <c r="W40" i="1"/>
  <c r="AM39" i="1"/>
  <c r="AL39" i="1"/>
  <c r="AK39" i="1"/>
  <c r="AJ39" i="1"/>
  <c r="AI39" i="1"/>
  <c r="AG39" i="1"/>
  <c r="AF39" i="1"/>
  <c r="AE39" i="1"/>
  <c r="AD39" i="1"/>
  <c r="AC39" i="1"/>
  <c r="AA39" i="1"/>
  <c r="Z39" i="1"/>
  <c r="Y39" i="1"/>
  <c r="X39" i="1"/>
  <c r="W39" i="1"/>
  <c r="AM38" i="1"/>
  <c r="AL38" i="1"/>
  <c r="AK38" i="1"/>
  <c r="AJ38" i="1"/>
  <c r="AI38" i="1"/>
  <c r="AG38" i="1"/>
  <c r="AF38" i="1"/>
  <c r="AE38" i="1"/>
  <c r="AD38" i="1"/>
  <c r="AC38" i="1"/>
  <c r="AA38" i="1"/>
  <c r="Z38" i="1"/>
  <c r="Y38" i="1"/>
  <c r="X38" i="1"/>
  <c r="W38" i="1"/>
  <c r="AM37" i="1"/>
  <c r="AL37" i="1"/>
  <c r="AK37" i="1"/>
  <c r="AJ37" i="1"/>
  <c r="AI37" i="1"/>
  <c r="AG37" i="1"/>
  <c r="AF37" i="1"/>
  <c r="AE37" i="1"/>
  <c r="AD37" i="1"/>
  <c r="AC37" i="1"/>
  <c r="AA37" i="1"/>
  <c r="Z37" i="1"/>
  <c r="Y37" i="1"/>
  <c r="X37" i="1"/>
  <c r="W37" i="1"/>
  <c r="AM36" i="1"/>
  <c r="AL36" i="1"/>
  <c r="AK36" i="1"/>
  <c r="AJ36" i="1"/>
  <c r="AI36" i="1"/>
  <c r="AG36" i="1"/>
  <c r="AF36" i="1"/>
  <c r="AE36" i="1"/>
  <c r="AD36" i="1"/>
  <c r="AC36" i="1"/>
  <c r="AA36" i="1"/>
  <c r="Z36" i="1"/>
  <c r="Y36" i="1"/>
  <c r="X36" i="1"/>
  <c r="W36" i="1"/>
  <c r="AM35" i="1"/>
  <c r="AL35" i="1"/>
  <c r="AK35" i="1"/>
  <c r="AJ35" i="1"/>
  <c r="AI35" i="1"/>
  <c r="AG35" i="1"/>
  <c r="AF35" i="1"/>
  <c r="AE35" i="1"/>
  <c r="AD35" i="1"/>
  <c r="AC35" i="1"/>
  <c r="AA35" i="1"/>
  <c r="Z35" i="1"/>
  <c r="Y35" i="1"/>
  <c r="X35" i="1"/>
  <c r="W35" i="1"/>
  <c r="AM34" i="1"/>
  <c r="AL34" i="1"/>
  <c r="AK34" i="1"/>
  <c r="AJ34" i="1"/>
  <c r="AI34" i="1"/>
  <c r="AG34" i="1"/>
  <c r="AF34" i="1"/>
  <c r="AE34" i="1"/>
  <c r="AD34" i="1"/>
  <c r="AC34" i="1"/>
  <c r="AA34" i="1"/>
  <c r="Z34" i="1"/>
  <c r="Y34" i="1"/>
  <c r="X34" i="1"/>
  <c r="W34" i="1"/>
  <c r="AM33" i="1"/>
  <c r="AL33" i="1"/>
  <c r="AK33" i="1"/>
  <c r="AJ33" i="1"/>
  <c r="AI33" i="1"/>
  <c r="AG33" i="1"/>
  <c r="AF33" i="1"/>
  <c r="AE33" i="1"/>
  <c r="AD33" i="1"/>
  <c r="AC33" i="1"/>
  <c r="AA33" i="1"/>
  <c r="Z33" i="1"/>
  <c r="Y33" i="1"/>
  <c r="X33" i="1"/>
  <c r="W33" i="1"/>
  <c r="AM32" i="1"/>
  <c r="AL32" i="1"/>
  <c r="AK32" i="1"/>
  <c r="AJ32" i="1"/>
  <c r="AI32" i="1"/>
  <c r="AG32" i="1"/>
  <c r="AF32" i="1"/>
  <c r="AE32" i="1"/>
  <c r="AD32" i="1"/>
  <c r="AC32" i="1"/>
  <c r="AA32" i="1"/>
  <c r="Z32" i="1"/>
  <c r="Y32" i="1"/>
  <c r="X32" i="1"/>
  <c r="W32" i="1"/>
  <c r="AM31" i="1"/>
  <c r="AL31" i="1"/>
  <c r="AK31" i="1"/>
  <c r="AJ31" i="1"/>
  <c r="AI31" i="1"/>
  <c r="AG31" i="1"/>
  <c r="AF31" i="1"/>
  <c r="AE31" i="1"/>
  <c r="AD31" i="1"/>
  <c r="AC31" i="1"/>
  <c r="AA31" i="1"/>
  <c r="Z31" i="1"/>
  <c r="Y31" i="1"/>
  <c r="X31" i="1"/>
  <c r="W31" i="1"/>
  <c r="AM30" i="1"/>
  <c r="AL30" i="1"/>
  <c r="AK30" i="1"/>
  <c r="AJ30" i="1"/>
  <c r="AI30" i="1"/>
  <c r="AG30" i="1"/>
  <c r="AF30" i="1"/>
  <c r="AE30" i="1"/>
  <c r="AD30" i="1"/>
  <c r="AC30" i="1"/>
  <c r="AA30" i="1"/>
  <c r="Z30" i="1"/>
  <c r="Y30" i="1"/>
  <c r="X30" i="1"/>
  <c r="W30" i="1"/>
  <c r="AM29" i="1"/>
  <c r="AL29" i="1"/>
  <c r="AK29" i="1"/>
  <c r="AJ29" i="1"/>
  <c r="AI29" i="1"/>
  <c r="AG29" i="1"/>
  <c r="AF29" i="1"/>
  <c r="AE29" i="1"/>
  <c r="AD29" i="1"/>
  <c r="AC29" i="1"/>
  <c r="AA29" i="1"/>
  <c r="Z29" i="1"/>
  <c r="Y29" i="1"/>
  <c r="X29" i="1"/>
  <c r="W29" i="1"/>
  <c r="AM28" i="1"/>
  <c r="AL28" i="1"/>
  <c r="AK28" i="1"/>
  <c r="AJ28" i="1"/>
  <c r="AI28" i="1"/>
  <c r="AG28" i="1"/>
  <c r="AF28" i="1"/>
  <c r="AE28" i="1"/>
  <c r="AD28" i="1"/>
  <c r="AC28" i="1"/>
  <c r="AA28" i="1"/>
  <c r="Z28" i="1"/>
  <c r="Y28" i="1"/>
  <c r="X28" i="1"/>
  <c r="W28" i="1"/>
  <c r="AM27" i="1"/>
  <c r="AL27" i="1"/>
  <c r="AK27" i="1"/>
  <c r="AJ27" i="1"/>
  <c r="AI27" i="1"/>
  <c r="AG27" i="1"/>
  <c r="AF27" i="1"/>
  <c r="AE27" i="1"/>
  <c r="AD27" i="1"/>
  <c r="AC27" i="1"/>
  <c r="AA27" i="1"/>
  <c r="Z27" i="1"/>
  <c r="Y27" i="1"/>
  <c r="X27" i="1"/>
  <c r="W27" i="1"/>
  <c r="AM26" i="1"/>
  <c r="AL26" i="1"/>
  <c r="AK26" i="1"/>
  <c r="AJ26" i="1"/>
  <c r="AI26" i="1"/>
  <c r="AG26" i="1"/>
  <c r="AF26" i="1"/>
  <c r="AE26" i="1"/>
  <c r="AD26" i="1"/>
  <c r="AC26" i="1"/>
  <c r="AA26" i="1"/>
  <c r="Z26" i="1"/>
  <c r="Y26" i="1"/>
  <c r="X26" i="1"/>
  <c r="W26" i="1"/>
  <c r="B3" i="2"/>
  <c r="B4" i="2"/>
  <c r="E11" i="2"/>
  <c r="E12" i="2"/>
  <c r="E13" i="2"/>
  <c r="E14" i="2"/>
  <c r="E15" i="2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B17" i="16"/>
  <c r="F17" i="16"/>
  <c r="D17" i="16"/>
  <c r="E17" i="16"/>
  <c r="D41" i="16"/>
  <c r="E41" i="16"/>
  <c r="D42" i="16"/>
  <c r="E42" i="16"/>
  <c r="D43" i="16"/>
  <c r="E43" i="16"/>
  <c r="D44" i="16"/>
  <c r="E44" i="16"/>
  <c r="D45" i="16"/>
  <c r="E45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5" i="16"/>
  <c r="E55" i="16"/>
  <c r="D56" i="16"/>
  <c r="E56" i="16"/>
  <c r="D57" i="16"/>
  <c r="E57" i="16"/>
  <c r="A2" i="16"/>
  <c r="A3" i="16"/>
  <c r="A4" i="16"/>
  <c r="A5" i="16"/>
  <c r="A17" i="16"/>
  <c r="C17" i="16"/>
  <c r="A41" i="16"/>
  <c r="C41" i="16"/>
  <c r="A42" i="16"/>
  <c r="C42" i="16"/>
  <c r="A43" i="16"/>
  <c r="C43" i="16"/>
  <c r="A44" i="16"/>
  <c r="C44" i="16"/>
  <c r="A45" i="16"/>
  <c r="C45" i="16"/>
  <c r="A46" i="16"/>
  <c r="C46" i="16"/>
  <c r="A47" i="16"/>
  <c r="C47" i="16"/>
  <c r="A48" i="16"/>
  <c r="C48" i="16"/>
  <c r="A49" i="16"/>
  <c r="C49" i="16"/>
  <c r="A50" i="16"/>
  <c r="C50" i="16"/>
  <c r="A51" i="16"/>
  <c r="C51" i="16"/>
  <c r="A52" i="16"/>
  <c r="C52" i="16"/>
  <c r="A53" i="16"/>
  <c r="C53" i="16"/>
  <c r="A54" i="16"/>
  <c r="C54" i="16"/>
  <c r="A55" i="16"/>
  <c r="C55" i="16"/>
  <c r="A56" i="16"/>
  <c r="C56" i="16"/>
  <c r="A57" i="16"/>
  <c r="C57" i="16"/>
  <c r="I9" i="1"/>
  <c r="B2" i="14"/>
  <c r="B1" i="14"/>
  <c r="B7" i="14"/>
  <c r="D7" i="14"/>
  <c r="B5" i="14"/>
  <c r="D5" i="14"/>
  <c r="D31" i="14"/>
  <c r="C7" i="14"/>
  <c r="C5" i="14"/>
  <c r="C32" i="14"/>
  <c r="B31" i="14"/>
  <c r="C31" i="14"/>
  <c r="F7" i="14"/>
  <c r="F5" i="14"/>
  <c r="F31" i="14"/>
  <c r="G7" i="14"/>
  <c r="G5" i="14"/>
  <c r="G31" i="14"/>
  <c r="H7" i="14"/>
  <c r="H5" i="14"/>
  <c r="H31" i="14"/>
  <c r="J31" i="14"/>
  <c r="K31" i="14"/>
  <c r="L31" i="14"/>
  <c r="B32" i="14"/>
  <c r="D32" i="14"/>
  <c r="F32" i="14"/>
  <c r="G32" i="14"/>
  <c r="H32" i="14"/>
  <c r="J32" i="14"/>
  <c r="K32" i="14"/>
  <c r="L32" i="14"/>
  <c r="C25" i="1"/>
  <c r="X25" i="1"/>
  <c r="Y25" i="1"/>
  <c r="Z25" i="1"/>
  <c r="AA25" i="1"/>
  <c r="W25" i="1"/>
  <c r="B2" i="11"/>
  <c r="B1" i="11"/>
  <c r="D7" i="11"/>
  <c r="D5" i="11"/>
  <c r="B7" i="11"/>
  <c r="B5" i="11"/>
  <c r="B9" i="11"/>
  <c r="D9" i="11"/>
  <c r="E7" i="11"/>
  <c r="E5" i="11"/>
  <c r="E9" i="11"/>
  <c r="F7" i="11"/>
  <c r="F5" i="11"/>
  <c r="F9" i="11"/>
  <c r="G7" i="11"/>
  <c r="G5" i="11"/>
  <c r="G9" i="11"/>
  <c r="H7" i="11"/>
  <c r="H5" i="11"/>
  <c r="H9" i="11"/>
  <c r="J7" i="11"/>
  <c r="J5" i="11"/>
  <c r="J9" i="11"/>
  <c r="K7" i="11"/>
  <c r="K5" i="11"/>
  <c r="K9" i="11"/>
  <c r="L7" i="11"/>
  <c r="L5" i="11"/>
  <c r="L9" i="11"/>
  <c r="M7" i="11"/>
  <c r="M5" i="11"/>
  <c r="M9" i="11"/>
  <c r="N7" i="11"/>
  <c r="N5" i="11"/>
  <c r="N9" i="11"/>
  <c r="P7" i="11"/>
  <c r="P5" i="11"/>
  <c r="P9" i="11"/>
  <c r="Q7" i="11"/>
  <c r="Q5" i="11"/>
  <c r="Q9" i="11"/>
  <c r="R7" i="11"/>
  <c r="R5" i="11"/>
  <c r="R9" i="11"/>
  <c r="S7" i="11"/>
  <c r="S5" i="11"/>
  <c r="S9" i="11"/>
  <c r="T7" i="11"/>
  <c r="T5" i="11"/>
  <c r="T9" i="11"/>
  <c r="V9" i="11"/>
  <c r="B10" i="11"/>
  <c r="D10" i="11"/>
  <c r="E10" i="11"/>
  <c r="F10" i="11"/>
  <c r="G10" i="11"/>
  <c r="H10" i="11"/>
  <c r="J10" i="11"/>
  <c r="K10" i="11"/>
  <c r="L10" i="11"/>
  <c r="M10" i="11"/>
  <c r="N10" i="11"/>
  <c r="P10" i="11"/>
  <c r="Q10" i="11"/>
  <c r="R10" i="11"/>
  <c r="S10" i="11"/>
  <c r="T10" i="11"/>
  <c r="V10" i="11"/>
  <c r="B11" i="11"/>
  <c r="D11" i="11"/>
  <c r="E11" i="11"/>
  <c r="F11" i="11"/>
  <c r="G11" i="11"/>
  <c r="H11" i="11"/>
  <c r="J11" i="11"/>
  <c r="K11" i="11"/>
  <c r="L11" i="11"/>
  <c r="M11" i="11"/>
  <c r="N11" i="11"/>
  <c r="P11" i="11"/>
  <c r="Q11" i="11"/>
  <c r="R11" i="11"/>
  <c r="S11" i="11"/>
  <c r="T11" i="11"/>
  <c r="V11" i="11"/>
  <c r="B12" i="11"/>
  <c r="D12" i="11"/>
  <c r="E12" i="11"/>
  <c r="F12" i="11"/>
  <c r="G12" i="11"/>
  <c r="H12" i="11"/>
  <c r="J12" i="11"/>
  <c r="K12" i="11"/>
  <c r="L12" i="11"/>
  <c r="M12" i="11"/>
  <c r="N12" i="11"/>
  <c r="P12" i="11"/>
  <c r="Q12" i="11"/>
  <c r="R12" i="11"/>
  <c r="S12" i="11"/>
  <c r="T12" i="11"/>
  <c r="V12" i="11"/>
  <c r="B13" i="11"/>
  <c r="D13" i="11"/>
  <c r="E13" i="11"/>
  <c r="F13" i="11"/>
  <c r="G13" i="11"/>
  <c r="H13" i="11"/>
  <c r="J13" i="11"/>
  <c r="K13" i="11"/>
  <c r="L13" i="11"/>
  <c r="M13" i="11"/>
  <c r="N13" i="11"/>
  <c r="P13" i="11"/>
  <c r="Q13" i="11"/>
  <c r="R13" i="11"/>
  <c r="S13" i="11"/>
  <c r="T13" i="11"/>
  <c r="V13" i="11"/>
  <c r="B14" i="11"/>
  <c r="D14" i="11"/>
  <c r="E14" i="11"/>
  <c r="F14" i="11"/>
  <c r="G14" i="11"/>
  <c r="H14" i="11"/>
  <c r="J14" i="11"/>
  <c r="K14" i="11"/>
  <c r="L14" i="11"/>
  <c r="M14" i="11"/>
  <c r="N14" i="11"/>
  <c r="P14" i="11"/>
  <c r="Q14" i="11"/>
  <c r="R14" i="11"/>
  <c r="S14" i="11"/>
  <c r="T14" i="11"/>
  <c r="V14" i="11"/>
  <c r="B15" i="11"/>
  <c r="D15" i="11"/>
  <c r="E15" i="11"/>
  <c r="F15" i="11"/>
  <c r="G15" i="11"/>
  <c r="H15" i="11"/>
  <c r="J15" i="11"/>
  <c r="K15" i="11"/>
  <c r="L15" i="11"/>
  <c r="M15" i="11"/>
  <c r="N15" i="11"/>
  <c r="P15" i="11"/>
  <c r="Q15" i="11"/>
  <c r="R15" i="11"/>
  <c r="S15" i="11"/>
  <c r="T15" i="11"/>
  <c r="V15" i="11"/>
  <c r="B16" i="11"/>
  <c r="D16" i="11"/>
  <c r="E16" i="11"/>
  <c r="F16" i="11"/>
  <c r="G16" i="11"/>
  <c r="H16" i="11"/>
  <c r="J16" i="11"/>
  <c r="K16" i="11"/>
  <c r="L16" i="11"/>
  <c r="M16" i="11"/>
  <c r="N16" i="11"/>
  <c r="P16" i="11"/>
  <c r="Q16" i="11"/>
  <c r="R16" i="11"/>
  <c r="S16" i="11"/>
  <c r="T16" i="11"/>
  <c r="V16" i="11"/>
  <c r="B17" i="11"/>
  <c r="D17" i="11"/>
  <c r="E17" i="11"/>
  <c r="F17" i="11"/>
  <c r="G17" i="11"/>
  <c r="H17" i="11"/>
  <c r="J17" i="11"/>
  <c r="K17" i="11"/>
  <c r="L17" i="11"/>
  <c r="M17" i="11"/>
  <c r="N17" i="11"/>
  <c r="P17" i="11"/>
  <c r="Q17" i="11"/>
  <c r="R17" i="11"/>
  <c r="S17" i="11"/>
  <c r="T17" i="11"/>
  <c r="V17" i="11"/>
  <c r="B18" i="11"/>
  <c r="D18" i="11"/>
  <c r="E18" i="11"/>
  <c r="F18" i="11"/>
  <c r="G18" i="11"/>
  <c r="H18" i="11"/>
  <c r="J18" i="11"/>
  <c r="K18" i="11"/>
  <c r="L18" i="11"/>
  <c r="M18" i="11"/>
  <c r="N18" i="11"/>
  <c r="P18" i="11"/>
  <c r="Q18" i="11"/>
  <c r="R18" i="11"/>
  <c r="S18" i="11"/>
  <c r="T18" i="11"/>
  <c r="V18" i="11"/>
  <c r="B19" i="11"/>
  <c r="D19" i="11"/>
  <c r="E19" i="11"/>
  <c r="F19" i="11"/>
  <c r="G19" i="11"/>
  <c r="H19" i="11"/>
  <c r="J19" i="11"/>
  <c r="K19" i="11"/>
  <c r="L19" i="11"/>
  <c r="M19" i="11"/>
  <c r="N19" i="11"/>
  <c r="P19" i="11"/>
  <c r="Q19" i="11"/>
  <c r="R19" i="11"/>
  <c r="S19" i="11"/>
  <c r="T19" i="11"/>
  <c r="V19" i="11"/>
  <c r="B20" i="11"/>
  <c r="D20" i="11"/>
  <c r="E20" i="11"/>
  <c r="F20" i="11"/>
  <c r="G20" i="11"/>
  <c r="H20" i="11"/>
  <c r="J20" i="11"/>
  <c r="K20" i="11"/>
  <c r="L20" i="11"/>
  <c r="M20" i="11"/>
  <c r="N20" i="11"/>
  <c r="P20" i="11"/>
  <c r="Q20" i="11"/>
  <c r="R20" i="11"/>
  <c r="S20" i="11"/>
  <c r="T20" i="11"/>
  <c r="V20" i="11"/>
  <c r="B21" i="11"/>
  <c r="D21" i="11"/>
  <c r="E21" i="11"/>
  <c r="F21" i="11"/>
  <c r="G21" i="11"/>
  <c r="H21" i="11"/>
  <c r="J21" i="11"/>
  <c r="K21" i="11"/>
  <c r="L21" i="11"/>
  <c r="M21" i="11"/>
  <c r="N21" i="11"/>
  <c r="P21" i="11"/>
  <c r="Q21" i="11"/>
  <c r="R21" i="11"/>
  <c r="S21" i="11"/>
  <c r="T21" i="11"/>
  <c r="V21" i="11"/>
  <c r="B22" i="11"/>
  <c r="D22" i="11"/>
  <c r="E22" i="11"/>
  <c r="F22" i="11"/>
  <c r="G22" i="11"/>
  <c r="H22" i="11"/>
  <c r="J22" i="11"/>
  <c r="K22" i="11"/>
  <c r="L22" i="11"/>
  <c r="M22" i="11"/>
  <c r="N22" i="11"/>
  <c r="P22" i="11"/>
  <c r="Q22" i="11"/>
  <c r="R22" i="11"/>
  <c r="S22" i="11"/>
  <c r="T22" i="11"/>
  <c r="V22" i="11"/>
  <c r="B23" i="11"/>
  <c r="D23" i="11"/>
  <c r="E23" i="11"/>
  <c r="F23" i="11"/>
  <c r="G23" i="11"/>
  <c r="H23" i="11"/>
  <c r="J23" i="11"/>
  <c r="K23" i="11"/>
  <c r="L23" i="11"/>
  <c r="M23" i="11"/>
  <c r="N23" i="11"/>
  <c r="P23" i="11"/>
  <c r="Q23" i="11"/>
  <c r="R23" i="11"/>
  <c r="S23" i="11"/>
  <c r="T23" i="11"/>
  <c r="V23" i="11"/>
  <c r="B24" i="11"/>
  <c r="D24" i="11"/>
  <c r="E24" i="11"/>
  <c r="F24" i="11"/>
  <c r="G24" i="11"/>
  <c r="H24" i="11"/>
  <c r="J24" i="11"/>
  <c r="K24" i="11"/>
  <c r="L24" i="11"/>
  <c r="M24" i="11"/>
  <c r="N24" i="11"/>
  <c r="P24" i="11"/>
  <c r="Q24" i="11"/>
  <c r="R24" i="11"/>
  <c r="S24" i="11"/>
  <c r="T24" i="11"/>
  <c r="V24" i="11"/>
  <c r="B25" i="11"/>
  <c r="D25" i="11"/>
  <c r="E25" i="11"/>
  <c r="F25" i="11"/>
  <c r="G25" i="11"/>
  <c r="H25" i="11"/>
  <c r="J25" i="11"/>
  <c r="K25" i="11"/>
  <c r="L25" i="11"/>
  <c r="M25" i="11"/>
  <c r="N25" i="11"/>
  <c r="P25" i="11"/>
  <c r="Q25" i="11"/>
  <c r="R25" i="11"/>
  <c r="S25" i="11"/>
  <c r="T25" i="11"/>
  <c r="V25" i="11"/>
  <c r="B26" i="11"/>
  <c r="D26" i="11"/>
  <c r="E26" i="11"/>
  <c r="F26" i="11"/>
  <c r="G26" i="11"/>
  <c r="H26" i="11"/>
  <c r="J26" i="11"/>
  <c r="K26" i="11"/>
  <c r="L26" i="11"/>
  <c r="M26" i="11"/>
  <c r="N26" i="11"/>
  <c r="P26" i="11"/>
  <c r="Q26" i="11"/>
  <c r="R26" i="11"/>
  <c r="S26" i="11"/>
  <c r="T26" i="11"/>
  <c r="V26" i="11"/>
  <c r="B27" i="11"/>
  <c r="D27" i="11"/>
  <c r="E27" i="11"/>
  <c r="F27" i="11"/>
  <c r="G27" i="11"/>
  <c r="H27" i="11"/>
  <c r="J27" i="11"/>
  <c r="K27" i="11"/>
  <c r="L27" i="11"/>
  <c r="M27" i="11"/>
  <c r="N27" i="11"/>
  <c r="P27" i="11"/>
  <c r="Q27" i="11"/>
  <c r="R27" i="11"/>
  <c r="S27" i="11"/>
  <c r="T27" i="11"/>
  <c r="V27" i="11"/>
  <c r="B28" i="11"/>
  <c r="D28" i="11"/>
  <c r="E28" i="11"/>
  <c r="F28" i="11"/>
  <c r="G28" i="11"/>
  <c r="H28" i="11"/>
  <c r="J28" i="11"/>
  <c r="K28" i="11"/>
  <c r="L28" i="11"/>
  <c r="M28" i="11"/>
  <c r="N28" i="11"/>
  <c r="P28" i="11"/>
  <c r="Q28" i="11"/>
  <c r="R28" i="11"/>
  <c r="S28" i="11"/>
  <c r="T28" i="11"/>
  <c r="V28" i="11"/>
  <c r="B29" i="11"/>
  <c r="D29" i="11"/>
  <c r="E29" i="11"/>
  <c r="F29" i="11"/>
  <c r="G29" i="11"/>
  <c r="H29" i="11"/>
  <c r="J29" i="11"/>
  <c r="K29" i="11"/>
  <c r="L29" i="11"/>
  <c r="M29" i="11"/>
  <c r="N29" i="11"/>
  <c r="P29" i="11"/>
  <c r="Q29" i="11"/>
  <c r="R29" i="11"/>
  <c r="S29" i="11"/>
  <c r="T29" i="11"/>
  <c r="V29" i="11"/>
  <c r="B30" i="11"/>
  <c r="D30" i="11"/>
  <c r="E30" i="11"/>
  <c r="F30" i="11"/>
  <c r="G30" i="11"/>
  <c r="H30" i="11"/>
  <c r="J30" i="11"/>
  <c r="K30" i="11"/>
  <c r="L30" i="11"/>
  <c r="M30" i="11"/>
  <c r="N30" i="11"/>
  <c r="P30" i="11"/>
  <c r="Q30" i="11"/>
  <c r="R30" i="11"/>
  <c r="S30" i="11"/>
  <c r="T30" i="11"/>
  <c r="V30" i="11"/>
  <c r="D31" i="11"/>
  <c r="E31" i="11"/>
  <c r="F31" i="11"/>
  <c r="G31" i="11"/>
  <c r="H31" i="11"/>
  <c r="J31" i="11"/>
  <c r="K31" i="11"/>
  <c r="L31" i="11"/>
  <c r="M31" i="11"/>
  <c r="N31" i="11"/>
  <c r="P31" i="11"/>
  <c r="Q31" i="11"/>
  <c r="R31" i="11"/>
  <c r="S31" i="11"/>
  <c r="T31" i="11"/>
  <c r="V31" i="11"/>
  <c r="D32" i="11"/>
  <c r="E32" i="11"/>
  <c r="F32" i="11"/>
  <c r="G32" i="11"/>
  <c r="H32" i="11"/>
  <c r="J32" i="11"/>
  <c r="K32" i="11"/>
  <c r="L32" i="11"/>
  <c r="M32" i="11"/>
  <c r="N32" i="11"/>
  <c r="P32" i="11"/>
  <c r="Q32" i="11"/>
  <c r="R32" i="11"/>
  <c r="S32" i="11"/>
  <c r="T32" i="11"/>
  <c r="V32" i="11"/>
  <c r="B8" i="11"/>
  <c r="D8" i="11"/>
  <c r="E8" i="11"/>
  <c r="F8" i="11"/>
  <c r="G8" i="11"/>
  <c r="H8" i="11"/>
  <c r="J8" i="11"/>
  <c r="K8" i="11"/>
  <c r="L8" i="11"/>
  <c r="M8" i="11"/>
  <c r="N8" i="11"/>
  <c r="P8" i="11"/>
  <c r="Q8" i="11"/>
  <c r="R8" i="11"/>
  <c r="S8" i="11"/>
  <c r="T8" i="11"/>
  <c r="V8" i="11"/>
  <c r="F5" i="10"/>
  <c r="F5" i="9"/>
  <c r="B7" i="10"/>
  <c r="B5" i="10"/>
  <c r="B7" i="9"/>
  <c r="B5" i="9"/>
  <c r="U24" i="1"/>
  <c r="T24" i="1"/>
  <c r="S24" i="1"/>
  <c r="R24" i="1"/>
  <c r="Q24" i="1"/>
  <c r="O24" i="1"/>
  <c r="N24" i="1"/>
  <c r="M24" i="1"/>
  <c r="L24" i="1"/>
  <c r="K24" i="1"/>
  <c r="I24" i="1"/>
  <c r="H24" i="1"/>
  <c r="G24" i="1"/>
  <c r="F24" i="1"/>
  <c r="E24" i="1"/>
  <c r="B2" i="2"/>
  <c r="D15" i="2"/>
  <c r="D14" i="2"/>
  <c r="D13" i="2"/>
  <c r="D12" i="2"/>
  <c r="D11" i="2"/>
  <c r="D10" i="2"/>
  <c r="D9" i="2"/>
  <c r="D8" i="2"/>
  <c r="F8" i="2"/>
  <c r="F15" i="2"/>
  <c r="F14" i="2"/>
  <c r="F13" i="2"/>
  <c r="F12" i="2"/>
  <c r="F11" i="2"/>
  <c r="F10" i="2"/>
  <c r="F9" i="2"/>
  <c r="AJ25" i="1"/>
  <c r="AK25" i="1"/>
  <c r="AL25" i="1"/>
  <c r="AM25" i="1"/>
  <c r="AI25" i="1"/>
  <c r="AD25" i="1"/>
  <c r="AE25" i="1"/>
  <c r="AF25" i="1"/>
  <c r="AG25" i="1"/>
  <c r="AC25" i="1"/>
  <c r="AI23" i="1"/>
  <c r="Q23" i="1"/>
  <c r="AC23" i="1"/>
  <c r="W23" i="1"/>
  <c r="B2" i="9"/>
  <c r="B1" i="9"/>
  <c r="C7" i="9"/>
  <c r="C5" i="9"/>
  <c r="C8" i="9"/>
  <c r="F7" i="9"/>
  <c r="G7" i="9"/>
  <c r="G5" i="9"/>
  <c r="G8" i="9"/>
  <c r="U17" i="1"/>
  <c r="T17" i="1"/>
  <c r="S17" i="1"/>
  <c r="R17" i="1"/>
  <c r="Q17" i="1"/>
  <c r="O17" i="1"/>
  <c r="N17" i="1"/>
  <c r="M17" i="1"/>
  <c r="L17" i="1"/>
  <c r="K17" i="1"/>
  <c r="I17" i="1"/>
  <c r="H17" i="1"/>
  <c r="G17" i="1"/>
  <c r="F17" i="1"/>
  <c r="E17" i="1"/>
  <c r="D30" i="14"/>
  <c r="H30" i="14"/>
  <c r="L30" i="14"/>
  <c r="C30" i="14"/>
  <c r="G30" i="14"/>
  <c r="K30" i="14"/>
  <c r="B30" i="14"/>
  <c r="F30" i="14"/>
  <c r="J30" i="14"/>
  <c r="D29" i="14"/>
  <c r="H29" i="14"/>
  <c r="L29" i="14"/>
  <c r="C29" i="14"/>
  <c r="G29" i="14"/>
  <c r="K29" i="14"/>
  <c r="B29" i="14"/>
  <c r="F29" i="14"/>
  <c r="J29" i="14"/>
  <c r="D28" i="14"/>
  <c r="H28" i="14"/>
  <c r="L28" i="14"/>
  <c r="C28" i="14"/>
  <c r="G28" i="14"/>
  <c r="K28" i="14"/>
  <c r="B28" i="14"/>
  <c r="F28" i="14"/>
  <c r="J28" i="14"/>
  <c r="D27" i="14"/>
  <c r="H27" i="14"/>
  <c r="L27" i="14"/>
  <c r="C27" i="14"/>
  <c r="G27" i="14"/>
  <c r="K27" i="14"/>
  <c r="B27" i="14"/>
  <c r="F27" i="14"/>
  <c r="J27" i="14"/>
  <c r="D26" i="14"/>
  <c r="H26" i="14"/>
  <c r="L26" i="14"/>
  <c r="C26" i="14"/>
  <c r="G26" i="14"/>
  <c r="K26" i="14"/>
  <c r="B26" i="14"/>
  <c r="F26" i="14"/>
  <c r="J26" i="14"/>
  <c r="D25" i="14"/>
  <c r="H25" i="14"/>
  <c r="L25" i="14"/>
  <c r="C25" i="14"/>
  <c r="G25" i="14"/>
  <c r="K25" i="14"/>
  <c r="B25" i="14"/>
  <c r="F25" i="14"/>
  <c r="J25" i="14"/>
  <c r="D24" i="14"/>
  <c r="H24" i="14"/>
  <c r="L24" i="14"/>
  <c r="C24" i="14"/>
  <c r="G24" i="14"/>
  <c r="K24" i="14"/>
  <c r="B24" i="14"/>
  <c r="F24" i="14"/>
  <c r="J24" i="14"/>
  <c r="D23" i="14"/>
  <c r="H23" i="14"/>
  <c r="L23" i="14"/>
  <c r="C23" i="14"/>
  <c r="G23" i="14"/>
  <c r="K23" i="14"/>
  <c r="B23" i="14"/>
  <c r="F23" i="14"/>
  <c r="J23" i="14"/>
  <c r="D22" i="14"/>
  <c r="H22" i="14"/>
  <c r="L22" i="14"/>
  <c r="C22" i="14"/>
  <c r="G22" i="14"/>
  <c r="K22" i="14"/>
  <c r="B22" i="14"/>
  <c r="F22" i="14"/>
  <c r="J22" i="14"/>
  <c r="D21" i="14"/>
  <c r="H21" i="14"/>
  <c r="L21" i="14"/>
  <c r="C21" i="14"/>
  <c r="G21" i="14"/>
  <c r="K21" i="14"/>
  <c r="B21" i="14"/>
  <c r="F21" i="14"/>
  <c r="J21" i="14"/>
  <c r="D20" i="14"/>
  <c r="H20" i="14"/>
  <c r="L20" i="14"/>
  <c r="C20" i="14"/>
  <c r="G20" i="14"/>
  <c r="K20" i="14"/>
  <c r="B20" i="14"/>
  <c r="F20" i="14"/>
  <c r="J20" i="14"/>
  <c r="D19" i="14"/>
  <c r="H19" i="14"/>
  <c r="L19" i="14"/>
  <c r="C19" i="14"/>
  <c r="G19" i="14"/>
  <c r="K19" i="14"/>
  <c r="B19" i="14"/>
  <c r="F19" i="14"/>
  <c r="J19" i="14"/>
  <c r="D18" i="14"/>
  <c r="H18" i="14"/>
  <c r="L18" i="14"/>
  <c r="C18" i="14"/>
  <c r="G18" i="14"/>
  <c r="K18" i="14"/>
  <c r="B18" i="14"/>
  <c r="F18" i="14"/>
  <c r="J18" i="14"/>
  <c r="D17" i="14"/>
  <c r="H17" i="14"/>
  <c r="L17" i="14"/>
  <c r="C17" i="14"/>
  <c r="G17" i="14"/>
  <c r="K17" i="14"/>
  <c r="B17" i="14"/>
  <c r="F17" i="14"/>
  <c r="J17" i="14"/>
  <c r="D16" i="14"/>
  <c r="H16" i="14"/>
  <c r="L16" i="14"/>
  <c r="C16" i="14"/>
  <c r="G16" i="14"/>
  <c r="K16" i="14"/>
  <c r="B16" i="14"/>
  <c r="F16" i="14"/>
  <c r="J16" i="14"/>
  <c r="D15" i="14"/>
  <c r="H15" i="14"/>
  <c r="L15" i="14"/>
  <c r="C15" i="14"/>
  <c r="G15" i="14"/>
  <c r="K15" i="14"/>
  <c r="B15" i="14"/>
  <c r="F15" i="14"/>
  <c r="J15" i="14"/>
  <c r="D14" i="14"/>
  <c r="H14" i="14"/>
  <c r="L14" i="14"/>
  <c r="C14" i="14"/>
  <c r="G14" i="14"/>
  <c r="K14" i="14"/>
  <c r="B14" i="14"/>
  <c r="F14" i="14"/>
  <c r="J14" i="14"/>
  <c r="D13" i="14"/>
  <c r="H13" i="14"/>
  <c r="L13" i="14"/>
  <c r="C13" i="14"/>
  <c r="G13" i="14"/>
  <c r="K13" i="14"/>
  <c r="B13" i="14"/>
  <c r="F13" i="14"/>
  <c r="J13" i="14"/>
  <c r="D12" i="14"/>
  <c r="H12" i="14"/>
  <c r="L12" i="14"/>
  <c r="C12" i="14"/>
  <c r="G12" i="14"/>
  <c r="K12" i="14"/>
  <c r="B12" i="14"/>
  <c r="F12" i="14"/>
  <c r="J12" i="14"/>
  <c r="D11" i="14"/>
  <c r="H11" i="14"/>
  <c r="L11" i="14"/>
  <c r="C11" i="14"/>
  <c r="G11" i="14"/>
  <c r="K11" i="14"/>
  <c r="B11" i="14"/>
  <c r="F11" i="14"/>
  <c r="J11" i="14"/>
  <c r="D10" i="14"/>
  <c r="H10" i="14"/>
  <c r="L10" i="14"/>
  <c r="C10" i="14"/>
  <c r="G10" i="14"/>
  <c r="K10" i="14"/>
  <c r="B10" i="14"/>
  <c r="F10" i="14"/>
  <c r="J10" i="14"/>
  <c r="D9" i="14"/>
  <c r="H9" i="14"/>
  <c r="L9" i="14"/>
  <c r="C9" i="14"/>
  <c r="G9" i="14"/>
  <c r="K9" i="14"/>
  <c r="B9" i="14"/>
  <c r="F9" i="14"/>
  <c r="J9" i="14"/>
  <c r="D8" i="14"/>
  <c r="H8" i="14"/>
  <c r="L8" i="14"/>
  <c r="C8" i="14"/>
  <c r="G8" i="14"/>
  <c r="K8" i="14"/>
  <c r="B8" i="14"/>
  <c r="F8" i="14"/>
  <c r="J8" i="14"/>
  <c r="B2" i="10"/>
  <c r="B1" i="10"/>
  <c r="F7" i="10"/>
  <c r="H7" i="10"/>
  <c r="H5" i="10"/>
  <c r="H32" i="10"/>
  <c r="L32" i="10"/>
  <c r="G7" i="10"/>
  <c r="G5" i="10"/>
  <c r="G32" i="10"/>
  <c r="K32" i="10"/>
  <c r="F32" i="10"/>
  <c r="J32" i="10"/>
  <c r="H31" i="10"/>
  <c r="L31" i="10"/>
  <c r="G31" i="10"/>
  <c r="K31" i="10"/>
  <c r="F31" i="10"/>
  <c r="J31" i="10"/>
  <c r="D7" i="10"/>
  <c r="D5" i="10"/>
  <c r="D30" i="10"/>
  <c r="H30" i="10"/>
  <c r="L30" i="10"/>
  <c r="C7" i="10"/>
  <c r="C5" i="10"/>
  <c r="C30" i="10"/>
  <c r="G30" i="10"/>
  <c r="K30" i="10"/>
  <c r="B30" i="10"/>
  <c r="F30" i="10"/>
  <c r="J30" i="10"/>
  <c r="D29" i="10"/>
  <c r="H29" i="10"/>
  <c r="L29" i="10"/>
  <c r="C29" i="10"/>
  <c r="G29" i="10"/>
  <c r="K29" i="10"/>
  <c r="B29" i="10"/>
  <c r="F29" i="10"/>
  <c r="J29" i="10"/>
  <c r="D28" i="10"/>
  <c r="H28" i="10"/>
  <c r="L28" i="10"/>
  <c r="C28" i="10"/>
  <c r="G28" i="10"/>
  <c r="K28" i="10"/>
  <c r="B28" i="10"/>
  <c r="F28" i="10"/>
  <c r="J28" i="10"/>
  <c r="D27" i="10"/>
  <c r="H27" i="10"/>
  <c r="L27" i="10"/>
  <c r="C27" i="10"/>
  <c r="G27" i="10"/>
  <c r="K27" i="10"/>
  <c r="B27" i="10"/>
  <c r="F27" i="10"/>
  <c r="J27" i="10"/>
  <c r="D26" i="10"/>
  <c r="H26" i="10"/>
  <c r="L26" i="10"/>
  <c r="C26" i="10"/>
  <c r="G26" i="10"/>
  <c r="K26" i="10"/>
  <c r="B26" i="10"/>
  <c r="F26" i="10"/>
  <c r="J26" i="10"/>
  <c r="D25" i="10"/>
  <c r="H25" i="10"/>
  <c r="L25" i="10"/>
  <c r="C25" i="10"/>
  <c r="G25" i="10"/>
  <c r="K25" i="10"/>
  <c r="B25" i="10"/>
  <c r="F25" i="10"/>
  <c r="J25" i="10"/>
  <c r="D24" i="10"/>
  <c r="H24" i="10"/>
  <c r="L24" i="10"/>
  <c r="C24" i="10"/>
  <c r="G24" i="10"/>
  <c r="K24" i="10"/>
  <c r="B24" i="10"/>
  <c r="F24" i="10"/>
  <c r="J24" i="10"/>
  <c r="D23" i="10"/>
  <c r="H23" i="10"/>
  <c r="L23" i="10"/>
  <c r="C23" i="10"/>
  <c r="G23" i="10"/>
  <c r="K23" i="10"/>
  <c r="B23" i="10"/>
  <c r="F23" i="10"/>
  <c r="J23" i="10"/>
  <c r="D22" i="10"/>
  <c r="H22" i="10"/>
  <c r="L22" i="10"/>
  <c r="C22" i="10"/>
  <c r="G22" i="10"/>
  <c r="K22" i="10"/>
  <c r="B22" i="10"/>
  <c r="F22" i="10"/>
  <c r="J22" i="10"/>
  <c r="D21" i="10"/>
  <c r="H21" i="10"/>
  <c r="L21" i="10"/>
  <c r="C21" i="10"/>
  <c r="G21" i="10"/>
  <c r="K21" i="10"/>
  <c r="B21" i="10"/>
  <c r="F21" i="10"/>
  <c r="J21" i="10"/>
  <c r="D20" i="10"/>
  <c r="H20" i="10"/>
  <c r="L20" i="10"/>
  <c r="C20" i="10"/>
  <c r="G20" i="10"/>
  <c r="K20" i="10"/>
  <c r="B20" i="10"/>
  <c r="F20" i="10"/>
  <c r="J20" i="10"/>
  <c r="D19" i="10"/>
  <c r="H19" i="10"/>
  <c r="L19" i="10"/>
  <c r="C19" i="10"/>
  <c r="G19" i="10"/>
  <c r="K19" i="10"/>
  <c r="B19" i="10"/>
  <c r="F19" i="10"/>
  <c r="J19" i="10"/>
  <c r="D18" i="10"/>
  <c r="H18" i="10"/>
  <c r="L18" i="10"/>
  <c r="C18" i="10"/>
  <c r="G18" i="10"/>
  <c r="K18" i="10"/>
  <c r="B18" i="10"/>
  <c r="F18" i="10"/>
  <c r="J18" i="10"/>
  <c r="D17" i="10"/>
  <c r="H17" i="10"/>
  <c r="L17" i="10"/>
  <c r="C17" i="10"/>
  <c r="G17" i="10"/>
  <c r="K17" i="10"/>
  <c r="B17" i="10"/>
  <c r="F17" i="10"/>
  <c r="J17" i="10"/>
  <c r="D16" i="10"/>
  <c r="H16" i="10"/>
  <c r="L16" i="10"/>
  <c r="C16" i="10"/>
  <c r="G16" i="10"/>
  <c r="K16" i="10"/>
  <c r="B16" i="10"/>
  <c r="F16" i="10"/>
  <c r="J16" i="10"/>
  <c r="D15" i="10"/>
  <c r="H15" i="10"/>
  <c r="L15" i="10"/>
  <c r="C15" i="10"/>
  <c r="G15" i="10"/>
  <c r="K15" i="10"/>
  <c r="B15" i="10"/>
  <c r="F15" i="10"/>
  <c r="J15" i="10"/>
  <c r="D14" i="10"/>
  <c r="H14" i="10"/>
  <c r="L14" i="10"/>
  <c r="C14" i="10"/>
  <c r="G14" i="10"/>
  <c r="K14" i="10"/>
  <c r="B14" i="10"/>
  <c r="F14" i="10"/>
  <c r="J14" i="10"/>
  <c r="D13" i="10"/>
  <c r="H13" i="10"/>
  <c r="L13" i="10"/>
  <c r="C13" i="10"/>
  <c r="G13" i="10"/>
  <c r="K13" i="10"/>
  <c r="B13" i="10"/>
  <c r="F13" i="10"/>
  <c r="J13" i="10"/>
  <c r="D12" i="10"/>
  <c r="H12" i="10"/>
  <c r="L12" i="10"/>
  <c r="C12" i="10"/>
  <c r="G12" i="10"/>
  <c r="K12" i="10"/>
  <c r="B12" i="10"/>
  <c r="F12" i="10"/>
  <c r="J12" i="10"/>
  <c r="D11" i="10"/>
  <c r="H11" i="10"/>
  <c r="L11" i="10"/>
  <c r="C11" i="10"/>
  <c r="G11" i="10"/>
  <c r="K11" i="10"/>
  <c r="B11" i="10"/>
  <c r="F11" i="10"/>
  <c r="J11" i="10"/>
  <c r="D10" i="10"/>
  <c r="H10" i="10"/>
  <c r="L10" i="10"/>
  <c r="C10" i="10"/>
  <c r="G10" i="10"/>
  <c r="K10" i="10"/>
  <c r="B10" i="10"/>
  <c r="F10" i="10"/>
  <c r="J10" i="10"/>
  <c r="D9" i="10"/>
  <c r="H9" i="10"/>
  <c r="L9" i="10"/>
  <c r="C9" i="10"/>
  <c r="G9" i="10"/>
  <c r="K9" i="10"/>
  <c r="B9" i="10"/>
  <c r="F9" i="10"/>
  <c r="J9" i="10"/>
  <c r="D8" i="10"/>
  <c r="H8" i="10"/>
  <c r="L8" i="10"/>
  <c r="C8" i="10"/>
  <c r="G8" i="10"/>
  <c r="K8" i="10"/>
  <c r="B8" i="10"/>
  <c r="F8" i="10"/>
  <c r="J8" i="10"/>
  <c r="H7" i="9"/>
  <c r="H5" i="9"/>
  <c r="H32" i="9"/>
  <c r="L32" i="9"/>
  <c r="G32" i="9"/>
  <c r="K32" i="9"/>
  <c r="F32" i="9"/>
  <c r="J32" i="9"/>
  <c r="H31" i="9"/>
  <c r="L31" i="9"/>
  <c r="G31" i="9"/>
  <c r="K31" i="9"/>
  <c r="F31" i="9"/>
  <c r="J31" i="9"/>
  <c r="D7" i="9"/>
  <c r="D5" i="9"/>
  <c r="D30" i="9"/>
  <c r="H30" i="9"/>
  <c r="L30" i="9"/>
  <c r="C30" i="9"/>
  <c r="G30" i="9"/>
  <c r="K30" i="9"/>
  <c r="B30" i="9"/>
  <c r="F30" i="9"/>
  <c r="J30" i="9"/>
  <c r="D29" i="9"/>
  <c r="H29" i="9"/>
  <c r="L29" i="9"/>
  <c r="C29" i="9"/>
  <c r="G29" i="9"/>
  <c r="K29" i="9"/>
  <c r="B29" i="9"/>
  <c r="F29" i="9"/>
  <c r="J29" i="9"/>
  <c r="D28" i="9"/>
  <c r="H28" i="9"/>
  <c r="L28" i="9"/>
  <c r="C28" i="9"/>
  <c r="G28" i="9"/>
  <c r="K28" i="9"/>
  <c r="B28" i="9"/>
  <c r="F28" i="9"/>
  <c r="J28" i="9"/>
  <c r="D27" i="9"/>
  <c r="H27" i="9"/>
  <c r="L27" i="9"/>
  <c r="C27" i="9"/>
  <c r="G27" i="9"/>
  <c r="K27" i="9"/>
  <c r="B27" i="9"/>
  <c r="F27" i="9"/>
  <c r="J27" i="9"/>
  <c r="D26" i="9"/>
  <c r="H26" i="9"/>
  <c r="L26" i="9"/>
  <c r="C26" i="9"/>
  <c r="G26" i="9"/>
  <c r="K26" i="9"/>
  <c r="B26" i="9"/>
  <c r="F26" i="9"/>
  <c r="J26" i="9"/>
  <c r="D25" i="9"/>
  <c r="H25" i="9"/>
  <c r="L25" i="9"/>
  <c r="C25" i="9"/>
  <c r="G25" i="9"/>
  <c r="K25" i="9"/>
  <c r="B25" i="9"/>
  <c r="F25" i="9"/>
  <c r="J25" i="9"/>
  <c r="D24" i="9"/>
  <c r="H24" i="9"/>
  <c r="L24" i="9"/>
  <c r="C24" i="9"/>
  <c r="G24" i="9"/>
  <c r="K24" i="9"/>
  <c r="B24" i="9"/>
  <c r="F24" i="9"/>
  <c r="J24" i="9"/>
  <c r="D23" i="9"/>
  <c r="H23" i="9"/>
  <c r="L23" i="9"/>
  <c r="C23" i="9"/>
  <c r="G23" i="9"/>
  <c r="K23" i="9"/>
  <c r="B23" i="9"/>
  <c r="F23" i="9"/>
  <c r="J23" i="9"/>
  <c r="D22" i="9"/>
  <c r="H22" i="9"/>
  <c r="L22" i="9"/>
  <c r="C22" i="9"/>
  <c r="G22" i="9"/>
  <c r="K22" i="9"/>
  <c r="B22" i="9"/>
  <c r="F22" i="9"/>
  <c r="J22" i="9"/>
  <c r="D21" i="9"/>
  <c r="H21" i="9"/>
  <c r="L21" i="9"/>
  <c r="C21" i="9"/>
  <c r="G21" i="9"/>
  <c r="K21" i="9"/>
  <c r="B21" i="9"/>
  <c r="F21" i="9"/>
  <c r="J21" i="9"/>
  <c r="D20" i="9"/>
  <c r="H20" i="9"/>
  <c r="L20" i="9"/>
  <c r="C20" i="9"/>
  <c r="G20" i="9"/>
  <c r="K20" i="9"/>
  <c r="B20" i="9"/>
  <c r="F20" i="9"/>
  <c r="J20" i="9"/>
  <c r="D19" i="9"/>
  <c r="H19" i="9"/>
  <c r="L19" i="9"/>
  <c r="C19" i="9"/>
  <c r="G19" i="9"/>
  <c r="K19" i="9"/>
  <c r="B19" i="9"/>
  <c r="F19" i="9"/>
  <c r="J19" i="9"/>
  <c r="D18" i="9"/>
  <c r="H18" i="9"/>
  <c r="L18" i="9"/>
  <c r="C18" i="9"/>
  <c r="G18" i="9"/>
  <c r="K18" i="9"/>
  <c r="B18" i="9"/>
  <c r="F18" i="9"/>
  <c r="J18" i="9"/>
  <c r="D17" i="9"/>
  <c r="H17" i="9"/>
  <c r="L17" i="9"/>
  <c r="C17" i="9"/>
  <c r="G17" i="9"/>
  <c r="K17" i="9"/>
  <c r="B17" i="9"/>
  <c r="F17" i="9"/>
  <c r="J17" i="9"/>
  <c r="D16" i="9"/>
  <c r="H16" i="9"/>
  <c r="L16" i="9"/>
  <c r="C16" i="9"/>
  <c r="G16" i="9"/>
  <c r="K16" i="9"/>
  <c r="B16" i="9"/>
  <c r="F16" i="9"/>
  <c r="J16" i="9"/>
  <c r="D15" i="9"/>
  <c r="H15" i="9"/>
  <c r="L15" i="9"/>
  <c r="C15" i="9"/>
  <c r="G15" i="9"/>
  <c r="K15" i="9"/>
  <c r="B15" i="9"/>
  <c r="F15" i="9"/>
  <c r="J15" i="9"/>
  <c r="D14" i="9"/>
  <c r="H14" i="9"/>
  <c r="L14" i="9"/>
  <c r="C14" i="9"/>
  <c r="G14" i="9"/>
  <c r="K14" i="9"/>
  <c r="B14" i="9"/>
  <c r="F14" i="9"/>
  <c r="J14" i="9"/>
  <c r="D13" i="9"/>
  <c r="H13" i="9"/>
  <c r="L13" i="9"/>
  <c r="C13" i="9"/>
  <c r="G13" i="9"/>
  <c r="K13" i="9"/>
  <c r="B13" i="9"/>
  <c r="F13" i="9"/>
  <c r="J13" i="9"/>
  <c r="D12" i="9"/>
  <c r="H12" i="9"/>
  <c r="L12" i="9"/>
  <c r="C12" i="9"/>
  <c r="G12" i="9"/>
  <c r="K12" i="9"/>
  <c r="B12" i="9"/>
  <c r="F12" i="9"/>
  <c r="J12" i="9"/>
  <c r="D11" i="9"/>
  <c r="H11" i="9"/>
  <c r="L11" i="9"/>
  <c r="C11" i="9"/>
  <c r="G11" i="9"/>
  <c r="K11" i="9"/>
  <c r="B11" i="9"/>
  <c r="F11" i="9"/>
  <c r="J11" i="9"/>
  <c r="D10" i="9"/>
  <c r="H10" i="9"/>
  <c r="L10" i="9"/>
  <c r="C10" i="9"/>
  <c r="G10" i="9"/>
  <c r="K10" i="9"/>
  <c r="B10" i="9"/>
  <c r="F10" i="9"/>
  <c r="J10" i="9"/>
  <c r="D9" i="9"/>
  <c r="H9" i="9"/>
  <c r="L9" i="9"/>
  <c r="C9" i="9"/>
  <c r="G9" i="9"/>
  <c r="K9" i="9"/>
  <c r="B9" i="9"/>
  <c r="F9" i="9"/>
  <c r="J9" i="9"/>
  <c r="D8" i="9"/>
  <c r="H8" i="9"/>
  <c r="L8" i="9"/>
  <c r="K8" i="9"/>
  <c r="B8" i="9"/>
  <c r="F8" i="9"/>
  <c r="J8" i="9"/>
  <c r="K23" i="1"/>
  <c r="E23" i="1"/>
  <c r="A25" i="1"/>
  <c r="A5" i="1"/>
  <c r="A4" i="1"/>
  <c r="A3" i="1"/>
  <c r="A2" i="1"/>
</calcChain>
</file>

<file path=xl/sharedStrings.xml><?xml version="1.0" encoding="utf-8"?>
<sst xmlns="http://schemas.openxmlformats.org/spreadsheetml/2006/main" count="501" uniqueCount="274">
  <si>
    <t>D</t>
  </si>
  <si>
    <t>N</t>
  </si>
  <si>
    <t>[Begin Format Range]</t>
  </si>
  <si>
    <t>[End Format Range]</t>
  </si>
  <si>
    <t>Canada</t>
  </si>
  <si>
    <t>Chile</t>
  </si>
  <si>
    <t>China</t>
  </si>
  <si>
    <t>Cityway Corporate</t>
  </si>
  <si>
    <t>Colombia</t>
  </si>
  <si>
    <t>Corporate</t>
  </si>
  <si>
    <t>Czech Republic</t>
  </si>
  <si>
    <t>Eurolines</t>
  </si>
  <si>
    <t>Finland</t>
  </si>
  <si>
    <t>France</t>
  </si>
  <si>
    <t>Germany</t>
  </si>
  <si>
    <t>Hong Kong</t>
  </si>
  <si>
    <t>India</t>
  </si>
  <si>
    <t>Indonesia</t>
  </si>
  <si>
    <t>Internorte</t>
  </si>
  <si>
    <t>Ireland</t>
  </si>
  <si>
    <t>Morocco</t>
  </si>
  <si>
    <t>New Zealand</t>
  </si>
  <si>
    <t>Portugal</t>
  </si>
  <si>
    <t>Slovakia</t>
  </si>
  <si>
    <t>South Korea</t>
  </si>
  <si>
    <t>Spain</t>
  </si>
  <si>
    <t>Sweden</t>
  </si>
  <si>
    <t>Thailand</t>
  </si>
  <si>
    <t>The Netherlands</t>
  </si>
  <si>
    <t>United Kingdom</t>
  </si>
  <si>
    <t>United States</t>
  </si>
  <si>
    <t>Period :</t>
  </si>
  <si>
    <t>Phase :</t>
  </si>
  <si>
    <t>Indicator :</t>
  </si>
  <si>
    <t xml:space="preserve">Server : </t>
  </si>
  <si>
    <t>tango_core_model:</t>
  </si>
  <si>
    <t>Year Selected :</t>
  </si>
  <si>
    <t xml:space="preserve">Taxes and Interest Rates </t>
  </si>
  <si>
    <t xml:space="preserve">MDX : </t>
  </si>
  <si>
    <t>{TM1SORT( {TM1FILTERBYLEVEL(DESCENDANTS([Country].[Country].[All Countries] , 99 , LEAVES) , 0)}, ASC)}</t>
  </si>
  <si>
    <t>PHASE_LTP :</t>
  </si>
  <si>
    <t>CUBE:</t>
  </si>
  <si>
    <t>CurrencyConvertTo</t>
  </si>
  <si>
    <t>Restit</t>
  </si>
  <si>
    <t>ACT</t>
  </si>
  <si>
    <t>Verif</t>
  </si>
  <si>
    <t>TX_CLOTURE</t>
  </si>
  <si>
    <t>TX_MOYEN</t>
  </si>
  <si>
    <t>TX_OUVERTURE</t>
  </si>
  <si>
    <t>AUD</t>
  </si>
  <si>
    <t>CAD</t>
  </si>
  <si>
    <t>CLP</t>
  </si>
  <si>
    <t>CNY</t>
  </si>
  <si>
    <t>COP</t>
  </si>
  <si>
    <t>CZK</t>
  </si>
  <si>
    <t>DKK</t>
  </si>
  <si>
    <t>DZD</t>
  </si>
  <si>
    <t>GBP</t>
  </si>
  <si>
    <t>HKD</t>
  </si>
  <si>
    <t>HRK</t>
  </si>
  <si>
    <t>ILS</t>
  </si>
  <si>
    <t>INR</t>
  </si>
  <si>
    <t>KRW</t>
  </si>
  <si>
    <t>LBP</t>
  </si>
  <si>
    <t>MAD</t>
  </si>
  <si>
    <t>MOP</t>
  </si>
  <si>
    <t>NZD</t>
  </si>
  <si>
    <t>PLN</t>
  </si>
  <si>
    <t>RSD</t>
  </si>
  <si>
    <t>SEK</t>
  </si>
  <si>
    <t>USD</t>
  </si>
  <si>
    <t>XPF</t>
  </si>
  <si>
    <t>IDR</t>
  </si>
  <si>
    <t>THB</t>
  </si>
  <si>
    <t>Theoretical_tax_rate</t>
  </si>
  <si>
    <t>Interest_placement_rate</t>
  </si>
  <si>
    <t>Interest_borrowing_rate</t>
  </si>
  <si>
    <t>BUDG_VC</t>
  </si>
  <si>
    <t xml:space="preserve">Phase : </t>
  </si>
  <si>
    <t>Year</t>
  </si>
  <si>
    <t>Opening Data 1</t>
  </si>
  <si>
    <t>Opening Data 2</t>
  </si>
  <si>
    <t>Opening Data 3</t>
  </si>
  <si>
    <t>Phase</t>
  </si>
  <si>
    <t>Automatique Z admin Param</t>
  </si>
  <si>
    <t>LTP 1</t>
  </si>
  <si>
    <t>LTP 2</t>
  </si>
  <si>
    <t>LTP 3</t>
  </si>
  <si>
    <t>LTP 4</t>
  </si>
  <si>
    <t>LTP 5</t>
  </si>
  <si>
    <t>Data</t>
  </si>
  <si>
    <t>Year (Tango)</t>
  </si>
  <si>
    <t>Currency_Rates</t>
  </si>
  <si>
    <t>AED</t>
  </si>
  <si>
    <t>AFA</t>
  </si>
  <si>
    <t>ALL</t>
  </si>
  <si>
    <t>ANG</t>
  </si>
  <si>
    <t>AOA</t>
  </si>
  <si>
    <t>ARA</t>
  </si>
  <si>
    <t>ARP</t>
  </si>
  <si>
    <t>ATS</t>
  </si>
  <si>
    <t>BBD</t>
  </si>
  <si>
    <t>BDT</t>
  </si>
  <si>
    <t>BEF</t>
  </si>
  <si>
    <t>BGN</t>
  </si>
  <si>
    <t>BHD</t>
  </si>
  <si>
    <t>BIF</t>
  </si>
  <si>
    <t>BMD</t>
  </si>
  <si>
    <t>BND</t>
  </si>
  <si>
    <t>BOB</t>
  </si>
  <si>
    <t>BRC</t>
  </si>
  <si>
    <t>BSD</t>
  </si>
  <si>
    <t>BUK</t>
  </si>
  <si>
    <t>BWP</t>
  </si>
  <si>
    <t>BZD</t>
  </si>
  <si>
    <t>CHF</t>
  </si>
  <si>
    <t>CRC</t>
  </si>
  <si>
    <t>CUP</t>
  </si>
  <si>
    <t>CVE</t>
  </si>
  <si>
    <t>CYP</t>
  </si>
  <si>
    <t>DDM</t>
  </si>
  <si>
    <t>DEM</t>
  </si>
  <si>
    <t>DJF</t>
  </si>
  <si>
    <t>DOP</t>
  </si>
  <si>
    <t>DWD</t>
  </si>
  <si>
    <t>XDR</t>
  </si>
  <si>
    <t>XOF</t>
  </si>
  <si>
    <t>YDD</t>
  </si>
  <si>
    <t>YER</t>
  </si>
  <si>
    <t>YUM</t>
  </si>
  <si>
    <t>ZAL</t>
  </si>
  <si>
    <t>ZAR</t>
  </si>
  <si>
    <t>ZAUTRES</t>
  </si>
  <si>
    <t>ZMK</t>
  </si>
  <si>
    <t>ZRZ</t>
  </si>
  <si>
    <t>ZWD</t>
  </si>
  <si>
    <t>BRL</t>
  </si>
  <si>
    <t>AMD</t>
  </si>
  <si>
    <t>ARS</t>
  </si>
  <si>
    <t>AZM</t>
  </si>
  <si>
    <t>BAM</t>
  </si>
  <si>
    <t>BTN</t>
  </si>
  <si>
    <t>BYR</t>
  </si>
  <si>
    <t>CDF</t>
  </si>
  <si>
    <t>EEK</t>
  </si>
  <si>
    <t>ENF</t>
  </si>
  <si>
    <t>ERN</t>
  </si>
  <si>
    <t>GEL</t>
  </si>
  <si>
    <t>KGS</t>
  </si>
  <si>
    <t>KZT</t>
  </si>
  <si>
    <t>LSL</t>
  </si>
  <si>
    <t>LTL</t>
  </si>
  <si>
    <t>LVL</t>
  </si>
  <si>
    <t>MKD</t>
  </si>
  <si>
    <t>MMK</t>
  </si>
  <si>
    <t>NAD</t>
  </si>
  <si>
    <t>PEN</t>
  </si>
  <si>
    <t>SIT</t>
  </si>
  <si>
    <t>SKK</t>
  </si>
  <si>
    <t>TMM</t>
  </si>
  <si>
    <t>UAH</t>
  </si>
  <si>
    <t>UZS</t>
  </si>
  <si>
    <t>KKESP</t>
  </si>
  <si>
    <t>KUSD2</t>
  </si>
  <si>
    <t>MITL</t>
  </si>
  <si>
    <t>MTRL</t>
  </si>
  <si>
    <t>COL</t>
  </si>
  <si>
    <t>QUE</t>
  </si>
  <si>
    <t>COU</t>
  </si>
  <si>
    <t>HYR</t>
  </si>
  <si>
    <t>TRY</t>
  </si>
  <si>
    <t>VEF</t>
  </si>
  <si>
    <t>ECS</t>
  </si>
  <si>
    <t>EGP</t>
  </si>
  <si>
    <t>ESP</t>
  </si>
  <si>
    <t>ETB</t>
  </si>
  <si>
    <t>EUR</t>
  </si>
  <si>
    <t>FIM</t>
  </si>
  <si>
    <t>FJD</t>
  </si>
  <si>
    <t>FKP</t>
  </si>
  <si>
    <t>FRF</t>
  </si>
  <si>
    <t>GHC</t>
  </si>
  <si>
    <t>GIP</t>
  </si>
  <si>
    <t>GMD</t>
  </si>
  <si>
    <t>GNS</t>
  </si>
  <si>
    <t>GQE</t>
  </si>
  <si>
    <t>GRD</t>
  </si>
  <si>
    <t>GTQ</t>
  </si>
  <si>
    <t>GWP</t>
  </si>
  <si>
    <t>GYD</t>
  </si>
  <si>
    <t>HNL</t>
  </si>
  <si>
    <t>HTG</t>
  </si>
  <si>
    <t>HUF</t>
  </si>
  <si>
    <t>IEP</t>
  </si>
  <si>
    <t>IQD</t>
  </si>
  <si>
    <t>IRR</t>
  </si>
  <si>
    <t>ISK</t>
  </si>
  <si>
    <t>ITL</t>
  </si>
  <si>
    <t>JMD</t>
  </si>
  <si>
    <t>JOD</t>
  </si>
  <si>
    <t>JPY</t>
  </si>
  <si>
    <t>KES</t>
  </si>
  <si>
    <t>KHR</t>
  </si>
  <si>
    <t>KMF</t>
  </si>
  <si>
    <t>KPW</t>
  </si>
  <si>
    <t>KWD</t>
  </si>
  <si>
    <t>KYD</t>
  </si>
  <si>
    <t>LAK</t>
  </si>
  <si>
    <t>LKR</t>
  </si>
  <si>
    <t>LRD</t>
  </si>
  <si>
    <t>LSM</t>
  </si>
  <si>
    <t>LUF</t>
  </si>
  <si>
    <t>LYD</t>
  </si>
  <si>
    <t>MGF</t>
  </si>
  <si>
    <t>MLF</t>
  </si>
  <si>
    <t>MNT</t>
  </si>
  <si>
    <t>MRO</t>
  </si>
  <si>
    <t>MTL</t>
  </si>
  <si>
    <t>MUR</t>
  </si>
  <si>
    <t>MVR</t>
  </si>
  <si>
    <t>MWK</t>
  </si>
  <si>
    <t>MXN</t>
  </si>
  <si>
    <t>MYR</t>
  </si>
  <si>
    <t>MZM</t>
  </si>
  <si>
    <t>NGN</t>
  </si>
  <si>
    <t>NIO</t>
  </si>
  <si>
    <t>NLG</t>
  </si>
  <si>
    <t>NOK</t>
  </si>
  <si>
    <t>NPR</t>
  </si>
  <si>
    <t>OMR</t>
  </si>
  <si>
    <t>PAB</t>
  </si>
  <si>
    <t>PES</t>
  </si>
  <si>
    <t>PGK</t>
  </si>
  <si>
    <t>PHP</t>
  </si>
  <si>
    <t>PIVOT</t>
  </si>
  <si>
    <t>PKR</t>
  </si>
  <si>
    <t>PTE</t>
  </si>
  <si>
    <t>PYG</t>
  </si>
  <si>
    <t>QAR</t>
  </si>
  <si>
    <t>MDL</t>
  </si>
  <si>
    <t>RWF</t>
  </si>
  <si>
    <t>SAR</t>
  </si>
  <si>
    <t>SDD</t>
  </si>
  <si>
    <t>SCR</t>
  </si>
  <si>
    <t>SDP</t>
  </si>
  <si>
    <t>SGD</t>
  </si>
  <si>
    <t>SHP</t>
  </si>
  <si>
    <t>SLL</t>
  </si>
  <si>
    <t>SOS</t>
  </si>
  <si>
    <t>SRG</t>
  </si>
  <si>
    <t>STD</t>
  </si>
  <si>
    <t>RUB</t>
  </si>
  <si>
    <t>SVC</t>
  </si>
  <si>
    <t>SYP</t>
  </si>
  <si>
    <t>SZL</t>
  </si>
  <si>
    <t>TND</t>
  </si>
  <si>
    <t>TOP</t>
  </si>
  <si>
    <t>TPE</t>
  </si>
  <si>
    <t>TRL</t>
  </si>
  <si>
    <t>TTD</t>
  </si>
  <si>
    <t>TWD</t>
  </si>
  <si>
    <t>TZS</t>
  </si>
  <si>
    <t>UGX</t>
  </si>
  <si>
    <t>UYU</t>
  </si>
  <si>
    <t>VEB</t>
  </si>
  <si>
    <t>VND</t>
  </si>
  <si>
    <t>VUV</t>
  </si>
  <si>
    <t>WST</t>
  </si>
  <si>
    <t>XAF</t>
  </si>
  <si>
    <t>XAU</t>
  </si>
  <si>
    <t>XBB</t>
  </si>
  <si>
    <t>XCD</t>
  </si>
  <si>
    <t>RON</t>
  </si>
  <si>
    <t>AZN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</si>
</sst>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0"/>
    <numFmt numFmtId="165" formatCode="#,##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</font>
    <font>
      <sz val="12"/>
      <color rgb="FFFF0000"/>
      <name val="Calibri"/>
      <family val="2"/>
      <scheme val="minor"/>
    </font>
    <font>
      <b/>
      <sz val="14"/>
      <name val="Calibri"/>
      <family val="2"/>
    </font>
    <font>
      <i/>
      <sz val="12"/>
      <name val="Calibri"/>
      <family val="2"/>
    </font>
    <font>
      <b/>
      <sz val="14"/>
      <color theme="0"/>
      <name val="Calibri"/>
      <family val="2"/>
    </font>
    <font>
      <sz val="11"/>
      <name val="Calibri"/>
      <family val="2"/>
    </font>
    <font>
      <b/>
      <sz val="24"/>
      <color theme="0"/>
      <name val="Calibri"/>
      <family val="2"/>
      <scheme val="minor"/>
    </font>
    <font>
      <b/>
      <i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auto="1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5">
    <xf numFmtId="0" fontId="0" fillId="0" borderId="0"/>
    <xf numFmtId="0" fontId="4" fillId="0" borderId="0"/>
    <xf numFmtId="0" fontId="4" fillId="0" borderId="0"/>
    <xf numFmtId="0" fontId="14" fillId="0" borderId="0"/>
    <xf numFmtId="9" fontId="17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2" fillId="0" borderId="0" xfId="0" applyNumberFormat="1" applyFont="1"/>
    <xf numFmtId="0" fontId="3" fillId="4" borderId="0" xfId="0" applyFont="1" applyFill="1" applyAlignment="1">
      <alignment horizontal="center"/>
    </xf>
    <xf numFmtId="0" fontId="0" fillId="0" borderId="1" xfId="0" applyBorder="1"/>
    <xf numFmtId="0" fontId="5" fillId="5" borderId="2" xfId="1" applyFont="1" applyFill="1" applyBorder="1" applyAlignment="1">
      <alignment horizontal="left" vertical="center"/>
    </xf>
    <xf numFmtId="0" fontId="6" fillId="0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 indent="2"/>
    </xf>
    <xf numFmtId="0" fontId="9" fillId="7" borderId="3" xfId="0" applyFont="1" applyFill="1" applyBorder="1" applyAlignment="1" applyProtection="1">
      <alignment horizontal="center" vertical="center" wrapText="1"/>
    </xf>
    <xf numFmtId="0" fontId="7" fillId="7" borderId="3" xfId="0" applyFont="1" applyFill="1" applyBorder="1" applyAlignment="1" applyProtection="1">
      <alignment horizontal="center" vertical="center" wrapText="1"/>
    </xf>
    <xf numFmtId="49" fontId="8" fillId="5" borderId="0" xfId="0" applyNumberFormat="1" applyFont="1" applyFill="1" applyAlignment="1" applyProtection="1">
      <alignment horizontal="left" vertical="center"/>
    </xf>
    <xf numFmtId="0" fontId="13" fillId="9" borderId="0" xfId="0" applyFont="1" applyFill="1"/>
    <xf numFmtId="0" fontId="0" fillId="10" borderId="0" xfId="0" applyFill="1"/>
    <xf numFmtId="0" fontId="0" fillId="0" borderId="0" xfId="0" applyAlignment="1"/>
    <xf numFmtId="164" fontId="0" fillId="0" borderId="0" xfId="0" applyNumberFormat="1"/>
    <xf numFmtId="0" fontId="13" fillId="0" borderId="0" xfId="0" applyFont="1"/>
    <xf numFmtId="0" fontId="0" fillId="11" borderId="0" xfId="0" applyFill="1" applyAlignment="1"/>
    <xf numFmtId="164" fontId="0" fillId="11" borderId="0" xfId="0" applyNumberFormat="1" applyFill="1"/>
    <xf numFmtId="0" fontId="0" fillId="0" borderId="0" xfId="0" applyAlignment="1">
      <alignment wrapText="1"/>
    </xf>
    <xf numFmtId="0" fontId="0" fillId="0" borderId="0" xfId="0" applyFill="1"/>
    <xf numFmtId="164" fontId="0" fillId="0" borderId="0" xfId="0" applyNumberFormat="1" applyFill="1"/>
    <xf numFmtId="0" fontId="0" fillId="11" borderId="0" xfId="0" applyFill="1"/>
    <xf numFmtId="10" fontId="10" fillId="12" borderId="4" xfId="0" applyNumberFormat="1" applyFont="1" applyFill="1" applyBorder="1" applyAlignment="1" applyProtection="1">
      <alignment horizontal="right" vertical="center" indent="1"/>
      <protection locked="0"/>
    </xf>
    <xf numFmtId="0" fontId="0" fillId="7" borderId="0" xfId="0" applyFill="1"/>
    <xf numFmtId="0" fontId="5" fillId="7" borderId="0" xfId="2" applyFont="1" applyFill="1" applyBorder="1" applyAlignment="1" applyProtection="1">
      <alignment horizontal="left" vertical="center"/>
      <protection locked="0"/>
    </xf>
    <xf numFmtId="0" fontId="0" fillId="0" borderId="1" xfId="0" applyFill="1" applyBorder="1"/>
    <xf numFmtId="0" fontId="0" fillId="0" borderId="1" xfId="0" applyBorder="1" applyAlignment="1">
      <alignment horizontal="left"/>
    </xf>
    <xf numFmtId="165" fontId="15" fillId="8" borderId="1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65" fontId="0" fillId="0" borderId="0" xfId="0" applyNumberFormat="1"/>
    <xf numFmtId="0" fontId="16" fillId="13" borderId="0" xfId="0" applyFont="1" applyFill="1"/>
    <xf numFmtId="0" fontId="0" fillId="14" borderId="0" xfId="0" applyFill="1"/>
    <xf numFmtId="10" fontId="2" fillId="3" borderId="0" xfId="4" applyNumberFormat="1" applyFont="1" applyFill="1"/>
    <xf numFmtId="0" fontId="0" fillId="13" borderId="0" xfId="0" applyFill="1"/>
    <xf numFmtId="0" fontId="12" fillId="13" borderId="0" xfId="1" applyFont="1" applyFill="1" applyAlignment="1">
      <alignment horizontal="center" vertical="center" wrapText="1"/>
    </xf>
    <xf numFmtId="49" fontId="0" fillId="0" borderId="0" xfId="0" applyNumberFormat="1" applyAlignment="1"/>
    <xf numFmtId="0" fontId="18" fillId="13" borderId="0" xfId="0" applyFont="1" applyFill="1" applyAlignment="1">
      <alignment horizontal="center"/>
    </xf>
    <xf numFmtId="0" fontId="7" fillId="6" borderId="7" xfId="0" applyFont="1" applyFill="1" applyBorder="1" applyAlignment="1" applyProtection="1">
      <alignment horizontal="center" vertical="center" wrapText="1"/>
    </xf>
    <xf numFmtId="0" fontId="7" fillId="6" borderId="0" xfId="0" applyFont="1" applyFill="1" applyBorder="1" applyAlignment="1" applyProtection="1">
      <alignment horizontal="center" vertical="center" wrapText="1"/>
    </xf>
    <xf numFmtId="0" fontId="11" fillId="15" borderId="0" xfId="1" applyFont="1" applyFill="1" applyAlignment="1">
      <alignment horizontal="center" vertical="center"/>
    </xf>
    <xf numFmtId="0" fontId="7" fillId="6" borderId="5" xfId="0" applyFont="1" applyFill="1" applyBorder="1" applyAlignment="1" applyProtection="1">
      <alignment horizontal="center" vertical="center" wrapText="1"/>
    </xf>
    <xf numFmtId="0" fontId="7" fillId="6" borderId="6" xfId="0" applyFont="1" applyFill="1" applyBorder="1" applyAlignment="1" applyProtection="1">
      <alignment horizontal="center" vertical="center" wrapText="1"/>
    </xf>
  </cellXfs>
  <cellStyles count="5">
    <cellStyle name="Normal" xfId="0" builtinId="0"/>
    <cellStyle name="Normal 10" xfId="1"/>
    <cellStyle name="Normal 3 2" xfId="2"/>
    <cellStyle name="Normal_LTP 2010 - analysis v5" xfId="3"/>
    <cellStyle name="Pourcentage" xfId="4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83343</xdr:rowOff>
    </xdr:from>
    <xdr:to>
      <xdr:col>2</xdr:col>
      <xdr:colOff>1702593</xdr:colOff>
      <xdr:row>10</xdr:row>
      <xdr:rowOff>488157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343"/>
          <a:ext cx="1964531" cy="762002"/>
        </a:xfrm>
        <a:prstGeom prst="rect">
          <a:avLst/>
        </a:prstGeom>
      </xdr:spPr>
    </xdr:pic>
    <xdr:clientData/>
  </xdr:twoCellAnchor>
  <xdr:twoCellAnchor editAs="oneCell">
    <xdr:from>
      <xdr:col>5</xdr:col>
      <xdr:colOff>273843</xdr:colOff>
      <xdr:row>12</xdr:row>
      <xdr:rowOff>59532</xdr:rowOff>
    </xdr:from>
    <xdr:to>
      <xdr:col>8</xdr:col>
      <xdr:colOff>270526</xdr:colOff>
      <xdr:row>14</xdr:row>
      <xdr:rowOff>148252</xdr:rowOff>
    </xdr:to>
    <xdr:pic macro="[0]!Envoi.Envoi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98031" y="2667001"/>
          <a:ext cx="2389839" cy="48162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12</xdr:row>
      <xdr:rowOff>59531</xdr:rowOff>
    </xdr:from>
    <xdr:to>
      <xdr:col>13</xdr:col>
      <xdr:colOff>461026</xdr:colOff>
      <xdr:row>14</xdr:row>
      <xdr:rowOff>148251</xdr:rowOff>
    </xdr:to>
    <xdr:pic macro="[0]!Recharger"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46031" y="940594"/>
          <a:ext cx="2389839" cy="4816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59531</xdr:colOff>
      <xdr:row>0</xdr:row>
      <xdr:rowOff>83343</xdr:rowOff>
    </xdr:from>
    <xdr:to>
      <xdr:col>6</xdr:col>
      <xdr:colOff>1080151</xdr:colOff>
      <xdr:row>2</xdr:row>
      <xdr:rowOff>183969</xdr:rowOff>
    </xdr:to>
    <xdr:pic macro="[0]!Envoi2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83343"/>
          <a:ext cx="2389839" cy="4816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83344</xdr:colOff>
      <xdr:row>0</xdr:row>
      <xdr:rowOff>71438</xdr:rowOff>
    </xdr:from>
    <xdr:to>
      <xdr:col>7</xdr:col>
      <xdr:colOff>496745</xdr:colOff>
      <xdr:row>2</xdr:row>
      <xdr:rowOff>172064</xdr:rowOff>
    </xdr:to>
    <xdr:pic macro="[0]!Envoi2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7719" y="71438"/>
          <a:ext cx="2389839" cy="4816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678656</xdr:colOff>
      <xdr:row>0</xdr:row>
      <xdr:rowOff>83344</xdr:rowOff>
    </xdr:from>
    <xdr:to>
      <xdr:col>6</xdr:col>
      <xdr:colOff>568182</xdr:colOff>
      <xdr:row>2</xdr:row>
      <xdr:rowOff>183970</xdr:rowOff>
    </xdr:to>
    <xdr:pic macro="[0]!Envoi2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5281" y="83344"/>
          <a:ext cx="2389839" cy="4816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35719</xdr:colOff>
      <xdr:row>0</xdr:row>
      <xdr:rowOff>130969</xdr:rowOff>
    </xdr:from>
    <xdr:to>
      <xdr:col>5</xdr:col>
      <xdr:colOff>520558</xdr:colOff>
      <xdr:row>3</xdr:row>
      <xdr:rowOff>41095</xdr:rowOff>
    </xdr:to>
    <xdr:pic macro="[0]!Envoi2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130969"/>
          <a:ext cx="2389839" cy="481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7:B222"/>
  <sheetViews>
    <sheetView workbookViewId="0">
      <selection activeCell="M36" sqref="M35:M36"/>
    </sheetView>
  </sheetViews>
  <sheetFormatPr baseColWidth="10" defaultRowHeight="15" x14ac:dyDescent="0.25"/>
  <sheetData>
    <row r="17" spans="2:2" x14ac:dyDescent="0.25">
      <c r="B17" s="37" t="s">
        <v>93</v>
      </c>
    </row>
    <row r="18" spans="2:2" x14ac:dyDescent="0.25">
      <c r="B18" t="s">
        <v>94</v>
      </c>
    </row>
    <row r="19" spans="2:2" x14ac:dyDescent="0.25">
      <c r="B19" t="s">
        <v>95</v>
      </c>
    </row>
    <row r="20" spans="2:2" x14ac:dyDescent="0.25">
      <c r="B20" t="s">
        <v>96</v>
      </c>
    </row>
    <row r="21" spans="2:2" x14ac:dyDescent="0.25">
      <c r="B21" t="s">
        <v>97</v>
      </c>
    </row>
    <row r="22" spans="2:2" x14ac:dyDescent="0.25">
      <c r="B22" t="s">
        <v>98</v>
      </c>
    </row>
    <row r="23" spans="2:2" x14ac:dyDescent="0.25">
      <c r="B23" t="s">
        <v>99</v>
      </c>
    </row>
    <row r="24" spans="2:2" x14ac:dyDescent="0.25">
      <c r="B24" t="s">
        <v>100</v>
      </c>
    </row>
    <row r="25" spans="2:2" x14ac:dyDescent="0.25">
      <c r="B25" t="s">
        <v>49</v>
      </c>
    </row>
    <row r="26" spans="2:2" x14ac:dyDescent="0.25">
      <c r="B26" t="s">
        <v>101</v>
      </c>
    </row>
    <row r="27" spans="2:2" x14ac:dyDescent="0.25">
      <c r="B27" t="s">
        <v>102</v>
      </c>
    </row>
    <row r="28" spans="2:2" x14ac:dyDescent="0.25">
      <c r="B28" t="s">
        <v>103</v>
      </c>
    </row>
    <row r="29" spans="2:2" x14ac:dyDescent="0.25">
      <c r="B29" t="s">
        <v>104</v>
      </c>
    </row>
    <row r="30" spans="2:2" x14ac:dyDescent="0.25">
      <c r="B30" t="s">
        <v>105</v>
      </c>
    </row>
    <row r="31" spans="2:2" x14ac:dyDescent="0.25">
      <c r="B31" t="s">
        <v>106</v>
      </c>
    </row>
    <row r="32" spans="2:2" x14ac:dyDescent="0.25">
      <c r="B32" t="s">
        <v>107</v>
      </c>
    </row>
    <row r="33" spans="2:2" x14ac:dyDescent="0.25">
      <c r="B33" t="s">
        <v>108</v>
      </c>
    </row>
    <row r="34" spans="2:2" x14ac:dyDescent="0.25">
      <c r="B34" t="s">
        <v>109</v>
      </c>
    </row>
    <row r="35" spans="2:2" x14ac:dyDescent="0.25">
      <c r="B35" t="s">
        <v>110</v>
      </c>
    </row>
    <row r="36" spans="2:2" x14ac:dyDescent="0.25">
      <c r="B36" t="s">
        <v>111</v>
      </c>
    </row>
    <row r="37" spans="2:2" x14ac:dyDescent="0.25">
      <c r="B37" t="s">
        <v>112</v>
      </c>
    </row>
    <row r="38" spans="2:2" x14ac:dyDescent="0.25">
      <c r="B38" t="s">
        <v>113</v>
      </c>
    </row>
    <row r="39" spans="2:2" x14ac:dyDescent="0.25">
      <c r="B39" t="s">
        <v>114</v>
      </c>
    </row>
    <row r="40" spans="2:2" x14ac:dyDescent="0.25">
      <c r="B40" t="s">
        <v>50</v>
      </c>
    </row>
    <row r="41" spans="2:2" x14ac:dyDescent="0.25">
      <c r="B41" t="s">
        <v>115</v>
      </c>
    </row>
    <row r="42" spans="2:2" x14ac:dyDescent="0.25">
      <c r="B42" t="s">
        <v>51</v>
      </c>
    </row>
    <row r="43" spans="2:2" x14ac:dyDescent="0.25">
      <c r="B43" t="s">
        <v>52</v>
      </c>
    </row>
    <row r="44" spans="2:2" x14ac:dyDescent="0.25">
      <c r="B44" t="s">
        <v>53</v>
      </c>
    </row>
    <row r="45" spans="2:2" x14ac:dyDescent="0.25">
      <c r="B45" t="s">
        <v>116</v>
      </c>
    </row>
    <row r="46" spans="2:2" x14ac:dyDescent="0.25">
      <c r="B46" t="s">
        <v>54</v>
      </c>
    </row>
    <row r="47" spans="2:2" x14ac:dyDescent="0.25">
      <c r="B47" t="s">
        <v>117</v>
      </c>
    </row>
    <row r="48" spans="2:2" x14ac:dyDescent="0.25">
      <c r="B48" t="s">
        <v>118</v>
      </c>
    </row>
    <row r="49" spans="2:2" x14ac:dyDescent="0.25">
      <c r="B49" t="s">
        <v>119</v>
      </c>
    </row>
    <row r="50" spans="2:2" x14ac:dyDescent="0.25">
      <c r="B50" t="s">
        <v>120</v>
      </c>
    </row>
    <row r="51" spans="2:2" x14ac:dyDescent="0.25">
      <c r="B51" t="s">
        <v>121</v>
      </c>
    </row>
    <row r="52" spans="2:2" x14ac:dyDescent="0.25">
      <c r="B52" t="s">
        <v>122</v>
      </c>
    </row>
    <row r="53" spans="2:2" x14ac:dyDescent="0.25">
      <c r="B53" t="s">
        <v>55</v>
      </c>
    </row>
    <row r="54" spans="2:2" x14ac:dyDescent="0.25">
      <c r="B54" t="s">
        <v>123</v>
      </c>
    </row>
    <row r="55" spans="2:2" x14ac:dyDescent="0.25">
      <c r="B55" t="s">
        <v>124</v>
      </c>
    </row>
    <row r="56" spans="2:2" x14ac:dyDescent="0.25">
      <c r="B56" t="s">
        <v>125</v>
      </c>
    </row>
    <row r="57" spans="2:2" x14ac:dyDescent="0.25">
      <c r="B57" t="s">
        <v>126</v>
      </c>
    </row>
    <row r="58" spans="2:2" x14ac:dyDescent="0.25">
      <c r="B58" t="s">
        <v>71</v>
      </c>
    </row>
    <row r="59" spans="2:2" x14ac:dyDescent="0.25">
      <c r="B59" t="s">
        <v>127</v>
      </c>
    </row>
    <row r="60" spans="2:2" x14ac:dyDescent="0.25">
      <c r="B60" t="s">
        <v>128</v>
      </c>
    </row>
    <row r="61" spans="2:2" x14ac:dyDescent="0.25">
      <c r="B61" t="s">
        <v>129</v>
      </c>
    </row>
    <row r="62" spans="2:2" x14ac:dyDescent="0.25">
      <c r="B62" t="s">
        <v>130</v>
      </c>
    </row>
    <row r="63" spans="2:2" x14ac:dyDescent="0.25">
      <c r="B63" t="s">
        <v>131</v>
      </c>
    </row>
    <row r="64" spans="2:2" x14ac:dyDescent="0.25">
      <c r="B64" t="s">
        <v>132</v>
      </c>
    </row>
    <row r="65" spans="2:2" x14ac:dyDescent="0.25">
      <c r="B65" t="s">
        <v>133</v>
      </c>
    </row>
    <row r="66" spans="2:2" x14ac:dyDescent="0.25">
      <c r="B66" t="s">
        <v>134</v>
      </c>
    </row>
    <row r="67" spans="2:2" x14ac:dyDescent="0.25">
      <c r="B67" t="s">
        <v>135</v>
      </c>
    </row>
    <row r="68" spans="2:2" x14ac:dyDescent="0.25">
      <c r="B68" t="s">
        <v>136</v>
      </c>
    </row>
    <row r="69" spans="2:2" x14ac:dyDescent="0.25">
      <c r="B69" t="s">
        <v>137</v>
      </c>
    </row>
    <row r="70" spans="2:2" x14ac:dyDescent="0.25">
      <c r="B70" t="s">
        <v>138</v>
      </c>
    </row>
    <row r="71" spans="2:2" x14ac:dyDescent="0.25">
      <c r="B71" t="s">
        <v>139</v>
      </c>
    </row>
    <row r="72" spans="2:2" x14ac:dyDescent="0.25">
      <c r="B72" t="s">
        <v>140</v>
      </c>
    </row>
    <row r="73" spans="2:2" x14ac:dyDescent="0.25">
      <c r="B73" t="s">
        <v>141</v>
      </c>
    </row>
    <row r="74" spans="2:2" x14ac:dyDescent="0.25">
      <c r="B74" t="s">
        <v>142</v>
      </c>
    </row>
    <row r="75" spans="2:2" x14ac:dyDescent="0.25">
      <c r="B75" t="s">
        <v>143</v>
      </c>
    </row>
    <row r="76" spans="2:2" x14ac:dyDescent="0.25">
      <c r="B76" t="s">
        <v>144</v>
      </c>
    </row>
    <row r="77" spans="2:2" x14ac:dyDescent="0.25">
      <c r="B77" t="s">
        <v>145</v>
      </c>
    </row>
    <row r="78" spans="2:2" x14ac:dyDescent="0.25">
      <c r="B78" t="s">
        <v>146</v>
      </c>
    </row>
    <row r="79" spans="2:2" x14ac:dyDescent="0.25">
      <c r="B79" t="s">
        <v>147</v>
      </c>
    </row>
    <row r="80" spans="2:2" x14ac:dyDescent="0.25">
      <c r="B80" t="s">
        <v>59</v>
      </c>
    </row>
    <row r="81" spans="2:2" x14ac:dyDescent="0.25">
      <c r="B81" t="s">
        <v>148</v>
      </c>
    </row>
    <row r="82" spans="2:2" x14ac:dyDescent="0.25">
      <c r="B82" t="s">
        <v>149</v>
      </c>
    </row>
    <row r="83" spans="2:2" x14ac:dyDescent="0.25">
      <c r="B83" t="s">
        <v>150</v>
      </c>
    </row>
    <row r="84" spans="2:2" x14ac:dyDescent="0.25">
      <c r="B84" t="s">
        <v>151</v>
      </c>
    </row>
    <row r="85" spans="2:2" x14ac:dyDescent="0.25">
      <c r="B85" t="s">
        <v>152</v>
      </c>
    </row>
    <row r="86" spans="2:2" x14ac:dyDescent="0.25">
      <c r="B86" t="s">
        <v>153</v>
      </c>
    </row>
    <row r="87" spans="2:2" x14ac:dyDescent="0.25">
      <c r="B87" t="s">
        <v>154</v>
      </c>
    </row>
    <row r="88" spans="2:2" x14ac:dyDescent="0.25">
      <c r="B88" t="s">
        <v>155</v>
      </c>
    </row>
    <row r="89" spans="2:2" x14ac:dyDescent="0.25">
      <c r="B89" t="s">
        <v>156</v>
      </c>
    </row>
    <row r="90" spans="2:2" x14ac:dyDescent="0.25">
      <c r="B90" t="s">
        <v>157</v>
      </c>
    </row>
    <row r="91" spans="2:2" x14ac:dyDescent="0.25">
      <c r="B91" t="s">
        <v>158</v>
      </c>
    </row>
    <row r="92" spans="2:2" x14ac:dyDescent="0.25">
      <c r="B92" t="s">
        <v>159</v>
      </c>
    </row>
    <row r="93" spans="2:2" x14ac:dyDescent="0.25">
      <c r="B93" t="s">
        <v>160</v>
      </c>
    </row>
    <row r="94" spans="2:2" x14ac:dyDescent="0.25">
      <c r="B94" t="s">
        <v>161</v>
      </c>
    </row>
    <row r="95" spans="2:2" x14ac:dyDescent="0.25">
      <c r="B95" t="s">
        <v>162</v>
      </c>
    </row>
    <row r="96" spans="2:2" x14ac:dyDescent="0.25">
      <c r="B96" t="s">
        <v>163</v>
      </c>
    </row>
    <row r="97" spans="2:2" x14ac:dyDescent="0.25">
      <c r="B97" t="s">
        <v>164</v>
      </c>
    </row>
    <row r="98" spans="2:2" x14ac:dyDescent="0.25">
      <c r="B98" t="s">
        <v>165</v>
      </c>
    </row>
    <row r="99" spans="2:2" x14ac:dyDescent="0.25">
      <c r="B99" t="s">
        <v>166</v>
      </c>
    </row>
    <row r="100" spans="2:2" x14ac:dyDescent="0.25">
      <c r="B100" t="s">
        <v>167</v>
      </c>
    </row>
    <row r="101" spans="2:2" x14ac:dyDescent="0.25">
      <c r="B101" t="s">
        <v>168</v>
      </c>
    </row>
    <row r="102" spans="2:2" x14ac:dyDescent="0.25">
      <c r="B102" t="s">
        <v>169</v>
      </c>
    </row>
    <row r="103" spans="2:2" x14ac:dyDescent="0.25">
      <c r="B103" t="s">
        <v>170</v>
      </c>
    </row>
    <row r="104" spans="2:2" x14ac:dyDescent="0.25">
      <c r="B104" t="s">
        <v>171</v>
      </c>
    </row>
    <row r="105" spans="2:2" x14ac:dyDescent="0.25">
      <c r="B105" t="s">
        <v>56</v>
      </c>
    </row>
    <row r="106" spans="2:2" x14ac:dyDescent="0.25">
      <c r="B106" t="s">
        <v>172</v>
      </c>
    </row>
    <row r="107" spans="2:2" x14ac:dyDescent="0.25">
      <c r="B107" t="s">
        <v>173</v>
      </c>
    </row>
    <row r="108" spans="2:2" x14ac:dyDescent="0.25">
      <c r="B108" t="s">
        <v>174</v>
      </c>
    </row>
    <row r="109" spans="2:2" x14ac:dyDescent="0.25">
      <c r="B109" t="s">
        <v>175</v>
      </c>
    </row>
    <row r="110" spans="2:2" x14ac:dyDescent="0.25">
      <c r="B110" t="s">
        <v>176</v>
      </c>
    </row>
    <row r="111" spans="2:2" x14ac:dyDescent="0.25">
      <c r="B111" t="s">
        <v>177</v>
      </c>
    </row>
    <row r="112" spans="2:2" x14ac:dyDescent="0.25">
      <c r="B112" t="s">
        <v>178</v>
      </c>
    </row>
    <row r="113" spans="2:2" x14ac:dyDescent="0.25">
      <c r="B113" t="s">
        <v>179</v>
      </c>
    </row>
    <row r="114" spans="2:2" x14ac:dyDescent="0.25">
      <c r="B114" t="s">
        <v>180</v>
      </c>
    </row>
    <row r="115" spans="2:2" x14ac:dyDescent="0.25">
      <c r="B115" t="s">
        <v>57</v>
      </c>
    </row>
    <row r="116" spans="2:2" x14ac:dyDescent="0.25">
      <c r="B116" t="s">
        <v>181</v>
      </c>
    </row>
    <row r="117" spans="2:2" x14ac:dyDescent="0.25">
      <c r="B117" t="s">
        <v>182</v>
      </c>
    </row>
    <row r="118" spans="2:2" x14ac:dyDescent="0.25">
      <c r="B118" t="s">
        <v>183</v>
      </c>
    </row>
    <row r="119" spans="2:2" x14ac:dyDescent="0.25">
      <c r="B119" t="s">
        <v>184</v>
      </c>
    </row>
    <row r="120" spans="2:2" x14ac:dyDescent="0.25">
      <c r="B120" t="s">
        <v>185</v>
      </c>
    </row>
    <row r="121" spans="2:2" x14ac:dyDescent="0.25">
      <c r="B121" t="s">
        <v>186</v>
      </c>
    </row>
    <row r="122" spans="2:2" x14ac:dyDescent="0.25">
      <c r="B122" t="s">
        <v>187</v>
      </c>
    </row>
    <row r="123" spans="2:2" x14ac:dyDescent="0.25">
      <c r="B123" t="s">
        <v>188</v>
      </c>
    </row>
    <row r="124" spans="2:2" x14ac:dyDescent="0.25">
      <c r="B124" t="s">
        <v>189</v>
      </c>
    </row>
    <row r="125" spans="2:2" x14ac:dyDescent="0.25">
      <c r="B125" t="s">
        <v>58</v>
      </c>
    </row>
    <row r="126" spans="2:2" x14ac:dyDescent="0.25">
      <c r="B126" t="s">
        <v>190</v>
      </c>
    </row>
    <row r="127" spans="2:2" x14ac:dyDescent="0.25">
      <c r="B127" t="s">
        <v>191</v>
      </c>
    </row>
    <row r="128" spans="2:2" x14ac:dyDescent="0.25">
      <c r="B128" t="s">
        <v>192</v>
      </c>
    </row>
    <row r="129" spans="2:2" x14ac:dyDescent="0.25">
      <c r="B129" t="s">
        <v>72</v>
      </c>
    </row>
    <row r="130" spans="2:2" x14ac:dyDescent="0.25">
      <c r="B130" t="s">
        <v>193</v>
      </c>
    </row>
    <row r="131" spans="2:2" x14ac:dyDescent="0.25">
      <c r="B131" t="s">
        <v>60</v>
      </c>
    </row>
    <row r="132" spans="2:2" x14ac:dyDescent="0.25">
      <c r="B132" t="s">
        <v>61</v>
      </c>
    </row>
    <row r="133" spans="2:2" x14ac:dyDescent="0.25">
      <c r="B133" t="s">
        <v>194</v>
      </c>
    </row>
    <row r="134" spans="2:2" x14ac:dyDescent="0.25">
      <c r="B134" t="s">
        <v>195</v>
      </c>
    </row>
    <row r="135" spans="2:2" x14ac:dyDescent="0.25">
      <c r="B135" t="s">
        <v>196</v>
      </c>
    </row>
    <row r="136" spans="2:2" x14ac:dyDescent="0.25">
      <c r="B136" t="s">
        <v>197</v>
      </c>
    </row>
    <row r="137" spans="2:2" x14ac:dyDescent="0.25">
      <c r="B137" t="s">
        <v>198</v>
      </c>
    </row>
    <row r="138" spans="2:2" x14ac:dyDescent="0.25">
      <c r="B138" t="s">
        <v>199</v>
      </c>
    </row>
    <row r="139" spans="2:2" x14ac:dyDescent="0.25">
      <c r="B139" t="s">
        <v>200</v>
      </c>
    </row>
    <row r="140" spans="2:2" x14ac:dyDescent="0.25">
      <c r="B140" t="s">
        <v>201</v>
      </c>
    </row>
    <row r="141" spans="2:2" x14ac:dyDescent="0.25">
      <c r="B141" t="s">
        <v>202</v>
      </c>
    </row>
    <row r="142" spans="2:2" x14ac:dyDescent="0.25">
      <c r="B142" t="s">
        <v>203</v>
      </c>
    </row>
    <row r="143" spans="2:2" x14ac:dyDescent="0.25">
      <c r="B143" t="s">
        <v>204</v>
      </c>
    </row>
    <row r="144" spans="2:2" x14ac:dyDescent="0.25">
      <c r="B144" t="s">
        <v>62</v>
      </c>
    </row>
    <row r="145" spans="2:2" x14ac:dyDescent="0.25">
      <c r="B145" t="s">
        <v>205</v>
      </c>
    </row>
    <row r="146" spans="2:2" x14ac:dyDescent="0.25">
      <c r="B146" t="s">
        <v>206</v>
      </c>
    </row>
    <row r="147" spans="2:2" x14ac:dyDescent="0.25">
      <c r="B147" t="s">
        <v>207</v>
      </c>
    </row>
    <row r="148" spans="2:2" x14ac:dyDescent="0.25">
      <c r="B148" t="s">
        <v>63</v>
      </c>
    </row>
    <row r="149" spans="2:2" x14ac:dyDescent="0.25">
      <c r="B149" t="s">
        <v>208</v>
      </c>
    </row>
    <row r="150" spans="2:2" x14ac:dyDescent="0.25">
      <c r="B150" t="s">
        <v>209</v>
      </c>
    </row>
    <row r="151" spans="2:2" x14ac:dyDescent="0.25">
      <c r="B151" t="s">
        <v>210</v>
      </c>
    </row>
    <row r="152" spans="2:2" x14ac:dyDescent="0.25">
      <c r="B152" t="s">
        <v>211</v>
      </c>
    </row>
    <row r="153" spans="2:2" x14ac:dyDescent="0.25">
      <c r="B153" t="s">
        <v>212</v>
      </c>
    </row>
    <row r="154" spans="2:2" x14ac:dyDescent="0.25">
      <c r="B154" t="s">
        <v>64</v>
      </c>
    </row>
    <row r="155" spans="2:2" x14ac:dyDescent="0.25">
      <c r="B155" t="s">
        <v>213</v>
      </c>
    </row>
    <row r="156" spans="2:2" x14ac:dyDescent="0.25">
      <c r="B156" t="s">
        <v>214</v>
      </c>
    </row>
    <row r="157" spans="2:2" x14ac:dyDescent="0.25">
      <c r="B157" t="s">
        <v>215</v>
      </c>
    </row>
    <row r="158" spans="2:2" x14ac:dyDescent="0.25">
      <c r="B158" t="s">
        <v>65</v>
      </c>
    </row>
    <row r="159" spans="2:2" x14ac:dyDescent="0.25">
      <c r="B159" t="s">
        <v>216</v>
      </c>
    </row>
    <row r="160" spans="2:2" x14ac:dyDescent="0.25">
      <c r="B160" t="s">
        <v>217</v>
      </c>
    </row>
    <row r="161" spans="2:2" x14ac:dyDescent="0.25">
      <c r="B161" t="s">
        <v>218</v>
      </c>
    </row>
    <row r="162" spans="2:2" x14ac:dyDescent="0.25">
      <c r="B162" t="s">
        <v>219</v>
      </c>
    </row>
    <row r="163" spans="2:2" x14ac:dyDescent="0.25">
      <c r="B163" t="s">
        <v>220</v>
      </c>
    </row>
    <row r="164" spans="2:2" x14ac:dyDescent="0.25">
      <c r="B164" t="s">
        <v>221</v>
      </c>
    </row>
    <row r="165" spans="2:2" x14ac:dyDescent="0.25">
      <c r="B165" t="s">
        <v>222</v>
      </c>
    </row>
    <row r="166" spans="2:2" x14ac:dyDescent="0.25">
      <c r="B166" t="s">
        <v>223</v>
      </c>
    </row>
    <row r="167" spans="2:2" x14ac:dyDescent="0.25">
      <c r="B167" t="s">
        <v>224</v>
      </c>
    </row>
    <row r="168" spans="2:2" x14ac:dyDescent="0.25">
      <c r="B168" t="s">
        <v>225</v>
      </c>
    </row>
    <row r="169" spans="2:2" x14ac:dyDescent="0.25">
      <c r="B169" t="s">
        <v>226</v>
      </c>
    </row>
    <row r="170" spans="2:2" x14ac:dyDescent="0.25">
      <c r="B170" t="s">
        <v>227</v>
      </c>
    </row>
    <row r="171" spans="2:2" x14ac:dyDescent="0.25">
      <c r="B171" t="s">
        <v>228</v>
      </c>
    </row>
    <row r="172" spans="2:2" x14ac:dyDescent="0.25">
      <c r="B172" t="s">
        <v>66</v>
      </c>
    </row>
    <row r="173" spans="2:2" x14ac:dyDescent="0.25">
      <c r="B173" t="s">
        <v>229</v>
      </c>
    </row>
    <row r="174" spans="2:2" x14ac:dyDescent="0.25">
      <c r="B174" t="s">
        <v>230</v>
      </c>
    </row>
    <row r="175" spans="2:2" x14ac:dyDescent="0.25">
      <c r="B175" t="s">
        <v>231</v>
      </c>
    </row>
    <row r="176" spans="2:2" x14ac:dyDescent="0.25">
      <c r="B176" t="s">
        <v>232</v>
      </c>
    </row>
    <row r="177" spans="2:2" x14ac:dyDescent="0.25">
      <c r="B177" t="s">
        <v>233</v>
      </c>
    </row>
    <row r="178" spans="2:2" x14ac:dyDescent="0.25">
      <c r="B178" t="s">
        <v>234</v>
      </c>
    </row>
    <row r="179" spans="2:2" x14ac:dyDescent="0.25">
      <c r="B179" t="s">
        <v>235</v>
      </c>
    </row>
    <row r="180" spans="2:2" x14ac:dyDescent="0.25">
      <c r="B180" t="s">
        <v>67</v>
      </c>
    </row>
    <row r="181" spans="2:2" x14ac:dyDescent="0.25">
      <c r="B181" t="s">
        <v>236</v>
      </c>
    </row>
    <row r="182" spans="2:2" x14ac:dyDescent="0.25">
      <c r="B182" t="s">
        <v>237</v>
      </c>
    </row>
    <row r="183" spans="2:2" x14ac:dyDescent="0.25">
      <c r="B183" t="s">
        <v>238</v>
      </c>
    </row>
    <row r="184" spans="2:2" x14ac:dyDescent="0.25">
      <c r="B184" t="s">
        <v>239</v>
      </c>
    </row>
    <row r="185" spans="2:2" x14ac:dyDescent="0.25">
      <c r="B185" t="s">
        <v>240</v>
      </c>
    </row>
    <row r="186" spans="2:2" x14ac:dyDescent="0.25">
      <c r="B186" t="s">
        <v>241</v>
      </c>
    </row>
    <row r="187" spans="2:2" x14ac:dyDescent="0.25">
      <c r="B187" t="s">
        <v>242</v>
      </c>
    </row>
    <row r="188" spans="2:2" x14ac:dyDescent="0.25">
      <c r="B188" t="s">
        <v>243</v>
      </c>
    </row>
    <row r="189" spans="2:2" x14ac:dyDescent="0.25">
      <c r="B189" t="s">
        <v>244</v>
      </c>
    </row>
    <row r="190" spans="2:2" x14ac:dyDescent="0.25">
      <c r="B190" t="s">
        <v>69</v>
      </c>
    </row>
    <row r="191" spans="2:2" x14ac:dyDescent="0.25">
      <c r="B191" t="s">
        <v>245</v>
      </c>
    </row>
    <row r="192" spans="2:2" x14ac:dyDescent="0.25">
      <c r="B192" t="s">
        <v>246</v>
      </c>
    </row>
    <row r="193" spans="2:2" x14ac:dyDescent="0.25">
      <c r="B193" t="s">
        <v>247</v>
      </c>
    </row>
    <row r="194" spans="2:2" x14ac:dyDescent="0.25">
      <c r="B194" t="s">
        <v>248</v>
      </c>
    </row>
    <row r="195" spans="2:2" x14ac:dyDescent="0.25">
      <c r="B195" t="s">
        <v>249</v>
      </c>
    </row>
    <row r="196" spans="2:2" x14ac:dyDescent="0.25">
      <c r="B196" t="s">
        <v>250</v>
      </c>
    </row>
    <row r="197" spans="2:2" x14ac:dyDescent="0.25">
      <c r="B197" t="s">
        <v>251</v>
      </c>
    </row>
    <row r="198" spans="2:2" x14ac:dyDescent="0.25">
      <c r="B198" t="s">
        <v>252</v>
      </c>
    </row>
    <row r="199" spans="2:2" x14ac:dyDescent="0.25">
      <c r="B199" t="s">
        <v>253</v>
      </c>
    </row>
    <row r="200" spans="2:2" x14ac:dyDescent="0.25">
      <c r="B200" t="s">
        <v>254</v>
      </c>
    </row>
    <row r="201" spans="2:2" x14ac:dyDescent="0.25">
      <c r="B201" t="s">
        <v>73</v>
      </c>
    </row>
    <row r="202" spans="2:2" x14ac:dyDescent="0.25">
      <c r="B202" t="s">
        <v>255</v>
      </c>
    </row>
    <row r="203" spans="2:2" x14ac:dyDescent="0.25">
      <c r="B203" t="s">
        <v>256</v>
      </c>
    </row>
    <row r="204" spans="2:2" x14ac:dyDescent="0.25">
      <c r="B204" t="s">
        <v>257</v>
      </c>
    </row>
    <row r="205" spans="2:2" x14ac:dyDescent="0.25">
      <c r="B205" t="s">
        <v>258</v>
      </c>
    </row>
    <row r="206" spans="2:2" x14ac:dyDescent="0.25">
      <c r="B206" t="s">
        <v>259</v>
      </c>
    </row>
    <row r="207" spans="2:2" x14ac:dyDescent="0.25">
      <c r="B207" t="s">
        <v>260</v>
      </c>
    </row>
    <row r="208" spans="2:2" x14ac:dyDescent="0.25">
      <c r="B208" t="s">
        <v>261</v>
      </c>
    </row>
    <row r="209" spans="2:2" x14ac:dyDescent="0.25">
      <c r="B209" t="s">
        <v>262</v>
      </c>
    </row>
    <row r="210" spans="2:2" x14ac:dyDescent="0.25">
      <c r="B210" t="s">
        <v>70</v>
      </c>
    </row>
    <row r="211" spans="2:2" x14ac:dyDescent="0.25">
      <c r="B211" t="s">
        <v>263</v>
      </c>
    </row>
    <row r="212" spans="2:2" x14ac:dyDescent="0.25">
      <c r="B212" t="s">
        <v>264</v>
      </c>
    </row>
    <row r="213" spans="2:2" x14ac:dyDescent="0.25">
      <c r="B213" t="s">
        <v>265</v>
      </c>
    </row>
    <row r="214" spans="2:2" x14ac:dyDescent="0.25">
      <c r="B214" t="s">
        <v>266</v>
      </c>
    </row>
    <row r="215" spans="2:2" x14ac:dyDescent="0.25">
      <c r="B215" t="s">
        <v>267</v>
      </c>
    </row>
    <row r="216" spans="2:2" x14ac:dyDescent="0.25">
      <c r="B216" t="s">
        <v>268</v>
      </c>
    </row>
    <row r="217" spans="2:2" x14ac:dyDescent="0.25">
      <c r="B217" t="s">
        <v>269</v>
      </c>
    </row>
    <row r="218" spans="2:2" x14ac:dyDescent="0.25">
      <c r="B218" t="s">
        <v>270</v>
      </c>
    </row>
    <row r="219" spans="2:2" x14ac:dyDescent="0.25">
      <c r="B219" t="s">
        <v>271</v>
      </c>
    </row>
    <row r="220" spans="2:2" x14ac:dyDescent="0.25">
      <c r="B220" t="s">
        <v>272</v>
      </c>
    </row>
    <row r="221" spans="2:2" x14ac:dyDescent="0.25">
      <c r="B221" t="s">
        <v>68</v>
      </c>
    </row>
    <row r="222" spans="2:2" x14ac:dyDescent="0.25">
      <c r="B222" t="s">
        <v>273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5"/>
  <sheetViews>
    <sheetView showGridLines="0" workbookViewId="0"/>
  </sheetViews>
  <sheetFormatPr baseColWidth="10" defaultRowHeight="15" x14ac:dyDescent="0.25"/>
  <cols>
    <col min="1" max="1" width="14" bestFit="1" customWidth="1"/>
    <col min="2" max="2" width="18.28515625" bestFit="1" customWidth="1"/>
    <col min="3" max="3" width="18.85546875" customWidth="1"/>
    <col min="4" max="4" width="12.140625" customWidth="1"/>
    <col min="5" max="6" width="14.140625" customWidth="1"/>
  </cols>
  <sheetData>
    <row r="1" spans="1:6" x14ac:dyDescent="0.25">
      <c r="A1" s="8" t="s">
        <v>34</v>
      </c>
      <c r="B1" s="8" t="s">
        <v>35</v>
      </c>
    </row>
    <row r="2" spans="1:6" x14ac:dyDescent="0.25">
      <c r="A2" s="8" t="s">
        <v>36</v>
      </c>
      <c r="B2" s="8" t="str">
        <f ca="1">MID(B4,5,4)</f>
        <v>2021</v>
      </c>
      <c r="C2" t="s">
        <v>84</v>
      </c>
    </row>
    <row r="3" spans="1:6" x14ac:dyDescent="0.25">
      <c r="A3" s="8" t="s">
        <v>40</v>
      </c>
      <c r="B3" s="30" t="str">
        <f ca="1">_xll.DBRW(Server&amp;"z_Admin_Param","PHASE_LTP","STR_VAR1")</f>
        <v>LTP_2021_VC</v>
      </c>
      <c r="C3" t="s">
        <v>84</v>
      </c>
    </row>
    <row r="4" spans="1:6" hidden="1" x14ac:dyDescent="0.25">
      <c r="A4" s="29" t="s">
        <v>78</v>
      </c>
      <c r="B4" s="31" t="str">
        <f ca="1">_xll.SUBNM(Server&amp;"Phase","LTP_Current",PHASE_LTP)</f>
        <v>LTP_2021_VC</v>
      </c>
    </row>
    <row r="7" spans="1:6" x14ac:dyDescent="0.25">
      <c r="C7" s="34" t="s">
        <v>90</v>
      </c>
      <c r="D7" s="34" t="s">
        <v>79</v>
      </c>
      <c r="E7" s="34" t="s">
        <v>83</v>
      </c>
      <c r="F7" s="34" t="s">
        <v>91</v>
      </c>
    </row>
    <row r="8" spans="1:6" x14ac:dyDescent="0.25">
      <c r="C8" t="s">
        <v>80</v>
      </c>
      <c r="D8" s="32">
        <f ca="1">Year_Selected-1</f>
        <v>2020</v>
      </c>
      <c r="E8" s="35" t="s">
        <v>44</v>
      </c>
      <c r="F8" t="str">
        <f ca="1">Year_Selected-1&amp;".12"</f>
        <v>2020.12</v>
      </c>
    </row>
    <row r="9" spans="1:6" x14ac:dyDescent="0.25">
      <c r="C9" t="s">
        <v>81</v>
      </c>
      <c r="D9" s="32" t="str">
        <f ca="1">Year_Selected</f>
        <v>2021</v>
      </c>
      <c r="E9" s="35" t="s">
        <v>44</v>
      </c>
      <c r="F9" t="str">
        <f ca="1">Year_Selected&amp;".12"</f>
        <v>2021.12</v>
      </c>
    </row>
    <row r="10" spans="1:6" x14ac:dyDescent="0.25">
      <c r="C10" t="s">
        <v>82</v>
      </c>
      <c r="D10" s="32">
        <f ca="1">Year_Selected+1</f>
        <v>2022</v>
      </c>
      <c r="E10" s="35" t="s">
        <v>77</v>
      </c>
      <c r="F10" t="str">
        <f ca="1">Year_Selected+1&amp;".12"</f>
        <v>2022.12</v>
      </c>
    </row>
    <row r="11" spans="1:6" x14ac:dyDescent="0.25">
      <c r="C11" t="s">
        <v>85</v>
      </c>
      <c r="D11" s="32">
        <f ca="1">Year_Selected+2</f>
        <v>2023</v>
      </c>
      <c r="E11" s="33" t="str">
        <f ca="1">B4</f>
        <v>LTP_2021_VC</v>
      </c>
      <c r="F11" t="str">
        <f ca="1">"F_Year_"&amp;Year_Selected+2</f>
        <v>F_Year_2023</v>
      </c>
    </row>
    <row r="12" spans="1:6" x14ac:dyDescent="0.25">
      <c r="C12" t="s">
        <v>86</v>
      </c>
      <c r="D12" s="32">
        <f ca="1">Year_Selected+3</f>
        <v>2024</v>
      </c>
      <c r="E12" s="33" t="str">
        <f ca="1">E11</f>
        <v>LTP_2021_VC</v>
      </c>
      <c r="F12" t="str">
        <f ca="1">"F_Year_"&amp;Year_Selected+3</f>
        <v>F_Year_2024</v>
      </c>
    </row>
    <row r="13" spans="1:6" x14ac:dyDescent="0.25">
      <c r="C13" t="s">
        <v>87</v>
      </c>
      <c r="D13" s="32">
        <f ca="1">Year_Selected+4</f>
        <v>2025</v>
      </c>
      <c r="E13" s="33" t="str">
        <f t="shared" ref="E13:E15" ca="1" si="0">E12</f>
        <v>LTP_2021_VC</v>
      </c>
      <c r="F13" t="str">
        <f ca="1">"F_Year_"&amp;Year_Selected+4</f>
        <v>F_Year_2025</v>
      </c>
    </row>
    <row r="14" spans="1:6" x14ac:dyDescent="0.25">
      <c r="C14" t="s">
        <v>88</v>
      </c>
      <c r="D14" s="32">
        <f ca="1">Year_Selected+5</f>
        <v>2026</v>
      </c>
      <c r="E14" s="33" t="str">
        <f t="shared" ca="1" si="0"/>
        <v>LTP_2021_VC</v>
      </c>
      <c r="F14" t="str">
        <f ca="1">"F_Year_"&amp;Year_Selected+5</f>
        <v>F_Year_2026</v>
      </c>
    </row>
    <row r="15" spans="1:6" x14ac:dyDescent="0.25">
      <c r="C15" t="s">
        <v>89</v>
      </c>
      <c r="D15" s="32">
        <f ca="1">Year_Selected+6</f>
        <v>2027</v>
      </c>
      <c r="E15" s="33" t="str">
        <f t="shared" ca="1" si="0"/>
        <v>LTP_2021_VC</v>
      </c>
      <c r="F15" t="str">
        <f ca="1">"F_Year_"&amp;Year_Selected+6</f>
        <v>F_Year_2027</v>
      </c>
    </row>
  </sheetData>
  <dataValidations count="1">
    <dataValidation type="list" allowBlank="1" showInputMessage="1" showErrorMessage="1" sqref="E8:E10">
      <formula1>"ACT,FC_1_VC,FC_2_VC,BUDG_VC"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249977111117893"/>
  </sheetPr>
  <dimension ref="A1:AN52"/>
  <sheetViews>
    <sheetView showGridLines="0" tabSelected="1" topLeftCell="B10" zoomScale="80" zoomScaleNormal="80" workbookViewId="0">
      <selection activeCell="C15" sqref="C15"/>
    </sheetView>
  </sheetViews>
  <sheetFormatPr baseColWidth="10" defaultRowHeight="15" outlineLevelRow="1" outlineLevelCol="1" x14ac:dyDescent="0.25"/>
  <cols>
    <col min="1" max="1" width="2.7109375" hidden="1" customWidth="1"/>
    <col min="2" max="2" width="3.85546875" customWidth="1"/>
    <col min="3" max="3" width="27.85546875" customWidth="1"/>
    <col min="4" max="4" width="1.5703125" customWidth="1"/>
    <col min="5" max="9" width="12" customWidth="1"/>
    <col min="10" max="10" width="2" customWidth="1"/>
    <col min="11" max="13" width="9.7109375" customWidth="1"/>
    <col min="14" max="14" width="10.28515625" customWidth="1"/>
    <col min="15" max="15" width="9.7109375" customWidth="1"/>
    <col min="16" max="16" width="2" customWidth="1"/>
    <col min="17" max="21" width="10" customWidth="1"/>
    <col min="22" max="22" width="7" customWidth="1"/>
    <col min="23" max="27" width="11.42578125" hidden="1" customWidth="1" outlineLevel="1"/>
    <col min="28" max="28" width="1.5703125" hidden="1" customWidth="1" outlineLevel="1"/>
    <col min="29" max="33" width="11.42578125" hidden="1" customWidth="1" outlineLevel="1"/>
    <col min="34" max="34" width="1.5703125" hidden="1" customWidth="1" outlineLevel="1"/>
    <col min="35" max="39" width="11.42578125" hidden="1" customWidth="1" outlineLevel="1"/>
    <col min="40" max="40" width="11.42578125" collapsed="1"/>
  </cols>
  <sheetData>
    <row r="1" spans="1:39" hidden="1" outlineLevel="1" x14ac:dyDescent="0.25">
      <c r="A1" t="s">
        <v>2</v>
      </c>
    </row>
    <row r="2" spans="1:39" hidden="1" outlineLevel="1" x14ac:dyDescent="0.25">
      <c r="A2">
        <f ca="1">0</f>
        <v>0</v>
      </c>
      <c r="C2" s="2"/>
      <c r="D2" s="2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1:39" hidden="1" outlineLevel="1" x14ac:dyDescent="0.25">
      <c r="A3">
        <f ca="1">1</f>
        <v>1</v>
      </c>
      <c r="C3" s="3"/>
      <c r="D3" s="3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spans="1:39" hidden="1" outlineLevel="1" x14ac:dyDescent="0.25">
      <c r="A4">
        <f ca="1">2</f>
        <v>2</v>
      </c>
      <c r="C4" s="3"/>
      <c r="D4" s="3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1:39" hidden="1" outlineLevel="1" x14ac:dyDescent="0.25">
      <c r="A5">
        <f ca="1">3</f>
        <v>3</v>
      </c>
      <c r="C5" s="3"/>
      <c r="D5" s="3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39" hidden="1" outlineLevel="1" x14ac:dyDescent="0.25">
      <c r="A6" t="s">
        <v>0</v>
      </c>
      <c r="C6" s="3"/>
      <c r="D6" s="3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</row>
    <row r="7" spans="1:39" ht="15.75" hidden="1" outlineLevel="1" x14ac:dyDescent="0.25">
      <c r="A7" t="s">
        <v>1</v>
      </c>
      <c r="C7" s="11"/>
      <c r="E7" s="36"/>
      <c r="F7" s="36"/>
      <c r="G7" s="36"/>
      <c r="H7" s="36"/>
      <c r="I7" s="36"/>
      <c r="J7" s="6"/>
      <c r="K7" s="36"/>
      <c r="L7" s="36"/>
      <c r="M7" s="36"/>
      <c r="N7" s="36"/>
      <c r="O7" s="36"/>
      <c r="P7" s="6"/>
      <c r="Q7" s="36"/>
      <c r="R7" s="36"/>
      <c r="S7" s="36"/>
      <c r="T7" s="36"/>
      <c r="U7" s="36"/>
      <c r="W7" s="26"/>
      <c r="X7" s="26"/>
      <c r="Y7" s="26"/>
      <c r="Z7" s="26"/>
      <c r="AA7" s="26"/>
      <c r="AC7" s="26"/>
      <c r="AD7" s="26"/>
      <c r="AE7" s="26"/>
      <c r="AF7" s="26"/>
      <c r="AG7" s="26"/>
      <c r="AI7" s="26"/>
      <c r="AJ7" s="26"/>
      <c r="AK7" s="26"/>
      <c r="AL7" s="26"/>
      <c r="AM7" s="26"/>
    </row>
    <row r="8" spans="1:39" hidden="1" outlineLevel="1" x14ac:dyDescent="0.25">
      <c r="A8" t="s">
        <v>3</v>
      </c>
    </row>
    <row r="9" spans="1:39" hidden="1" outlineLevel="1" x14ac:dyDescent="0.25">
      <c r="C9" t="str">
        <f ca="1">_xll.TM1RPTVIEW(Server&amp;"ST_LTP_TAXES_INTERESTS_RATES:ARPT1", 0, _xll.TM1RPTTITLE(Server&amp;"Phase",$C$15),TM1RPTFMTRNG,TM1RPTFMTIDCOL)</f>
        <v>tango_core_model:ST_LTP_TAXES_INTERESTS_RATES:ARPT1</v>
      </c>
      <c r="I9" t="str">
        <f ca="1">_xll.VIEW(Server&amp;"ST_LTP_TAXES_INTERESTS_RATES",$C$15,"!","!","!")</f>
        <v>tango_core_model:ST_LTP_TAXES_INTERESTS_RATES</v>
      </c>
    </row>
    <row r="10" spans="1:39" ht="28.5" collapsed="1" x14ac:dyDescent="0.25">
      <c r="A10" s="37"/>
      <c r="B10" s="37"/>
      <c r="C10" s="37"/>
      <c r="D10" s="37"/>
      <c r="E10" s="43" t="s">
        <v>37</v>
      </c>
      <c r="F10" s="43"/>
      <c r="G10" s="43"/>
      <c r="H10" s="43"/>
      <c r="I10" s="43"/>
      <c r="J10" s="43"/>
      <c r="K10" s="43"/>
      <c r="L10" s="43"/>
      <c r="M10" s="43"/>
      <c r="N10" s="38"/>
      <c r="O10" s="38"/>
      <c r="P10" s="38"/>
      <c r="Q10" s="38"/>
      <c r="R10" s="38"/>
      <c r="S10" s="38"/>
      <c r="T10" s="38"/>
      <c r="U10" s="38"/>
    </row>
    <row r="11" spans="1:39" ht="39.75" customHeight="1" x14ac:dyDescent="0.25">
      <c r="A11" s="37"/>
      <c r="B11" s="37"/>
      <c r="C11" s="37"/>
      <c r="D11" s="37"/>
      <c r="E11" s="43"/>
      <c r="F11" s="43"/>
      <c r="G11" s="43"/>
      <c r="H11" s="43"/>
      <c r="I11" s="43"/>
      <c r="J11" s="43"/>
      <c r="K11" s="43"/>
      <c r="L11" s="43"/>
      <c r="M11" s="43"/>
      <c r="N11" s="38"/>
      <c r="O11" s="38"/>
      <c r="P11" s="38"/>
      <c r="Q11" s="38"/>
      <c r="R11" s="38"/>
      <c r="S11" s="38"/>
      <c r="T11" s="38"/>
      <c r="U11" s="38"/>
      <c r="X11" s="15" t="s">
        <v>43</v>
      </c>
    </row>
    <row r="12" spans="1:39" ht="15" customHeight="1" x14ac:dyDescent="0.25">
      <c r="A12" s="37"/>
      <c r="B12" s="37"/>
      <c r="C12" s="37"/>
      <c r="D12" s="37"/>
      <c r="E12" s="43"/>
      <c r="F12" s="43"/>
      <c r="G12" s="43"/>
      <c r="H12" s="43"/>
      <c r="I12" s="43"/>
      <c r="J12" s="43"/>
      <c r="K12" s="43"/>
      <c r="L12" s="43"/>
      <c r="M12" s="43"/>
      <c r="N12" s="38"/>
      <c r="O12" s="38"/>
      <c r="P12" s="38"/>
      <c r="Q12" s="38"/>
      <c r="R12" s="38"/>
      <c r="S12" s="38"/>
      <c r="T12" s="38"/>
      <c r="U12" s="38"/>
    </row>
    <row r="14" spans="1:39" ht="15.75" x14ac:dyDescent="0.25">
      <c r="C14" s="9" t="s">
        <v>32</v>
      </c>
      <c r="D14" s="1"/>
    </row>
    <row r="15" spans="1:39" ht="15.75" x14ac:dyDescent="0.25">
      <c r="C15" s="28" t="str">
        <f ca="1">PHASE_LTP</f>
        <v>LTP_2021_VC</v>
      </c>
    </row>
    <row r="16" spans="1:39" hidden="1" outlineLevel="1" x14ac:dyDescent="0.25">
      <c r="C16" t="s">
        <v>33</v>
      </c>
      <c r="E16" s="7" t="s">
        <v>74</v>
      </c>
      <c r="F16" s="7" t="s">
        <v>74</v>
      </c>
      <c r="G16" s="7" t="s">
        <v>74</v>
      </c>
      <c r="H16" s="7" t="s">
        <v>74</v>
      </c>
      <c r="I16" s="7" t="s">
        <v>74</v>
      </c>
      <c r="J16" s="7"/>
      <c r="K16" s="7" t="s">
        <v>75</v>
      </c>
      <c r="L16" s="7" t="s">
        <v>75</v>
      </c>
      <c r="M16" s="7" t="s">
        <v>75</v>
      </c>
      <c r="N16" s="7" t="s">
        <v>75</v>
      </c>
      <c r="O16" s="7" t="s">
        <v>75</v>
      </c>
      <c r="P16" s="7"/>
      <c r="Q16" s="7" t="s">
        <v>76</v>
      </c>
      <c r="R16" s="7" t="s">
        <v>76</v>
      </c>
      <c r="S16" s="7" t="s">
        <v>76</v>
      </c>
      <c r="T16" s="7" t="s">
        <v>76</v>
      </c>
      <c r="U16" s="7" t="s">
        <v>76</v>
      </c>
      <c r="W16" s="7" t="s">
        <v>74</v>
      </c>
      <c r="X16" s="7" t="s">
        <v>74</v>
      </c>
      <c r="Y16" s="7" t="s">
        <v>74</v>
      </c>
      <c r="Z16" s="7" t="s">
        <v>74</v>
      </c>
      <c r="AA16" s="7" t="s">
        <v>74</v>
      </c>
      <c r="AB16" s="7"/>
      <c r="AC16" s="7" t="s">
        <v>75</v>
      </c>
      <c r="AD16" s="7" t="s">
        <v>75</v>
      </c>
      <c r="AE16" s="7" t="s">
        <v>75</v>
      </c>
      <c r="AF16" s="7" t="s">
        <v>75</v>
      </c>
      <c r="AG16" s="7" t="s">
        <v>75</v>
      </c>
      <c r="AH16" s="7"/>
      <c r="AI16" s="7" t="s">
        <v>76</v>
      </c>
      <c r="AJ16" s="7" t="s">
        <v>76</v>
      </c>
      <c r="AK16" s="7" t="s">
        <v>76</v>
      </c>
      <c r="AL16" s="7" t="s">
        <v>76</v>
      </c>
      <c r="AM16" s="7" t="s">
        <v>76</v>
      </c>
    </row>
    <row r="17" spans="1:39" hidden="1" outlineLevel="1" x14ac:dyDescent="0.25">
      <c r="C17" t="s">
        <v>31</v>
      </c>
      <c r="E17" s="7" t="str">
        <f t="shared" ref="E17:I17" ca="1" si="0">"F_year_"&amp;E$24</f>
        <v>F_year_2023</v>
      </c>
      <c r="F17" s="7" t="str">
        <f t="shared" ca="1" si="0"/>
        <v>F_year_2024</v>
      </c>
      <c r="G17" s="7" t="str">
        <f t="shared" ca="1" si="0"/>
        <v>F_year_2025</v>
      </c>
      <c r="H17" s="7" t="str">
        <f t="shared" ca="1" si="0"/>
        <v>F_year_2026</v>
      </c>
      <c r="I17" s="7" t="str">
        <f t="shared" ca="1" si="0"/>
        <v>F_year_2027</v>
      </c>
      <c r="J17" s="7"/>
      <c r="K17" s="7" t="str">
        <f t="shared" ref="K17:O17" ca="1" si="1">"F_year_"&amp;K$24</f>
        <v>F_year_2023</v>
      </c>
      <c r="L17" s="7" t="str">
        <f t="shared" ca="1" si="1"/>
        <v>F_year_2024</v>
      </c>
      <c r="M17" s="7" t="str">
        <f t="shared" ca="1" si="1"/>
        <v>F_year_2025</v>
      </c>
      <c r="N17" s="7" t="str">
        <f t="shared" ca="1" si="1"/>
        <v>F_year_2026</v>
      </c>
      <c r="O17" s="7" t="str">
        <f t="shared" ca="1" si="1"/>
        <v>F_year_2027</v>
      </c>
      <c r="P17" s="7"/>
      <c r="Q17" s="7" t="str">
        <f t="shared" ref="Q17:U17" ca="1" si="2">"F_year_"&amp;Q$24</f>
        <v>F_year_2023</v>
      </c>
      <c r="R17" s="7" t="str">
        <f t="shared" ca="1" si="2"/>
        <v>F_year_2024</v>
      </c>
      <c r="S17" s="7" t="str">
        <f t="shared" ca="1" si="2"/>
        <v>F_year_2025</v>
      </c>
      <c r="T17" s="7" t="str">
        <f t="shared" ca="1" si="2"/>
        <v>F_year_2026</v>
      </c>
      <c r="U17" s="7" t="str">
        <f t="shared" ca="1" si="2"/>
        <v>F_year_2027</v>
      </c>
      <c r="W17" s="7" t="str">
        <f t="shared" ref="W17:AA17" ca="1" si="3">"F_year_"&amp;W$24</f>
        <v>F_year_2023</v>
      </c>
      <c r="X17" s="7" t="str">
        <f t="shared" ca="1" si="3"/>
        <v>F_year_2024</v>
      </c>
      <c r="Y17" s="7" t="str">
        <f t="shared" ca="1" si="3"/>
        <v>F_year_2025</v>
      </c>
      <c r="Z17" s="7" t="str">
        <f t="shared" ca="1" si="3"/>
        <v>F_year_2026</v>
      </c>
      <c r="AA17" s="7" t="str">
        <f t="shared" ca="1" si="3"/>
        <v>F_year_2027</v>
      </c>
      <c r="AB17" s="7"/>
      <c r="AC17" s="7" t="str">
        <f t="shared" ref="AC17:AG17" ca="1" si="4">"F_year_"&amp;AC$24</f>
        <v>F_year_2023</v>
      </c>
      <c r="AD17" s="7" t="str">
        <f t="shared" ca="1" si="4"/>
        <v>F_year_2024</v>
      </c>
      <c r="AE17" s="7" t="str">
        <f t="shared" ca="1" si="4"/>
        <v>F_year_2025</v>
      </c>
      <c r="AF17" s="7" t="str">
        <f t="shared" ca="1" si="4"/>
        <v>F_year_2026</v>
      </c>
      <c r="AG17" s="7" t="str">
        <f t="shared" ca="1" si="4"/>
        <v>F_year_2027</v>
      </c>
      <c r="AH17" s="7"/>
      <c r="AI17" s="7" t="str">
        <f t="shared" ref="AI17:AM17" ca="1" si="5">"F_year_"&amp;AI$24</f>
        <v>F_year_2023</v>
      </c>
      <c r="AJ17" s="7" t="str">
        <f t="shared" ca="1" si="5"/>
        <v>F_year_2024</v>
      </c>
      <c r="AK17" s="7" t="str">
        <f t="shared" ca="1" si="5"/>
        <v>F_year_2025</v>
      </c>
      <c r="AL17" s="7" t="str">
        <f t="shared" ca="1" si="5"/>
        <v>F_year_2026</v>
      </c>
      <c r="AM17" s="7" t="str">
        <f t="shared" ca="1" si="5"/>
        <v>F_year_2027</v>
      </c>
    </row>
    <row r="18" spans="1:39" hidden="1" outlineLevel="1" x14ac:dyDescent="0.25">
      <c r="C18" t="s">
        <v>38</v>
      </c>
      <c r="D18" t="s">
        <v>39</v>
      </c>
    </row>
    <row r="19" spans="1:39" hidden="1" outlineLevel="1" x14ac:dyDescent="0.25"/>
    <row r="20" spans="1:39" hidden="1" outlineLevel="1" x14ac:dyDescent="0.25">
      <c r="F20" s="22"/>
    </row>
    <row r="21" spans="1:39" hidden="1" outlineLevel="1" x14ac:dyDescent="0.25"/>
    <row r="22" spans="1:39" ht="8.25" customHeight="1" collapsed="1" x14ac:dyDescent="0.25"/>
    <row r="23" spans="1:39" ht="18.75" customHeight="1" x14ac:dyDescent="0.25">
      <c r="E23" s="44" t="str">
        <f ca="1">_xll.DBRW(Server&amp;"}ElementAttributes_Rate_Type",E16,"Name ENG")</f>
        <v>Theoretical tax rate</v>
      </c>
      <c r="F23" s="45"/>
      <c r="G23" s="45"/>
      <c r="H23" s="45"/>
      <c r="I23" s="45"/>
      <c r="J23" s="12"/>
      <c r="K23" s="44" t="str">
        <f ca="1">_xll.DBRW(Server&amp;"}ElementAttributes_Rate_Type",K16,"Name ENG")</f>
        <v>Interest - Placement rate</v>
      </c>
      <c r="L23" s="45"/>
      <c r="M23" s="45"/>
      <c r="N23" s="45"/>
      <c r="O23" s="45"/>
      <c r="P23" s="13"/>
      <c r="Q23" s="41" t="str">
        <f ca="1">_xll.DBRW(Server&amp;"}ElementAttributes_Rate_Type",Q16,"Name ENG")</f>
        <v>Interest - Borrowing rate</v>
      </c>
      <c r="R23" s="42"/>
      <c r="S23" s="42"/>
      <c r="T23" s="42"/>
      <c r="U23" s="42"/>
      <c r="W23" s="41" t="str">
        <f ca="1">_xll.DBRW(Server&amp;"}ElementAttributes_Rate_Type",W16,"Name ENG")</f>
        <v>Theoretical tax rate</v>
      </c>
      <c r="X23" s="42"/>
      <c r="Y23" s="42"/>
      <c r="Z23" s="42"/>
      <c r="AA23" s="42"/>
      <c r="AC23" s="41" t="str">
        <f ca="1">_xll.DBRW(Server&amp;"}ElementAttributes_Rate_Type",AC16,"Name ENG")</f>
        <v>Interest - Placement rate</v>
      </c>
      <c r="AD23" s="42"/>
      <c r="AE23" s="42"/>
      <c r="AF23" s="42"/>
      <c r="AG23" s="42"/>
      <c r="AI23" s="41" t="str">
        <f ca="1">_xll.DBRW(Server&amp;"}ElementAttributes_Rate_Type",AI16,"Name ENG")</f>
        <v>Interest - Borrowing rate</v>
      </c>
      <c r="AJ23" s="42"/>
      <c r="AK23" s="42"/>
      <c r="AL23" s="42"/>
      <c r="AM23" s="42"/>
    </row>
    <row r="24" spans="1:39" ht="15.75" x14ac:dyDescent="0.25">
      <c r="E24" s="10">
        <f ca="1">LTP_1</f>
        <v>2023</v>
      </c>
      <c r="F24" s="10">
        <f ca="1">LTP_2</f>
        <v>2024</v>
      </c>
      <c r="G24" s="10">
        <f ca="1">LTP_3</f>
        <v>2025</v>
      </c>
      <c r="H24" s="10">
        <f ca="1">LTP_4</f>
        <v>2026</v>
      </c>
      <c r="I24" s="10">
        <f ca="1">LTP_5</f>
        <v>2027</v>
      </c>
      <c r="J24" s="10"/>
      <c r="K24" s="10">
        <f ca="1">LTP_1</f>
        <v>2023</v>
      </c>
      <c r="L24" s="10">
        <f ca="1">LTP_2</f>
        <v>2024</v>
      </c>
      <c r="M24" s="10">
        <f ca="1">LTP_3</f>
        <v>2025</v>
      </c>
      <c r="N24" s="10">
        <f ca="1">LTP_4</f>
        <v>2026</v>
      </c>
      <c r="O24" s="10">
        <f ca="1">LTP_5</f>
        <v>2027</v>
      </c>
      <c r="P24" s="10"/>
      <c r="Q24" s="10">
        <f ca="1">LTP_1</f>
        <v>2023</v>
      </c>
      <c r="R24" s="10">
        <f ca="1">LTP_2</f>
        <v>2024</v>
      </c>
      <c r="S24" s="10">
        <f ca="1">LTP_3</f>
        <v>2025</v>
      </c>
      <c r="T24" s="10">
        <f ca="1">LTP_4</f>
        <v>2026</v>
      </c>
      <c r="U24" s="10">
        <f ca="1">LTP_5</f>
        <v>2027</v>
      </c>
      <c r="W24" s="10">
        <f ca="1">LTP_1</f>
        <v>2023</v>
      </c>
      <c r="X24" s="10">
        <f ca="1">LTP_2</f>
        <v>2024</v>
      </c>
      <c r="Y24" s="10">
        <f ca="1">LTP_3</f>
        <v>2025</v>
      </c>
      <c r="Z24" s="10">
        <f ca="1">LTP_4</f>
        <v>2026</v>
      </c>
      <c r="AA24" s="10">
        <f ca="1">LTP_5</f>
        <v>2027</v>
      </c>
      <c r="AB24" s="10"/>
      <c r="AC24" s="10">
        <f ca="1">LTP_1</f>
        <v>2023</v>
      </c>
      <c r="AD24" s="10">
        <f ca="1">LTP_2</f>
        <v>2024</v>
      </c>
      <c r="AE24" s="10">
        <f ca="1">LTP_3</f>
        <v>2025</v>
      </c>
      <c r="AF24" s="10">
        <f ca="1">LTP_4</f>
        <v>2026</v>
      </c>
      <c r="AG24" s="10">
        <f ca="1">LTP_5</f>
        <v>2027</v>
      </c>
      <c r="AH24" s="10"/>
      <c r="AI24" s="10">
        <f ca="1">LTP_1</f>
        <v>2023</v>
      </c>
      <c r="AJ24" s="10">
        <f ca="1">LTP_2</f>
        <v>2024</v>
      </c>
      <c r="AK24" s="10">
        <f ca="1">LTP_3</f>
        <v>2025</v>
      </c>
      <c r="AL24" s="10">
        <f ca="1">LTP_4</f>
        <v>2026</v>
      </c>
      <c r="AM24" s="10">
        <f ca="1">LTP_5</f>
        <v>2027</v>
      </c>
    </row>
    <row r="25" spans="1:39" ht="15.75" x14ac:dyDescent="0.25">
      <c r="A25" t="str">
        <f ca="1">IF(_xll.TM1RPTELISCONSOLIDATED($C$25,$C25),IF(_xll.TM1RPTELLEV($C$25,$C25)&lt;=3,_xll.TM1RPTELLEV($C$25,$C25),"D"),"N")</f>
        <v>N</v>
      </c>
      <c r="C25" s="14" t="str">
        <f ca="1">_xll.TM1RPTROW($C$9,Server&amp;"Country",,,,,D18)</f>
        <v>Australia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6"/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6"/>
      <c r="Q25" s="36">
        <v>0</v>
      </c>
      <c r="R25" s="36">
        <v>0</v>
      </c>
      <c r="S25" s="36">
        <v>0</v>
      </c>
      <c r="T25" s="36">
        <v>0</v>
      </c>
      <c r="U25" s="36">
        <v>0</v>
      </c>
      <c r="W25" s="36">
        <f ca="1">IF($X$11="Restit",_xll.DBRW($C$9,$C$15,W$17,$C25,W$16),_xll.DBSW(E25,$I$9,$C$15,W$17,$C25,W$16))</f>
        <v>0</v>
      </c>
      <c r="X25" s="36">
        <f ca="1">IF($X$11="Restit",_xll.DBRW($C$9,$C$15,X$17,$C25,X$16),_xll.DBSW(F25,$I$9,$C$15,X$17,$C25,X$16))</f>
        <v>0</v>
      </c>
      <c r="Y25" s="36">
        <f ca="1">IF($X$11="Restit",_xll.DBRW($C$9,$C$15,Y$17,$C25,Y$16),_xll.DBSW(G25,$I$9,$C$15,Y$17,$C25,Y$16))</f>
        <v>0</v>
      </c>
      <c r="Z25" s="36">
        <f ca="1">IF($X$11="Restit",_xll.DBRW($C$9,$C$15,Z$17,$C25,Z$16),_xll.DBSW(H25,$I$9,$C$15,Z$17,$C25,Z$16))</f>
        <v>0</v>
      </c>
      <c r="AA25" s="36">
        <f ca="1">IF($X$11="Restit",_xll.DBRW($C$9,$C$15,AA$17,$C25,AA$16),_xll.DBSW(I25,$I$9,$C$15,AA$17,$C25,AA$16))</f>
        <v>0</v>
      </c>
      <c r="AC25" s="36">
        <f ca="1">IF($X$11="Restit",_xll.DBRW($C$9,$C$15,AC$17,$C25,AC$16),_xll.DBSW(K25,$I$9,$C$15,AC$17,$C25,AC$16))</f>
        <v>0</v>
      </c>
      <c r="AD25" s="36">
        <f ca="1">IF($X$11="Restit",_xll.DBRW($C$9,$C$15,AD$17,$C25,AD$16),_xll.DBSW(L25,$I$9,$C$15,AD$17,$C25,AD$16))</f>
        <v>0</v>
      </c>
      <c r="AE25" s="36">
        <f ca="1">IF($X$11="Restit",_xll.DBRW($C$9,$C$15,AE$17,$C25,AE$16),_xll.DBSW(M25,$I$9,$C$15,AE$17,$C25,AE$16))</f>
        <v>0</v>
      </c>
      <c r="AF25" s="36">
        <f ca="1">IF($X$11="Restit",_xll.DBRW($C$9,$C$15,AF$17,$C25,AF$16),_xll.DBSW(N25,$I$9,$C$15,AF$17,$C25,AF$16))</f>
        <v>0</v>
      </c>
      <c r="AG25" s="36">
        <f ca="1">IF($X$11="Restit",_xll.DBRW($C$9,$C$15,AG$17,$C25,AG$16),_xll.DBSW(O25,$I$9,$C$15,AG$17,$C25,AG$16))</f>
        <v>0</v>
      </c>
      <c r="AI25" s="36">
        <f ca="1">IF($X$11="Restit",_xll.DBRW($C$9,$C$15,AI$17,$C25,AI$16),_xll.DBSW(Q25,$I$9,$C$15,AI$17,$C25,AI$16))</f>
        <v>0</v>
      </c>
      <c r="AJ25" s="36">
        <f ca="1">IF($X$11="Restit",_xll.DBRW($C$9,$C$15,AJ$17,$C25,AJ$16),_xll.DBSW(R25,$I$9,$C$15,AJ$17,$C25,AJ$16))</f>
        <v>0</v>
      </c>
      <c r="AK25" s="36">
        <f ca="1">IF($X$11="Restit",_xll.DBRW($C$9,$C$15,AK$17,$C25,AK$16),_xll.DBSW(S25,$I$9,$C$15,AK$17,$C25,AK$16))</f>
        <v>0</v>
      </c>
      <c r="AL25" s="36">
        <f ca="1">IF($X$11="Restit",_xll.DBRW($C$9,$C$15,AL$17,$C25,AL$16),_xll.DBSW(T25,$I$9,$C$15,AL$17,$C25,AL$16))</f>
        <v>0</v>
      </c>
      <c r="AM25" s="36">
        <f ca="1">IF($X$11="Restit",_xll.DBRW($C$9,$C$15,AM$17,$C25,AM$16),_xll.DBSW(U25,$I$9,$C$15,AM$17,$C25,AM$16))</f>
        <v>0</v>
      </c>
    </row>
    <row r="26" spans="1:39" ht="15.75" x14ac:dyDescent="0.25">
      <c r="A26" t="str">
        <f ca="1">IF(_xll.TM1RPTELISCONSOLIDATED($C$25,$C26),IF(_xll.TM1RPTELLEV($C$25,$C26)&lt;=3,_xll.TM1RPTELLEV($C$25,$C26),"D"),"N")</f>
        <v>N</v>
      </c>
      <c r="C26" s="14" t="s">
        <v>4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6"/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6"/>
      <c r="Q26" s="36">
        <v>0</v>
      </c>
      <c r="R26" s="36">
        <v>0</v>
      </c>
      <c r="S26" s="36">
        <v>0</v>
      </c>
      <c r="T26" s="36">
        <v>0</v>
      </c>
      <c r="U26" s="36">
        <v>0</v>
      </c>
      <c r="W26" s="36">
        <f ca="1">IF($X$11="Restit",_xll.DBRW($C$9,$C$15,W$17,$C26,W$16),_xll.DBSW(E26,$I$9,$C$15,W$17,$C26,W$16))</f>
        <v>0</v>
      </c>
      <c r="X26" s="36">
        <f ca="1">IF($X$11="Restit",_xll.DBRW($C$9,$C$15,X$17,$C26,X$16),_xll.DBSW(F26,$I$9,$C$15,X$17,$C26,X$16))</f>
        <v>0</v>
      </c>
      <c r="Y26" s="36">
        <f ca="1">IF($X$11="Restit",_xll.DBRW($C$9,$C$15,Y$17,$C26,Y$16),_xll.DBSW(G26,$I$9,$C$15,Y$17,$C26,Y$16))</f>
        <v>0</v>
      </c>
      <c r="Z26" s="36">
        <f ca="1">IF($X$11="Restit",_xll.DBRW($C$9,$C$15,Z$17,$C26,Z$16),_xll.DBSW(H26,$I$9,$C$15,Z$17,$C26,Z$16))</f>
        <v>0</v>
      </c>
      <c r="AA26" s="36">
        <f ca="1">IF($X$11="Restit",_xll.DBRW($C$9,$C$15,AA$17,$C26,AA$16),_xll.DBSW(I26,$I$9,$C$15,AA$17,$C26,AA$16))</f>
        <v>0</v>
      </c>
      <c r="AC26" s="36">
        <f ca="1">IF($X$11="Restit",_xll.DBRW($C$9,$C$15,AC$17,$C26,AC$16),_xll.DBSW(K26,$I$9,$C$15,AC$17,$C26,AC$16))</f>
        <v>0</v>
      </c>
      <c r="AD26" s="36">
        <f ca="1">IF($X$11="Restit",_xll.DBRW($C$9,$C$15,AD$17,$C26,AD$16),_xll.DBSW(L26,$I$9,$C$15,AD$17,$C26,AD$16))</f>
        <v>0</v>
      </c>
      <c r="AE26" s="36">
        <f ca="1">IF($X$11="Restit",_xll.DBRW($C$9,$C$15,AE$17,$C26,AE$16),_xll.DBSW(M26,$I$9,$C$15,AE$17,$C26,AE$16))</f>
        <v>0</v>
      </c>
      <c r="AF26" s="36">
        <f ca="1">IF($X$11="Restit",_xll.DBRW($C$9,$C$15,AF$17,$C26,AF$16),_xll.DBSW(N26,$I$9,$C$15,AF$17,$C26,AF$16))</f>
        <v>0</v>
      </c>
      <c r="AG26" s="36">
        <f ca="1">IF($X$11="Restit",_xll.DBRW($C$9,$C$15,AG$17,$C26,AG$16),_xll.DBSW(O26,$I$9,$C$15,AG$17,$C26,AG$16))</f>
        <v>0</v>
      </c>
      <c r="AI26" s="36">
        <f ca="1">IF($X$11="Restit",_xll.DBRW($C$9,$C$15,AI$17,$C26,AI$16),_xll.DBSW(Q26,$I$9,$C$15,AI$17,$C26,AI$16))</f>
        <v>0</v>
      </c>
      <c r="AJ26" s="36">
        <f ca="1">IF($X$11="Restit",_xll.DBRW($C$9,$C$15,AJ$17,$C26,AJ$16),_xll.DBSW(R26,$I$9,$C$15,AJ$17,$C26,AJ$16))</f>
        <v>0</v>
      </c>
      <c r="AK26" s="36">
        <f ca="1">IF($X$11="Restit",_xll.DBRW($C$9,$C$15,AK$17,$C26,AK$16),_xll.DBSW(S26,$I$9,$C$15,AK$17,$C26,AK$16))</f>
        <v>0</v>
      </c>
      <c r="AL26" s="36">
        <f ca="1">IF($X$11="Restit",_xll.DBRW($C$9,$C$15,AL$17,$C26,AL$16),_xll.DBSW(T26,$I$9,$C$15,AL$17,$C26,AL$16))</f>
        <v>0</v>
      </c>
      <c r="AM26" s="36">
        <f ca="1">IF($X$11="Restit",_xll.DBRW($C$9,$C$15,AM$17,$C26,AM$16),_xll.DBSW(U26,$I$9,$C$15,AM$17,$C26,AM$16))</f>
        <v>0</v>
      </c>
    </row>
    <row r="27" spans="1:39" ht="15.75" x14ac:dyDescent="0.25">
      <c r="A27" t="str">
        <f ca="1">IF(_xll.TM1RPTELISCONSOLIDATED($C$25,$C27),IF(_xll.TM1RPTELLEV($C$25,$C27)&lt;=3,_xll.TM1RPTELLEV($C$25,$C27),"D"),"N")</f>
        <v>N</v>
      </c>
      <c r="C27" s="14" t="s">
        <v>5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6"/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6"/>
      <c r="Q27" s="36">
        <v>0</v>
      </c>
      <c r="R27" s="36">
        <v>0</v>
      </c>
      <c r="S27" s="36">
        <v>0</v>
      </c>
      <c r="T27" s="36">
        <v>0</v>
      </c>
      <c r="U27" s="36">
        <v>0</v>
      </c>
      <c r="W27" s="36">
        <f ca="1">IF($X$11="Restit",_xll.DBRW($C$9,$C$15,W$17,$C27,W$16),_xll.DBSW(E27,$I$9,$C$15,W$17,$C27,W$16))</f>
        <v>0</v>
      </c>
      <c r="X27" s="36">
        <f ca="1">IF($X$11="Restit",_xll.DBRW($C$9,$C$15,X$17,$C27,X$16),_xll.DBSW(F27,$I$9,$C$15,X$17,$C27,X$16))</f>
        <v>0</v>
      </c>
      <c r="Y27" s="36">
        <f ca="1">IF($X$11="Restit",_xll.DBRW($C$9,$C$15,Y$17,$C27,Y$16),_xll.DBSW(G27,$I$9,$C$15,Y$17,$C27,Y$16))</f>
        <v>0</v>
      </c>
      <c r="Z27" s="36">
        <f ca="1">IF($X$11="Restit",_xll.DBRW($C$9,$C$15,Z$17,$C27,Z$16),_xll.DBSW(H27,$I$9,$C$15,Z$17,$C27,Z$16))</f>
        <v>0</v>
      </c>
      <c r="AA27" s="36">
        <f ca="1">IF($X$11="Restit",_xll.DBRW($C$9,$C$15,AA$17,$C27,AA$16),_xll.DBSW(I27,$I$9,$C$15,AA$17,$C27,AA$16))</f>
        <v>0</v>
      </c>
      <c r="AC27" s="36">
        <f ca="1">IF($X$11="Restit",_xll.DBRW($C$9,$C$15,AC$17,$C27,AC$16),_xll.DBSW(K27,$I$9,$C$15,AC$17,$C27,AC$16))</f>
        <v>0</v>
      </c>
      <c r="AD27" s="36">
        <f ca="1">IF($X$11="Restit",_xll.DBRW($C$9,$C$15,AD$17,$C27,AD$16),_xll.DBSW(L27,$I$9,$C$15,AD$17,$C27,AD$16))</f>
        <v>0</v>
      </c>
      <c r="AE27" s="36">
        <f ca="1">IF($X$11="Restit",_xll.DBRW($C$9,$C$15,AE$17,$C27,AE$16),_xll.DBSW(M27,$I$9,$C$15,AE$17,$C27,AE$16))</f>
        <v>0</v>
      </c>
      <c r="AF27" s="36">
        <f ca="1">IF($X$11="Restit",_xll.DBRW($C$9,$C$15,AF$17,$C27,AF$16),_xll.DBSW(N27,$I$9,$C$15,AF$17,$C27,AF$16))</f>
        <v>0</v>
      </c>
      <c r="AG27" s="36">
        <f ca="1">IF($X$11="Restit",_xll.DBRW($C$9,$C$15,AG$17,$C27,AG$16),_xll.DBSW(O27,$I$9,$C$15,AG$17,$C27,AG$16))</f>
        <v>0</v>
      </c>
      <c r="AI27" s="36">
        <f ca="1">IF($X$11="Restit",_xll.DBRW($C$9,$C$15,AI$17,$C27,AI$16),_xll.DBSW(Q27,$I$9,$C$15,AI$17,$C27,AI$16))</f>
        <v>0</v>
      </c>
      <c r="AJ27" s="36">
        <f ca="1">IF($X$11="Restit",_xll.DBRW($C$9,$C$15,AJ$17,$C27,AJ$16),_xll.DBSW(R27,$I$9,$C$15,AJ$17,$C27,AJ$16))</f>
        <v>0</v>
      </c>
      <c r="AK27" s="36">
        <f ca="1">IF($X$11="Restit",_xll.DBRW($C$9,$C$15,AK$17,$C27,AK$16),_xll.DBSW(S27,$I$9,$C$15,AK$17,$C27,AK$16))</f>
        <v>0</v>
      </c>
      <c r="AL27" s="36">
        <f ca="1">IF($X$11="Restit",_xll.DBRW($C$9,$C$15,AL$17,$C27,AL$16),_xll.DBSW(T27,$I$9,$C$15,AL$17,$C27,AL$16))</f>
        <v>0</v>
      </c>
      <c r="AM27" s="36">
        <f ca="1">IF($X$11="Restit",_xll.DBRW($C$9,$C$15,AM$17,$C27,AM$16),_xll.DBSW(U27,$I$9,$C$15,AM$17,$C27,AM$16))</f>
        <v>0</v>
      </c>
    </row>
    <row r="28" spans="1:39" ht="15.75" x14ac:dyDescent="0.25">
      <c r="A28" t="str">
        <f ca="1">IF(_xll.TM1RPTELISCONSOLIDATED($C$25,$C28),IF(_xll.TM1RPTELLEV($C$25,$C28)&lt;=3,_xll.TM1RPTELLEV($C$25,$C28),"D"),"N")</f>
        <v>N</v>
      </c>
      <c r="C28" s="14" t="s">
        <v>6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6"/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6"/>
      <c r="Q28" s="36">
        <v>0</v>
      </c>
      <c r="R28" s="36">
        <v>0</v>
      </c>
      <c r="S28" s="36">
        <v>0</v>
      </c>
      <c r="T28" s="36">
        <v>0</v>
      </c>
      <c r="U28" s="36">
        <v>0</v>
      </c>
      <c r="W28" s="36">
        <f ca="1">IF($X$11="Restit",_xll.DBRW($C$9,$C$15,W$17,$C28,W$16),_xll.DBSW(E28,$I$9,$C$15,W$17,$C28,W$16))</f>
        <v>0</v>
      </c>
      <c r="X28" s="36">
        <f ca="1">IF($X$11="Restit",_xll.DBRW($C$9,$C$15,X$17,$C28,X$16),_xll.DBSW(F28,$I$9,$C$15,X$17,$C28,X$16))</f>
        <v>0</v>
      </c>
      <c r="Y28" s="36">
        <f ca="1">IF($X$11="Restit",_xll.DBRW($C$9,$C$15,Y$17,$C28,Y$16),_xll.DBSW(G28,$I$9,$C$15,Y$17,$C28,Y$16))</f>
        <v>0</v>
      </c>
      <c r="Z28" s="36">
        <f ca="1">IF($X$11="Restit",_xll.DBRW($C$9,$C$15,Z$17,$C28,Z$16),_xll.DBSW(H28,$I$9,$C$15,Z$17,$C28,Z$16))</f>
        <v>0</v>
      </c>
      <c r="AA28" s="36">
        <f ca="1">IF($X$11="Restit",_xll.DBRW($C$9,$C$15,AA$17,$C28,AA$16),_xll.DBSW(I28,$I$9,$C$15,AA$17,$C28,AA$16))</f>
        <v>0</v>
      </c>
      <c r="AC28" s="36">
        <f ca="1">IF($X$11="Restit",_xll.DBRW($C$9,$C$15,AC$17,$C28,AC$16),_xll.DBSW(K28,$I$9,$C$15,AC$17,$C28,AC$16))</f>
        <v>0</v>
      </c>
      <c r="AD28" s="36">
        <f ca="1">IF($X$11="Restit",_xll.DBRW($C$9,$C$15,AD$17,$C28,AD$16),_xll.DBSW(L28,$I$9,$C$15,AD$17,$C28,AD$16))</f>
        <v>0</v>
      </c>
      <c r="AE28" s="36">
        <f ca="1">IF($X$11="Restit",_xll.DBRW($C$9,$C$15,AE$17,$C28,AE$16),_xll.DBSW(M28,$I$9,$C$15,AE$17,$C28,AE$16))</f>
        <v>0</v>
      </c>
      <c r="AF28" s="36">
        <f ca="1">IF($X$11="Restit",_xll.DBRW($C$9,$C$15,AF$17,$C28,AF$16),_xll.DBSW(N28,$I$9,$C$15,AF$17,$C28,AF$16))</f>
        <v>0</v>
      </c>
      <c r="AG28" s="36">
        <f ca="1">IF($X$11="Restit",_xll.DBRW($C$9,$C$15,AG$17,$C28,AG$16),_xll.DBSW(O28,$I$9,$C$15,AG$17,$C28,AG$16))</f>
        <v>0</v>
      </c>
      <c r="AI28" s="36">
        <f ca="1">IF($X$11="Restit",_xll.DBRW($C$9,$C$15,AI$17,$C28,AI$16),_xll.DBSW(Q28,$I$9,$C$15,AI$17,$C28,AI$16))</f>
        <v>0</v>
      </c>
      <c r="AJ28" s="36">
        <f ca="1">IF($X$11="Restit",_xll.DBRW($C$9,$C$15,AJ$17,$C28,AJ$16),_xll.DBSW(R28,$I$9,$C$15,AJ$17,$C28,AJ$16))</f>
        <v>0</v>
      </c>
      <c r="AK28" s="36">
        <f ca="1">IF($X$11="Restit",_xll.DBRW($C$9,$C$15,AK$17,$C28,AK$16),_xll.DBSW(S28,$I$9,$C$15,AK$17,$C28,AK$16))</f>
        <v>0</v>
      </c>
      <c r="AL28" s="36">
        <f ca="1">IF($X$11="Restit",_xll.DBRW($C$9,$C$15,AL$17,$C28,AL$16),_xll.DBSW(T28,$I$9,$C$15,AL$17,$C28,AL$16))</f>
        <v>0</v>
      </c>
      <c r="AM28" s="36">
        <f ca="1">IF($X$11="Restit",_xll.DBRW($C$9,$C$15,AM$17,$C28,AM$16),_xll.DBSW(U28,$I$9,$C$15,AM$17,$C28,AM$16))</f>
        <v>0</v>
      </c>
    </row>
    <row r="29" spans="1:39" ht="15.75" x14ac:dyDescent="0.25">
      <c r="A29" t="str">
        <f ca="1">IF(_xll.TM1RPTELISCONSOLIDATED($C$25,$C29),IF(_xll.TM1RPTELLEV($C$25,$C29)&lt;=3,_xll.TM1RPTELLEV($C$25,$C29),"D"),"N")</f>
        <v>N</v>
      </c>
      <c r="C29" s="14" t="s">
        <v>7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6"/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6"/>
      <c r="Q29" s="36">
        <v>0</v>
      </c>
      <c r="R29" s="36">
        <v>0</v>
      </c>
      <c r="S29" s="36">
        <v>0</v>
      </c>
      <c r="T29" s="36">
        <v>0</v>
      </c>
      <c r="U29" s="36">
        <v>0</v>
      </c>
      <c r="W29" s="36">
        <f ca="1">IF($X$11="Restit",_xll.DBRW($C$9,$C$15,W$17,$C29,W$16),_xll.DBSW(E29,$I$9,$C$15,W$17,$C29,W$16))</f>
        <v>0</v>
      </c>
      <c r="X29" s="36">
        <f ca="1">IF($X$11="Restit",_xll.DBRW($C$9,$C$15,X$17,$C29,X$16),_xll.DBSW(F29,$I$9,$C$15,X$17,$C29,X$16))</f>
        <v>0</v>
      </c>
      <c r="Y29" s="36">
        <f ca="1">IF($X$11="Restit",_xll.DBRW($C$9,$C$15,Y$17,$C29,Y$16),_xll.DBSW(G29,$I$9,$C$15,Y$17,$C29,Y$16))</f>
        <v>0</v>
      </c>
      <c r="Z29" s="36">
        <f ca="1">IF($X$11="Restit",_xll.DBRW($C$9,$C$15,Z$17,$C29,Z$16),_xll.DBSW(H29,$I$9,$C$15,Z$17,$C29,Z$16))</f>
        <v>0</v>
      </c>
      <c r="AA29" s="36">
        <f ca="1">IF($X$11="Restit",_xll.DBRW($C$9,$C$15,AA$17,$C29,AA$16),_xll.DBSW(I29,$I$9,$C$15,AA$17,$C29,AA$16))</f>
        <v>0</v>
      </c>
      <c r="AC29" s="36">
        <f ca="1">IF($X$11="Restit",_xll.DBRW($C$9,$C$15,AC$17,$C29,AC$16),_xll.DBSW(K29,$I$9,$C$15,AC$17,$C29,AC$16))</f>
        <v>0</v>
      </c>
      <c r="AD29" s="36">
        <f ca="1">IF($X$11="Restit",_xll.DBRW($C$9,$C$15,AD$17,$C29,AD$16),_xll.DBSW(L29,$I$9,$C$15,AD$17,$C29,AD$16))</f>
        <v>0</v>
      </c>
      <c r="AE29" s="36">
        <f ca="1">IF($X$11="Restit",_xll.DBRW($C$9,$C$15,AE$17,$C29,AE$16),_xll.DBSW(M29,$I$9,$C$15,AE$17,$C29,AE$16))</f>
        <v>0</v>
      </c>
      <c r="AF29" s="36">
        <f ca="1">IF($X$11="Restit",_xll.DBRW($C$9,$C$15,AF$17,$C29,AF$16),_xll.DBSW(N29,$I$9,$C$15,AF$17,$C29,AF$16))</f>
        <v>0</v>
      </c>
      <c r="AG29" s="36">
        <f ca="1">IF($X$11="Restit",_xll.DBRW($C$9,$C$15,AG$17,$C29,AG$16),_xll.DBSW(O29,$I$9,$C$15,AG$17,$C29,AG$16))</f>
        <v>0</v>
      </c>
      <c r="AI29" s="36">
        <f ca="1">IF($X$11="Restit",_xll.DBRW($C$9,$C$15,AI$17,$C29,AI$16),_xll.DBSW(Q29,$I$9,$C$15,AI$17,$C29,AI$16))</f>
        <v>0</v>
      </c>
      <c r="AJ29" s="36">
        <f ca="1">IF($X$11="Restit",_xll.DBRW($C$9,$C$15,AJ$17,$C29,AJ$16),_xll.DBSW(R29,$I$9,$C$15,AJ$17,$C29,AJ$16))</f>
        <v>0</v>
      </c>
      <c r="AK29" s="36">
        <f ca="1">IF($X$11="Restit",_xll.DBRW($C$9,$C$15,AK$17,$C29,AK$16),_xll.DBSW(S29,$I$9,$C$15,AK$17,$C29,AK$16))</f>
        <v>0</v>
      </c>
      <c r="AL29" s="36">
        <f ca="1">IF($X$11="Restit",_xll.DBRW($C$9,$C$15,AL$17,$C29,AL$16),_xll.DBSW(T29,$I$9,$C$15,AL$17,$C29,AL$16))</f>
        <v>0</v>
      </c>
      <c r="AM29" s="36">
        <f ca="1">IF($X$11="Restit",_xll.DBRW($C$9,$C$15,AM$17,$C29,AM$16),_xll.DBSW(U29,$I$9,$C$15,AM$17,$C29,AM$16))</f>
        <v>0</v>
      </c>
    </row>
    <row r="30" spans="1:39" ht="15.75" x14ac:dyDescent="0.25">
      <c r="A30" t="str">
        <f ca="1">IF(_xll.TM1RPTELISCONSOLIDATED($C$25,$C30),IF(_xll.TM1RPTELLEV($C$25,$C30)&lt;=3,_xll.TM1RPTELLEV($C$25,$C30),"D"),"N")</f>
        <v>N</v>
      </c>
      <c r="C30" s="14" t="s">
        <v>8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6"/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6"/>
      <c r="Q30" s="36">
        <v>0</v>
      </c>
      <c r="R30" s="36">
        <v>0</v>
      </c>
      <c r="S30" s="36">
        <v>0</v>
      </c>
      <c r="T30" s="36">
        <v>0</v>
      </c>
      <c r="U30" s="36">
        <v>0</v>
      </c>
      <c r="W30" s="36">
        <f ca="1">IF($X$11="Restit",_xll.DBRW($C$9,$C$15,W$17,$C30,W$16),_xll.DBSW(E30,$I$9,$C$15,W$17,$C30,W$16))</f>
        <v>0</v>
      </c>
      <c r="X30" s="36">
        <f ca="1">IF($X$11="Restit",_xll.DBRW($C$9,$C$15,X$17,$C30,X$16),_xll.DBSW(F30,$I$9,$C$15,X$17,$C30,X$16))</f>
        <v>0</v>
      </c>
      <c r="Y30" s="36">
        <f ca="1">IF($X$11="Restit",_xll.DBRW($C$9,$C$15,Y$17,$C30,Y$16),_xll.DBSW(G30,$I$9,$C$15,Y$17,$C30,Y$16))</f>
        <v>0</v>
      </c>
      <c r="Z30" s="36">
        <f ca="1">IF($X$11="Restit",_xll.DBRW($C$9,$C$15,Z$17,$C30,Z$16),_xll.DBSW(H30,$I$9,$C$15,Z$17,$C30,Z$16))</f>
        <v>0</v>
      </c>
      <c r="AA30" s="36">
        <f ca="1">IF($X$11="Restit",_xll.DBRW($C$9,$C$15,AA$17,$C30,AA$16),_xll.DBSW(I30,$I$9,$C$15,AA$17,$C30,AA$16))</f>
        <v>0</v>
      </c>
      <c r="AC30" s="36">
        <f ca="1">IF($X$11="Restit",_xll.DBRW($C$9,$C$15,AC$17,$C30,AC$16),_xll.DBSW(K30,$I$9,$C$15,AC$17,$C30,AC$16))</f>
        <v>0</v>
      </c>
      <c r="AD30" s="36">
        <f ca="1">IF($X$11="Restit",_xll.DBRW($C$9,$C$15,AD$17,$C30,AD$16),_xll.DBSW(L30,$I$9,$C$15,AD$17,$C30,AD$16))</f>
        <v>0</v>
      </c>
      <c r="AE30" s="36">
        <f ca="1">IF($X$11="Restit",_xll.DBRW($C$9,$C$15,AE$17,$C30,AE$16),_xll.DBSW(M30,$I$9,$C$15,AE$17,$C30,AE$16))</f>
        <v>0</v>
      </c>
      <c r="AF30" s="36">
        <f ca="1">IF($X$11="Restit",_xll.DBRW($C$9,$C$15,AF$17,$C30,AF$16),_xll.DBSW(N30,$I$9,$C$15,AF$17,$C30,AF$16))</f>
        <v>0</v>
      </c>
      <c r="AG30" s="36">
        <f ca="1">IF($X$11="Restit",_xll.DBRW($C$9,$C$15,AG$17,$C30,AG$16),_xll.DBSW(O30,$I$9,$C$15,AG$17,$C30,AG$16))</f>
        <v>0</v>
      </c>
      <c r="AI30" s="36">
        <f ca="1">IF($X$11="Restit",_xll.DBRW($C$9,$C$15,AI$17,$C30,AI$16),_xll.DBSW(Q30,$I$9,$C$15,AI$17,$C30,AI$16))</f>
        <v>0</v>
      </c>
      <c r="AJ30" s="36">
        <f ca="1">IF($X$11="Restit",_xll.DBRW($C$9,$C$15,AJ$17,$C30,AJ$16),_xll.DBSW(R30,$I$9,$C$15,AJ$17,$C30,AJ$16))</f>
        <v>0</v>
      </c>
      <c r="AK30" s="36">
        <f ca="1">IF($X$11="Restit",_xll.DBRW($C$9,$C$15,AK$17,$C30,AK$16),_xll.DBSW(S30,$I$9,$C$15,AK$17,$C30,AK$16))</f>
        <v>0</v>
      </c>
      <c r="AL30" s="36">
        <f ca="1">IF($X$11="Restit",_xll.DBRW($C$9,$C$15,AL$17,$C30,AL$16),_xll.DBSW(T30,$I$9,$C$15,AL$17,$C30,AL$16))</f>
        <v>0</v>
      </c>
      <c r="AM30" s="36">
        <f ca="1">IF($X$11="Restit",_xll.DBRW($C$9,$C$15,AM$17,$C30,AM$16),_xll.DBSW(U30,$I$9,$C$15,AM$17,$C30,AM$16))</f>
        <v>0</v>
      </c>
    </row>
    <row r="31" spans="1:39" ht="15.75" x14ac:dyDescent="0.25">
      <c r="A31" t="str">
        <f ca="1">IF(_xll.TM1RPTELISCONSOLIDATED($C$25,$C31),IF(_xll.TM1RPTELLEV($C$25,$C31)&lt;=3,_xll.TM1RPTELLEV($C$25,$C31),"D"),"N")</f>
        <v>N</v>
      </c>
      <c r="C31" s="14" t="s">
        <v>9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6"/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6"/>
      <c r="Q31" s="36">
        <v>0</v>
      </c>
      <c r="R31" s="36">
        <v>0</v>
      </c>
      <c r="S31" s="36">
        <v>0</v>
      </c>
      <c r="T31" s="36">
        <v>0</v>
      </c>
      <c r="U31" s="36">
        <v>0</v>
      </c>
      <c r="W31" s="36">
        <f ca="1">IF($X$11="Restit",_xll.DBRW($C$9,$C$15,W$17,$C31,W$16),_xll.DBSW(E31,$I$9,$C$15,W$17,$C31,W$16))</f>
        <v>0</v>
      </c>
      <c r="X31" s="36">
        <f ca="1">IF($X$11="Restit",_xll.DBRW($C$9,$C$15,X$17,$C31,X$16),_xll.DBSW(F31,$I$9,$C$15,X$17,$C31,X$16))</f>
        <v>0</v>
      </c>
      <c r="Y31" s="36">
        <f ca="1">IF($X$11="Restit",_xll.DBRW($C$9,$C$15,Y$17,$C31,Y$16),_xll.DBSW(G31,$I$9,$C$15,Y$17,$C31,Y$16))</f>
        <v>0</v>
      </c>
      <c r="Z31" s="36">
        <f ca="1">IF($X$11="Restit",_xll.DBRW($C$9,$C$15,Z$17,$C31,Z$16),_xll.DBSW(H31,$I$9,$C$15,Z$17,$C31,Z$16))</f>
        <v>0</v>
      </c>
      <c r="AA31" s="36">
        <f ca="1">IF($X$11="Restit",_xll.DBRW($C$9,$C$15,AA$17,$C31,AA$16),_xll.DBSW(I31,$I$9,$C$15,AA$17,$C31,AA$16))</f>
        <v>0</v>
      </c>
      <c r="AC31" s="36">
        <f ca="1">IF($X$11="Restit",_xll.DBRW($C$9,$C$15,AC$17,$C31,AC$16),_xll.DBSW(K31,$I$9,$C$15,AC$17,$C31,AC$16))</f>
        <v>0</v>
      </c>
      <c r="AD31" s="36">
        <f ca="1">IF($X$11="Restit",_xll.DBRW($C$9,$C$15,AD$17,$C31,AD$16),_xll.DBSW(L31,$I$9,$C$15,AD$17,$C31,AD$16))</f>
        <v>0</v>
      </c>
      <c r="AE31" s="36">
        <f ca="1">IF($X$11="Restit",_xll.DBRW($C$9,$C$15,AE$17,$C31,AE$16),_xll.DBSW(M31,$I$9,$C$15,AE$17,$C31,AE$16))</f>
        <v>0</v>
      </c>
      <c r="AF31" s="36">
        <f ca="1">IF($X$11="Restit",_xll.DBRW($C$9,$C$15,AF$17,$C31,AF$16),_xll.DBSW(N31,$I$9,$C$15,AF$17,$C31,AF$16))</f>
        <v>0</v>
      </c>
      <c r="AG31" s="36">
        <f ca="1">IF($X$11="Restit",_xll.DBRW($C$9,$C$15,AG$17,$C31,AG$16),_xll.DBSW(O31,$I$9,$C$15,AG$17,$C31,AG$16))</f>
        <v>0</v>
      </c>
      <c r="AI31" s="36">
        <f ca="1">IF($X$11="Restit",_xll.DBRW($C$9,$C$15,AI$17,$C31,AI$16),_xll.DBSW(Q31,$I$9,$C$15,AI$17,$C31,AI$16))</f>
        <v>0</v>
      </c>
      <c r="AJ31" s="36">
        <f ca="1">IF($X$11="Restit",_xll.DBRW($C$9,$C$15,AJ$17,$C31,AJ$16),_xll.DBSW(R31,$I$9,$C$15,AJ$17,$C31,AJ$16))</f>
        <v>0</v>
      </c>
      <c r="AK31" s="36">
        <f ca="1">IF($X$11="Restit",_xll.DBRW($C$9,$C$15,AK$17,$C31,AK$16),_xll.DBSW(S31,$I$9,$C$15,AK$17,$C31,AK$16))</f>
        <v>0</v>
      </c>
      <c r="AL31" s="36">
        <f ca="1">IF($X$11="Restit",_xll.DBRW($C$9,$C$15,AL$17,$C31,AL$16),_xll.DBSW(T31,$I$9,$C$15,AL$17,$C31,AL$16))</f>
        <v>0</v>
      </c>
      <c r="AM31" s="36">
        <f ca="1">IF($X$11="Restit",_xll.DBRW($C$9,$C$15,AM$17,$C31,AM$16),_xll.DBSW(U31,$I$9,$C$15,AM$17,$C31,AM$16))</f>
        <v>0</v>
      </c>
    </row>
    <row r="32" spans="1:39" ht="15.75" x14ac:dyDescent="0.25">
      <c r="A32" t="str">
        <f ca="1">IF(_xll.TM1RPTELISCONSOLIDATED($C$25,$C32),IF(_xll.TM1RPTELLEV($C$25,$C32)&lt;=3,_xll.TM1RPTELLEV($C$25,$C32),"D"),"N")</f>
        <v>N</v>
      </c>
      <c r="C32" s="14" t="s">
        <v>10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6"/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6"/>
      <c r="Q32" s="36">
        <v>0</v>
      </c>
      <c r="R32" s="36">
        <v>0</v>
      </c>
      <c r="S32" s="36">
        <v>0</v>
      </c>
      <c r="T32" s="36">
        <v>0</v>
      </c>
      <c r="U32" s="36">
        <v>0</v>
      </c>
      <c r="W32" s="36">
        <f ca="1">IF($X$11="Restit",_xll.DBRW($C$9,$C$15,W$17,$C32,W$16),_xll.DBSW(E32,$I$9,$C$15,W$17,$C32,W$16))</f>
        <v>0</v>
      </c>
      <c r="X32" s="36">
        <f ca="1">IF($X$11="Restit",_xll.DBRW($C$9,$C$15,X$17,$C32,X$16),_xll.DBSW(F32,$I$9,$C$15,X$17,$C32,X$16))</f>
        <v>0</v>
      </c>
      <c r="Y32" s="36">
        <f ca="1">IF($X$11="Restit",_xll.DBRW($C$9,$C$15,Y$17,$C32,Y$16),_xll.DBSW(G32,$I$9,$C$15,Y$17,$C32,Y$16))</f>
        <v>0</v>
      </c>
      <c r="Z32" s="36">
        <f ca="1">IF($X$11="Restit",_xll.DBRW($C$9,$C$15,Z$17,$C32,Z$16),_xll.DBSW(H32,$I$9,$C$15,Z$17,$C32,Z$16))</f>
        <v>0</v>
      </c>
      <c r="AA32" s="36">
        <f ca="1">IF($X$11="Restit",_xll.DBRW($C$9,$C$15,AA$17,$C32,AA$16),_xll.DBSW(I32,$I$9,$C$15,AA$17,$C32,AA$16))</f>
        <v>0</v>
      </c>
      <c r="AC32" s="36">
        <f ca="1">IF($X$11="Restit",_xll.DBRW($C$9,$C$15,AC$17,$C32,AC$16),_xll.DBSW(K32,$I$9,$C$15,AC$17,$C32,AC$16))</f>
        <v>0</v>
      </c>
      <c r="AD32" s="36">
        <f ca="1">IF($X$11="Restit",_xll.DBRW($C$9,$C$15,AD$17,$C32,AD$16),_xll.DBSW(L32,$I$9,$C$15,AD$17,$C32,AD$16))</f>
        <v>0</v>
      </c>
      <c r="AE32" s="36">
        <f ca="1">IF($X$11="Restit",_xll.DBRW($C$9,$C$15,AE$17,$C32,AE$16),_xll.DBSW(M32,$I$9,$C$15,AE$17,$C32,AE$16))</f>
        <v>0</v>
      </c>
      <c r="AF32" s="36">
        <f ca="1">IF($X$11="Restit",_xll.DBRW($C$9,$C$15,AF$17,$C32,AF$16),_xll.DBSW(N32,$I$9,$C$15,AF$17,$C32,AF$16))</f>
        <v>0</v>
      </c>
      <c r="AG32" s="36">
        <f ca="1">IF($X$11="Restit",_xll.DBRW($C$9,$C$15,AG$17,$C32,AG$16),_xll.DBSW(O32,$I$9,$C$15,AG$17,$C32,AG$16))</f>
        <v>0</v>
      </c>
      <c r="AI32" s="36">
        <f ca="1">IF($X$11="Restit",_xll.DBRW($C$9,$C$15,AI$17,$C32,AI$16),_xll.DBSW(Q32,$I$9,$C$15,AI$17,$C32,AI$16))</f>
        <v>0</v>
      </c>
      <c r="AJ32" s="36">
        <f ca="1">IF($X$11="Restit",_xll.DBRW($C$9,$C$15,AJ$17,$C32,AJ$16),_xll.DBSW(R32,$I$9,$C$15,AJ$17,$C32,AJ$16))</f>
        <v>0</v>
      </c>
      <c r="AK32" s="36">
        <f ca="1">IF($X$11="Restit",_xll.DBRW($C$9,$C$15,AK$17,$C32,AK$16),_xll.DBSW(S32,$I$9,$C$15,AK$17,$C32,AK$16))</f>
        <v>0</v>
      </c>
      <c r="AL32" s="36">
        <f ca="1">IF($X$11="Restit",_xll.DBRW($C$9,$C$15,AL$17,$C32,AL$16),_xll.DBSW(T32,$I$9,$C$15,AL$17,$C32,AL$16))</f>
        <v>0</v>
      </c>
      <c r="AM32" s="36">
        <f ca="1">IF($X$11="Restit",_xll.DBRW($C$9,$C$15,AM$17,$C32,AM$16),_xll.DBSW(U32,$I$9,$C$15,AM$17,$C32,AM$16))</f>
        <v>0</v>
      </c>
    </row>
    <row r="33" spans="1:39" ht="15.75" x14ac:dyDescent="0.25">
      <c r="A33" t="str">
        <f ca="1">IF(_xll.TM1RPTELISCONSOLIDATED($C$25,$C33),IF(_xll.TM1RPTELLEV($C$25,$C33)&lt;=3,_xll.TM1RPTELLEV($C$25,$C33),"D"),"N")</f>
        <v>N</v>
      </c>
      <c r="C33" s="14" t="s">
        <v>11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6"/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6"/>
      <c r="Q33" s="36">
        <v>0</v>
      </c>
      <c r="R33" s="36">
        <v>0</v>
      </c>
      <c r="S33" s="36">
        <v>0</v>
      </c>
      <c r="T33" s="36">
        <v>0</v>
      </c>
      <c r="U33" s="36">
        <v>0</v>
      </c>
      <c r="W33" s="36">
        <f ca="1">IF($X$11="Restit",_xll.DBRW($C$9,$C$15,W$17,$C33,W$16),_xll.DBSW(E33,$I$9,$C$15,W$17,$C33,W$16))</f>
        <v>0</v>
      </c>
      <c r="X33" s="36">
        <f ca="1">IF($X$11="Restit",_xll.DBRW($C$9,$C$15,X$17,$C33,X$16),_xll.DBSW(F33,$I$9,$C$15,X$17,$C33,X$16))</f>
        <v>0</v>
      </c>
      <c r="Y33" s="36">
        <f ca="1">IF($X$11="Restit",_xll.DBRW($C$9,$C$15,Y$17,$C33,Y$16),_xll.DBSW(G33,$I$9,$C$15,Y$17,$C33,Y$16))</f>
        <v>0</v>
      </c>
      <c r="Z33" s="36">
        <f ca="1">IF($X$11="Restit",_xll.DBRW($C$9,$C$15,Z$17,$C33,Z$16),_xll.DBSW(H33,$I$9,$C$15,Z$17,$C33,Z$16))</f>
        <v>0</v>
      </c>
      <c r="AA33" s="36">
        <f ca="1">IF($X$11="Restit",_xll.DBRW($C$9,$C$15,AA$17,$C33,AA$16),_xll.DBSW(I33,$I$9,$C$15,AA$17,$C33,AA$16))</f>
        <v>0</v>
      </c>
      <c r="AC33" s="36">
        <f ca="1">IF($X$11="Restit",_xll.DBRW($C$9,$C$15,AC$17,$C33,AC$16),_xll.DBSW(K33,$I$9,$C$15,AC$17,$C33,AC$16))</f>
        <v>0</v>
      </c>
      <c r="AD33" s="36">
        <f ca="1">IF($X$11="Restit",_xll.DBRW($C$9,$C$15,AD$17,$C33,AD$16),_xll.DBSW(L33,$I$9,$C$15,AD$17,$C33,AD$16))</f>
        <v>0</v>
      </c>
      <c r="AE33" s="36">
        <f ca="1">IF($X$11="Restit",_xll.DBRW($C$9,$C$15,AE$17,$C33,AE$16),_xll.DBSW(M33,$I$9,$C$15,AE$17,$C33,AE$16))</f>
        <v>0</v>
      </c>
      <c r="AF33" s="36">
        <f ca="1">IF($X$11="Restit",_xll.DBRW($C$9,$C$15,AF$17,$C33,AF$16),_xll.DBSW(N33,$I$9,$C$15,AF$17,$C33,AF$16))</f>
        <v>0</v>
      </c>
      <c r="AG33" s="36">
        <f ca="1">IF($X$11="Restit",_xll.DBRW($C$9,$C$15,AG$17,$C33,AG$16),_xll.DBSW(O33,$I$9,$C$15,AG$17,$C33,AG$16))</f>
        <v>0</v>
      </c>
      <c r="AI33" s="36">
        <f ca="1">IF($X$11="Restit",_xll.DBRW($C$9,$C$15,AI$17,$C33,AI$16),_xll.DBSW(Q33,$I$9,$C$15,AI$17,$C33,AI$16))</f>
        <v>0</v>
      </c>
      <c r="AJ33" s="36">
        <f ca="1">IF($X$11="Restit",_xll.DBRW($C$9,$C$15,AJ$17,$C33,AJ$16),_xll.DBSW(R33,$I$9,$C$15,AJ$17,$C33,AJ$16))</f>
        <v>0</v>
      </c>
      <c r="AK33" s="36">
        <f ca="1">IF($X$11="Restit",_xll.DBRW($C$9,$C$15,AK$17,$C33,AK$16),_xll.DBSW(S33,$I$9,$C$15,AK$17,$C33,AK$16))</f>
        <v>0</v>
      </c>
      <c r="AL33" s="36">
        <f ca="1">IF($X$11="Restit",_xll.DBRW($C$9,$C$15,AL$17,$C33,AL$16),_xll.DBSW(T33,$I$9,$C$15,AL$17,$C33,AL$16))</f>
        <v>0</v>
      </c>
      <c r="AM33" s="36">
        <f ca="1">IF($X$11="Restit",_xll.DBRW($C$9,$C$15,AM$17,$C33,AM$16),_xll.DBSW(U33,$I$9,$C$15,AM$17,$C33,AM$16))</f>
        <v>0</v>
      </c>
    </row>
    <row r="34" spans="1:39" ht="15.75" x14ac:dyDescent="0.25">
      <c r="A34" t="str">
        <f ca="1">IF(_xll.TM1RPTELISCONSOLIDATED($C$25,$C34),IF(_xll.TM1RPTELLEV($C$25,$C34)&lt;=3,_xll.TM1RPTELLEV($C$25,$C34),"D"),"N")</f>
        <v>N</v>
      </c>
      <c r="C34" s="14" t="s">
        <v>12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6"/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6"/>
      <c r="Q34" s="36">
        <v>0</v>
      </c>
      <c r="R34" s="36">
        <v>0</v>
      </c>
      <c r="S34" s="36">
        <v>0</v>
      </c>
      <c r="T34" s="36">
        <v>0</v>
      </c>
      <c r="U34" s="36">
        <v>0</v>
      </c>
      <c r="W34" s="36">
        <f ca="1">IF($X$11="Restit",_xll.DBRW($C$9,$C$15,W$17,$C34,W$16),_xll.DBSW(E34,$I$9,$C$15,W$17,$C34,W$16))</f>
        <v>0</v>
      </c>
      <c r="X34" s="36">
        <f ca="1">IF($X$11="Restit",_xll.DBRW($C$9,$C$15,X$17,$C34,X$16),_xll.DBSW(F34,$I$9,$C$15,X$17,$C34,X$16))</f>
        <v>0</v>
      </c>
      <c r="Y34" s="36">
        <f ca="1">IF($X$11="Restit",_xll.DBRW($C$9,$C$15,Y$17,$C34,Y$16),_xll.DBSW(G34,$I$9,$C$15,Y$17,$C34,Y$16))</f>
        <v>0</v>
      </c>
      <c r="Z34" s="36">
        <f ca="1">IF($X$11="Restit",_xll.DBRW($C$9,$C$15,Z$17,$C34,Z$16),_xll.DBSW(H34,$I$9,$C$15,Z$17,$C34,Z$16))</f>
        <v>0</v>
      </c>
      <c r="AA34" s="36">
        <f ca="1">IF($X$11="Restit",_xll.DBRW($C$9,$C$15,AA$17,$C34,AA$16),_xll.DBSW(I34,$I$9,$C$15,AA$17,$C34,AA$16))</f>
        <v>0</v>
      </c>
      <c r="AC34" s="36">
        <f ca="1">IF($X$11="Restit",_xll.DBRW($C$9,$C$15,AC$17,$C34,AC$16),_xll.DBSW(K34,$I$9,$C$15,AC$17,$C34,AC$16))</f>
        <v>0</v>
      </c>
      <c r="AD34" s="36">
        <f ca="1">IF($X$11="Restit",_xll.DBRW($C$9,$C$15,AD$17,$C34,AD$16),_xll.DBSW(L34,$I$9,$C$15,AD$17,$C34,AD$16))</f>
        <v>0</v>
      </c>
      <c r="AE34" s="36">
        <f ca="1">IF($X$11="Restit",_xll.DBRW($C$9,$C$15,AE$17,$C34,AE$16),_xll.DBSW(M34,$I$9,$C$15,AE$17,$C34,AE$16))</f>
        <v>0</v>
      </c>
      <c r="AF34" s="36">
        <f ca="1">IF($X$11="Restit",_xll.DBRW($C$9,$C$15,AF$17,$C34,AF$16),_xll.DBSW(N34,$I$9,$C$15,AF$17,$C34,AF$16))</f>
        <v>0</v>
      </c>
      <c r="AG34" s="36">
        <f ca="1">IF($X$11="Restit",_xll.DBRW($C$9,$C$15,AG$17,$C34,AG$16),_xll.DBSW(O34,$I$9,$C$15,AG$17,$C34,AG$16))</f>
        <v>0</v>
      </c>
      <c r="AI34" s="36">
        <f ca="1">IF($X$11="Restit",_xll.DBRW($C$9,$C$15,AI$17,$C34,AI$16),_xll.DBSW(Q34,$I$9,$C$15,AI$17,$C34,AI$16))</f>
        <v>0</v>
      </c>
      <c r="AJ34" s="36">
        <f ca="1">IF($X$11="Restit",_xll.DBRW($C$9,$C$15,AJ$17,$C34,AJ$16),_xll.DBSW(R34,$I$9,$C$15,AJ$17,$C34,AJ$16))</f>
        <v>0</v>
      </c>
      <c r="AK34" s="36">
        <f ca="1">IF($X$11="Restit",_xll.DBRW($C$9,$C$15,AK$17,$C34,AK$16),_xll.DBSW(S34,$I$9,$C$15,AK$17,$C34,AK$16))</f>
        <v>0</v>
      </c>
      <c r="AL34" s="36">
        <f ca="1">IF($X$11="Restit",_xll.DBRW($C$9,$C$15,AL$17,$C34,AL$16),_xll.DBSW(T34,$I$9,$C$15,AL$17,$C34,AL$16))</f>
        <v>0</v>
      </c>
      <c r="AM34" s="36">
        <f ca="1">IF($X$11="Restit",_xll.DBRW($C$9,$C$15,AM$17,$C34,AM$16),_xll.DBSW(U34,$I$9,$C$15,AM$17,$C34,AM$16))</f>
        <v>0</v>
      </c>
    </row>
    <row r="35" spans="1:39" ht="15.75" x14ac:dyDescent="0.25">
      <c r="A35" t="str">
        <f ca="1">IF(_xll.TM1RPTELISCONSOLIDATED($C$25,$C35),IF(_xll.TM1RPTELLEV($C$25,$C35)&lt;=3,_xll.TM1RPTELLEV($C$25,$C35),"D"),"N")</f>
        <v>N</v>
      </c>
      <c r="C35" s="14" t="s">
        <v>13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6"/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6"/>
      <c r="Q35" s="36">
        <v>0</v>
      </c>
      <c r="R35" s="36">
        <v>0</v>
      </c>
      <c r="S35" s="36">
        <v>0</v>
      </c>
      <c r="T35" s="36">
        <v>0</v>
      </c>
      <c r="U35" s="36">
        <v>0</v>
      </c>
      <c r="W35" s="36">
        <f ca="1">IF($X$11="Restit",_xll.DBRW($C$9,$C$15,W$17,$C35,W$16),_xll.DBSW(E35,$I$9,$C$15,W$17,$C35,W$16))</f>
        <v>0</v>
      </c>
      <c r="X35" s="36">
        <f ca="1">IF($X$11="Restit",_xll.DBRW($C$9,$C$15,X$17,$C35,X$16),_xll.DBSW(F35,$I$9,$C$15,X$17,$C35,X$16))</f>
        <v>0</v>
      </c>
      <c r="Y35" s="36">
        <f ca="1">IF($X$11="Restit",_xll.DBRW($C$9,$C$15,Y$17,$C35,Y$16),_xll.DBSW(G35,$I$9,$C$15,Y$17,$C35,Y$16))</f>
        <v>0</v>
      </c>
      <c r="Z35" s="36">
        <f ca="1">IF($X$11="Restit",_xll.DBRW($C$9,$C$15,Z$17,$C35,Z$16),_xll.DBSW(H35,$I$9,$C$15,Z$17,$C35,Z$16))</f>
        <v>0</v>
      </c>
      <c r="AA35" s="36">
        <f ca="1">IF($X$11="Restit",_xll.DBRW($C$9,$C$15,AA$17,$C35,AA$16),_xll.DBSW(I35,$I$9,$C$15,AA$17,$C35,AA$16))</f>
        <v>0</v>
      </c>
      <c r="AC35" s="36">
        <f ca="1">IF($X$11="Restit",_xll.DBRW($C$9,$C$15,AC$17,$C35,AC$16),_xll.DBSW(K35,$I$9,$C$15,AC$17,$C35,AC$16))</f>
        <v>0</v>
      </c>
      <c r="AD35" s="36">
        <f ca="1">IF($X$11="Restit",_xll.DBRW($C$9,$C$15,AD$17,$C35,AD$16),_xll.DBSW(L35,$I$9,$C$15,AD$17,$C35,AD$16))</f>
        <v>0</v>
      </c>
      <c r="AE35" s="36">
        <f ca="1">IF($X$11="Restit",_xll.DBRW($C$9,$C$15,AE$17,$C35,AE$16),_xll.DBSW(M35,$I$9,$C$15,AE$17,$C35,AE$16))</f>
        <v>0</v>
      </c>
      <c r="AF35" s="36">
        <f ca="1">IF($X$11="Restit",_xll.DBRW($C$9,$C$15,AF$17,$C35,AF$16),_xll.DBSW(N35,$I$9,$C$15,AF$17,$C35,AF$16))</f>
        <v>0</v>
      </c>
      <c r="AG35" s="36">
        <f ca="1">IF($X$11="Restit",_xll.DBRW($C$9,$C$15,AG$17,$C35,AG$16),_xll.DBSW(O35,$I$9,$C$15,AG$17,$C35,AG$16))</f>
        <v>0</v>
      </c>
      <c r="AI35" s="36">
        <f ca="1">IF($X$11="Restit",_xll.DBRW($C$9,$C$15,AI$17,$C35,AI$16),_xll.DBSW(Q35,$I$9,$C$15,AI$17,$C35,AI$16))</f>
        <v>0</v>
      </c>
      <c r="AJ35" s="36">
        <f ca="1">IF($X$11="Restit",_xll.DBRW($C$9,$C$15,AJ$17,$C35,AJ$16),_xll.DBSW(R35,$I$9,$C$15,AJ$17,$C35,AJ$16))</f>
        <v>0</v>
      </c>
      <c r="AK35" s="36">
        <f ca="1">IF($X$11="Restit",_xll.DBRW($C$9,$C$15,AK$17,$C35,AK$16),_xll.DBSW(S35,$I$9,$C$15,AK$17,$C35,AK$16))</f>
        <v>0</v>
      </c>
      <c r="AL35" s="36">
        <f ca="1">IF($X$11="Restit",_xll.DBRW($C$9,$C$15,AL$17,$C35,AL$16),_xll.DBSW(T35,$I$9,$C$15,AL$17,$C35,AL$16))</f>
        <v>0</v>
      </c>
      <c r="AM35" s="36">
        <f ca="1">IF($X$11="Restit",_xll.DBRW($C$9,$C$15,AM$17,$C35,AM$16),_xll.DBSW(U35,$I$9,$C$15,AM$17,$C35,AM$16))</f>
        <v>0</v>
      </c>
    </row>
    <row r="36" spans="1:39" ht="15.75" x14ac:dyDescent="0.25">
      <c r="A36" t="str">
        <f ca="1">IF(_xll.TM1RPTELISCONSOLIDATED($C$25,$C36),IF(_xll.TM1RPTELLEV($C$25,$C36)&lt;=3,_xll.TM1RPTELLEV($C$25,$C36),"D"),"N")</f>
        <v>N</v>
      </c>
      <c r="C36" s="14" t="s">
        <v>14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6"/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6"/>
      <c r="Q36" s="36">
        <v>0</v>
      </c>
      <c r="R36" s="36">
        <v>0</v>
      </c>
      <c r="S36" s="36">
        <v>0</v>
      </c>
      <c r="T36" s="36">
        <v>0</v>
      </c>
      <c r="U36" s="36">
        <v>0</v>
      </c>
      <c r="W36" s="36">
        <f ca="1">IF($X$11="Restit",_xll.DBRW($C$9,$C$15,W$17,$C36,W$16),_xll.DBSW(E36,$I$9,$C$15,W$17,$C36,W$16))</f>
        <v>0</v>
      </c>
      <c r="X36" s="36">
        <f ca="1">IF($X$11="Restit",_xll.DBRW($C$9,$C$15,X$17,$C36,X$16),_xll.DBSW(F36,$I$9,$C$15,X$17,$C36,X$16))</f>
        <v>0</v>
      </c>
      <c r="Y36" s="36">
        <f ca="1">IF($X$11="Restit",_xll.DBRW($C$9,$C$15,Y$17,$C36,Y$16),_xll.DBSW(G36,$I$9,$C$15,Y$17,$C36,Y$16))</f>
        <v>0</v>
      </c>
      <c r="Z36" s="36">
        <f ca="1">IF($X$11="Restit",_xll.DBRW($C$9,$C$15,Z$17,$C36,Z$16),_xll.DBSW(H36,$I$9,$C$15,Z$17,$C36,Z$16))</f>
        <v>0</v>
      </c>
      <c r="AA36" s="36">
        <f ca="1">IF($X$11="Restit",_xll.DBRW($C$9,$C$15,AA$17,$C36,AA$16),_xll.DBSW(I36,$I$9,$C$15,AA$17,$C36,AA$16))</f>
        <v>0</v>
      </c>
      <c r="AC36" s="36">
        <f ca="1">IF($X$11="Restit",_xll.DBRW($C$9,$C$15,AC$17,$C36,AC$16),_xll.DBSW(K36,$I$9,$C$15,AC$17,$C36,AC$16))</f>
        <v>0</v>
      </c>
      <c r="AD36" s="36">
        <f ca="1">IF($X$11="Restit",_xll.DBRW($C$9,$C$15,AD$17,$C36,AD$16),_xll.DBSW(L36,$I$9,$C$15,AD$17,$C36,AD$16))</f>
        <v>0</v>
      </c>
      <c r="AE36" s="36">
        <f ca="1">IF($X$11="Restit",_xll.DBRW($C$9,$C$15,AE$17,$C36,AE$16),_xll.DBSW(M36,$I$9,$C$15,AE$17,$C36,AE$16))</f>
        <v>0</v>
      </c>
      <c r="AF36" s="36">
        <f ca="1">IF($X$11="Restit",_xll.DBRW($C$9,$C$15,AF$17,$C36,AF$16),_xll.DBSW(N36,$I$9,$C$15,AF$17,$C36,AF$16))</f>
        <v>0</v>
      </c>
      <c r="AG36" s="36">
        <f ca="1">IF($X$11="Restit",_xll.DBRW($C$9,$C$15,AG$17,$C36,AG$16),_xll.DBSW(O36,$I$9,$C$15,AG$17,$C36,AG$16))</f>
        <v>0</v>
      </c>
      <c r="AI36" s="36">
        <f ca="1">IF($X$11="Restit",_xll.DBRW($C$9,$C$15,AI$17,$C36,AI$16),_xll.DBSW(Q36,$I$9,$C$15,AI$17,$C36,AI$16))</f>
        <v>0</v>
      </c>
      <c r="AJ36" s="36">
        <f ca="1">IF($X$11="Restit",_xll.DBRW($C$9,$C$15,AJ$17,$C36,AJ$16),_xll.DBSW(R36,$I$9,$C$15,AJ$17,$C36,AJ$16))</f>
        <v>0</v>
      </c>
      <c r="AK36" s="36">
        <f ca="1">IF($X$11="Restit",_xll.DBRW($C$9,$C$15,AK$17,$C36,AK$16),_xll.DBSW(S36,$I$9,$C$15,AK$17,$C36,AK$16))</f>
        <v>0</v>
      </c>
      <c r="AL36" s="36">
        <f ca="1">IF($X$11="Restit",_xll.DBRW($C$9,$C$15,AL$17,$C36,AL$16),_xll.DBSW(T36,$I$9,$C$15,AL$17,$C36,AL$16))</f>
        <v>0</v>
      </c>
      <c r="AM36" s="36">
        <f ca="1">IF($X$11="Restit",_xll.DBRW($C$9,$C$15,AM$17,$C36,AM$16),_xll.DBSW(U36,$I$9,$C$15,AM$17,$C36,AM$16))</f>
        <v>0</v>
      </c>
    </row>
    <row r="37" spans="1:39" ht="15.75" x14ac:dyDescent="0.25">
      <c r="A37" t="str">
        <f ca="1">IF(_xll.TM1RPTELISCONSOLIDATED($C$25,$C37),IF(_xll.TM1RPTELLEV($C$25,$C37)&lt;=3,_xll.TM1RPTELLEV($C$25,$C37),"D"),"N")</f>
        <v>N</v>
      </c>
      <c r="C37" s="14" t="s">
        <v>15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6"/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6"/>
      <c r="Q37" s="36">
        <v>0</v>
      </c>
      <c r="R37" s="36">
        <v>0</v>
      </c>
      <c r="S37" s="36">
        <v>0</v>
      </c>
      <c r="T37" s="36">
        <v>0</v>
      </c>
      <c r="U37" s="36">
        <v>0</v>
      </c>
      <c r="W37" s="36">
        <f ca="1">IF($X$11="Restit",_xll.DBRW($C$9,$C$15,W$17,$C37,W$16),_xll.DBSW(E37,$I$9,$C$15,W$17,$C37,W$16))</f>
        <v>0</v>
      </c>
      <c r="X37" s="36">
        <f ca="1">IF($X$11="Restit",_xll.DBRW($C$9,$C$15,X$17,$C37,X$16),_xll.DBSW(F37,$I$9,$C$15,X$17,$C37,X$16))</f>
        <v>0</v>
      </c>
      <c r="Y37" s="36">
        <f ca="1">IF($X$11="Restit",_xll.DBRW($C$9,$C$15,Y$17,$C37,Y$16),_xll.DBSW(G37,$I$9,$C$15,Y$17,$C37,Y$16))</f>
        <v>0</v>
      </c>
      <c r="Z37" s="36">
        <f ca="1">IF($X$11="Restit",_xll.DBRW($C$9,$C$15,Z$17,$C37,Z$16),_xll.DBSW(H37,$I$9,$C$15,Z$17,$C37,Z$16))</f>
        <v>0</v>
      </c>
      <c r="AA37" s="36">
        <f ca="1">IF($X$11="Restit",_xll.DBRW($C$9,$C$15,AA$17,$C37,AA$16),_xll.DBSW(I37,$I$9,$C$15,AA$17,$C37,AA$16))</f>
        <v>0</v>
      </c>
      <c r="AC37" s="36">
        <f ca="1">IF($X$11="Restit",_xll.DBRW($C$9,$C$15,AC$17,$C37,AC$16),_xll.DBSW(K37,$I$9,$C$15,AC$17,$C37,AC$16))</f>
        <v>0</v>
      </c>
      <c r="AD37" s="36">
        <f ca="1">IF($X$11="Restit",_xll.DBRW($C$9,$C$15,AD$17,$C37,AD$16),_xll.DBSW(L37,$I$9,$C$15,AD$17,$C37,AD$16))</f>
        <v>0</v>
      </c>
      <c r="AE37" s="36">
        <f ca="1">IF($X$11="Restit",_xll.DBRW($C$9,$C$15,AE$17,$C37,AE$16),_xll.DBSW(M37,$I$9,$C$15,AE$17,$C37,AE$16))</f>
        <v>0</v>
      </c>
      <c r="AF37" s="36">
        <f ca="1">IF($X$11="Restit",_xll.DBRW($C$9,$C$15,AF$17,$C37,AF$16),_xll.DBSW(N37,$I$9,$C$15,AF$17,$C37,AF$16))</f>
        <v>0</v>
      </c>
      <c r="AG37" s="36">
        <f ca="1">IF($X$11="Restit",_xll.DBRW($C$9,$C$15,AG$17,$C37,AG$16),_xll.DBSW(O37,$I$9,$C$15,AG$17,$C37,AG$16))</f>
        <v>0</v>
      </c>
      <c r="AI37" s="36">
        <f ca="1">IF($X$11="Restit",_xll.DBRW($C$9,$C$15,AI$17,$C37,AI$16),_xll.DBSW(Q37,$I$9,$C$15,AI$17,$C37,AI$16))</f>
        <v>0</v>
      </c>
      <c r="AJ37" s="36">
        <f ca="1">IF($X$11="Restit",_xll.DBRW($C$9,$C$15,AJ$17,$C37,AJ$16),_xll.DBSW(R37,$I$9,$C$15,AJ$17,$C37,AJ$16))</f>
        <v>0</v>
      </c>
      <c r="AK37" s="36">
        <f ca="1">IF($X$11="Restit",_xll.DBRW($C$9,$C$15,AK$17,$C37,AK$16),_xll.DBSW(S37,$I$9,$C$15,AK$17,$C37,AK$16))</f>
        <v>0</v>
      </c>
      <c r="AL37" s="36">
        <f ca="1">IF($X$11="Restit",_xll.DBRW($C$9,$C$15,AL$17,$C37,AL$16),_xll.DBSW(T37,$I$9,$C$15,AL$17,$C37,AL$16))</f>
        <v>0</v>
      </c>
      <c r="AM37" s="36">
        <f ca="1">IF($X$11="Restit",_xll.DBRW($C$9,$C$15,AM$17,$C37,AM$16),_xll.DBSW(U37,$I$9,$C$15,AM$17,$C37,AM$16))</f>
        <v>0</v>
      </c>
    </row>
    <row r="38" spans="1:39" ht="15.75" x14ac:dyDescent="0.25">
      <c r="A38" t="str">
        <f ca="1">IF(_xll.TM1RPTELISCONSOLIDATED($C$25,$C38),IF(_xll.TM1RPTELLEV($C$25,$C38)&lt;=3,_xll.TM1RPTELLEV($C$25,$C38),"D"),"N")</f>
        <v>N</v>
      </c>
      <c r="C38" s="14" t="s">
        <v>16</v>
      </c>
      <c r="E38" s="36">
        <v>0</v>
      </c>
      <c r="F38" s="36">
        <v>0</v>
      </c>
      <c r="G38" s="36">
        <v>0</v>
      </c>
      <c r="H38" s="36">
        <v>0</v>
      </c>
      <c r="I38" s="36">
        <v>0</v>
      </c>
      <c r="J38" s="6"/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6"/>
      <c r="Q38" s="36">
        <v>0</v>
      </c>
      <c r="R38" s="36">
        <v>0</v>
      </c>
      <c r="S38" s="36">
        <v>0</v>
      </c>
      <c r="T38" s="36">
        <v>0</v>
      </c>
      <c r="U38" s="36">
        <v>0</v>
      </c>
      <c r="W38" s="36">
        <f ca="1">IF($X$11="Restit",_xll.DBRW($C$9,$C$15,W$17,$C38,W$16),_xll.DBSW(E38,$I$9,$C$15,W$17,$C38,W$16))</f>
        <v>0</v>
      </c>
      <c r="X38" s="36">
        <f ca="1">IF($X$11="Restit",_xll.DBRW($C$9,$C$15,X$17,$C38,X$16),_xll.DBSW(F38,$I$9,$C$15,X$17,$C38,X$16))</f>
        <v>0</v>
      </c>
      <c r="Y38" s="36">
        <f ca="1">IF($X$11="Restit",_xll.DBRW($C$9,$C$15,Y$17,$C38,Y$16),_xll.DBSW(G38,$I$9,$C$15,Y$17,$C38,Y$16))</f>
        <v>0</v>
      </c>
      <c r="Z38" s="36">
        <f ca="1">IF($X$11="Restit",_xll.DBRW($C$9,$C$15,Z$17,$C38,Z$16),_xll.DBSW(H38,$I$9,$C$15,Z$17,$C38,Z$16))</f>
        <v>0</v>
      </c>
      <c r="AA38" s="36">
        <f ca="1">IF($X$11="Restit",_xll.DBRW($C$9,$C$15,AA$17,$C38,AA$16),_xll.DBSW(I38,$I$9,$C$15,AA$17,$C38,AA$16))</f>
        <v>0</v>
      </c>
      <c r="AC38" s="36">
        <f ca="1">IF($X$11="Restit",_xll.DBRW($C$9,$C$15,AC$17,$C38,AC$16),_xll.DBSW(K38,$I$9,$C$15,AC$17,$C38,AC$16))</f>
        <v>0</v>
      </c>
      <c r="AD38" s="36">
        <f ca="1">IF($X$11="Restit",_xll.DBRW($C$9,$C$15,AD$17,$C38,AD$16),_xll.DBSW(L38,$I$9,$C$15,AD$17,$C38,AD$16))</f>
        <v>0</v>
      </c>
      <c r="AE38" s="36">
        <f ca="1">IF($X$11="Restit",_xll.DBRW($C$9,$C$15,AE$17,$C38,AE$16),_xll.DBSW(M38,$I$9,$C$15,AE$17,$C38,AE$16))</f>
        <v>0</v>
      </c>
      <c r="AF38" s="36">
        <f ca="1">IF($X$11="Restit",_xll.DBRW($C$9,$C$15,AF$17,$C38,AF$16),_xll.DBSW(N38,$I$9,$C$15,AF$17,$C38,AF$16))</f>
        <v>0</v>
      </c>
      <c r="AG38" s="36">
        <f ca="1">IF($X$11="Restit",_xll.DBRW($C$9,$C$15,AG$17,$C38,AG$16),_xll.DBSW(O38,$I$9,$C$15,AG$17,$C38,AG$16))</f>
        <v>0</v>
      </c>
      <c r="AI38" s="36">
        <f ca="1">IF($X$11="Restit",_xll.DBRW($C$9,$C$15,AI$17,$C38,AI$16),_xll.DBSW(Q38,$I$9,$C$15,AI$17,$C38,AI$16))</f>
        <v>0</v>
      </c>
      <c r="AJ38" s="36">
        <f ca="1">IF($X$11="Restit",_xll.DBRW($C$9,$C$15,AJ$17,$C38,AJ$16),_xll.DBSW(R38,$I$9,$C$15,AJ$17,$C38,AJ$16))</f>
        <v>0</v>
      </c>
      <c r="AK38" s="36">
        <f ca="1">IF($X$11="Restit",_xll.DBRW($C$9,$C$15,AK$17,$C38,AK$16),_xll.DBSW(S38,$I$9,$C$15,AK$17,$C38,AK$16))</f>
        <v>0</v>
      </c>
      <c r="AL38" s="36">
        <f ca="1">IF($X$11="Restit",_xll.DBRW($C$9,$C$15,AL$17,$C38,AL$16),_xll.DBSW(T38,$I$9,$C$15,AL$17,$C38,AL$16))</f>
        <v>0</v>
      </c>
      <c r="AM38" s="36">
        <f ca="1">IF($X$11="Restit",_xll.DBRW($C$9,$C$15,AM$17,$C38,AM$16),_xll.DBSW(U38,$I$9,$C$15,AM$17,$C38,AM$16))</f>
        <v>0</v>
      </c>
    </row>
    <row r="39" spans="1:39" ht="15.75" x14ac:dyDescent="0.25">
      <c r="A39" t="str">
        <f ca="1">IF(_xll.TM1RPTELISCONSOLIDATED($C$25,$C39),IF(_xll.TM1RPTELLEV($C$25,$C39)&lt;=3,_xll.TM1RPTELLEV($C$25,$C39),"D"),"N")</f>
        <v>N</v>
      </c>
      <c r="C39" s="14" t="s">
        <v>17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6"/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6"/>
      <c r="Q39" s="36">
        <v>0</v>
      </c>
      <c r="R39" s="36">
        <v>0</v>
      </c>
      <c r="S39" s="36">
        <v>0</v>
      </c>
      <c r="T39" s="36">
        <v>0</v>
      </c>
      <c r="U39" s="36">
        <v>0</v>
      </c>
      <c r="W39" s="36">
        <f ca="1">IF($X$11="Restit",_xll.DBRW($C$9,$C$15,W$17,$C39,W$16),_xll.DBSW(E39,$I$9,$C$15,W$17,$C39,W$16))</f>
        <v>0</v>
      </c>
      <c r="X39" s="36">
        <f ca="1">IF($X$11="Restit",_xll.DBRW($C$9,$C$15,X$17,$C39,X$16),_xll.DBSW(F39,$I$9,$C$15,X$17,$C39,X$16))</f>
        <v>0</v>
      </c>
      <c r="Y39" s="36">
        <f ca="1">IF($X$11="Restit",_xll.DBRW($C$9,$C$15,Y$17,$C39,Y$16),_xll.DBSW(G39,$I$9,$C$15,Y$17,$C39,Y$16))</f>
        <v>0</v>
      </c>
      <c r="Z39" s="36">
        <f ca="1">IF($X$11="Restit",_xll.DBRW($C$9,$C$15,Z$17,$C39,Z$16),_xll.DBSW(H39,$I$9,$C$15,Z$17,$C39,Z$16))</f>
        <v>0</v>
      </c>
      <c r="AA39" s="36">
        <f ca="1">IF($X$11="Restit",_xll.DBRW($C$9,$C$15,AA$17,$C39,AA$16),_xll.DBSW(I39,$I$9,$C$15,AA$17,$C39,AA$16))</f>
        <v>0</v>
      </c>
      <c r="AC39" s="36">
        <f ca="1">IF($X$11="Restit",_xll.DBRW($C$9,$C$15,AC$17,$C39,AC$16),_xll.DBSW(K39,$I$9,$C$15,AC$17,$C39,AC$16))</f>
        <v>0</v>
      </c>
      <c r="AD39" s="36">
        <f ca="1">IF($X$11="Restit",_xll.DBRW($C$9,$C$15,AD$17,$C39,AD$16),_xll.DBSW(L39,$I$9,$C$15,AD$17,$C39,AD$16))</f>
        <v>0</v>
      </c>
      <c r="AE39" s="36">
        <f ca="1">IF($X$11="Restit",_xll.DBRW($C$9,$C$15,AE$17,$C39,AE$16),_xll.DBSW(M39,$I$9,$C$15,AE$17,$C39,AE$16))</f>
        <v>0</v>
      </c>
      <c r="AF39" s="36">
        <f ca="1">IF($X$11="Restit",_xll.DBRW($C$9,$C$15,AF$17,$C39,AF$16),_xll.DBSW(N39,$I$9,$C$15,AF$17,$C39,AF$16))</f>
        <v>0</v>
      </c>
      <c r="AG39" s="36">
        <f ca="1">IF($X$11="Restit",_xll.DBRW($C$9,$C$15,AG$17,$C39,AG$16),_xll.DBSW(O39,$I$9,$C$15,AG$17,$C39,AG$16))</f>
        <v>0</v>
      </c>
      <c r="AI39" s="36">
        <f ca="1">IF($X$11="Restit",_xll.DBRW($C$9,$C$15,AI$17,$C39,AI$16),_xll.DBSW(Q39,$I$9,$C$15,AI$17,$C39,AI$16))</f>
        <v>0</v>
      </c>
      <c r="AJ39" s="36">
        <f ca="1">IF($X$11="Restit",_xll.DBRW($C$9,$C$15,AJ$17,$C39,AJ$16),_xll.DBSW(R39,$I$9,$C$15,AJ$17,$C39,AJ$16))</f>
        <v>0</v>
      </c>
      <c r="AK39" s="36">
        <f ca="1">IF($X$11="Restit",_xll.DBRW($C$9,$C$15,AK$17,$C39,AK$16),_xll.DBSW(S39,$I$9,$C$15,AK$17,$C39,AK$16))</f>
        <v>0</v>
      </c>
      <c r="AL39" s="36">
        <f ca="1">IF($X$11="Restit",_xll.DBRW($C$9,$C$15,AL$17,$C39,AL$16),_xll.DBSW(T39,$I$9,$C$15,AL$17,$C39,AL$16))</f>
        <v>0</v>
      </c>
      <c r="AM39" s="36">
        <f ca="1">IF($X$11="Restit",_xll.DBRW($C$9,$C$15,AM$17,$C39,AM$16),_xll.DBSW(U39,$I$9,$C$15,AM$17,$C39,AM$16))</f>
        <v>0</v>
      </c>
    </row>
    <row r="40" spans="1:39" ht="15.75" x14ac:dyDescent="0.25">
      <c r="A40" t="str">
        <f ca="1">IF(_xll.TM1RPTELISCONSOLIDATED($C$25,$C40),IF(_xll.TM1RPTELLEV($C$25,$C40)&lt;=3,_xll.TM1RPTELLEV($C$25,$C40),"D"),"N")</f>
        <v>N</v>
      </c>
      <c r="C40" s="14" t="s">
        <v>18</v>
      </c>
      <c r="E40" s="36">
        <v>0</v>
      </c>
      <c r="F40" s="36">
        <v>0</v>
      </c>
      <c r="G40" s="36">
        <v>0</v>
      </c>
      <c r="H40" s="36">
        <v>0</v>
      </c>
      <c r="I40" s="36">
        <v>0</v>
      </c>
      <c r="J40" s="6"/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6"/>
      <c r="Q40" s="36">
        <v>0</v>
      </c>
      <c r="R40" s="36">
        <v>0</v>
      </c>
      <c r="S40" s="36">
        <v>0</v>
      </c>
      <c r="T40" s="36">
        <v>0</v>
      </c>
      <c r="U40" s="36">
        <v>0</v>
      </c>
      <c r="W40" s="36">
        <f ca="1">IF($X$11="Restit",_xll.DBRW($C$9,$C$15,W$17,$C40,W$16),_xll.DBSW(E40,$I$9,$C$15,W$17,$C40,W$16))</f>
        <v>0</v>
      </c>
      <c r="X40" s="36">
        <f ca="1">IF($X$11="Restit",_xll.DBRW($C$9,$C$15,X$17,$C40,X$16),_xll.DBSW(F40,$I$9,$C$15,X$17,$C40,X$16))</f>
        <v>0</v>
      </c>
      <c r="Y40" s="36">
        <f ca="1">IF($X$11="Restit",_xll.DBRW($C$9,$C$15,Y$17,$C40,Y$16),_xll.DBSW(G40,$I$9,$C$15,Y$17,$C40,Y$16))</f>
        <v>0</v>
      </c>
      <c r="Z40" s="36">
        <f ca="1">IF($X$11="Restit",_xll.DBRW($C$9,$C$15,Z$17,$C40,Z$16),_xll.DBSW(H40,$I$9,$C$15,Z$17,$C40,Z$16))</f>
        <v>0</v>
      </c>
      <c r="AA40" s="36">
        <f ca="1">IF($X$11="Restit",_xll.DBRW($C$9,$C$15,AA$17,$C40,AA$16),_xll.DBSW(I40,$I$9,$C$15,AA$17,$C40,AA$16))</f>
        <v>0</v>
      </c>
      <c r="AC40" s="36">
        <f ca="1">IF($X$11="Restit",_xll.DBRW($C$9,$C$15,AC$17,$C40,AC$16),_xll.DBSW(K40,$I$9,$C$15,AC$17,$C40,AC$16))</f>
        <v>0</v>
      </c>
      <c r="AD40" s="36">
        <f ca="1">IF($X$11="Restit",_xll.DBRW($C$9,$C$15,AD$17,$C40,AD$16),_xll.DBSW(L40,$I$9,$C$15,AD$17,$C40,AD$16))</f>
        <v>0</v>
      </c>
      <c r="AE40" s="36">
        <f ca="1">IF($X$11="Restit",_xll.DBRW($C$9,$C$15,AE$17,$C40,AE$16),_xll.DBSW(M40,$I$9,$C$15,AE$17,$C40,AE$16))</f>
        <v>0</v>
      </c>
      <c r="AF40" s="36">
        <f ca="1">IF($X$11="Restit",_xll.DBRW($C$9,$C$15,AF$17,$C40,AF$16),_xll.DBSW(N40,$I$9,$C$15,AF$17,$C40,AF$16))</f>
        <v>0</v>
      </c>
      <c r="AG40" s="36">
        <f ca="1">IF($X$11="Restit",_xll.DBRW($C$9,$C$15,AG$17,$C40,AG$16),_xll.DBSW(O40,$I$9,$C$15,AG$17,$C40,AG$16))</f>
        <v>0</v>
      </c>
      <c r="AI40" s="36">
        <f ca="1">IF($X$11="Restit",_xll.DBRW($C$9,$C$15,AI$17,$C40,AI$16),_xll.DBSW(Q40,$I$9,$C$15,AI$17,$C40,AI$16))</f>
        <v>0</v>
      </c>
      <c r="AJ40" s="36">
        <f ca="1">IF($X$11="Restit",_xll.DBRW($C$9,$C$15,AJ$17,$C40,AJ$16),_xll.DBSW(R40,$I$9,$C$15,AJ$17,$C40,AJ$16))</f>
        <v>0</v>
      </c>
      <c r="AK40" s="36">
        <f ca="1">IF($X$11="Restit",_xll.DBRW($C$9,$C$15,AK$17,$C40,AK$16),_xll.DBSW(S40,$I$9,$C$15,AK$17,$C40,AK$16))</f>
        <v>0</v>
      </c>
      <c r="AL40" s="36">
        <f ca="1">IF($X$11="Restit",_xll.DBRW($C$9,$C$15,AL$17,$C40,AL$16),_xll.DBSW(T40,$I$9,$C$15,AL$17,$C40,AL$16))</f>
        <v>0</v>
      </c>
      <c r="AM40" s="36">
        <f ca="1">IF($X$11="Restit",_xll.DBRW($C$9,$C$15,AM$17,$C40,AM$16),_xll.DBSW(U40,$I$9,$C$15,AM$17,$C40,AM$16))</f>
        <v>0</v>
      </c>
    </row>
    <row r="41" spans="1:39" ht="15.75" x14ac:dyDescent="0.25">
      <c r="A41" t="str">
        <f ca="1">IF(_xll.TM1RPTELISCONSOLIDATED($C$25,$C41),IF(_xll.TM1RPTELLEV($C$25,$C41)&lt;=3,_xll.TM1RPTELLEV($C$25,$C41),"D"),"N")</f>
        <v>N</v>
      </c>
      <c r="C41" s="14" t="s">
        <v>19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6"/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6"/>
      <c r="Q41" s="36">
        <v>0</v>
      </c>
      <c r="R41" s="36">
        <v>0</v>
      </c>
      <c r="S41" s="36">
        <v>0</v>
      </c>
      <c r="T41" s="36">
        <v>0</v>
      </c>
      <c r="U41" s="36">
        <v>0</v>
      </c>
      <c r="W41" s="36">
        <f ca="1">IF($X$11="Restit",_xll.DBRW($C$9,$C$15,W$17,$C41,W$16),_xll.DBSW(E41,$I$9,$C$15,W$17,$C41,W$16))</f>
        <v>0</v>
      </c>
      <c r="X41" s="36">
        <f ca="1">IF($X$11="Restit",_xll.DBRW($C$9,$C$15,X$17,$C41,X$16),_xll.DBSW(F41,$I$9,$C$15,X$17,$C41,X$16))</f>
        <v>0</v>
      </c>
      <c r="Y41" s="36">
        <f ca="1">IF($X$11="Restit",_xll.DBRW($C$9,$C$15,Y$17,$C41,Y$16),_xll.DBSW(G41,$I$9,$C$15,Y$17,$C41,Y$16))</f>
        <v>0</v>
      </c>
      <c r="Z41" s="36">
        <f ca="1">IF($X$11="Restit",_xll.DBRW($C$9,$C$15,Z$17,$C41,Z$16),_xll.DBSW(H41,$I$9,$C$15,Z$17,$C41,Z$16))</f>
        <v>0</v>
      </c>
      <c r="AA41" s="36">
        <f ca="1">IF($X$11="Restit",_xll.DBRW($C$9,$C$15,AA$17,$C41,AA$16),_xll.DBSW(I41,$I$9,$C$15,AA$17,$C41,AA$16))</f>
        <v>0</v>
      </c>
      <c r="AC41" s="36">
        <f ca="1">IF($X$11="Restit",_xll.DBRW($C$9,$C$15,AC$17,$C41,AC$16),_xll.DBSW(K41,$I$9,$C$15,AC$17,$C41,AC$16))</f>
        <v>0</v>
      </c>
      <c r="AD41" s="36">
        <f ca="1">IF($X$11="Restit",_xll.DBRW($C$9,$C$15,AD$17,$C41,AD$16),_xll.DBSW(L41,$I$9,$C$15,AD$17,$C41,AD$16))</f>
        <v>0</v>
      </c>
      <c r="AE41" s="36">
        <f ca="1">IF($X$11="Restit",_xll.DBRW($C$9,$C$15,AE$17,$C41,AE$16),_xll.DBSW(M41,$I$9,$C$15,AE$17,$C41,AE$16))</f>
        <v>0</v>
      </c>
      <c r="AF41" s="36">
        <f ca="1">IF($X$11="Restit",_xll.DBRW($C$9,$C$15,AF$17,$C41,AF$16),_xll.DBSW(N41,$I$9,$C$15,AF$17,$C41,AF$16))</f>
        <v>0</v>
      </c>
      <c r="AG41" s="36">
        <f ca="1">IF($X$11="Restit",_xll.DBRW($C$9,$C$15,AG$17,$C41,AG$16),_xll.DBSW(O41,$I$9,$C$15,AG$17,$C41,AG$16))</f>
        <v>0</v>
      </c>
      <c r="AI41" s="36">
        <f ca="1">IF($X$11="Restit",_xll.DBRW($C$9,$C$15,AI$17,$C41,AI$16),_xll.DBSW(Q41,$I$9,$C$15,AI$17,$C41,AI$16))</f>
        <v>0</v>
      </c>
      <c r="AJ41" s="36">
        <f ca="1">IF($X$11="Restit",_xll.DBRW($C$9,$C$15,AJ$17,$C41,AJ$16),_xll.DBSW(R41,$I$9,$C$15,AJ$17,$C41,AJ$16))</f>
        <v>0</v>
      </c>
      <c r="AK41" s="36">
        <f ca="1">IF($X$11="Restit",_xll.DBRW($C$9,$C$15,AK$17,$C41,AK$16),_xll.DBSW(S41,$I$9,$C$15,AK$17,$C41,AK$16))</f>
        <v>0</v>
      </c>
      <c r="AL41" s="36">
        <f ca="1">IF($X$11="Restit",_xll.DBRW($C$9,$C$15,AL$17,$C41,AL$16),_xll.DBSW(T41,$I$9,$C$15,AL$17,$C41,AL$16))</f>
        <v>0</v>
      </c>
      <c r="AM41" s="36">
        <f ca="1">IF($X$11="Restit",_xll.DBRW($C$9,$C$15,AM$17,$C41,AM$16),_xll.DBSW(U41,$I$9,$C$15,AM$17,$C41,AM$16))</f>
        <v>0</v>
      </c>
    </row>
    <row r="42" spans="1:39" ht="15.75" x14ac:dyDescent="0.25">
      <c r="A42" t="str">
        <f ca="1">IF(_xll.TM1RPTELISCONSOLIDATED($C$25,$C42),IF(_xll.TM1RPTELLEV($C$25,$C42)&lt;=3,_xll.TM1RPTELLEV($C$25,$C42),"D"),"N")</f>
        <v>N</v>
      </c>
      <c r="C42" s="14" t="s">
        <v>20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6"/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6"/>
      <c r="Q42" s="36">
        <v>0</v>
      </c>
      <c r="R42" s="36">
        <v>0</v>
      </c>
      <c r="S42" s="36">
        <v>0</v>
      </c>
      <c r="T42" s="36">
        <v>0</v>
      </c>
      <c r="U42" s="36">
        <v>0</v>
      </c>
      <c r="W42" s="36">
        <f ca="1">IF($X$11="Restit",_xll.DBRW($C$9,$C$15,W$17,$C42,W$16),_xll.DBSW(E42,$I$9,$C$15,W$17,$C42,W$16))</f>
        <v>0</v>
      </c>
      <c r="X42" s="36">
        <f ca="1">IF($X$11="Restit",_xll.DBRW($C$9,$C$15,X$17,$C42,X$16),_xll.DBSW(F42,$I$9,$C$15,X$17,$C42,X$16))</f>
        <v>0</v>
      </c>
      <c r="Y42" s="36">
        <f ca="1">IF($X$11="Restit",_xll.DBRW($C$9,$C$15,Y$17,$C42,Y$16),_xll.DBSW(G42,$I$9,$C$15,Y$17,$C42,Y$16))</f>
        <v>0</v>
      </c>
      <c r="Z42" s="36">
        <f ca="1">IF($X$11="Restit",_xll.DBRW($C$9,$C$15,Z$17,$C42,Z$16),_xll.DBSW(H42,$I$9,$C$15,Z$17,$C42,Z$16))</f>
        <v>0</v>
      </c>
      <c r="AA42" s="36">
        <f ca="1">IF($X$11="Restit",_xll.DBRW($C$9,$C$15,AA$17,$C42,AA$16),_xll.DBSW(I42,$I$9,$C$15,AA$17,$C42,AA$16))</f>
        <v>0</v>
      </c>
      <c r="AC42" s="36">
        <f ca="1">IF($X$11="Restit",_xll.DBRW($C$9,$C$15,AC$17,$C42,AC$16),_xll.DBSW(K42,$I$9,$C$15,AC$17,$C42,AC$16))</f>
        <v>0</v>
      </c>
      <c r="AD42" s="36">
        <f ca="1">IF($X$11="Restit",_xll.DBRW($C$9,$C$15,AD$17,$C42,AD$16),_xll.DBSW(L42,$I$9,$C$15,AD$17,$C42,AD$16))</f>
        <v>0</v>
      </c>
      <c r="AE42" s="36">
        <f ca="1">IF($X$11="Restit",_xll.DBRW($C$9,$C$15,AE$17,$C42,AE$16),_xll.DBSW(M42,$I$9,$C$15,AE$17,$C42,AE$16))</f>
        <v>0</v>
      </c>
      <c r="AF42" s="36">
        <f ca="1">IF($X$11="Restit",_xll.DBRW($C$9,$C$15,AF$17,$C42,AF$16),_xll.DBSW(N42,$I$9,$C$15,AF$17,$C42,AF$16))</f>
        <v>0</v>
      </c>
      <c r="AG42" s="36">
        <f ca="1">IF($X$11="Restit",_xll.DBRW($C$9,$C$15,AG$17,$C42,AG$16),_xll.DBSW(O42,$I$9,$C$15,AG$17,$C42,AG$16))</f>
        <v>0</v>
      </c>
      <c r="AI42" s="36">
        <f ca="1">IF($X$11="Restit",_xll.DBRW($C$9,$C$15,AI$17,$C42,AI$16),_xll.DBSW(Q42,$I$9,$C$15,AI$17,$C42,AI$16))</f>
        <v>0</v>
      </c>
      <c r="AJ42" s="36">
        <f ca="1">IF($X$11="Restit",_xll.DBRW($C$9,$C$15,AJ$17,$C42,AJ$16),_xll.DBSW(R42,$I$9,$C$15,AJ$17,$C42,AJ$16))</f>
        <v>0</v>
      </c>
      <c r="AK42" s="36">
        <f ca="1">IF($X$11="Restit",_xll.DBRW($C$9,$C$15,AK$17,$C42,AK$16),_xll.DBSW(S42,$I$9,$C$15,AK$17,$C42,AK$16))</f>
        <v>0</v>
      </c>
      <c r="AL42" s="36">
        <f ca="1">IF($X$11="Restit",_xll.DBRW($C$9,$C$15,AL$17,$C42,AL$16),_xll.DBSW(T42,$I$9,$C$15,AL$17,$C42,AL$16))</f>
        <v>0</v>
      </c>
      <c r="AM42" s="36">
        <f ca="1">IF($X$11="Restit",_xll.DBRW($C$9,$C$15,AM$17,$C42,AM$16),_xll.DBSW(U42,$I$9,$C$15,AM$17,$C42,AM$16))</f>
        <v>0</v>
      </c>
    </row>
    <row r="43" spans="1:39" ht="15.75" x14ac:dyDescent="0.25">
      <c r="A43" t="str">
        <f ca="1">IF(_xll.TM1RPTELISCONSOLIDATED($C$25,$C43),IF(_xll.TM1RPTELLEV($C$25,$C43)&lt;=3,_xll.TM1RPTELLEV($C$25,$C43),"D"),"N")</f>
        <v>N</v>
      </c>
      <c r="C43" s="14" t="s">
        <v>21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6"/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6"/>
      <c r="Q43" s="36">
        <v>0</v>
      </c>
      <c r="R43" s="36">
        <v>0</v>
      </c>
      <c r="S43" s="36">
        <v>0</v>
      </c>
      <c r="T43" s="36">
        <v>0</v>
      </c>
      <c r="U43" s="36">
        <v>0</v>
      </c>
      <c r="W43" s="36">
        <f ca="1">IF($X$11="Restit",_xll.DBRW($C$9,$C$15,W$17,$C43,W$16),_xll.DBSW(E43,$I$9,$C$15,W$17,$C43,W$16))</f>
        <v>0</v>
      </c>
      <c r="X43" s="36">
        <f ca="1">IF($X$11="Restit",_xll.DBRW($C$9,$C$15,X$17,$C43,X$16),_xll.DBSW(F43,$I$9,$C$15,X$17,$C43,X$16))</f>
        <v>0</v>
      </c>
      <c r="Y43" s="36">
        <f ca="1">IF($X$11="Restit",_xll.DBRW($C$9,$C$15,Y$17,$C43,Y$16),_xll.DBSW(G43,$I$9,$C$15,Y$17,$C43,Y$16))</f>
        <v>0</v>
      </c>
      <c r="Z43" s="36">
        <f ca="1">IF($X$11="Restit",_xll.DBRW($C$9,$C$15,Z$17,$C43,Z$16),_xll.DBSW(H43,$I$9,$C$15,Z$17,$C43,Z$16))</f>
        <v>0</v>
      </c>
      <c r="AA43" s="36">
        <f ca="1">IF($X$11="Restit",_xll.DBRW($C$9,$C$15,AA$17,$C43,AA$16),_xll.DBSW(I43,$I$9,$C$15,AA$17,$C43,AA$16))</f>
        <v>0</v>
      </c>
      <c r="AC43" s="36">
        <f ca="1">IF($X$11="Restit",_xll.DBRW($C$9,$C$15,AC$17,$C43,AC$16),_xll.DBSW(K43,$I$9,$C$15,AC$17,$C43,AC$16))</f>
        <v>0</v>
      </c>
      <c r="AD43" s="36">
        <f ca="1">IF($X$11="Restit",_xll.DBRW($C$9,$C$15,AD$17,$C43,AD$16),_xll.DBSW(L43,$I$9,$C$15,AD$17,$C43,AD$16))</f>
        <v>0</v>
      </c>
      <c r="AE43" s="36">
        <f ca="1">IF($X$11="Restit",_xll.DBRW($C$9,$C$15,AE$17,$C43,AE$16),_xll.DBSW(M43,$I$9,$C$15,AE$17,$C43,AE$16))</f>
        <v>0</v>
      </c>
      <c r="AF43" s="36">
        <f ca="1">IF($X$11="Restit",_xll.DBRW($C$9,$C$15,AF$17,$C43,AF$16),_xll.DBSW(N43,$I$9,$C$15,AF$17,$C43,AF$16))</f>
        <v>0</v>
      </c>
      <c r="AG43" s="36">
        <f ca="1">IF($X$11="Restit",_xll.DBRW($C$9,$C$15,AG$17,$C43,AG$16),_xll.DBSW(O43,$I$9,$C$15,AG$17,$C43,AG$16))</f>
        <v>0</v>
      </c>
      <c r="AI43" s="36">
        <f ca="1">IF($X$11="Restit",_xll.DBRW($C$9,$C$15,AI$17,$C43,AI$16),_xll.DBSW(Q43,$I$9,$C$15,AI$17,$C43,AI$16))</f>
        <v>0</v>
      </c>
      <c r="AJ43" s="36">
        <f ca="1">IF($X$11="Restit",_xll.DBRW($C$9,$C$15,AJ$17,$C43,AJ$16),_xll.DBSW(R43,$I$9,$C$15,AJ$17,$C43,AJ$16))</f>
        <v>0</v>
      </c>
      <c r="AK43" s="36">
        <f ca="1">IF($X$11="Restit",_xll.DBRW($C$9,$C$15,AK$17,$C43,AK$16),_xll.DBSW(S43,$I$9,$C$15,AK$17,$C43,AK$16))</f>
        <v>0</v>
      </c>
      <c r="AL43" s="36">
        <f ca="1">IF($X$11="Restit",_xll.DBRW($C$9,$C$15,AL$17,$C43,AL$16),_xll.DBSW(T43,$I$9,$C$15,AL$17,$C43,AL$16))</f>
        <v>0</v>
      </c>
      <c r="AM43" s="36">
        <f ca="1">IF($X$11="Restit",_xll.DBRW($C$9,$C$15,AM$17,$C43,AM$16),_xll.DBSW(U43,$I$9,$C$15,AM$17,$C43,AM$16))</f>
        <v>0</v>
      </c>
    </row>
    <row r="44" spans="1:39" ht="15.75" x14ac:dyDescent="0.25">
      <c r="A44" t="str">
        <f ca="1">IF(_xll.TM1RPTELISCONSOLIDATED($C$25,$C44),IF(_xll.TM1RPTELLEV($C$25,$C44)&lt;=3,_xll.TM1RPTELLEV($C$25,$C44),"D"),"N")</f>
        <v>N</v>
      </c>
      <c r="C44" s="14" t="s">
        <v>22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6"/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6"/>
      <c r="Q44" s="36">
        <v>0</v>
      </c>
      <c r="R44" s="36">
        <v>0</v>
      </c>
      <c r="S44" s="36">
        <v>0</v>
      </c>
      <c r="T44" s="36">
        <v>0</v>
      </c>
      <c r="U44" s="36">
        <v>0</v>
      </c>
      <c r="W44" s="36">
        <f ca="1">IF($X$11="Restit",_xll.DBRW($C$9,$C$15,W$17,$C44,W$16),_xll.DBSW(E44,$I$9,$C$15,W$17,$C44,W$16))</f>
        <v>0</v>
      </c>
      <c r="X44" s="36">
        <f ca="1">IF($X$11="Restit",_xll.DBRW($C$9,$C$15,X$17,$C44,X$16),_xll.DBSW(F44,$I$9,$C$15,X$17,$C44,X$16))</f>
        <v>0</v>
      </c>
      <c r="Y44" s="36">
        <f ca="1">IF($X$11="Restit",_xll.DBRW($C$9,$C$15,Y$17,$C44,Y$16),_xll.DBSW(G44,$I$9,$C$15,Y$17,$C44,Y$16))</f>
        <v>0</v>
      </c>
      <c r="Z44" s="36">
        <f ca="1">IF($X$11="Restit",_xll.DBRW($C$9,$C$15,Z$17,$C44,Z$16),_xll.DBSW(H44,$I$9,$C$15,Z$17,$C44,Z$16))</f>
        <v>0</v>
      </c>
      <c r="AA44" s="36">
        <f ca="1">IF($X$11="Restit",_xll.DBRW($C$9,$C$15,AA$17,$C44,AA$16),_xll.DBSW(I44,$I$9,$C$15,AA$17,$C44,AA$16))</f>
        <v>0</v>
      </c>
      <c r="AC44" s="36">
        <f ca="1">IF($X$11="Restit",_xll.DBRW($C$9,$C$15,AC$17,$C44,AC$16),_xll.DBSW(K44,$I$9,$C$15,AC$17,$C44,AC$16))</f>
        <v>0</v>
      </c>
      <c r="AD44" s="36">
        <f ca="1">IF($X$11="Restit",_xll.DBRW($C$9,$C$15,AD$17,$C44,AD$16),_xll.DBSW(L44,$I$9,$C$15,AD$17,$C44,AD$16))</f>
        <v>0</v>
      </c>
      <c r="AE44" s="36">
        <f ca="1">IF($X$11="Restit",_xll.DBRW($C$9,$C$15,AE$17,$C44,AE$16),_xll.DBSW(M44,$I$9,$C$15,AE$17,$C44,AE$16))</f>
        <v>0</v>
      </c>
      <c r="AF44" s="36">
        <f ca="1">IF($X$11="Restit",_xll.DBRW($C$9,$C$15,AF$17,$C44,AF$16),_xll.DBSW(N44,$I$9,$C$15,AF$17,$C44,AF$16))</f>
        <v>0</v>
      </c>
      <c r="AG44" s="36">
        <f ca="1">IF($X$11="Restit",_xll.DBRW($C$9,$C$15,AG$17,$C44,AG$16),_xll.DBSW(O44,$I$9,$C$15,AG$17,$C44,AG$16))</f>
        <v>0</v>
      </c>
      <c r="AI44" s="36">
        <f ca="1">IF($X$11="Restit",_xll.DBRW($C$9,$C$15,AI$17,$C44,AI$16),_xll.DBSW(Q44,$I$9,$C$15,AI$17,$C44,AI$16))</f>
        <v>0</v>
      </c>
      <c r="AJ44" s="36">
        <f ca="1">IF($X$11="Restit",_xll.DBRW($C$9,$C$15,AJ$17,$C44,AJ$16),_xll.DBSW(R44,$I$9,$C$15,AJ$17,$C44,AJ$16))</f>
        <v>0</v>
      </c>
      <c r="AK44" s="36">
        <f ca="1">IF($X$11="Restit",_xll.DBRW($C$9,$C$15,AK$17,$C44,AK$16),_xll.DBSW(S44,$I$9,$C$15,AK$17,$C44,AK$16))</f>
        <v>0</v>
      </c>
      <c r="AL44" s="36">
        <f ca="1">IF($X$11="Restit",_xll.DBRW($C$9,$C$15,AL$17,$C44,AL$16),_xll.DBSW(T44,$I$9,$C$15,AL$17,$C44,AL$16))</f>
        <v>0</v>
      </c>
      <c r="AM44" s="36">
        <f ca="1">IF($X$11="Restit",_xll.DBRW($C$9,$C$15,AM$17,$C44,AM$16),_xll.DBSW(U44,$I$9,$C$15,AM$17,$C44,AM$16))</f>
        <v>0</v>
      </c>
    </row>
    <row r="45" spans="1:39" ht="15.75" x14ac:dyDescent="0.25">
      <c r="A45" t="str">
        <f ca="1">IF(_xll.TM1RPTELISCONSOLIDATED($C$25,$C45),IF(_xll.TM1RPTELLEV($C$25,$C45)&lt;=3,_xll.TM1RPTELLEV($C$25,$C45),"D"),"N")</f>
        <v>N</v>
      </c>
      <c r="C45" s="14" t="s">
        <v>23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6"/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6"/>
      <c r="Q45" s="36">
        <v>0</v>
      </c>
      <c r="R45" s="36">
        <v>0</v>
      </c>
      <c r="S45" s="36">
        <v>0</v>
      </c>
      <c r="T45" s="36">
        <v>0</v>
      </c>
      <c r="U45" s="36">
        <v>0</v>
      </c>
      <c r="W45" s="36">
        <f ca="1">IF($X$11="Restit",_xll.DBRW($C$9,$C$15,W$17,$C45,W$16),_xll.DBSW(E45,$I$9,$C$15,W$17,$C45,W$16))</f>
        <v>0</v>
      </c>
      <c r="X45" s="36">
        <f ca="1">IF($X$11="Restit",_xll.DBRW($C$9,$C$15,X$17,$C45,X$16),_xll.DBSW(F45,$I$9,$C$15,X$17,$C45,X$16))</f>
        <v>0</v>
      </c>
      <c r="Y45" s="36">
        <f ca="1">IF($X$11="Restit",_xll.DBRW($C$9,$C$15,Y$17,$C45,Y$16),_xll.DBSW(G45,$I$9,$C$15,Y$17,$C45,Y$16))</f>
        <v>0</v>
      </c>
      <c r="Z45" s="36">
        <f ca="1">IF($X$11="Restit",_xll.DBRW($C$9,$C$15,Z$17,$C45,Z$16),_xll.DBSW(H45,$I$9,$C$15,Z$17,$C45,Z$16))</f>
        <v>0</v>
      </c>
      <c r="AA45" s="36">
        <f ca="1">IF($X$11="Restit",_xll.DBRW($C$9,$C$15,AA$17,$C45,AA$16),_xll.DBSW(I45,$I$9,$C$15,AA$17,$C45,AA$16))</f>
        <v>0</v>
      </c>
      <c r="AC45" s="36">
        <f ca="1">IF($X$11="Restit",_xll.DBRW($C$9,$C$15,AC$17,$C45,AC$16),_xll.DBSW(K45,$I$9,$C$15,AC$17,$C45,AC$16))</f>
        <v>0</v>
      </c>
      <c r="AD45" s="36">
        <f ca="1">IF($X$11="Restit",_xll.DBRW($C$9,$C$15,AD$17,$C45,AD$16),_xll.DBSW(L45,$I$9,$C$15,AD$17,$C45,AD$16))</f>
        <v>0</v>
      </c>
      <c r="AE45" s="36">
        <f ca="1">IF($X$11="Restit",_xll.DBRW($C$9,$C$15,AE$17,$C45,AE$16),_xll.DBSW(M45,$I$9,$C$15,AE$17,$C45,AE$16))</f>
        <v>0</v>
      </c>
      <c r="AF45" s="36">
        <f ca="1">IF($X$11="Restit",_xll.DBRW($C$9,$C$15,AF$17,$C45,AF$16),_xll.DBSW(N45,$I$9,$C$15,AF$17,$C45,AF$16))</f>
        <v>0</v>
      </c>
      <c r="AG45" s="36">
        <f ca="1">IF($X$11="Restit",_xll.DBRW($C$9,$C$15,AG$17,$C45,AG$16),_xll.DBSW(O45,$I$9,$C$15,AG$17,$C45,AG$16))</f>
        <v>0</v>
      </c>
      <c r="AI45" s="36">
        <f ca="1">IF($X$11="Restit",_xll.DBRW($C$9,$C$15,AI$17,$C45,AI$16),_xll.DBSW(Q45,$I$9,$C$15,AI$17,$C45,AI$16))</f>
        <v>0</v>
      </c>
      <c r="AJ45" s="36">
        <f ca="1">IF($X$11="Restit",_xll.DBRW($C$9,$C$15,AJ$17,$C45,AJ$16),_xll.DBSW(R45,$I$9,$C$15,AJ$17,$C45,AJ$16))</f>
        <v>0</v>
      </c>
      <c r="AK45" s="36">
        <f ca="1">IF($X$11="Restit",_xll.DBRW($C$9,$C$15,AK$17,$C45,AK$16),_xll.DBSW(S45,$I$9,$C$15,AK$17,$C45,AK$16))</f>
        <v>0</v>
      </c>
      <c r="AL45" s="36">
        <f ca="1">IF($X$11="Restit",_xll.DBRW($C$9,$C$15,AL$17,$C45,AL$16),_xll.DBSW(T45,$I$9,$C$15,AL$17,$C45,AL$16))</f>
        <v>0</v>
      </c>
      <c r="AM45" s="36">
        <f ca="1">IF($X$11="Restit",_xll.DBRW($C$9,$C$15,AM$17,$C45,AM$16),_xll.DBSW(U45,$I$9,$C$15,AM$17,$C45,AM$16))</f>
        <v>0</v>
      </c>
    </row>
    <row r="46" spans="1:39" ht="15.75" x14ac:dyDescent="0.25">
      <c r="A46" t="str">
        <f ca="1">IF(_xll.TM1RPTELISCONSOLIDATED($C$25,$C46),IF(_xll.TM1RPTELLEV($C$25,$C46)&lt;=3,_xll.TM1RPTELLEV($C$25,$C46),"D"),"N")</f>
        <v>N</v>
      </c>
      <c r="C46" s="14" t="s">
        <v>24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6"/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6"/>
      <c r="Q46" s="36">
        <v>0</v>
      </c>
      <c r="R46" s="36">
        <v>0</v>
      </c>
      <c r="S46" s="36">
        <v>0</v>
      </c>
      <c r="T46" s="36">
        <v>0</v>
      </c>
      <c r="U46" s="36">
        <v>0</v>
      </c>
      <c r="W46" s="36">
        <f ca="1">IF($X$11="Restit",_xll.DBRW($C$9,$C$15,W$17,$C46,W$16),_xll.DBSW(E46,$I$9,$C$15,W$17,$C46,W$16))</f>
        <v>0</v>
      </c>
      <c r="X46" s="36">
        <f ca="1">IF($X$11="Restit",_xll.DBRW($C$9,$C$15,X$17,$C46,X$16),_xll.DBSW(F46,$I$9,$C$15,X$17,$C46,X$16))</f>
        <v>0</v>
      </c>
      <c r="Y46" s="36">
        <f ca="1">IF($X$11="Restit",_xll.DBRW($C$9,$C$15,Y$17,$C46,Y$16),_xll.DBSW(G46,$I$9,$C$15,Y$17,$C46,Y$16))</f>
        <v>0</v>
      </c>
      <c r="Z46" s="36">
        <f ca="1">IF($X$11="Restit",_xll.DBRW($C$9,$C$15,Z$17,$C46,Z$16),_xll.DBSW(H46,$I$9,$C$15,Z$17,$C46,Z$16))</f>
        <v>0</v>
      </c>
      <c r="AA46" s="36">
        <f ca="1">IF($X$11="Restit",_xll.DBRW($C$9,$C$15,AA$17,$C46,AA$16),_xll.DBSW(I46,$I$9,$C$15,AA$17,$C46,AA$16))</f>
        <v>0</v>
      </c>
      <c r="AC46" s="36">
        <f ca="1">IF($X$11="Restit",_xll.DBRW($C$9,$C$15,AC$17,$C46,AC$16),_xll.DBSW(K46,$I$9,$C$15,AC$17,$C46,AC$16))</f>
        <v>0</v>
      </c>
      <c r="AD46" s="36">
        <f ca="1">IF($X$11="Restit",_xll.DBRW($C$9,$C$15,AD$17,$C46,AD$16),_xll.DBSW(L46,$I$9,$C$15,AD$17,$C46,AD$16))</f>
        <v>0</v>
      </c>
      <c r="AE46" s="36">
        <f ca="1">IF($X$11="Restit",_xll.DBRW($C$9,$C$15,AE$17,$C46,AE$16),_xll.DBSW(M46,$I$9,$C$15,AE$17,$C46,AE$16))</f>
        <v>0</v>
      </c>
      <c r="AF46" s="36">
        <f ca="1">IF($X$11="Restit",_xll.DBRW($C$9,$C$15,AF$17,$C46,AF$16),_xll.DBSW(N46,$I$9,$C$15,AF$17,$C46,AF$16))</f>
        <v>0</v>
      </c>
      <c r="AG46" s="36">
        <f ca="1">IF($X$11="Restit",_xll.DBRW($C$9,$C$15,AG$17,$C46,AG$16),_xll.DBSW(O46,$I$9,$C$15,AG$17,$C46,AG$16))</f>
        <v>0</v>
      </c>
      <c r="AI46" s="36">
        <f ca="1">IF($X$11="Restit",_xll.DBRW($C$9,$C$15,AI$17,$C46,AI$16),_xll.DBSW(Q46,$I$9,$C$15,AI$17,$C46,AI$16))</f>
        <v>0</v>
      </c>
      <c r="AJ46" s="36">
        <f ca="1">IF($X$11="Restit",_xll.DBRW($C$9,$C$15,AJ$17,$C46,AJ$16),_xll.DBSW(R46,$I$9,$C$15,AJ$17,$C46,AJ$16))</f>
        <v>0</v>
      </c>
      <c r="AK46" s="36">
        <f ca="1">IF($X$11="Restit",_xll.DBRW($C$9,$C$15,AK$17,$C46,AK$16),_xll.DBSW(S46,$I$9,$C$15,AK$17,$C46,AK$16))</f>
        <v>0</v>
      </c>
      <c r="AL46" s="36">
        <f ca="1">IF($X$11="Restit",_xll.DBRW($C$9,$C$15,AL$17,$C46,AL$16),_xll.DBSW(T46,$I$9,$C$15,AL$17,$C46,AL$16))</f>
        <v>0</v>
      </c>
      <c r="AM46" s="36">
        <f ca="1">IF($X$11="Restit",_xll.DBRW($C$9,$C$15,AM$17,$C46,AM$16),_xll.DBSW(U46,$I$9,$C$15,AM$17,$C46,AM$16))</f>
        <v>0</v>
      </c>
    </row>
    <row r="47" spans="1:39" ht="15.75" x14ac:dyDescent="0.25">
      <c r="A47" t="str">
        <f ca="1">IF(_xll.TM1RPTELISCONSOLIDATED($C$25,$C47),IF(_xll.TM1RPTELLEV($C$25,$C47)&lt;=3,_xll.TM1RPTELLEV($C$25,$C47),"D"),"N")</f>
        <v>N</v>
      </c>
      <c r="C47" s="14" t="s">
        <v>25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6"/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6"/>
      <c r="Q47" s="36">
        <v>0</v>
      </c>
      <c r="R47" s="36">
        <v>0</v>
      </c>
      <c r="S47" s="36">
        <v>0</v>
      </c>
      <c r="T47" s="36">
        <v>0</v>
      </c>
      <c r="U47" s="36">
        <v>0</v>
      </c>
      <c r="W47" s="36">
        <f ca="1">IF($X$11="Restit",_xll.DBRW($C$9,$C$15,W$17,$C47,W$16),_xll.DBSW(E47,$I$9,$C$15,W$17,$C47,W$16))</f>
        <v>0</v>
      </c>
      <c r="X47" s="36">
        <f ca="1">IF($X$11="Restit",_xll.DBRW($C$9,$C$15,X$17,$C47,X$16),_xll.DBSW(F47,$I$9,$C$15,X$17,$C47,X$16))</f>
        <v>0</v>
      </c>
      <c r="Y47" s="36">
        <f ca="1">IF($X$11="Restit",_xll.DBRW($C$9,$C$15,Y$17,$C47,Y$16),_xll.DBSW(G47,$I$9,$C$15,Y$17,$C47,Y$16))</f>
        <v>0</v>
      </c>
      <c r="Z47" s="36">
        <f ca="1">IF($X$11="Restit",_xll.DBRW($C$9,$C$15,Z$17,$C47,Z$16),_xll.DBSW(H47,$I$9,$C$15,Z$17,$C47,Z$16))</f>
        <v>0</v>
      </c>
      <c r="AA47" s="36">
        <f ca="1">IF($X$11="Restit",_xll.DBRW($C$9,$C$15,AA$17,$C47,AA$16),_xll.DBSW(I47,$I$9,$C$15,AA$17,$C47,AA$16))</f>
        <v>0</v>
      </c>
      <c r="AC47" s="36">
        <f ca="1">IF($X$11="Restit",_xll.DBRW($C$9,$C$15,AC$17,$C47,AC$16),_xll.DBSW(K47,$I$9,$C$15,AC$17,$C47,AC$16))</f>
        <v>0</v>
      </c>
      <c r="AD47" s="36">
        <f ca="1">IF($X$11="Restit",_xll.DBRW($C$9,$C$15,AD$17,$C47,AD$16),_xll.DBSW(L47,$I$9,$C$15,AD$17,$C47,AD$16))</f>
        <v>0</v>
      </c>
      <c r="AE47" s="36">
        <f ca="1">IF($X$11="Restit",_xll.DBRW($C$9,$C$15,AE$17,$C47,AE$16),_xll.DBSW(M47,$I$9,$C$15,AE$17,$C47,AE$16))</f>
        <v>0</v>
      </c>
      <c r="AF47" s="36">
        <f ca="1">IF($X$11="Restit",_xll.DBRW($C$9,$C$15,AF$17,$C47,AF$16),_xll.DBSW(N47,$I$9,$C$15,AF$17,$C47,AF$16))</f>
        <v>0</v>
      </c>
      <c r="AG47" s="36">
        <f ca="1">IF($X$11="Restit",_xll.DBRW($C$9,$C$15,AG$17,$C47,AG$16),_xll.DBSW(O47,$I$9,$C$15,AG$17,$C47,AG$16))</f>
        <v>0</v>
      </c>
      <c r="AI47" s="36">
        <f ca="1">IF($X$11="Restit",_xll.DBRW($C$9,$C$15,AI$17,$C47,AI$16),_xll.DBSW(Q47,$I$9,$C$15,AI$17,$C47,AI$16))</f>
        <v>0</v>
      </c>
      <c r="AJ47" s="36">
        <f ca="1">IF($X$11="Restit",_xll.DBRW($C$9,$C$15,AJ$17,$C47,AJ$16),_xll.DBSW(R47,$I$9,$C$15,AJ$17,$C47,AJ$16))</f>
        <v>0</v>
      </c>
      <c r="AK47" s="36">
        <f ca="1">IF($X$11="Restit",_xll.DBRW($C$9,$C$15,AK$17,$C47,AK$16),_xll.DBSW(S47,$I$9,$C$15,AK$17,$C47,AK$16))</f>
        <v>0</v>
      </c>
      <c r="AL47" s="36">
        <f ca="1">IF($X$11="Restit",_xll.DBRW($C$9,$C$15,AL$17,$C47,AL$16),_xll.DBSW(T47,$I$9,$C$15,AL$17,$C47,AL$16))</f>
        <v>0</v>
      </c>
      <c r="AM47" s="36">
        <f ca="1">IF($X$11="Restit",_xll.DBRW($C$9,$C$15,AM$17,$C47,AM$16),_xll.DBSW(U47,$I$9,$C$15,AM$17,$C47,AM$16))</f>
        <v>0</v>
      </c>
    </row>
    <row r="48" spans="1:39" ht="15.75" x14ac:dyDescent="0.25">
      <c r="A48" t="str">
        <f ca="1">IF(_xll.TM1RPTELISCONSOLIDATED($C$25,$C48),IF(_xll.TM1RPTELLEV($C$25,$C48)&lt;=3,_xll.TM1RPTELLEV($C$25,$C48),"D"),"N")</f>
        <v>N</v>
      </c>
      <c r="C48" s="14" t="s">
        <v>26</v>
      </c>
      <c r="E48" s="36">
        <v>0</v>
      </c>
      <c r="F48" s="36">
        <v>0</v>
      </c>
      <c r="G48" s="36">
        <v>0</v>
      </c>
      <c r="H48" s="36">
        <v>0</v>
      </c>
      <c r="I48" s="36">
        <v>0</v>
      </c>
      <c r="J48" s="6"/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6"/>
      <c r="Q48" s="36">
        <v>0</v>
      </c>
      <c r="R48" s="36">
        <v>0</v>
      </c>
      <c r="S48" s="36">
        <v>0</v>
      </c>
      <c r="T48" s="36">
        <v>0</v>
      </c>
      <c r="U48" s="36">
        <v>0</v>
      </c>
      <c r="W48" s="36">
        <f ca="1">IF($X$11="Restit",_xll.DBRW($C$9,$C$15,W$17,$C48,W$16),_xll.DBSW(E48,$I$9,$C$15,W$17,$C48,W$16))</f>
        <v>0</v>
      </c>
      <c r="X48" s="36">
        <f ca="1">IF($X$11="Restit",_xll.DBRW($C$9,$C$15,X$17,$C48,X$16),_xll.DBSW(F48,$I$9,$C$15,X$17,$C48,X$16))</f>
        <v>0</v>
      </c>
      <c r="Y48" s="36">
        <f ca="1">IF($X$11="Restit",_xll.DBRW($C$9,$C$15,Y$17,$C48,Y$16),_xll.DBSW(G48,$I$9,$C$15,Y$17,$C48,Y$16))</f>
        <v>0</v>
      </c>
      <c r="Z48" s="36">
        <f ca="1">IF($X$11="Restit",_xll.DBRW($C$9,$C$15,Z$17,$C48,Z$16),_xll.DBSW(H48,$I$9,$C$15,Z$17,$C48,Z$16))</f>
        <v>0</v>
      </c>
      <c r="AA48" s="36">
        <f ca="1">IF($X$11="Restit",_xll.DBRW($C$9,$C$15,AA$17,$C48,AA$16),_xll.DBSW(I48,$I$9,$C$15,AA$17,$C48,AA$16))</f>
        <v>0</v>
      </c>
      <c r="AC48" s="36">
        <f ca="1">IF($X$11="Restit",_xll.DBRW($C$9,$C$15,AC$17,$C48,AC$16),_xll.DBSW(K48,$I$9,$C$15,AC$17,$C48,AC$16))</f>
        <v>0</v>
      </c>
      <c r="AD48" s="36">
        <f ca="1">IF($X$11="Restit",_xll.DBRW($C$9,$C$15,AD$17,$C48,AD$16),_xll.DBSW(L48,$I$9,$C$15,AD$17,$C48,AD$16))</f>
        <v>0</v>
      </c>
      <c r="AE48" s="36">
        <f ca="1">IF($X$11="Restit",_xll.DBRW($C$9,$C$15,AE$17,$C48,AE$16),_xll.DBSW(M48,$I$9,$C$15,AE$17,$C48,AE$16))</f>
        <v>0</v>
      </c>
      <c r="AF48" s="36">
        <f ca="1">IF($X$11="Restit",_xll.DBRW($C$9,$C$15,AF$17,$C48,AF$16),_xll.DBSW(N48,$I$9,$C$15,AF$17,$C48,AF$16))</f>
        <v>0</v>
      </c>
      <c r="AG48" s="36">
        <f ca="1">IF($X$11="Restit",_xll.DBRW($C$9,$C$15,AG$17,$C48,AG$16),_xll.DBSW(O48,$I$9,$C$15,AG$17,$C48,AG$16))</f>
        <v>0</v>
      </c>
      <c r="AI48" s="36">
        <f ca="1">IF($X$11="Restit",_xll.DBRW($C$9,$C$15,AI$17,$C48,AI$16),_xll.DBSW(Q48,$I$9,$C$15,AI$17,$C48,AI$16))</f>
        <v>0</v>
      </c>
      <c r="AJ48" s="36">
        <f ca="1">IF($X$11="Restit",_xll.DBRW($C$9,$C$15,AJ$17,$C48,AJ$16),_xll.DBSW(R48,$I$9,$C$15,AJ$17,$C48,AJ$16))</f>
        <v>0</v>
      </c>
      <c r="AK48" s="36">
        <f ca="1">IF($X$11="Restit",_xll.DBRW($C$9,$C$15,AK$17,$C48,AK$16),_xll.DBSW(S48,$I$9,$C$15,AK$17,$C48,AK$16))</f>
        <v>0</v>
      </c>
      <c r="AL48" s="36">
        <f ca="1">IF($X$11="Restit",_xll.DBRW($C$9,$C$15,AL$17,$C48,AL$16),_xll.DBSW(T48,$I$9,$C$15,AL$17,$C48,AL$16))</f>
        <v>0</v>
      </c>
      <c r="AM48" s="36">
        <f ca="1">IF($X$11="Restit",_xll.DBRW($C$9,$C$15,AM$17,$C48,AM$16),_xll.DBSW(U48,$I$9,$C$15,AM$17,$C48,AM$16))</f>
        <v>0</v>
      </c>
    </row>
    <row r="49" spans="1:39" ht="15.75" x14ac:dyDescent="0.25">
      <c r="A49" t="str">
        <f ca="1">IF(_xll.TM1RPTELISCONSOLIDATED($C$25,$C49),IF(_xll.TM1RPTELLEV($C$25,$C49)&lt;=3,_xll.TM1RPTELLEV($C$25,$C49),"D"),"N")</f>
        <v>N</v>
      </c>
      <c r="C49" s="14" t="s">
        <v>27</v>
      </c>
      <c r="E49" s="36">
        <v>0</v>
      </c>
      <c r="F49" s="36">
        <v>0</v>
      </c>
      <c r="G49" s="36">
        <v>0</v>
      </c>
      <c r="H49" s="36">
        <v>0</v>
      </c>
      <c r="I49" s="36">
        <v>0</v>
      </c>
      <c r="J49" s="6"/>
      <c r="K49" s="36">
        <v>0</v>
      </c>
      <c r="L49" s="36">
        <v>0</v>
      </c>
      <c r="M49" s="36">
        <v>0</v>
      </c>
      <c r="N49" s="36">
        <v>0</v>
      </c>
      <c r="O49" s="36">
        <v>0</v>
      </c>
      <c r="P49" s="6"/>
      <c r="Q49" s="36">
        <v>0</v>
      </c>
      <c r="R49" s="36">
        <v>0</v>
      </c>
      <c r="S49" s="36">
        <v>0</v>
      </c>
      <c r="T49" s="36">
        <v>0</v>
      </c>
      <c r="U49" s="36">
        <v>0</v>
      </c>
      <c r="W49" s="36">
        <f ca="1">IF($X$11="Restit",_xll.DBRW($C$9,$C$15,W$17,$C49,W$16),_xll.DBSW(E49,$I$9,$C$15,W$17,$C49,W$16))</f>
        <v>0</v>
      </c>
      <c r="X49" s="36">
        <f ca="1">IF($X$11="Restit",_xll.DBRW($C$9,$C$15,X$17,$C49,X$16),_xll.DBSW(F49,$I$9,$C$15,X$17,$C49,X$16))</f>
        <v>0</v>
      </c>
      <c r="Y49" s="36">
        <f ca="1">IF($X$11="Restit",_xll.DBRW($C$9,$C$15,Y$17,$C49,Y$16),_xll.DBSW(G49,$I$9,$C$15,Y$17,$C49,Y$16))</f>
        <v>0</v>
      </c>
      <c r="Z49" s="36">
        <f ca="1">IF($X$11="Restit",_xll.DBRW($C$9,$C$15,Z$17,$C49,Z$16),_xll.DBSW(H49,$I$9,$C$15,Z$17,$C49,Z$16))</f>
        <v>0</v>
      </c>
      <c r="AA49" s="36">
        <f ca="1">IF($X$11="Restit",_xll.DBRW($C$9,$C$15,AA$17,$C49,AA$16),_xll.DBSW(I49,$I$9,$C$15,AA$17,$C49,AA$16))</f>
        <v>0</v>
      </c>
      <c r="AC49" s="36">
        <f ca="1">IF($X$11="Restit",_xll.DBRW($C$9,$C$15,AC$17,$C49,AC$16),_xll.DBSW(K49,$I$9,$C$15,AC$17,$C49,AC$16))</f>
        <v>0</v>
      </c>
      <c r="AD49" s="36">
        <f ca="1">IF($X$11="Restit",_xll.DBRW($C$9,$C$15,AD$17,$C49,AD$16),_xll.DBSW(L49,$I$9,$C$15,AD$17,$C49,AD$16))</f>
        <v>0</v>
      </c>
      <c r="AE49" s="36">
        <f ca="1">IF($X$11="Restit",_xll.DBRW($C$9,$C$15,AE$17,$C49,AE$16),_xll.DBSW(M49,$I$9,$C$15,AE$17,$C49,AE$16))</f>
        <v>0</v>
      </c>
      <c r="AF49" s="36">
        <f ca="1">IF($X$11="Restit",_xll.DBRW($C$9,$C$15,AF$17,$C49,AF$16),_xll.DBSW(N49,$I$9,$C$15,AF$17,$C49,AF$16))</f>
        <v>0</v>
      </c>
      <c r="AG49" s="36">
        <f ca="1">IF($X$11="Restit",_xll.DBRW($C$9,$C$15,AG$17,$C49,AG$16),_xll.DBSW(O49,$I$9,$C$15,AG$17,$C49,AG$16))</f>
        <v>0</v>
      </c>
      <c r="AI49" s="36">
        <f ca="1">IF($X$11="Restit",_xll.DBRW($C$9,$C$15,AI$17,$C49,AI$16),_xll.DBSW(Q49,$I$9,$C$15,AI$17,$C49,AI$16))</f>
        <v>0</v>
      </c>
      <c r="AJ49" s="36">
        <f ca="1">IF($X$11="Restit",_xll.DBRW($C$9,$C$15,AJ$17,$C49,AJ$16),_xll.DBSW(R49,$I$9,$C$15,AJ$17,$C49,AJ$16))</f>
        <v>0</v>
      </c>
      <c r="AK49" s="36">
        <f ca="1">IF($X$11="Restit",_xll.DBRW($C$9,$C$15,AK$17,$C49,AK$16),_xll.DBSW(S49,$I$9,$C$15,AK$17,$C49,AK$16))</f>
        <v>0</v>
      </c>
      <c r="AL49" s="36">
        <f ca="1">IF($X$11="Restit",_xll.DBRW($C$9,$C$15,AL$17,$C49,AL$16),_xll.DBSW(T49,$I$9,$C$15,AL$17,$C49,AL$16))</f>
        <v>0</v>
      </c>
      <c r="AM49" s="36">
        <f ca="1">IF($X$11="Restit",_xll.DBRW($C$9,$C$15,AM$17,$C49,AM$16),_xll.DBSW(U49,$I$9,$C$15,AM$17,$C49,AM$16))</f>
        <v>0</v>
      </c>
    </row>
    <row r="50" spans="1:39" ht="15.75" x14ac:dyDescent="0.25">
      <c r="A50" t="str">
        <f ca="1">IF(_xll.TM1RPTELISCONSOLIDATED($C$25,$C50),IF(_xll.TM1RPTELLEV($C$25,$C50)&lt;=3,_xll.TM1RPTELLEV($C$25,$C50),"D"),"N")</f>
        <v>N</v>
      </c>
      <c r="C50" s="14" t="s">
        <v>28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6"/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6"/>
      <c r="Q50" s="36">
        <v>0</v>
      </c>
      <c r="R50" s="36">
        <v>0</v>
      </c>
      <c r="S50" s="36">
        <v>0</v>
      </c>
      <c r="T50" s="36">
        <v>0</v>
      </c>
      <c r="U50" s="36">
        <v>0</v>
      </c>
      <c r="W50" s="36">
        <f ca="1">IF($X$11="Restit",_xll.DBRW($C$9,$C$15,W$17,$C50,W$16),_xll.DBSW(E50,$I$9,$C$15,W$17,$C50,W$16))</f>
        <v>0</v>
      </c>
      <c r="X50" s="36">
        <f ca="1">IF($X$11="Restit",_xll.DBRW($C$9,$C$15,X$17,$C50,X$16),_xll.DBSW(F50,$I$9,$C$15,X$17,$C50,X$16))</f>
        <v>0</v>
      </c>
      <c r="Y50" s="36">
        <f ca="1">IF($X$11="Restit",_xll.DBRW($C$9,$C$15,Y$17,$C50,Y$16),_xll.DBSW(G50,$I$9,$C$15,Y$17,$C50,Y$16))</f>
        <v>0</v>
      </c>
      <c r="Z50" s="36">
        <f ca="1">IF($X$11="Restit",_xll.DBRW($C$9,$C$15,Z$17,$C50,Z$16),_xll.DBSW(H50,$I$9,$C$15,Z$17,$C50,Z$16))</f>
        <v>0</v>
      </c>
      <c r="AA50" s="36">
        <f ca="1">IF($X$11="Restit",_xll.DBRW($C$9,$C$15,AA$17,$C50,AA$16),_xll.DBSW(I50,$I$9,$C$15,AA$17,$C50,AA$16))</f>
        <v>0</v>
      </c>
      <c r="AC50" s="36">
        <f ca="1">IF($X$11="Restit",_xll.DBRW($C$9,$C$15,AC$17,$C50,AC$16),_xll.DBSW(K50,$I$9,$C$15,AC$17,$C50,AC$16))</f>
        <v>0</v>
      </c>
      <c r="AD50" s="36">
        <f ca="1">IF($X$11="Restit",_xll.DBRW($C$9,$C$15,AD$17,$C50,AD$16),_xll.DBSW(L50,$I$9,$C$15,AD$17,$C50,AD$16))</f>
        <v>0</v>
      </c>
      <c r="AE50" s="36">
        <f ca="1">IF($X$11="Restit",_xll.DBRW($C$9,$C$15,AE$17,$C50,AE$16),_xll.DBSW(M50,$I$9,$C$15,AE$17,$C50,AE$16))</f>
        <v>0</v>
      </c>
      <c r="AF50" s="36">
        <f ca="1">IF($X$11="Restit",_xll.DBRW($C$9,$C$15,AF$17,$C50,AF$16),_xll.DBSW(N50,$I$9,$C$15,AF$17,$C50,AF$16))</f>
        <v>0</v>
      </c>
      <c r="AG50" s="36">
        <f ca="1">IF($X$11="Restit",_xll.DBRW($C$9,$C$15,AG$17,$C50,AG$16),_xll.DBSW(O50,$I$9,$C$15,AG$17,$C50,AG$16))</f>
        <v>0</v>
      </c>
      <c r="AI50" s="36">
        <f ca="1">IF($X$11="Restit",_xll.DBRW($C$9,$C$15,AI$17,$C50,AI$16),_xll.DBSW(Q50,$I$9,$C$15,AI$17,$C50,AI$16))</f>
        <v>0</v>
      </c>
      <c r="AJ50" s="36">
        <f ca="1">IF($X$11="Restit",_xll.DBRW($C$9,$C$15,AJ$17,$C50,AJ$16),_xll.DBSW(R50,$I$9,$C$15,AJ$17,$C50,AJ$16))</f>
        <v>0</v>
      </c>
      <c r="AK50" s="36">
        <f ca="1">IF($X$11="Restit",_xll.DBRW($C$9,$C$15,AK$17,$C50,AK$16),_xll.DBSW(S50,$I$9,$C$15,AK$17,$C50,AK$16))</f>
        <v>0</v>
      </c>
      <c r="AL50" s="36">
        <f ca="1">IF($X$11="Restit",_xll.DBRW($C$9,$C$15,AL$17,$C50,AL$16),_xll.DBSW(T50,$I$9,$C$15,AL$17,$C50,AL$16))</f>
        <v>0</v>
      </c>
      <c r="AM50" s="36">
        <f ca="1">IF($X$11="Restit",_xll.DBRW($C$9,$C$15,AM$17,$C50,AM$16),_xll.DBSW(U50,$I$9,$C$15,AM$17,$C50,AM$16))</f>
        <v>0</v>
      </c>
    </row>
    <row r="51" spans="1:39" ht="15.75" x14ac:dyDescent="0.25">
      <c r="A51" t="str">
        <f ca="1">IF(_xll.TM1RPTELISCONSOLIDATED($C$25,$C51),IF(_xll.TM1RPTELLEV($C$25,$C51)&lt;=3,_xll.TM1RPTELLEV($C$25,$C51),"D"),"N")</f>
        <v>N</v>
      </c>
      <c r="C51" s="14" t="s">
        <v>29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6"/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6"/>
      <c r="Q51" s="36">
        <v>0</v>
      </c>
      <c r="R51" s="36">
        <v>0</v>
      </c>
      <c r="S51" s="36">
        <v>0</v>
      </c>
      <c r="T51" s="36">
        <v>0</v>
      </c>
      <c r="U51" s="36">
        <v>0</v>
      </c>
      <c r="W51" s="36">
        <f ca="1">IF($X$11="Restit",_xll.DBRW($C$9,$C$15,W$17,$C51,W$16),_xll.DBSW(E51,$I$9,$C$15,W$17,$C51,W$16))</f>
        <v>0</v>
      </c>
      <c r="X51" s="36">
        <f ca="1">IF($X$11="Restit",_xll.DBRW($C$9,$C$15,X$17,$C51,X$16),_xll.DBSW(F51,$I$9,$C$15,X$17,$C51,X$16))</f>
        <v>0</v>
      </c>
      <c r="Y51" s="36">
        <f ca="1">IF($X$11="Restit",_xll.DBRW($C$9,$C$15,Y$17,$C51,Y$16),_xll.DBSW(G51,$I$9,$C$15,Y$17,$C51,Y$16))</f>
        <v>0</v>
      </c>
      <c r="Z51" s="36">
        <f ca="1">IF($X$11="Restit",_xll.DBRW($C$9,$C$15,Z$17,$C51,Z$16),_xll.DBSW(H51,$I$9,$C$15,Z$17,$C51,Z$16))</f>
        <v>0</v>
      </c>
      <c r="AA51" s="36">
        <f ca="1">IF($X$11="Restit",_xll.DBRW($C$9,$C$15,AA$17,$C51,AA$16),_xll.DBSW(I51,$I$9,$C$15,AA$17,$C51,AA$16))</f>
        <v>0</v>
      </c>
      <c r="AC51" s="36">
        <f ca="1">IF($X$11="Restit",_xll.DBRW($C$9,$C$15,AC$17,$C51,AC$16),_xll.DBSW(K51,$I$9,$C$15,AC$17,$C51,AC$16))</f>
        <v>0</v>
      </c>
      <c r="AD51" s="36">
        <f ca="1">IF($X$11="Restit",_xll.DBRW($C$9,$C$15,AD$17,$C51,AD$16),_xll.DBSW(L51,$I$9,$C$15,AD$17,$C51,AD$16))</f>
        <v>0</v>
      </c>
      <c r="AE51" s="36">
        <f ca="1">IF($X$11="Restit",_xll.DBRW($C$9,$C$15,AE$17,$C51,AE$16),_xll.DBSW(M51,$I$9,$C$15,AE$17,$C51,AE$16))</f>
        <v>0</v>
      </c>
      <c r="AF51" s="36">
        <f ca="1">IF($X$11="Restit",_xll.DBRW($C$9,$C$15,AF$17,$C51,AF$16),_xll.DBSW(N51,$I$9,$C$15,AF$17,$C51,AF$16))</f>
        <v>0</v>
      </c>
      <c r="AG51" s="36">
        <f ca="1">IF($X$11="Restit",_xll.DBRW($C$9,$C$15,AG$17,$C51,AG$16),_xll.DBSW(O51,$I$9,$C$15,AG$17,$C51,AG$16))</f>
        <v>0</v>
      </c>
      <c r="AI51" s="36">
        <f ca="1">IF($X$11="Restit",_xll.DBRW($C$9,$C$15,AI$17,$C51,AI$16),_xll.DBSW(Q51,$I$9,$C$15,AI$17,$C51,AI$16))</f>
        <v>0</v>
      </c>
      <c r="AJ51" s="36">
        <f ca="1">IF($X$11="Restit",_xll.DBRW($C$9,$C$15,AJ$17,$C51,AJ$16),_xll.DBSW(R51,$I$9,$C$15,AJ$17,$C51,AJ$16))</f>
        <v>0</v>
      </c>
      <c r="AK51" s="36">
        <f ca="1">IF($X$11="Restit",_xll.DBRW($C$9,$C$15,AK$17,$C51,AK$16),_xll.DBSW(S51,$I$9,$C$15,AK$17,$C51,AK$16))</f>
        <v>0</v>
      </c>
      <c r="AL51" s="36">
        <f ca="1">IF($X$11="Restit",_xll.DBRW($C$9,$C$15,AL$17,$C51,AL$16),_xll.DBSW(T51,$I$9,$C$15,AL$17,$C51,AL$16))</f>
        <v>0</v>
      </c>
      <c r="AM51" s="36">
        <f ca="1">IF($X$11="Restit",_xll.DBRW($C$9,$C$15,AM$17,$C51,AM$16),_xll.DBSW(U51,$I$9,$C$15,AM$17,$C51,AM$16))</f>
        <v>0</v>
      </c>
    </row>
    <row r="52" spans="1:39" ht="15.75" x14ac:dyDescent="0.25">
      <c r="A52" t="str">
        <f ca="1">IF(_xll.TM1RPTELISCONSOLIDATED($C$25,$C52),IF(_xll.TM1RPTELLEV($C$25,$C52)&lt;=3,_xll.TM1RPTELLEV($C$25,$C52),"D"),"N")</f>
        <v>N</v>
      </c>
      <c r="C52" s="14" t="s">
        <v>30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6"/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6"/>
      <c r="Q52" s="36">
        <v>0</v>
      </c>
      <c r="R52" s="36">
        <v>0</v>
      </c>
      <c r="S52" s="36">
        <v>0</v>
      </c>
      <c r="T52" s="36">
        <v>0</v>
      </c>
      <c r="U52" s="36">
        <v>0</v>
      </c>
      <c r="W52" s="36">
        <f ca="1">IF($X$11="Restit",_xll.DBRW($C$9,$C$15,W$17,$C52,W$16),_xll.DBSW(E52,$I$9,$C$15,W$17,$C52,W$16))</f>
        <v>0</v>
      </c>
      <c r="X52" s="36">
        <f ca="1">IF($X$11="Restit",_xll.DBRW($C$9,$C$15,X$17,$C52,X$16),_xll.DBSW(F52,$I$9,$C$15,X$17,$C52,X$16))</f>
        <v>0</v>
      </c>
      <c r="Y52" s="36">
        <f ca="1">IF($X$11="Restit",_xll.DBRW($C$9,$C$15,Y$17,$C52,Y$16),_xll.DBSW(G52,$I$9,$C$15,Y$17,$C52,Y$16))</f>
        <v>0</v>
      </c>
      <c r="Z52" s="36">
        <f ca="1">IF($X$11="Restit",_xll.DBRW($C$9,$C$15,Z$17,$C52,Z$16),_xll.DBSW(H52,$I$9,$C$15,Z$17,$C52,Z$16))</f>
        <v>0</v>
      </c>
      <c r="AA52" s="36">
        <f ca="1">IF($X$11="Restit",_xll.DBRW($C$9,$C$15,AA$17,$C52,AA$16),_xll.DBSW(I52,$I$9,$C$15,AA$17,$C52,AA$16))</f>
        <v>0</v>
      </c>
      <c r="AC52" s="36">
        <f ca="1">IF($X$11="Restit",_xll.DBRW($C$9,$C$15,AC$17,$C52,AC$16),_xll.DBSW(K52,$I$9,$C$15,AC$17,$C52,AC$16))</f>
        <v>0</v>
      </c>
      <c r="AD52" s="36">
        <f ca="1">IF($X$11="Restit",_xll.DBRW($C$9,$C$15,AD$17,$C52,AD$16),_xll.DBSW(L52,$I$9,$C$15,AD$17,$C52,AD$16))</f>
        <v>0</v>
      </c>
      <c r="AE52" s="36">
        <f ca="1">IF($X$11="Restit",_xll.DBRW($C$9,$C$15,AE$17,$C52,AE$16),_xll.DBSW(M52,$I$9,$C$15,AE$17,$C52,AE$16))</f>
        <v>0</v>
      </c>
      <c r="AF52" s="36">
        <f ca="1">IF($X$11="Restit",_xll.DBRW($C$9,$C$15,AF$17,$C52,AF$16),_xll.DBSW(N52,$I$9,$C$15,AF$17,$C52,AF$16))</f>
        <v>0</v>
      </c>
      <c r="AG52" s="36">
        <f ca="1">IF($X$11="Restit",_xll.DBRW($C$9,$C$15,AG$17,$C52,AG$16),_xll.DBSW(O52,$I$9,$C$15,AG$17,$C52,AG$16))</f>
        <v>0</v>
      </c>
      <c r="AI52" s="36">
        <f ca="1">IF($X$11="Restit",_xll.DBRW($C$9,$C$15,AI$17,$C52,AI$16),_xll.DBSW(Q52,$I$9,$C$15,AI$17,$C52,AI$16))</f>
        <v>0</v>
      </c>
      <c r="AJ52" s="36">
        <f ca="1">IF($X$11="Restit",_xll.DBRW($C$9,$C$15,AJ$17,$C52,AJ$16),_xll.DBSW(R52,$I$9,$C$15,AJ$17,$C52,AJ$16))</f>
        <v>0</v>
      </c>
      <c r="AK52" s="36">
        <f ca="1">IF($X$11="Restit",_xll.DBRW($C$9,$C$15,AK$17,$C52,AK$16),_xll.DBSW(S52,$I$9,$C$15,AK$17,$C52,AK$16))</f>
        <v>0</v>
      </c>
      <c r="AL52" s="36">
        <f ca="1">IF($X$11="Restit",_xll.DBRW($C$9,$C$15,AL$17,$C52,AL$16),_xll.DBSW(T52,$I$9,$C$15,AL$17,$C52,AL$16))</f>
        <v>0</v>
      </c>
      <c r="AM52" s="36">
        <f ca="1">IF($X$11="Restit",_xll.DBRW($C$9,$C$15,AM$17,$C52,AM$16),_xll.DBSW(U52,$I$9,$C$15,AM$17,$C52,AM$16))</f>
        <v>0</v>
      </c>
    </row>
  </sheetData>
  <mergeCells count="7">
    <mergeCell ref="AC23:AG23"/>
    <mergeCell ref="AI23:AM23"/>
    <mergeCell ref="E10:M12"/>
    <mergeCell ref="E23:I23"/>
    <mergeCell ref="K23:O23"/>
    <mergeCell ref="Q23:U23"/>
    <mergeCell ref="W23:AA23"/>
  </mergeCells>
  <dataValidations count="1">
    <dataValidation type="list" allowBlank="1" showInputMessage="1" showErrorMessage="1" sqref="X11">
      <formula1>"Restit,Envoi"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6" tint="0.39997558519241921"/>
  </sheetPr>
  <dimension ref="A1:N32"/>
  <sheetViews>
    <sheetView zoomScale="80" zoomScaleNormal="80" workbookViewId="0"/>
  </sheetViews>
  <sheetFormatPr baseColWidth="10" defaultRowHeight="15" x14ac:dyDescent="0.25"/>
  <cols>
    <col min="1" max="1" width="18.140625" bestFit="1" customWidth="1"/>
    <col min="2" max="4" width="17" customWidth="1"/>
    <col min="5" max="5" width="3.5703125" customWidth="1"/>
    <col min="6" max="8" width="17" customWidth="1"/>
    <col min="9" max="9" width="4.28515625" customWidth="1"/>
  </cols>
  <sheetData>
    <row r="1" spans="1:12" x14ac:dyDescent="0.25">
      <c r="A1" t="s">
        <v>41</v>
      </c>
      <c r="B1" t="str">
        <f ca="1">_xll.VIEW("Tango_Core_Model:ST_Currency","!","!","!",$B$2,"!")</f>
        <v>Tango_Core_Model:ST_Currency</v>
      </c>
    </row>
    <row r="2" spans="1:12" x14ac:dyDescent="0.25">
      <c r="A2" s="1" t="s">
        <v>42</v>
      </c>
      <c r="B2" t="str">
        <f ca="1">_xll.SUBNM("Tango_Core_Model:CurrencyConvertTo","","EUR")</f>
        <v>EUR</v>
      </c>
      <c r="F2" s="15" t="s">
        <v>43</v>
      </c>
    </row>
    <row r="5" spans="1:12" x14ac:dyDescent="0.25">
      <c r="B5" t="str">
        <f ca="1">Context!E8</f>
        <v>ACT</v>
      </c>
      <c r="C5" t="str">
        <f ca="1">B5</f>
        <v>ACT</v>
      </c>
      <c r="D5" t="str">
        <f ca="1">B5</f>
        <v>ACT</v>
      </c>
      <c r="F5" s="23" t="str">
        <f ca="1">PHASE_LTP</f>
        <v>LTP_2021_VC</v>
      </c>
      <c r="G5" t="str">
        <f ca="1">F5</f>
        <v>LTP_2021_VC</v>
      </c>
      <c r="H5" t="str">
        <f ca="1">F5</f>
        <v>LTP_2021_VC</v>
      </c>
      <c r="J5" t="s">
        <v>45</v>
      </c>
    </row>
    <row r="6" spans="1:12" x14ac:dyDescent="0.25">
      <c r="B6" t="s">
        <v>46</v>
      </c>
      <c r="C6" t="s">
        <v>47</v>
      </c>
      <c r="D6" t="s">
        <v>48</v>
      </c>
      <c r="F6" t="s">
        <v>46</v>
      </c>
      <c r="G6" t="s">
        <v>47</v>
      </c>
      <c r="H6" t="s">
        <v>48</v>
      </c>
      <c r="J6" t="s">
        <v>46</v>
      </c>
      <c r="K6" t="s">
        <v>47</v>
      </c>
      <c r="L6" t="s">
        <v>48</v>
      </c>
    </row>
    <row r="7" spans="1:12" x14ac:dyDescent="0.25">
      <c r="B7" t="str">
        <f ca="1">Context!F8</f>
        <v>2020.12</v>
      </c>
      <c r="C7" t="str">
        <f ca="1">B7</f>
        <v>2020.12</v>
      </c>
      <c r="D7" t="str">
        <f ca="1">B7</f>
        <v>2020.12</v>
      </c>
      <c r="F7" s="16" t="str">
        <f ca="1">"F_Year_"&amp;LEFT(B7,4)</f>
        <v>F_Year_2020</v>
      </c>
      <c r="G7" s="16" t="str">
        <f ca="1">F7</f>
        <v>F_Year_2020</v>
      </c>
      <c r="H7" s="16" t="str">
        <f ca="1">F7</f>
        <v>F_Year_2020</v>
      </c>
    </row>
    <row r="8" spans="1:12" x14ac:dyDescent="0.25">
      <c r="A8" s="17" t="s">
        <v>49</v>
      </c>
      <c r="B8" s="18">
        <f ca="1">_xll.DBRW($B$1,B$7,B$5,$A8,$B$2,B$6)</f>
        <v>1.5895999999999999</v>
      </c>
      <c r="C8" s="18">
        <f ca="1">_xll.DBRW($B$1,C$7,C$5,$A8,$B$2,C$6)</f>
        <v>1.655392698</v>
      </c>
      <c r="D8" s="18">
        <f ca="1">_xll.DBRW($B$1,D$7,D$5,$A8,$B$2,D$6)</f>
        <v>1.5994999999999999</v>
      </c>
      <c r="E8" s="18"/>
      <c r="F8" s="18">
        <f ca="1">IF($F$2="Restit",_xll.DBRW($B$1,F$7,F$5,$A8,$B$2,F$6),_xll.DBSW(B8,$B$1,F$7,F$5,$A8,$B$2,F$6))</f>
        <v>0</v>
      </c>
      <c r="G8" s="18">
        <f ca="1">IF($F$2="Restit",_xll.DBRW($B$1,G$7,G$5,$A8,$B$2,G$6),_xll.DBSW(C8,$B$1,G$7,G$5,$A8,$B$2,G$6))</f>
        <v>0</v>
      </c>
      <c r="H8" s="18">
        <f ca="1">IF($F$2="Restit",_xll.DBRW($B$1,H$7,H$5,$A8,$B$2,H$6),_xll.DBSW(D8,$B$1,H$7,H$5,$A8,$B$2,H$6))</f>
        <v>0</v>
      </c>
      <c r="I8" s="18"/>
      <c r="J8" s="18">
        <f t="shared" ref="J8:L30" ca="1" si="0">F8-B8</f>
        <v>-1.5895999999999999</v>
      </c>
      <c r="K8" s="18">
        <f t="shared" ca="1" si="0"/>
        <v>-1.655392698</v>
      </c>
      <c r="L8" s="18">
        <f t="shared" ca="1" si="0"/>
        <v>-1.5994999999999999</v>
      </c>
    </row>
    <row r="9" spans="1:12" x14ac:dyDescent="0.25">
      <c r="A9" s="17" t="s">
        <v>50</v>
      </c>
      <c r="B9" s="18">
        <f ca="1">_xll.DBRW($B$1,B$7,B$5,$A9,$B$2,B$6)</f>
        <v>1.5632999999999999</v>
      </c>
      <c r="C9" s="18">
        <f ca="1">_xll.DBRW($B$1,C$7,C$5,$A9,$B$2,C$6)</f>
        <v>1.5294350699999999</v>
      </c>
      <c r="D9" s="18">
        <f ca="1">_xll.DBRW($B$1,D$7,D$5,$A9,$B$2,D$6)</f>
        <v>1.4598</v>
      </c>
      <c r="E9" s="18"/>
      <c r="F9" s="18">
        <f ca="1">IF($F$2="Restit",_xll.DBRW($B$1,F$7,F$5,$A9,$B$2,F$6),_xll.DBSW(B9,$B$1,F$7,F$5,$A9,$B$2,F$6))</f>
        <v>0</v>
      </c>
      <c r="G9" s="18">
        <f ca="1">IF($F$2="Restit",_xll.DBRW($B$1,G$7,G$5,$A9,$B$2,G$6),_xll.DBSW(C9,$B$1,G$7,G$5,$A9,$B$2,G$6))</f>
        <v>0</v>
      </c>
      <c r="H9" s="18">
        <f ca="1">IF($F$2="Restit",_xll.DBRW($B$1,H$7,H$5,$A9,$B$2,H$6),_xll.DBSW(D9,$B$1,H$7,H$5,$A9,$B$2,H$6))</f>
        <v>0</v>
      </c>
      <c r="I9" s="18"/>
      <c r="J9" s="18">
        <f t="shared" ca="1" si="0"/>
        <v>-1.5632999999999999</v>
      </c>
      <c r="K9" s="18">
        <f t="shared" ca="1" si="0"/>
        <v>-1.5294350699999999</v>
      </c>
      <c r="L9" s="18">
        <f t="shared" ca="1" si="0"/>
        <v>-1.4598</v>
      </c>
    </row>
    <row r="10" spans="1:12" x14ac:dyDescent="0.25">
      <c r="A10" s="17" t="s">
        <v>51</v>
      </c>
      <c r="B10" s="18">
        <f ca="1">_xll.DBRW($B$1,B$7,B$5,$A10,$B$2,B$6)</f>
        <v>866.82</v>
      </c>
      <c r="C10" s="18">
        <f ca="1">_xll.DBRW($B$1,C$7,C$5,$A10,$B$2,C$6)</f>
        <v>902.210073373</v>
      </c>
      <c r="D10" s="18">
        <f ca="1">_xll.DBRW($B$1,D$7,D$5,$A10,$B$2,D$6)</f>
        <v>842.43</v>
      </c>
      <c r="E10" s="18"/>
      <c r="F10" s="18">
        <f ca="1">IF($F$2="Restit",_xll.DBRW($B$1,F$7,F$5,$A10,$B$2,F$6),_xll.DBSW(B10,$B$1,F$7,F$5,$A10,$B$2,F$6))</f>
        <v>0</v>
      </c>
      <c r="G10" s="18">
        <f ca="1">IF($F$2="Restit",_xll.DBRW($B$1,G$7,G$5,$A10,$B$2,G$6),_xll.DBSW(C10,$B$1,G$7,G$5,$A10,$B$2,G$6))</f>
        <v>0</v>
      </c>
      <c r="H10" s="18">
        <f ca="1">IF($F$2="Restit",_xll.DBRW($B$1,H$7,H$5,$A10,$B$2,H$6),_xll.DBSW(D10,$B$1,H$7,H$5,$A10,$B$2,H$6))</f>
        <v>0</v>
      </c>
      <c r="I10" s="18"/>
      <c r="J10" s="18">
        <f t="shared" ca="1" si="0"/>
        <v>-866.82</v>
      </c>
      <c r="K10" s="18">
        <f t="shared" ca="1" si="0"/>
        <v>-902.210073373</v>
      </c>
      <c r="L10" s="18">
        <f t="shared" ca="1" si="0"/>
        <v>-842.43</v>
      </c>
    </row>
    <row r="11" spans="1:12" x14ac:dyDescent="0.25">
      <c r="A11" s="17" t="s">
        <v>52</v>
      </c>
      <c r="B11" s="18">
        <f ca="1">_xll.DBRW($B$1,B$7,B$5,$A11,$B$2,B$6)</f>
        <v>8.0225000000000009</v>
      </c>
      <c r="C11" s="18">
        <f ca="1">_xll.DBRW($B$1,C$7,C$5,$A11,$B$2,C$6)</f>
        <v>7.8708366920000001</v>
      </c>
      <c r="D11" s="18">
        <f ca="1">_xll.DBRW($B$1,D$7,D$5,$A11,$B$2,D$6)</f>
        <v>7.8205</v>
      </c>
      <c r="E11" s="18"/>
      <c r="F11" s="18">
        <f ca="1">IF($F$2="Restit",_xll.DBRW($B$1,F$7,F$5,$A11,$B$2,F$6),_xll.DBSW(B11,$B$1,F$7,F$5,$A11,$B$2,F$6))</f>
        <v>0</v>
      </c>
      <c r="G11" s="18">
        <f ca="1">IF($F$2="Restit",_xll.DBRW($B$1,G$7,G$5,$A11,$B$2,G$6),_xll.DBSW(C11,$B$1,G$7,G$5,$A11,$B$2,G$6))</f>
        <v>0</v>
      </c>
      <c r="H11" s="18">
        <f ca="1">IF($F$2="Restit",_xll.DBRW($B$1,H$7,H$5,$A11,$B$2,H$6),_xll.DBSW(D11,$B$1,H$7,H$5,$A11,$B$2,H$6))</f>
        <v>0</v>
      </c>
      <c r="I11" s="18"/>
      <c r="J11" s="18">
        <f t="shared" ca="1" si="0"/>
        <v>-8.0225000000000009</v>
      </c>
      <c r="K11" s="18">
        <f t="shared" ca="1" si="0"/>
        <v>-7.8708366920000001</v>
      </c>
      <c r="L11" s="18">
        <f t="shared" ca="1" si="0"/>
        <v>-7.8205</v>
      </c>
    </row>
    <row r="12" spans="1:12" x14ac:dyDescent="0.25">
      <c r="A12" s="17" t="s">
        <v>53</v>
      </c>
      <c r="B12" s="18">
        <f ca="1">_xll.DBRW($B$1,B$7,B$5,$A12,$B$2,B$6)</f>
        <v>4170</v>
      </c>
      <c r="C12" s="18">
        <f ca="1">_xll.DBRW($B$1,C$7,C$5,$A12,$B$2,C$6)</f>
        <v>4210.7576637490001</v>
      </c>
      <c r="D12" s="18">
        <f ca="1">_xll.DBRW($B$1,D$7,D$5,$A12,$B$2,D$6)</f>
        <v>3683</v>
      </c>
      <c r="E12" s="18"/>
      <c r="F12" s="18">
        <f ca="1">IF($F$2="Restit",_xll.DBRW($B$1,F$7,F$5,$A12,$B$2,F$6),_xll.DBSW(B12,$B$1,F$7,F$5,$A12,$B$2,F$6))</f>
        <v>0</v>
      </c>
      <c r="G12" s="18">
        <f ca="1">IF($F$2="Restit",_xll.DBRW($B$1,G$7,G$5,$A12,$B$2,G$6),_xll.DBSW(C12,$B$1,G$7,G$5,$A12,$B$2,G$6))</f>
        <v>0</v>
      </c>
      <c r="H12" s="18">
        <f ca="1">IF($F$2="Restit",_xll.DBRW($B$1,H$7,H$5,$A12,$B$2,H$6),_xll.DBSW(D12,$B$1,H$7,H$5,$A12,$B$2,H$6))</f>
        <v>0</v>
      </c>
      <c r="I12" s="18"/>
      <c r="J12" s="18">
        <f t="shared" ca="1" si="0"/>
        <v>-4170</v>
      </c>
      <c r="K12" s="18">
        <f t="shared" ca="1" si="0"/>
        <v>-4210.7576637490001</v>
      </c>
      <c r="L12" s="18">
        <f t="shared" ca="1" si="0"/>
        <v>-3683</v>
      </c>
    </row>
    <row r="13" spans="1:12" x14ac:dyDescent="0.25">
      <c r="A13" s="17" t="s">
        <v>54</v>
      </c>
      <c r="B13" s="18">
        <f ca="1">_xll.DBRW($B$1,B$7,B$5,$A13,$B$2,B$6)</f>
        <v>26.242000000000001</v>
      </c>
      <c r="C13" s="18">
        <f ca="1">_xll.DBRW($B$1,C$7,C$5,$A13,$B$2,C$6)</f>
        <v>26.455446391999999</v>
      </c>
      <c r="D13" s="18">
        <f ca="1">_xll.DBRW($B$1,D$7,D$5,$A13,$B$2,D$6)</f>
        <v>25.408000000000001</v>
      </c>
      <c r="E13" s="18"/>
      <c r="F13" s="18">
        <f ca="1">IF($F$2="Restit",_xll.DBRW($B$1,F$7,F$5,$A13,$B$2,F$6),_xll.DBSW(B13,$B$1,F$7,F$5,$A13,$B$2,F$6))</f>
        <v>0</v>
      </c>
      <c r="G13" s="18">
        <f ca="1">IF($F$2="Restit",_xll.DBRW($B$1,G$7,G$5,$A13,$B$2,G$6),_xll.DBSW(C13,$B$1,G$7,G$5,$A13,$B$2,G$6))</f>
        <v>0</v>
      </c>
      <c r="H13" s="18">
        <f ca="1">IF($F$2="Restit",_xll.DBRW($B$1,H$7,H$5,$A13,$B$2,H$6),_xll.DBSW(D13,$B$1,H$7,H$5,$A13,$B$2,H$6))</f>
        <v>0</v>
      </c>
      <c r="I13" s="18"/>
      <c r="J13" s="18">
        <f t="shared" ca="1" si="0"/>
        <v>-26.242000000000001</v>
      </c>
      <c r="K13" s="18">
        <f t="shared" ca="1" si="0"/>
        <v>-26.455446391999999</v>
      </c>
      <c r="L13" s="18">
        <f t="shared" ca="1" si="0"/>
        <v>-25.408000000000001</v>
      </c>
    </row>
    <row r="14" spans="1:12" x14ac:dyDescent="0.25">
      <c r="A14" s="17" t="s">
        <v>55</v>
      </c>
      <c r="B14" s="18">
        <f ca="1">_xll.DBRW($B$1,B$7,B$5,$A14,$B$2,B$6)</f>
        <v>0</v>
      </c>
      <c r="C14" s="18">
        <f ca="1">_xll.DBRW($B$1,C$7,C$5,$A14,$B$2,C$6)</f>
        <v>0</v>
      </c>
      <c r="D14" s="18">
        <f ca="1">_xll.DBRW($B$1,D$7,D$5,$A14,$B$2,D$6)</f>
        <v>0</v>
      </c>
      <c r="E14" s="18"/>
      <c r="F14" s="18">
        <f ca="1">IF($F$2="Restit",_xll.DBRW($B$1,F$7,F$5,$A14,$B$2,F$6),_xll.DBSW(B14,$B$1,F$7,F$5,$A14,$B$2,F$6))</f>
        <v>0</v>
      </c>
      <c r="G14" s="18">
        <f ca="1">IF($F$2="Restit",_xll.DBRW($B$1,G$7,G$5,$A14,$B$2,G$6),_xll.DBSW(C14,$B$1,G$7,G$5,$A14,$B$2,G$6))</f>
        <v>0</v>
      </c>
      <c r="H14" s="18">
        <f ca="1">IF($F$2="Restit",_xll.DBRW($B$1,H$7,H$5,$A14,$B$2,H$6),_xll.DBSW(D14,$B$1,H$7,H$5,$A14,$B$2,H$6))</f>
        <v>0</v>
      </c>
      <c r="I14" s="18"/>
      <c r="J14" s="18">
        <f t="shared" ca="1" si="0"/>
        <v>0</v>
      </c>
      <c r="K14" s="18">
        <f t="shared" ca="1" si="0"/>
        <v>0</v>
      </c>
      <c r="L14" s="18">
        <f t="shared" ca="1" si="0"/>
        <v>0</v>
      </c>
    </row>
    <row r="15" spans="1:12" x14ac:dyDescent="0.25">
      <c r="A15" s="17" t="s">
        <v>56</v>
      </c>
      <c r="B15" s="18">
        <f ca="1">_xll.DBRW($B$1,B$7,B$5,$A15,$B$2,B$6)</f>
        <v>160.67420000000001</v>
      </c>
      <c r="C15" s="18">
        <f ca="1">_xll.DBRW($B$1,C$7,C$5,$A15,$B$2,C$6)</f>
        <v>144.43240627</v>
      </c>
      <c r="D15" s="18">
        <f ca="1">_xll.DBRW($B$1,D$7,D$5,$A15,$B$2,D$6)</f>
        <v>133.1591</v>
      </c>
      <c r="E15" s="18"/>
      <c r="F15" s="18">
        <f ca="1">IF($F$2="Restit",_xll.DBRW($B$1,F$7,F$5,$A15,$B$2,F$6),_xll.DBSW(B15,$B$1,F$7,F$5,$A15,$B$2,F$6))</f>
        <v>0</v>
      </c>
      <c r="G15" s="18">
        <f ca="1">IF($F$2="Restit",_xll.DBRW($B$1,G$7,G$5,$A15,$B$2,G$6),_xll.DBSW(C15,$B$1,G$7,G$5,$A15,$B$2,G$6))</f>
        <v>0</v>
      </c>
      <c r="H15" s="18">
        <f ca="1">IF($F$2="Restit",_xll.DBRW($B$1,H$7,H$5,$A15,$B$2,H$6),_xll.DBSW(D15,$B$1,H$7,H$5,$A15,$B$2,H$6))</f>
        <v>0</v>
      </c>
      <c r="I15" s="18"/>
      <c r="J15" s="18">
        <f t="shared" ca="1" si="0"/>
        <v>-160.67420000000001</v>
      </c>
      <c r="K15" s="18">
        <f t="shared" ca="1" si="0"/>
        <v>-144.43240627</v>
      </c>
      <c r="L15" s="18">
        <f t="shared" ca="1" si="0"/>
        <v>-133.1591</v>
      </c>
    </row>
    <row r="16" spans="1:12" x14ac:dyDescent="0.25">
      <c r="A16" s="17" t="s">
        <v>57</v>
      </c>
      <c r="B16" s="18">
        <f ca="1">_xll.DBRW($B$1,B$7,B$5,$A16,$B$2,B$6)</f>
        <v>0.89903</v>
      </c>
      <c r="C16" s="18">
        <f ca="1">_xll.DBRW($B$1,C$7,C$5,$A16,$B$2,C$6)</f>
        <v>0.88921470199999997</v>
      </c>
      <c r="D16" s="18">
        <f ca="1">_xll.DBRW($B$1,D$7,D$5,$A16,$B$2,D$6)</f>
        <v>0.8508</v>
      </c>
      <c r="E16" s="18"/>
      <c r="F16" s="18">
        <f ca="1">IF($F$2="Restit",_xll.DBRW($B$1,F$7,F$5,$A16,$B$2,F$6),_xll.DBSW(B16,$B$1,F$7,F$5,$A16,$B$2,F$6))</f>
        <v>0</v>
      </c>
      <c r="G16" s="18">
        <f ca="1">IF($F$2="Restit",_xll.DBRW($B$1,G$7,G$5,$A16,$B$2,G$6),_xll.DBSW(C16,$B$1,G$7,G$5,$A16,$B$2,G$6))</f>
        <v>0</v>
      </c>
      <c r="H16" s="18">
        <f ca="1">IF($F$2="Restit",_xll.DBRW($B$1,H$7,H$5,$A16,$B$2,H$6),_xll.DBSW(D16,$B$1,H$7,H$5,$A16,$B$2,H$6))</f>
        <v>0</v>
      </c>
      <c r="I16" s="18"/>
      <c r="J16" s="18">
        <f t="shared" ca="1" si="0"/>
        <v>-0.89903</v>
      </c>
      <c r="K16" s="18">
        <f t="shared" ca="1" si="0"/>
        <v>-0.88921470199999997</v>
      </c>
      <c r="L16" s="18">
        <f t="shared" ca="1" si="0"/>
        <v>-0.8508</v>
      </c>
    </row>
    <row r="17" spans="1:14" x14ac:dyDescent="0.25">
      <c r="A17" s="17" t="s">
        <v>58</v>
      </c>
      <c r="B17" s="18">
        <f ca="1">_xll.DBRW($B$1,B$7,B$5,$A17,$B$2,B$6)</f>
        <v>9.5142000000000007</v>
      </c>
      <c r="C17" s="18">
        <f ca="1">_xll.DBRW($B$1,C$7,C$5,$A17,$B$2,C$6)</f>
        <v>8.8516794609999998</v>
      </c>
      <c r="D17" s="18">
        <f ca="1">_xll.DBRW($B$1,D$7,D$5,$A17,$B$2,D$6)</f>
        <v>8.7472999999999992</v>
      </c>
      <c r="E17" s="18"/>
      <c r="F17" s="18">
        <f ca="1">IF($F$2="Restit",_xll.DBRW($B$1,F$7,F$5,$A17,$B$2,F$6),_xll.DBSW(B17,$B$1,F$7,F$5,$A17,$B$2,F$6))</f>
        <v>0</v>
      </c>
      <c r="G17" s="18">
        <f ca="1">IF($F$2="Restit",_xll.DBRW($B$1,G$7,G$5,$A17,$B$2,G$6),_xll.DBSW(C17,$B$1,G$7,G$5,$A17,$B$2,G$6))</f>
        <v>0</v>
      </c>
      <c r="H17" s="18">
        <f ca="1">IF($F$2="Restit",_xll.DBRW($B$1,H$7,H$5,$A17,$B$2,H$6),_xll.DBSW(D17,$B$1,H$7,H$5,$A17,$B$2,H$6))</f>
        <v>0</v>
      </c>
      <c r="I17" s="18"/>
      <c r="J17" s="18">
        <f t="shared" ca="1" si="0"/>
        <v>-9.5142000000000007</v>
      </c>
      <c r="K17" s="18">
        <f t="shared" ca="1" si="0"/>
        <v>-8.8516794609999998</v>
      </c>
      <c r="L17" s="18">
        <f t="shared" ca="1" si="0"/>
        <v>-8.7472999999999992</v>
      </c>
    </row>
    <row r="18" spans="1:14" x14ac:dyDescent="0.25">
      <c r="A18" s="17" t="s">
        <v>59</v>
      </c>
      <c r="B18" s="18">
        <f ca="1">_xll.DBRW($B$1,B$7,B$5,$A18,$B$2,B$6)</f>
        <v>0</v>
      </c>
      <c r="C18" s="18">
        <f ca="1">_xll.DBRW($B$1,C$7,C$5,$A18,$B$2,C$6)</f>
        <v>0</v>
      </c>
      <c r="D18" s="18">
        <f ca="1">_xll.DBRW($B$1,D$7,D$5,$A18,$B$2,D$6)</f>
        <v>0</v>
      </c>
      <c r="E18" s="18"/>
      <c r="F18" s="18">
        <f ca="1">IF($F$2="Restit",_xll.DBRW($B$1,F$7,F$5,$A18,$B$2,F$6),_xll.DBSW(B18,$B$1,F$7,F$5,$A18,$B$2,F$6))</f>
        <v>0</v>
      </c>
      <c r="G18" s="18">
        <f ca="1">IF($F$2="Restit",_xll.DBRW($B$1,G$7,G$5,$A18,$B$2,G$6),_xll.DBSW(C18,$B$1,G$7,G$5,$A18,$B$2,G$6))</f>
        <v>0</v>
      </c>
      <c r="H18" s="18">
        <f ca="1">IF($F$2="Restit",_xll.DBRW($B$1,H$7,H$5,$A18,$B$2,H$6),_xll.DBSW(D18,$B$1,H$7,H$5,$A18,$B$2,H$6))</f>
        <v>0</v>
      </c>
      <c r="I18" s="18"/>
      <c r="J18" s="18">
        <f t="shared" ca="1" si="0"/>
        <v>0</v>
      </c>
      <c r="K18" s="18">
        <f t="shared" ca="1" si="0"/>
        <v>0</v>
      </c>
      <c r="L18" s="18">
        <f t="shared" ca="1" si="0"/>
        <v>0</v>
      </c>
    </row>
    <row r="19" spans="1:14" x14ac:dyDescent="0.25">
      <c r="A19" s="17" t="s">
        <v>60</v>
      </c>
      <c r="B19" s="18">
        <f ca="1">_xll.DBRW($B$1,B$7,B$5,$A19,$B$2,B$6)</f>
        <v>3.9447000000000001</v>
      </c>
      <c r="C19" s="18">
        <f ca="1">_xll.DBRW($B$1,C$7,C$5,$A19,$B$2,C$6)</f>
        <v>3.9239048620000001</v>
      </c>
      <c r="D19" s="18">
        <f ca="1">_xll.DBRW($B$1,D$7,D$5,$A19,$B$2,D$6)</f>
        <v>3.8845000000000001</v>
      </c>
      <c r="E19" s="18"/>
      <c r="F19" s="18">
        <f ca="1">IF($F$2="Restit",_xll.DBRW($B$1,F$7,F$5,$A19,$B$2,F$6),_xll.DBSW(B19,$B$1,F$7,F$5,$A19,$B$2,F$6))</f>
        <v>0</v>
      </c>
      <c r="G19" s="18">
        <f ca="1">IF($F$2="Restit",_xll.DBRW($B$1,G$7,G$5,$A19,$B$2,G$6),_xll.DBSW(C19,$B$1,G$7,G$5,$A19,$B$2,G$6))</f>
        <v>0</v>
      </c>
      <c r="H19" s="18">
        <f ca="1">IF($F$2="Restit",_xll.DBRW($B$1,H$7,H$5,$A19,$B$2,H$6),_xll.DBSW(D19,$B$1,H$7,H$5,$A19,$B$2,H$6))</f>
        <v>0</v>
      </c>
      <c r="I19" s="18"/>
      <c r="J19" s="18">
        <f t="shared" ca="1" si="0"/>
        <v>-3.9447000000000001</v>
      </c>
      <c r="K19" s="18">
        <f t="shared" ca="1" si="0"/>
        <v>-3.9239048620000001</v>
      </c>
      <c r="L19" s="18">
        <f t="shared" ca="1" si="0"/>
        <v>-3.8845000000000001</v>
      </c>
    </row>
    <row r="20" spans="1:14" x14ac:dyDescent="0.25">
      <c r="A20" s="17" t="s">
        <v>61</v>
      </c>
      <c r="B20" s="18">
        <f ca="1">_xll.DBRW($B$1,B$7,B$5,$A20,$B$2,B$6)</f>
        <v>89.660499999999999</v>
      </c>
      <c r="C20" s="18">
        <f ca="1">_xll.DBRW($B$1,C$7,C$5,$A20,$B$2,C$6)</f>
        <v>84.579538919000001</v>
      </c>
      <c r="D20" s="18">
        <f ca="1">_xll.DBRW($B$1,D$7,D$5,$A20,$B$2,D$6)</f>
        <v>80.186999999999998</v>
      </c>
      <c r="E20" s="18"/>
      <c r="F20" s="18">
        <f ca="1">IF($F$2="Restit",_xll.DBRW($B$1,F$7,F$5,$A20,$B$2,F$6),_xll.DBSW(B20,$B$1,F$7,F$5,$A20,$B$2,F$6))</f>
        <v>0</v>
      </c>
      <c r="G20" s="18">
        <f ca="1">IF($F$2="Restit",_xll.DBRW($B$1,G$7,G$5,$A20,$B$2,G$6),_xll.DBSW(C20,$B$1,G$7,G$5,$A20,$B$2,G$6))</f>
        <v>0</v>
      </c>
      <c r="H20" s="18">
        <f ca="1">IF($F$2="Restit",_xll.DBRW($B$1,H$7,H$5,$A20,$B$2,H$6),_xll.DBSW(D20,$B$1,H$7,H$5,$A20,$B$2,H$6))</f>
        <v>0</v>
      </c>
      <c r="I20" s="18"/>
      <c r="J20" s="18">
        <f t="shared" ca="1" si="0"/>
        <v>-89.660499999999999</v>
      </c>
      <c r="K20" s="18">
        <f t="shared" ca="1" si="0"/>
        <v>-84.579538919000001</v>
      </c>
      <c r="L20" s="18">
        <f t="shared" ca="1" si="0"/>
        <v>-80.186999999999998</v>
      </c>
    </row>
    <row r="21" spans="1:14" x14ac:dyDescent="0.25">
      <c r="A21" s="17" t="s">
        <v>62</v>
      </c>
      <c r="B21" s="18">
        <f ca="1">_xll.DBRW($B$1,B$7,B$5,$A21,$B$2,B$6)</f>
        <v>1336</v>
      </c>
      <c r="C21" s="18">
        <f ca="1">_xll.DBRW($B$1,C$7,C$5,$A21,$B$2,C$6)</f>
        <v>1345.105750447</v>
      </c>
      <c r="D21" s="18">
        <f ca="1">_xll.DBRW($B$1,D$7,D$5,$A21,$B$2,D$6)</f>
        <v>1296.28</v>
      </c>
      <c r="E21" s="18"/>
      <c r="F21" s="18">
        <f ca="1">IF($F$2="Restit",_xll.DBRW($B$1,F$7,F$5,$A21,$B$2,F$6),_xll.DBSW(B21,$B$1,F$7,F$5,$A21,$B$2,F$6))</f>
        <v>0</v>
      </c>
      <c r="G21" s="18">
        <f ca="1">IF($F$2="Restit",_xll.DBRW($B$1,G$7,G$5,$A21,$B$2,G$6),_xll.DBSW(C21,$B$1,G$7,G$5,$A21,$B$2,G$6))</f>
        <v>0</v>
      </c>
      <c r="H21" s="18">
        <f ca="1">IF($F$2="Restit",_xll.DBRW($B$1,H$7,H$5,$A21,$B$2,H$6),_xll.DBSW(D21,$B$1,H$7,H$5,$A21,$B$2,H$6))</f>
        <v>0</v>
      </c>
      <c r="I21" s="18"/>
      <c r="J21" s="18">
        <f t="shared" ca="1" si="0"/>
        <v>-1336</v>
      </c>
      <c r="K21" s="18">
        <f t="shared" ca="1" si="0"/>
        <v>-1345.105750447</v>
      </c>
      <c r="L21" s="18">
        <f t="shared" ca="1" si="0"/>
        <v>-1296.28</v>
      </c>
    </row>
    <row r="22" spans="1:14" x14ac:dyDescent="0.25">
      <c r="A22" s="17" t="s">
        <v>63</v>
      </c>
      <c r="B22" s="18">
        <f ca="1">_xll.DBRW($B$1,B$7,B$5,$A22,$B$2,B$6)</f>
        <v>0</v>
      </c>
      <c r="C22" s="18">
        <f ca="1">_xll.DBRW($B$1,C$7,C$5,$A22,$B$2,C$6)</f>
        <v>0</v>
      </c>
      <c r="D22" s="18">
        <f ca="1">_xll.DBRW($B$1,D$7,D$5,$A22,$B$2,D$6)</f>
        <v>0</v>
      </c>
      <c r="E22" s="18"/>
      <c r="F22" s="18">
        <f ca="1">IF($F$2="Restit",_xll.DBRW($B$1,F$7,F$5,$A22,$B$2,F$6),_xll.DBSW(B22,$B$1,F$7,F$5,$A22,$B$2,F$6))</f>
        <v>0</v>
      </c>
      <c r="G22" s="18">
        <f ca="1">IF($F$2="Restit",_xll.DBRW($B$1,G$7,G$5,$A22,$B$2,G$6),_xll.DBSW(C22,$B$1,G$7,G$5,$A22,$B$2,G$6))</f>
        <v>0</v>
      </c>
      <c r="H22" s="18">
        <f ca="1">IF($F$2="Restit",_xll.DBRW($B$1,H$7,H$5,$A22,$B$2,H$6),_xll.DBSW(D22,$B$1,H$7,H$5,$A22,$B$2,H$6))</f>
        <v>0</v>
      </c>
      <c r="I22" s="18"/>
      <c r="J22" s="18">
        <f t="shared" ca="1" si="0"/>
        <v>0</v>
      </c>
      <c r="K22" s="18">
        <f t="shared" ca="1" si="0"/>
        <v>0</v>
      </c>
      <c r="L22" s="18">
        <f t="shared" ca="1" si="0"/>
        <v>0</v>
      </c>
    </row>
    <row r="23" spans="1:14" x14ac:dyDescent="0.25">
      <c r="A23" s="17" t="s">
        <v>64</v>
      </c>
      <c r="B23" s="18">
        <f ca="1">_xll.DBRW($B$1,B$7,B$5,$A23,$B$2,B$6)</f>
        <v>10.871600000000001</v>
      </c>
      <c r="C23" s="18">
        <f ca="1">_xll.DBRW($B$1,C$7,C$5,$A23,$B$2,C$6)</f>
        <v>10.815018107</v>
      </c>
      <c r="D23" s="18">
        <f ca="1">_xll.DBRW($B$1,D$7,D$5,$A23,$B$2,D$6)</f>
        <v>10.7212</v>
      </c>
      <c r="E23" s="18"/>
      <c r="F23" s="18">
        <f ca="1">IF($F$2="Restit",_xll.DBRW($B$1,F$7,F$5,$A23,$B$2,F$6),_xll.DBSW(B23,$B$1,F$7,F$5,$A23,$B$2,F$6))</f>
        <v>0</v>
      </c>
      <c r="G23" s="18">
        <f ca="1">IF($F$2="Restit",_xll.DBRW($B$1,G$7,G$5,$A23,$B$2,G$6),_xll.DBSW(C23,$B$1,G$7,G$5,$A23,$B$2,G$6))</f>
        <v>0</v>
      </c>
      <c r="H23" s="18">
        <f ca="1">IF($F$2="Restit",_xll.DBRW($B$1,H$7,H$5,$A23,$B$2,H$6),_xll.DBSW(D23,$B$1,H$7,H$5,$A23,$B$2,H$6))</f>
        <v>0</v>
      </c>
      <c r="I23" s="18"/>
      <c r="J23" s="18">
        <f t="shared" ca="1" si="0"/>
        <v>-10.871600000000001</v>
      </c>
      <c r="K23" s="18">
        <f t="shared" ca="1" si="0"/>
        <v>-10.815018107</v>
      </c>
      <c r="L23" s="18">
        <f t="shared" ca="1" si="0"/>
        <v>-10.7212</v>
      </c>
    </row>
    <row r="24" spans="1:14" x14ac:dyDescent="0.25">
      <c r="A24" s="17" t="s">
        <v>65</v>
      </c>
      <c r="B24" s="18">
        <f ca="1">_xll.DBRW($B$1,B$7,B$5,$A24,$B$2,B$6)</f>
        <v>0</v>
      </c>
      <c r="C24" s="18">
        <f ca="1">_xll.DBRW($B$1,C$7,C$5,$A24,$B$2,C$6)</f>
        <v>0</v>
      </c>
      <c r="D24" s="18">
        <f ca="1">_xll.DBRW($B$1,D$7,D$5,$A24,$B$2,D$6)</f>
        <v>0</v>
      </c>
      <c r="E24" s="18"/>
      <c r="F24" s="18">
        <f ca="1">IF($F$2="Restit",_xll.DBRW($B$1,F$7,F$5,$A24,$B$2,F$6),_xll.DBSW(B24,$B$1,F$7,F$5,$A24,$B$2,F$6))</f>
        <v>0</v>
      </c>
      <c r="G24" s="18">
        <f ca="1">IF($F$2="Restit",_xll.DBRW($B$1,G$7,G$5,$A24,$B$2,G$6),_xll.DBSW(C24,$B$1,G$7,G$5,$A24,$B$2,G$6))</f>
        <v>0</v>
      </c>
      <c r="H24" s="18">
        <f ca="1">IF($F$2="Restit",_xll.DBRW($B$1,H$7,H$5,$A24,$B$2,H$6),_xll.DBSW(D24,$B$1,H$7,H$5,$A24,$B$2,H$6))</f>
        <v>0</v>
      </c>
      <c r="I24" s="18"/>
      <c r="J24" s="18">
        <f t="shared" ca="1" si="0"/>
        <v>0</v>
      </c>
      <c r="K24" s="18">
        <f t="shared" ca="1" si="0"/>
        <v>0</v>
      </c>
      <c r="L24" s="18">
        <f t="shared" ca="1" si="0"/>
        <v>0</v>
      </c>
    </row>
    <row r="25" spans="1:14" x14ac:dyDescent="0.25">
      <c r="A25" s="17" t="s">
        <v>66</v>
      </c>
      <c r="B25" s="18">
        <f ca="1">_xll.DBRW($B$1,B$7,B$5,$A25,$B$2,B$6)</f>
        <v>1.6983999999999999</v>
      </c>
      <c r="C25" s="18">
        <f ca="1">_xll.DBRW($B$1,C$7,C$5,$A25,$B$2,C$6)</f>
        <v>1.7564589589999999</v>
      </c>
      <c r="D25" s="18">
        <f ca="1">_xll.DBRW($B$1,D$7,D$5,$A25,$B$2,D$6)</f>
        <v>1.6653</v>
      </c>
      <c r="E25" s="18"/>
      <c r="F25" s="18">
        <f ca="1">IF($F$2="Restit",_xll.DBRW($B$1,F$7,F$5,$A25,$B$2,F$6),_xll.DBSW(B25,$B$1,F$7,F$5,$A25,$B$2,F$6))</f>
        <v>0</v>
      </c>
      <c r="G25" s="18">
        <f ca="1">IF($F$2="Restit",_xll.DBRW($B$1,G$7,G$5,$A25,$B$2,G$6),_xll.DBSW(C25,$B$1,G$7,G$5,$A25,$B$2,G$6))</f>
        <v>0</v>
      </c>
      <c r="H25" s="18">
        <f ca="1">IF($F$2="Restit",_xll.DBRW($B$1,H$7,H$5,$A25,$B$2,H$6),_xll.DBSW(D25,$B$1,H$7,H$5,$A25,$B$2,H$6))</f>
        <v>0</v>
      </c>
      <c r="I25" s="18"/>
      <c r="J25" s="18">
        <f t="shared" ca="1" si="0"/>
        <v>-1.6983999999999999</v>
      </c>
      <c r="K25" s="18">
        <f t="shared" ca="1" si="0"/>
        <v>-1.7564589589999999</v>
      </c>
      <c r="L25" s="18">
        <f t="shared" ca="1" si="0"/>
        <v>-1.6653</v>
      </c>
    </row>
    <row r="26" spans="1:14" x14ac:dyDescent="0.25">
      <c r="A26" s="17" t="s">
        <v>67</v>
      </c>
      <c r="B26" s="18">
        <f ca="1">_xll.DBRW($B$1,B$7,B$5,$A26,$B$2,B$6)</f>
        <v>0</v>
      </c>
      <c r="C26" s="18">
        <f ca="1">_xll.DBRW($B$1,C$7,C$5,$A26,$B$2,C$6)</f>
        <v>0</v>
      </c>
      <c r="D26" s="18">
        <f ca="1">_xll.DBRW($B$1,D$7,D$5,$A26,$B$2,D$6)</f>
        <v>0</v>
      </c>
      <c r="E26" s="18"/>
      <c r="F26" s="18">
        <f ca="1">IF($F$2="Restit",_xll.DBRW($B$1,F$7,F$5,$A26,$B$2,F$6),_xll.DBSW(B26,$B$1,F$7,F$5,$A26,$B$2,F$6))</f>
        <v>0</v>
      </c>
      <c r="G26" s="18">
        <f ca="1">IF($F$2="Restit",_xll.DBRW($B$1,G$7,G$5,$A26,$B$2,G$6),_xll.DBSW(C26,$B$1,G$7,G$5,$A26,$B$2,G$6))</f>
        <v>0</v>
      </c>
      <c r="H26" s="18">
        <f ca="1">IF($F$2="Restit",_xll.DBRW($B$1,H$7,H$5,$A26,$B$2,H$6),_xll.DBSW(D26,$B$1,H$7,H$5,$A26,$B$2,H$6))</f>
        <v>0</v>
      </c>
      <c r="I26" s="18"/>
      <c r="J26" s="18">
        <f t="shared" ca="1" si="0"/>
        <v>0</v>
      </c>
      <c r="K26" s="18">
        <f t="shared" ca="1" si="0"/>
        <v>0</v>
      </c>
      <c r="L26" s="18">
        <f t="shared" ca="1" si="0"/>
        <v>0</v>
      </c>
    </row>
    <row r="27" spans="1:14" x14ac:dyDescent="0.25">
      <c r="A27" s="17" t="s">
        <v>68</v>
      </c>
      <c r="B27" s="18">
        <f ca="1">_xll.DBRW($B$1,B$7,B$5,$A27,$B$2,B$6)</f>
        <v>0</v>
      </c>
      <c r="C27" s="18">
        <f ca="1">_xll.DBRW($B$1,C$7,C$5,$A27,$B$2,C$6)</f>
        <v>0</v>
      </c>
      <c r="D27" s="18">
        <f ca="1">_xll.DBRW($B$1,D$7,D$5,$A27,$B$2,D$6)</f>
        <v>0</v>
      </c>
      <c r="E27" s="18"/>
      <c r="F27" s="18">
        <f ca="1">IF($F$2="Restit",_xll.DBRW($B$1,F$7,F$5,$A27,$B$2,F$6),_xll.DBSW(B27,$B$1,F$7,F$5,$A27,$B$2,F$6))</f>
        <v>0</v>
      </c>
      <c r="G27" s="18">
        <f ca="1">IF($F$2="Restit",_xll.DBRW($B$1,G$7,G$5,$A27,$B$2,G$6),_xll.DBSW(C27,$B$1,G$7,G$5,$A27,$B$2,G$6))</f>
        <v>0</v>
      </c>
      <c r="H27" s="18">
        <f ca="1">IF($F$2="Restit",_xll.DBRW($B$1,H$7,H$5,$A27,$B$2,H$6),_xll.DBSW(D27,$B$1,H$7,H$5,$A27,$B$2,H$6))</f>
        <v>0</v>
      </c>
      <c r="I27" s="18"/>
      <c r="J27" s="18">
        <f t="shared" ca="1" si="0"/>
        <v>0</v>
      </c>
      <c r="K27" s="18">
        <f t="shared" ca="1" si="0"/>
        <v>0</v>
      </c>
      <c r="L27" s="18">
        <f t="shared" ca="1" si="0"/>
        <v>0</v>
      </c>
    </row>
    <row r="28" spans="1:14" x14ac:dyDescent="0.25">
      <c r="A28" s="17" t="s">
        <v>69</v>
      </c>
      <c r="B28" s="18">
        <f ca="1">_xll.DBRW($B$1,B$7,B$5,$A28,$B$2,B$6)</f>
        <v>10.0343</v>
      </c>
      <c r="C28" s="18">
        <f ca="1">_xll.DBRW($B$1,C$7,C$5,$A28,$B$2,C$6)</f>
        <v>10.488130204000001</v>
      </c>
      <c r="D28" s="18">
        <f ca="1">_xll.DBRW($B$1,D$7,D$5,$A28,$B$2,D$6)</f>
        <v>10.4468</v>
      </c>
      <c r="E28" s="18"/>
      <c r="F28" s="18">
        <f ca="1">IF($F$2="Restit",_xll.DBRW($B$1,F$7,F$5,$A28,$B$2,F$6),_xll.DBSW(B28,$B$1,F$7,F$5,$A28,$B$2,F$6))</f>
        <v>0</v>
      </c>
      <c r="G28" s="18">
        <f ca="1">IF($F$2="Restit",_xll.DBRW($B$1,G$7,G$5,$A28,$B$2,G$6),_xll.DBSW(C28,$B$1,G$7,G$5,$A28,$B$2,G$6))</f>
        <v>0</v>
      </c>
      <c r="H28" s="18">
        <f ca="1">IF($F$2="Restit",_xll.DBRW($B$1,H$7,H$5,$A28,$B$2,H$6),_xll.DBSW(D28,$B$1,H$7,H$5,$A28,$B$2,H$6))</f>
        <v>0</v>
      </c>
      <c r="I28" s="18"/>
      <c r="J28" s="18">
        <f t="shared" ca="1" si="0"/>
        <v>-10.0343</v>
      </c>
      <c r="K28" s="18">
        <f t="shared" ca="1" si="0"/>
        <v>-10.488130204000001</v>
      </c>
      <c r="L28" s="18">
        <f t="shared" ca="1" si="0"/>
        <v>-10.4468</v>
      </c>
    </row>
    <row r="29" spans="1:14" x14ac:dyDescent="0.25">
      <c r="A29" s="17" t="s">
        <v>70</v>
      </c>
      <c r="B29" s="18">
        <f ca="1">_xll.DBRW($B$1,B$7,B$5,$A29,$B$2,B$6)</f>
        <v>1.2271000000000001</v>
      </c>
      <c r="C29" s="18">
        <f ca="1">_xll.DBRW($B$1,C$7,C$5,$A29,$B$2,C$6)</f>
        <v>1.141281859</v>
      </c>
      <c r="D29" s="18">
        <f ca="1">_xll.DBRW($B$1,D$7,D$5,$A29,$B$2,D$6)</f>
        <v>1.1234</v>
      </c>
      <c r="E29" s="18"/>
      <c r="F29" s="18">
        <f ca="1">IF($F$2="Restit",_xll.DBRW($B$1,F$7,F$5,$A29,$B$2,F$6),_xll.DBSW(B29,$B$1,F$7,F$5,$A29,$B$2,F$6))</f>
        <v>0</v>
      </c>
      <c r="G29" s="18">
        <f ca="1">IF($F$2="Restit",_xll.DBRW($B$1,G$7,G$5,$A29,$B$2,G$6),_xll.DBSW(C29,$B$1,G$7,G$5,$A29,$B$2,G$6))</f>
        <v>0</v>
      </c>
      <c r="H29" s="18">
        <f ca="1">IF($F$2="Restit",_xll.DBRW($B$1,H$7,H$5,$A29,$B$2,H$6),_xll.DBSW(D29,$B$1,H$7,H$5,$A29,$B$2,H$6))</f>
        <v>0</v>
      </c>
      <c r="I29" s="18"/>
      <c r="J29" s="18">
        <f t="shared" ca="1" si="0"/>
        <v>-1.2271000000000001</v>
      </c>
      <c r="K29" s="18">
        <f t="shared" ca="1" si="0"/>
        <v>-1.141281859</v>
      </c>
      <c r="L29" s="18">
        <f t="shared" ca="1" si="0"/>
        <v>-1.1234</v>
      </c>
    </row>
    <row r="30" spans="1:14" x14ac:dyDescent="0.25">
      <c r="A30" s="17" t="s">
        <v>71</v>
      </c>
      <c r="B30" s="18">
        <f ca="1">_xll.DBRW($B$1,B$7,B$5,$A30,$B$2,B$6)</f>
        <v>119.3317</v>
      </c>
      <c r="C30" s="18">
        <f ca="1">_xll.DBRW($B$1,C$7,C$5,$A30,$B$2,C$6)</f>
        <v>119.3317</v>
      </c>
      <c r="D30" s="18">
        <f ca="1">_xll.DBRW($B$1,D$7,D$5,$A30,$B$2,D$6)</f>
        <v>119.3317</v>
      </c>
      <c r="E30" s="18"/>
      <c r="F30" s="18">
        <f ca="1">IF($F$2="Restit",_xll.DBRW($B$1,F$7,F$5,$A30,$B$2,F$6),_xll.DBSW(B30,$B$1,F$7,F$5,$A30,$B$2,F$6))</f>
        <v>0</v>
      </c>
      <c r="G30" s="18">
        <f ca="1">IF($F$2="Restit",_xll.DBRW($B$1,G$7,G$5,$A30,$B$2,G$6),_xll.DBSW(C30,$B$1,G$7,G$5,$A30,$B$2,G$6))</f>
        <v>0</v>
      </c>
      <c r="H30" s="18">
        <f ca="1">IF($F$2="Restit",_xll.DBRW($B$1,H$7,H$5,$A30,$B$2,H$6),_xll.DBSW(D30,$B$1,H$7,H$5,$A30,$B$2,H$6))</f>
        <v>0</v>
      </c>
      <c r="I30" s="18"/>
      <c r="J30" s="18">
        <f t="shared" ca="1" si="0"/>
        <v>-119.3317</v>
      </c>
      <c r="K30" s="18">
        <f t="shared" ca="1" si="0"/>
        <v>-119.3317</v>
      </c>
      <c r="L30" s="18">
        <f t="shared" ca="1" si="0"/>
        <v>-119.3317</v>
      </c>
    </row>
    <row r="31" spans="1:14" x14ac:dyDescent="0.25">
      <c r="A31" s="20" t="s">
        <v>72</v>
      </c>
      <c r="B31" s="21">
        <v>1</v>
      </c>
      <c r="C31" s="21">
        <v>1</v>
      </c>
      <c r="D31" s="21">
        <v>1</v>
      </c>
      <c r="E31" s="21"/>
      <c r="F31" s="21">
        <f ca="1">IF($F$2="Restit",_xll.DBRW($B$1,F$7,F$5,$A31,$B$2,F$6),_xll.DBSW(B31,$B$1,F$7,F$5,$A31,$B$2,F$6))</f>
        <v>0</v>
      </c>
      <c r="G31" s="21">
        <f ca="1">IF($F$2="Restit",_xll.DBRW($B$1,G$7,G$5,$A31,$B$2,G$6),_xll.DBSW(C31,$B$1,G$7,G$5,$A31,$B$2,G$6))</f>
        <v>0</v>
      </c>
      <c r="H31" s="21">
        <f ca="1">IF($F$2="Restit",_xll.DBRW($B$1,H$7,H$5,$A31,$B$2,H$6),_xll.DBSW(D31,$B$1,H$7,H$5,$A31,$B$2,H$6))</f>
        <v>0</v>
      </c>
      <c r="I31" s="21"/>
      <c r="J31" s="21">
        <f t="shared" ref="J31:L32" ca="1" si="1">F31-B31</f>
        <v>-1</v>
      </c>
      <c r="K31" s="21">
        <f t="shared" ca="1" si="1"/>
        <v>-1</v>
      </c>
      <c r="L31" s="21">
        <f t="shared" ca="1" si="1"/>
        <v>-1</v>
      </c>
      <c r="N31" s="19"/>
    </row>
    <row r="32" spans="1:14" x14ac:dyDescent="0.25">
      <c r="A32" s="20" t="s">
        <v>73</v>
      </c>
      <c r="B32" s="21">
        <v>1</v>
      </c>
      <c r="C32" s="21">
        <v>1</v>
      </c>
      <c r="D32" s="21">
        <v>1</v>
      </c>
      <c r="E32" s="21"/>
      <c r="F32" s="21">
        <f ca="1">IF($F$2="Restit",_xll.DBRW($B$1,F$7,F$5,$A32,$B$2,F$6),_xll.DBSW(B32,$B$1,F$7,F$5,$A32,$B$2,F$6))</f>
        <v>0</v>
      </c>
      <c r="G32" s="21">
        <f ca="1">IF($F$2="Restit",_xll.DBRW($B$1,G$7,G$5,$A32,$B$2,G$6),_xll.DBSW(C32,$B$1,G$7,G$5,$A32,$B$2,G$6))</f>
        <v>0</v>
      </c>
      <c r="H32" s="21">
        <f ca="1">IF($F$2="Restit",_xll.DBRW($B$1,H$7,H$5,$A32,$B$2,H$6),_xll.DBSW(D32,$B$1,H$7,H$5,$A32,$B$2,H$6))</f>
        <v>0</v>
      </c>
      <c r="I32" s="21"/>
      <c r="J32" s="21">
        <f t="shared" ca="1" si="1"/>
        <v>-1</v>
      </c>
      <c r="K32" s="21">
        <f t="shared" ca="1" si="1"/>
        <v>-1</v>
      </c>
      <c r="L32" s="21">
        <f t="shared" ca="1" si="1"/>
        <v>-1</v>
      </c>
    </row>
  </sheetData>
  <dataValidations count="2">
    <dataValidation type="list" allowBlank="1" showInputMessage="1" showErrorMessage="1" sqref="B5">
      <formula1>"ACT,FC_1_VC,FC_2_VC,BUDG_VC"</formula1>
    </dataValidation>
    <dataValidation type="list" allowBlank="1" showInputMessage="1" showErrorMessage="1" sqref="F2">
      <formula1>"Restit,Envoi"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6" tint="0.39997558519241921"/>
  </sheetPr>
  <dimension ref="A1:N32"/>
  <sheetViews>
    <sheetView zoomScale="80" zoomScaleNormal="80" workbookViewId="0"/>
  </sheetViews>
  <sheetFormatPr baseColWidth="10" defaultRowHeight="15" x14ac:dyDescent="0.25"/>
  <cols>
    <col min="1" max="1" width="18.140625" bestFit="1" customWidth="1"/>
    <col min="2" max="3" width="17" customWidth="1"/>
    <col min="4" max="4" width="15.7109375" bestFit="1" customWidth="1"/>
    <col min="5" max="5" width="3.5703125" customWidth="1"/>
    <col min="6" max="7" width="13" bestFit="1" customWidth="1"/>
    <col min="8" max="8" width="15.7109375" bestFit="1" customWidth="1"/>
    <col min="9" max="9" width="4.28515625" customWidth="1"/>
    <col min="10" max="10" width="12.7109375" bestFit="1" customWidth="1"/>
    <col min="11" max="11" width="11.28515625" bestFit="1" customWidth="1"/>
  </cols>
  <sheetData>
    <row r="1" spans="1:12" x14ac:dyDescent="0.25">
      <c r="A1" t="s">
        <v>41</v>
      </c>
      <c r="B1" t="str">
        <f ca="1">_xll.VIEW("Tango_Core_Model:ST_Currency","!","!","!",$B$2,"!")</f>
        <v>Tango_Core_Model:ST_Currency</v>
      </c>
    </row>
    <row r="2" spans="1:12" x14ac:dyDescent="0.25">
      <c r="A2" s="1" t="s">
        <v>42</v>
      </c>
      <c r="B2" t="str">
        <f ca="1">_xll.SUBNM("Tango_Core_Model:CurrencyConvertTo","","EUR")</f>
        <v>EUR</v>
      </c>
      <c r="F2" s="15" t="s">
        <v>43</v>
      </c>
    </row>
    <row r="5" spans="1:12" x14ac:dyDescent="0.25">
      <c r="B5" t="str">
        <f ca="1">Context!E9</f>
        <v>ACT</v>
      </c>
      <c r="C5" t="str">
        <f ca="1">B5</f>
        <v>ACT</v>
      </c>
      <c r="D5" t="str">
        <f ca="1">B5</f>
        <v>ACT</v>
      </c>
      <c r="F5" s="23" t="str">
        <f ca="1">PHASE_LTP</f>
        <v>LTP_2021_VC</v>
      </c>
      <c r="G5" t="str">
        <f ca="1">F5</f>
        <v>LTP_2021_VC</v>
      </c>
      <c r="H5" t="str">
        <f ca="1">F5</f>
        <v>LTP_2021_VC</v>
      </c>
      <c r="J5" t="s">
        <v>45</v>
      </c>
    </row>
    <row r="6" spans="1:12" x14ac:dyDescent="0.25">
      <c r="B6" t="s">
        <v>46</v>
      </c>
      <c r="C6" t="s">
        <v>47</v>
      </c>
      <c r="D6" t="s">
        <v>48</v>
      </c>
      <c r="F6" t="s">
        <v>46</v>
      </c>
      <c r="G6" t="s">
        <v>47</v>
      </c>
      <c r="H6" t="s">
        <v>48</v>
      </c>
      <c r="J6" t="s">
        <v>46</v>
      </c>
      <c r="K6" t="s">
        <v>47</v>
      </c>
      <c r="L6" t="s">
        <v>48</v>
      </c>
    </row>
    <row r="7" spans="1:12" x14ac:dyDescent="0.25">
      <c r="B7" t="str">
        <f ca="1">Context!F9</f>
        <v>2021.12</v>
      </c>
      <c r="C7" t="str">
        <f ca="1">B7</f>
        <v>2021.12</v>
      </c>
      <c r="D7" t="str">
        <f ca="1">B7</f>
        <v>2021.12</v>
      </c>
      <c r="F7" s="16" t="str">
        <f ca="1">"F_Year_"&amp;LEFT(B7,4)</f>
        <v>F_Year_2021</v>
      </c>
      <c r="G7" s="16" t="str">
        <f ca="1">F7</f>
        <v>F_Year_2021</v>
      </c>
      <c r="H7" s="16" t="str">
        <f ca="1">F7</f>
        <v>F_Year_2021</v>
      </c>
    </row>
    <row r="8" spans="1:12" x14ac:dyDescent="0.25">
      <c r="A8" s="17" t="s">
        <v>49</v>
      </c>
      <c r="B8" s="18">
        <f ca="1">_xll.DBRW($B$1,B$7,B$5,$A8,$B$2,B$6)</f>
        <v>0</v>
      </c>
      <c r="C8" s="18">
        <f ca="1">_xll.DBRW($B$1,C$7,C$5,$A8,$B$2,C$6)</f>
        <v>0</v>
      </c>
      <c r="D8" s="18">
        <f ca="1">_xll.DBRW($B$1,D$7,D$5,$A8,$B$2,D$6)</f>
        <v>0</v>
      </c>
      <c r="E8" s="18"/>
      <c r="F8" s="18">
        <f ca="1">IF($F$2="Restit",_xll.DBRW($B$1,F$7,F$5,$A8,$B$2,F$6),_xll.DBSW(B8,$B$1,F$7,F$5,$A8,$B$2,F$6))</f>
        <v>0</v>
      </c>
      <c r="G8" s="18">
        <f ca="1">IF($F$2="Restit",_xll.DBRW($B$1,G$7,G$5,$A8,$B$2,G$6),_xll.DBSW(C8,$B$1,G$7,G$5,$A8,$B$2,G$6))</f>
        <v>0</v>
      </c>
      <c r="H8" s="18">
        <f ca="1">IF($F$2="Restit",_xll.DBRW($B$1,H$7,H$5,$A8,$B$2,H$6),_xll.DBSW(D8,$B$1,H$7,H$5,$A8,$B$2,H$6))</f>
        <v>0</v>
      </c>
      <c r="I8" s="18"/>
      <c r="J8" s="18">
        <f t="shared" ref="J8:L30" ca="1" si="0">F8-B8</f>
        <v>0</v>
      </c>
      <c r="K8" s="18">
        <f t="shared" ca="1" si="0"/>
        <v>0</v>
      </c>
      <c r="L8" s="18">
        <f t="shared" ca="1" si="0"/>
        <v>0</v>
      </c>
    </row>
    <row r="9" spans="1:12" x14ac:dyDescent="0.25">
      <c r="A9" s="17" t="s">
        <v>50</v>
      </c>
      <c r="B9" s="18">
        <f ca="1">_xll.DBRW($B$1,B$7,B$5,$A9,$B$2,B$6)</f>
        <v>0</v>
      </c>
      <c r="C9" s="18">
        <f ca="1">_xll.DBRW($B$1,C$7,C$5,$A9,$B$2,C$6)</f>
        <v>0</v>
      </c>
      <c r="D9" s="18">
        <f ca="1">_xll.DBRW($B$1,D$7,D$5,$A9,$B$2,D$6)</f>
        <v>0</v>
      </c>
      <c r="E9" s="18"/>
      <c r="F9" s="18">
        <f ca="1">IF($F$2="Restit",_xll.DBRW($B$1,F$7,F$5,$A9,$B$2,F$6),_xll.DBSW(B9,$B$1,F$7,F$5,$A9,$B$2,F$6))</f>
        <v>0</v>
      </c>
      <c r="G9" s="18">
        <f ca="1">IF($F$2="Restit",_xll.DBRW($B$1,G$7,G$5,$A9,$B$2,G$6),_xll.DBSW(C9,$B$1,G$7,G$5,$A9,$B$2,G$6))</f>
        <v>0</v>
      </c>
      <c r="H9" s="18">
        <f ca="1">IF($F$2="Restit",_xll.DBRW($B$1,H$7,H$5,$A9,$B$2,H$6),_xll.DBSW(D9,$B$1,H$7,H$5,$A9,$B$2,H$6))</f>
        <v>0</v>
      </c>
      <c r="I9" s="18"/>
      <c r="J9" s="18">
        <f t="shared" ca="1" si="0"/>
        <v>0</v>
      </c>
      <c r="K9" s="18">
        <f t="shared" ca="1" si="0"/>
        <v>0</v>
      </c>
      <c r="L9" s="18">
        <f t="shared" ca="1" si="0"/>
        <v>0</v>
      </c>
    </row>
    <row r="10" spans="1:12" x14ac:dyDescent="0.25">
      <c r="A10" s="17" t="s">
        <v>51</v>
      </c>
      <c r="B10" s="18">
        <f ca="1">_xll.DBRW($B$1,B$7,B$5,$A10,$B$2,B$6)</f>
        <v>0</v>
      </c>
      <c r="C10" s="18">
        <f ca="1">_xll.DBRW($B$1,C$7,C$5,$A10,$B$2,C$6)</f>
        <v>0</v>
      </c>
      <c r="D10" s="18">
        <f ca="1">_xll.DBRW($B$1,D$7,D$5,$A10,$B$2,D$6)</f>
        <v>0</v>
      </c>
      <c r="E10" s="18"/>
      <c r="F10" s="18">
        <f ca="1">IF($F$2="Restit",_xll.DBRW($B$1,F$7,F$5,$A10,$B$2,F$6),_xll.DBSW(B10,$B$1,F$7,F$5,$A10,$B$2,F$6))</f>
        <v>0</v>
      </c>
      <c r="G10" s="18">
        <f ca="1">IF($F$2="Restit",_xll.DBRW($B$1,G$7,G$5,$A10,$B$2,G$6),_xll.DBSW(C10,$B$1,G$7,G$5,$A10,$B$2,G$6))</f>
        <v>0</v>
      </c>
      <c r="H10" s="18">
        <f ca="1">IF($F$2="Restit",_xll.DBRW($B$1,H$7,H$5,$A10,$B$2,H$6),_xll.DBSW(D10,$B$1,H$7,H$5,$A10,$B$2,H$6))</f>
        <v>0</v>
      </c>
      <c r="I10" s="18"/>
      <c r="J10" s="18">
        <f t="shared" ca="1" si="0"/>
        <v>0</v>
      </c>
      <c r="K10" s="18">
        <f t="shared" ca="1" si="0"/>
        <v>0</v>
      </c>
      <c r="L10" s="18">
        <f t="shared" ca="1" si="0"/>
        <v>0</v>
      </c>
    </row>
    <row r="11" spans="1:12" x14ac:dyDescent="0.25">
      <c r="A11" s="17" t="s">
        <v>52</v>
      </c>
      <c r="B11" s="18">
        <f ca="1">_xll.DBRW($B$1,B$7,B$5,$A11,$B$2,B$6)</f>
        <v>0</v>
      </c>
      <c r="C11" s="18">
        <f ca="1">_xll.DBRW($B$1,C$7,C$5,$A11,$B$2,C$6)</f>
        <v>0</v>
      </c>
      <c r="D11" s="18">
        <f ca="1">_xll.DBRW($B$1,D$7,D$5,$A11,$B$2,D$6)</f>
        <v>0</v>
      </c>
      <c r="E11" s="18"/>
      <c r="F11" s="18">
        <f ca="1">IF($F$2="Restit",_xll.DBRW($B$1,F$7,F$5,$A11,$B$2,F$6),_xll.DBSW(B11,$B$1,F$7,F$5,$A11,$B$2,F$6))</f>
        <v>0</v>
      </c>
      <c r="G11" s="18">
        <f ca="1">IF($F$2="Restit",_xll.DBRW($B$1,G$7,G$5,$A11,$B$2,G$6),_xll.DBSW(C11,$B$1,G$7,G$5,$A11,$B$2,G$6))</f>
        <v>0</v>
      </c>
      <c r="H11" s="18">
        <f ca="1">IF($F$2="Restit",_xll.DBRW($B$1,H$7,H$5,$A11,$B$2,H$6),_xll.DBSW(D11,$B$1,H$7,H$5,$A11,$B$2,H$6))</f>
        <v>0</v>
      </c>
      <c r="I11" s="18"/>
      <c r="J11" s="18">
        <f t="shared" ca="1" si="0"/>
        <v>0</v>
      </c>
      <c r="K11" s="18">
        <f t="shared" ca="1" si="0"/>
        <v>0</v>
      </c>
      <c r="L11" s="18">
        <f t="shared" ca="1" si="0"/>
        <v>0</v>
      </c>
    </row>
    <row r="12" spans="1:12" x14ac:dyDescent="0.25">
      <c r="A12" s="17" t="s">
        <v>53</v>
      </c>
      <c r="B12" s="18">
        <f ca="1">_xll.DBRW($B$1,B$7,B$5,$A12,$B$2,B$6)</f>
        <v>0</v>
      </c>
      <c r="C12" s="18">
        <f ca="1">_xll.DBRW($B$1,C$7,C$5,$A12,$B$2,C$6)</f>
        <v>0</v>
      </c>
      <c r="D12" s="18">
        <f ca="1">_xll.DBRW($B$1,D$7,D$5,$A12,$B$2,D$6)</f>
        <v>0</v>
      </c>
      <c r="E12" s="18"/>
      <c r="F12" s="18">
        <f ca="1">IF($F$2="Restit",_xll.DBRW($B$1,F$7,F$5,$A12,$B$2,F$6),_xll.DBSW(B12,$B$1,F$7,F$5,$A12,$B$2,F$6))</f>
        <v>0</v>
      </c>
      <c r="G12" s="18">
        <f ca="1">IF($F$2="Restit",_xll.DBRW($B$1,G$7,G$5,$A12,$B$2,G$6),_xll.DBSW(C12,$B$1,G$7,G$5,$A12,$B$2,G$6))</f>
        <v>0</v>
      </c>
      <c r="H12" s="18">
        <f ca="1">IF($F$2="Restit",_xll.DBRW($B$1,H$7,H$5,$A12,$B$2,H$6),_xll.DBSW(D12,$B$1,H$7,H$5,$A12,$B$2,H$6))</f>
        <v>0</v>
      </c>
      <c r="I12" s="18"/>
      <c r="J12" s="18">
        <f t="shared" ca="1" si="0"/>
        <v>0</v>
      </c>
      <c r="K12" s="18">
        <f t="shared" ca="1" si="0"/>
        <v>0</v>
      </c>
      <c r="L12" s="18">
        <f t="shared" ca="1" si="0"/>
        <v>0</v>
      </c>
    </row>
    <row r="13" spans="1:12" x14ac:dyDescent="0.25">
      <c r="A13" s="17" t="s">
        <v>54</v>
      </c>
      <c r="B13" s="18">
        <f ca="1">_xll.DBRW($B$1,B$7,B$5,$A13,$B$2,B$6)</f>
        <v>0</v>
      </c>
      <c r="C13" s="18">
        <f ca="1">_xll.DBRW($B$1,C$7,C$5,$A13,$B$2,C$6)</f>
        <v>0</v>
      </c>
      <c r="D13" s="18">
        <f ca="1">_xll.DBRW($B$1,D$7,D$5,$A13,$B$2,D$6)</f>
        <v>0</v>
      </c>
      <c r="E13" s="18"/>
      <c r="F13" s="18">
        <f ca="1">IF($F$2="Restit",_xll.DBRW($B$1,F$7,F$5,$A13,$B$2,F$6),_xll.DBSW(B13,$B$1,F$7,F$5,$A13,$B$2,F$6))</f>
        <v>0</v>
      </c>
      <c r="G13" s="18">
        <f ca="1">IF($F$2="Restit",_xll.DBRW($B$1,G$7,G$5,$A13,$B$2,G$6),_xll.DBSW(C13,$B$1,G$7,G$5,$A13,$B$2,G$6))</f>
        <v>0</v>
      </c>
      <c r="H13" s="18">
        <f ca="1">IF($F$2="Restit",_xll.DBRW($B$1,H$7,H$5,$A13,$B$2,H$6),_xll.DBSW(D13,$B$1,H$7,H$5,$A13,$B$2,H$6))</f>
        <v>0</v>
      </c>
      <c r="I13" s="18"/>
      <c r="J13" s="18">
        <f t="shared" ca="1" si="0"/>
        <v>0</v>
      </c>
      <c r="K13" s="18">
        <f t="shared" ca="1" si="0"/>
        <v>0</v>
      </c>
      <c r="L13" s="18">
        <f t="shared" ca="1" si="0"/>
        <v>0</v>
      </c>
    </row>
    <row r="14" spans="1:12" x14ac:dyDescent="0.25">
      <c r="A14" s="17" t="s">
        <v>55</v>
      </c>
      <c r="B14" s="18">
        <f ca="1">_xll.DBRW($B$1,B$7,B$5,$A14,$B$2,B$6)</f>
        <v>0</v>
      </c>
      <c r="C14" s="18">
        <f ca="1">_xll.DBRW($B$1,C$7,C$5,$A14,$B$2,C$6)</f>
        <v>0</v>
      </c>
      <c r="D14" s="18">
        <f ca="1">_xll.DBRW($B$1,D$7,D$5,$A14,$B$2,D$6)</f>
        <v>0</v>
      </c>
      <c r="E14" s="18"/>
      <c r="F14" s="18">
        <f ca="1">IF($F$2="Restit",_xll.DBRW($B$1,F$7,F$5,$A14,$B$2,F$6),_xll.DBSW(B14,$B$1,F$7,F$5,$A14,$B$2,F$6))</f>
        <v>0</v>
      </c>
      <c r="G14" s="18">
        <f ca="1">IF($F$2="Restit",_xll.DBRW($B$1,G$7,G$5,$A14,$B$2,G$6),_xll.DBSW(C14,$B$1,G$7,G$5,$A14,$B$2,G$6))</f>
        <v>0</v>
      </c>
      <c r="H14" s="18">
        <f ca="1">IF($F$2="Restit",_xll.DBRW($B$1,H$7,H$5,$A14,$B$2,H$6),_xll.DBSW(D14,$B$1,H$7,H$5,$A14,$B$2,H$6))</f>
        <v>0</v>
      </c>
      <c r="I14" s="18"/>
      <c r="J14" s="18">
        <f t="shared" ca="1" si="0"/>
        <v>0</v>
      </c>
      <c r="K14" s="18">
        <f t="shared" ca="1" si="0"/>
        <v>0</v>
      </c>
      <c r="L14" s="18">
        <f t="shared" ca="1" si="0"/>
        <v>0</v>
      </c>
    </row>
    <row r="15" spans="1:12" x14ac:dyDescent="0.25">
      <c r="A15" s="17" t="s">
        <v>56</v>
      </c>
      <c r="B15" s="18">
        <f ca="1">_xll.DBRW($B$1,B$7,B$5,$A15,$B$2,B$6)</f>
        <v>0</v>
      </c>
      <c r="C15" s="18">
        <f ca="1">_xll.DBRW($B$1,C$7,C$5,$A15,$B$2,C$6)</f>
        <v>0</v>
      </c>
      <c r="D15" s="18">
        <f ca="1">_xll.DBRW($B$1,D$7,D$5,$A15,$B$2,D$6)</f>
        <v>0</v>
      </c>
      <c r="E15" s="18"/>
      <c r="F15" s="18">
        <f ca="1">IF($F$2="Restit",_xll.DBRW($B$1,F$7,F$5,$A15,$B$2,F$6),_xll.DBSW(B15,$B$1,F$7,F$5,$A15,$B$2,F$6))</f>
        <v>0</v>
      </c>
      <c r="G15" s="18">
        <f ca="1">IF($F$2="Restit",_xll.DBRW($B$1,G$7,G$5,$A15,$B$2,G$6),_xll.DBSW(C15,$B$1,G$7,G$5,$A15,$B$2,G$6))</f>
        <v>0</v>
      </c>
      <c r="H15" s="18">
        <f ca="1">IF($F$2="Restit",_xll.DBRW($B$1,H$7,H$5,$A15,$B$2,H$6),_xll.DBSW(D15,$B$1,H$7,H$5,$A15,$B$2,H$6))</f>
        <v>0</v>
      </c>
      <c r="I15" s="18"/>
      <c r="J15" s="18">
        <f t="shared" ca="1" si="0"/>
        <v>0</v>
      </c>
      <c r="K15" s="18">
        <f t="shared" ca="1" si="0"/>
        <v>0</v>
      </c>
      <c r="L15" s="18">
        <f t="shared" ca="1" si="0"/>
        <v>0</v>
      </c>
    </row>
    <row r="16" spans="1:12" x14ac:dyDescent="0.25">
      <c r="A16" s="17" t="s">
        <v>57</v>
      </c>
      <c r="B16" s="18">
        <f ca="1">_xll.DBRW($B$1,B$7,B$5,$A16,$B$2,B$6)</f>
        <v>0</v>
      </c>
      <c r="C16" s="18">
        <f ca="1">_xll.DBRW($B$1,C$7,C$5,$A16,$B$2,C$6)</f>
        <v>0</v>
      </c>
      <c r="D16" s="18">
        <f ca="1">_xll.DBRW($B$1,D$7,D$5,$A16,$B$2,D$6)</f>
        <v>0</v>
      </c>
      <c r="E16" s="18"/>
      <c r="F16" s="18">
        <f ca="1">IF($F$2="Restit",_xll.DBRW($B$1,F$7,F$5,$A16,$B$2,F$6),_xll.DBSW(B16,$B$1,F$7,F$5,$A16,$B$2,F$6))</f>
        <v>0</v>
      </c>
      <c r="G16" s="18">
        <f ca="1">IF($F$2="Restit",_xll.DBRW($B$1,G$7,G$5,$A16,$B$2,G$6),_xll.DBSW(C16,$B$1,G$7,G$5,$A16,$B$2,G$6))</f>
        <v>0</v>
      </c>
      <c r="H16" s="18">
        <f ca="1">IF($F$2="Restit",_xll.DBRW($B$1,H$7,H$5,$A16,$B$2,H$6),_xll.DBSW(D16,$B$1,H$7,H$5,$A16,$B$2,H$6))</f>
        <v>0</v>
      </c>
      <c r="I16" s="18"/>
      <c r="J16" s="18">
        <f t="shared" ca="1" si="0"/>
        <v>0</v>
      </c>
      <c r="K16" s="18">
        <f t="shared" ca="1" si="0"/>
        <v>0</v>
      </c>
      <c r="L16" s="18">
        <f t="shared" ca="1" si="0"/>
        <v>0</v>
      </c>
    </row>
    <row r="17" spans="1:14" x14ac:dyDescent="0.25">
      <c r="A17" s="17" t="s">
        <v>58</v>
      </c>
      <c r="B17" s="18">
        <f ca="1">_xll.DBRW($B$1,B$7,B$5,$A17,$B$2,B$6)</f>
        <v>0</v>
      </c>
      <c r="C17" s="18">
        <f ca="1">_xll.DBRW($B$1,C$7,C$5,$A17,$B$2,C$6)</f>
        <v>0</v>
      </c>
      <c r="D17" s="18">
        <f ca="1">_xll.DBRW($B$1,D$7,D$5,$A17,$B$2,D$6)</f>
        <v>0</v>
      </c>
      <c r="E17" s="18"/>
      <c r="F17" s="18">
        <f ca="1">IF($F$2="Restit",_xll.DBRW($B$1,F$7,F$5,$A17,$B$2,F$6),_xll.DBSW(B17,$B$1,F$7,F$5,$A17,$B$2,F$6))</f>
        <v>0</v>
      </c>
      <c r="G17" s="18">
        <f ca="1">IF($F$2="Restit",_xll.DBRW($B$1,G$7,G$5,$A17,$B$2,G$6),_xll.DBSW(C17,$B$1,G$7,G$5,$A17,$B$2,G$6))</f>
        <v>0</v>
      </c>
      <c r="H17" s="18">
        <f ca="1">IF($F$2="Restit",_xll.DBRW($B$1,H$7,H$5,$A17,$B$2,H$6),_xll.DBSW(D17,$B$1,H$7,H$5,$A17,$B$2,H$6))</f>
        <v>0</v>
      </c>
      <c r="I17" s="18"/>
      <c r="J17" s="18">
        <f t="shared" ca="1" si="0"/>
        <v>0</v>
      </c>
      <c r="K17" s="18">
        <f t="shared" ca="1" si="0"/>
        <v>0</v>
      </c>
      <c r="L17" s="18">
        <f t="shared" ca="1" si="0"/>
        <v>0</v>
      </c>
    </row>
    <row r="18" spans="1:14" x14ac:dyDescent="0.25">
      <c r="A18" s="17" t="s">
        <v>59</v>
      </c>
      <c r="B18" s="18">
        <f ca="1">_xll.DBRW($B$1,B$7,B$5,$A18,$B$2,B$6)</f>
        <v>0</v>
      </c>
      <c r="C18" s="18">
        <f ca="1">_xll.DBRW($B$1,C$7,C$5,$A18,$B$2,C$6)</f>
        <v>0</v>
      </c>
      <c r="D18" s="18">
        <f ca="1">_xll.DBRW($B$1,D$7,D$5,$A18,$B$2,D$6)</f>
        <v>0</v>
      </c>
      <c r="E18" s="18"/>
      <c r="F18" s="18">
        <f ca="1">IF($F$2="Restit",_xll.DBRW($B$1,F$7,F$5,$A18,$B$2,F$6),_xll.DBSW(B18,$B$1,F$7,F$5,$A18,$B$2,F$6))</f>
        <v>0</v>
      </c>
      <c r="G18" s="18">
        <f ca="1">IF($F$2="Restit",_xll.DBRW($B$1,G$7,G$5,$A18,$B$2,G$6),_xll.DBSW(C18,$B$1,G$7,G$5,$A18,$B$2,G$6))</f>
        <v>0</v>
      </c>
      <c r="H18" s="18">
        <f ca="1">IF($F$2="Restit",_xll.DBRW($B$1,H$7,H$5,$A18,$B$2,H$6),_xll.DBSW(D18,$B$1,H$7,H$5,$A18,$B$2,H$6))</f>
        <v>0</v>
      </c>
      <c r="I18" s="18"/>
      <c r="J18" s="18">
        <f t="shared" ca="1" si="0"/>
        <v>0</v>
      </c>
      <c r="K18" s="18">
        <f t="shared" ca="1" si="0"/>
        <v>0</v>
      </c>
      <c r="L18" s="18">
        <f t="shared" ca="1" si="0"/>
        <v>0</v>
      </c>
    </row>
    <row r="19" spans="1:14" x14ac:dyDescent="0.25">
      <c r="A19" s="17" t="s">
        <v>60</v>
      </c>
      <c r="B19" s="18">
        <f ca="1">_xll.DBRW($B$1,B$7,B$5,$A19,$B$2,B$6)</f>
        <v>0</v>
      </c>
      <c r="C19" s="18">
        <f ca="1">_xll.DBRW($B$1,C$7,C$5,$A19,$B$2,C$6)</f>
        <v>0</v>
      </c>
      <c r="D19" s="18">
        <f ca="1">_xll.DBRW($B$1,D$7,D$5,$A19,$B$2,D$6)</f>
        <v>0</v>
      </c>
      <c r="E19" s="18"/>
      <c r="F19" s="18">
        <f ca="1">IF($F$2="Restit",_xll.DBRW($B$1,F$7,F$5,$A19,$B$2,F$6),_xll.DBSW(B19,$B$1,F$7,F$5,$A19,$B$2,F$6))</f>
        <v>0</v>
      </c>
      <c r="G19" s="18">
        <f ca="1">IF($F$2="Restit",_xll.DBRW($B$1,G$7,G$5,$A19,$B$2,G$6),_xll.DBSW(C19,$B$1,G$7,G$5,$A19,$B$2,G$6))</f>
        <v>0</v>
      </c>
      <c r="H19" s="18">
        <f ca="1">IF($F$2="Restit",_xll.DBRW($B$1,H$7,H$5,$A19,$B$2,H$6),_xll.DBSW(D19,$B$1,H$7,H$5,$A19,$B$2,H$6))</f>
        <v>0</v>
      </c>
      <c r="I19" s="18"/>
      <c r="J19" s="18">
        <f t="shared" ca="1" si="0"/>
        <v>0</v>
      </c>
      <c r="K19" s="18">
        <f t="shared" ca="1" si="0"/>
        <v>0</v>
      </c>
      <c r="L19" s="18">
        <f t="shared" ca="1" si="0"/>
        <v>0</v>
      </c>
    </row>
    <row r="20" spans="1:14" x14ac:dyDescent="0.25">
      <c r="A20" s="17" t="s">
        <v>61</v>
      </c>
      <c r="B20" s="18">
        <f ca="1">_xll.DBRW($B$1,B$7,B$5,$A20,$B$2,B$6)</f>
        <v>0</v>
      </c>
      <c r="C20" s="18">
        <f ca="1">_xll.DBRW($B$1,C$7,C$5,$A20,$B$2,C$6)</f>
        <v>0</v>
      </c>
      <c r="D20" s="18">
        <f ca="1">_xll.DBRW($B$1,D$7,D$5,$A20,$B$2,D$6)</f>
        <v>0</v>
      </c>
      <c r="E20" s="18"/>
      <c r="F20" s="18">
        <f ca="1">IF($F$2="Restit",_xll.DBRW($B$1,F$7,F$5,$A20,$B$2,F$6),_xll.DBSW(B20,$B$1,F$7,F$5,$A20,$B$2,F$6))</f>
        <v>0</v>
      </c>
      <c r="G20" s="18">
        <f ca="1">IF($F$2="Restit",_xll.DBRW($B$1,G$7,G$5,$A20,$B$2,G$6),_xll.DBSW(C20,$B$1,G$7,G$5,$A20,$B$2,G$6))</f>
        <v>0</v>
      </c>
      <c r="H20" s="18">
        <f ca="1">IF($F$2="Restit",_xll.DBRW($B$1,H$7,H$5,$A20,$B$2,H$6),_xll.DBSW(D20,$B$1,H$7,H$5,$A20,$B$2,H$6))</f>
        <v>0</v>
      </c>
      <c r="I20" s="18"/>
      <c r="J20" s="18">
        <f t="shared" ca="1" si="0"/>
        <v>0</v>
      </c>
      <c r="K20" s="18">
        <f t="shared" ca="1" si="0"/>
        <v>0</v>
      </c>
      <c r="L20" s="18">
        <f t="shared" ca="1" si="0"/>
        <v>0</v>
      </c>
    </row>
    <row r="21" spans="1:14" x14ac:dyDescent="0.25">
      <c r="A21" s="17" t="s">
        <v>62</v>
      </c>
      <c r="B21" s="18">
        <f ca="1">_xll.DBRW($B$1,B$7,B$5,$A21,$B$2,B$6)</f>
        <v>0</v>
      </c>
      <c r="C21" s="18">
        <f ca="1">_xll.DBRW($B$1,C$7,C$5,$A21,$B$2,C$6)</f>
        <v>0</v>
      </c>
      <c r="D21" s="18">
        <f ca="1">_xll.DBRW($B$1,D$7,D$5,$A21,$B$2,D$6)</f>
        <v>0</v>
      </c>
      <c r="E21" s="18"/>
      <c r="F21" s="18">
        <f ca="1">IF($F$2="Restit",_xll.DBRW($B$1,F$7,F$5,$A21,$B$2,F$6),_xll.DBSW(B21,$B$1,F$7,F$5,$A21,$B$2,F$6))</f>
        <v>0</v>
      </c>
      <c r="G21" s="18">
        <f ca="1">IF($F$2="Restit",_xll.DBRW($B$1,G$7,G$5,$A21,$B$2,G$6),_xll.DBSW(C21,$B$1,G$7,G$5,$A21,$B$2,G$6))</f>
        <v>0</v>
      </c>
      <c r="H21" s="18">
        <f ca="1">IF($F$2="Restit",_xll.DBRW($B$1,H$7,H$5,$A21,$B$2,H$6),_xll.DBSW(D21,$B$1,H$7,H$5,$A21,$B$2,H$6))</f>
        <v>0</v>
      </c>
      <c r="I21" s="18"/>
      <c r="J21" s="18">
        <f t="shared" ca="1" si="0"/>
        <v>0</v>
      </c>
      <c r="K21" s="18">
        <f t="shared" ca="1" si="0"/>
        <v>0</v>
      </c>
      <c r="L21" s="18">
        <f t="shared" ca="1" si="0"/>
        <v>0</v>
      </c>
    </row>
    <row r="22" spans="1:14" x14ac:dyDescent="0.25">
      <c r="A22" s="17" t="s">
        <v>63</v>
      </c>
      <c r="B22" s="18">
        <f ca="1">_xll.DBRW($B$1,B$7,B$5,$A22,$B$2,B$6)</f>
        <v>0</v>
      </c>
      <c r="C22" s="18">
        <f ca="1">_xll.DBRW($B$1,C$7,C$5,$A22,$B$2,C$6)</f>
        <v>0</v>
      </c>
      <c r="D22" s="18">
        <f ca="1">_xll.DBRW($B$1,D$7,D$5,$A22,$B$2,D$6)</f>
        <v>0</v>
      </c>
      <c r="E22" s="18"/>
      <c r="F22" s="18">
        <f ca="1">IF($F$2="Restit",_xll.DBRW($B$1,F$7,F$5,$A22,$B$2,F$6),_xll.DBSW(B22,$B$1,F$7,F$5,$A22,$B$2,F$6))</f>
        <v>0</v>
      </c>
      <c r="G22" s="18">
        <f ca="1">IF($F$2="Restit",_xll.DBRW($B$1,G$7,G$5,$A22,$B$2,G$6),_xll.DBSW(C22,$B$1,G$7,G$5,$A22,$B$2,G$6))</f>
        <v>0</v>
      </c>
      <c r="H22" s="18">
        <f ca="1">IF($F$2="Restit",_xll.DBRW($B$1,H$7,H$5,$A22,$B$2,H$6),_xll.DBSW(D22,$B$1,H$7,H$5,$A22,$B$2,H$6))</f>
        <v>0</v>
      </c>
      <c r="I22" s="18"/>
      <c r="J22" s="18">
        <f t="shared" ca="1" si="0"/>
        <v>0</v>
      </c>
      <c r="K22" s="18">
        <f t="shared" ca="1" si="0"/>
        <v>0</v>
      </c>
      <c r="L22" s="18">
        <f t="shared" ca="1" si="0"/>
        <v>0</v>
      </c>
    </row>
    <row r="23" spans="1:14" x14ac:dyDescent="0.25">
      <c r="A23" s="17" t="s">
        <v>64</v>
      </c>
      <c r="B23" s="18">
        <f ca="1">_xll.DBRW($B$1,B$7,B$5,$A23,$B$2,B$6)</f>
        <v>0</v>
      </c>
      <c r="C23" s="18">
        <f ca="1">_xll.DBRW($B$1,C$7,C$5,$A23,$B$2,C$6)</f>
        <v>0</v>
      </c>
      <c r="D23" s="18">
        <f ca="1">_xll.DBRW($B$1,D$7,D$5,$A23,$B$2,D$6)</f>
        <v>0</v>
      </c>
      <c r="E23" s="18"/>
      <c r="F23" s="18">
        <f ca="1">IF($F$2="Restit",_xll.DBRW($B$1,F$7,F$5,$A23,$B$2,F$6),_xll.DBSW(B23,$B$1,F$7,F$5,$A23,$B$2,F$6))</f>
        <v>0</v>
      </c>
      <c r="G23" s="18">
        <f ca="1">IF($F$2="Restit",_xll.DBRW($B$1,G$7,G$5,$A23,$B$2,G$6),_xll.DBSW(C23,$B$1,G$7,G$5,$A23,$B$2,G$6))</f>
        <v>0</v>
      </c>
      <c r="H23" s="18">
        <f ca="1">IF($F$2="Restit",_xll.DBRW($B$1,H$7,H$5,$A23,$B$2,H$6),_xll.DBSW(D23,$B$1,H$7,H$5,$A23,$B$2,H$6))</f>
        <v>0</v>
      </c>
      <c r="I23" s="18"/>
      <c r="J23" s="18">
        <f t="shared" ca="1" si="0"/>
        <v>0</v>
      </c>
      <c r="K23" s="18">
        <f t="shared" ca="1" si="0"/>
        <v>0</v>
      </c>
      <c r="L23" s="18">
        <f t="shared" ca="1" si="0"/>
        <v>0</v>
      </c>
    </row>
    <row r="24" spans="1:14" x14ac:dyDescent="0.25">
      <c r="A24" s="17" t="s">
        <v>65</v>
      </c>
      <c r="B24" s="18">
        <f ca="1">_xll.DBRW($B$1,B$7,B$5,$A24,$B$2,B$6)</f>
        <v>0</v>
      </c>
      <c r="C24" s="18">
        <f ca="1">_xll.DBRW($B$1,C$7,C$5,$A24,$B$2,C$6)</f>
        <v>0</v>
      </c>
      <c r="D24" s="18">
        <f ca="1">_xll.DBRW($B$1,D$7,D$5,$A24,$B$2,D$6)</f>
        <v>0</v>
      </c>
      <c r="E24" s="18"/>
      <c r="F24" s="18">
        <f ca="1">IF($F$2="Restit",_xll.DBRW($B$1,F$7,F$5,$A24,$B$2,F$6),_xll.DBSW(B24,$B$1,F$7,F$5,$A24,$B$2,F$6))</f>
        <v>0</v>
      </c>
      <c r="G24" s="18">
        <f ca="1">IF($F$2="Restit",_xll.DBRW($B$1,G$7,G$5,$A24,$B$2,G$6),_xll.DBSW(C24,$B$1,G$7,G$5,$A24,$B$2,G$6))</f>
        <v>0</v>
      </c>
      <c r="H24" s="18">
        <f ca="1">IF($F$2="Restit",_xll.DBRW($B$1,H$7,H$5,$A24,$B$2,H$6),_xll.DBSW(D24,$B$1,H$7,H$5,$A24,$B$2,H$6))</f>
        <v>0</v>
      </c>
      <c r="I24" s="18"/>
      <c r="J24" s="18">
        <f t="shared" ca="1" si="0"/>
        <v>0</v>
      </c>
      <c r="K24" s="18">
        <f t="shared" ca="1" si="0"/>
        <v>0</v>
      </c>
      <c r="L24" s="18">
        <f t="shared" ca="1" si="0"/>
        <v>0</v>
      </c>
    </row>
    <row r="25" spans="1:14" x14ac:dyDescent="0.25">
      <c r="A25" s="17" t="s">
        <v>66</v>
      </c>
      <c r="B25" s="18">
        <f ca="1">_xll.DBRW($B$1,B$7,B$5,$A25,$B$2,B$6)</f>
        <v>0</v>
      </c>
      <c r="C25" s="18">
        <f ca="1">_xll.DBRW($B$1,C$7,C$5,$A25,$B$2,C$6)</f>
        <v>0</v>
      </c>
      <c r="D25" s="18">
        <f ca="1">_xll.DBRW($B$1,D$7,D$5,$A25,$B$2,D$6)</f>
        <v>0</v>
      </c>
      <c r="E25" s="18"/>
      <c r="F25" s="18">
        <f ca="1">IF($F$2="Restit",_xll.DBRW($B$1,F$7,F$5,$A25,$B$2,F$6),_xll.DBSW(B25,$B$1,F$7,F$5,$A25,$B$2,F$6))</f>
        <v>0</v>
      </c>
      <c r="G25" s="18">
        <f ca="1">IF($F$2="Restit",_xll.DBRW($B$1,G$7,G$5,$A25,$B$2,G$6),_xll.DBSW(C25,$B$1,G$7,G$5,$A25,$B$2,G$6))</f>
        <v>0</v>
      </c>
      <c r="H25" s="18">
        <f ca="1">IF($F$2="Restit",_xll.DBRW($B$1,H$7,H$5,$A25,$B$2,H$6),_xll.DBSW(D25,$B$1,H$7,H$5,$A25,$B$2,H$6))</f>
        <v>0</v>
      </c>
      <c r="I25" s="18"/>
      <c r="J25" s="18">
        <f t="shared" ca="1" si="0"/>
        <v>0</v>
      </c>
      <c r="K25" s="18">
        <f t="shared" ca="1" si="0"/>
        <v>0</v>
      </c>
      <c r="L25" s="18">
        <f t="shared" ca="1" si="0"/>
        <v>0</v>
      </c>
    </row>
    <row r="26" spans="1:14" x14ac:dyDescent="0.25">
      <c r="A26" s="17" t="s">
        <v>67</v>
      </c>
      <c r="B26" s="18">
        <f ca="1">_xll.DBRW($B$1,B$7,B$5,$A26,$B$2,B$6)</f>
        <v>0</v>
      </c>
      <c r="C26" s="18">
        <f ca="1">_xll.DBRW($B$1,C$7,C$5,$A26,$B$2,C$6)</f>
        <v>0</v>
      </c>
      <c r="D26" s="18">
        <f ca="1">_xll.DBRW($B$1,D$7,D$5,$A26,$B$2,D$6)</f>
        <v>0</v>
      </c>
      <c r="E26" s="18"/>
      <c r="F26" s="18">
        <f ca="1">IF($F$2="Restit",_xll.DBRW($B$1,F$7,F$5,$A26,$B$2,F$6),_xll.DBSW(B26,$B$1,F$7,F$5,$A26,$B$2,F$6))</f>
        <v>0</v>
      </c>
      <c r="G26" s="18">
        <f ca="1">IF($F$2="Restit",_xll.DBRW($B$1,G$7,G$5,$A26,$B$2,G$6),_xll.DBSW(C26,$B$1,G$7,G$5,$A26,$B$2,G$6))</f>
        <v>0</v>
      </c>
      <c r="H26" s="18">
        <f ca="1">IF($F$2="Restit",_xll.DBRW($B$1,H$7,H$5,$A26,$B$2,H$6),_xll.DBSW(D26,$B$1,H$7,H$5,$A26,$B$2,H$6))</f>
        <v>0</v>
      </c>
      <c r="I26" s="18"/>
      <c r="J26" s="18">
        <f t="shared" ca="1" si="0"/>
        <v>0</v>
      </c>
      <c r="K26" s="18">
        <f t="shared" ca="1" si="0"/>
        <v>0</v>
      </c>
      <c r="L26" s="18">
        <f t="shared" ca="1" si="0"/>
        <v>0</v>
      </c>
    </row>
    <row r="27" spans="1:14" x14ac:dyDescent="0.25">
      <c r="A27" s="17" t="s">
        <v>68</v>
      </c>
      <c r="B27" s="18">
        <f ca="1">_xll.DBRW($B$1,B$7,B$5,$A27,$B$2,B$6)</f>
        <v>0</v>
      </c>
      <c r="C27" s="18">
        <f ca="1">_xll.DBRW($B$1,C$7,C$5,$A27,$B$2,C$6)</f>
        <v>0</v>
      </c>
      <c r="D27" s="18">
        <f ca="1">_xll.DBRW($B$1,D$7,D$5,$A27,$B$2,D$6)</f>
        <v>0</v>
      </c>
      <c r="E27" s="18"/>
      <c r="F27" s="18">
        <f ca="1">IF($F$2="Restit",_xll.DBRW($B$1,F$7,F$5,$A27,$B$2,F$6),_xll.DBSW(B27,$B$1,F$7,F$5,$A27,$B$2,F$6))</f>
        <v>0</v>
      </c>
      <c r="G27" s="18">
        <f ca="1">IF($F$2="Restit",_xll.DBRW($B$1,G$7,G$5,$A27,$B$2,G$6),_xll.DBSW(C27,$B$1,G$7,G$5,$A27,$B$2,G$6))</f>
        <v>0</v>
      </c>
      <c r="H27" s="18">
        <f ca="1">IF($F$2="Restit",_xll.DBRW($B$1,H$7,H$5,$A27,$B$2,H$6),_xll.DBSW(D27,$B$1,H$7,H$5,$A27,$B$2,H$6))</f>
        <v>0</v>
      </c>
      <c r="I27" s="18"/>
      <c r="J27" s="18">
        <f t="shared" ca="1" si="0"/>
        <v>0</v>
      </c>
      <c r="K27" s="18">
        <f t="shared" ca="1" si="0"/>
        <v>0</v>
      </c>
      <c r="L27" s="18">
        <f t="shared" ca="1" si="0"/>
        <v>0</v>
      </c>
    </row>
    <row r="28" spans="1:14" x14ac:dyDescent="0.25">
      <c r="A28" s="17" t="s">
        <v>69</v>
      </c>
      <c r="B28" s="18">
        <f ca="1">_xll.DBRW($B$1,B$7,B$5,$A28,$B$2,B$6)</f>
        <v>0</v>
      </c>
      <c r="C28" s="18">
        <f ca="1">_xll.DBRW($B$1,C$7,C$5,$A28,$B$2,C$6)</f>
        <v>0</v>
      </c>
      <c r="D28" s="18">
        <f ca="1">_xll.DBRW($B$1,D$7,D$5,$A28,$B$2,D$6)</f>
        <v>0</v>
      </c>
      <c r="E28" s="18"/>
      <c r="F28" s="18">
        <f ca="1">IF($F$2="Restit",_xll.DBRW($B$1,F$7,F$5,$A28,$B$2,F$6),_xll.DBSW(B28,$B$1,F$7,F$5,$A28,$B$2,F$6))</f>
        <v>0</v>
      </c>
      <c r="G28" s="18">
        <f ca="1">IF($F$2="Restit",_xll.DBRW($B$1,G$7,G$5,$A28,$B$2,G$6),_xll.DBSW(C28,$B$1,G$7,G$5,$A28,$B$2,G$6))</f>
        <v>0</v>
      </c>
      <c r="H28" s="18">
        <f ca="1">IF($F$2="Restit",_xll.DBRW($B$1,H$7,H$5,$A28,$B$2,H$6),_xll.DBSW(D28,$B$1,H$7,H$5,$A28,$B$2,H$6))</f>
        <v>0</v>
      </c>
      <c r="I28" s="18"/>
      <c r="J28" s="18">
        <f t="shared" ca="1" si="0"/>
        <v>0</v>
      </c>
      <c r="K28" s="18">
        <f t="shared" ca="1" si="0"/>
        <v>0</v>
      </c>
      <c r="L28" s="18">
        <f t="shared" ca="1" si="0"/>
        <v>0</v>
      </c>
    </row>
    <row r="29" spans="1:14" x14ac:dyDescent="0.25">
      <c r="A29" s="17" t="s">
        <v>70</v>
      </c>
      <c r="B29" s="18">
        <f ca="1">_xll.DBRW($B$1,B$7,B$5,$A29,$B$2,B$6)</f>
        <v>0</v>
      </c>
      <c r="C29" s="18">
        <f ca="1">_xll.DBRW($B$1,C$7,C$5,$A29,$B$2,C$6)</f>
        <v>0</v>
      </c>
      <c r="D29" s="18">
        <f ca="1">_xll.DBRW($B$1,D$7,D$5,$A29,$B$2,D$6)</f>
        <v>0</v>
      </c>
      <c r="E29" s="18"/>
      <c r="F29" s="18">
        <f ca="1">IF($F$2="Restit",_xll.DBRW($B$1,F$7,F$5,$A29,$B$2,F$6),_xll.DBSW(B29,$B$1,F$7,F$5,$A29,$B$2,F$6))</f>
        <v>0</v>
      </c>
      <c r="G29" s="18">
        <f ca="1">IF($F$2="Restit",_xll.DBRW($B$1,G$7,G$5,$A29,$B$2,G$6),_xll.DBSW(C29,$B$1,G$7,G$5,$A29,$B$2,G$6))</f>
        <v>0</v>
      </c>
      <c r="H29" s="18">
        <f ca="1">IF($F$2="Restit",_xll.DBRW($B$1,H$7,H$5,$A29,$B$2,H$6),_xll.DBSW(D29,$B$1,H$7,H$5,$A29,$B$2,H$6))</f>
        <v>0</v>
      </c>
      <c r="I29" s="18"/>
      <c r="J29" s="18">
        <f t="shared" ca="1" si="0"/>
        <v>0</v>
      </c>
      <c r="K29" s="18">
        <f t="shared" ca="1" si="0"/>
        <v>0</v>
      </c>
      <c r="L29" s="18">
        <f t="shared" ca="1" si="0"/>
        <v>0</v>
      </c>
    </row>
    <row r="30" spans="1:14" x14ac:dyDescent="0.25">
      <c r="A30" s="17" t="s">
        <v>71</v>
      </c>
      <c r="B30" s="18">
        <f ca="1">_xll.DBRW($B$1,B$7,B$5,$A30,$B$2,B$6)</f>
        <v>0</v>
      </c>
      <c r="C30" s="18">
        <f ca="1">_xll.DBRW($B$1,C$7,C$5,$A30,$B$2,C$6)</f>
        <v>0</v>
      </c>
      <c r="D30" s="18">
        <f ca="1">_xll.DBRW($B$1,D$7,D$5,$A30,$B$2,D$6)</f>
        <v>0</v>
      </c>
      <c r="E30" s="18"/>
      <c r="F30" s="18">
        <f ca="1">IF($F$2="Restit",_xll.DBRW($B$1,F$7,F$5,$A30,$B$2,F$6),_xll.DBSW(B30,$B$1,F$7,F$5,$A30,$B$2,F$6))</f>
        <v>0</v>
      </c>
      <c r="G30" s="18">
        <f ca="1">IF($F$2="Restit",_xll.DBRW($B$1,G$7,G$5,$A30,$B$2,G$6),_xll.DBSW(C30,$B$1,G$7,G$5,$A30,$B$2,G$6))</f>
        <v>0</v>
      </c>
      <c r="H30" s="18">
        <f ca="1">IF($F$2="Restit",_xll.DBRW($B$1,H$7,H$5,$A30,$B$2,H$6),_xll.DBSW(D30,$B$1,H$7,H$5,$A30,$B$2,H$6))</f>
        <v>0</v>
      </c>
      <c r="I30" s="18"/>
      <c r="J30" s="18">
        <f t="shared" ca="1" si="0"/>
        <v>0</v>
      </c>
      <c r="K30" s="18">
        <f t="shared" ca="1" si="0"/>
        <v>0</v>
      </c>
      <c r="L30" s="18">
        <f t="shared" ca="1" si="0"/>
        <v>0</v>
      </c>
    </row>
    <row r="31" spans="1:14" x14ac:dyDescent="0.25">
      <c r="A31" s="20" t="s">
        <v>72</v>
      </c>
      <c r="B31" s="21">
        <v>1</v>
      </c>
      <c r="C31" s="21">
        <v>1</v>
      </c>
      <c r="D31" s="21">
        <v>1</v>
      </c>
      <c r="E31" s="21"/>
      <c r="F31" s="21">
        <f ca="1">IF($F$2="Restit",_xll.DBRW($B$1,F$7,F$5,$A31,$B$2,F$6),_xll.DBSW(B31,$B$1,F$7,F$5,$A31,$B$2,F$6))</f>
        <v>0</v>
      </c>
      <c r="G31" s="21">
        <f ca="1">IF($F$2="Restit",_xll.DBRW($B$1,G$7,G$5,$A31,$B$2,G$6),_xll.DBSW(C31,$B$1,G$7,G$5,$A31,$B$2,G$6))</f>
        <v>0</v>
      </c>
      <c r="H31" s="21">
        <f ca="1">IF($F$2="Restit",_xll.DBRW($B$1,H$7,H$5,$A31,$B$2,H$6),_xll.DBSW(D31,$B$1,H$7,H$5,$A31,$B$2,H$6))</f>
        <v>0</v>
      </c>
      <c r="I31" s="21"/>
      <c r="J31" s="21">
        <f t="shared" ref="J31:L32" ca="1" si="1">F31-B31</f>
        <v>-1</v>
      </c>
      <c r="K31" s="21">
        <f t="shared" ca="1" si="1"/>
        <v>-1</v>
      </c>
      <c r="L31" s="21">
        <f t="shared" ca="1" si="1"/>
        <v>-1</v>
      </c>
      <c r="N31" s="19"/>
    </row>
    <row r="32" spans="1:14" x14ac:dyDescent="0.25">
      <c r="A32" s="20" t="s">
        <v>73</v>
      </c>
      <c r="B32" s="21">
        <v>1</v>
      </c>
      <c r="C32" s="21">
        <v>1</v>
      </c>
      <c r="D32" s="21">
        <v>1</v>
      </c>
      <c r="E32" s="21"/>
      <c r="F32" s="21">
        <f ca="1">IF($F$2="Restit",_xll.DBRW($B$1,F$7,F$5,$A32,$B$2,F$6),_xll.DBSW(B32,$B$1,F$7,F$5,$A32,$B$2,F$6))</f>
        <v>0</v>
      </c>
      <c r="G32" s="21">
        <f ca="1">IF($F$2="Restit",_xll.DBRW($B$1,G$7,G$5,$A32,$B$2,G$6),_xll.DBSW(C32,$B$1,G$7,G$5,$A32,$B$2,G$6))</f>
        <v>0</v>
      </c>
      <c r="H32" s="21">
        <f ca="1">IF($F$2="Restit",_xll.DBRW($B$1,H$7,H$5,$A32,$B$2,H$6),_xll.DBSW(D32,$B$1,H$7,H$5,$A32,$B$2,H$6))</f>
        <v>0</v>
      </c>
      <c r="I32" s="21"/>
      <c r="J32" s="21">
        <f t="shared" ca="1" si="1"/>
        <v>-1</v>
      </c>
      <c r="K32" s="21">
        <f t="shared" ca="1" si="1"/>
        <v>-1</v>
      </c>
      <c r="L32" s="21">
        <f t="shared" ca="1" si="1"/>
        <v>-1</v>
      </c>
    </row>
  </sheetData>
  <dataValidations count="2">
    <dataValidation type="list" allowBlank="1" showInputMessage="1" showErrorMessage="1" sqref="B5">
      <formula1>"ACT,FC_1_VC,FC_2_VC,BUDG_VC"</formula1>
    </dataValidation>
    <dataValidation type="list" allowBlank="1" showInputMessage="1" showErrorMessage="1" sqref="F2">
      <formula1>"Restit,Envoi"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6" tint="0.39997558519241921"/>
  </sheetPr>
  <dimension ref="A1:N32"/>
  <sheetViews>
    <sheetView zoomScale="80" zoomScaleNormal="80" workbookViewId="0"/>
  </sheetViews>
  <sheetFormatPr baseColWidth="10" defaultRowHeight="15" x14ac:dyDescent="0.25"/>
  <cols>
    <col min="1" max="1" width="18.140625" bestFit="1" customWidth="1"/>
    <col min="2" max="4" width="17" customWidth="1"/>
    <col min="5" max="5" width="3.5703125" customWidth="1"/>
    <col min="6" max="8" width="17" customWidth="1"/>
    <col min="9" max="9" width="4.28515625" customWidth="1"/>
  </cols>
  <sheetData>
    <row r="1" spans="1:12" x14ac:dyDescent="0.25">
      <c r="A1" t="s">
        <v>41</v>
      </c>
      <c r="B1" t="str">
        <f ca="1">_xll.VIEW("Tango_Core_Model:ST_Currency","!","!","!",$B$2,"!")</f>
        <v>Tango_Core_Model:ST_Currency</v>
      </c>
    </row>
    <row r="2" spans="1:12" x14ac:dyDescent="0.25">
      <c r="A2" s="1" t="s">
        <v>42</v>
      </c>
      <c r="B2" t="str">
        <f ca="1">_xll.SUBNM("Tango_Core_Model:CurrencyConvertTo","","EUR")</f>
        <v>EUR</v>
      </c>
      <c r="F2" s="15" t="s">
        <v>43</v>
      </c>
    </row>
    <row r="5" spans="1:12" x14ac:dyDescent="0.25">
      <c r="B5" t="str">
        <f ca="1">Context!E10</f>
        <v>BUDG_VC</v>
      </c>
      <c r="C5" t="str">
        <f ca="1">B5</f>
        <v>BUDG_VC</v>
      </c>
      <c r="D5" t="str">
        <f ca="1">B5</f>
        <v>BUDG_VC</v>
      </c>
      <c r="F5" s="23" t="str">
        <f ca="1">PHASE_LTP</f>
        <v>LTP_2021_VC</v>
      </c>
      <c r="G5" t="str">
        <f ca="1">F5</f>
        <v>LTP_2021_VC</v>
      </c>
      <c r="H5" t="str">
        <f ca="1">F5</f>
        <v>LTP_2021_VC</v>
      </c>
      <c r="J5" t="s">
        <v>45</v>
      </c>
    </row>
    <row r="6" spans="1:12" x14ac:dyDescent="0.25">
      <c r="B6" t="s">
        <v>46</v>
      </c>
      <c r="C6" t="s">
        <v>47</v>
      </c>
      <c r="D6" t="s">
        <v>48</v>
      </c>
      <c r="F6" t="s">
        <v>46</v>
      </c>
      <c r="G6" t="s">
        <v>47</v>
      </c>
      <c r="H6" t="s">
        <v>48</v>
      </c>
      <c r="J6" t="s">
        <v>46</v>
      </c>
      <c r="K6" t="s">
        <v>47</v>
      </c>
      <c r="L6" t="s">
        <v>48</v>
      </c>
    </row>
    <row r="7" spans="1:12" x14ac:dyDescent="0.25">
      <c r="B7" t="str">
        <f ca="1">Context!F10</f>
        <v>2022.12</v>
      </c>
      <c r="C7" t="str">
        <f ca="1">B7</f>
        <v>2022.12</v>
      </c>
      <c r="D7" t="str">
        <f ca="1">B7</f>
        <v>2022.12</v>
      </c>
      <c r="F7" s="16" t="str">
        <f ca="1">"F_Year_"&amp;LEFT(B7,4)</f>
        <v>F_Year_2022</v>
      </c>
      <c r="G7" s="16" t="str">
        <f ca="1">F7</f>
        <v>F_Year_2022</v>
      </c>
      <c r="H7" s="16" t="str">
        <f ca="1">F7</f>
        <v>F_Year_2022</v>
      </c>
    </row>
    <row r="8" spans="1:12" x14ac:dyDescent="0.25">
      <c r="A8" s="17" t="s">
        <v>49</v>
      </c>
      <c r="B8" s="18">
        <f ca="1">_xll.DBRW($B$1,B$7,B$5,$A8,$B$2,B$6)</f>
        <v>0</v>
      </c>
      <c r="C8" s="18">
        <f ca="1">_xll.DBRW($B$1,C$7,C$5,$A8,$B$2,C$6)</f>
        <v>0</v>
      </c>
      <c r="D8" s="18">
        <f ca="1">_xll.DBRW($B$1,D$7,D$5,$A8,$B$2,D$6)</f>
        <v>0</v>
      </c>
      <c r="E8" s="18"/>
      <c r="F8" s="18">
        <f ca="1">IF($F$2="Restit",_xll.DBRW($B$1,F$7,F$5,$A8,$B$2,F$6),_xll.DBSW(B8,$B$1,F$7,F$5,$A8,$B$2,F$6))</f>
        <v>0</v>
      </c>
      <c r="G8" s="18">
        <f ca="1">IF($F$2="Restit",_xll.DBRW($B$1,G$7,G$5,$A8,$B$2,G$6),_xll.DBSW(C8,$B$1,G$7,G$5,$A8,$B$2,G$6))</f>
        <v>0</v>
      </c>
      <c r="H8" s="18">
        <f ca="1">IF($F$2="Restit",_xll.DBRW($B$1,H$7,H$5,$A8,$B$2,H$6),_xll.DBSW(D8,$B$1,H$7,H$5,$A8,$B$2,H$6))</f>
        <v>0</v>
      </c>
      <c r="I8" s="18"/>
      <c r="J8" s="18">
        <f t="shared" ref="J8:L30" ca="1" si="0">F8-B8</f>
        <v>0</v>
      </c>
      <c r="K8" s="18">
        <f t="shared" ca="1" si="0"/>
        <v>0</v>
      </c>
      <c r="L8" s="18">
        <f t="shared" ca="1" si="0"/>
        <v>0</v>
      </c>
    </row>
    <row r="9" spans="1:12" x14ac:dyDescent="0.25">
      <c r="A9" s="17" t="s">
        <v>50</v>
      </c>
      <c r="B9" s="18">
        <f ca="1">_xll.DBRW($B$1,B$7,B$5,$A9,$B$2,B$6)</f>
        <v>0</v>
      </c>
      <c r="C9" s="18">
        <f ca="1">_xll.DBRW($B$1,C$7,C$5,$A9,$B$2,C$6)</f>
        <v>0</v>
      </c>
      <c r="D9" s="18">
        <f ca="1">_xll.DBRW($B$1,D$7,D$5,$A9,$B$2,D$6)</f>
        <v>0</v>
      </c>
      <c r="E9" s="18"/>
      <c r="F9" s="18">
        <f ca="1">IF($F$2="Restit",_xll.DBRW($B$1,F$7,F$5,$A9,$B$2,F$6),_xll.DBSW(B9,$B$1,F$7,F$5,$A9,$B$2,F$6))</f>
        <v>0</v>
      </c>
      <c r="G9" s="18">
        <f ca="1">IF($F$2="Restit",_xll.DBRW($B$1,G$7,G$5,$A9,$B$2,G$6),_xll.DBSW(C9,$B$1,G$7,G$5,$A9,$B$2,G$6))</f>
        <v>0</v>
      </c>
      <c r="H9" s="18">
        <f ca="1">IF($F$2="Restit",_xll.DBRW($B$1,H$7,H$5,$A9,$B$2,H$6),_xll.DBSW(D9,$B$1,H$7,H$5,$A9,$B$2,H$6))</f>
        <v>0</v>
      </c>
      <c r="I9" s="18"/>
      <c r="J9" s="18">
        <f t="shared" ca="1" si="0"/>
        <v>0</v>
      </c>
      <c r="K9" s="18">
        <f t="shared" ca="1" si="0"/>
        <v>0</v>
      </c>
      <c r="L9" s="18">
        <f t="shared" ca="1" si="0"/>
        <v>0</v>
      </c>
    </row>
    <row r="10" spans="1:12" x14ac:dyDescent="0.25">
      <c r="A10" s="17" t="s">
        <v>51</v>
      </c>
      <c r="B10" s="18">
        <f ca="1">_xll.DBRW($B$1,B$7,B$5,$A10,$B$2,B$6)</f>
        <v>0</v>
      </c>
      <c r="C10" s="18">
        <f ca="1">_xll.DBRW($B$1,C$7,C$5,$A10,$B$2,C$6)</f>
        <v>0</v>
      </c>
      <c r="D10" s="18">
        <f ca="1">_xll.DBRW($B$1,D$7,D$5,$A10,$B$2,D$6)</f>
        <v>0</v>
      </c>
      <c r="E10" s="18"/>
      <c r="F10" s="18">
        <f ca="1">IF($F$2="Restit",_xll.DBRW($B$1,F$7,F$5,$A10,$B$2,F$6),_xll.DBSW(B10,$B$1,F$7,F$5,$A10,$B$2,F$6))</f>
        <v>0</v>
      </c>
      <c r="G10" s="18">
        <f ca="1">IF($F$2="Restit",_xll.DBRW($B$1,G$7,G$5,$A10,$B$2,G$6),_xll.DBSW(C10,$B$1,G$7,G$5,$A10,$B$2,G$6))</f>
        <v>0</v>
      </c>
      <c r="H10" s="18">
        <f ca="1">IF($F$2="Restit",_xll.DBRW($B$1,H$7,H$5,$A10,$B$2,H$6),_xll.DBSW(D10,$B$1,H$7,H$5,$A10,$B$2,H$6))</f>
        <v>0</v>
      </c>
      <c r="I10" s="18"/>
      <c r="J10" s="18">
        <f t="shared" ca="1" si="0"/>
        <v>0</v>
      </c>
      <c r="K10" s="18">
        <f t="shared" ca="1" si="0"/>
        <v>0</v>
      </c>
      <c r="L10" s="18">
        <f t="shared" ca="1" si="0"/>
        <v>0</v>
      </c>
    </row>
    <row r="11" spans="1:12" x14ac:dyDescent="0.25">
      <c r="A11" s="17" t="s">
        <v>52</v>
      </c>
      <c r="B11" s="18">
        <f ca="1">_xll.DBRW($B$1,B$7,B$5,$A11,$B$2,B$6)</f>
        <v>0</v>
      </c>
      <c r="C11" s="18">
        <f ca="1">_xll.DBRW($B$1,C$7,C$5,$A11,$B$2,C$6)</f>
        <v>0</v>
      </c>
      <c r="D11" s="18">
        <f ca="1">_xll.DBRW($B$1,D$7,D$5,$A11,$B$2,D$6)</f>
        <v>0</v>
      </c>
      <c r="E11" s="18"/>
      <c r="F11" s="18">
        <f ca="1">IF($F$2="Restit",_xll.DBRW($B$1,F$7,F$5,$A11,$B$2,F$6),_xll.DBSW(B11,$B$1,F$7,F$5,$A11,$B$2,F$6))</f>
        <v>0</v>
      </c>
      <c r="G11" s="18">
        <f ca="1">IF($F$2="Restit",_xll.DBRW($B$1,G$7,G$5,$A11,$B$2,G$6),_xll.DBSW(C11,$B$1,G$7,G$5,$A11,$B$2,G$6))</f>
        <v>0</v>
      </c>
      <c r="H11" s="18">
        <f ca="1">IF($F$2="Restit",_xll.DBRW($B$1,H$7,H$5,$A11,$B$2,H$6),_xll.DBSW(D11,$B$1,H$7,H$5,$A11,$B$2,H$6))</f>
        <v>0</v>
      </c>
      <c r="I11" s="18"/>
      <c r="J11" s="18">
        <f t="shared" ca="1" si="0"/>
        <v>0</v>
      </c>
      <c r="K11" s="18">
        <f t="shared" ca="1" si="0"/>
        <v>0</v>
      </c>
      <c r="L11" s="18">
        <f t="shared" ca="1" si="0"/>
        <v>0</v>
      </c>
    </row>
    <row r="12" spans="1:12" x14ac:dyDescent="0.25">
      <c r="A12" s="17" t="s">
        <v>53</v>
      </c>
      <c r="B12" s="18">
        <f ca="1">_xll.DBRW($B$1,B$7,B$5,$A12,$B$2,B$6)</f>
        <v>0</v>
      </c>
      <c r="C12" s="18">
        <f ca="1">_xll.DBRW($B$1,C$7,C$5,$A12,$B$2,C$6)</f>
        <v>0</v>
      </c>
      <c r="D12" s="18">
        <f ca="1">_xll.DBRW($B$1,D$7,D$5,$A12,$B$2,D$6)</f>
        <v>0</v>
      </c>
      <c r="E12" s="18"/>
      <c r="F12" s="18">
        <f ca="1">IF($F$2="Restit",_xll.DBRW($B$1,F$7,F$5,$A12,$B$2,F$6),_xll.DBSW(B12,$B$1,F$7,F$5,$A12,$B$2,F$6))</f>
        <v>0</v>
      </c>
      <c r="G12" s="18">
        <f ca="1">IF($F$2="Restit",_xll.DBRW($B$1,G$7,G$5,$A12,$B$2,G$6),_xll.DBSW(C12,$B$1,G$7,G$5,$A12,$B$2,G$6))</f>
        <v>0</v>
      </c>
      <c r="H12" s="18">
        <f ca="1">IF($F$2="Restit",_xll.DBRW($B$1,H$7,H$5,$A12,$B$2,H$6),_xll.DBSW(D12,$B$1,H$7,H$5,$A12,$B$2,H$6))</f>
        <v>0</v>
      </c>
      <c r="I12" s="18"/>
      <c r="J12" s="18">
        <f t="shared" ca="1" si="0"/>
        <v>0</v>
      </c>
      <c r="K12" s="18">
        <f t="shared" ca="1" si="0"/>
        <v>0</v>
      </c>
      <c r="L12" s="18">
        <f t="shared" ca="1" si="0"/>
        <v>0</v>
      </c>
    </row>
    <row r="13" spans="1:12" x14ac:dyDescent="0.25">
      <c r="A13" s="17" t="s">
        <v>54</v>
      </c>
      <c r="B13" s="18">
        <f ca="1">_xll.DBRW($B$1,B$7,B$5,$A13,$B$2,B$6)</f>
        <v>0</v>
      </c>
      <c r="C13" s="18">
        <f ca="1">_xll.DBRW($B$1,C$7,C$5,$A13,$B$2,C$6)</f>
        <v>0</v>
      </c>
      <c r="D13" s="18">
        <f ca="1">_xll.DBRW($B$1,D$7,D$5,$A13,$B$2,D$6)</f>
        <v>0</v>
      </c>
      <c r="E13" s="18"/>
      <c r="F13" s="18">
        <f ca="1">IF($F$2="Restit",_xll.DBRW($B$1,F$7,F$5,$A13,$B$2,F$6),_xll.DBSW(B13,$B$1,F$7,F$5,$A13,$B$2,F$6))</f>
        <v>0</v>
      </c>
      <c r="G13" s="18">
        <f ca="1">IF($F$2="Restit",_xll.DBRW($B$1,G$7,G$5,$A13,$B$2,G$6),_xll.DBSW(C13,$B$1,G$7,G$5,$A13,$B$2,G$6))</f>
        <v>0</v>
      </c>
      <c r="H13" s="18">
        <f ca="1">IF($F$2="Restit",_xll.DBRW($B$1,H$7,H$5,$A13,$B$2,H$6),_xll.DBSW(D13,$B$1,H$7,H$5,$A13,$B$2,H$6))</f>
        <v>0</v>
      </c>
      <c r="I13" s="18"/>
      <c r="J13" s="18">
        <f t="shared" ca="1" si="0"/>
        <v>0</v>
      </c>
      <c r="K13" s="18">
        <f t="shared" ca="1" si="0"/>
        <v>0</v>
      </c>
      <c r="L13" s="18">
        <f t="shared" ca="1" si="0"/>
        <v>0</v>
      </c>
    </row>
    <row r="14" spans="1:12" x14ac:dyDescent="0.25">
      <c r="A14" s="17" t="s">
        <v>55</v>
      </c>
      <c r="B14" s="18">
        <f ca="1">_xll.DBRW($B$1,B$7,B$5,$A14,$B$2,B$6)</f>
        <v>0</v>
      </c>
      <c r="C14" s="18">
        <f ca="1">_xll.DBRW($B$1,C$7,C$5,$A14,$B$2,C$6)</f>
        <v>0</v>
      </c>
      <c r="D14" s="18">
        <f ca="1">_xll.DBRW($B$1,D$7,D$5,$A14,$B$2,D$6)</f>
        <v>0</v>
      </c>
      <c r="E14" s="18"/>
      <c r="F14" s="18">
        <f ca="1">IF($F$2="Restit",_xll.DBRW($B$1,F$7,F$5,$A14,$B$2,F$6),_xll.DBSW(B14,$B$1,F$7,F$5,$A14,$B$2,F$6))</f>
        <v>0</v>
      </c>
      <c r="G14" s="18">
        <f ca="1">IF($F$2="Restit",_xll.DBRW($B$1,G$7,G$5,$A14,$B$2,G$6),_xll.DBSW(C14,$B$1,G$7,G$5,$A14,$B$2,G$6))</f>
        <v>0</v>
      </c>
      <c r="H14" s="18">
        <f ca="1">IF($F$2="Restit",_xll.DBRW($B$1,H$7,H$5,$A14,$B$2,H$6),_xll.DBSW(D14,$B$1,H$7,H$5,$A14,$B$2,H$6))</f>
        <v>0</v>
      </c>
      <c r="I14" s="18"/>
      <c r="J14" s="18">
        <f t="shared" ca="1" si="0"/>
        <v>0</v>
      </c>
      <c r="K14" s="18">
        <f t="shared" ca="1" si="0"/>
        <v>0</v>
      </c>
      <c r="L14" s="18">
        <f t="shared" ca="1" si="0"/>
        <v>0</v>
      </c>
    </row>
    <row r="15" spans="1:12" x14ac:dyDescent="0.25">
      <c r="A15" s="17" t="s">
        <v>56</v>
      </c>
      <c r="B15" s="18">
        <f ca="1">_xll.DBRW($B$1,B$7,B$5,$A15,$B$2,B$6)</f>
        <v>0</v>
      </c>
      <c r="C15" s="18">
        <f ca="1">_xll.DBRW($B$1,C$7,C$5,$A15,$B$2,C$6)</f>
        <v>0</v>
      </c>
      <c r="D15" s="18">
        <f ca="1">_xll.DBRW($B$1,D$7,D$5,$A15,$B$2,D$6)</f>
        <v>0</v>
      </c>
      <c r="E15" s="18"/>
      <c r="F15" s="18">
        <f ca="1">IF($F$2="Restit",_xll.DBRW($B$1,F$7,F$5,$A15,$B$2,F$6),_xll.DBSW(B15,$B$1,F$7,F$5,$A15,$B$2,F$6))</f>
        <v>0</v>
      </c>
      <c r="G15" s="18">
        <f ca="1">IF($F$2="Restit",_xll.DBRW($B$1,G$7,G$5,$A15,$B$2,G$6),_xll.DBSW(C15,$B$1,G$7,G$5,$A15,$B$2,G$6))</f>
        <v>0</v>
      </c>
      <c r="H15" s="18">
        <f ca="1">IF($F$2="Restit",_xll.DBRW($B$1,H$7,H$5,$A15,$B$2,H$6),_xll.DBSW(D15,$B$1,H$7,H$5,$A15,$B$2,H$6))</f>
        <v>0</v>
      </c>
      <c r="I15" s="18"/>
      <c r="J15" s="18">
        <f t="shared" ca="1" si="0"/>
        <v>0</v>
      </c>
      <c r="K15" s="18">
        <f t="shared" ca="1" si="0"/>
        <v>0</v>
      </c>
      <c r="L15" s="18">
        <f t="shared" ca="1" si="0"/>
        <v>0</v>
      </c>
    </row>
    <row r="16" spans="1:12" x14ac:dyDescent="0.25">
      <c r="A16" s="17" t="s">
        <v>57</v>
      </c>
      <c r="B16" s="18">
        <f ca="1">_xll.DBRW($B$1,B$7,B$5,$A16,$B$2,B$6)</f>
        <v>0</v>
      </c>
      <c r="C16" s="18">
        <f ca="1">_xll.DBRW($B$1,C$7,C$5,$A16,$B$2,C$6)</f>
        <v>0</v>
      </c>
      <c r="D16" s="18">
        <f ca="1">_xll.DBRW($B$1,D$7,D$5,$A16,$B$2,D$6)</f>
        <v>0</v>
      </c>
      <c r="E16" s="18"/>
      <c r="F16" s="18">
        <f ca="1">IF($F$2="Restit",_xll.DBRW($B$1,F$7,F$5,$A16,$B$2,F$6),_xll.DBSW(B16,$B$1,F$7,F$5,$A16,$B$2,F$6))</f>
        <v>0</v>
      </c>
      <c r="G16" s="18">
        <f ca="1">IF($F$2="Restit",_xll.DBRW($B$1,G$7,G$5,$A16,$B$2,G$6),_xll.DBSW(C16,$B$1,G$7,G$5,$A16,$B$2,G$6))</f>
        <v>0</v>
      </c>
      <c r="H16" s="18">
        <f ca="1">IF($F$2="Restit",_xll.DBRW($B$1,H$7,H$5,$A16,$B$2,H$6),_xll.DBSW(D16,$B$1,H$7,H$5,$A16,$B$2,H$6))</f>
        <v>0</v>
      </c>
      <c r="I16" s="18"/>
      <c r="J16" s="18">
        <f t="shared" ca="1" si="0"/>
        <v>0</v>
      </c>
      <c r="K16" s="18">
        <f t="shared" ca="1" si="0"/>
        <v>0</v>
      </c>
      <c r="L16" s="18">
        <f t="shared" ca="1" si="0"/>
        <v>0</v>
      </c>
    </row>
    <row r="17" spans="1:14" x14ac:dyDescent="0.25">
      <c r="A17" s="17" t="s">
        <v>58</v>
      </c>
      <c r="B17" s="18">
        <f ca="1">_xll.DBRW($B$1,B$7,B$5,$A17,$B$2,B$6)</f>
        <v>0</v>
      </c>
      <c r="C17" s="18">
        <f ca="1">_xll.DBRW($B$1,C$7,C$5,$A17,$B$2,C$6)</f>
        <v>0</v>
      </c>
      <c r="D17" s="18">
        <f ca="1">_xll.DBRW($B$1,D$7,D$5,$A17,$B$2,D$6)</f>
        <v>0</v>
      </c>
      <c r="E17" s="18"/>
      <c r="F17" s="18">
        <f ca="1">IF($F$2="Restit",_xll.DBRW($B$1,F$7,F$5,$A17,$B$2,F$6),_xll.DBSW(B17,$B$1,F$7,F$5,$A17,$B$2,F$6))</f>
        <v>0</v>
      </c>
      <c r="G17" s="18">
        <f ca="1">IF($F$2="Restit",_xll.DBRW($B$1,G$7,G$5,$A17,$B$2,G$6),_xll.DBSW(C17,$B$1,G$7,G$5,$A17,$B$2,G$6))</f>
        <v>0</v>
      </c>
      <c r="H17" s="18">
        <f ca="1">IF($F$2="Restit",_xll.DBRW($B$1,H$7,H$5,$A17,$B$2,H$6),_xll.DBSW(D17,$B$1,H$7,H$5,$A17,$B$2,H$6))</f>
        <v>0</v>
      </c>
      <c r="I17" s="18"/>
      <c r="J17" s="18">
        <f t="shared" ca="1" si="0"/>
        <v>0</v>
      </c>
      <c r="K17" s="18">
        <f t="shared" ca="1" si="0"/>
        <v>0</v>
      </c>
      <c r="L17" s="18">
        <f t="shared" ca="1" si="0"/>
        <v>0</v>
      </c>
    </row>
    <row r="18" spans="1:14" x14ac:dyDescent="0.25">
      <c r="A18" s="17" t="s">
        <v>59</v>
      </c>
      <c r="B18" s="18">
        <f ca="1">_xll.DBRW($B$1,B$7,B$5,$A18,$B$2,B$6)</f>
        <v>0</v>
      </c>
      <c r="C18" s="18">
        <f ca="1">_xll.DBRW($B$1,C$7,C$5,$A18,$B$2,C$6)</f>
        <v>0</v>
      </c>
      <c r="D18" s="18">
        <f ca="1">_xll.DBRW($B$1,D$7,D$5,$A18,$B$2,D$6)</f>
        <v>0</v>
      </c>
      <c r="E18" s="18"/>
      <c r="F18" s="18">
        <f ca="1">IF($F$2="Restit",_xll.DBRW($B$1,F$7,F$5,$A18,$B$2,F$6),_xll.DBSW(B18,$B$1,F$7,F$5,$A18,$B$2,F$6))</f>
        <v>0</v>
      </c>
      <c r="G18" s="18">
        <f ca="1">IF($F$2="Restit",_xll.DBRW($B$1,G$7,G$5,$A18,$B$2,G$6),_xll.DBSW(C18,$B$1,G$7,G$5,$A18,$B$2,G$6))</f>
        <v>0</v>
      </c>
      <c r="H18" s="18">
        <f ca="1">IF($F$2="Restit",_xll.DBRW($B$1,H$7,H$5,$A18,$B$2,H$6),_xll.DBSW(D18,$B$1,H$7,H$5,$A18,$B$2,H$6))</f>
        <v>0</v>
      </c>
      <c r="I18" s="18"/>
      <c r="J18" s="18">
        <f t="shared" ca="1" si="0"/>
        <v>0</v>
      </c>
      <c r="K18" s="18">
        <f t="shared" ca="1" si="0"/>
        <v>0</v>
      </c>
      <c r="L18" s="18">
        <f t="shared" ca="1" si="0"/>
        <v>0</v>
      </c>
    </row>
    <row r="19" spans="1:14" x14ac:dyDescent="0.25">
      <c r="A19" s="17" t="s">
        <v>60</v>
      </c>
      <c r="B19" s="18">
        <f ca="1">_xll.DBRW($B$1,B$7,B$5,$A19,$B$2,B$6)</f>
        <v>0</v>
      </c>
      <c r="C19" s="18">
        <f ca="1">_xll.DBRW($B$1,C$7,C$5,$A19,$B$2,C$6)</f>
        <v>0</v>
      </c>
      <c r="D19" s="18">
        <f ca="1">_xll.DBRW($B$1,D$7,D$5,$A19,$B$2,D$6)</f>
        <v>0</v>
      </c>
      <c r="E19" s="18"/>
      <c r="F19" s="18">
        <f ca="1">IF($F$2="Restit",_xll.DBRW($B$1,F$7,F$5,$A19,$B$2,F$6),_xll.DBSW(B19,$B$1,F$7,F$5,$A19,$B$2,F$6))</f>
        <v>0</v>
      </c>
      <c r="G19" s="18">
        <f ca="1">IF($F$2="Restit",_xll.DBRW($B$1,G$7,G$5,$A19,$B$2,G$6),_xll.DBSW(C19,$B$1,G$7,G$5,$A19,$B$2,G$6))</f>
        <v>0</v>
      </c>
      <c r="H19" s="18">
        <f ca="1">IF($F$2="Restit",_xll.DBRW($B$1,H$7,H$5,$A19,$B$2,H$6),_xll.DBSW(D19,$B$1,H$7,H$5,$A19,$B$2,H$6))</f>
        <v>0</v>
      </c>
      <c r="I19" s="18"/>
      <c r="J19" s="18">
        <f t="shared" ca="1" si="0"/>
        <v>0</v>
      </c>
      <c r="K19" s="18">
        <f t="shared" ca="1" si="0"/>
        <v>0</v>
      </c>
      <c r="L19" s="18">
        <f t="shared" ca="1" si="0"/>
        <v>0</v>
      </c>
    </row>
    <row r="20" spans="1:14" x14ac:dyDescent="0.25">
      <c r="A20" s="17" t="s">
        <v>61</v>
      </c>
      <c r="B20" s="18">
        <f ca="1">_xll.DBRW($B$1,B$7,B$5,$A20,$B$2,B$6)</f>
        <v>0</v>
      </c>
      <c r="C20" s="18">
        <f ca="1">_xll.DBRW($B$1,C$7,C$5,$A20,$B$2,C$6)</f>
        <v>0</v>
      </c>
      <c r="D20" s="18">
        <f ca="1">_xll.DBRW($B$1,D$7,D$5,$A20,$B$2,D$6)</f>
        <v>0</v>
      </c>
      <c r="E20" s="18"/>
      <c r="F20" s="18">
        <f ca="1">IF($F$2="Restit",_xll.DBRW($B$1,F$7,F$5,$A20,$B$2,F$6),_xll.DBSW(B20,$B$1,F$7,F$5,$A20,$B$2,F$6))</f>
        <v>0</v>
      </c>
      <c r="G20" s="18">
        <f ca="1">IF($F$2="Restit",_xll.DBRW($B$1,G$7,G$5,$A20,$B$2,G$6),_xll.DBSW(C20,$B$1,G$7,G$5,$A20,$B$2,G$6))</f>
        <v>0</v>
      </c>
      <c r="H20" s="18">
        <f ca="1">IF($F$2="Restit",_xll.DBRW($B$1,H$7,H$5,$A20,$B$2,H$6),_xll.DBSW(D20,$B$1,H$7,H$5,$A20,$B$2,H$6))</f>
        <v>0</v>
      </c>
      <c r="I20" s="18"/>
      <c r="J20" s="18">
        <f t="shared" ca="1" si="0"/>
        <v>0</v>
      </c>
      <c r="K20" s="18">
        <f t="shared" ca="1" si="0"/>
        <v>0</v>
      </c>
      <c r="L20" s="18">
        <f t="shared" ca="1" si="0"/>
        <v>0</v>
      </c>
    </row>
    <row r="21" spans="1:14" x14ac:dyDescent="0.25">
      <c r="A21" s="17" t="s">
        <v>62</v>
      </c>
      <c r="B21" s="18">
        <f ca="1">_xll.DBRW($B$1,B$7,B$5,$A21,$B$2,B$6)</f>
        <v>0</v>
      </c>
      <c r="C21" s="18">
        <f ca="1">_xll.DBRW($B$1,C$7,C$5,$A21,$B$2,C$6)</f>
        <v>0</v>
      </c>
      <c r="D21" s="18">
        <f ca="1">_xll.DBRW($B$1,D$7,D$5,$A21,$B$2,D$6)</f>
        <v>0</v>
      </c>
      <c r="E21" s="18"/>
      <c r="F21" s="18">
        <f ca="1">IF($F$2="Restit",_xll.DBRW($B$1,F$7,F$5,$A21,$B$2,F$6),_xll.DBSW(B21,$B$1,F$7,F$5,$A21,$B$2,F$6))</f>
        <v>0</v>
      </c>
      <c r="G21" s="18">
        <f ca="1">IF($F$2="Restit",_xll.DBRW($B$1,G$7,G$5,$A21,$B$2,G$6),_xll.DBSW(C21,$B$1,G$7,G$5,$A21,$B$2,G$6))</f>
        <v>0</v>
      </c>
      <c r="H21" s="18">
        <f ca="1">IF($F$2="Restit",_xll.DBRW($B$1,H$7,H$5,$A21,$B$2,H$6),_xll.DBSW(D21,$B$1,H$7,H$5,$A21,$B$2,H$6))</f>
        <v>0</v>
      </c>
      <c r="I21" s="18"/>
      <c r="J21" s="18">
        <f t="shared" ca="1" si="0"/>
        <v>0</v>
      </c>
      <c r="K21" s="18">
        <f t="shared" ca="1" si="0"/>
        <v>0</v>
      </c>
      <c r="L21" s="18">
        <f t="shared" ca="1" si="0"/>
        <v>0</v>
      </c>
    </row>
    <row r="22" spans="1:14" x14ac:dyDescent="0.25">
      <c r="A22" s="17" t="s">
        <v>63</v>
      </c>
      <c r="B22" s="18">
        <f ca="1">_xll.DBRW($B$1,B$7,B$5,$A22,$B$2,B$6)</f>
        <v>0</v>
      </c>
      <c r="C22" s="18">
        <f ca="1">_xll.DBRW($B$1,C$7,C$5,$A22,$B$2,C$6)</f>
        <v>0</v>
      </c>
      <c r="D22" s="18">
        <f ca="1">_xll.DBRW($B$1,D$7,D$5,$A22,$B$2,D$6)</f>
        <v>0</v>
      </c>
      <c r="E22" s="18"/>
      <c r="F22" s="18">
        <f ca="1">IF($F$2="Restit",_xll.DBRW($B$1,F$7,F$5,$A22,$B$2,F$6),_xll.DBSW(B22,$B$1,F$7,F$5,$A22,$B$2,F$6))</f>
        <v>0</v>
      </c>
      <c r="G22" s="18">
        <f ca="1">IF($F$2="Restit",_xll.DBRW($B$1,G$7,G$5,$A22,$B$2,G$6),_xll.DBSW(C22,$B$1,G$7,G$5,$A22,$B$2,G$6))</f>
        <v>0</v>
      </c>
      <c r="H22" s="18">
        <f ca="1">IF($F$2="Restit",_xll.DBRW($B$1,H$7,H$5,$A22,$B$2,H$6),_xll.DBSW(D22,$B$1,H$7,H$5,$A22,$B$2,H$6))</f>
        <v>0</v>
      </c>
      <c r="I22" s="18"/>
      <c r="J22" s="18">
        <f t="shared" ca="1" si="0"/>
        <v>0</v>
      </c>
      <c r="K22" s="18">
        <f t="shared" ca="1" si="0"/>
        <v>0</v>
      </c>
      <c r="L22" s="18">
        <f t="shared" ca="1" si="0"/>
        <v>0</v>
      </c>
    </row>
    <row r="23" spans="1:14" x14ac:dyDescent="0.25">
      <c r="A23" s="17" t="s">
        <v>64</v>
      </c>
      <c r="B23" s="18">
        <f ca="1">_xll.DBRW($B$1,B$7,B$5,$A23,$B$2,B$6)</f>
        <v>0</v>
      </c>
      <c r="C23" s="18">
        <f ca="1">_xll.DBRW($B$1,C$7,C$5,$A23,$B$2,C$6)</f>
        <v>0</v>
      </c>
      <c r="D23" s="18">
        <f ca="1">_xll.DBRW($B$1,D$7,D$5,$A23,$B$2,D$6)</f>
        <v>0</v>
      </c>
      <c r="E23" s="18"/>
      <c r="F23" s="18">
        <f ca="1">IF($F$2="Restit",_xll.DBRW($B$1,F$7,F$5,$A23,$B$2,F$6),_xll.DBSW(B23,$B$1,F$7,F$5,$A23,$B$2,F$6))</f>
        <v>0</v>
      </c>
      <c r="G23" s="18">
        <f ca="1">IF($F$2="Restit",_xll.DBRW($B$1,G$7,G$5,$A23,$B$2,G$6),_xll.DBSW(C23,$B$1,G$7,G$5,$A23,$B$2,G$6))</f>
        <v>0</v>
      </c>
      <c r="H23" s="18">
        <f ca="1">IF($F$2="Restit",_xll.DBRW($B$1,H$7,H$5,$A23,$B$2,H$6),_xll.DBSW(D23,$B$1,H$7,H$5,$A23,$B$2,H$6))</f>
        <v>0</v>
      </c>
      <c r="I23" s="18"/>
      <c r="J23" s="18">
        <f t="shared" ca="1" si="0"/>
        <v>0</v>
      </c>
      <c r="K23" s="18">
        <f t="shared" ca="1" si="0"/>
        <v>0</v>
      </c>
      <c r="L23" s="18">
        <f t="shared" ca="1" si="0"/>
        <v>0</v>
      </c>
    </row>
    <row r="24" spans="1:14" x14ac:dyDescent="0.25">
      <c r="A24" s="17" t="s">
        <v>65</v>
      </c>
      <c r="B24" s="18">
        <f ca="1">_xll.DBRW($B$1,B$7,B$5,$A24,$B$2,B$6)</f>
        <v>0</v>
      </c>
      <c r="C24" s="18">
        <f ca="1">_xll.DBRW($B$1,C$7,C$5,$A24,$B$2,C$6)</f>
        <v>0</v>
      </c>
      <c r="D24" s="18">
        <f ca="1">_xll.DBRW($B$1,D$7,D$5,$A24,$B$2,D$6)</f>
        <v>0</v>
      </c>
      <c r="E24" s="18"/>
      <c r="F24" s="18">
        <f ca="1">IF($F$2="Restit",_xll.DBRW($B$1,F$7,F$5,$A24,$B$2,F$6),_xll.DBSW(B24,$B$1,F$7,F$5,$A24,$B$2,F$6))</f>
        <v>0</v>
      </c>
      <c r="G24" s="18">
        <f ca="1">IF($F$2="Restit",_xll.DBRW($B$1,G$7,G$5,$A24,$B$2,G$6),_xll.DBSW(C24,$B$1,G$7,G$5,$A24,$B$2,G$6))</f>
        <v>0</v>
      </c>
      <c r="H24" s="18">
        <f ca="1">IF($F$2="Restit",_xll.DBRW($B$1,H$7,H$5,$A24,$B$2,H$6),_xll.DBSW(D24,$B$1,H$7,H$5,$A24,$B$2,H$6))</f>
        <v>0</v>
      </c>
      <c r="I24" s="18"/>
      <c r="J24" s="18">
        <f t="shared" ca="1" si="0"/>
        <v>0</v>
      </c>
      <c r="K24" s="18">
        <f t="shared" ca="1" si="0"/>
        <v>0</v>
      </c>
      <c r="L24" s="18">
        <f t="shared" ca="1" si="0"/>
        <v>0</v>
      </c>
    </row>
    <row r="25" spans="1:14" x14ac:dyDescent="0.25">
      <c r="A25" s="17" t="s">
        <v>66</v>
      </c>
      <c r="B25" s="18">
        <f ca="1">_xll.DBRW($B$1,B$7,B$5,$A25,$B$2,B$6)</f>
        <v>0</v>
      </c>
      <c r="C25" s="18">
        <f ca="1">_xll.DBRW($B$1,C$7,C$5,$A25,$B$2,C$6)</f>
        <v>0</v>
      </c>
      <c r="D25" s="18">
        <f ca="1">_xll.DBRW($B$1,D$7,D$5,$A25,$B$2,D$6)</f>
        <v>0</v>
      </c>
      <c r="E25" s="18"/>
      <c r="F25" s="18">
        <f ca="1">IF($F$2="Restit",_xll.DBRW($B$1,F$7,F$5,$A25,$B$2,F$6),_xll.DBSW(B25,$B$1,F$7,F$5,$A25,$B$2,F$6))</f>
        <v>0</v>
      </c>
      <c r="G25" s="18">
        <f ca="1">IF($F$2="Restit",_xll.DBRW($B$1,G$7,G$5,$A25,$B$2,G$6),_xll.DBSW(C25,$B$1,G$7,G$5,$A25,$B$2,G$6))</f>
        <v>0</v>
      </c>
      <c r="H25" s="18">
        <f ca="1">IF($F$2="Restit",_xll.DBRW($B$1,H$7,H$5,$A25,$B$2,H$6),_xll.DBSW(D25,$B$1,H$7,H$5,$A25,$B$2,H$6))</f>
        <v>0</v>
      </c>
      <c r="I25" s="18"/>
      <c r="J25" s="18">
        <f t="shared" ca="1" si="0"/>
        <v>0</v>
      </c>
      <c r="K25" s="18">
        <f t="shared" ca="1" si="0"/>
        <v>0</v>
      </c>
      <c r="L25" s="18">
        <f t="shared" ca="1" si="0"/>
        <v>0</v>
      </c>
    </row>
    <row r="26" spans="1:14" x14ac:dyDescent="0.25">
      <c r="A26" s="17" t="s">
        <v>67</v>
      </c>
      <c r="B26" s="18">
        <f ca="1">_xll.DBRW($B$1,B$7,B$5,$A26,$B$2,B$6)</f>
        <v>0</v>
      </c>
      <c r="C26" s="18">
        <f ca="1">_xll.DBRW($B$1,C$7,C$5,$A26,$B$2,C$6)</f>
        <v>0</v>
      </c>
      <c r="D26" s="18">
        <f ca="1">_xll.DBRW($B$1,D$7,D$5,$A26,$B$2,D$6)</f>
        <v>0</v>
      </c>
      <c r="E26" s="18"/>
      <c r="F26" s="18">
        <f ca="1">IF($F$2="Restit",_xll.DBRW($B$1,F$7,F$5,$A26,$B$2,F$6),_xll.DBSW(B26,$B$1,F$7,F$5,$A26,$B$2,F$6))</f>
        <v>0</v>
      </c>
      <c r="G26" s="18">
        <f ca="1">IF($F$2="Restit",_xll.DBRW($B$1,G$7,G$5,$A26,$B$2,G$6),_xll.DBSW(C26,$B$1,G$7,G$5,$A26,$B$2,G$6))</f>
        <v>0</v>
      </c>
      <c r="H26" s="18">
        <f ca="1">IF($F$2="Restit",_xll.DBRW($B$1,H$7,H$5,$A26,$B$2,H$6),_xll.DBSW(D26,$B$1,H$7,H$5,$A26,$B$2,H$6))</f>
        <v>0</v>
      </c>
      <c r="I26" s="18"/>
      <c r="J26" s="18">
        <f t="shared" ca="1" si="0"/>
        <v>0</v>
      </c>
      <c r="K26" s="18">
        <f t="shared" ca="1" si="0"/>
        <v>0</v>
      </c>
      <c r="L26" s="18">
        <f t="shared" ca="1" si="0"/>
        <v>0</v>
      </c>
    </row>
    <row r="27" spans="1:14" x14ac:dyDescent="0.25">
      <c r="A27" s="17" t="s">
        <v>68</v>
      </c>
      <c r="B27" s="18">
        <f ca="1">_xll.DBRW($B$1,B$7,B$5,$A27,$B$2,B$6)</f>
        <v>0</v>
      </c>
      <c r="C27" s="18">
        <f ca="1">_xll.DBRW($B$1,C$7,C$5,$A27,$B$2,C$6)</f>
        <v>0</v>
      </c>
      <c r="D27" s="18">
        <f ca="1">_xll.DBRW($B$1,D$7,D$5,$A27,$B$2,D$6)</f>
        <v>0</v>
      </c>
      <c r="E27" s="18"/>
      <c r="F27" s="18">
        <f ca="1">IF($F$2="Restit",_xll.DBRW($B$1,F$7,F$5,$A27,$B$2,F$6),_xll.DBSW(B27,$B$1,F$7,F$5,$A27,$B$2,F$6))</f>
        <v>0</v>
      </c>
      <c r="G27" s="18">
        <f ca="1">IF($F$2="Restit",_xll.DBRW($B$1,G$7,G$5,$A27,$B$2,G$6),_xll.DBSW(C27,$B$1,G$7,G$5,$A27,$B$2,G$6))</f>
        <v>0</v>
      </c>
      <c r="H27" s="18">
        <f ca="1">IF($F$2="Restit",_xll.DBRW($B$1,H$7,H$5,$A27,$B$2,H$6),_xll.DBSW(D27,$B$1,H$7,H$5,$A27,$B$2,H$6))</f>
        <v>0</v>
      </c>
      <c r="I27" s="18"/>
      <c r="J27" s="18">
        <f t="shared" ca="1" si="0"/>
        <v>0</v>
      </c>
      <c r="K27" s="18">
        <f t="shared" ca="1" si="0"/>
        <v>0</v>
      </c>
      <c r="L27" s="18">
        <f t="shared" ca="1" si="0"/>
        <v>0</v>
      </c>
    </row>
    <row r="28" spans="1:14" x14ac:dyDescent="0.25">
      <c r="A28" s="17" t="s">
        <v>69</v>
      </c>
      <c r="B28" s="18">
        <f ca="1">_xll.DBRW($B$1,B$7,B$5,$A28,$B$2,B$6)</f>
        <v>0</v>
      </c>
      <c r="C28" s="18">
        <f ca="1">_xll.DBRW($B$1,C$7,C$5,$A28,$B$2,C$6)</f>
        <v>0</v>
      </c>
      <c r="D28" s="18">
        <f ca="1">_xll.DBRW($B$1,D$7,D$5,$A28,$B$2,D$6)</f>
        <v>0</v>
      </c>
      <c r="E28" s="18"/>
      <c r="F28" s="18">
        <f ca="1">IF($F$2="Restit",_xll.DBRW($B$1,F$7,F$5,$A28,$B$2,F$6),_xll.DBSW(B28,$B$1,F$7,F$5,$A28,$B$2,F$6))</f>
        <v>0</v>
      </c>
      <c r="G28" s="18">
        <f ca="1">IF($F$2="Restit",_xll.DBRW($B$1,G$7,G$5,$A28,$B$2,G$6),_xll.DBSW(C28,$B$1,G$7,G$5,$A28,$B$2,G$6))</f>
        <v>0</v>
      </c>
      <c r="H28" s="18">
        <f ca="1">IF($F$2="Restit",_xll.DBRW($B$1,H$7,H$5,$A28,$B$2,H$6),_xll.DBSW(D28,$B$1,H$7,H$5,$A28,$B$2,H$6))</f>
        <v>0</v>
      </c>
      <c r="I28" s="18"/>
      <c r="J28" s="18">
        <f t="shared" ca="1" si="0"/>
        <v>0</v>
      </c>
      <c r="K28" s="18">
        <f t="shared" ca="1" si="0"/>
        <v>0</v>
      </c>
      <c r="L28" s="18">
        <f t="shared" ca="1" si="0"/>
        <v>0</v>
      </c>
    </row>
    <row r="29" spans="1:14" x14ac:dyDescent="0.25">
      <c r="A29" s="17" t="s">
        <v>70</v>
      </c>
      <c r="B29" s="18">
        <f ca="1">_xll.DBRW($B$1,B$7,B$5,$A29,$B$2,B$6)</f>
        <v>0</v>
      </c>
      <c r="C29" s="18">
        <f ca="1">_xll.DBRW($B$1,C$7,C$5,$A29,$B$2,C$6)</f>
        <v>0</v>
      </c>
      <c r="D29" s="18">
        <f ca="1">_xll.DBRW($B$1,D$7,D$5,$A29,$B$2,D$6)</f>
        <v>0</v>
      </c>
      <c r="E29" s="18"/>
      <c r="F29" s="18">
        <f ca="1">IF($F$2="Restit",_xll.DBRW($B$1,F$7,F$5,$A29,$B$2,F$6),_xll.DBSW(B29,$B$1,F$7,F$5,$A29,$B$2,F$6))</f>
        <v>0</v>
      </c>
      <c r="G29" s="18">
        <f ca="1">IF($F$2="Restit",_xll.DBRW($B$1,G$7,G$5,$A29,$B$2,G$6),_xll.DBSW(C29,$B$1,G$7,G$5,$A29,$B$2,G$6))</f>
        <v>0</v>
      </c>
      <c r="H29" s="18">
        <f ca="1">IF($F$2="Restit",_xll.DBRW($B$1,H$7,H$5,$A29,$B$2,H$6),_xll.DBSW(D29,$B$1,H$7,H$5,$A29,$B$2,H$6))</f>
        <v>0</v>
      </c>
      <c r="I29" s="18"/>
      <c r="J29" s="18">
        <f t="shared" ca="1" si="0"/>
        <v>0</v>
      </c>
      <c r="K29" s="18">
        <f t="shared" ca="1" si="0"/>
        <v>0</v>
      </c>
      <c r="L29" s="18">
        <f t="shared" ca="1" si="0"/>
        <v>0</v>
      </c>
    </row>
    <row r="30" spans="1:14" x14ac:dyDescent="0.25">
      <c r="A30" s="17" t="s">
        <v>71</v>
      </c>
      <c r="B30" s="18">
        <f ca="1">_xll.DBRW($B$1,B$7,B$5,$A30,$B$2,B$6)</f>
        <v>0</v>
      </c>
      <c r="C30" s="18">
        <f ca="1">_xll.DBRW($B$1,C$7,C$5,$A30,$B$2,C$6)</f>
        <v>0</v>
      </c>
      <c r="D30" s="18">
        <f ca="1">_xll.DBRW($B$1,D$7,D$5,$A30,$B$2,D$6)</f>
        <v>0</v>
      </c>
      <c r="E30" s="18"/>
      <c r="F30" s="18">
        <f ca="1">IF($F$2="Restit",_xll.DBRW($B$1,F$7,F$5,$A30,$B$2,F$6),_xll.DBSW(B30,$B$1,F$7,F$5,$A30,$B$2,F$6))</f>
        <v>0</v>
      </c>
      <c r="G30" s="18">
        <f ca="1">IF($F$2="Restit",_xll.DBRW($B$1,G$7,G$5,$A30,$B$2,G$6),_xll.DBSW(C30,$B$1,G$7,G$5,$A30,$B$2,G$6))</f>
        <v>0</v>
      </c>
      <c r="H30" s="18">
        <f ca="1">IF($F$2="Restit",_xll.DBRW($B$1,H$7,H$5,$A30,$B$2,H$6),_xll.DBSW(D30,$B$1,H$7,H$5,$A30,$B$2,H$6))</f>
        <v>0</v>
      </c>
      <c r="I30" s="18"/>
      <c r="J30" s="18">
        <f t="shared" ca="1" si="0"/>
        <v>0</v>
      </c>
      <c r="K30" s="18">
        <f t="shared" ca="1" si="0"/>
        <v>0</v>
      </c>
      <c r="L30" s="18">
        <f t="shared" ca="1" si="0"/>
        <v>0</v>
      </c>
    </row>
    <row r="31" spans="1:14" x14ac:dyDescent="0.25">
      <c r="A31" s="20" t="s">
        <v>72</v>
      </c>
      <c r="B31" s="21">
        <f ca="1">_xll.DBRW($B$1,B$7,B$5,$A31,$B$2,B$6)</f>
        <v>0</v>
      </c>
      <c r="C31" s="21">
        <f ca="1">_xll.DBRW($B$1,C$7,C$5,$A31,$B$2,C$6)</f>
        <v>0</v>
      </c>
      <c r="D31" s="21">
        <f ca="1">_xll.DBRW($B$1,D$7,D$5,$A31,$B$2,D$6)</f>
        <v>0</v>
      </c>
      <c r="E31" s="21"/>
      <c r="F31" s="21">
        <f ca="1">IF($F$2="Restit",_xll.DBRW($B$1,F$7,F$5,$A31,$B$2,F$6),_xll.DBSW(B31,$B$1,F$7,F$5,$A31,$B$2,F$6))</f>
        <v>0</v>
      </c>
      <c r="G31" s="21">
        <f ca="1">IF($F$2="Restit",_xll.DBRW($B$1,G$7,G$5,$A31,$B$2,G$6),_xll.DBSW(C31,$B$1,G$7,G$5,$A31,$B$2,G$6))</f>
        <v>0</v>
      </c>
      <c r="H31" s="21">
        <f ca="1">IF($F$2="Restit",_xll.DBRW($B$1,H$7,H$5,$A31,$B$2,H$6),_xll.DBSW(D31,$B$1,H$7,H$5,$A31,$B$2,H$6))</f>
        <v>0</v>
      </c>
      <c r="I31" s="21"/>
      <c r="J31" s="21">
        <f t="shared" ref="J31:J32" ca="1" si="1">F31-B31</f>
        <v>0</v>
      </c>
      <c r="K31" s="21">
        <f t="shared" ref="K31:K32" ca="1" si="2">G31-C31</f>
        <v>0</v>
      </c>
      <c r="L31" s="21">
        <f t="shared" ref="L31:L32" ca="1" si="3">H31-D31</f>
        <v>0</v>
      </c>
      <c r="N31" s="19"/>
    </row>
    <row r="32" spans="1:14" x14ac:dyDescent="0.25">
      <c r="A32" s="20" t="s">
        <v>73</v>
      </c>
      <c r="B32" s="21">
        <f ca="1">_xll.DBRW($B$1,B$7,B$5,$A32,$B$2,B$6)</f>
        <v>0</v>
      </c>
      <c r="C32" s="21">
        <f ca="1">_xll.DBRW($B$1,C$7,C$5,$A32,$B$2,C$6)</f>
        <v>0</v>
      </c>
      <c r="D32" s="21">
        <f ca="1">_xll.DBRW($B$1,D$7,D$5,$A32,$B$2,D$6)</f>
        <v>0</v>
      </c>
      <c r="E32" s="21"/>
      <c r="F32" s="21">
        <f ca="1">IF($F$2="Restit",_xll.DBRW($B$1,F$7,F$5,$A32,$B$2,F$6),_xll.DBSW(B32,$B$1,F$7,F$5,$A32,$B$2,F$6))</f>
        <v>0</v>
      </c>
      <c r="G32" s="21">
        <f ca="1">IF($F$2="Restit",_xll.DBRW($B$1,G$7,G$5,$A32,$B$2,G$6),_xll.DBSW(C32,$B$1,G$7,G$5,$A32,$B$2,G$6))</f>
        <v>0</v>
      </c>
      <c r="H32" s="21">
        <f ca="1">IF($F$2="Restit",_xll.DBRW($B$1,H$7,H$5,$A32,$B$2,H$6),_xll.DBSW(D32,$B$1,H$7,H$5,$A32,$B$2,H$6))</f>
        <v>0</v>
      </c>
      <c r="I32" s="21"/>
      <c r="J32" s="21">
        <f t="shared" ca="1" si="1"/>
        <v>0</v>
      </c>
      <c r="K32" s="21">
        <f t="shared" ca="1" si="2"/>
        <v>0</v>
      </c>
      <c r="L32" s="21">
        <f t="shared" ca="1" si="3"/>
        <v>0</v>
      </c>
    </row>
  </sheetData>
  <dataValidations disablePrompts="1" count="2">
    <dataValidation type="list" allowBlank="1" showInputMessage="1" showErrorMessage="1" sqref="B5">
      <formula1>"ACT,FC_1_VC,FC_2_VC,BUDG_VC"</formula1>
    </dataValidation>
    <dataValidation type="list" allowBlank="1" showInputMessage="1" showErrorMessage="1" sqref="F2">
      <formula1>"Restit,Envoi"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6" tint="0.39997558519241921"/>
  </sheetPr>
  <dimension ref="A1:V35"/>
  <sheetViews>
    <sheetView zoomScale="80" zoomScaleNormal="80" workbookViewId="0"/>
  </sheetViews>
  <sheetFormatPr baseColWidth="10" defaultRowHeight="15" x14ac:dyDescent="0.25"/>
  <cols>
    <col min="1" max="1" width="18.140625" bestFit="1" customWidth="1"/>
    <col min="2" max="2" width="17" customWidth="1"/>
    <col min="3" max="3" width="3.140625" style="23" customWidth="1"/>
    <col min="4" max="8" width="12.7109375" customWidth="1"/>
    <col min="9" max="9" width="3.140625" customWidth="1"/>
    <col min="10" max="14" width="12.7109375" customWidth="1"/>
    <col min="15" max="15" width="3.140625" customWidth="1"/>
    <col min="16" max="20" width="12.7109375" customWidth="1"/>
    <col min="21" max="16384" width="11.42578125" style="23"/>
  </cols>
  <sheetData>
    <row r="1" spans="1:22" x14ac:dyDescent="0.25">
      <c r="A1" t="s">
        <v>41</v>
      </c>
      <c r="B1" t="str">
        <f ca="1">_xll.VIEW("Tango_Core_Model:ST_Currency","!","!","!",$B$2,"!")</f>
        <v>Tango_Core_Model:ST_Currency</v>
      </c>
    </row>
    <row r="2" spans="1:22" x14ac:dyDescent="0.25">
      <c r="A2" s="1" t="s">
        <v>42</v>
      </c>
      <c r="B2" t="str">
        <f ca="1">_xll.SUBNM("Tango_Core_Model:CurrencyConvertTo","","EUR")</f>
        <v>EUR</v>
      </c>
      <c r="D2" s="15" t="s">
        <v>43</v>
      </c>
    </row>
    <row r="4" spans="1:22" x14ac:dyDescent="0.25">
      <c r="D4">
        <v>1</v>
      </c>
      <c r="E4">
        <v>2</v>
      </c>
      <c r="F4">
        <v>3</v>
      </c>
      <c r="G4">
        <v>4</v>
      </c>
      <c r="H4">
        <v>5</v>
      </c>
      <c r="J4">
        <v>1</v>
      </c>
      <c r="K4">
        <v>2</v>
      </c>
      <c r="L4">
        <v>3</v>
      </c>
      <c r="M4">
        <v>4</v>
      </c>
      <c r="N4">
        <v>5</v>
      </c>
      <c r="P4">
        <v>1</v>
      </c>
      <c r="Q4">
        <v>2</v>
      </c>
      <c r="R4">
        <v>3</v>
      </c>
      <c r="S4">
        <v>4</v>
      </c>
      <c r="T4">
        <v>5</v>
      </c>
    </row>
    <row r="5" spans="1:22" x14ac:dyDescent="0.25">
      <c r="B5" s="23" t="str">
        <f ca="1">'Opening Data 3'!$B$5</f>
        <v>BUDG_VC</v>
      </c>
      <c r="D5" s="27" t="str">
        <f ca="1">PHASE_LTP</f>
        <v>LTP_2021_VC</v>
      </c>
      <c r="E5" t="str">
        <f ca="1">D5</f>
        <v>LTP_2021_VC</v>
      </c>
      <c r="F5" t="str">
        <f t="shared" ref="F5:H5" ca="1" si="0">E5</f>
        <v>LTP_2021_VC</v>
      </c>
      <c r="G5" t="str">
        <f t="shared" ca="1" si="0"/>
        <v>LTP_2021_VC</v>
      </c>
      <c r="H5" t="str">
        <f t="shared" ca="1" si="0"/>
        <v>LTP_2021_VC</v>
      </c>
      <c r="J5" s="23" t="str">
        <f ca="1">D5</f>
        <v>LTP_2021_VC</v>
      </c>
      <c r="K5" t="str">
        <f ca="1">J5</f>
        <v>LTP_2021_VC</v>
      </c>
      <c r="L5" t="str">
        <f t="shared" ref="L5:N5" ca="1" si="1">K5</f>
        <v>LTP_2021_VC</v>
      </c>
      <c r="M5" t="str">
        <f t="shared" ca="1" si="1"/>
        <v>LTP_2021_VC</v>
      </c>
      <c r="N5" t="str">
        <f t="shared" ca="1" si="1"/>
        <v>LTP_2021_VC</v>
      </c>
      <c r="P5" s="23" t="str">
        <f ca="1">D5</f>
        <v>LTP_2021_VC</v>
      </c>
      <c r="Q5" s="23" t="str">
        <f ca="1">P5</f>
        <v>LTP_2021_VC</v>
      </c>
      <c r="R5" s="23" t="str">
        <f t="shared" ref="R5:T5" ca="1" si="2">Q5</f>
        <v>LTP_2021_VC</v>
      </c>
      <c r="S5" s="23" t="str">
        <f t="shared" ca="1" si="2"/>
        <v>LTP_2021_VC</v>
      </c>
      <c r="T5" s="23" t="str">
        <f t="shared" ca="1" si="2"/>
        <v>LTP_2021_VC</v>
      </c>
    </row>
    <row r="6" spans="1:22" x14ac:dyDescent="0.25">
      <c r="B6" t="s">
        <v>47</v>
      </c>
      <c r="D6" t="s">
        <v>48</v>
      </c>
      <c r="E6" t="s">
        <v>48</v>
      </c>
      <c r="F6" t="s">
        <v>48</v>
      </c>
      <c r="G6" t="s">
        <v>48</v>
      </c>
      <c r="H6" t="s">
        <v>48</v>
      </c>
      <c r="J6" t="s">
        <v>47</v>
      </c>
      <c r="K6" t="s">
        <v>47</v>
      </c>
      <c r="L6" t="s">
        <v>47</v>
      </c>
      <c r="M6" t="s">
        <v>47</v>
      </c>
      <c r="N6" t="s">
        <v>47</v>
      </c>
      <c r="P6" s="23" t="s">
        <v>46</v>
      </c>
      <c r="Q6" s="23" t="s">
        <v>46</v>
      </c>
      <c r="R6" s="23" t="s">
        <v>46</v>
      </c>
      <c r="S6" s="23" t="s">
        <v>46</v>
      </c>
      <c r="T6" s="23" t="s">
        <v>46</v>
      </c>
    </row>
    <row r="7" spans="1:22" x14ac:dyDescent="0.25">
      <c r="B7" s="27" t="str">
        <f ca="1">'Opening Data 3'!B7</f>
        <v>2022.12</v>
      </c>
      <c r="D7" s="16" t="str">
        <f ca="1">Context!F11</f>
        <v>F_Year_2023</v>
      </c>
      <c r="E7" s="16" t="str">
        <f ca="1">Context!F12</f>
        <v>F_Year_2024</v>
      </c>
      <c r="F7" s="16" t="str">
        <f ca="1">Context!F13</f>
        <v>F_Year_2025</v>
      </c>
      <c r="G7" s="16" t="str">
        <f ca="1">Context!F14</f>
        <v>F_Year_2026</v>
      </c>
      <c r="H7" s="16" t="str">
        <f ca="1">Context!F15</f>
        <v>F_Year_2027</v>
      </c>
      <c r="J7" s="16" t="str">
        <f ca="1">D7</f>
        <v>F_Year_2023</v>
      </c>
      <c r="K7" s="16" t="str">
        <f t="shared" ref="K7:N7" ca="1" si="3">E7</f>
        <v>F_Year_2024</v>
      </c>
      <c r="L7" s="16" t="str">
        <f t="shared" ca="1" si="3"/>
        <v>F_Year_2025</v>
      </c>
      <c r="M7" s="16" t="str">
        <f t="shared" ca="1" si="3"/>
        <v>F_Year_2026</v>
      </c>
      <c r="N7" s="16" t="str">
        <f t="shared" ca="1" si="3"/>
        <v>F_Year_2027</v>
      </c>
      <c r="P7" s="16" t="str">
        <f ca="1">D7</f>
        <v>F_Year_2023</v>
      </c>
      <c r="Q7" s="16" t="str">
        <f t="shared" ref="Q7:T7" ca="1" si="4">E7</f>
        <v>F_Year_2024</v>
      </c>
      <c r="R7" s="16" t="str">
        <f t="shared" ca="1" si="4"/>
        <v>F_Year_2025</v>
      </c>
      <c r="S7" s="16" t="str">
        <f t="shared" ca="1" si="4"/>
        <v>F_Year_2026</v>
      </c>
      <c r="T7" s="16" t="str">
        <f t="shared" ca="1" si="4"/>
        <v>F_Year_2027</v>
      </c>
      <c r="V7" t="s">
        <v>45</v>
      </c>
    </row>
    <row r="8" spans="1:22" x14ac:dyDescent="0.25">
      <c r="A8" s="17" t="s">
        <v>49</v>
      </c>
      <c r="B8" s="18">
        <f ca="1">_xll.DBRW($B$1,B$7,B$5,$A8,$B$2,B$6)</f>
        <v>0</v>
      </c>
      <c r="C8" s="24"/>
      <c r="D8" s="18">
        <f ca="1">IF($D$2="Restit",_xll.DBRW($B$1,D$7,D$5,$A8,$B$2,D$6),_xll.DBSW($B8,$B$1,D$7,D$5,$A8,$B$2,D$6))</f>
        <v>0</v>
      </c>
      <c r="E8" s="18">
        <f ca="1">IF($D$2="Restit",_xll.DBRW($B$1,E$7,E$5,$A8,$B$2,E$6),_xll.DBSW($B8,$B$1,E$7,E$5,$A8,$B$2,E$6))</f>
        <v>0</v>
      </c>
      <c r="F8" s="18">
        <f ca="1">IF($D$2="Restit",_xll.DBRW($B$1,F$7,F$5,$A8,$B$2,F$6),_xll.DBSW($B8,$B$1,F$7,F$5,$A8,$B$2,F$6))</f>
        <v>0</v>
      </c>
      <c r="G8" s="18">
        <f ca="1">IF($D$2="Restit",_xll.DBRW($B$1,G$7,G$5,$A8,$B$2,G$6),_xll.DBSW($B8,$B$1,G$7,G$5,$A8,$B$2,G$6))</f>
        <v>0</v>
      </c>
      <c r="H8" s="18">
        <f ca="1">IF($D$2="Restit",_xll.DBRW($B$1,H$7,H$5,$A8,$B$2,H$6),_xll.DBSW($B8,$B$1,H$7,H$5,$A8,$B$2,H$6))</f>
        <v>0</v>
      </c>
      <c r="J8" s="18">
        <f ca="1">IF($D$2="Restit",_xll.DBRW($B$1,J$7,J$5,$A8,$B$2,J$6),_xll.DBSW($B8,$B$1,J$7,J$5,$A8,$B$2,J$6))</f>
        <v>0</v>
      </c>
      <c r="K8" s="18">
        <f ca="1">IF($D$2="Restit",_xll.DBRW($B$1,K$7,K$5,$A8,$B$2,K$6),_xll.DBSW($B8,$B$1,K$7,K$5,$A8,$B$2,K$6))</f>
        <v>0</v>
      </c>
      <c r="L8" s="18">
        <f ca="1">IF($D$2="Restit",_xll.DBRW($B$1,L$7,L$5,$A8,$B$2,L$6),_xll.DBSW($B8,$B$1,L$7,L$5,$A8,$B$2,L$6))</f>
        <v>0</v>
      </c>
      <c r="M8" s="18">
        <f ca="1">IF($D$2="Restit",_xll.DBRW($B$1,M$7,M$5,$A8,$B$2,M$6),_xll.DBSW($B8,$B$1,M$7,M$5,$A8,$B$2,M$6))</f>
        <v>0</v>
      </c>
      <c r="N8" s="18">
        <f ca="1">IF($D$2="Restit",_xll.DBRW($B$1,N$7,N$5,$A8,$B$2,N$6),_xll.DBSW($B8,$B$1,N$7,N$5,$A8,$B$2,N$6))</f>
        <v>0</v>
      </c>
      <c r="P8" s="18">
        <f ca="1">IF($D$2="Restit",_xll.DBRW($B$1,P$7,P$5,$A8,$B$2,P$6),_xll.DBSW($B8,$B$1,P$7,P$5,$A8,$B$2,P$6))</f>
        <v>0</v>
      </c>
      <c r="Q8" s="18">
        <f ca="1">IF($D$2="Restit",_xll.DBRW($B$1,Q$7,Q$5,$A8,$B$2,Q$6),_xll.DBSW($B8,$B$1,Q$7,Q$5,$A8,$B$2,Q$6))</f>
        <v>0</v>
      </c>
      <c r="R8" s="18">
        <f ca="1">IF($D$2="Restit",_xll.DBRW($B$1,R$7,R$5,$A8,$B$2,R$6),_xll.DBSW($B8,$B$1,R$7,R$5,$A8,$B$2,R$6))</f>
        <v>0</v>
      </c>
      <c r="S8" s="18">
        <f ca="1">IF($D$2="Restit",_xll.DBRW($B$1,S$7,S$5,$A8,$B$2,S$6),_xll.DBSW($B8,$B$1,S$7,S$5,$A8,$B$2,S$6))</f>
        <v>0</v>
      </c>
      <c r="T8" s="18">
        <f ca="1">IF($D$2="Restit",_xll.DBRW($B$1,T$7,T$5,$A8,$B$2,T$6),_xll.DBSW($B8,$B$1,T$7,T$5,$A8,$B$2,T$6))</f>
        <v>0</v>
      </c>
      <c r="V8" s="23">
        <f ca="1">SUM(D8:T8)/15-B8</f>
        <v>0</v>
      </c>
    </row>
    <row r="9" spans="1:22" x14ac:dyDescent="0.25">
      <c r="A9" s="17" t="s">
        <v>50</v>
      </c>
      <c r="B9" s="18">
        <f ca="1">_xll.DBRW($B$1,B$7,B$5,$A9,$B$2,B$6)</f>
        <v>0</v>
      </c>
      <c r="C9" s="24"/>
      <c r="D9" s="18">
        <f ca="1">IF($D$2="Restit",_xll.DBRW($B$1,D$7,D$5,$A9,$B$2,D$6),_xll.DBSW($B9,$B$1,D$7,D$5,$A9,$B$2,D$6))</f>
        <v>0</v>
      </c>
      <c r="E9" s="18">
        <f ca="1">IF($D$2="Restit",_xll.DBRW($B$1,E$7,E$5,$A9,$B$2,E$6),_xll.DBSW($B9,$B$1,E$7,E$5,$A9,$B$2,E$6))</f>
        <v>0</v>
      </c>
      <c r="F9" s="18">
        <f ca="1">IF($D$2="Restit",_xll.DBRW($B$1,F$7,F$5,$A9,$B$2,F$6),_xll.DBSW($B9,$B$1,F$7,F$5,$A9,$B$2,F$6))</f>
        <v>0</v>
      </c>
      <c r="G9" s="18">
        <f ca="1">IF($D$2="Restit",_xll.DBRW($B$1,G$7,G$5,$A9,$B$2,G$6),_xll.DBSW($B9,$B$1,G$7,G$5,$A9,$B$2,G$6))</f>
        <v>0</v>
      </c>
      <c r="H9" s="18">
        <f ca="1">IF($D$2="Restit",_xll.DBRW($B$1,H$7,H$5,$A9,$B$2,H$6),_xll.DBSW($B9,$B$1,H$7,H$5,$A9,$B$2,H$6))</f>
        <v>0</v>
      </c>
      <c r="J9" s="18">
        <f ca="1">IF($D$2="Restit",_xll.DBRW($B$1,J$7,J$5,$A9,$B$2,J$6),_xll.DBSW($B9,$B$1,J$7,J$5,$A9,$B$2,J$6))</f>
        <v>0</v>
      </c>
      <c r="K9" s="18">
        <f ca="1">IF($D$2="Restit",_xll.DBRW($B$1,K$7,K$5,$A9,$B$2,K$6),_xll.DBSW($B9,$B$1,K$7,K$5,$A9,$B$2,K$6))</f>
        <v>0</v>
      </c>
      <c r="L9" s="18">
        <f ca="1">IF($D$2="Restit",_xll.DBRW($B$1,L$7,L$5,$A9,$B$2,L$6),_xll.DBSW($B9,$B$1,L$7,L$5,$A9,$B$2,L$6))</f>
        <v>0</v>
      </c>
      <c r="M9" s="18">
        <f ca="1">IF($D$2="Restit",_xll.DBRW($B$1,M$7,M$5,$A9,$B$2,M$6),_xll.DBSW($B9,$B$1,M$7,M$5,$A9,$B$2,M$6))</f>
        <v>0</v>
      </c>
      <c r="N9" s="18">
        <f ca="1">IF($D$2="Restit",_xll.DBRW($B$1,N$7,N$5,$A9,$B$2,N$6),_xll.DBSW($B9,$B$1,N$7,N$5,$A9,$B$2,N$6))</f>
        <v>0</v>
      </c>
      <c r="P9" s="18">
        <f ca="1">IF($D$2="Restit",_xll.DBRW($B$1,P$7,P$5,$A9,$B$2,P$6),_xll.DBSW($B9,$B$1,P$7,P$5,$A9,$B$2,P$6))</f>
        <v>0</v>
      </c>
      <c r="Q9" s="18">
        <f ca="1">IF($D$2="Restit",_xll.DBRW($B$1,Q$7,Q$5,$A9,$B$2,Q$6),_xll.DBSW($B9,$B$1,Q$7,Q$5,$A9,$B$2,Q$6))</f>
        <v>0</v>
      </c>
      <c r="R9" s="18">
        <f ca="1">IF($D$2="Restit",_xll.DBRW($B$1,R$7,R$5,$A9,$B$2,R$6),_xll.DBSW($B9,$B$1,R$7,R$5,$A9,$B$2,R$6))</f>
        <v>0</v>
      </c>
      <c r="S9" s="18">
        <f ca="1">IF($D$2="Restit",_xll.DBRW($B$1,S$7,S$5,$A9,$B$2,S$6),_xll.DBSW($B9,$B$1,S$7,S$5,$A9,$B$2,S$6))</f>
        <v>0</v>
      </c>
      <c r="T9" s="18">
        <f ca="1">IF($D$2="Restit",_xll.DBRW($B$1,T$7,T$5,$A9,$B$2,T$6),_xll.DBSW($B9,$B$1,T$7,T$5,$A9,$B$2,T$6))</f>
        <v>0</v>
      </c>
      <c r="V9" s="23">
        <f t="shared" ref="V9:V32" ca="1" si="5">SUM(D9:T9)/15-B9</f>
        <v>0</v>
      </c>
    </row>
    <row r="10" spans="1:22" x14ac:dyDescent="0.25">
      <c r="A10" s="17" t="s">
        <v>51</v>
      </c>
      <c r="B10" s="18">
        <f ca="1">_xll.DBRW($B$1,B$7,B$5,$A10,$B$2,B$6)</f>
        <v>0</v>
      </c>
      <c r="C10" s="24"/>
      <c r="D10" s="18">
        <f ca="1">IF($D$2="Restit",_xll.DBRW($B$1,D$7,D$5,$A10,$B$2,D$6),_xll.DBSW($B10,$B$1,D$7,D$5,$A10,$B$2,D$6))</f>
        <v>0</v>
      </c>
      <c r="E10" s="18">
        <f ca="1">IF($D$2="Restit",_xll.DBRW($B$1,E$7,E$5,$A10,$B$2,E$6),_xll.DBSW($B10,$B$1,E$7,E$5,$A10,$B$2,E$6))</f>
        <v>0</v>
      </c>
      <c r="F10" s="18">
        <f ca="1">IF($D$2="Restit",_xll.DBRW($B$1,F$7,F$5,$A10,$B$2,F$6),_xll.DBSW($B10,$B$1,F$7,F$5,$A10,$B$2,F$6))</f>
        <v>0</v>
      </c>
      <c r="G10" s="18">
        <f ca="1">IF($D$2="Restit",_xll.DBRW($B$1,G$7,G$5,$A10,$B$2,G$6),_xll.DBSW($B10,$B$1,G$7,G$5,$A10,$B$2,G$6))</f>
        <v>0</v>
      </c>
      <c r="H10" s="18">
        <f ca="1">IF($D$2="Restit",_xll.DBRW($B$1,H$7,H$5,$A10,$B$2,H$6),_xll.DBSW($B10,$B$1,H$7,H$5,$A10,$B$2,H$6))</f>
        <v>0</v>
      </c>
      <c r="J10" s="18">
        <f ca="1">IF($D$2="Restit",_xll.DBRW($B$1,J$7,J$5,$A10,$B$2,J$6),_xll.DBSW($B10,$B$1,J$7,J$5,$A10,$B$2,J$6))</f>
        <v>0</v>
      </c>
      <c r="K10" s="18">
        <f ca="1">IF($D$2="Restit",_xll.DBRW($B$1,K$7,K$5,$A10,$B$2,K$6),_xll.DBSW($B10,$B$1,K$7,K$5,$A10,$B$2,K$6))</f>
        <v>0</v>
      </c>
      <c r="L10" s="18">
        <f ca="1">IF($D$2="Restit",_xll.DBRW($B$1,L$7,L$5,$A10,$B$2,L$6),_xll.DBSW($B10,$B$1,L$7,L$5,$A10,$B$2,L$6))</f>
        <v>0</v>
      </c>
      <c r="M10" s="18">
        <f ca="1">IF($D$2="Restit",_xll.DBRW($B$1,M$7,M$5,$A10,$B$2,M$6),_xll.DBSW($B10,$B$1,M$7,M$5,$A10,$B$2,M$6))</f>
        <v>0</v>
      </c>
      <c r="N10" s="18">
        <f ca="1">IF($D$2="Restit",_xll.DBRW($B$1,N$7,N$5,$A10,$B$2,N$6),_xll.DBSW($B10,$B$1,N$7,N$5,$A10,$B$2,N$6))</f>
        <v>0</v>
      </c>
      <c r="P10" s="18">
        <f ca="1">IF($D$2="Restit",_xll.DBRW($B$1,P$7,P$5,$A10,$B$2,P$6),_xll.DBSW($B10,$B$1,P$7,P$5,$A10,$B$2,P$6))</f>
        <v>0</v>
      </c>
      <c r="Q10" s="18">
        <f ca="1">IF($D$2="Restit",_xll.DBRW($B$1,Q$7,Q$5,$A10,$B$2,Q$6),_xll.DBSW($B10,$B$1,Q$7,Q$5,$A10,$B$2,Q$6))</f>
        <v>0</v>
      </c>
      <c r="R10" s="18">
        <f ca="1">IF($D$2="Restit",_xll.DBRW($B$1,R$7,R$5,$A10,$B$2,R$6),_xll.DBSW($B10,$B$1,R$7,R$5,$A10,$B$2,R$6))</f>
        <v>0</v>
      </c>
      <c r="S10" s="18">
        <f ca="1">IF($D$2="Restit",_xll.DBRW($B$1,S$7,S$5,$A10,$B$2,S$6),_xll.DBSW($B10,$B$1,S$7,S$5,$A10,$B$2,S$6))</f>
        <v>0</v>
      </c>
      <c r="T10" s="18">
        <f ca="1">IF($D$2="Restit",_xll.DBRW($B$1,T$7,T$5,$A10,$B$2,T$6),_xll.DBSW($B10,$B$1,T$7,T$5,$A10,$B$2,T$6))</f>
        <v>0</v>
      </c>
      <c r="V10" s="23">
        <f t="shared" ca="1" si="5"/>
        <v>0</v>
      </c>
    </row>
    <row r="11" spans="1:22" x14ac:dyDescent="0.25">
      <c r="A11" s="17" t="s">
        <v>52</v>
      </c>
      <c r="B11" s="18">
        <f ca="1">_xll.DBRW($B$1,B$7,B$5,$A11,$B$2,B$6)</f>
        <v>0</v>
      </c>
      <c r="C11" s="24"/>
      <c r="D11" s="18">
        <f ca="1">IF($D$2="Restit",_xll.DBRW($B$1,D$7,D$5,$A11,$B$2,D$6),_xll.DBSW($B11,$B$1,D$7,D$5,$A11,$B$2,D$6))</f>
        <v>0</v>
      </c>
      <c r="E11" s="18">
        <f ca="1">IF($D$2="Restit",_xll.DBRW($B$1,E$7,E$5,$A11,$B$2,E$6),_xll.DBSW($B11,$B$1,E$7,E$5,$A11,$B$2,E$6))</f>
        <v>0</v>
      </c>
      <c r="F11" s="18">
        <f ca="1">IF($D$2="Restit",_xll.DBRW($B$1,F$7,F$5,$A11,$B$2,F$6),_xll.DBSW($B11,$B$1,F$7,F$5,$A11,$B$2,F$6))</f>
        <v>0</v>
      </c>
      <c r="G11" s="18">
        <f ca="1">IF($D$2="Restit",_xll.DBRW($B$1,G$7,G$5,$A11,$B$2,G$6),_xll.DBSW($B11,$B$1,G$7,G$5,$A11,$B$2,G$6))</f>
        <v>0</v>
      </c>
      <c r="H11" s="18">
        <f ca="1">IF($D$2="Restit",_xll.DBRW($B$1,H$7,H$5,$A11,$B$2,H$6),_xll.DBSW($B11,$B$1,H$7,H$5,$A11,$B$2,H$6))</f>
        <v>0</v>
      </c>
      <c r="J11" s="18">
        <f ca="1">IF($D$2="Restit",_xll.DBRW($B$1,J$7,J$5,$A11,$B$2,J$6),_xll.DBSW($B11,$B$1,J$7,J$5,$A11,$B$2,J$6))</f>
        <v>0</v>
      </c>
      <c r="K11" s="18">
        <f ca="1">IF($D$2="Restit",_xll.DBRW($B$1,K$7,K$5,$A11,$B$2,K$6),_xll.DBSW($B11,$B$1,K$7,K$5,$A11,$B$2,K$6))</f>
        <v>0</v>
      </c>
      <c r="L11" s="18">
        <f ca="1">IF($D$2="Restit",_xll.DBRW($B$1,L$7,L$5,$A11,$B$2,L$6),_xll.DBSW($B11,$B$1,L$7,L$5,$A11,$B$2,L$6))</f>
        <v>0</v>
      </c>
      <c r="M11" s="18">
        <f ca="1">IF($D$2="Restit",_xll.DBRW($B$1,M$7,M$5,$A11,$B$2,M$6),_xll.DBSW($B11,$B$1,M$7,M$5,$A11,$B$2,M$6))</f>
        <v>0</v>
      </c>
      <c r="N11" s="18">
        <f ca="1">IF($D$2="Restit",_xll.DBRW($B$1,N$7,N$5,$A11,$B$2,N$6),_xll.DBSW($B11,$B$1,N$7,N$5,$A11,$B$2,N$6))</f>
        <v>0</v>
      </c>
      <c r="P11" s="18">
        <f ca="1">IF($D$2="Restit",_xll.DBRW($B$1,P$7,P$5,$A11,$B$2,P$6),_xll.DBSW($B11,$B$1,P$7,P$5,$A11,$B$2,P$6))</f>
        <v>0</v>
      </c>
      <c r="Q11" s="18">
        <f ca="1">IF($D$2="Restit",_xll.DBRW($B$1,Q$7,Q$5,$A11,$B$2,Q$6),_xll.DBSW($B11,$B$1,Q$7,Q$5,$A11,$B$2,Q$6))</f>
        <v>0</v>
      </c>
      <c r="R11" s="18">
        <f ca="1">IF($D$2="Restit",_xll.DBRW($B$1,R$7,R$5,$A11,$B$2,R$6),_xll.DBSW($B11,$B$1,R$7,R$5,$A11,$B$2,R$6))</f>
        <v>0</v>
      </c>
      <c r="S11" s="18">
        <f ca="1">IF($D$2="Restit",_xll.DBRW($B$1,S$7,S$5,$A11,$B$2,S$6),_xll.DBSW($B11,$B$1,S$7,S$5,$A11,$B$2,S$6))</f>
        <v>0</v>
      </c>
      <c r="T11" s="18">
        <f ca="1">IF($D$2="Restit",_xll.DBRW($B$1,T$7,T$5,$A11,$B$2,T$6),_xll.DBSW($B11,$B$1,T$7,T$5,$A11,$B$2,T$6))</f>
        <v>0</v>
      </c>
      <c r="V11" s="23">
        <f t="shared" ca="1" si="5"/>
        <v>0</v>
      </c>
    </row>
    <row r="12" spans="1:22" x14ac:dyDescent="0.25">
      <c r="A12" s="17" t="s">
        <v>53</v>
      </c>
      <c r="B12" s="18">
        <f ca="1">_xll.DBRW($B$1,B$7,B$5,$A12,$B$2,B$6)</f>
        <v>0</v>
      </c>
      <c r="C12" s="24"/>
      <c r="D12" s="18">
        <f ca="1">IF($D$2="Restit",_xll.DBRW($B$1,D$7,D$5,$A12,$B$2,D$6),_xll.DBSW($B12,$B$1,D$7,D$5,$A12,$B$2,D$6))</f>
        <v>0</v>
      </c>
      <c r="E12" s="18">
        <f ca="1">IF($D$2="Restit",_xll.DBRW($B$1,E$7,E$5,$A12,$B$2,E$6),_xll.DBSW($B12,$B$1,E$7,E$5,$A12,$B$2,E$6))</f>
        <v>0</v>
      </c>
      <c r="F12" s="18">
        <f ca="1">IF($D$2="Restit",_xll.DBRW($B$1,F$7,F$5,$A12,$B$2,F$6),_xll.DBSW($B12,$B$1,F$7,F$5,$A12,$B$2,F$6))</f>
        <v>0</v>
      </c>
      <c r="G12" s="18">
        <f ca="1">IF($D$2="Restit",_xll.DBRW($B$1,G$7,G$5,$A12,$B$2,G$6),_xll.DBSW($B12,$B$1,G$7,G$5,$A12,$B$2,G$6))</f>
        <v>0</v>
      </c>
      <c r="H12" s="18">
        <f ca="1">IF($D$2="Restit",_xll.DBRW($B$1,H$7,H$5,$A12,$B$2,H$6),_xll.DBSW($B12,$B$1,H$7,H$5,$A12,$B$2,H$6))</f>
        <v>0</v>
      </c>
      <c r="J12" s="18">
        <f ca="1">IF($D$2="Restit",_xll.DBRW($B$1,J$7,J$5,$A12,$B$2,J$6),_xll.DBSW($B12,$B$1,J$7,J$5,$A12,$B$2,J$6))</f>
        <v>0</v>
      </c>
      <c r="K12" s="18">
        <f ca="1">IF($D$2="Restit",_xll.DBRW($B$1,K$7,K$5,$A12,$B$2,K$6),_xll.DBSW($B12,$B$1,K$7,K$5,$A12,$B$2,K$6))</f>
        <v>0</v>
      </c>
      <c r="L12" s="18">
        <f ca="1">IF($D$2="Restit",_xll.DBRW($B$1,L$7,L$5,$A12,$B$2,L$6),_xll.DBSW($B12,$B$1,L$7,L$5,$A12,$B$2,L$6))</f>
        <v>0</v>
      </c>
      <c r="M12" s="18">
        <f ca="1">IF($D$2="Restit",_xll.DBRW($B$1,M$7,M$5,$A12,$B$2,M$6),_xll.DBSW($B12,$B$1,M$7,M$5,$A12,$B$2,M$6))</f>
        <v>0</v>
      </c>
      <c r="N12" s="18">
        <f ca="1">IF($D$2="Restit",_xll.DBRW($B$1,N$7,N$5,$A12,$B$2,N$6),_xll.DBSW($B12,$B$1,N$7,N$5,$A12,$B$2,N$6))</f>
        <v>0</v>
      </c>
      <c r="P12" s="18">
        <f ca="1">IF($D$2="Restit",_xll.DBRW($B$1,P$7,P$5,$A12,$B$2,P$6),_xll.DBSW($B12,$B$1,P$7,P$5,$A12,$B$2,P$6))</f>
        <v>0</v>
      </c>
      <c r="Q12" s="18">
        <f ca="1">IF($D$2="Restit",_xll.DBRW($B$1,Q$7,Q$5,$A12,$B$2,Q$6),_xll.DBSW($B12,$B$1,Q$7,Q$5,$A12,$B$2,Q$6))</f>
        <v>0</v>
      </c>
      <c r="R12" s="18">
        <f ca="1">IF($D$2="Restit",_xll.DBRW($B$1,R$7,R$5,$A12,$B$2,R$6),_xll.DBSW($B12,$B$1,R$7,R$5,$A12,$B$2,R$6))</f>
        <v>0</v>
      </c>
      <c r="S12" s="18">
        <f ca="1">IF($D$2="Restit",_xll.DBRW($B$1,S$7,S$5,$A12,$B$2,S$6),_xll.DBSW($B12,$B$1,S$7,S$5,$A12,$B$2,S$6))</f>
        <v>0</v>
      </c>
      <c r="T12" s="18">
        <f ca="1">IF($D$2="Restit",_xll.DBRW($B$1,T$7,T$5,$A12,$B$2,T$6),_xll.DBSW($B12,$B$1,T$7,T$5,$A12,$B$2,T$6))</f>
        <v>0</v>
      </c>
      <c r="V12" s="23">
        <f t="shared" ca="1" si="5"/>
        <v>0</v>
      </c>
    </row>
    <row r="13" spans="1:22" x14ac:dyDescent="0.25">
      <c r="A13" s="17" t="s">
        <v>54</v>
      </c>
      <c r="B13" s="18">
        <f ca="1">_xll.DBRW($B$1,B$7,B$5,$A13,$B$2,B$6)</f>
        <v>0</v>
      </c>
      <c r="C13" s="24"/>
      <c r="D13" s="18">
        <f ca="1">IF($D$2="Restit",_xll.DBRW($B$1,D$7,D$5,$A13,$B$2,D$6),_xll.DBSW($B13,$B$1,D$7,D$5,$A13,$B$2,D$6))</f>
        <v>0</v>
      </c>
      <c r="E13" s="18">
        <f ca="1">IF($D$2="Restit",_xll.DBRW($B$1,E$7,E$5,$A13,$B$2,E$6),_xll.DBSW($B13,$B$1,E$7,E$5,$A13,$B$2,E$6))</f>
        <v>0</v>
      </c>
      <c r="F13" s="18">
        <f ca="1">IF($D$2="Restit",_xll.DBRW($B$1,F$7,F$5,$A13,$B$2,F$6),_xll.DBSW($B13,$B$1,F$7,F$5,$A13,$B$2,F$6))</f>
        <v>0</v>
      </c>
      <c r="G13" s="18">
        <f ca="1">IF($D$2="Restit",_xll.DBRW($B$1,G$7,G$5,$A13,$B$2,G$6),_xll.DBSW($B13,$B$1,G$7,G$5,$A13,$B$2,G$6))</f>
        <v>0</v>
      </c>
      <c r="H13" s="18">
        <f ca="1">IF($D$2="Restit",_xll.DBRW($B$1,H$7,H$5,$A13,$B$2,H$6),_xll.DBSW($B13,$B$1,H$7,H$5,$A13,$B$2,H$6))</f>
        <v>0</v>
      </c>
      <c r="J13" s="18">
        <f ca="1">IF($D$2="Restit",_xll.DBRW($B$1,J$7,J$5,$A13,$B$2,J$6),_xll.DBSW($B13,$B$1,J$7,J$5,$A13,$B$2,J$6))</f>
        <v>0</v>
      </c>
      <c r="K13" s="18">
        <f ca="1">IF($D$2="Restit",_xll.DBRW($B$1,K$7,K$5,$A13,$B$2,K$6),_xll.DBSW($B13,$B$1,K$7,K$5,$A13,$B$2,K$6))</f>
        <v>0</v>
      </c>
      <c r="L13" s="18">
        <f ca="1">IF($D$2="Restit",_xll.DBRW($B$1,L$7,L$5,$A13,$B$2,L$6),_xll.DBSW($B13,$B$1,L$7,L$5,$A13,$B$2,L$6))</f>
        <v>0</v>
      </c>
      <c r="M13" s="18">
        <f ca="1">IF($D$2="Restit",_xll.DBRW($B$1,M$7,M$5,$A13,$B$2,M$6),_xll.DBSW($B13,$B$1,M$7,M$5,$A13,$B$2,M$6))</f>
        <v>0</v>
      </c>
      <c r="N13" s="18">
        <f ca="1">IF($D$2="Restit",_xll.DBRW($B$1,N$7,N$5,$A13,$B$2,N$6),_xll.DBSW($B13,$B$1,N$7,N$5,$A13,$B$2,N$6))</f>
        <v>0</v>
      </c>
      <c r="P13" s="18">
        <f ca="1">IF($D$2="Restit",_xll.DBRW($B$1,P$7,P$5,$A13,$B$2,P$6),_xll.DBSW($B13,$B$1,P$7,P$5,$A13,$B$2,P$6))</f>
        <v>0</v>
      </c>
      <c r="Q13" s="18">
        <f ca="1">IF($D$2="Restit",_xll.DBRW($B$1,Q$7,Q$5,$A13,$B$2,Q$6),_xll.DBSW($B13,$B$1,Q$7,Q$5,$A13,$B$2,Q$6))</f>
        <v>0</v>
      </c>
      <c r="R13" s="18">
        <f ca="1">IF($D$2="Restit",_xll.DBRW($B$1,R$7,R$5,$A13,$B$2,R$6),_xll.DBSW($B13,$B$1,R$7,R$5,$A13,$B$2,R$6))</f>
        <v>0</v>
      </c>
      <c r="S13" s="18">
        <f ca="1">IF($D$2="Restit",_xll.DBRW($B$1,S$7,S$5,$A13,$B$2,S$6),_xll.DBSW($B13,$B$1,S$7,S$5,$A13,$B$2,S$6))</f>
        <v>0</v>
      </c>
      <c r="T13" s="18">
        <f ca="1">IF($D$2="Restit",_xll.DBRW($B$1,T$7,T$5,$A13,$B$2,T$6),_xll.DBSW($B13,$B$1,T$7,T$5,$A13,$B$2,T$6))</f>
        <v>0</v>
      </c>
      <c r="V13" s="23">
        <f t="shared" ca="1" si="5"/>
        <v>0</v>
      </c>
    </row>
    <row r="14" spans="1:22" x14ac:dyDescent="0.25">
      <c r="A14" s="17" t="s">
        <v>55</v>
      </c>
      <c r="B14" s="18">
        <f ca="1">_xll.DBRW($B$1,B$7,B$5,$A14,$B$2,B$6)</f>
        <v>0</v>
      </c>
      <c r="C14" s="24"/>
      <c r="D14" s="18">
        <f ca="1">IF($D$2="Restit",_xll.DBRW($B$1,D$7,D$5,$A14,$B$2,D$6),_xll.DBSW($B14,$B$1,D$7,D$5,$A14,$B$2,D$6))</f>
        <v>0</v>
      </c>
      <c r="E14" s="18">
        <f ca="1">IF($D$2="Restit",_xll.DBRW($B$1,E$7,E$5,$A14,$B$2,E$6),_xll.DBSW($B14,$B$1,E$7,E$5,$A14,$B$2,E$6))</f>
        <v>0</v>
      </c>
      <c r="F14" s="18">
        <f ca="1">IF($D$2="Restit",_xll.DBRW($B$1,F$7,F$5,$A14,$B$2,F$6),_xll.DBSW($B14,$B$1,F$7,F$5,$A14,$B$2,F$6))</f>
        <v>0</v>
      </c>
      <c r="G14" s="18">
        <f ca="1">IF($D$2="Restit",_xll.DBRW($B$1,G$7,G$5,$A14,$B$2,G$6),_xll.DBSW($B14,$B$1,G$7,G$5,$A14,$B$2,G$6))</f>
        <v>0</v>
      </c>
      <c r="H14" s="18">
        <f ca="1">IF($D$2="Restit",_xll.DBRW($B$1,H$7,H$5,$A14,$B$2,H$6),_xll.DBSW($B14,$B$1,H$7,H$5,$A14,$B$2,H$6))</f>
        <v>0</v>
      </c>
      <c r="J14" s="18">
        <f ca="1">IF($D$2="Restit",_xll.DBRW($B$1,J$7,J$5,$A14,$B$2,J$6),_xll.DBSW($B14,$B$1,J$7,J$5,$A14,$B$2,J$6))</f>
        <v>0</v>
      </c>
      <c r="K14" s="18">
        <f ca="1">IF($D$2="Restit",_xll.DBRW($B$1,K$7,K$5,$A14,$B$2,K$6),_xll.DBSW($B14,$B$1,K$7,K$5,$A14,$B$2,K$6))</f>
        <v>0</v>
      </c>
      <c r="L14" s="18">
        <f ca="1">IF($D$2="Restit",_xll.DBRW($B$1,L$7,L$5,$A14,$B$2,L$6),_xll.DBSW($B14,$B$1,L$7,L$5,$A14,$B$2,L$6))</f>
        <v>0</v>
      </c>
      <c r="M14" s="18">
        <f ca="1">IF($D$2="Restit",_xll.DBRW($B$1,M$7,M$5,$A14,$B$2,M$6),_xll.DBSW($B14,$B$1,M$7,M$5,$A14,$B$2,M$6))</f>
        <v>0</v>
      </c>
      <c r="N14" s="18">
        <f ca="1">IF($D$2="Restit",_xll.DBRW($B$1,N$7,N$5,$A14,$B$2,N$6),_xll.DBSW($B14,$B$1,N$7,N$5,$A14,$B$2,N$6))</f>
        <v>0</v>
      </c>
      <c r="P14" s="18">
        <f ca="1">IF($D$2="Restit",_xll.DBRW($B$1,P$7,P$5,$A14,$B$2,P$6),_xll.DBSW($B14,$B$1,P$7,P$5,$A14,$B$2,P$6))</f>
        <v>0</v>
      </c>
      <c r="Q14" s="18">
        <f ca="1">IF($D$2="Restit",_xll.DBRW($B$1,Q$7,Q$5,$A14,$B$2,Q$6),_xll.DBSW($B14,$B$1,Q$7,Q$5,$A14,$B$2,Q$6))</f>
        <v>0</v>
      </c>
      <c r="R14" s="18">
        <f ca="1">IF($D$2="Restit",_xll.DBRW($B$1,R$7,R$5,$A14,$B$2,R$6),_xll.DBSW($B14,$B$1,R$7,R$5,$A14,$B$2,R$6))</f>
        <v>0</v>
      </c>
      <c r="S14" s="18">
        <f ca="1">IF($D$2="Restit",_xll.DBRW($B$1,S$7,S$5,$A14,$B$2,S$6),_xll.DBSW($B14,$B$1,S$7,S$5,$A14,$B$2,S$6))</f>
        <v>0</v>
      </c>
      <c r="T14" s="18">
        <f ca="1">IF($D$2="Restit",_xll.DBRW($B$1,T$7,T$5,$A14,$B$2,T$6),_xll.DBSW($B14,$B$1,T$7,T$5,$A14,$B$2,T$6))</f>
        <v>0</v>
      </c>
      <c r="V14" s="23">
        <f t="shared" ca="1" si="5"/>
        <v>0</v>
      </c>
    </row>
    <row r="15" spans="1:22" x14ac:dyDescent="0.25">
      <c r="A15" s="17" t="s">
        <v>56</v>
      </c>
      <c r="B15" s="18">
        <f ca="1">_xll.DBRW($B$1,B$7,B$5,$A15,$B$2,B$6)</f>
        <v>0</v>
      </c>
      <c r="C15" s="24"/>
      <c r="D15" s="18">
        <f ca="1">IF($D$2="Restit",_xll.DBRW($B$1,D$7,D$5,$A15,$B$2,D$6),_xll.DBSW($B15,$B$1,D$7,D$5,$A15,$B$2,D$6))</f>
        <v>0</v>
      </c>
      <c r="E15" s="18">
        <f ca="1">IF($D$2="Restit",_xll.DBRW($B$1,E$7,E$5,$A15,$B$2,E$6),_xll.DBSW($B15,$B$1,E$7,E$5,$A15,$B$2,E$6))</f>
        <v>0</v>
      </c>
      <c r="F15" s="18">
        <f ca="1">IF($D$2="Restit",_xll.DBRW($B$1,F$7,F$5,$A15,$B$2,F$6),_xll.DBSW($B15,$B$1,F$7,F$5,$A15,$B$2,F$6))</f>
        <v>0</v>
      </c>
      <c r="G15" s="18">
        <f ca="1">IF($D$2="Restit",_xll.DBRW($B$1,G$7,G$5,$A15,$B$2,G$6),_xll.DBSW($B15,$B$1,G$7,G$5,$A15,$B$2,G$6))</f>
        <v>0</v>
      </c>
      <c r="H15" s="18">
        <f ca="1">IF($D$2="Restit",_xll.DBRW($B$1,H$7,H$5,$A15,$B$2,H$6),_xll.DBSW($B15,$B$1,H$7,H$5,$A15,$B$2,H$6))</f>
        <v>0</v>
      </c>
      <c r="J15" s="18">
        <f ca="1">IF($D$2="Restit",_xll.DBRW($B$1,J$7,J$5,$A15,$B$2,J$6),_xll.DBSW($B15,$B$1,J$7,J$5,$A15,$B$2,J$6))</f>
        <v>0</v>
      </c>
      <c r="K15" s="18">
        <f ca="1">IF($D$2="Restit",_xll.DBRW($B$1,K$7,K$5,$A15,$B$2,K$6),_xll.DBSW($B15,$B$1,K$7,K$5,$A15,$B$2,K$6))</f>
        <v>0</v>
      </c>
      <c r="L15" s="18">
        <f ca="1">IF($D$2="Restit",_xll.DBRW($B$1,L$7,L$5,$A15,$B$2,L$6),_xll.DBSW($B15,$B$1,L$7,L$5,$A15,$B$2,L$6))</f>
        <v>0</v>
      </c>
      <c r="M15" s="18">
        <f ca="1">IF($D$2="Restit",_xll.DBRW($B$1,M$7,M$5,$A15,$B$2,M$6),_xll.DBSW($B15,$B$1,M$7,M$5,$A15,$B$2,M$6))</f>
        <v>0</v>
      </c>
      <c r="N15" s="18">
        <f ca="1">IF($D$2="Restit",_xll.DBRW($B$1,N$7,N$5,$A15,$B$2,N$6),_xll.DBSW($B15,$B$1,N$7,N$5,$A15,$B$2,N$6))</f>
        <v>0</v>
      </c>
      <c r="P15" s="18">
        <f ca="1">IF($D$2="Restit",_xll.DBRW($B$1,P$7,P$5,$A15,$B$2,P$6),_xll.DBSW($B15,$B$1,P$7,P$5,$A15,$B$2,P$6))</f>
        <v>0</v>
      </c>
      <c r="Q15" s="18">
        <f ca="1">IF($D$2="Restit",_xll.DBRW($B$1,Q$7,Q$5,$A15,$B$2,Q$6),_xll.DBSW($B15,$B$1,Q$7,Q$5,$A15,$B$2,Q$6))</f>
        <v>0</v>
      </c>
      <c r="R15" s="18">
        <f ca="1">IF($D$2="Restit",_xll.DBRW($B$1,R$7,R$5,$A15,$B$2,R$6),_xll.DBSW($B15,$B$1,R$7,R$5,$A15,$B$2,R$6))</f>
        <v>0</v>
      </c>
      <c r="S15" s="18">
        <f ca="1">IF($D$2="Restit",_xll.DBRW($B$1,S$7,S$5,$A15,$B$2,S$6),_xll.DBSW($B15,$B$1,S$7,S$5,$A15,$B$2,S$6))</f>
        <v>0</v>
      </c>
      <c r="T15" s="18">
        <f ca="1">IF($D$2="Restit",_xll.DBRW($B$1,T$7,T$5,$A15,$B$2,T$6),_xll.DBSW($B15,$B$1,T$7,T$5,$A15,$B$2,T$6))</f>
        <v>0</v>
      </c>
      <c r="V15" s="23">
        <f t="shared" ca="1" si="5"/>
        <v>0</v>
      </c>
    </row>
    <row r="16" spans="1:22" x14ac:dyDescent="0.25">
      <c r="A16" s="17" t="s">
        <v>57</v>
      </c>
      <c r="B16" s="18">
        <f ca="1">_xll.DBRW($B$1,B$7,B$5,$A16,$B$2,B$6)</f>
        <v>0</v>
      </c>
      <c r="C16" s="24"/>
      <c r="D16" s="18">
        <f ca="1">IF($D$2="Restit",_xll.DBRW($B$1,D$7,D$5,$A16,$B$2,D$6),_xll.DBSW($B16,$B$1,D$7,D$5,$A16,$B$2,D$6))</f>
        <v>0</v>
      </c>
      <c r="E16" s="18">
        <f ca="1">IF($D$2="Restit",_xll.DBRW($B$1,E$7,E$5,$A16,$B$2,E$6),_xll.DBSW($B16,$B$1,E$7,E$5,$A16,$B$2,E$6))</f>
        <v>0</v>
      </c>
      <c r="F16" s="18">
        <f ca="1">IF($D$2="Restit",_xll.DBRW($B$1,F$7,F$5,$A16,$B$2,F$6),_xll.DBSW($B16,$B$1,F$7,F$5,$A16,$B$2,F$6))</f>
        <v>0</v>
      </c>
      <c r="G16" s="18">
        <f ca="1">IF($D$2="Restit",_xll.DBRW($B$1,G$7,G$5,$A16,$B$2,G$6),_xll.DBSW($B16,$B$1,G$7,G$5,$A16,$B$2,G$6))</f>
        <v>0</v>
      </c>
      <c r="H16" s="18">
        <f ca="1">IF($D$2="Restit",_xll.DBRW($B$1,H$7,H$5,$A16,$B$2,H$6),_xll.DBSW($B16,$B$1,H$7,H$5,$A16,$B$2,H$6))</f>
        <v>0</v>
      </c>
      <c r="J16" s="18">
        <f ca="1">IF($D$2="Restit",_xll.DBRW($B$1,J$7,J$5,$A16,$B$2,J$6),_xll.DBSW($B16,$B$1,J$7,J$5,$A16,$B$2,J$6))</f>
        <v>0</v>
      </c>
      <c r="K16" s="18">
        <f ca="1">IF($D$2="Restit",_xll.DBRW($B$1,K$7,K$5,$A16,$B$2,K$6),_xll.DBSW($B16,$B$1,K$7,K$5,$A16,$B$2,K$6))</f>
        <v>0</v>
      </c>
      <c r="L16" s="18">
        <f ca="1">IF($D$2="Restit",_xll.DBRW($B$1,L$7,L$5,$A16,$B$2,L$6),_xll.DBSW($B16,$B$1,L$7,L$5,$A16,$B$2,L$6))</f>
        <v>0</v>
      </c>
      <c r="M16" s="18">
        <f ca="1">IF($D$2="Restit",_xll.DBRW($B$1,M$7,M$5,$A16,$B$2,M$6),_xll.DBSW($B16,$B$1,M$7,M$5,$A16,$B$2,M$6))</f>
        <v>0</v>
      </c>
      <c r="N16" s="18">
        <f ca="1">IF($D$2="Restit",_xll.DBRW($B$1,N$7,N$5,$A16,$B$2,N$6),_xll.DBSW($B16,$B$1,N$7,N$5,$A16,$B$2,N$6))</f>
        <v>0</v>
      </c>
      <c r="P16" s="18">
        <f ca="1">IF($D$2="Restit",_xll.DBRW($B$1,P$7,P$5,$A16,$B$2,P$6),_xll.DBSW($B16,$B$1,P$7,P$5,$A16,$B$2,P$6))</f>
        <v>0</v>
      </c>
      <c r="Q16" s="18">
        <f ca="1">IF($D$2="Restit",_xll.DBRW($B$1,Q$7,Q$5,$A16,$B$2,Q$6),_xll.DBSW($B16,$B$1,Q$7,Q$5,$A16,$B$2,Q$6))</f>
        <v>0</v>
      </c>
      <c r="R16" s="18">
        <f ca="1">IF($D$2="Restit",_xll.DBRW($B$1,R$7,R$5,$A16,$B$2,R$6),_xll.DBSW($B16,$B$1,R$7,R$5,$A16,$B$2,R$6))</f>
        <v>0</v>
      </c>
      <c r="S16" s="18">
        <f ca="1">IF($D$2="Restit",_xll.DBRW($B$1,S$7,S$5,$A16,$B$2,S$6),_xll.DBSW($B16,$B$1,S$7,S$5,$A16,$B$2,S$6))</f>
        <v>0</v>
      </c>
      <c r="T16" s="18">
        <f ca="1">IF($D$2="Restit",_xll.DBRW($B$1,T$7,T$5,$A16,$B$2,T$6),_xll.DBSW($B16,$B$1,T$7,T$5,$A16,$B$2,T$6))</f>
        <v>0</v>
      </c>
      <c r="V16" s="23">
        <f t="shared" ca="1" si="5"/>
        <v>0</v>
      </c>
    </row>
    <row r="17" spans="1:22" x14ac:dyDescent="0.25">
      <c r="A17" s="17" t="s">
        <v>58</v>
      </c>
      <c r="B17" s="18">
        <f ca="1">_xll.DBRW($B$1,B$7,B$5,$A17,$B$2,B$6)</f>
        <v>0</v>
      </c>
      <c r="C17" s="24"/>
      <c r="D17" s="18">
        <f ca="1">IF($D$2="Restit",_xll.DBRW($B$1,D$7,D$5,$A17,$B$2,D$6),_xll.DBSW($B17,$B$1,D$7,D$5,$A17,$B$2,D$6))</f>
        <v>0</v>
      </c>
      <c r="E17" s="18">
        <f ca="1">IF($D$2="Restit",_xll.DBRW($B$1,E$7,E$5,$A17,$B$2,E$6),_xll.DBSW($B17,$B$1,E$7,E$5,$A17,$B$2,E$6))</f>
        <v>0</v>
      </c>
      <c r="F17" s="18">
        <f ca="1">IF($D$2="Restit",_xll.DBRW($B$1,F$7,F$5,$A17,$B$2,F$6),_xll.DBSW($B17,$B$1,F$7,F$5,$A17,$B$2,F$6))</f>
        <v>0</v>
      </c>
      <c r="G17" s="18">
        <f ca="1">IF($D$2="Restit",_xll.DBRW($B$1,G$7,G$5,$A17,$B$2,G$6),_xll.DBSW($B17,$B$1,G$7,G$5,$A17,$B$2,G$6))</f>
        <v>0</v>
      </c>
      <c r="H17" s="18">
        <f ca="1">IF($D$2="Restit",_xll.DBRW($B$1,H$7,H$5,$A17,$B$2,H$6),_xll.DBSW($B17,$B$1,H$7,H$5,$A17,$B$2,H$6))</f>
        <v>0</v>
      </c>
      <c r="J17" s="18">
        <f ca="1">IF($D$2="Restit",_xll.DBRW($B$1,J$7,J$5,$A17,$B$2,J$6),_xll.DBSW($B17,$B$1,J$7,J$5,$A17,$B$2,J$6))</f>
        <v>0</v>
      </c>
      <c r="K17" s="18">
        <f ca="1">IF($D$2="Restit",_xll.DBRW($B$1,K$7,K$5,$A17,$B$2,K$6),_xll.DBSW($B17,$B$1,K$7,K$5,$A17,$B$2,K$6))</f>
        <v>0</v>
      </c>
      <c r="L17" s="18">
        <f ca="1">IF($D$2="Restit",_xll.DBRW($B$1,L$7,L$5,$A17,$B$2,L$6),_xll.DBSW($B17,$B$1,L$7,L$5,$A17,$B$2,L$6))</f>
        <v>0</v>
      </c>
      <c r="M17" s="18">
        <f ca="1">IF($D$2="Restit",_xll.DBRW($B$1,M$7,M$5,$A17,$B$2,M$6),_xll.DBSW($B17,$B$1,M$7,M$5,$A17,$B$2,M$6))</f>
        <v>0</v>
      </c>
      <c r="N17" s="18">
        <f ca="1">IF($D$2="Restit",_xll.DBRW($B$1,N$7,N$5,$A17,$B$2,N$6),_xll.DBSW($B17,$B$1,N$7,N$5,$A17,$B$2,N$6))</f>
        <v>0</v>
      </c>
      <c r="P17" s="18">
        <f ca="1">IF($D$2="Restit",_xll.DBRW($B$1,P$7,P$5,$A17,$B$2,P$6),_xll.DBSW($B17,$B$1,P$7,P$5,$A17,$B$2,P$6))</f>
        <v>0</v>
      </c>
      <c r="Q17" s="18">
        <f ca="1">IF($D$2="Restit",_xll.DBRW($B$1,Q$7,Q$5,$A17,$B$2,Q$6),_xll.DBSW($B17,$B$1,Q$7,Q$5,$A17,$B$2,Q$6))</f>
        <v>0</v>
      </c>
      <c r="R17" s="18">
        <f ca="1">IF($D$2="Restit",_xll.DBRW($B$1,R$7,R$5,$A17,$B$2,R$6),_xll.DBSW($B17,$B$1,R$7,R$5,$A17,$B$2,R$6))</f>
        <v>0</v>
      </c>
      <c r="S17" s="18">
        <f ca="1">IF($D$2="Restit",_xll.DBRW($B$1,S$7,S$5,$A17,$B$2,S$6),_xll.DBSW($B17,$B$1,S$7,S$5,$A17,$B$2,S$6))</f>
        <v>0</v>
      </c>
      <c r="T17" s="18">
        <f ca="1">IF($D$2="Restit",_xll.DBRW($B$1,T$7,T$5,$A17,$B$2,T$6),_xll.DBSW($B17,$B$1,T$7,T$5,$A17,$B$2,T$6))</f>
        <v>0</v>
      </c>
      <c r="V17" s="23">
        <f t="shared" ca="1" si="5"/>
        <v>0</v>
      </c>
    </row>
    <row r="18" spans="1:22" x14ac:dyDescent="0.25">
      <c r="A18" s="17" t="s">
        <v>59</v>
      </c>
      <c r="B18" s="18">
        <f ca="1">_xll.DBRW($B$1,B$7,B$5,$A18,$B$2,B$6)</f>
        <v>0</v>
      </c>
      <c r="C18" s="24"/>
      <c r="D18" s="18">
        <f ca="1">IF($D$2="Restit",_xll.DBRW($B$1,D$7,D$5,$A18,$B$2,D$6),_xll.DBSW($B18,$B$1,D$7,D$5,$A18,$B$2,D$6))</f>
        <v>0</v>
      </c>
      <c r="E18" s="18">
        <f ca="1">IF($D$2="Restit",_xll.DBRW($B$1,E$7,E$5,$A18,$B$2,E$6),_xll.DBSW($B18,$B$1,E$7,E$5,$A18,$B$2,E$6))</f>
        <v>0</v>
      </c>
      <c r="F18" s="18">
        <f ca="1">IF($D$2="Restit",_xll.DBRW($B$1,F$7,F$5,$A18,$B$2,F$6),_xll.DBSW($B18,$B$1,F$7,F$5,$A18,$B$2,F$6))</f>
        <v>0</v>
      </c>
      <c r="G18" s="18">
        <f ca="1">IF($D$2="Restit",_xll.DBRW($B$1,G$7,G$5,$A18,$B$2,G$6),_xll.DBSW($B18,$B$1,G$7,G$5,$A18,$B$2,G$6))</f>
        <v>0</v>
      </c>
      <c r="H18" s="18">
        <f ca="1">IF($D$2="Restit",_xll.DBRW($B$1,H$7,H$5,$A18,$B$2,H$6),_xll.DBSW($B18,$B$1,H$7,H$5,$A18,$B$2,H$6))</f>
        <v>0</v>
      </c>
      <c r="J18" s="18">
        <f ca="1">IF($D$2="Restit",_xll.DBRW($B$1,J$7,J$5,$A18,$B$2,J$6),_xll.DBSW($B18,$B$1,J$7,J$5,$A18,$B$2,J$6))</f>
        <v>0</v>
      </c>
      <c r="K18" s="18">
        <f ca="1">IF($D$2="Restit",_xll.DBRW($B$1,K$7,K$5,$A18,$B$2,K$6),_xll.DBSW($B18,$B$1,K$7,K$5,$A18,$B$2,K$6))</f>
        <v>0</v>
      </c>
      <c r="L18" s="18">
        <f ca="1">IF($D$2="Restit",_xll.DBRW($B$1,L$7,L$5,$A18,$B$2,L$6),_xll.DBSW($B18,$B$1,L$7,L$5,$A18,$B$2,L$6))</f>
        <v>0</v>
      </c>
      <c r="M18" s="18">
        <f ca="1">IF($D$2="Restit",_xll.DBRW($B$1,M$7,M$5,$A18,$B$2,M$6),_xll.DBSW($B18,$B$1,M$7,M$5,$A18,$B$2,M$6))</f>
        <v>0</v>
      </c>
      <c r="N18" s="18">
        <f ca="1">IF($D$2="Restit",_xll.DBRW($B$1,N$7,N$5,$A18,$B$2,N$6),_xll.DBSW($B18,$B$1,N$7,N$5,$A18,$B$2,N$6))</f>
        <v>0</v>
      </c>
      <c r="P18" s="18">
        <f ca="1">IF($D$2="Restit",_xll.DBRW($B$1,P$7,P$5,$A18,$B$2,P$6),_xll.DBSW($B18,$B$1,P$7,P$5,$A18,$B$2,P$6))</f>
        <v>0</v>
      </c>
      <c r="Q18" s="18">
        <f ca="1">IF($D$2="Restit",_xll.DBRW($B$1,Q$7,Q$5,$A18,$B$2,Q$6),_xll.DBSW($B18,$B$1,Q$7,Q$5,$A18,$B$2,Q$6))</f>
        <v>0</v>
      </c>
      <c r="R18" s="18">
        <f ca="1">IF($D$2="Restit",_xll.DBRW($B$1,R$7,R$5,$A18,$B$2,R$6),_xll.DBSW($B18,$B$1,R$7,R$5,$A18,$B$2,R$6))</f>
        <v>0</v>
      </c>
      <c r="S18" s="18">
        <f ca="1">IF($D$2="Restit",_xll.DBRW($B$1,S$7,S$5,$A18,$B$2,S$6),_xll.DBSW($B18,$B$1,S$7,S$5,$A18,$B$2,S$6))</f>
        <v>0</v>
      </c>
      <c r="T18" s="18">
        <f ca="1">IF($D$2="Restit",_xll.DBRW($B$1,T$7,T$5,$A18,$B$2,T$6),_xll.DBSW($B18,$B$1,T$7,T$5,$A18,$B$2,T$6))</f>
        <v>0</v>
      </c>
      <c r="V18" s="23">
        <f t="shared" ca="1" si="5"/>
        <v>0</v>
      </c>
    </row>
    <row r="19" spans="1:22" x14ac:dyDescent="0.25">
      <c r="A19" s="17" t="s">
        <v>60</v>
      </c>
      <c r="B19" s="18">
        <f ca="1">_xll.DBRW($B$1,B$7,B$5,$A19,$B$2,B$6)</f>
        <v>0</v>
      </c>
      <c r="C19" s="24"/>
      <c r="D19" s="18">
        <f ca="1">IF($D$2="Restit",_xll.DBRW($B$1,D$7,D$5,$A19,$B$2,D$6),_xll.DBSW($B19,$B$1,D$7,D$5,$A19,$B$2,D$6))</f>
        <v>0</v>
      </c>
      <c r="E19" s="18">
        <f ca="1">IF($D$2="Restit",_xll.DBRW($B$1,E$7,E$5,$A19,$B$2,E$6),_xll.DBSW($B19,$B$1,E$7,E$5,$A19,$B$2,E$6))</f>
        <v>0</v>
      </c>
      <c r="F19" s="18">
        <f ca="1">IF($D$2="Restit",_xll.DBRW($B$1,F$7,F$5,$A19,$B$2,F$6),_xll.DBSW($B19,$B$1,F$7,F$5,$A19,$B$2,F$6))</f>
        <v>0</v>
      </c>
      <c r="G19" s="18">
        <f ca="1">IF($D$2="Restit",_xll.DBRW($B$1,G$7,G$5,$A19,$B$2,G$6),_xll.DBSW($B19,$B$1,G$7,G$5,$A19,$B$2,G$6))</f>
        <v>0</v>
      </c>
      <c r="H19" s="18">
        <f ca="1">IF($D$2="Restit",_xll.DBRW($B$1,H$7,H$5,$A19,$B$2,H$6),_xll.DBSW($B19,$B$1,H$7,H$5,$A19,$B$2,H$6))</f>
        <v>0</v>
      </c>
      <c r="J19" s="18">
        <f ca="1">IF($D$2="Restit",_xll.DBRW($B$1,J$7,J$5,$A19,$B$2,J$6),_xll.DBSW($B19,$B$1,J$7,J$5,$A19,$B$2,J$6))</f>
        <v>0</v>
      </c>
      <c r="K19" s="18">
        <f ca="1">IF($D$2="Restit",_xll.DBRW($B$1,K$7,K$5,$A19,$B$2,K$6),_xll.DBSW($B19,$B$1,K$7,K$5,$A19,$B$2,K$6))</f>
        <v>0</v>
      </c>
      <c r="L19" s="18">
        <f ca="1">IF($D$2="Restit",_xll.DBRW($B$1,L$7,L$5,$A19,$B$2,L$6),_xll.DBSW($B19,$B$1,L$7,L$5,$A19,$B$2,L$6))</f>
        <v>0</v>
      </c>
      <c r="M19" s="18">
        <f ca="1">IF($D$2="Restit",_xll.DBRW($B$1,M$7,M$5,$A19,$B$2,M$6),_xll.DBSW($B19,$B$1,M$7,M$5,$A19,$B$2,M$6))</f>
        <v>0</v>
      </c>
      <c r="N19" s="18">
        <f ca="1">IF($D$2="Restit",_xll.DBRW($B$1,N$7,N$5,$A19,$B$2,N$6),_xll.DBSW($B19,$B$1,N$7,N$5,$A19,$B$2,N$6))</f>
        <v>0</v>
      </c>
      <c r="P19" s="18">
        <f ca="1">IF($D$2="Restit",_xll.DBRW($B$1,P$7,P$5,$A19,$B$2,P$6),_xll.DBSW($B19,$B$1,P$7,P$5,$A19,$B$2,P$6))</f>
        <v>0</v>
      </c>
      <c r="Q19" s="18">
        <f ca="1">IF($D$2="Restit",_xll.DBRW($B$1,Q$7,Q$5,$A19,$B$2,Q$6),_xll.DBSW($B19,$B$1,Q$7,Q$5,$A19,$B$2,Q$6))</f>
        <v>0</v>
      </c>
      <c r="R19" s="18">
        <f ca="1">IF($D$2="Restit",_xll.DBRW($B$1,R$7,R$5,$A19,$B$2,R$6),_xll.DBSW($B19,$B$1,R$7,R$5,$A19,$B$2,R$6))</f>
        <v>0</v>
      </c>
      <c r="S19" s="18">
        <f ca="1">IF($D$2="Restit",_xll.DBRW($B$1,S$7,S$5,$A19,$B$2,S$6),_xll.DBSW($B19,$B$1,S$7,S$5,$A19,$B$2,S$6))</f>
        <v>0</v>
      </c>
      <c r="T19" s="18">
        <f ca="1">IF($D$2="Restit",_xll.DBRW($B$1,T$7,T$5,$A19,$B$2,T$6),_xll.DBSW($B19,$B$1,T$7,T$5,$A19,$B$2,T$6))</f>
        <v>0</v>
      </c>
      <c r="V19" s="23">
        <f t="shared" ca="1" si="5"/>
        <v>0</v>
      </c>
    </row>
    <row r="20" spans="1:22" x14ac:dyDescent="0.25">
      <c r="A20" s="17" t="s">
        <v>61</v>
      </c>
      <c r="B20" s="18">
        <f ca="1">_xll.DBRW($B$1,B$7,B$5,$A20,$B$2,B$6)</f>
        <v>0</v>
      </c>
      <c r="C20" s="24"/>
      <c r="D20" s="18">
        <f ca="1">IF($D$2="Restit",_xll.DBRW($B$1,D$7,D$5,$A20,$B$2,D$6),_xll.DBSW($B20,$B$1,D$7,D$5,$A20,$B$2,D$6))</f>
        <v>0</v>
      </c>
      <c r="E20" s="18">
        <f ca="1">IF($D$2="Restit",_xll.DBRW($B$1,E$7,E$5,$A20,$B$2,E$6),_xll.DBSW($B20,$B$1,E$7,E$5,$A20,$B$2,E$6))</f>
        <v>0</v>
      </c>
      <c r="F20" s="18">
        <f ca="1">IF($D$2="Restit",_xll.DBRW($B$1,F$7,F$5,$A20,$B$2,F$6),_xll.DBSW($B20,$B$1,F$7,F$5,$A20,$B$2,F$6))</f>
        <v>0</v>
      </c>
      <c r="G20" s="18">
        <f ca="1">IF($D$2="Restit",_xll.DBRW($B$1,G$7,G$5,$A20,$B$2,G$6),_xll.DBSW($B20,$B$1,G$7,G$5,$A20,$B$2,G$6))</f>
        <v>0</v>
      </c>
      <c r="H20" s="18">
        <f ca="1">IF($D$2="Restit",_xll.DBRW($B$1,H$7,H$5,$A20,$B$2,H$6),_xll.DBSW($B20,$B$1,H$7,H$5,$A20,$B$2,H$6))</f>
        <v>0</v>
      </c>
      <c r="J20" s="18">
        <f ca="1">IF($D$2="Restit",_xll.DBRW($B$1,J$7,J$5,$A20,$B$2,J$6),_xll.DBSW($B20,$B$1,J$7,J$5,$A20,$B$2,J$6))</f>
        <v>0</v>
      </c>
      <c r="K20" s="18">
        <f ca="1">IF($D$2="Restit",_xll.DBRW($B$1,K$7,K$5,$A20,$B$2,K$6),_xll.DBSW($B20,$B$1,K$7,K$5,$A20,$B$2,K$6))</f>
        <v>0</v>
      </c>
      <c r="L20" s="18">
        <f ca="1">IF($D$2="Restit",_xll.DBRW($B$1,L$7,L$5,$A20,$B$2,L$6),_xll.DBSW($B20,$B$1,L$7,L$5,$A20,$B$2,L$6))</f>
        <v>0</v>
      </c>
      <c r="M20" s="18">
        <f ca="1">IF($D$2="Restit",_xll.DBRW($B$1,M$7,M$5,$A20,$B$2,M$6),_xll.DBSW($B20,$B$1,M$7,M$5,$A20,$B$2,M$6))</f>
        <v>0</v>
      </c>
      <c r="N20" s="18">
        <f ca="1">IF($D$2="Restit",_xll.DBRW($B$1,N$7,N$5,$A20,$B$2,N$6),_xll.DBSW($B20,$B$1,N$7,N$5,$A20,$B$2,N$6))</f>
        <v>0</v>
      </c>
      <c r="P20" s="18">
        <f ca="1">IF($D$2="Restit",_xll.DBRW($B$1,P$7,P$5,$A20,$B$2,P$6),_xll.DBSW($B20,$B$1,P$7,P$5,$A20,$B$2,P$6))</f>
        <v>0</v>
      </c>
      <c r="Q20" s="18">
        <f ca="1">IF($D$2="Restit",_xll.DBRW($B$1,Q$7,Q$5,$A20,$B$2,Q$6),_xll.DBSW($B20,$B$1,Q$7,Q$5,$A20,$B$2,Q$6))</f>
        <v>0</v>
      </c>
      <c r="R20" s="18">
        <f ca="1">IF($D$2="Restit",_xll.DBRW($B$1,R$7,R$5,$A20,$B$2,R$6),_xll.DBSW($B20,$B$1,R$7,R$5,$A20,$B$2,R$6))</f>
        <v>0</v>
      </c>
      <c r="S20" s="18">
        <f ca="1">IF($D$2="Restit",_xll.DBRW($B$1,S$7,S$5,$A20,$B$2,S$6),_xll.DBSW($B20,$B$1,S$7,S$5,$A20,$B$2,S$6))</f>
        <v>0</v>
      </c>
      <c r="T20" s="18">
        <f ca="1">IF($D$2="Restit",_xll.DBRW($B$1,T$7,T$5,$A20,$B$2,T$6),_xll.DBSW($B20,$B$1,T$7,T$5,$A20,$B$2,T$6))</f>
        <v>0</v>
      </c>
      <c r="V20" s="23">
        <f t="shared" ca="1" si="5"/>
        <v>0</v>
      </c>
    </row>
    <row r="21" spans="1:22" x14ac:dyDescent="0.25">
      <c r="A21" s="17" t="s">
        <v>62</v>
      </c>
      <c r="B21" s="18">
        <f ca="1">_xll.DBRW($B$1,B$7,B$5,$A21,$B$2,B$6)</f>
        <v>0</v>
      </c>
      <c r="C21" s="24"/>
      <c r="D21" s="18">
        <f ca="1">IF($D$2="Restit",_xll.DBRW($B$1,D$7,D$5,$A21,$B$2,D$6),_xll.DBSW($B21,$B$1,D$7,D$5,$A21,$B$2,D$6))</f>
        <v>0</v>
      </c>
      <c r="E21" s="18">
        <f ca="1">IF($D$2="Restit",_xll.DBRW($B$1,E$7,E$5,$A21,$B$2,E$6),_xll.DBSW($B21,$B$1,E$7,E$5,$A21,$B$2,E$6))</f>
        <v>0</v>
      </c>
      <c r="F21" s="18">
        <f ca="1">IF($D$2="Restit",_xll.DBRW($B$1,F$7,F$5,$A21,$B$2,F$6),_xll.DBSW($B21,$B$1,F$7,F$5,$A21,$B$2,F$6))</f>
        <v>0</v>
      </c>
      <c r="G21" s="18">
        <f ca="1">IF($D$2="Restit",_xll.DBRW($B$1,G$7,G$5,$A21,$B$2,G$6),_xll.DBSW($B21,$B$1,G$7,G$5,$A21,$B$2,G$6))</f>
        <v>0</v>
      </c>
      <c r="H21" s="18">
        <f ca="1">IF($D$2="Restit",_xll.DBRW($B$1,H$7,H$5,$A21,$B$2,H$6),_xll.DBSW($B21,$B$1,H$7,H$5,$A21,$B$2,H$6))</f>
        <v>0</v>
      </c>
      <c r="J21" s="18">
        <f ca="1">IF($D$2="Restit",_xll.DBRW($B$1,J$7,J$5,$A21,$B$2,J$6),_xll.DBSW($B21,$B$1,J$7,J$5,$A21,$B$2,J$6))</f>
        <v>0</v>
      </c>
      <c r="K21" s="18">
        <f ca="1">IF($D$2="Restit",_xll.DBRW($B$1,K$7,K$5,$A21,$B$2,K$6),_xll.DBSW($B21,$B$1,K$7,K$5,$A21,$B$2,K$6))</f>
        <v>0</v>
      </c>
      <c r="L21" s="18">
        <f ca="1">IF($D$2="Restit",_xll.DBRW($B$1,L$7,L$5,$A21,$B$2,L$6),_xll.DBSW($B21,$B$1,L$7,L$5,$A21,$B$2,L$6))</f>
        <v>0</v>
      </c>
      <c r="M21" s="18">
        <f ca="1">IF($D$2="Restit",_xll.DBRW($B$1,M$7,M$5,$A21,$B$2,M$6),_xll.DBSW($B21,$B$1,M$7,M$5,$A21,$B$2,M$6))</f>
        <v>0</v>
      </c>
      <c r="N21" s="18">
        <f ca="1">IF($D$2="Restit",_xll.DBRW($B$1,N$7,N$5,$A21,$B$2,N$6),_xll.DBSW($B21,$B$1,N$7,N$5,$A21,$B$2,N$6))</f>
        <v>0</v>
      </c>
      <c r="P21" s="18">
        <f ca="1">IF($D$2="Restit",_xll.DBRW($B$1,P$7,P$5,$A21,$B$2,P$6),_xll.DBSW($B21,$B$1,P$7,P$5,$A21,$B$2,P$6))</f>
        <v>0</v>
      </c>
      <c r="Q21" s="18">
        <f ca="1">IF($D$2="Restit",_xll.DBRW($B$1,Q$7,Q$5,$A21,$B$2,Q$6),_xll.DBSW($B21,$B$1,Q$7,Q$5,$A21,$B$2,Q$6))</f>
        <v>0</v>
      </c>
      <c r="R21" s="18">
        <f ca="1">IF($D$2="Restit",_xll.DBRW($B$1,R$7,R$5,$A21,$B$2,R$6),_xll.DBSW($B21,$B$1,R$7,R$5,$A21,$B$2,R$6))</f>
        <v>0</v>
      </c>
      <c r="S21" s="18">
        <f ca="1">IF($D$2="Restit",_xll.DBRW($B$1,S$7,S$5,$A21,$B$2,S$6),_xll.DBSW($B21,$B$1,S$7,S$5,$A21,$B$2,S$6))</f>
        <v>0</v>
      </c>
      <c r="T21" s="18">
        <f ca="1">IF($D$2="Restit",_xll.DBRW($B$1,T$7,T$5,$A21,$B$2,T$6),_xll.DBSW($B21,$B$1,T$7,T$5,$A21,$B$2,T$6))</f>
        <v>0</v>
      </c>
      <c r="V21" s="23">
        <f t="shared" ca="1" si="5"/>
        <v>0</v>
      </c>
    </row>
    <row r="22" spans="1:22" x14ac:dyDescent="0.25">
      <c r="A22" s="17" t="s">
        <v>63</v>
      </c>
      <c r="B22" s="18">
        <f ca="1">_xll.DBRW($B$1,B$7,B$5,$A22,$B$2,B$6)</f>
        <v>0</v>
      </c>
      <c r="C22" s="24"/>
      <c r="D22" s="18">
        <f ca="1">IF($D$2="Restit",_xll.DBRW($B$1,D$7,D$5,$A22,$B$2,D$6),_xll.DBSW($B22,$B$1,D$7,D$5,$A22,$B$2,D$6))</f>
        <v>0</v>
      </c>
      <c r="E22" s="18">
        <f ca="1">IF($D$2="Restit",_xll.DBRW($B$1,E$7,E$5,$A22,$B$2,E$6),_xll.DBSW($B22,$B$1,E$7,E$5,$A22,$B$2,E$6))</f>
        <v>0</v>
      </c>
      <c r="F22" s="18">
        <f ca="1">IF($D$2="Restit",_xll.DBRW($B$1,F$7,F$5,$A22,$B$2,F$6),_xll.DBSW($B22,$B$1,F$7,F$5,$A22,$B$2,F$6))</f>
        <v>0</v>
      </c>
      <c r="G22" s="18">
        <f ca="1">IF($D$2="Restit",_xll.DBRW($B$1,G$7,G$5,$A22,$B$2,G$6),_xll.DBSW($B22,$B$1,G$7,G$5,$A22,$B$2,G$6))</f>
        <v>0</v>
      </c>
      <c r="H22" s="18">
        <f ca="1">IF($D$2="Restit",_xll.DBRW($B$1,H$7,H$5,$A22,$B$2,H$6),_xll.DBSW($B22,$B$1,H$7,H$5,$A22,$B$2,H$6))</f>
        <v>0</v>
      </c>
      <c r="J22" s="18">
        <f ca="1">IF($D$2="Restit",_xll.DBRW($B$1,J$7,J$5,$A22,$B$2,J$6),_xll.DBSW($B22,$B$1,J$7,J$5,$A22,$B$2,J$6))</f>
        <v>0</v>
      </c>
      <c r="K22" s="18">
        <f ca="1">IF($D$2="Restit",_xll.DBRW($B$1,K$7,K$5,$A22,$B$2,K$6),_xll.DBSW($B22,$B$1,K$7,K$5,$A22,$B$2,K$6))</f>
        <v>0</v>
      </c>
      <c r="L22" s="18">
        <f ca="1">IF($D$2="Restit",_xll.DBRW($B$1,L$7,L$5,$A22,$B$2,L$6),_xll.DBSW($B22,$B$1,L$7,L$5,$A22,$B$2,L$6))</f>
        <v>0</v>
      </c>
      <c r="M22" s="18">
        <f ca="1">IF($D$2="Restit",_xll.DBRW($B$1,M$7,M$5,$A22,$B$2,M$6),_xll.DBSW($B22,$B$1,M$7,M$5,$A22,$B$2,M$6))</f>
        <v>0</v>
      </c>
      <c r="N22" s="18">
        <f ca="1">IF($D$2="Restit",_xll.DBRW($B$1,N$7,N$5,$A22,$B$2,N$6),_xll.DBSW($B22,$B$1,N$7,N$5,$A22,$B$2,N$6))</f>
        <v>0</v>
      </c>
      <c r="P22" s="18">
        <f ca="1">IF($D$2="Restit",_xll.DBRW($B$1,P$7,P$5,$A22,$B$2,P$6),_xll.DBSW($B22,$B$1,P$7,P$5,$A22,$B$2,P$6))</f>
        <v>0</v>
      </c>
      <c r="Q22" s="18">
        <f ca="1">IF($D$2="Restit",_xll.DBRW($B$1,Q$7,Q$5,$A22,$B$2,Q$6),_xll.DBSW($B22,$B$1,Q$7,Q$5,$A22,$B$2,Q$6))</f>
        <v>0</v>
      </c>
      <c r="R22" s="18">
        <f ca="1">IF($D$2="Restit",_xll.DBRW($B$1,R$7,R$5,$A22,$B$2,R$6),_xll.DBSW($B22,$B$1,R$7,R$5,$A22,$B$2,R$6))</f>
        <v>0</v>
      </c>
      <c r="S22" s="18">
        <f ca="1">IF($D$2="Restit",_xll.DBRW($B$1,S$7,S$5,$A22,$B$2,S$6),_xll.DBSW($B22,$B$1,S$7,S$5,$A22,$B$2,S$6))</f>
        <v>0</v>
      </c>
      <c r="T22" s="18">
        <f ca="1">IF($D$2="Restit",_xll.DBRW($B$1,T$7,T$5,$A22,$B$2,T$6),_xll.DBSW($B22,$B$1,T$7,T$5,$A22,$B$2,T$6))</f>
        <v>0</v>
      </c>
      <c r="V22" s="23">
        <f t="shared" ca="1" si="5"/>
        <v>0</v>
      </c>
    </row>
    <row r="23" spans="1:22" x14ac:dyDescent="0.25">
      <c r="A23" s="17" t="s">
        <v>64</v>
      </c>
      <c r="B23" s="18">
        <f ca="1">_xll.DBRW($B$1,B$7,B$5,$A23,$B$2,B$6)</f>
        <v>0</v>
      </c>
      <c r="C23" s="24"/>
      <c r="D23" s="18">
        <f ca="1">IF($D$2="Restit",_xll.DBRW($B$1,D$7,D$5,$A23,$B$2,D$6),_xll.DBSW($B23,$B$1,D$7,D$5,$A23,$B$2,D$6))</f>
        <v>0</v>
      </c>
      <c r="E23" s="18">
        <f ca="1">IF($D$2="Restit",_xll.DBRW($B$1,E$7,E$5,$A23,$B$2,E$6),_xll.DBSW($B23,$B$1,E$7,E$5,$A23,$B$2,E$6))</f>
        <v>0</v>
      </c>
      <c r="F23" s="18">
        <f ca="1">IF($D$2="Restit",_xll.DBRW($B$1,F$7,F$5,$A23,$B$2,F$6),_xll.DBSW($B23,$B$1,F$7,F$5,$A23,$B$2,F$6))</f>
        <v>0</v>
      </c>
      <c r="G23" s="18">
        <f ca="1">IF($D$2="Restit",_xll.DBRW($B$1,G$7,G$5,$A23,$B$2,G$6),_xll.DBSW($B23,$B$1,G$7,G$5,$A23,$B$2,G$6))</f>
        <v>0</v>
      </c>
      <c r="H23" s="18">
        <f ca="1">IF($D$2="Restit",_xll.DBRW($B$1,H$7,H$5,$A23,$B$2,H$6),_xll.DBSW($B23,$B$1,H$7,H$5,$A23,$B$2,H$6))</f>
        <v>0</v>
      </c>
      <c r="J23" s="18">
        <f ca="1">IF($D$2="Restit",_xll.DBRW($B$1,J$7,J$5,$A23,$B$2,J$6),_xll.DBSW($B23,$B$1,J$7,J$5,$A23,$B$2,J$6))</f>
        <v>0</v>
      </c>
      <c r="K23" s="18">
        <f ca="1">IF($D$2="Restit",_xll.DBRW($B$1,K$7,K$5,$A23,$B$2,K$6),_xll.DBSW($B23,$B$1,K$7,K$5,$A23,$B$2,K$6))</f>
        <v>0</v>
      </c>
      <c r="L23" s="18">
        <f ca="1">IF($D$2="Restit",_xll.DBRW($B$1,L$7,L$5,$A23,$B$2,L$6),_xll.DBSW($B23,$B$1,L$7,L$5,$A23,$B$2,L$6))</f>
        <v>0</v>
      </c>
      <c r="M23" s="18">
        <f ca="1">IF($D$2="Restit",_xll.DBRW($B$1,M$7,M$5,$A23,$B$2,M$6),_xll.DBSW($B23,$B$1,M$7,M$5,$A23,$B$2,M$6))</f>
        <v>0</v>
      </c>
      <c r="N23" s="18">
        <f ca="1">IF($D$2="Restit",_xll.DBRW($B$1,N$7,N$5,$A23,$B$2,N$6),_xll.DBSW($B23,$B$1,N$7,N$5,$A23,$B$2,N$6))</f>
        <v>0</v>
      </c>
      <c r="P23" s="18">
        <f ca="1">IF($D$2="Restit",_xll.DBRW($B$1,P$7,P$5,$A23,$B$2,P$6),_xll.DBSW($B23,$B$1,P$7,P$5,$A23,$B$2,P$6))</f>
        <v>0</v>
      </c>
      <c r="Q23" s="18">
        <f ca="1">IF($D$2="Restit",_xll.DBRW($B$1,Q$7,Q$5,$A23,$B$2,Q$6),_xll.DBSW($B23,$B$1,Q$7,Q$5,$A23,$B$2,Q$6))</f>
        <v>0</v>
      </c>
      <c r="R23" s="18">
        <f ca="1">IF($D$2="Restit",_xll.DBRW($B$1,R$7,R$5,$A23,$B$2,R$6),_xll.DBSW($B23,$B$1,R$7,R$5,$A23,$B$2,R$6))</f>
        <v>0</v>
      </c>
      <c r="S23" s="18">
        <f ca="1">IF($D$2="Restit",_xll.DBRW($B$1,S$7,S$5,$A23,$B$2,S$6),_xll.DBSW($B23,$B$1,S$7,S$5,$A23,$B$2,S$6))</f>
        <v>0</v>
      </c>
      <c r="T23" s="18">
        <f ca="1">IF($D$2="Restit",_xll.DBRW($B$1,T$7,T$5,$A23,$B$2,T$6),_xll.DBSW($B23,$B$1,T$7,T$5,$A23,$B$2,T$6))</f>
        <v>0</v>
      </c>
      <c r="V23" s="23">
        <f t="shared" ca="1" si="5"/>
        <v>0</v>
      </c>
    </row>
    <row r="24" spans="1:22" x14ac:dyDescent="0.25">
      <c r="A24" s="17" t="s">
        <v>65</v>
      </c>
      <c r="B24" s="18">
        <f ca="1">_xll.DBRW($B$1,B$7,B$5,$A24,$B$2,B$6)</f>
        <v>0</v>
      </c>
      <c r="C24" s="24"/>
      <c r="D24" s="18">
        <f ca="1">IF($D$2="Restit",_xll.DBRW($B$1,D$7,D$5,$A24,$B$2,D$6),_xll.DBSW($B24,$B$1,D$7,D$5,$A24,$B$2,D$6))</f>
        <v>0</v>
      </c>
      <c r="E24" s="18">
        <f ca="1">IF($D$2="Restit",_xll.DBRW($B$1,E$7,E$5,$A24,$B$2,E$6),_xll.DBSW($B24,$B$1,E$7,E$5,$A24,$B$2,E$6))</f>
        <v>0</v>
      </c>
      <c r="F24" s="18">
        <f ca="1">IF($D$2="Restit",_xll.DBRW($B$1,F$7,F$5,$A24,$B$2,F$6),_xll.DBSW($B24,$B$1,F$7,F$5,$A24,$B$2,F$6))</f>
        <v>0</v>
      </c>
      <c r="G24" s="18">
        <f ca="1">IF($D$2="Restit",_xll.DBRW($B$1,G$7,G$5,$A24,$B$2,G$6),_xll.DBSW($B24,$B$1,G$7,G$5,$A24,$B$2,G$6))</f>
        <v>0</v>
      </c>
      <c r="H24" s="18">
        <f ca="1">IF($D$2="Restit",_xll.DBRW($B$1,H$7,H$5,$A24,$B$2,H$6),_xll.DBSW($B24,$B$1,H$7,H$5,$A24,$B$2,H$6))</f>
        <v>0</v>
      </c>
      <c r="J24" s="18">
        <f ca="1">IF($D$2="Restit",_xll.DBRW($B$1,J$7,J$5,$A24,$B$2,J$6),_xll.DBSW($B24,$B$1,J$7,J$5,$A24,$B$2,J$6))</f>
        <v>0</v>
      </c>
      <c r="K24" s="18">
        <f ca="1">IF($D$2="Restit",_xll.DBRW($B$1,K$7,K$5,$A24,$B$2,K$6),_xll.DBSW($B24,$B$1,K$7,K$5,$A24,$B$2,K$6))</f>
        <v>0</v>
      </c>
      <c r="L24" s="18">
        <f ca="1">IF($D$2="Restit",_xll.DBRW($B$1,L$7,L$5,$A24,$B$2,L$6),_xll.DBSW($B24,$B$1,L$7,L$5,$A24,$B$2,L$6))</f>
        <v>0</v>
      </c>
      <c r="M24" s="18">
        <f ca="1">IF($D$2="Restit",_xll.DBRW($B$1,M$7,M$5,$A24,$B$2,M$6),_xll.DBSW($B24,$B$1,M$7,M$5,$A24,$B$2,M$6))</f>
        <v>0</v>
      </c>
      <c r="N24" s="18">
        <f ca="1">IF($D$2="Restit",_xll.DBRW($B$1,N$7,N$5,$A24,$B$2,N$6),_xll.DBSW($B24,$B$1,N$7,N$5,$A24,$B$2,N$6))</f>
        <v>0</v>
      </c>
      <c r="P24" s="18">
        <f ca="1">IF($D$2="Restit",_xll.DBRW($B$1,P$7,P$5,$A24,$B$2,P$6),_xll.DBSW($B24,$B$1,P$7,P$5,$A24,$B$2,P$6))</f>
        <v>0</v>
      </c>
      <c r="Q24" s="18">
        <f ca="1">IF($D$2="Restit",_xll.DBRW($B$1,Q$7,Q$5,$A24,$B$2,Q$6),_xll.DBSW($B24,$B$1,Q$7,Q$5,$A24,$B$2,Q$6))</f>
        <v>0</v>
      </c>
      <c r="R24" s="18">
        <f ca="1">IF($D$2="Restit",_xll.DBRW($B$1,R$7,R$5,$A24,$B$2,R$6),_xll.DBSW($B24,$B$1,R$7,R$5,$A24,$B$2,R$6))</f>
        <v>0</v>
      </c>
      <c r="S24" s="18">
        <f ca="1">IF($D$2="Restit",_xll.DBRW($B$1,S$7,S$5,$A24,$B$2,S$6),_xll.DBSW($B24,$B$1,S$7,S$5,$A24,$B$2,S$6))</f>
        <v>0</v>
      </c>
      <c r="T24" s="18">
        <f ca="1">IF($D$2="Restit",_xll.DBRW($B$1,T$7,T$5,$A24,$B$2,T$6),_xll.DBSW($B24,$B$1,T$7,T$5,$A24,$B$2,T$6))</f>
        <v>0</v>
      </c>
      <c r="V24" s="23">
        <f t="shared" ca="1" si="5"/>
        <v>0</v>
      </c>
    </row>
    <row r="25" spans="1:22" x14ac:dyDescent="0.25">
      <c r="A25" s="17" t="s">
        <v>66</v>
      </c>
      <c r="B25" s="18">
        <f ca="1">_xll.DBRW($B$1,B$7,B$5,$A25,$B$2,B$6)</f>
        <v>0</v>
      </c>
      <c r="C25" s="24"/>
      <c r="D25" s="18">
        <f ca="1">IF($D$2="Restit",_xll.DBRW($B$1,D$7,D$5,$A25,$B$2,D$6),_xll.DBSW($B25,$B$1,D$7,D$5,$A25,$B$2,D$6))</f>
        <v>0</v>
      </c>
      <c r="E25" s="18">
        <f ca="1">IF($D$2="Restit",_xll.DBRW($B$1,E$7,E$5,$A25,$B$2,E$6),_xll.DBSW($B25,$B$1,E$7,E$5,$A25,$B$2,E$6))</f>
        <v>0</v>
      </c>
      <c r="F25" s="18">
        <f ca="1">IF($D$2="Restit",_xll.DBRW($B$1,F$7,F$5,$A25,$B$2,F$6),_xll.DBSW($B25,$B$1,F$7,F$5,$A25,$B$2,F$6))</f>
        <v>0</v>
      </c>
      <c r="G25" s="18">
        <f ca="1">IF($D$2="Restit",_xll.DBRW($B$1,G$7,G$5,$A25,$B$2,G$6),_xll.DBSW($B25,$B$1,G$7,G$5,$A25,$B$2,G$6))</f>
        <v>0</v>
      </c>
      <c r="H25" s="18">
        <f ca="1">IF($D$2="Restit",_xll.DBRW($B$1,H$7,H$5,$A25,$B$2,H$6),_xll.DBSW($B25,$B$1,H$7,H$5,$A25,$B$2,H$6))</f>
        <v>0</v>
      </c>
      <c r="J25" s="18">
        <f ca="1">IF($D$2="Restit",_xll.DBRW($B$1,J$7,J$5,$A25,$B$2,J$6),_xll.DBSW($B25,$B$1,J$7,J$5,$A25,$B$2,J$6))</f>
        <v>0</v>
      </c>
      <c r="K25" s="18">
        <f ca="1">IF($D$2="Restit",_xll.DBRW($B$1,K$7,K$5,$A25,$B$2,K$6),_xll.DBSW($B25,$B$1,K$7,K$5,$A25,$B$2,K$6))</f>
        <v>0</v>
      </c>
      <c r="L25" s="18">
        <f ca="1">IF($D$2="Restit",_xll.DBRW($B$1,L$7,L$5,$A25,$B$2,L$6),_xll.DBSW($B25,$B$1,L$7,L$5,$A25,$B$2,L$6))</f>
        <v>0</v>
      </c>
      <c r="M25" s="18">
        <f ca="1">IF($D$2="Restit",_xll.DBRW($B$1,M$7,M$5,$A25,$B$2,M$6),_xll.DBSW($B25,$B$1,M$7,M$5,$A25,$B$2,M$6))</f>
        <v>0</v>
      </c>
      <c r="N25" s="18">
        <f ca="1">IF($D$2="Restit",_xll.DBRW($B$1,N$7,N$5,$A25,$B$2,N$6),_xll.DBSW($B25,$B$1,N$7,N$5,$A25,$B$2,N$6))</f>
        <v>0</v>
      </c>
      <c r="P25" s="18">
        <f ca="1">IF($D$2="Restit",_xll.DBRW($B$1,P$7,P$5,$A25,$B$2,P$6),_xll.DBSW($B25,$B$1,P$7,P$5,$A25,$B$2,P$6))</f>
        <v>0</v>
      </c>
      <c r="Q25" s="18">
        <f ca="1">IF($D$2="Restit",_xll.DBRW($B$1,Q$7,Q$5,$A25,$B$2,Q$6),_xll.DBSW($B25,$B$1,Q$7,Q$5,$A25,$B$2,Q$6))</f>
        <v>0</v>
      </c>
      <c r="R25" s="18">
        <f ca="1">IF($D$2="Restit",_xll.DBRW($B$1,R$7,R$5,$A25,$B$2,R$6),_xll.DBSW($B25,$B$1,R$7,R$5,$A25,$B$2,R$6))</f>
        <v>0</v>
      </c>
      <c r="S25" s="18">
        <f ca="1">IF($D$2="Restit",_xll.DBRW($B$1,S$7,S$5,$A25,$B$2,S$6),_xll.DBSW($B25,$B$1,S$7,S$5,$A25,$B$2,S$6))</f>
        <v>0</v>
      </c>
      <c r="T25" s="18">
        <f ca="1">IF($D$2="Restit",_xll.DBRW($B$1,T$7,T$5,$A25,$B$2,T$6),_xll.DBSW($B25,$B$1,T$7,T$5,$A25,$B$2,T$6))</f>
        <v>0</v>
      </c>
      <c r="V25" s="23">
        <f t="shared" ca="1" si="5"/>
        <v>0</v>
      </c>
    </row>
    <row r="26" spans="1:22" x14ac:dyDescent="0.25">
      <c r="A26" s="17" t="s">
        <v>67</v>
      </c>
      <c r="B26" s="18">
        <f ca="1">_xll.DBRW($B$1,B$7,B$5,$A26,$B$2,B$6)</f>
        <v>0</v>
      </c>
      <c r="C26" s="24"/>
      <c r="D26" s="18">
        <f ca="1">IF($D$2="Restit",_xll.DBRW($B$1,D$7,D$5,$A26,$B$2,D$6),_xll.DBSW($B26,$B$1,D$7,D$5,$A26,$B$2,D$6))</f>
        <v>0</v>
      </c>
      <c r="E26" s="18">
        <f ca="1">IF($D$2="Restit",_xll.DBRW($B$1,E$7,E$5,$A26,$B$2,E$6),_xll.DBSW($B26,$B$1,E$7,E$5,$A26,$B$2,E$6))</f>
        <v>0</v>
      </c>
      <c r="F26" s="18">
        <f ca="1">IF($D$2="Restit",_xll.DBRW($B$1,F$7,F$5,$A26,$B$2,F$6),_xll.DBSW($B26,$B$1,F$7,F$5,$A26,$B$2,F$6))</f>
        <v>0</v>
      </c>
      <c r="G26" s="18">
        <f ca="1">IF($D$2="Restit",_xll.DBRW($B$1,G$7,G$5,$A26,$B$2,G$6),_xll.DBSW($B26,$B$1,G$7,G$5,$A26,$B$2,G$6))</f>
        <v>0</v>
      </c>
      <c r="H26" s="18">
        <f ca="1">IF($D$2="Restit",_xll.DBRW($B$1,H$7,H$5,$A26,$B$2,H$6),_xll.DBSW($B26,$B$1,H$7,H$5,$A26,$B$2,H$6))</f>
        <v>0</v>
      </c>
      <c r="J26" s="18">
        <f ca="1">IF($D$2="Restit",_xll.DBRW($B$1,J$7,J$5,$A26,$B$2,J$6),_xll.DBSW($B26,$B$1,J$7,J$5,$A26,$B$2,J$6))</f>
        <v>0</v>
      </c>
      <c r="K26" s="18">
        <f ca="1">IF($D$2="Restit",_xll.DBRW($B$1,K$7,K$5,$A26,$B$2,K$6),_xll.DBSW($B26,$B$1,K$7,K$5,$A26,$B$2,K$6))</f>
        <v>0</v>
      </c>
      <c r="L26" s="18">
        <f ca="1">IF($D$2="Restit",_xll.DBRW($B$1,L$7,L$5,$A26,$B$2,L$6),_xll.DBSW($B26,$B$1,L$7,L$5,$A26,$B$2,L$6))</f>
        <v>0</v>
      </c>
      <c r="M26" s="18">
        <f ca="1">IF($D$2="Restit",_xll.DBRW($B$1,M$7,M$5,$A26,$B$2,M$6),_xll.DBSW($B26,$B$1,M$7,M$5,$A26,$B$2,M$6))</f>
        <v>0</v>
      </c>
      <c r="N26" s="18">
        <f ca="1">IF($D$2="Restit",_xll.DBRW($B$1,N$7,N$5,$A26,$B$2,N$6),_xll.DBSW($B26,$B$1,N$7,N$5,$A26,$B$2,N$6))</f>
        <v>0</v>
      </c>
      <c r="P26" s="18">
        <f ca="1">IF($D$2="Restit",_xll.DBRW($B$1,P$7,P$5,$A26,$B$2,P$6),_xll.DBSW($B26,$B$1,P$7,P$5,$A26,$B$2,P$6))</f>
        <v>0</v>
      </c>
      <c r="Q26" s="18">
        <f ca="1">IF($D$2="Restit",_xll.DBRW($B$1,Q$7,Q$5,$A26,$B$2,Q$6),_xll.DBSW($B26,$B$1,Q$7,Q$5,$A26,$B$2,Q$6))</f>
        <v>0</v>
      </c>
      <c r="R26" s="18">
        <f ca="1">IF($D$2="Restit",_xll.DBRW($B$1,R$7,R$5,$A26,$B$2,R$6),_xll.DBSW($B26,$B$1,R$7,R$5,$A26,$B$2,R$6))</f>
        <v>0</v>
      </c>
      <c r="S26" s="18">
        <f ca="1">IF($D$2="Restit",_xll.DBRW($B$1,S$7,S$5,$A26,$B$2,S$6),_xll.DBSW($B26,$B$1,S$7,S$5,$A26,$B$2,S$6))</f>
        <v>0</v>
      </c>
      <c r="T26" s="18">
        <f ca="1">IF($D$2="Restit",_xll.DBRW($B$1,T$7,T$5,$A26,$B$2,T$6),_xll.DBSW($B26,$B$1,T$7,T$5,$A26,$B$2,T$6))</f>
        <v>0</v>
      </c>
      <c r="V26" s="23">
        <f t="shared" ca="1" si="5"/>
        <v>0</v>
      </c>
    </row>
    <row r="27" spans="1:22" x14ac:dyDescent="0.25">
      <c r="A27" s="17" t="s">
        <v>68</v>
      </c>
      <c r="B27" s="18">
        <f ca="1">_xll.DBRW($B$1,B$7,B$5,$A27,$B$2,B$6)</f>
        <v>0</v>
      </c>
      <c r="C27" s="24"/>
      <c r="D27" s="18">
        <f ca="1">IF($D$2="Restit",_xll.DBRW($B$1,D$7,D$5,$A27,$B$2,D$6),_xll.DBSW($B27,$B$1,D$7,D$5,$A27,$B$2,D$6))</f>
        <v>0</v>
      </c>
      <c r="E27" s="18">
        <f ca="1">IF($D$2="Restit",_xll.DBRW($B$1,E$7,E$5,$A27,$B$2,E$6),_xll.DBSW($B27,$B$1,E$7,E$5,$A27,$B$2,E$6))</f>
        <v>0</v>
      </c>
      <c r="F27" s="18">
        <f ca="1">IF($D$2="Restit",_xll.DBRW($B$1,F$7,F$5,$A27,$B$2,F$6),_xll.DBSW($B27,$B$1,F$7,F$5,$A27,$B$2,F$6))</f>
        <v>0</v>
      </c>
      <c r="G27" s="18">
        <f ca="1">IF($D$2="Restit",_xll.DBRW($B$1,G$7,G$5,$A27,$B$2,G$6),_xll.DBSW($B27,$B$1,G$7,G$5,$A27,$B$2,G$6))</f>
        <v>0</v>
      </c>
      <c r="H27" s="18">
        <f ca="1">IF($D$2="Restit",_xll.DBRW($B$1,H$7,H$5,$A27,$B$2,H$6),_xll.DBSW($B27,$B$1,H$7,H$5,$A27,$B$2,H$6))</f>
        <v>0</v>
      </c>
      <c r="J27" s="18">
        <f ca="1">IF($D$2="Restit",_xll.DBRW($B$1,J$7,J$5,$A27,$B$2,J$6),_xll.DBSW($B27,$B$1,J$7,J$5,$A27,$B$2,J$6))</f>
        <v>0</v>
      </c>
      <c r="K27" s="18">
        <f ca="1">IF($D$2="Restit",_xll.DBRW($B$1,K$7,K$5,$A27,$B$2,K$6),_xll.DBSW($B27,$B$1,K$7,K$5,$A27,$B$2,K$6))</f>
        <v>0</v>
      </c>
      <c r="L27" s="18">
        <f ca="1">IF($D$2="Restit",_xll.DBRW($B$1,L$7,L$5,$A27,$B$2,L$6),_xll.DBSW($B27,$B$1,L$7,L$5,$A27,$B$2,L$6))</f>
        <v>0</v>
      </c>
      <c r="M27" s="18">
        <f ca="1">IF($D$2="Restit",_xll.DBRW($B$1,M$7,M$5,$A27,$B$2,M$6),_xll.DBSW($B27,$B$1,M$7,M$5,$A27,$B$2,M$6))</f>
        <v>0</v>
      </c>
      <c r="N27" s="18">
        <f ca="1">IF($D$2="Restit",_xll.DBRW($B$1,N$7,N$5,$A27,$B$2,N$6),_xll.DBSW($B27,$B$1,N$7,N$5,$A27,$B$2,N$6))</f>
        <v>0</v>
      </c>
      <c r="P27" s="18">
        <f ca="1">IF($D$2="Restit",_xll.DBRW($B$1,P$7,P$5,$A27,$B$2,P$6),_xll.DBSW($B27,$B$1,P$7,P$5,$A27,$B$2,P$6))</f>
        <v>0</v>
      </c>
      <c r="Q27" s="18">
        <f ca="1">IF($D$2="Restit",_xll.DBRW($B$1,Q$7,Q$5,$A27,$B$2,Q$6),_xll.DBSW($B27,$B$1,Q$7,Q$5,$A27,$B$2,Q$6))</f>
        <v>0</v>
      </c>
      <c r="R27" s="18">
        <f ca="1">IF($D$2="Restit",_xll.DBRW($B$1,R$7,R$5,$A27,$B$2,R$6),_xll.DBSW($B27,$B$1,R$7,R$5,$A27,$B$2,R$6))</f>
        <v>0</v>
      </c>
      <c r="S27" s="18">
        <f ca="1">IF($D$2="Restit",_xll.DBRW($B$1,S$7,S$5,$A27,$B$2,S$6),_xll.DBSW($B27,$B$1,S$7,S$5,$A27,$B$2,S$6))</f>
        <v>0</v>
      </c>
      <c r="T27" s="18">
        <f ca="1">IF($D$2="Restit",_xll.DBRW($B$1,T$7,T$5,$A27,$B$2,T$6),_xll.DBSW($B27,$B$1,T$7,T$5,$A27,$B$2,T$6))</f>
        <v>0</v>
      </c>
      <c r="V27" s="23">
        <f t="shared" ca="1" si="5"/>
        <v>0</v>
      </c>
    </row>
    <row r="28" spans="1:22" x14ac:dyDescent="0.25">
      <c r="A28" s="17" t="s">
        <v>69</v>
      </c>
      <c r="B28" s="18">
        <f ca="1">_xll.DBRW($B$1,B$7,B$5,$A28,$B$2,B$6)</f>
        <v>0</v>
      </c>
      <c r="C28" s="24"/>
      <c r="D28" s="18">
        <f ca="1">IF($D$2="Restit",_xll.DBRW($B$1,D$7,D$5,$A28,$B$2,D$6),_xll.DBSW($B28,$B$1,D$7,D$5,$A28,$B$2,D$6))</f>
        <v>0</v>
      </c>
      <c r="E28" s="18">
        <f ca="1">IF($D$2="Restit",_xll.DBRW($B$1,E$7,E$5,$A28,$B$2,E$6),_xll.DBSW($B28,$B$1,E$7,E$5,$A28,$B$2,E$6))</f>
        <v>0</v>
      </c>
      <c r="F28" s="18">
        <f ca="1">IF($D$2="Restit",_xll.DBRW($B$1,F$7,F$5,$A28,$B$2,F$6),_xll.DBSW($B28,$B$1,F$7,F$5,$A28,$B$2,F$6))</f>
        <v>0</v>
      </c>
      <c r="G28" s="18">
        <f ca="1">IF($D$2="Restit",_xll.DBRW($B$1,G$7,G$5,$A28,$B$2,G$6),_xll.DBSW($B28,$B$1,G$7,G$5,$A28,$B$2,G$6))</f>
        <v>0</v>
      </c>
      <c r="H28" s="18">
        <f ca="1">IF($D$2="Restit",_xll.DBRW($B$1,H$7,H$5,$A28,$B$2,H$6),_xll.DBSW($B28,$B$1,H$7,H$5,$A28,$B$2,H$6))</f>
        <v>0</v>
      </c>
      <c r="J28" s="18">
        <f ca="1">IF($D$2="Restit",_xll.DBRW($B$1,J$7,J$5,$A28,$B$2,J$6),_xll.DBSW($B28,$B$1,J$7,J$5,$A28,$B$2,J$6))</f>
        <v>0</v>
      </c>
      <c r="K28" s="18">
        <f ca="1">IF($D$2="Restit",_xll.DBRW($B$1,K$7,K$5,$A28,$B$2,K$6),_xll.DBSW($B28,$B$1,K$7,K$5,$A28,$B$2,K$6))</f>
        <v>0</v>
      </c>
      <c r="L28" s="18">
        <f ca="1">IF($D$2="Restit",_xll.DBRW($B$1,L$7,L$5,$A28,$B$2,L$6),_xll.DBSW($B28,$B$1,L$7,L$5,$A28,$B$2,L$6))</f>
        <v>0</v>
      </c>
      <c r="M28" s="18">
        <f ca="1">IF($D$2="Restit",_xll.DBRW($B$1,M$7,M$5,$A28,$B$2,M$6),_xll.DBSW($B28,$B$1,M$7,M$5,$A28,$B$2,M$6))</f>
        <v>0</v>
      </c>
      <c r="N28" s="18">
        <f ca="1">IF($D$2="Restit",_xll.DBRW($B$1,N$7,N$5,$A28,$B$2,N$6),_xll.DBSW($B28,$B$1,N$7,N$5,$A28,$B$2,N$6))</f>
        <v>0</v>
      </c>
      <c r="P28" s="18">
        <f ca="1">IF($D$2="Restit",_xll.DBRW($B$1,P$7,P$5,$A28,$B$2,P$6),_xll.DBSW($B28,$B$1,P$7,P$5,$A28,$B$2,P$6))</f>
        <v>0</v>
      </c>
      <c r="Q28" s="18">
        <f ca="1">IF($D$2="Restit",_xll.DBRW($B$1,Q$7,Q$5,$A28,$B$2,Q$6),_xll.DBSW($B28,$B$1,Q$7,Q$5,$A28,$B$2,Q$6))</f>
        <v>0</v>
      </c>
      <c r="R28" s="18">
        <f ca="1">IF($D$2="Restit",_xll.DBRW($B$1,R$7,R$5,$A28,$B$2,R$6),_xll.DBSW($B28,$B$1,R$7,R$5,$A28,$B$2,R$6))</f>
        <v>0</v>
      </c>
      <c r="S28" s="18">
        <f ca="1">IF($D$2="Restit",_xll.DBRW($B$1,S$7,S$5,$A28,$B$2,S$6),_xll.DBSW($B28,$B$1,S$7,S$5,$A28,$B$2,S$6))</f>
        <v>0</v>
      </c>
      <c r="T28" s="18">
        <f ca="1">IF($D$2="Restit",_xll.DBRW($B$1,T$7,T$5,$A28,$B$2,T$6),_xll.DBSW($B28,$B$1,T$7,T$5,$A28,$B$2,T$6))</f>
        <v>0</v>
      </c>
      <c r="V28" s="23">
        <f t="shared" ca="1" si="5"/>
        <v>0</v>
      </c>
    </row>
    <row r="29" spans="1:22" x14ac:dyDescent="0.25">
      <c r="A29" s="17" t="s">
        <v>70</v>
      </c>
      <c r="B29" s="18">
        <f ca="1">_xll.DBRW($B$1,B$7,B$5,$A29,$B$2,B$6)</f>
        <v>0</v>
      </c>
      <c r="C29" s="24"/>
      <c r="D29" s="18">
        <f ca="1">IF($D$2="Restit",_xll.DBRW($B$1,D$7,D$5,$A29,$B$2,D$6),_xll.DBSW($B29,$B$1,D$7,D$5,$A29,$B$2,D$6))</f>
        <v>0</v>
      </c>
      <c r="E29" s="18">
        <f ca="1">IF($D$2="Restit",_xll.DBRW($B$1,E$7,E$5,$A29,$B$2,E$6),_xll.DBSW($B29,$B$1,E$7,E$5,$A29,$B$2,E$6))</f>
        <v>0</v>
      </c>
      <c r="F29" s="18">
        <f ca="1">IF($D$2="Restit",_xll.DBRW($B$1,F$7,F$5,$A29,$B$2,F$6),_xll.DBSW($B29,$B$1,F$7,F$5,$A29,$B$2,F$6))</f>
        <v>0</v>
      </c>
      <c r="G29" s="18">
        <f ca="1">IF($D$2="Restit",_xll.DBRW($B$1,G$7,G$5,$A29,$B$2,G$6),_xll.DBSW($B29,$B$1,G$7,G$5,$A29,$B$2,G$6))</f>
        <v>0</v>
      </c>
      <c r="H29" s="18">
        <f ca="1">IF($D$2="Restit",_xll.DBRW($B$1,H$7,H$5,$A29,$B$2,H$6),_xll.DBSW($B29,$B$1,H$7,H$5,$A29,$B$2,H$6))</f>
        <v>0</v>
      </c>
      <c r="J29" s="18">
        <f ca="1">IF($D$2="Restit",_xll.DBRW($B$1,J$7,J$5,$A29,$B$2,J$6),_xll.DBSW($B29,$B$1,J$7,J$5,$A29,$B$2,J$6))</f>
        <v>0</v>
      </c>
      <c r="K29" s="18">
        <f ca="1">IF($D$2="Restit",_xll.DBRW($B$1,K$7,K$5,$A29,$B$2,K$6),_xll.DBSW($B29,$B$1,K$7,K$5,$A29,$B$2,K$6))</f>
        <v>0</v>
      </c>
      <c r="L29" s="18">
        <f ca="1">IF($D$2="Restit",_xll.DBRW($B$1,L$7,L$5,$A29,$B$2,L$6),_xll.DBSW($B29,$B$1,L$7,L$5,$A29,$B$2,L$6))</f>
        <v>0</v>
      </c>
      <c r="M29" s="18">
        <f ca="1">IF($D$2="Restit",_xll.DBRW($B$1,M$7,M$5,$A29,$B$2,M$6),_xll.DBSW($B29,$B$1,M$7,M$5,$A29,$B$2,M$6))</f>
        <v>0</v>
      </c>
      <c r="N29" s="18">
        <f ca="1">IF($D$2="Restit",_xll.DBRW($B$1,N$7,N$5,$A29,$B$2,N$6),_xll.DBSW($B29,$B$1,N$7,N$5,$A29,$B$2,N$6))</f>
        <v>0</v>
      </c>
      <c r="P29" s="18">
        <f ca="1">IF($D$2="Restit",_xll.DBRW($B$1,P$7,P$5,$A29,$B$2,P$6),_xll.DBSW($B29,$B$1,P$7,P$5,$A29,$B$2,P$6))</f>
        <v>0</v>
      </c>
      <c r="Q29" s="18">
        <f ca="1">IF($D$2="Restit",_xll.DBRW($B$1,Q$7,Q$5,$A29,$B$2,Q$6),_xll.DBSW($B29,$B$1,Q$7,Q$5,$A29,$B$2,Q$6))</f>
        <v>0</v>
      </c>
      <c r="R29" s="18">
        <f ca="1">IF($D$2="Restit",_xll.DBRW($B$1,R$7,R$5,$A29,$B$2,R$6),_xll.DBSW($B29,$B$1,R$7,R$5,$A29,$B$2,R$6))</f>
        <v>0</v>
      </c>
      <c r="S29" s="18">
        <f ca="1">IF($D$2="Restit",_xll.DBRW($B$1,S$7,S$5,$A29,$B$2,S$6),_xll.DBSW($B29,$B$1,S$7,S$5,$A29,$B$2,S$6))</f>
        <v>0</v>
      </c>
      <c r="T29" s="18">
        <f ca="1">IF($D$2="Restit",_xll.DBRW($B$1,T$7,T$5,$A29,$B$2,T$6),_xll.DBSW($B29,$B$1,T$7,T$5,$A29,$B$2,T$6))</f>
        <v>0</v>
      </c>
      <c r="V29" s="23">
        <f t="shared" ca="1" si="5"/>
        <v>0</v>
      </c>
    </row>
    <row r="30" spans="1:22" x14ac:dyDescent="0.25">
      <c r="A30" s="17" t="s">
        <v>71</v>
      </c>
      <c r="B30" s="18">
        <f ca="1">_xll.DBRW($B$1,B$7,B$5,$A30,$B$2,B$6)</f>
        <v>0</v>
      </c>
      <c r="C30" s="24"/>
      <c r="D30" s="18">
        <f ca="1">IF($D$2="Restit",_xll.DBRW($B$1,D$7,D$5,$A30,$B$2,D$6),_xll.DBSW($B30,$B$1,D$7,D$5,$A30,$B$2,D$6))</f>
        <v>0</v>
      </c>
      <c r="E30" s="18">
        <f ca="1">IF($D$2="Restit",_xll.DBRW($B$1,E$7,E$5,$A30,$B$2,E$6),_xll.DBSW($B30,$B$1,E$7,E$5,$A30,$B$2,E$6))</f>
        <v>0</v>
      </c>
      <c r="F30" s="18">
        <f ca="1">IF($D$2="Restit",_xll.DBRW($B$1,F$7,F$5,$A30,$B$2,F$6),_xll.DBSW($B30,$B$1,F$7,F$5,$A30,$B$2,F$6))</f>
        <v>0</v>
      </c>
      <c r="G30" s="18">
        <f ca="1">IF($D$2="Restit",_xll.DBRW($B$1,G$7,G$5,$A30,$B$2,G$6),_xll.DBSW($B30,$B$1,G$7,G$5,$A30,$B$2,G$6))</f>
        <v>0</v>
      </c>
      <c r="H30" s="18">
        <f ca="1">IF($D$2="Restit",_xll.DBRW($B$1,H$7,H$5,$A30,$B$2,H$6),_xll.DBSW($B30,$B$1,H$7,H$5,$A30,$B$2,H$6))</f>
        <v>0</v>
      </c>
      <c r="J30" s="18">
        <f ca="1">IF($D$2="Restit",_xll.DBRW($B$1,J$7,J$5,$A30,$B$2,J$6),_xll.DBSW($B30,$B$1,J$7,J$5,$A30,$B$2,J$6))</f>
        <v>0</v>
      </c>
      <c r="K30" s="18">
        <f ca="1">IF($D$2="Restit",_xll.DBRW($B$1,K$7,K$5,$A30,$B$2,K$6),_xll.DBSW($B30,$B$1,K$7,K$5,$A30,$B$2,K$6))</f>
        <v>0</v>
      </c>
      <c r="L30" s="18">
        <f ca="1">IF($D$2="Restit",_xll.DBRW($B$1,L$7,L$5,$A30,$B$2,L$6),_xll.DBSW($B30,$B$1,L$7,L$5,$A30,$B$2,L$6))</f>
        <v>0</v>
      </c>
      <c r="M30" s="18">
        <f ca="1">IF($D$2="Restit",_xll.DBRW($B$1,M$7,M$5,$A30,$B$2,M$6),_xll.DBSW($B30,$B$1,M$7,M$5,$A30,$B$2,M$6))</f>
        <v>0</v>
      </c>
      <c r="N30" s="18">
        <f ca="1">IF($D$2="Restit",_xll.DBRW($B$1,N$7,N$5,$A30,$B$2,N$6),_xll.DBSW($B30,$B$1,N$7,N$5,$A30,$B$2,N$6))</f>
        <v>0</v>
      </c>
      <c r="P30" s="18">
        <f ca="1">IF($D$2="Restit",_xll.DBRW($B$1,P$7,P$5,$A30,$B$2,P$6),_xll.DBSW($B30,$B$1,P$7,P$5,$A30,$B$2,P$6))</f>
        <v>0</v>
      </c>
      <c r="Q30" s="18">
        <f ca="1">IF($D$2="Restit",_xll.DBRW($B$1,Q$7,Q$5,$A30,$B$2,Q$6),_xll.DBSW($B30,$B$1,Q$7,Q$5,$A30,$B$2,Q$6))</f>
        <v>0</v>
      </c>
      <c r="R30" s="18">
        <f ca="1">IF($D$2="Restit",_xll.DBRW($B$1,R$7,R$5,$A30,$B$2,R$6),_xll.DBSW($B30,$B$1,R$7,R$5,$A30,$B$2,R$6))</f>
        <v>0</v>
      </c>
      <c r="S30" s="18">
        <f ca="1">IF($D$2="Restit",_xll.DBRW($B$1,S$7,S$5,$A30,$B$2,S$6),_xll.DBSW($B30,$B$1,S$7,S$5,$A30,$B$2,S$6))</f>
        <v>0</v>
      </c>
      <c r="T30" s="18">
        <f ca="1">IF($D$2="Restit",_xll.DBRW($B$1,T$7,T$5,$A30,$B$2,T$6),_xll.DBSW($B30,$B$1,T$7,T$5,$A30,$B$2,T$6))</f>
        <v>0</v>
      </c>
      <c r="V30" s="23">
        <f t="shared" ca="1" si="5"/>
        <v>0</v>
      </c>
    </row>
    <row r="31" spans="1:22" x14ac:dyDescent="0.25">
      <c r="A31" s="20" t="s">
        <v>72</v>
      </c>
      <c r="B31" s="21">
        <v>1</v>
      </c>
      <c r="C31" s="21"/>
      <c r="D31" s="21">
        <f ca="1">IF($D$2="Restit",_xll.DBRW($B$1,D$7,D$5,$A31,$B$2,D$6),_xll.DBSW($B31,$B$1,D$7,D$5,$A31,$B$2,D$6))</f>
        <v>0</v>
      </c>
      <c r="E31" s="21">
        <f ca="1">IF($D$2="Restit",_xll.DBRW($B$1,E$7,E$5,$A31,$B$2,E$6),_xll.DBSW($B31,$B$1,E$7,E$5,$A31,$B$2,E$6))</f>
        <v>0</v>
      </c>
      <c r="F31" s="21">
        <f ca="1">IF($D$2="Restit",_xll.DBRW($B$1,F$7,F$5,$A31,$B$2,F$6),_xll.DBSW($B31,$B$1,F$7,F$5,$A31,$B$2,F$6))</f>
        <v>0</v>
      </c>
      <c r="G31" s="21">
        <f ca="1">IF($D$2="Restit",_xll.DBRW($B$1,G$7,G$5,$A31,$B$2,G$6),_xll.DBSW($B31,$B$1,G$7,G$5,$A31,$B$2,G$6))</f>
        <v>0</v>
      </c>
      <c r="H31" s="21">
        <f ca="1">IF($D$2="Restit",_xll.DBRW($B$1,H$7,H$5,$A31,$B$2,H$6),_xll.DBSW($B31,$B$1,H$7,H$5,$A31,$B$2,H$6))</f>
        <v>0</v>
      </c>
      <c r="I31" s="25"/>
      <c r="J31" s="21">
        <f ca="1">IF($D$2="Restit",_xll.DBRW($B$1,J$7,J$5,$A31,$B$2,J$6),_xll.DBSW($B31,$B$1,J$7,J$5,$A31,$B$2,J$6))</f>
        <v>0</v>
      </c>
      <c r="K31" s="21">
        <f ca="1">IF($D$2="Restit",_xll.DBRW($B$1,K$7,K$5,$A31,$B$2,K$6),_xll.DBSW($B31,$B$1,K$7,K$5,$A31,$B$2,K$6))</f>
        <v>0</v>
      </c>
      <c r="L31" s="21">
        <f ca="1">IF($D$2="Restit",_xll.DBRW($B$1,L$7,L$5,$A31,$B$2,L$6),_xll.DBSW($B31,$B$1,L$7,L$5,$A31,$B$2,L$6))</f>
        <v>0</v>
      </c>
      <c r="M31" s="21">
        <f ca="1">IF($D$2="Restit",_xll.DBRW($B$1,M$7,M$5,$A31,$B$2,M$6),_xll.DBSW($B31,$B$1,M$7,M$5,$A31,$B$2,M$6))</f>
        <v>0</v>
      </c>
      <c r="N31" s="21">
        <f ca="1">IF($D$2="Restit",_xll.DBRW($B$1,N$7,N$5,$A31,$B$2,N$6),_xll.DBSW($B31,$B$1,N$7,N$5,$A31,$B$2,N$6))</f>
        <v>0</v>
      </c>
      <c r="O31" s="25"/>
      <c r="P31" s="21">
        <f ca="1">IF($D$2="Restit",_xll.DBRW($B$1,P$7,P$5,$A31,$B$2,P$6),_xll.DBSW($B31,$B$1,P$7,P$5,$A31,$B$2,P$6))</f>
        <v>0</v>
      </c>
      <c r="Q31" s="21">
        <f ca="1">IF($D$2="Restit",_xll.DBRW($B$1,Q$7,Q$5,$A31,$B$2,Q$6),_xll.DBSW($B31,$B$1,Q$7,Q$5,$A31,$B$2,Q$6))</f>
        <v>0</v>
      </c>
      <c r="R31" s="21">
        <f ca="1">IF($D$2="Restit",_xll.DBRW($B$1,R$7,R$5,$A31,$B$2,R$6),_xll.DBSW($B31,$B$1,R$7,R$5,$A31,$B$2,R$6))</f>
        <v>0</v>
      </c>
      <c r="S31" s="21">
        <f ca="1">IF($D$2="Restit",_xll.DBRW($B$1,S$7,S$5,$A31,$B$2,S$6),_xll.DBSW($B31,$B$1,S$7,S$5,$A31,$B$2,S$6))</f>
        <v>0</v>
      </c>
      <c r="T31" s="21">
        <f ca="1">IF($D$2="Restit",_xll.DBRW($B$1,T$7,T$5,$A31,$B$2,T$6),_xll.DBSW($B31,$B$1,T$7,T$5,$A31,$B$2,T$6))</f>
        <v>0</v>
      </c>
      <c r="V31" s="23">
        <f t="shared" ca="1" si="5"/>
        <v>-1</v>
      </c>
    </row>
    <row r="32" spans="1:22" x14ac:dyDescent="0.25">
      <c r="A32" s="20" t="s">
        <v>73</v>
      </c>
      <c r="B32" s="21">
        <v>1</v>
      </c>
      <c r="C32" s="21"/>
      <c r="D32" s="21">
        <f ca="1">IF($D$2="Restit",_xll.DBRW($B$1,D$7,D$5,$A32,$B$2,D$6),_xll.DBSW($B32,$B$1,D$7,D$5,$A32,$B$2,D$6))</f>
        <v>0</v>
      </c>
      <c r="E32" s="21">
        <f ca="1">IF($D$2="Restit",_xll.DBRW($B$1,E$7,E$5,$A32,$B$2,E$6),_xll.DBSW($B32,$B$1,E$7,E$5,$A32,$B$2,E$6))</f>
        <v>0</v>
      </c>
      <c r="F32" s="21">
        <f ca="1">IF($D$2="Restit",_xll.DBRW($B$1,F$7,F$5,$A32,$B$2,F$6),_xll.DBSW($B32,$B$1,F$7,F$5,$A32,$B$2,F$6))</f>
        <v>0</v>
      </c>
      <c r="G32" s="21">
        <f ca="1">IF($D$2="Restit",_xll.DBRW($B$1,G$7,G$5,$A32,$B$2,G$6),_xll.DBSW($B32,$B$1,G$7,G$5,$A32,$B$2,G$6))</f>
        <v>0</v>
      </c>
      <c r="H32" s="21">
        <f ca="1">IF($D$2="Restit",_xll.DBRW($B$1,H$7,H$5,$A32,$B$2,H$6),_xll.DBSW($B32,$B$1,H$7,H$5,$A32,$B$2,H$6))</f>
        <v>0</v>
      </c>
      <c r="I32" s="25"/>
      <c r="J32" s="21">
        <f ca="1">IF($D$2="Restit",_xll.DBRW($B$1,J$7,J$5,$A32,$B$2,J$6),_xll.DBSW($B32,$B$1,J$7,J$5,$A32,$B$2,J$6))</f>
        <v>0</v>
      </c>
      <c r="K32" s="21">
        <f ca="1">IF($D$2="Restit",_xll.DBRW($B$1,K$7,K$5,$A32,$B$2,K$6),_xll.DBSW($B32,$B$1,K$7,K$5,$A32,$B$2,K$6))</f>
        <v>0</v>
      </c>
      <c r="L32" s="21">
        <f ca="1">IF($D$2="Restit",_xll.DBRW($B$1,L$7,L$5,$A32,$B$2,L$6),_xll.DBSW($B32,$B$1,L$7,L$5,$A32,$B$2,L$6))</f>
        <v>0</v>
      </c>
      <c r="M32" s="21">
        <f ca="1">IF($D$2="Restit",_xll.DBRW($B$1,M$7,M$5,$A32,$B$2,M$6),_xll.DBSW($B32,$B$1,M$7,M$5,$A32,$B$2,M$6))</f>
        <v>0</v>
      </c>
      <c r="N32" s="21">
        <f ca="1">IF($D$2="Restit",_xll.DBRW($B$1,N$7,N$5,$A32,$B$2,N$6),_xll.DBSW($B32,$B$1,N$7,N$5,$A32,$B$2,N$6))</f>
        <v>0</v>
      </c>
      <c r="O32" s="25"/>
      <c r="P32" s="21">
        <f ca="1">IF($D$2="Restit",_xll.DBRW($B$1,P$7,P$5,$A32,$B$2,P$6),_xll.DBSW($B32,$B$1,P$7,P$5,$A32,$B$2,P$6))</f>
        <v>0</v>
      </c>
      <c r="Q32" s="21">
        <f ca="1">IF($D$2="Restit",_xll.DBRW($B$1,Q$7,Q$5,$A32,$B$2,Q$6),_xll.DBSW($B32,$B$1,Q$7,Q$5,$A32,$B$2,Q$6))</f>
        <v>0</v>
      </c>
      <c r="R32" s="21">
        <f ca="1">IF($D$2="Restit",_xll.DBRW($B$1,R$7,R$5,$A32,$B$2,R$6),_xll.DBSW($B32,$B$1,R$7,R$5,$A32,$B$2,R$6))</f>
        <v>0</v>
      </c>
      <c r="S32" s="21">
        <f ca="1">IF($D$2="Restit",_xll.DBRW($B$1,S$7,S$5,$A32,$B$2,S$6),_xll.DBSW($B32,$B$1,S$7,S$5,$A32,$B$2,S$6))</f>
        <v>0</v>
      </c>
      <c r="T32" s="21">
        <f ca="1">IF($D$2="Restit",_xll.DBRW($B$1,T$7,T$5,$A32,$B$2,T$6),_xll.DBSW($B32,$B$1,T$7,T$5,$A32,$B$2,T$6))</f>
        <v>0</v>
      </c>
      <c r="V32" s="23">
        <f t="shared" ca="1" si="5"/>
        <v>-1</v>
      </c>
    </row>
    <row r="34" spans="2:2" x14ac:dyDescent="0.25">
      <c r="B34" s="19"/>
    </row>
    <row r="35" spans="2:2" x14ac:dyDescent="0.25">
      <c r="B35" s="19"/>
    </row>
  </sheetData>
  <dataValidations count="2">
    <dataValidation type="list" allowBlank="1" showInputMessage="1" showErrorMessage="1" sqref="D2">
      <formula1>"Restit,Envoi"</formula1>
    </dataValidation>
    <dataValidation type="list" allowBlank="1" showInputMessage="1" showErrorMessage="1" sqref="B5:C5">
      <formula1>"ACT,FC_1_VC,FC_2_VC,BUDG_VC"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57"/>
  <sheetViews>
    <sheetView topLeftCell="B15" workbookViewId="0">
      <selection activeCell="B40" sqref="B40"/>
    </sheetView>
  </sheetViews>
  <sheetFormatPr baseColWidth="10" defaultRowHeight="15" x14ac:dyDescent="0.25"/>
  <cols>
    <col min="1" max="1" width="20.140625" hidden="1" customWidth="1"/>
    <col min="2" max="2" width="17.5703125" customWidth="1"/>
    <col min="3" max="3" width="10.7109375" bestFit="1" customWidth="1"/>
  </cols>
  <sheetData>
    <row r="1" spans="1:5" hidden="1" x14ac:dyDescent="0.25">
      <c r="A1" t="s">
        <v>2</v>
      </c>
    </row>
    <row r="2" spans="1:5" hidden="1" x14ac:dyDescent="0.25">
      <c r="A2">
        <f ca="1">0</f>
        <v>0</v>
      </c>
      <c r="B2" s="2"/>
      <c r="C2" s="4"/>
    </row>
    <row r="3" spans="1:5" hidden="1" x14ac:dyDescent="0.25">
      <c r="A3">
        <f ca="1">1</f>
        <v>1</v>
      </c>
      <c r="B3" s="3"/>
      <c r="C3" s="5"/>
    </row>
    <row r="4" spans="1:5" hidden="1" x14ac:dyDescent="0.25">
      <c r="A4">
        <f ca="1">2</f>
        <v>2</v>
      </c>
      <c r="B4" s="3"/>
      <c r="C4" s="5"/>
    </row>
    <row r="5" spans="1:5" hidden="1" x14ac:dyDescent="0.25">
      <c r="A5">
        <f ca="1">3</f>
        <v>3</v>
      </c>
      <c r="B5" s="3"/>
      <c r="C5" s="5"/>
    </row>
    <row r="6" spans="1:5" hidden="1" x14ac:dyDescent="0.25">
      <c r="A6" t="s">
        <v>0</v>
      </c>
      <c r="B6" s="3"/>
      <c r="C6" s="5"/>
    </row>
    <row r="7" spans="1:5" hidden="1" x14ac:dyDescent="0.25">
      <c r="A7" t="s">
        <v>1</v>
      </c>
      <c r="C7" s="6"/>
    </row>
    <row r="8" spans="1:5" hidden="1" x14ac:dyDescent="0.25">
      <c r="A8" t="s">
        <v>3</v>
      </c>
    </row>
    <row r="9" spans="1:5" hidden="1" x14ac:dyDescent="0.25">
      <c r="B9" t="str">
        <f ca="1">_xll.TM1RPTVIEW("tango_core_model:ST_Currency:1", 1, _xll.TM1RPTTITLE("tango_core_model:CurrencyConvertTo",$C$11), _xll.TM1RPTTITLE("tango_core_model:Currency_Rates",$C$12),TM1RPTFMTRNG,TM1RPTFMTIDCOL)</f>
        <v>tango_core_model:ST_Currency:1</v>
      </c>
    </row>
    <row r="10" spans="1:5" hidden="1" x14ac:dyDescent="0.25"/>
    <row r="11" spans="1:5" hidden="1" x14ac:dyDescent="0.25">
      <c r="B11" s="1" t="s">
        <v>42</v>
      </c>
      <c r="C11" t="str">
        <f ca="1">_xll.SUBNM("tango_core_model:CurrencyConvertTo","","EUR")</f>
        <v>EUR</v>
      </c>
    </row>
    <row r="12" spans="1:5" hidden="1" x14ac:dyDescent="0.25">
      <c r="B12" s="1" t="s">
        <v>92</v>
      </c>
      <c r="C12" t="str">
        <f ca="1">_xll.SUBNM("tango_core_model:Currency_Rates","","TX_MOYEN")</f>
        <v>TX_MOYEN</v>
      </c>
    </row>
    <row r="13" spans="1:5" hidden="1" x14ac:dyDescent="0.25"/>
    <row r="14" spans="1:5" hidden="1" x14ac:dyDescent="0.25"/>
    <row r="15" spans="1:5" x14ac:dyDescent="0.25">
      <c r="C15" s="40" t="str">
        <f ca="1">+Context!E8</f>
        <v>ACT</v>
      </c>
      <c r="D15" s="40" t="str">
        <f ca="1">+Context!E9</f>
        <v>ACT</v>
      </c>
      <c r="E15" s="40" t="str">
        <f ca="1">+Context!E10</f>
        <v>BUDG_VC</v>
      </c>
    </row>
    <row r="16" spans="1:5" x14ac:dyDescent="0.25">
      <c r="C16" s="40" t="str">
        <f ca="1">+Context!F8</f>
        <v>2020.12</v>
      </c>
      <c r="D16" s="40" t="str">
        <f ca="1">+Context!F9</f>
        <v>2021.12</v>
      </c>
      <c r="E16" s="40" t="str">
        <f ca="1">+Context!F10</f>
        <v>2022.12</v>
      </c>
    </row>
    <row r="17" spans="1:6" x14ac:dyDescent="0.25">
      <c r="A17" t="str">
        <f ca="1">IF(_xll.TM1RPTELISCONSOLIDATED($B$17,$B17),IF(_xll.TM1RPTELLEV($B$17,$B17)&lt;=3,_xll.TM1RPTELLEV($B$17,$B17),"D"),"N")</f>
        <v>N</v>
      </c>
      <c r="B17" s="39" t="str">
        <f ca="1">_xll.TM1RPTROW($B$9,"tango_core_model:Currency_Codes","",'{AR}01'!$B$17:$B$245,"",0)</f>
        <v>AED</v>
      </c>
      <c r="C17" s="6">
        <f ca="1">_xll.DBRW($B$9,C$16,C$15,$B17,$C$11,$C$12)</f>
        <v>4.1917085109999999</v>
      </c>
      <c r="D17" s="6">
        <f ca="1">_xll.DBRW($B$9,D$16,D$15,$B17,$C$11,$C$12)</f>
        <v>0</v>
      </c>
      <c r="E17" s="6">
        <f ca="1">_xll.DBRW($B$9,E$16,E$15,$B17,$C$11,$C$12)</f>
        <v>0</v>
      </c>
      <c r="F17" t="str">
        <f ca="1">IFERROR(VLOOKUP(B17,'Opening Data 1'!A:A,1,FALSE),"A rajouter")</f>
        <v>A rajouter</v>
      </c>
    </row>
    <row r="18" spans="1:6" x14ac:dyDescent="0.25">
      <c r="A18" t="str">
        <f ca="1">IF(_xll.TM1RPTELISCONSOLIDATED($B$17,$B18),IF(_xll.TM1RPTELLEV($B$17,$B18)&lt;=3,_xll.TM1RPTELLEV($B$17,$B18),"D"),"N")</f>
        <v>N</v>
      </c>
      <c r="B18" s="39" t="s">
        <v>49</v>
      </c>
      <c r="C18" s="6">
        <f ca="1">_xll.DBRW($B$9,C$16,C$15,$B18,$C$11,$C$12)</f>
        <v>1.655392698</v>
      </c>
      <c r="D18" s="6">
        <f ca="1">_xll.DBRW($B$9,D$16,D$15,$B18,$C$11,$C$12)</f>
        <v>0</v>
      </c>
      <c r="E18" s="6">
        <f ca="1">_xll.DBRW($B$9,E$16,E$15,$B18,$C$11,$C$12)</f>
        <v>0</v>
      </c>
      <c r="F18" t="str">
        <f ca="1">IFERROR(VLOOKUP(B18,'Opening Data 1'!A:A,1,FALSE),"A rajouter")</f>
        <v>AUD</v>
      </c>
    </row>
    <row r="19" spans="1:6" x14ac:dyDescent="0.25">
      <c r="A19" t="str">
        <f ca="1">IF(_xll.TM1RPTELISCONSOLIDATED($B$17,$B19),IF(_xll.TM1RPTELLEV($B$17,$B19)&lt;=3,_xll.TM1RPTELLEV($B$17,$B19),"D"),"N")</f>
        <v>N</v>
      </c>
      <c r="B19" s="39" t="s">
        <v>50</v>
      </c>
      <c r="C19" s="6">
        <f ca="1">_xll.DBRW($B$9,C$16,C$15,$B19,$C$11,$C$12)</f>
        <v>1.5294350699999999</v>
      </c>
      <c r="D19" s="6">
        <f ca="1">_xll.DBRW($B$9,D$16,D$15,$B19,$C$11,$C$12)</f>
        <v>0</v>
      </c>
      <c r="E19" s="6">
        <f ca="1">_xll.DBRW($B$9,E$16,E$15,$B19,$C$11,$C$12)</f>
        <v>0</v>
      </c>
      <c r="F19" t="str">
        <f ca="1">IFERROR(VLOOKUP(B19,'Opening Data 1'!A:A,1,FALSE),"A rajouter")</f>
        <v>CAD</v>
      </c>
    </row>
    <row r="20" spans="1:6" x14ac:dyDescent="0.25">
      <c r="A20" t="str">
        <f ca="1">IF(_xll.TM1RPTELISCONSOLIDATED($B$17,$B20),IF(_xll.TM1RPTELLEV($B$17,$B20)&lt;=3,_xll.TM1RPTELLEV($B$17,$B20),"D"),"N")</f>
        <v>N</v>
      </c>
      <c r="B20" s="39" t="s">
        <v>51</v>
      </c>
      <c r="C20" s="6">
        <f ca="1">_xll.DBRW($B$9,C$16,C$15,$B20,$C$11,$C$12)</f>
        <v>902.210073373</v>
      </c>
      <c r="D20" s="6">
        <f ca="1">_xll.DBRW($B$9,D$16,D$15,$B20,$C$11,$C$12)</f>
        <v>0</v>
      </c>
      <c r="E20" s="6">
        <f ca="1">_xll.DBRW($B$9,E$16,E$15,$B20,$C$11,$C$12)</f>
        <v>0</v>
      </c>
      <c r="F20" t="str">
        <f ca="1">IFERROR(VLOOKUP(B20,'Opening Data 1'!A:A,1,FALSE),"A rajouter")</f>
        <v>CLP</v>
      </c>
    </row>
    <row r="21" spans="1:6" x14ac:dyDescent="0.25">
      <c r="A21" t="str">
        <f ca="1">IF(_xll.TM1RPTELISCONSOLIDATED($B$17,$B21),IF(_xll.TM1RPTELLEV($B$17,$B21)&lt;=3,_xll.TM1RPTELLEV($B$17,$B21),"D"),"N")</f>
        <v>N</v>
      </c>
      <c r="B21" s="39" t="s">
        <v>52</v>
      </c>
      <c r="C21" s="6">
        <f ca="1">_xll.DBRW($B$9,C$16,C$15,$B21,$C$11,$C$12)</f>
        <v>7.8708366920000001</v>
      </c>
      <c r="D21" s="6">
        <f ca="1">_xll.DBRW($B$9,D$16,D$15,$B21,$C$11,$C$12)</f>
        <v>0</v>
      </c>
      <c r="E21" s="6">
        <f ca="1">_xll.DBRW($B$9,E$16,E$15,$B21,$C$11,$C$12)</f>
        <v>0</v>
      </c>
      <c r="F21" t="str">
        <f ca="1">IFERROR(VLOOKUP(B21,'Opening Data 1'!A:A,1,FALSE),"A rajouter")</f>
        <v>CNY</v>
      </c>
    </row>
    <row r="22" spans="1:6" x14ac:dyDescent="0.25">
      <c r="A22" t="str">
        <f ca="1">IF(_xll.TM1RPTELISCONSOLIDATED($B$17,$B22),IF(_xll.TM1RPTELLEV($B$17,$B22)&lt;=3,_xll.TM1RPTELLEV($B$17,$B22),"D"),"N")</f>
        <v>N</v>
      </c>
      <c r="B22" s="39" t="s">
        <v>53</v>
      </c>
      <c r="C22" s="6">
        <f ca="1">_xll.DBRW($B$9,C$16,C$15,$B22,$C$11,$C$12)</f>
        <v>4210.7576637490001</v>
      </c>
      <c r="D22" s="6">
        <f ca="1">_xll.DBRW($B$9,D$16,D$15,$B22,$C$11,$C$12)</f>
        <v>0</v>
      </c>
      <c r="E22" s="6">
        <f ca="1">_xll.DBRW($B$9,E$16,E$15,$B22,$C$11,$C$12)</f>
        <v>0</v>
      </c>
      <c r="F22" t="str">
        <f ca="1">IFERROR(VLOOKUP(B22,'Opening Data 1'!A:A,1,FALSE),"A rajouter")</f>
        <v>COP</v>
      </c>
    </row>
    <row r="23" spans="1:6" x14ac:dyDescent="0.25">
      <c r="A23" t="str">
        <f ca="1">IF(_xll.TM1RPTELISCONSOLIDATED($B$17,$B23),IF(_xll.TM1RPTELLEV($B$17,$B23)&lt;=3,_xll.TM1RPTELLEV($B$17,$B23),"D"),"N")</f>
        <v>N</v>
      </c>
      <c r="B23" s="39" t="s">
        <v>54</v>
      </c>
      <c r="C23" s="6">
        <f ca="1">_xll.DBRW($B$9,C$16,C$15,$B23,$C$11,$C$12)</f>
        <v>26.455446391999999</v>
      </c>
      <c r="D23" s="6">
        <f ca="1">_xll.DBRW($B$9,D$16,D$15,$B23,$C$11,$C$12)</f>
        <v>0</v>
      </c>
      <c r="E23" s="6">
        <f ca="1">_xll.DBRW($B$9,E$16,E$15,$B23,$C$11,$C$12)</f>
        <v>0</v>
      </c>
      <c r="F23" t="str">
        <f ca="1">IFERROR(VLOOKUP(B23,'Opening Data 1'!A:A,1,FALSE),"A rajouter")</f>
        <v>CZK</v>
      </c>
    </row>
    <row r="24" spans="1:6" x14ac:dyDescent="0.25">
      <c r="A24" t="str">
        <f ca="1">IF(_xll.TM1RPTELISCONSOLIDATED($B$17,$B24),IF(_xll.TM1RPTELLEV($B$17,$B24)&lt;=3,_xll.TM1RPTELLEV($B$17,$B24),"D"),"N")</f>
        <v>N</v>
      </c>
      <c r="B24" s="39" t="s">
        <v>55</v>
      </c>
      <c r="C24" s="6">
        <f ca="1">_xll.DBRW($B$9,C$16,C$15,$B24,$C$11,$C$12)</f>
        <v>0</v>
      </c>
      <c r="D24" s="6">
        <f ca="1">_xll.DBRW($B$9,D$16,D$15,$B24,$C$11,$C$12)</f>
        <v>0</v>
      </c>
      <c r="E24" s="6">
        <f ca="1">_xll.DBRW($B$9,E$16,E$15,$B24,$C$11,$C$12)</f>
        <v>0</v>
      </c>
      <c r="F24" t="str">
        <f ca="1">IFERROR(VLOOKUP(B24,'Opening Data 1'!A:A,1,FALSE),"A rajouter")</f>
        <v>DKK</v>
      </c>
    </row>
    <row r="25" spans="1:6" x14ac:dyDescent="0.25">
      <c r="A25" t="str">
        <f ca="1">IF(_xll.TM1RPTELISCONSOLIDATED($B$17,$B25),IF(_xll.TM1RPTELLEV($B$17,$B25)&lt;=3,_xll.TM1RPTELLEV($B$17,$B25),"D"),"N")</f>
        <v>N</v>
      </c>
      <c r="B25" s="39" t="s">
        <v>71</v>
      </c>
      <c r="C25" s="6">
        <f ca="1">_xll.DBRW($B$9,C$16,C$15,$B25,$C$11,$C$12)</f>
        <v>119.3317</v>
      </c>
      <c r="D25" s="6">
        <f ca="1">_xll.DBRW($B$9,D$16,D$15,$B25,$C$11,$C$12)</f>
        <v>0</v>
      </c>
      <c r="E25" s="6">
        <f ca="1">_xll.DBRW($B$9,E$16,E$15,$B25,$C$11,$C$12)</f>
        <v>0</v>
      </c>
      <c r="F25" t="str">
        <f ca="1">IFERROR(VLOOKUP(B25,'Opening Data 1'!A:A,1,FALSE),"A rajouter")</f>
        <v>XPF</v>
      </c>
    </row>
    <row r="26" spans="1:6" x14ac:dyDescent="0.25">
      <c r="A26" t="str">
        <f ca="1">IF(_xll.TM1RPTELISCONSOLIDATED($B$17,$B26),IF(_xll.TM1RPTELLEV($B$17,$B26)&lt;=3,_xll.TM1RPTELLEV($B$17,$B26),"D"),"N")</f>
        <v>N</v>
      </c>
      <c r="B26" s="39" t="s">
        <v>59</v>
      </c>
      <c r="C26" s="6">
        <f ca="1">_xll.DBRW($B$9,C$16,C$15,$B26,$C$11,$C$12)</f>
        <v>0</v>
      </c>
      <c r="D26" s="6">
        <f ca="1">_xll.DBRW($B$9,D$16,D$15,$B26,$C$11,$C$12)</f>
        <v>0</v>
      </c>
      <c r="E26" s="6">
        <f ca="1">_xll.DBRW($B$9,E$16,E$15,$B26,$C$11,$C$12)</f>
        <v>0</v>
      </c>
      <c r="F26" t="str">
        <f ca="1">IFERROR(VLOOKUP(B26,'Opening Data 1'!A:A,1,FALSE),"A rajouter")</f>
        <v>HRK</v>
      </c>
    </row>
    <row r="27" spans="1:6" x14ac:dyDescent="0.25">
      <c r="A27" t="str">
        <f ca="1">IF(_xll.TM1RPTELISCONSOLIDATED($B$17,$B27),IF(_xll.TM1RPTELLEV($B$17,$B27)&lt;=3,_xll.TM1RPTELLEV($B$17,$B27),"D"),"N")</f>
        <v>N</v>
      </c>
      <c r="B27" s="39" t="s">
        <v>56</v>
      </c>
      <c r="C27" s="6">
        <f ca="1">_xll.DBRW($B$9,C$16,C$15,$B27,$C$11,$C$12)</f>
        <v>144.43240627</v>
      </c>
      <c r="D27" s="6">
        <f ca="1">_xll.DBRW($B$9,D$16,D$15,$B27,$C$11,$C$12)</f>
        <v>0</v>
      </c>
      <c r="E27" s="6">
        <f ca="1">_xll.DBRW($B$9,E$16,E$15,$B27,$C$11,$C$12)</f>
        <v>0</v>
      </c>
      <c r="F27" t="str">
        <f ca="1">IFERROR(VLOOKUP(B27,'Opening Data 1'!A:A,1,FALSE),"A rajouter")</f>
        <v>DZD</v>
      </c>
    </row>
    <row r="28" spans="1:6" x14ac:dyDescent="0.25">
      <c r="A28" t="str">
        <f ca="1">IF(_xll.TM1RPTELISCONSOLIDATED($B$17,$B28),IF(_xll.TM1RPTELLEV($B$17,$B28)&lt;=3,_xll.TM1RPTELLEV($B$17,$B28),"D"),"N")</f>
        <v>N</v>
      </c>
      <c r="B28" s="39" t="s">
        <v>57</v>
      </c>
      <c r="C28" s="6">
        <f ca="1">_xll.DBRW($B$9,C$16,C$15,$B28,$C$11,$C$12)</f>
        <v>0.88921470199999997</v>
      </c>
      <c r="D28" s="6">
        <f ca="1">_xll.DBRW($B$9,D$16,D$15,$B28,$C$11,$C$12)</f>
        <v>0</v>
      </c>
      <c r="E28" s="6">
        <f ca="1">_xll.DBRW($B$9,E$16,E$15,$B28,$C$11,$C$12)</f>
        <v>0</v>
      </c>
      <c r="F28" t="str">
        <f ca="1">IFERROR(VLOOKUP(B28,'Opening Data 1'!A:A,1,FALSE),"A rajouter")</f>
        <v>GBP</v>
      </c>
    </row>
    <row r="29" spans="1:6" x14ac:dyDescent="0.25">
      <c r="A29" t="str">
        <f ca="1">IF(_xll.TM1RPTELISCONSOLIDATED($B$17,$B29),IF(_xll.TM1RPTELLEV($B$17,$B29)&lt;=3,_xll.TM1RPTELLEV($B$17,$B29),"D"),"N")</f>
        <v>N</v>
      </c>
      <c r="B29" s="39" t="s">
        <v>58</v>
      </c>
      <c r="C29" s="6">
        <f ca="1">_xll.DBRW($B$9,C$16,C$15,$B29,$C$11,$C$12)</f>
        <v>8.8516794609999998</v>
      </c>
      <c r="D29" s="6">
        <f ca="1">_xll.DBRW($B$9,D$16,D$15,$B29,$C$11,$C$12)</f>
        <v>0</v>
      </c>
      <c r="E29" s="6">
        <f ca="1">_xll.DBRW($B$9,E$16,E$15,$B29,$C$11,$C$12)</f>
        <v>0</v>
      </c>
      <c r="F29" t="str">
        <f ca="1">IFERROR(VLOOKUP(B29,'Opening Data 1'!A:A,1,FALSE),"A rajouter")</f>
        <v>HKD</v>
      </c>
    </row>
    <row r="30" spans="1:6" x14ac:dyDescent="0.25">
      <c r="A30" t="str">
        <f ca="1">IF(_xll.TM1RPTELISCONSOLIDATED($B$17,$B30),IF(_xll.TM1RPTELLEV($B$17,$B30)&lt;=3,_xll.TM1RPTELLEV($B$17,$B30),"D"),"N")</f>
        <v>N</v>
      </c>
      <c r="B30" s="39" t="s">
        <v>60</v>
      </c>
      <c r="C30" s="6">
        <f ca="1">_xll.DBRW($B$9,C$16,C$15,$B30,$C$11,$C$12)</f>
        <v>3.9239048620000001</v>
      </c>
      <c r="D30" s="6">
        <f ca="1">_xll.DBRW($B$9,D$16,D$15,$B30,$C$11,$C$12)</f>
        <v>0</v>
      </c>
      <c r="E30" s="6">
        <f ca="1">_xll.DBRW($B$9,E$16,E$15,$B30,$C$11,$C$12)</f>
        <v>0</v>
      </c>
      <c r="F30" t="str">
        <f ca="1">IFERROR(VLOOKUP(B30,'Opening Data 1'!A:A,1,FALSE),"A rajouter")</f>
        <v>ILS</v>
      </c>
    </row>
    <row r="31" spans="1:6" x14ac:dyDescent="0.25">
      <c r="A31" t="str">
        <f ca="1">IF(_xll.TM1RPTELISCONSOLIDATED($B$17,$B31),IF(_xll.TM1RPTELLEV($B$17,$B31)&lt;=3,_xll.TM1RPTELLEV($B$17,$B31),"D"),"N")</f>
        <v>N</v>
      </c>
      <c r="B31" s="39" t="s">
        <v>61</v>
      </c>
      <c r="C31" s="6">
        <f ca="1">_xll.DBRW($B$9,C$16,C$15,$B31,$C$11,$C$12)</f>
        <v>84.579538919000001</v>
      </c>
      <c r="D31" s="6">
        <f ca="1">_xll.DBRW($B$9,D$16,D$15,$B31,$C$11,$C$12)</f>
        <v>0</v>
      </c>
      <c r="E31" s="6">
        <f ca="1">_xll.DBRW($B$9,E$16,E$15,$B31,$C$11,$C$12)</f>
        <v>0</v>
      </c>
      <c r="F31" t="str">
        <f ca="1">IFERROR(VLOOKUP(B31,'Opening Data 1'!A:A,1,FALSE),"A rajouter")</f>
        <v>INR</v>
      </c>
    </row>
    <row r="32" spans="1:6" x14ac:dyDescent="0.25">
      <c r="A32" t="str">
        <f ca="1">IF(_xll.TM1RPTELISCONSOLIDATED($B$17,$B32),IF(_xll.TM1RPTELLEV($B$17,$B32)&lt;=3,_xll.TM1RPTELLEV($B$17,$B32),"D"),"N")</f>
        <v>N</v>
      </c>
      <c r="B32" s="39" t="s">
        <v>62</v>
      </c>
      <c r="C32" s="6">
        <f ca="1">_xll.DBRW($B$9,C$16,C$15,$B32,$C$11,$C$12)</f>
        <v>1345.105750447</v>
      </c>
      <c r="D32" s="6">
        <f ca="1">_xll.DBRW($B$9,D$16,D$15,$B32,$C$11,$C$12)</f>
        <v>0</v>
      </c>
      <c r="E32" s="6">
        <f ca="1">_xll.DBRW($B$9,E$16,E$15,$B32,$C$11,$C$12)</f>
        <v>0</v>
      </c>
      <c r="F32" t="str">
        <f ca="1">IFERROR(VLOOKUP(B32,'Opening Data 1'!A:A,1,FALSE),"A rajouter")</f>
        <v>KRW</v>
      </c>
    </row>
    <row r="33" spans="1:6" x14ac:dyDescent="0.25">
      <c r="A33" t="str">
        <f ca="1">IF(_xll.TM1RPTELISCONSOLIDATED($B$17,$B33),IF(_xll.TM1RPTELLEV($B$17,$B33)&lt;=3,_xll.TM1RPTELLEV($B$17,$B33),"D"),"N")</f>
        <v>N</v>
      </c>
      <c r="B33" s="39" t="s">
        <v>63</v>
      </c>
      <c r="C33" s="6">
        <f ca="1">_xll.DBRW($B$9,C$16,C$15,$B33,$C$11,$C$12)</f>
        <v>0</v>
      </c>
      <c r="D33" s="6">
        <f ca="1">_xll.DBRW($B$9,D$16,D$15,$B33,$C$11,$C$12)</f>
        <v>0</v>
      </c>
      <c r="E33" s="6">
        <f ca="1">_xll.DBRW($B$9,E$16,E$15,$B33,$C$11,$C$12)</f>
        <v>0</v>
      </c>
      <c r="F33" t="str">
        <f ca="1">IFERROR(VLOOKUP(B33,'Opening Data 1'!A:A,1,FALSE),"A rajouter")</f>
        <v>LBP</v>
      </c>
    </row>
    <row r="34" spans="1:6" x14ac:dyDescent="0.25">
      <c r="A34" t="str">
        <f ca="1">IF(_xll.TM1RPTELISCONSOLIDATED($B$17,$B34),IF(_xll.TM1RPTELLEV($B$17,$B34)&lt;=3,_xll.TM1RPTELLEV($B$17,$B34),"D"),"N")</f>
        <v>N</v>
      </c>
      <c r="B34" s="39" t="s">
        <v>64</v>
      </c>
      <c r="C34" s="6">
        <f ca="1">_xll.DBRW($B$9,C$16,C$15,$B34,$C$11,$C$12)</f>
        <v>10.815018107</v>
      </c>
      <c r="D34" s="6">
        <f ca="1">_xll.DBRW($B$9,D$16,D$15,$B34,$C$11,$C$12)</f>
        <v>0</v>
      </c>
      <c r="E34" s="6">
        <f ca="1">_xll.DBRW($B$9,E$16,E$15,$B34,$C$11,$C$12)</f>
        <v>0</v>
      </c>
      <c r="F34" t="str">
        <f ca="1">IFERROR(VLOOKUP(B34,'Opening Data 1'!A:A,1,FALSE),"A rajouter")</f>
        <v>MAD</v>
      </c>
    </row>
    <row r="35" spans="1:6" x14ac:dyDescent="0.25">
      <c r="A35" t="str">
        <f ca="1">IF(_xll.TM1RPTELISCONSOLIDATED($B$17,$B35),IF(_xll.TM1RPTELLEV($B$17,$B35)&lt;=3,_xll.TM1RPTELLEV($B$17,$B35),"D"),"N")</f>
        <v>N</v>
      </c>
      <c r="B35" s="39" t="s">
        <v>66</v>
      </c>
      <c r="C35" s="6">
        <f ca="1">_xll.DBRW($B$9,C$16,C$15,$B35,$C$11,$C$12)</f>
        <v>1.7564589589999999</v>
      </c>
      <c r="D35" s="6">
        <f ca="1">_xll.DBRW($B$9,D$16,D$15,$B35,$C$11,$C$12)</f>
        <v>0</v>
      </c>
      <c r="E35" s="6">
        <f ca="1">_xll.DBRW($B$9,E$16,E$15,$B35,$C$11,$C$12)</f>
        <v>0</v>
      </c>
      <c r="F35" t="str">
        <f ca="1">IFERROR(VLOOKUP(B35,'Opening Data 1'!A:A,1,FALSE),"A rajouter")</f>
        <v>NZD</v>
      </c>
    </row>
    <row r="36" spans="1:6" x14ac:dyDescent="0.25">
      <c r="A36" t="str">
        <f ca="1">IF(_xll.TM1RPTELISCONSOLIDATED($B$17,$B36),IF(_xll.TM1RPTELLEV($B$17,$B36)&lt;=3,_xll.TM1RPTELLEV($B$17,$B36),"D"),"N")</f>
        <v>N</v>
      </c>
      <c r="B36" s="39" t="s">
        <v>67</v>
      </c>
      <c r="C36" s="6">
        <f ca="1">_xll.DBRW($B$9,C$16,C$15,$B36,$C$11,$C$12)</f>
        <v>0</v>
      </c>
      <c r="D36" s="6">
        <f ca="1">_xll.DBRW($B$9,D$16,D$15,$B36,$C$11,$C$12)</f>
        <v>0</v>
      </c>
      <c r="E36" s="6">
        <f ca="1">_xll.DBRW($B$9,E$16,E$15,$B36,$C$11,$C$12)</f>
        <v>0</v>
      </c>
      <c r="F36" t="str">
        <f ca="1">IFERROR(VLOOKUP(B36,'Opening Data 1'!A:A,1,FALSE),"A rajouter")</f>
        <v>PLN</v>
      </c>
    </row>
    <row r="37" spans="1:6" x14ac:dyDescent="0.25">
      <c r="A37" t="str">
        <f ca="1">IF(_xll.TM1RPTELISCONSOLIDATED($B$17,$B37),IF(_xll.TM1RPTELLEV($B$17,$B37)&lt;=3,_xll.TM1RPTELLEV($B$17,$B37),"D"),"N")</f>
        <v>N</v>
      </c>
      <c r="B37" s="39" t="s">
        <v>238</v>
      </c>
      <c r="C37" s="6">
        <f ca="1">_xll.DBRW($B$9,C$16,C$15,$B37,$C$11,$C$12)</f>
        <v>0</v>
      </c>
      <c r="D37" s="6">
        <f ca="1">_xll.DBRW($B$9,D$16,D$15,$B37,$C$11,$C$12)</f>
        <v>0</v>
      </c>
      <c r="E37" s="6">
        <f ca="1">_xll.DBRW($B$9,E$16,E$15,$B37,$C$11,$C$12)</f>
        <v>0</v>
      </c>
      <c r="F37" t="str">
        <f ca="1">IFERROR(VLOOKUP(B37,'Opening Data 1'!A:A,1,FALSE),"A rajouter")</f>
        <v>A rajouter</v>
      </c>
    </row>
    <row r="38" spans="1:6" x14ac:dyDescent="0.25">
      <c r="A38" t="str">
        <f ca="1">IF(_xll.TM1RPTELISCONSOLIDATED($B$17,$B38),IF(_xll.TM1RPTELLEV($B$17,$B38)&lt;=3,_xll.TM1RPTELLEV($B$17,$B38),"D"),"N")</f>
        <v>N</v>
      </c>
      <c r="B38" s="39" t="s">
        <v>69</v>
      </c>
      <c r="C38" s="6">
        <f ca="1">_xll.DBRW($B$9,C$16,C$15,$B38,$C$11,$C$12)</f>
        <v>10.488130204000001</v>
      </c>
      <c r="D38" s="6">
        <f ca="1">_xll.DBRW($B$9,D$16,D$15,$B38,$C$11,$C$12)</f>
        <v>0</v>
      </c>
      <c r="E38" s="6">
        <f ca="1">_xll.DBRW($B$9,E$16,E$15,$B38,$C$11,$C$12)</f>
        <v>0</v>
      </c>
      <c r="F38" t="str">
        <f ca="1">IFERROR(VLOOKUP(B38,'Opening Data 1'!A:A,1,FALSE),"A rajouter")</f>
        <v>SEK</v>
      </c>
    </row>
    <row r="39" spans="1:6" x14ac:dyDescent="0.25">
      <c r="A39" t="str">
        <f ca="1">IF(_xll.TM1RPTELISCONSOLIDATED($B$17,$B39),IF(_xll.TM1RPTELLEV($B$17,$B39)&lt;=3,_xll.TM1RPTELLEV($B$17,$B39),"D"),"N")</f>
        <v>N</v>
      </c>
      <c r="B39" s="39" t="s">
        <v>70</v>
      </c>
      <c r="C39" s="6">
        <f ca="1">_xll.DBRW($B$9,C$16,C$15,$B39,$C$11,$C$12)</f>
        <v>1.141281859</v>
      </c>
      <c r="D39" s="6">
        <f ca="1">_xll.DBRW($B$9,D$16,D$15,$B39,$C$11,$C$12)</f>
        <v>0</v>
      </c>
      <c r="E39" s="6">
        <f ca="1">_xll.DBRW($B$9,E$16,E$15,$B39,$C$11,$C$12)</f>
        <v>0</v>
      </c>
      <c r="F39" t="str">
        <f ca="1">IFERROR(VLOOKUP(B39,'Opening Data 1'!A:A,1,FALSE),"A rajouter")</f>
        <v>USD</v>
      </c>
    </row>
    <row r="40" spans="1:6" x14ac:dyDescent="0.25">
      <c r="A40" t="str">
        <f ca="1">IF(_xll.TM1RPTELISCONSOLIDATED($B$17,$B40),IF(_xll.TM1RPTELLEV($B$17,$B40)&lt;=3,_xll.TM1RPTELLEV($B$17,$B40),"D"),"N")</f>
        <v>N</v>
      </c>
      <c r="B40" s="39" t="s">
        <v>68</v>
      </c>
      <c r="C40" s="6">
        <f ca="1">_xll.DBRW($B$9,C$16,C$15,$B40,$C$11,$C$12)</f>
        <v>0</v>
      </c>
      <c r="D40" s="6">
        <f ca="1">_xll.DBRW($B$9,D$16,D$15,$B40,$C$11,$C$12)</f>
        <v>0</v>
      </c>
      <c r="E40" s="6">
        <f ca="1">_xll.DBRW($B$9,E$16,E$15,$B40,$C$11,$C$12)</f>
        <v>0</v>
      </c>
      <c r="F40" t="str">
        <f ca="1">IFERROR(VLOOKUP(B40,'Opening Data 1'!A:A,1,FALSE),"A rajouter")</f>
        <v>RSD</v>
      </c>
    </row>
    <row r="41" spans="1:6" x14ac:dyDescent="0.25">
      <c r="A41" t="str">
        <f ca="1">IF(_xll.TM1RPTELISCONSOLIDATED($B$17,$B41),IF(_xll.TM1RPTELLEV($B$17,$B41)&lt;=3,_xll.TM1RPTELLEV($B$17,$B41),"D"),"N")</f>
        <v>N</v>
      </c>
      <c r="B41" s="39" t="s">
        <v>49</v>
      </c>
      <c r="C41" s="6">
        <f ca="1">_xll.DBRW($B$9,C$16,C$15,$B41,$C$11,$C$12)</f>
        <v>1.655392698</v>
      </c>
      <c r="D41" s="6">
        <f ca="1">_xll.DBRW($B$9,D$16,D$15,$B41,$C$11,$C$12)</f>
        <v>0</v>
      </c>
      <c r="E41" s="6">
        <f ca="1">_xll.DBRW($B$9,E$16,E$15,$B41,$C$11,$C$12)</f>
        <v>0</v>
      </c>
      <c r="F41" t="str">
        <f ca="1">IFERROR(VLOOKUP(B41,'Opening Data 1'!A:A,1,FALSE),"A rajouter")</f>
        <v>AUD</v>
      </c>
    </row>
    <row r="42" spans="1:6" x14ac:dyDescent="0.25">
      <c r="A42" t="str">
        <f ca="1">IF(_xll.TM1RPTELISCONSOLIDATED($B$17,$B42),IF(_xll.TM1RPTELLEV($B$17,$B42)&lt;=3,_xll.TM1RPTELLEV($B$17,$B42),"D"),"N")</f>
        <v>N</v>
      </c>
      <c r="B42" s="39" t="s">
        <v>50</v>
      </c>
      <c r="C42" s="6">
        <f ca="1">_xll.DBRW($B$9,C$16,C$15,$B42,$C$11,$C$12)</f>
        <v>1.5294350699999999</v>
      </c>
      <c r="D42" s="6">
        <f ca="1">_xll.DBRW($B$9,D$16,D$15,$B42,$C$11,$C$12)</f>
        <v>0</v>
      </c>
      <c r="E42" s="6">
        <f ca="1">_xll.DBRW($B$9,E$16,E$15,$B42,$C$11,$C$12)</f>
        <v>0</v>
      </c>
      <c r="F42" t="str">
        <f ca="1">IFERROR(VLOOKUP(B42,'Opening Data 1'!A:A,1,FALSE),"A rajouter")</f>
        <v>CAD</v>
      </c>
    </row>
    <row r="43" spans="1:6" x14ac:dyDescent="0.25">
      <c r="A43" t="str">
        <f ca="1">IF(_xll.TM1RPTELISCONSOLIDATED($B$17,$B43),IF(_xll.TM1RPTELLEV($B$17,$B43)&lt;=3,_xll.TM1RPTELLEV($B$17,$B43),"D"),"N")</f>
        <v>N</v>
      </c>
      <c r="B43" s="39" t="s">
        <v>51</v>
      </c>
      <c r="C43" s="6">
        <f ca="1">_xll.DBRW($B$9,C$16,C$15,$B43,$C$11,$C$12)</f>
        <v>902.210073373</v>
      </c>
      <c r="D43" s="6">
        <f ca="1">_xll.DBRW($B$9,D$16,D$15,$B43,$C$11,$C$12)</f>
        <v>0</v>
      </c>
      <c r="E43" s="6">
        <f ca="1">_xll.DBRW($B$9,E$16,E$15,$B43,$C$11,$C$12)</f>
        <v>0</v>
      </c>
      <c r="F43" t="str">
        <f ca="1">IFERROR(VLOOKUP(B43,'Opening Data 1'!A:A,1,FALSE),"A rajouter")</f>
        <v>CLP</v>
      </c>
    </row>
    <row r="44" spans="1:6" x14ac:dyDescent="0.25">
      <c r="A44" t="str">
        <f ca="1">IF(_xll.TM1RPTELISCONSOLIDATED($B$17,$B44),IF(_xll.TM1RPTELLEV($B$17,$B44)&lt;=3,_xll.TM1RPTELLEV($B$17,$B44),"D"),"N")</f>
        <v>N</v>
      </c>
      <c r="B44" s="39" t="s">
        <v>52</v>
      </c>
      <c r="C44" s="6">
        <f ca="1">_xll.DBRW($B$9,C$16,C$15,$B44,$C$11,$C$12)</f>
        <v>7.8708366920000001</v>
      </c>
      <c r="D44" s="6">
        <f ca="1">_xll.DBRW($B$9,D$16,D$15,$B44,$C$11,$C$12)</f>
        <v>0</v>
      </c>
      <c r="E44" s="6">
        <f ca="1">_xll.DBRW($B$9,E$16,E$15,$B44,$C$11,$C$12)</f>
        <v>0</v>
      </c>
      <c r="F44" t="str">
        <f ca="1">IFERROR(VLOOKUP(B44,'Opening Data 1'!A:A,1,FALSE),"A rajouter")</f>
        <v>CNY</v>
      </c>
    </row>
    <row r="45" spans="1:6" x14ac:dyDescent="0.25">
      <c r="A45" t="str">
        <f ca="1">IF(_xll.TM1RPTELISCONSOLIDATED($B$17,$B45),IF(_xll.TM1RPTELLEV($B$17,$B45)&lt;=3,_xll.TM1RPTELLEV($B$17,$B45),"D"),"N")</f>
        <v>N</v>
      </c>
      <c r="B45" s="39" t="s">
        <v>53</v>
      </c>
      <c r="C45" s="6">
        <f ca="1">_xll.DBRW($B$9,C$16,C$15,$B45,$C$11,$C$12)</f>
        <v>4210.7576637490001</v>
      </c>
      <c r="D45" s="6">
        <f ca="1">_xll.DBRW($B$9,D$16,D$15,$B45,$C$11,$C$12)</f>
        <v>0</v>
      </c>
      <c r="E45" s="6">
        <f ca="1">_xll.DBRW($B$9,E$16,E$15,$B45,$C$11,$C$12)</f>
        <v>0</v>
      </c>
      <c r="F45" t="str">
        <f ca="1">IFERROR(VLOOKUP(B45,'Opening Data 1'!A:A,1,FALSE),"A rajouter")</f>
        <v>COP</v>
      </c>
    </row>
    <row r="46" spans="1:6" x14ac:dyDescent="0.25">
      <c r="A46" t="str">
        <f ca="1">IF(_xll.TM1RPTELISCONSOLIDATED($B$17,$B46),IF(_xll.TM1RPTELLEV($B$17,$B46)&lt;=3,_xll.TM1RPTELLEV($B$17,$B46),"D"),"N")</f>
        <v>N</v>
      </c>
      <c r="B46" s="39" t="s">
        <v>54</v>
      </c>
      <c r="C46" s="6">
        <f ca="1">_xll.DBRW($B$9,C$16,C$15,$B46,$C$11,$C$12)</f>
        <v>26.455446391999999</v>
      </c>
      <c r="D46" s="6">
        <f ca="1">_xll.DBRW($B$9,D$16,D$15,$B46,$C$11,$C$12)</f>
        <v>0</v>
      </c>
      <c r="E46" s="6">
        <f ca="1">_xll.DBRW($B$9,E$16,E$15,$B46,$C$11,$C$12)</f>
        <v>0</v>
      </c>
      <c r="F46" t="str">
        <f ca="1">IFERROR(VLOOKUP(B46,'Opening Data 1'!A:A,1,FALSE),"A rajouter")</f>
        <v>CZK</v>
      </c>
    </row>
    <row r="47" spans="1:6" x14ac:dyDescent="0.25">
      <c r="A47" t="str">
        <f ca="1">IF(_xll.TM1RPTELISCONSOLIDATED($B$17,$B47),IF(_xll.TM1RPTELLEV($B$17,$B47)&lt;=3,_xll.TM1RPTELLEV($B$17,$B47),"D"),"N")</f>
        <v>N</v>
      </c>
      <c r="B47" s="39" t="s">
        <v>71</v>
      </c>
      <c r="C47" s="6">
        <f ca="1">_xll.DBRW($B$9,C$16,C$15,$B47,$C$11,$C$12)</f>
        <v>119.3317</v>
      </c>
      <c r="D47" s="6">
        <f ca="1">_xll.DBRW($B$9,D$16,D$15,$B47,$C$11,$C$12)</f>
        <v>0</v>
      </c>
      <c r="E47" s="6">
        <f ca="1">_xll.DBRW($B$9,E$16,E$15,$B47,$C$11,$C$12)</f>
        <v>0</v>
      </c>
      <c r="F47" t="str">
        <f ca="1">IFERROR(VLOOKUP(B47,'Opening Data 1'!A:A,1,FALSE),"A rajouter")</f>
        <v>XPF</v>
      </c>
    </row>
    <row r="48" spans="1:6" x14ac:dyDescent="0.25">
      <c r="A48" t="str">
        <f ca="1">IF(_xll.TM1RPTELISCONSOLIDATED($B$17,$B48),IF(_xll.TM1RPTELLEV($B$17,$B48)&lt;=3,_xll.TM1RPTELLEV($B$17,$B48),"D"),"N")</f>
        <v>N</v>
      </c>
      <c r="B48" s="39" t="s">
        <v>56</v>
      </c>
      <c r="C48" s="6">
        <f ca="1">_xll.DBRW($B$9,C$16,C$15,$B48,$C$11,$C$12)</f>
        <v>144.43240627</v>
      </c>
      <c r="D48" s="6">
        <f ca="1">_xll.DBRW($B$9,D$16,D$15,$B48,$C$11,$C$12)</f>
        <v>0</v>
      </c>
      <c r="E48" s="6">
        <f ca="1">_xll.DBRW($B$9,E$16,E$15,$B48,$C$11,$C$12)</f>
        <v>0</v>
      </c>
      <c r="F48" t="str">
        <f ca="1">IFERROR(VLOOKUP(B48,'Opening Data 1'!A:A,1,FALSE),"A rajouter")</f>
        <v>DZD</v>
      </c>
    </row>
    <row r="49" spans="1:6" x14ac:dyDescent="0.25">
      <c r="A49" t="str">
        <f ca="1">IF(_xll.TM1RPTELISCONSOLIDATED($B$17,$B49),IF(_xll.TM1RPTELLEV($B$17,$B49)&lt;=3,_xll.TM1RPTELLEV($B$17,$B49),"D"),"N")</f>
        <v>N</v>
      </c>
      <c r="B49" s="39" t="s">
        <v>57</v>
      </c>
      <c r="C49" s="6">
        <f ca="1">_xll.DBRW($B$9,C$16,C$15,$B49,$C$11,$C$12)</f>
        <v>0.88921470199999997</v>
      </c>
      <c r="D49" s="6">
        <f ca="1">_xll.DBRW($B$9,D$16,D$15,$B49,$C$11,$C$12)</f>
        <v>0</v>
      </c>
      <c r="E49" s="6">
        <f ca="1">_xll.DBRW($B$9,E$16,E$15,$B49,$C$11,$C$12)</f>
        <v>0</v>
      </c>
      <c r="F49" t="str">
        <f ca="1">IFERROR(VLOOKUP(B49,'Opening Data 1'!A:A,1,FALSE),"A rajouter")</f>
        <v>GBP</v>
      </c>
    </row>
    <row r="50" spans="1:6" x14ac:dyDescent="0.25">
      <c r="A50" t="str">
        <f ca="1">IF(_xll.TM1RPTELISCONSOLIDATED($B$17,$B50),IF(_xll.TM1RPTELLEV($B$17,$B50)&lt;=3,_xll.TM1RPTELLEV($B$17,$B50),"D"),"N")</f>
        <v>N</v>
      </c>
      <c r="B50" s="39" t="s">
        <v>58</v>
      </c>
      <c r="C50" s="6">
        <f ca="1">_xll.DBRW($B$9,C$16,C$15,$B50,$C$11,$C$12)</f>
        <v>8.8516794609999998</v>
      </c>
      <c r="D50" s="6">
        <f ca="1">_xll.DBRW($B$9,D$16,D$15,$B50,$C$11,$C$12)</f>
        <v>0</v>
      </c>
      <c r="E50" s="6">
        <f ca="1">_xll.DBRW($B$9,E$16,E$15,$B50,$C$11,$C$12)</f>
        <v>0</v>
      </c>
      <c r="F50" t="str">
        <f ca="1">IFERROR(VLOOKUP(B50,'Opening Data 1'!A:A,1,FALSE),"A rajouter")</f>
        <v>HKD</v>
      </c>
    </row>
    <row r="51" spans="1:6" x14ac:dyDescent="0.25">
      <c r="A51" t="str">
        <f ca="1">IF(_xll.TM1RPTELISCONSOLIDATED($B$17,$B51),IF(_xll.TM1RPTELLEV($B$17,$B51)&lt;=3,_xll.TM1RPTELLEV($B$17,$B51),"D"),"N")</f>
        <v>N</v>
      </c>
      <c r="B51" s="39" t="s">
        <v>60</v>
      </c>
      <c r="C51" s="6">
        <f ca="1">_xll.DBRW($B$9,C$16,C$15,$B51,$C$11,$C$12)</f>
        <v>3.9239048620000001</v>
      </c>
      <c r="D51" s="6">
        <f ca="1">_xll.DBRW($B$9,D$16,D$15,$B51,$C$11,$C$12)</f>
        <v>0</v>
      </c>
      <c r="E51" s="6">
        <f ca="1">_xll.DBRW($B$9,E$16,E$15,$B51,$C$11,$C$12)</f>
        <v>0</v>
      </c>
      <c r="F51" t="str">
        <f ca="1">IFERROR(VLOOKUP(B51,'Opening Data 1'!A:A,1,FALSE),"A rajouter")</f>
        <v>ILS</v>
      </c>
    </row>
    <row r="52" spans="1:6" x14ac:dyDescent="0.25">
      <c r="A52" t="str">
        <f ca="1">IF(_xll.TM1RPTELISCONSOLIDATED($B$17,$B52),IF(_xll.TM1RPTELLEV($B$17,$B52)&lt;=3,_xll.TM1RPTELLEV($B$17,$B52),"D"),"N")</f>
        <v>N</v>
      </c>
      <c r="B52" s="39" t="s">
        <v>61</v>
      </c>
      <c r="C52" s="6">
        <f ca="1">_xll.DBRW($B$9,C$16,C$15,$B52,$C$11,$C$12)</f>
        <v>84.579538919000001</v>
      </c>
      <c r="D52" s="6">
        <f ca="1">_xll.DBRW($B$9,D$16,D$15,$B52,$C$11,$C$12)</f>
        <v>0</v>
      </c>
      <c r="E52" s="6">
        <f ca="1">_xll.DBRW($B$9,E$16,E$15,$B52,$C$11,$C$12)</f>
        <v>0</v>
      </c>
      <c r="F52" t="str">
        <f ca="1">IFERROR(VLOOKUP(B52,'Opening Data 1'!A:A,1,FALSE),"A rajouter")</f>
        <v>INR</v>
      </c>
    </row>
    <row r="53" spans="1:6" x14ac:dyDescent="0.25">
      <c r="A53" t="str">
        <f ca="1">IF(_xll.TM1RPTELISCONSOLIDATED($B$17,$B53),IF(_xll.TM1RPTELLEV($B$17,$B53)&lt;=3,_xll.TM1RPTELLEV($B$17,$B53),"D"),"N")</f>
        <v>N</v>
      </c>
      <c r="B53" s="39" t="s">
        <v>62</v>
      </c>
      <c r="C53" s="6">
        <f ca="1">_xll.DBRW($B$9,C$16,C$15,$B53,$C$11,$C$12)</f>
        <v>1345.105750447</v>
      </c>
      <c r="D53" s="6">
        <f ca="1">_xll.DBRW($B$9,D$16,D$15,$B53,$C$11,$C$12)</f>
        <v>0</v>
      </c>
      <c r="E53" s="6">
        <f ca="1">_xll.DBRW($B$9,E$16,E$15,$B53,$C$11,$C$12)</f>
        <v>0</v>
      </c>
      <c r="F53" t="str">
        <f ca="1">IFERROR(VLOOKUP(B53,'Opening Data 1'!A:A,1,FALSE),"A rajouter")</f>
        <v>KRW</v>
      </c>
    </row>
    <row r="54" spans="1:6" x14ac:dyDescent="0.25">
      <c r="A54" t="str">
        <f ca="1">IF(_xll.TM1RPTELISCONSOLIDATED($B$17,$B54),IF(_xll.TM1RPTELLEV($B$17,$B54)&lt;=3,_xll.TM1RPTELLEV($B$17,$B54),"D"),"N")</f>
        <v>N</v>
      </c>
      <c r="B54" s="39" t="s">
        <v>64</v>
      </c>
      <c r="C54" s="6">
        <f ca="1">_xll.DBRW($B$9,C$16,C$15,$B54,$C$11,$C$12)</f>
        <v>10.815018107</v>
      </c>
      <c r="D54" s="6">
        <f ca="1">_xll.DBRW($B$9,D$16,D$15,$B54,$C$11,$C$12)</f>
        <v>0</v>
      </c>
      <c r="E54" s="6">
        <f ca="1">_xll.DBRW($B$9,E$16,E$15,$B54,$C$11,$C$12)</f>
        <v>0</v>
      </c>
      <c r="F54" t="str">
        <f ca="1">IFERROR(VLOOKUP(B54,'Opening Data 1'!A:A,1,FALSE),"A rajouter")</f>
        <v>MAD</v>
      </c>
    </row>
    <row r="55" spans="1:6" x14ac:dyDescent="0.25">
      <c r="A55" t="str">
        <f ca="1">IF(_xll.TM1RPTELISCONSOLIDATED($B$17,$B55),IF(_xll.TM1RPTELLEV($B$17,$B55)&lt;=3,_xll.TM1RPTELLEV($B$17,$B55),"D"),"N")</f>
        <v>N</v>
      </c>
      <c r="B55" s="39" t="s">
        <v>66</v>
      </c>
      <c r="C55" s="6">
        <f ca="1">_xll.DBRW($B$9,C$16,C$15,$B55,$C$11,$C$12)</f>
        <v>1.7564589589999999</v>
      </c>
      <c r="D55" s="6">
        <f ca="1">_xll.DBRW($B$9,D$16,D$15,$B55,$C$11,$C$12)</f>
        <v>0</v>
      </c>
      <c r="E55" s="6">
        <f ca="1">_xll.DBRW($B$9,E$16,E$15,$B55,$C$11,$C$12)</f>
        <v>0</v>
      </c>
      <c r="F55" t="str">
        <f ca="1">IFERROR(VLOOKUP(B55,'Opening Data 1'!A:A,1,FALSE),"A rajouter")</f>
        <v>NZD</v>
      </c>
    </row>
    <row r="56" spans="1:6" x14ac:dyDescent="0.25">
      <c r="A56" t="str">
        <f ca="1">IF(_xll.TM1RPTELISCONSOLIDATED($B$17,$B56),IF(_xll.TM1RPTELLEV($B$17,$B56)&lt;=3,_xll.TM1RPTELLEV($B$17,$B56),"D"),"N")</f>
        <v>N</v>
      </c>
      <c r="B56" s="39" t="s">
        <v>69</v>
      </c>
      <c r="C56" s="6">
        <f ca="1">_xll.DBRW($B$9,C$16,C$15,$B56,$C$11,$C$12)</f>
        <v>10.488130204000001</v>
      </c>
      <c r="D56" s="6">
        <f ca="1">_xll.DBRW($B$9,D$16,D$15,$B56,$C$11,$C$12)</f>
        <v>0</v>
      </c>
      <c r="E56" s="6">
        <f ca="1">_xll.DBRW($B$9,E$16,E$15,$B56,$C$11,$C$12)</f>
        <v>0</v>
      </c>
      <c r="F56" t="str">
        <f ca="1">IFERROR(VLOOKUP(B56,'Opening Data 1'!A:A,1,FALSE),"A rajouter")</f>
        <v>SEK</v>
      </c>
    </row>
    <row r="57" spans="1:6" x14ac:dyDescent="0.25">
      <c r="A57" t="str">
        <f ca="1">IF(_xll.TM1RPTELISCONSOLIDATED($B$17,$B57),IF(_xll.TM1RPTELLEV($B$17,$B57)&lt;=3,_xll.TM1RPTELLEV($B$17,$B57),"D"),"N")</f>
        <v>N</v>
      </c>
      <c r="B57" s="39" t="s">
        <v>70</v>
      </c>
      <c r="C57" s="6">
        <f ca="1">_xll.DBRW($B$9,C$16,C$15,$B57,$C$11,$C$12)</f>
        <v>1.141281859</v>
      </c>
      <c r="D57" s="6">
        <f ca="1">_xll.DBRW($B$9,D$16,D$15,$B57,$C$11,$C$12)</f>
        <v>0</v>
      </c>
      <c r="E57" s="6">
        <f ca="1">_xll.DBRW($B$9,E$16,E$15,$B57,$C$11,$C$12)</f>
        <v>0</v>
      </c>
      <c r="F57" t="str">
        <f ca="1">IFERROR(VLOOKUP(B57,'Opening Data 1'!A:A,1,FALSE),"A rajouter")</f>
        <v>USD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b49a2378-73c7-4e4c-bff8-b85a2f404b86" ContentTypeId="0x0101" PreviousValue="false"/>
</file>

<file path=customXml/itemProps1.xml><?xml version="1.0" encoding="utf-8"?>
<ds:datastoreItem xmlns:ds="http://schemas.openxmlformats.org/officeDocument/2006/customXml" ds:itemID="{BA955486-6B9E-4C0F-BA68-3F0C186101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92B1BC-B2A4-4B66-B61D-23FA94B6FE42}">
  <ds:schemaRefs>
    <ds:schemaRef ds:uri="http://purl.org/dc/dcmitype/"/>
    <ds:schemaRef ds:uri="http://purl.org/dc/elements/1.1/"/>
    <ds:schemaRef ds:uri="http://schemas.microsoft.com/office/2006/documentManagement/types"/>
    <ds:schemaRef ds:uri="f2833bd4-76a4-4301-b3d7-e03c8129f24a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CC45D56-E5DF-4C8F-B88F-ED164CA480B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B51ABF0-EC1A-4EB1-A905-F8A92AAA1A08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23</vt:i4>
      </vt:variant>
    </vt:vector>
  </HeadingPairs>
  <TitlesOfParts>
    <vt:vector size="32" baseType="lpstr">
      <vt:lpstr>{AR}01</vt:lpstr>
      <vt:lpstr>Context</vt:lpstr>
      <vt:lpstr>PLT - Taxes and Interest Rates</vt:lpstr>
      <vt:lpstr>Tx de change &gt;&gt;&gt;</vt:lpstr>
      <vt:lpstr>Opening Data 1</vt:lpstr>
      <vt:lpstr>Opening Data 2</vt:lpstr>
      <vt:lpstr>Opening Data 3</vt:lpstr>
      <vt:lpstr>LTP</vt:lpstr>
      <vt:lpstr>Active Form Devises</vt:lpstr>
      <vt:lpstr>F_Year_2022</vt:lpstr>
      <vt:lpstr>LTP!Flag</vt:lpstr>
      <vt:lpstr>'Opening Data 2'!Flag</vt:lpstr>
      <vt:lpstr>'Opening Data 3'!Flag</vt:lpstr>
      <vt:lpstr>'PLT - Taxes and Interest Rates'!Flag</vt:lpstr>
      <vt:lpstr>Flag</vt:lpstr>
      <vt:lpstr>LTP_1</vt:lpstr>
      <vt:lpstr>LTP_2</vt:lpstr>
      <vt:lpstr>LTP_3</vt:lpstr>
      <vt:lpstr>LTP_4</vt:lpstr>
      <vt:lpstr>LTP_5</vt:lpstr>
      <vt:lpstr>PHASE_LTP</vt:lpstr>
      <vt:lpstr>Server</vt:lpstr>
      <vt:lpstr>'Active Form Devises'!TM1RPTDATARNG1</vt:lpstr>
      <vt:lpstr>'PLT - Taxes and Interest Rates'!TM1RPTDATARNGARPT1</vt:lpstr>
      <vt:lpstr>'Active Form Devises'!TM1RPTFMTIDCOL</vt:lpstr>
      <vt:lpstr>'PLT - Taxes and Interest Rates'!TM1RPTFMTIDCOL</vt:lpstr>
      <vt:lpstr>'Active Form Devises'!TM1RPTFMTRNG</vt:lpstr>
      <vt:lpstr>'PLT - Taxes and Interest Rates'!TM1RPTFMTRNG</vt:lpstr>
      <vt:lpstr>xCurrentLTP</vt:lpstr>
      <vt:lpstr>xStart</vt:lpstr>
      <vt:lpstr>xStartFormula</vt:lpstr>
      <vt:lpstr>Year_Selected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TABOUMENT, Bruno</dc:creator>
  <cp:lastModifiedBy>TABOUMENT, Bruno</cp:lastModifiedBy>
  <dcterms:created xsi:type="dcterms:W3CDTF">2021-05-21T14:19:40Z</dcterms:created>
  <dcterms:modified xsi:type="dcterms:W3CDTF">2021-07-26T15:47:39Z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