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85" yWindow="4470" windowWidth="15480" windowHeight="3090" firstSheet="1" activeTab="1"/>
  </bookViews>
  <sheets>
    <sheet name="Context" sheetId="2" state="hidden" r:id="rId1"/>
    <sheet name="P&amp;L détaillé" sheetId="1" r:id="rId2"/>
  </sheets>
  <functionGroups builtInGroupCount="17"/>
  <definedNames>
    <definedName name="ActualBudget">Context!$B$16</definedName>
    <definedName name="ActualForecast">Context!$B$17</definedName>
    <definedName name="ActualMonth">Context!$B$15</definedName>
    <definedName name="ActualYear">Context!$B$14</definedName>
    <definedName name="Auto_Fit">'P&amp;L détaillé'!$L$17:$W$191</definedName>
    <definedName name="Cube1">Context!$B$11</definedName>
    <definedName name="Cube2">Context!$B$12</definedName>
    <definedName name="Cube3">Context!$B$13</definedName>
    <definedName name="DEFAULt_PERIOD">'P&amp;L détaillé'!$D$11</definedName>
    <definedName name="Host_Serveur">_xll.DBRW("tango_core_model:z_Admin_Param","SERVER_NAME","STR_VAR1")</definedName>
    <definedName name="Languages">Context!$B$19:$B$20</definedName>
    <definedName name="Locallanguage">Context!$B$18</definedName>
    <definedName name="Print_Area" localSheetId="1">'P&amp;L détaillé'!$F$6:$Y$193</definedName>
    <definedName name="Server">Context!$B$4</definedName>
    <definedName name="xServer">Context!$B$5</definedName>
  </definedNames>
  <calcPr calcId="145621" calcMode="manual" calcCompleted="0" calcOnSave="0" concurrentCalc="0"/>
</workbook>
</file>

<file path=xl/calcChain.xml><?xml version="1.0" encoding="utf-8"?>
<calcChain xmlns="http://schemas.openxmlformats.org/spreadsheetml/2006/main">
  <c r="L94" i="1" l="1"/>
  <c r="W94" i="1"/>
  <c r="V94" i="1"/>
  <c r="U94" i="1"/>
  <c r="S94" i="1"/>
  <c r="R94" i="1"/>
  <c r="Q94" i="1"/>
  <c r="O94" i="1"/>
  <c r="N94" i="1"/>
  <c r="M94" i="1"/>
  <c r="J12" i="1"/>
  <c r="J14" i="1"/>
  <c r="B17" i="2"/>
  <c r="Q1" i="1"/>
  <c r="B15" i="2"/>
  <c r="D11" i="1"/>
  <c r="J11" i="1"/>
  <c r="J15" i="1"/>
  <c r="Q74" i="1"/>
  <c r="Q75" i="1"/>
  <c r="Q76" i="1"/>
  <c r="Q73" i="1"/>
  <c r="Q93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92" i="1"/>
  <c r="J13" i="1"/>
  <c r="Q54" i="1"/>
  <c r="Q55" i="1"/>
  <c r="Q56" i="1"/>
  <c r="Q57" i="1"/>
  <c r="Q58" i="1"/>
  <c r="Q59" i="1"/>
  <c r="Q60" i="1"/>
  <c r="Q61" i="1"/>
  <c r="Q62" i="1"/>
  <c r="Q53" i="1"/>
  <c r="L46" i="1"/>
  <c r="Q46" i="1"/>
  <c r="R46" i="1"/>
  <c r="S46" i="1"/>
  <c r="L32" i="1"/>
  <c r="Q32" i="1"/>
  <c r="R32" i="1"/>
  <c r="S32" i="1"/>
  <c r="B6" i="2"/>
  <c r="H104" i="1"/>
  <c r="L104" i="1"/>
  <c r="U2" i="1"/>
  <c r="U104" i="1"/>
  <c r="V104" i="1"/>
  <c r="W104" i="1"/>
  <c r="R104" i="1"/>
  <c r="S104" i="1"/>
  <c r="B16" i="2"/>
  <c r="M1" i="1"/>
  <c r="M104" i="1"/>
  <c r="N104" i="1"/>
  <c r="O104" i="1"/>
  <c r="H153" i="1"/>
  <c r="L153" i="1"/>
  <c r="U153" i="1"/>
  <c r="V153" i="1"/>
  <c r="W153" i="1"/>
  <c r="Q153" i="1"/>
  <c r="R153" i="1"/>
  <c r="S153" i="1"/>
  <c r="M153" i="1"/>
  <c r="N153" i="1"/>
  <c r="O153" i="1"/>
  <c r="H126" i="1"/>
  <c r="L126" i="1"/>
  <c r="U126" i="1"/>
  <c r="V126" i="1"/>
  <c r="W126" i="1"/>
  <c r="R126" i="1"/>
  <c r="S126" i="1"/>
  <c r="M126" i="1"/>
  <c r="N126" i="1"/>
  <c r="O126" i="1"/>
  <c r="L121" i="1"/>
  <c r="U121" i="1"/>
  <c r="V121" i="1"/>
  <c r="W121" i="1"/>
  <c r="L119" i="1"/>
  <c r="U119" i="1"/>
  <c r="V119" i="1"/>
  <c r="W119" i="1"/>
  <c r="L118" i="1"/>
  <c r="U118" i="1"/>
  <c r="V118" i="1"/>
  <c r="W118" i="1"/>
  <c r="L117" i="1"/>
  <c r="U117" i="1"/>
  <c r="V117" i="1"/>
  <c r="W117" i="1"/>
  <c r="R119" i="1"/>
  <c r="S119" i="1"/>
  <c r="M119" i="1"/>
  <c r="N119" i="1"/>
  <c r="O119" i="1"/>
  <c r="H119" i="1"/>
  <c r="L133" i="1"/>
  <c r="M133" i="1"/>
  <c r="N133" i="1"/>
  <c r="U133" i="1"/>
  <c r="V133" i="1"/>
  <c r="W133" i="1"/>
  <c r="G133" i="1"/>
  <c r="H133" i="1"/>
  <c r="H35" i="1"/>
  <c r="M190" i="1"/>
  <c r="M189" i="1"/>
  <c r="M188" i="1"/>
  <c r="M187" i="1"/>
  <c r="M186" i="1"/>
  <c r="L25" i="1"/>
  <c r="M25" i="1"/>
  <c r="N25" i="1"/>
  <c r="O25" i="1"/>
  <c r="L24" i="1"/>
  <c r="M24" i="1"/>
  <c r="N24" i="1"/>
  <c r="O24" i="1"/>
  <c r="L23" i="1"/>
  <c r="M23" i="1"/>
  <c r="N23" i="1"/>
  <c r="O23" i="1"/>
  <c r="L75" i="1"/>
  <c r="L31" i="1"/>
  <c r="L34" i="1"/>
  <c r="L35" i="1"/>
  <c r="L36" i="1"/>
  <c r="L33" i="1"/>
  <c r="L38" i="1"/>
  <c r="L39" i="1"/>
  <c r="L37" i="1"/>
  <c r="L41" i="1"/>
  <c r="M31" i="1"/>
  <c r="M32" i="1"/>
  <c r="M34" i="1"/>
  <c r="M35" i="1"/>
  <c r="M36" i="1"/>
  <c r="M33" i="1"/>
  <c r="M38" i="1"/>
  <c r="M39" i="1"/>
  <c r="M37" i="1"/>
  <c r="M41" i="1"/>
  <c r="N41" i="1"/>
  <c r="L44" i="1"/>
  <c r="L45" i="1"/>
  <c r="L43" i="1"/>
  <c r="M44" i="1"/>
  <c r="M45" i="1"/>
  <c r="M46" i="1"/>
  <c r="M43" i="1"/>
  <c r="N43" i="1"/>
  <c r="L47" i="1"/>
  <c r="M47" i="1"/>
  <c r="N47" i="1"/>
  <c r="L49" i="1"/>
  <c r="M49" i="1"/>
  <c r="N49" i="1"/>
  <c r="L50" i="1"/>
  <c r="M50" i="1"/>
  <c r="N50" i="1"/>
  <c r="L51" i="1"/>
  <c r="M51" i="1"/>
  <c r="N51" i="1"/>
  <c r="L52" i="1"/>
  <c r="M52" i="1"/>
  <c r="N52" i="1"/>
  <c r="N48" i="1"/>
  <c r="L54" i="1"/>
  <c r="M54" i="1"/>
  <c r="N54" i="1"/>
  <c r="L55" i="1"/>
  <c r="M55" i="1"/>
  <c r="N55" i="1"/>
  <c r="L56" i="1"/>
  <c r="M56" i="1"/>
  <c r="N56" i="1"/>
  <c r="L57" i="1"/>
  <c r="M57" i="1"/>
  <c r="N57" i="1"/>
  <c r="L58" i="1"/>
  <c r="M58" i="1"/>
  <c r="N58" i="1"/>
  <c r="L59" i="1"/>
  <c r="M59" i="1"/>
  <c r="N59" i="1"/>
  <c r="L60" i="1"/>
  <c r="M60" i="1"/>
  <c r="N60" i="1"/>
  <c r="L61" i="1"/>
  <c r="M61" i="1"/>
  <c r="N61" i="1"/>
  <c r="L62" i="1"/>
  <c r="M62" i="1"/>
  <c r="N62" i="1"/>
  <c r="N53" i="1"/>
  <c r="N64" i="1"/>
  <c r="N68" i="1"/>
  <c r="L74" i="1"/>
  <c r="M74" i="1"/>
  <c r="N74" i="1"/>
  <c r="M75" i="1"/>
  <c r="N75" i="1"/>
  <c r="L76" i="1"/>
  <c r="M76" i="1"/>
  <c r="N76" i="1"/>
  <c r="N73" i="1"/>
  <c r="L78" i="1"/>
  <c r="M78" i="1"/>
  <c r="N78" i="1"/>
  <c r="L79" i="1"/>
  <c r="M79" i="1"/>
  <c r="N79" i="1"/>
  <c r="N77" i="1"/>
  <c r="L81" i="1"/>
  <c r="M81" i="1"/>
  <c r="N81" i="1"/>
  <c r="L82" i="1"/>
  <c r="M82" i="1"/>
  <c r="N82" i="1"/>
  <c r="L83" i="1"/>
  <c r="M83" i="1"/>
  <c r="N83" i="1"/>
  <c r="L84" i="1"/>
  <c r="M84" i="1"/>
  <c r="N84" i="1"/>
  <c r="L85" i="1"/>
  <c r="M85" i="1"/>
  <c r="N85" i="1"/>
  <c r="L86" i="1"/>
  <c r="M86" i="1"/>
  <c r="N86" i="1"/>
  <c r="N80" i="1"/>
  <c r="L87" i="1"/>
  <c r="M87" i="1"/>
  <c r="N87" i="1"/>
  <c r="L93" i="1"/>
  <c r="M93" i="1"/>
  <c r="N93" i="1"/>
  <c r="L95" i="1"/>
  <c r="M95" i="1"/>
  <c r="N95" i="1"/>
  <c r="L96" i="1"/>
  <c r="M96" i="1"/>
  <c r="N96" i="1"/>
  <c r="L97" i="1"/>
  <c r="M97" i="1"/>
  <c r="N97" i="1"/>
  <c r="L98" i="1"/>
  <c r="M98" i="1"/>
  <c r="N98" i="1"/>
  <c r="L99" i="1"/>
  <c r="M99" i="1"/>
  <c r="N99" i="1"/>
  <c r="L100" i="1"/>
  <c r="M100" i="1"/>
  <c r="N100" i="1"/>
  <c r="L101" i="1"/>
  <c r="M101" i="1"/>
  <c r="N101" i="1"/>
  <c r="L102" i="1"/>
  <c r="M102" i="1"/>
  <c r="N102" i="1"/>
  <c r="L103" i="1"/>
  <c r="M103" i="1"/>
  <c r="N103" i="1"/>
  <c r="L105" i="1"/>
  <c r="M105" i="1"/>
  <c r="N105" i="1"/>
  <c r="L106" i="1"/>
  <c r="M106" i="1"/>
  <c r="N106" i="1"/>
  <c r="L107" i="1"/>
  <c r="M107" i="1"/>
  <c r="N107" i="1"/>
  <c r="L108" i="1"/>
  <c r="M108" i="1"/>
  <c r="N108" i="1"/>
  <c r="L109" i="1"/>
  <c r="M109" i="1"/>
  <c r="N109" i="1"/>
  <c r="L110" i="1"/>
  <c r="M110" i="1"/>
  <c r="N110" i="1"/>
  <c r="L111" i="1"/>
  <c r="M111" i="1"/>
  <c r="N111" i="1"/>
  <c r="L112" i="1"/>
  <c r="M112" i="1"/>
  <c r="N112" i="1"/>
  <c r="L113" i="1"/>
  <c r="M113" i="1"/>
  <c r="N113" i="1"/>
  <c r="L114" i="1"/>
  <c r="M114" i="1"/>
  <c r="N114" i="1"/>
  <c r="L115" i="1"/>
  <c r="M115" i="1"/>
  <c r="N115" i="1"/>
  <c r="L116" i="1"/>
  <c r="M116" i="1"/>
  <c r="N116" i="1"/>
  <c r="M117" i="1"/>
  <c r="N117" i="1"/>
  <c r="M118" i="1"/>
  <c r="N118" i="1"/>
  <c r="L120" i="1"/>
  <c r="M120" i="1"/>
  <c r="N120" i="1"/>
  <c r="M121" i="1"/>
  <c r="N121" i="1"/>
  <c r="L122" i="1"/>
  <c r="M122" i="1"/>
  <c r="N122" i="1"/>
  <c r="L123" i="1"/>
  <c r="M123" i="1"/>
  <c r="N123" i="1"/>
  <c r="L124" i="1"/>
  <c r="M124" i="1"/>
  <c r="N124" i="1"/>
  <c r="L125" i="1"/>
  <c r="M125" i="1"/>
  <c r="N125" i="1"/>
  <c r="L127" i="1"/>
  <c r="M127" i="1"/>
  <c r="N127" i="1"/>
  <c r="N92" i="1"/>
  <c r="N129" i="1"/>
  <c r="L131" i="1"/>
  <c r="M131" i="1"/>
  <c r="N131" i="1"/>
  <c r="L132" i="1"/>
  <c r="M132" i="1"/>
  <c r="N132" i="1"/>
  <c r="L134" i="1"/>
  <c r="M134" i="1"/>
  <c r="N134" i="1"/>
  <c r="L135" i="1"/>
  <c r="M135" i="1"/>
  <c r="N135" i="1"/>
  <c r="L136" i="1"/>
  <c r="M136" i="1"/>
  <c r="N136" i="1"/>
  <c r="L137" i="1"/>
  <c r="M137" i="1"/>
  <c r="N137" i="1"/>
  <c r="L138" i="1"/>
  <c r="M138" i="1"/>
  <c r="N138" i="1"/>
  <c r="N140" i="1"/>
  <c r="N144" i="1"/>
  <c r="L156" i="1"/>
  <c r="M156" i="1"/>
  <c r="N156" i="1"/>
  <c r="L165" i="1"/>
  <c r="M165" i="1"/>
  <c r="N165" i="1"/>
  <c r="N169" i="1"/>
  <c r="L152" i="1"/>
  <c r="M152" i="1"/>
  <c r="N152" i="1"/>
  <c r="L151" i="1"/>
  <c r="M151" i="1"/>
  <c r="N151" i="1"/>
  <c r="N38" i="1"/>
  <c r="N39" i="1"/>
  <c r="N37" i="1"/>
  <c r="N33" i="1"/>
  <c r="N32" i="1"/>
  <c r="N31" i="1"/>
  <c r="L173" i="1"/>
  <c r="M173" i="1"/>
  <c r="N173" i="1"/>
  <c r="N180" i="1"/>
  <c r="L73" i="1"/>
  <c r="L48" i="1"/>
  <c r="L53" i="1"/>
  <c r="L64" i="1"/>
  <c r="L68" i="1"/>
  <c r="L77" i="1"/>
  <c r="L80" i="1"/>
  <c r="L92" i="1"/>
  <c r="L129" i="1"/>
  <c r="L140" i="1"/>
  <c r="L144" i="1"/>
  <c r="L169" i="1"/>
  <c r="L180" i="1"/>
  <c r="L148" i="1"/>
  <c r="U190" i="1"/>
  <c r="U189" i="1"/>
  <c r="U188" i="1"/>
  <c r="U187" i="1"/>
  <c r="U186" i="1"/>
  <c r="U23" i="1"/>
  <c r="U31" i="1"/>
  <c r="U32" i="1"/>
  <c r="U34" i="1"/>
  <c r="U35" i="1"/>
  <c r="U36" i="1"/>
  <c r="U33" i="1"/>
  <c r="U38" i="1"/>
  <c r="U39" i="1"/>
  <c r="U37" i="1"/>
  <c r="U41" i="1"/>
  <c r="U44" i="1"/>
  <c r="U45" i="1"/>
  <c r="U46" i="1"/>
  <c r="U43" i="1"/>
  <c r="U47" i="1"/>
  <c r="U49" i="1"/>
  <c r="U50" i="1"/>
  <c r="U51" i="1"/>
  <c r="U52" i="1"/>
  <c r="U48" i="1"/>
  <c r="U54" i="1"/>
  <c r="U55" i="1"/>
  <c r="U56" i="1"/>
  <c r="U57" i="1"/>
  <c r="U58" i="1"/>
  <c r="U59" i="1"/>
  <c r="U60" i="1"/>
  <c r="U61" i="1"/>
  <c r="U62" i="1"/>
  <c r="U53" i="1"/>
  <c r="U64" i="1"/>
  <c r="U68" i="1"/>
  <c r="U74" i="1"/>
  <c r="U75" i="1"/>
  <c r="U76" i="1"/>
  <c r="U73" i="1"/>
  <c r="U78" i="1"/>
  <c r="U79" i="1"/>
  <c r="U77" i="1"/>
  <c r="U81" i="1"/>
  <c r="U82" i="1"/>
  <c r="U83" i="1"/>
  <c r="U84" i="1"/>
  <c r="U85" i="1"/>
  <c r="U86" i="1"/>
  <c r="U80" i="1"/>
  <c r="U87" i="1"/>
  <c r="U93" i="1"/>
  <c r="U95" i="1"/>
  <c r="U96" i="1"/>
  <c r="U97" i="1"/>
  <c r="U98" i="1"/>
  <c r="U99" i="1"/>
  <c r="U100" i="1"/>
  <c r="U101" i="1"/>
  <c r="U102" i="1"/>
  <c r="U103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20" i="1"/>
  <c r="U122" i="1"/>
  <c r="U123" i="1"/>
  <c r="U124" i="1"/>
  <c r="U125" i="1"/>
  <c r="U127" i="1"/>
  <c r="U92" i="1"/>
  <c r="U129" i="1"/>
  <c r="U131" i="1"/>
  <c r="U132" i="1"/>
  <c r="U134" i="1"/>
  <c r="U135" i="1"/>
  <c r="U136" i="1"/>
  <c r="U137" i="1"/>
  <c r="U138" i="1"/>
  <c r="U140" i="1"/>
  <c r="U144" i="1"/>
  <c r="U156" i="1"/>
  <c r="U165" i="1"/>
  <c r="U169" i="1"/>
  <c r="U173" i="1"/>
  <c r="U180" i="1"/>
  <c r="V180" i="1"/>
  <c r="W180" i="1"/>
  <c r="U148" i="1"/>
  <c r="V144" i="1"/>
  <c r="V131" i="1"/>
  <c r="V132" i="1"/>
  <c r="V134" i="1"/>
  <c r="V135" i="1"/>
  <c r="V136" i="1"/>
  <c r="V137" i="1"/>
  <c r="V138" i="1"/>
  <c r="V140" i="1"/>
  <c r="W140" i="1"/>
  <c r="V74" i="1"/>
  <c r="V75" i="1"/>
  <c r="V76" i="1"/>
  <c r="V73" i="1"/>
  <c r="V78" i="1"/>
  <c r="V79" i="1"/>
  <c r="V77" i="1"/>
  <c r="V81" i="1"/>
  <c r="V82" i="1"/>
  <c r="V83" i="1"/>
  <c r="V84" i="1"/>
  <c r="V85" i="1"/>
  <c r="V86" i="1"/>
  <c r="V80" i="1"/>
  <c r="V87" i="1"/>
  <c r="V93" i="1"/>
  <c r="V95" i="1"/>
  <c r="V96" i="1"/>
  <c r="V97" i="1"/>
  <c r="V98" i="1"/>
  <c r="V99" i="1"/>
  <c r="V100" i="1"/>
  <c r="V101" i="1"/>
  <c r="V102" i="1"/>
  <c r="V103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20" i="1"/>
  <c r="V122" i="1"/>
  <c r="V123" i="1"/>
  <c r="V124" i="1"/>
  <c r="V125" i="1"/>
  <c r="V127" i="1"/>
  <c r="V92" i="1"/>
  <c r="V129" i="1"/>
  <c r="W129" i="1"/>
  <c r="V68" i="1"/>
  <c r="W68" i="1"/>
  <c r="V23" i="1"/>
  <c r="V31" i="1"/>
  <c r="V32" i="1"/>
  <c r="V33" i="1"/>
  <c r="V38" i="1"/>
  <c r="V39" i="1"/>
  <c r="V37" i="1"/>
  <c r="V43" i="1"/>
  <c r="V47" i="1"/>
  <c r="V49" i="1"/>
  <c r="V50" i="1"/>
  <c r="V51" i="1"/>
  <c r="V52" i="1"/>
  <c r="V48" i="1"/>
  <c r="V54" i="1"/>
  <c r="V55" i="1"/>
  <c r="V56" i="1"/>
  <c r="V57" i="1"/>
  <c r="V58" i="1"/>
  <c r="V59" i="1"/>
  <c r="V60" i="1"/>
  <c r="V61" i="1"/>
  <c r="V62" i="1"/>
  <c r="V53" i="1"/>
  <c r="V64" i="1"/>
  <c r="M48" i="1"/>
  <c r="M53" i="1"/>
  <c r="M64" i="1"/>
  <c r="M68" i="1"/>
  <c r="M73" i="1"/>
  <c r="M77" i="1"/>
  <c r="M80" i="1"/>
  <c r="M92" i="1"/>
  <c r="M129" i="1"/>
  <c r="M140" i="1"/>
  <c r="M144" i="1"/>
  <c r="M169" i="1"/>
  <c r="M180" i="1"/>
  <c r="W144" i="1"/>
  <c r="O144" i="1"/>
  <c r="W138" i="1"/>
  <c r="W137" i="1"/>
  <c r="W136" i="1"/>
  <c r="W135" i="1"/>
  <c r="W134" i="1"/>
  <c r="W132" i="1"/>
  <c r="W131" i="1"/>
  <c r="O135" i="1"/>
  <c r="O134" i="1"/>
  <c r="O131" i="1"/>
  <c r="O138" i="1"/>
  <c r="O137" i="1"/>
  <c r="O136" i="1"/>
  <c r="O140" i="1"/>
  <c r="W73" i="1"/>
  <c r="O73" i="1"/>
  <c r="W92" i="1"/>
  <c r="O92" i="1"/>
  <c r="Q24" i="1"/>
  <c r="R24" i="1"/>
  <c r="Q180" i="1"/>
  <c r="R180" i="1"/>
  <c r="Q156" i="1"/>
  <c r="R156" i="1"/>
  <c r="V156" i="1"/>
  <c r="Q129" i="1"/>
  <c r="R129" i="1"/>
  <c r="O129" i="1"/>
  <c r="V41" i="1"/>
  <c r="W41" i="1"/>
  <c r="Q23" i="1"/>
  <c r="R23" i="1"/>
  <c r="Q31" i="1"/>
  <c r="R31" i="1"/>
  <c r="Q34" i="1"/>
  <c r="R34" i="1"/>
  <c r="Q35" i="1"/>
  <c r="R35" i="1"/>
  <c r="Q36" i="1"/>
  <c r="R36" i="1"/>
  <c r="R33" i="1"/>
  <c r="Q38" i="1"/>
  <c r="R38" i="1"/>
  <c r="Q39" i="1"/>
  <c r="R39" i="1"/>
  <c r="R37" i="1"/>
  <c r="R41" i="1"/>
  <c r="Q33" i="1"/>
  <c r="Q37" i="1"/>
  <c r="Q41" i="1"/>
  <c r="O41" i="1"/>
  <c r="V36" i="1"/>
  <c r="W36" i="1"/>
  <c r="W33" i="1"/>
  <c r="S33" i="1"/>
  <c r="O33" i="1"/>
  <c r="L27" i="1"/>
  <c r="Q148" i="1"/>
  <c r="R148" i="1"/>
  <c r="M148" i="1"/>
  <c r="N148" i="1"/>
  <c r="O148" i="1"/>
  <c r="L150" i="1"/>
  <c r="U150" i="1"/>
  <c r="V150" i="1"/>
  <c r="W150" i="1"/>
  <c r="Q150" i="1"/>
  <c r="R150" i="1"/>
  <c r="S150" i="1"/>
  <c r="M150" i="1"/>
  <c r="N150" i="1"/>
  <c r="O150" i="1"/>
  <c r="H150" i="1"/>
  <c r="Q78" i="1"/>
  <c r="Q79" i="1"/>
  <c r="Q77" i="1"/>
  <c r="V169" i="1"/>
  <c r="Q169" i="1"/>
  <c r="R169" i="1"/>
  <c r="Q144" i="1"/>
  <c r="R144" i="1"/>
  <c r="Q131" i="1"/>
  <c r="R131" i="1"/>
  <c r="Q134" i="1"/>
  <c r="R134" i="1"/>
  <c r="Q135" i="1"/>
  <c r="R135" i="1"/>
  <c r="Q136" i="1"/>
  <c r="R136" i="1"/>
  <c r="Q137" i="1"/>
  <c r="R137" i="1"/>
  <c r="Q138" i="1"/>
  <c r="R138" i="1"/>
  <c r="R140" i="1"/>
  <c r="Q140" i="1"/>
  <c r="G132" i="1"/>
  <c r="H132" i="1"/>
  <c r="H55" i="1"/>
  <c r="W55" i="1"/>
  <c r="R55" i="1"/>
  <c r="S55" i="1"/>
  <c r="O55" i="1"/>
  <c r="H61" i="1"/>
  <c r="W61" i="1"/>
  <c r="R61" i="1"/>
  <c r="S61" i="1"/>
  <c r="O61" i="1"/>
  <c r="Q190" i="1"/>
  <c r="L190" i="1"/>
  <c r="Q189" i="1"/>
  <c r="L189" i="1"/>
  <c r="Q188" i="1"/>
  <c r="L188" i="1"/>
  <c r="Q187" i="1"/>
  <c r="L187" i="1"/>
  <c r="Q186" i="1"/>
  <c r="L186" i="1"/>
  <c r="U175" i="1"/>
  <c r="Q175" i="1"/>
  <c r="M175" i="1"/>
  <c r="L175" i="1"/>
  <c r="U176" i="1"/>
  <c r="Q176" i="1"/>
  <c r="M176" i="1"/>
  <c r="L176" i="1"/>
  <c r="U174" i="1"/>
  <c r="Q174" i="1"/>
  <c r="M174" i="1"/>
  <c r="L174" i="1"/>
  <c r="Q173" i="1"/>
  <c r="Q165" i="1"/>
  <c r="U163" i="1"/>
  <c r="Q163" i="1"/>
  <c r="M163" i="1"/>
  <c r="L163" i="1"/>
  <c r="U162" i="1"/>
  <c r="Q162" i="1"/>
  <c r="M162" i="1"/>
  <c r="L162" i="1"/>
  <c r="Q161" i="1"/>
  <c r="U160" i="1"/>
  <c r="Q160" i="1"/>
  <c r="M160" i="1"/>
  <c r="L160" i="1"/>
  <c r="U152" i="1"/>
  <c r="Q152" i="1"/>
  <c r="U154" i="1"/>
  <c r="Q154" i="1"/>
  <c r="M154" i="1"/>
  <c r="L154" i="1"/>
  <c r="U151" i="1"/>
  <c r="Q151" i="1"/>
  <c r="U149" i="1"/>
  <c r="Q149" i="1"/>
  <c r="M149" i="1"/>
  <c r="L149" i="1"/>
  <c r="U91" i="1"/>
  <c r="Q91" i="1"/>
  <c r="M91" i="1"/>
  <c r="L91" i="1"/>
  <c r="U90" i="1"/>
  <c r="Q90" i="1"/>
  <c r="M90" i="1"/>
  <c r="L90" i="1"/>
  <c r="U89" i="1"/>
  <c r="Q89" i="1"/>
  <c r="M89" i="1"/>
  <c r="L89" i="1"/>
  <c r="U88" i="1"/>
  <c r="Q88" i="1"/>
  <c r="M88" i="1"/>
  <c r="L88" i="1"/>
  <c r="Q87" i="1"/>
  <c r="Q86" i="1"/>
  <c r="Q85" i="1"/>
  <c r="Q84" i="1"/>
  <c r="Q83" i="1"/>
  <c r="Q82" i="1"/>
  <c r="Q81" i="1"/>
  <c r="Q80" i="1"/>
  <c r="B5" i="2"/>
  <c r="H102" i="1"/>
  <c r="H82" i="1"/>
  <c r="H54" i="1"/>
  <c r="M27" i="1"/>
  <c r="H118" i="1"/>
  <c r="G138" i="1"/>
  <c r="H98" i="1"/>
  <c r="H96" i="1"/>
  <c r="H75" i="1"/>
  <c r="U27" i="1"/>
  <c r="Q45" i="1"/>
  <c r="H99" i="1"/>
  <c r="H27" i="1"/>
  <c r="H117" i="1"/>
  <c r="G92" i="1"/>
  <c r="H107" i="1"/>
  <c r="H137" i="1"/>
  <c r="G27" i="1"/>
  <c r="H76" i="1"/>
  <c r="Q27" i="1"/>
  <c r="Q44" i="1"/>
  <c r="H46" i="1"/>
  <c r="H159" i="1"/>
  <c r="H123" i="1"/>
  <c r="G159" i="1"/>
  <c r="H112" i="1"/>
  <c r="H138" i="1"/>
  <c r="H121" i="1"/>
  <c r="G137" i="1"/>
  <c r="H110" i="1"/>
  <c r="H108" i="1"/>
  <c r="H105" i="1"/>
  <c r="H115" i="1"/>
  <c r="Q52" i="1"/>
  <c r="U28" i="1"/>
  <c r="U25" i="1"/>
  <c r="H161" i="1"/>
  <c r="H32" i="1"/>
  <c r="H26" i="1"/>
  <c r="H135" i="1"/>
  <c r="H125" i="1"/>
  <c r="H57" i="1"/>
  <c r="Q28" i="1"/>
  <c r="Q25" i="1"/>
  <c r="G32" i="1"/>
  <c r="G26" i="1"/>
  <c r="G140" i="1"/>
  <c r="G131" i="1"/>
  <c r="H113" i="1"/>
  <c r="H51" i="1"/>
  <c r="G31" i="1"/>
  <c r="Q64" i="1"/>
  <c r="Q48" i="1"/>
  <c r="G23" i="1"/>
  <c r="Q47" i="1"/>
  <c r="G8" i="1"/>
  <c r="H186" i="1"/>
  <c r="H52" i="1"/>
  <c r="H136" i="1"/>
  <c r="L26" i="1"/>
  <c r="G161" i="1"/>
  <c r="G134" i="1"/>
  <c r="H169" i="1"/>
  <c r="G148" i="1"/>
  <c r="H114" i="1"/>
  <c r="G80" i="1"/>
  <c r="H68" i="1"/>
  <c r="H56" i="1"/>
  <c r="H43" i="1"/>
  <c r="H180" i="1"/>
  <c r="H148" i="1"/>
  <c r="G129" i="1"/>
  <c r="H86" i="1"/>
  <c r="G64" i="1"/>
  <c r="H62" i="1"/>
  <c r="G41" i="1"/>
  <c r="H90" i="1"/>
  <c r="H60" i="1"/>
  <c r="H127" i="1"/>
  <c r="H85" i="1"/>
  <c r="L29" i="1"/>
  <c r="U26" i="1"/>
  <c r="U24" i="1"/>
  <c r="H24" i="1"/>
  <c r="H29" i="1"/>
  <c r="H131" i="1"/>
  <c r="H106" i="1"/>
  <c r="Q20" i="1"/>
  <c r="U29" i="1"/>
  <c r="Q26" i="1"/>
  <c r="G29" i="1"/>
  <c r="G135" i="1"/>
  <c r="H124" i="1"/>
  <c r="Q51" i="1"/>
  <c r="G33" i="1"/>
  <c r="H31" i="1"/>
  <c r="H74" i="1"/>
  <c r="H190" i="1"/>
  <c r="H84" i="1"/>
  <c r="M28" i="1"/>
  <c r="H120" i="1"/>
  <c r="H28" i="1"/>
  <c r="H122" i="1"/>
  <c r="H50" i="1"/>
  <c r="L28" i="1"/>
  <c r="H162" i="1"/>
  <c r="G28" i="1"/>
  <c r="H89" i="1"/>
  <c r="U20" i="1"/>
  <c r="G173" i="1"/>
  <c r="G151" i="1"/>
  <c r="H92" i="1"/>
  <c r="G53" i="1"/>
  <c r="H47" i="1"/>
  <c r="H38" i="1"/>
  <c r="H189" i="1"/>
  <c r="H174" i="1"/>
  <c r="H154" i="1"/>
  <c r="H100" i="1"/>
  <c r="H78" i="1"/>
  <c r="H49" i="1"/>
  <c r="H45" i="1"/>
  <c r="H39" i="1"/>
  <c r="H103" i="1"/>
  <c r="Q29" i="1"/>
  <c r="H25" i="1"/>
  <c r="H91" i="1"/>
  <c r="H83" i="1"/>
  <c r="H163" i="1"/>
  <c r="G25" i="1"/>
  <c r="G136" i="1"/>
  <c r="H81" i="1"/>
  <c r="H88" i="1"/>
  <c r="Q50" i="1"/>
  <c r="M20" i="1"/>
  <c r="Q68" i="1"/>
  <c r="H176" i="1"/>
  <c r="H152" i="1"/>
  <c r="H111" i="1"/>
  <c r="H79" i="1"/>
  <c r="H59" i="1"/>
  <c r="H53" i="1"/>
  <c r="L17" i="1"/>
  <c r="H175" i="1"/>
  <c r="G156" i="1"/>
  <c r="H116" i="1"/>
  <c r="H80" i="1"/>
  <c r="H58" i="1"/>
  <c r="G47" i="1"/>
  <c r="H33" i="1"/>
  <c r="H23" i="1"/>
  <c r="M26" i="1"/>
  <c r="H36" i="1"/>
  <c r="H134" i="1"/>
  <c r="H149" i="1"/>
  <c r="M29" i="1"/>
  <c r="G24" i="1"/>
  <c r="H160" i="1"/>
  <c r="L20" i="1"/>
  <c r="Q49" i="1"/>
  <c r="H188" i="1"/>
  <c r="G165" i="1"/>
  <c r="H144" i="1"/>
  <c r="H87" i="1"/>
  <c r="H73" i="1"/>
  <c r="H44" i="1"/>
  <c r="B14" i="2"/>
  <c r="H187" i="1"/>
  <c r="H173" i="1"/>
  <c r="H151" i="1"/>
  <c r="G87" i="1"/>
  <c r="G73" i="1"/>
  <c r="G43" i="1"/>
  <c r="H34" i="1"/>
  <c r="N34" i="1"/>
  <c r="O34" i="1"/>
  <c r="V34" i="1"/>
  <c r="W34" i="1"/>
  <c r="S34" i="1"/>
  <c r="O152" i="1"/>
  <c r="V152" i="1"/>
  <c r="W152" i="1"/>
  <c r="R152" i="1"/>
  <c r="S152" i="1"/>
  <c r="R20" i="1"/>
  <c r="V20" i="1"/>
  <c r="N20" i="1"/>
  <c r="S136" i="1"/>
  <c r="Q69" i="1"/>
  <c r="R69" i="1"/>
  <c r="V187" i="1"/>
  <c r="W187" i="1"/>
  <c r="R187" i="1"/>
  <c r="S187" i="1"/>
  <c r="N187" i="1"/>
  <c r="O187" i="1"/>
  <c r="W23" i="1"/>
  <c r="S23" i="1"/>
  <c r="V148" i="1"/>
  <c r="W148" i="1"/>
  <c r="S148" i="1"/>
  <c r="V176" i="1"/>
  <c r="W176" i="1"/>
  <c r="N176" i="1"/>
  <c r="O176" i="1"/>
  <c r="R176" i="1"/>
  <c r="S176" i="1"/>
  <c r="V25" i="1"/>
  <c r="W25" i="1"/>
  <c r="R25" i="1"/>
  <c r="S25" i="1"/>
  <c r="V88" i="1"/>
  <c r="W88" i="1"/>
  <c r="N88" i="1"/>
  <c r="O88" i="1"/>
  <c r="R88" i="1"/>
  <c r="S88" i="1"/>
  <c r="Q181" i="1"/>
  <c r="R181" i="1"/>
  <c r="S24" i="1"/>
  <c r="V24" i="1"/>
  <c r="W24" i="1"/>
  <c r="V28" i="1"/>
  <c r="W28" i="1"/>
  <c r="R28" i="1"/>
  <c r="S28" i="1"/>
  <c r="N28" i="1"/>
  <c r="O28" i="1"/>
  <c r="S134" i="1"/>
  <c r="V188" i="1"/>
  <c r="W188" i="1"/>
  <c r="N188" i="1"/>
  <c r="O188" i="1"/>
  <c r="R188" i="1"/>
  <c r="S188" i="1"/>
  <c r="R149" i="1"/>
  <c r="S149" i="1"/>
  <c r="V149" i="1"/>
  <c r="W149" i="1"/>
  <c r="N149" i="1"/>
  <c r="O149" i="1"/>
  <c r="N175" i="1"/>
  <c r="O175" i="1"/>
  <c r="R175" i="1"/>
  <c r="S175" i="1"/>
  <c r="V175" i="1"/>
  <c r="W175" i="1"/>
  <c r="S135" i="1"/>
  <c r="N29" i="1"/>
  <c r="O29" i="1"/>
  <c r="R29" i="1"/>
  <c r="S29" i="1"/>
  <c r="V29" i="1"/>
  <c r="W29" i="1"/>
  <c r="S38" i="1"/>
  <c r="S37" i="1"/>
  <c r="Q170" i="1"/>
  <c r="R170" i="1"/>
  <c r="R189" i="1"/>
  <c r="S189" i="1"/>
  <c r="V189" i="1"/>
  <c r="W189" i="1"/>
  <c r="N189" i="1"/>
  <c r="O189" i="1"/>
  <c r="S36" i="1"/>
  <c r="N36" i="1"/>
  <c r="O36" i="1"/>
  <c r="V151" i="1"/>
  <c r="W151" i="1"/>
  <c r="O151" i="1"/>
  <c r="R151" i="1"/>
  <c r="S151" i="1"/>
  <c r="R89" i="1"/>
  <c r="S89" i="1"/>
  <c r="V89" i="1"/>
  <c r="W89" i="1"/>
  <c r="N89" i="1"/>
  <c r="O89" i="1"/>
  <c r="W32" i="1"/>
  <c r="O32" i="1"/>
  <c r="N26" i="1"/>
  <c r="O26" i="1"/>
  <c r="R26" i="1"/>
  <c r="S26" i="1"/>
  <c r="V26" i="1"/>
  <c r="W26" i="1"/>
  <c r="V91" i="1"/>
  <c r="W91" i="1"/>
  <c r="R91" i="1"/>
  <c r="S91" i="1"/>
  <c r="N91" i="1"/>
  <c r="O91" i="1"/>
  <c r="N186" i="1"/>
  <c r="O186" i="1"/>
  <c r="R186" i="1"/>
  <c r="S186" i="1"/>
  <c r="V186" i="1"/>
  <c r="W186" i="1"/>
  <c r="N190" i="1"/>
  <c r="O190" i="1"/>
  <c r="R190" i="1"/>
  <c r="S190" i="1"/>
  <c r="V190" i="1"/>
  <c r="W190" i="1"/>
  <c r="Q145" i="1"/>
  <c r="R145" i="1"/>
  <c r="N154" i="1"/>
  <c r="O154" i="1"/>
  <c r="R154" i="1"/>
  <c r="S154" i="1"/>
  <c r="V154" i="1"/>
  <c r="W154" i="1"/>
  <c r="R174" i="1"/>
  <c r="S174" i="1"/>
  <c r="V174" i="1"/>
  <c r="W174" i="1"/>
  <c r="N174" i="1"/>
  <c r="O174" i="1"/>
  <c r="O31" i="1"/>
  <c r="W31" i="1"/>
  <c r="S31" i="1"/>
  <c r="S131" i="1"/>
  <c r="R90" i="1"/>
  <c r="S90" i="1"/>
  <c r="V90" i="1"/>
  <c r="W90" i="1"/>
  <c r="N90" i="1"/>
  <c r="O90" i="1"/>
  <c r="U69" i="1"/>
  <c r="M161" i="1"/>
  <c r="M159" i="1"/>
  <c r="U159" i="1"/>
  <c r="V173" i="1"/>
  <c r="W173" i="1"/>
  <c r="O173" i="1"/>
  <c r="R173" i="1"/>
  <c r="S173" i="1"/>
  <c r="R108" i="1"/>
  <c r="S108" i="1"/>
  <c r="O108" i="1"/>
  <c r="W108" i="1"/>
  <c r="R105" i="1"/>
  <c r="S105" i="1"/>
  <c r="O105" i="1"/>
  <c r="W105" i="1"/>
  <c r="R87" i="1"/>
  <c r="S87" i="1"/>
  <c r="O87" i="1"/>
  <c r="W87" i="1"/>
  <c r="R79" i="1"/>
  <c r="S79" i="1"/>
  <c r="W79" i="1"/>
  <c r="O79" i="1"/>
  <c r="R58" i="1"/>
  <c r="S58" i="1"/>
  <c r="R53" i="1"/>
  <c r="S53" i="1"/>
  <c r="N45" i="1"/>
  <c r="O45" i="1"/>
  <c r="V45" i="1"/>
  <c r="W45" i="1"/>
  <c r="R45" i="1"/>
  <c r="S45" i="1"/>
  <c r="V27" i="1"/>
  <c r="W27" i="1"/>
  <c r="R27" i="1"/>
  <c r="S27" i="1"/>
  <c r="N27" i="1"/>
  <c r="O27" i="1"/>
  <c r="O124" i="1"/>
  <c r="W124" i="1"/>
  <c r="R124" i="1"/>
  <c r="S124" i="1"/>
  <c r="O115" i="1"/>
  <c r="W115" i="1"/>
  <c r="R115" i="1"/>
  <c r="S115" i="1"/>
  <c r="W96" i="1"/>
  <c r="O96" i="1"/>
  <c r="R96" i="1"/>
  <c r="S96" i="1"/>
  <c r="R78" i="1"/>
  <c r="S78" i="1"/>
  <c r="R77" i="1"/>
  <c r="S77" i="1"/>
  <c r="O59" i="1"/>
  <c r="W59" i="1"/>
  <c r="R59" i="1"/>
  <c r="S59" i="1"/>
  <c r="N46" i="1"/>
  <c r="O46" i="1"/>
  <c r="V46" i="1"/>
  <c r="W46" i="1"/>
  <c r="O118" i="1"/>
  <c r="R118" i="1"/>
  <c r="S118" i="1"/>
  <c r="O121" i="1"/>
  <c r="R121" i="1"/>
  <c r="S121" i="1"/>
  <c r="S35" i="1"/>
  <c r="V35" i="1"/>
  <c r="W35" i="1"/>
  <c r="N35" i="1"/>
  <c r="O35" i="1"/>
  <c r="S39" i="1"/>
  <c r="W39" i="1"/>
  <c r="O39" i="1"/>
  <c r="O123" i="1"/>
  <c r="W123" i="1"/>
  <c r="R123" i="1"/>
  <c r="S123" i="1"/>
  <c r="W114" i="1"/>
  <c r="O114" i="1"/>
  <c r="R114" i="1"/>
  <c r="S114" i="1"/>
  <c r="W103" i="1"/>
  <c r="O103" i="1"/>
  <c r="R103" i="1"/>
  <c r="S103" i="1"/>
  <c r="R81" i="1"/>
  <c r="S81" i="1"/>
  <c r="R80" i="1"/>
  <c r="S80" i="1"/>
  <c r="R57" i="1"/>
  <c r="S57" i="1"/>
  <c r="O57" i="1"/>
  <c r="W57" i="1"/>
  <c r="O47" i="1"/>
  <c r="R47" i="1"/>
  <c r="S47" i="1"/>
  <c r="W47" i="1"/>
  <c r="Q43" i="1"/>
  <c r="R117" i="1"/>
  <c r="S117" i="1"/>
  <c r="O117" i="1"/>
  <c r="R110" i="1"/>
  <c r="S110" i="1"/>
  <c r="O110" i="1"/>
  <c r="W54" i="1"/>
  <c r="O54" i="1"/>
  <c r="R54" i="1"/>
  <c r="S54" i="1"/>
  <c r="S140" i="1"/>
  <c r="R116" i="1"/>
  <c r="S116" i="1"/>
  <c r="W116" i="1"/>
  <c r="O116" i="1"/>
  <c r="O98" i="1"/>
  <c r="W98" i="1"/>
  <c r="R98" i="1"/>
  <c r="S98" i="1"/>
  <c r="R83" i="1"/>
  <c r="S83" i="1"/>
  <c r="W83" i="1"/>
  <c r="O83" i="1"/>
  <c r="O62" i="1"/>
  <c r="W62" i="1"/>
  <c r="R62" i="1"/>
  <c r="S62" i="1"/>
  <c r="S41" i="1"/>
  <c r="R101" i="1"/>
  <c r="S101" i="1"/>
  <c r="O101" i="1"/>
  <c r="W101" i="1"/>
  <c r="W102" i="1"/>
  <c r="R102" i="1"/>
  <c r="S102" i="1"/>
  <c r="O102" i="1"/>
  <c r="R107" i="1"/>
  <c r="S107" i="1"/>
  <c r="O107" i="1"/>
  <c r="W107" i="1"/>
  <c r="R162" i="1"/>
  <c r="S162" i="1"/>
  <c r="N162" i="1"/>
  <c r="L161" i="1"/>
  <c r="R161" i="1"/>
  <c r="S161" i="1"/>
  <c r="V162" i="1"/>
  <c r="U161" i="1"/>
  <c r="O125" i="1"/>
  <c r="W125" i="1"/>
  <c r="R125" i="1"/>
  <c r="S125" i="1"/>
  <c r="O113" i="1"/>
  <c r="W113" i="1"/>
  <c r="R113" i="1"/>
  <c r="S113" i="1"/>
  <c r="W97" i="1"/>
  <c r="O97" i="1"/>
  <c r="R97" i="1"/>
  <c r="S97" i="1"/>
  <c r="O84" i="1"/>
  <c r="W84" i="1"/>
  <c r="R84" i="1"/>
  <c r="S84" i="1"/>
  <c r="W56" i="1"/>
  <c r="R56" i="1"/>
  <c r="S56" i="1"/>
  <c r="O56" i="1"/>
  <c r="R50" i="1"/>
  <c r="S50" i="1"/>
  <c r="O50" i="1"/>
  <c r="W50" i="1"/>
  <c r="W156" i="1"/>
  <c r="O156" i="1"/>
  <c r="S156" i="1"/>
  <c r="R120" i="1"/>
  <c r="S120" i="1"/>
  <c r="O120" i="1"/>
  <c r="W120" i="1"/>
  <c r="R106" i="1"/>
  <c r="S106" i="1"/>
  <c r="O106" i="1"/>
  <c r="W106" i="1"/>
  <c r="O85" i="1"/>
  <c r="W85" i="1"/>
  <c r="R85" i="1"/>
  <c r="S85" i="1"/>
  <c r="W60" i="1"/>
  <c r="O60" i="1"/>
  <c r="R60" i="1"/>
  <c r="S60" i="1"/>
  <c r="R49" i="1"/>
  <c r="S49" i="1"/>
  <c r="R48" i="1"/>
  <c r="S48" i="1"/>
  <c r="S138" i="1"/>
  <c r="O112" i="1"/>
  <c r="R112" i="1"/>
  <c r="S112" i="1"/>
  <c r="W112" i="1"/>
  <c r="R127" i="1"/>
  <c r="S127" i="1"/>
  <c r="W127" i="1"/>
  <c r="O127" i="1"/>
  <c r="N160" i="1"/>
  <c r="L159" i="1"/>
  <c r="V160" i="1"/>
  <c r="R160" i="1"/>
  <c r="S160" i="1"/>
  <c r="N163" i="1"/>
  <c r="O163" i="1"/>
  <c r="R163" i="1"/>
  <c r="S163" i="1"/>
  <c r="V163" i="1"/>
  <c r="W163" i="1"/>
  <c r="O165" i="1"/>
  <c r="R165" i="1"/>
  <c r="S165" i="1"/>
  <c r="V165" i="1"/>
  <c r="W165" i="1"/>
  <c r="O109" i="1"/>
  <c r="W109" i="1"/>
  <c r="R109" i="1"/>
  <c r="S109" i="1"/>
  <c r="W99" i="1"/>
  <c r="O99" i="1"/>
  <c r="R99" i="1"/>
  <c r="S99" i="1"/>
  <c r="O86" i="1"/>
  <c r="W86" i="1"/>
  <c r="R86" i="1"/>
  <c r="S86" i="1"/>
  <c r="O75" i="1"/>
  <c r="W75" i="1"/>
  <c r="R75" i="1"/>
  <c r="S75" i="1"/>
  <c r="W52" i="1"/>
  <c r="O52" i="1"/>
  <c r="R52" i="1"/>
  <c r="S52" i="1"/>
  <c r="O76" i="1"/>
  <c r="R76" i="1"/>
  <c r="S76" i="1"/>
  <c r="W76" i="1"/>
  <c r="W122" i="1"/>
  <c r="R122" i="1"/>
  <c r="S122" i="1"/>
  <c r="O122" i="1"/>
  <c r="O111" i="1"/>
  <c r="W111" i="1"/>
  <c r="R111" i="1"/>
  <c r="S111" i="1"/>
  <c r="R100" i="1"/>
  <c r="S100" i="1"/>
  <c r="R92" i="1"/>
  <c r="S92" i="1"/>
  <c r="R74" i="1"/>
  <c r="S74" i="1"/>
  <c r="O51" i="1"/>
  <c r="W51" i="1"/>
  <c r="R51" i="1"/>
  <c r="S51" i="1"/>
  <c r="N44" i="1"/>
  <c r="O44" i="1"/>
  <c r="V44" i="1"/>
  <c r="W44" i="1"/>
  <c r="R44" i="1"/>
  <c r="S44" i="1"/>
  <c r="S137" i="1"/>
  <c r="W82" i="1"/>
  <c r="R82" i="1"/>
  <c r="S82" i="1"/>
  <c r="O82" i="1"/>
  <c r="R93" i="1"/>
  <c r="S93" i="1"/>
  <c r="O93" i="1"/>
  <c r="W93" i="1"/>
  <c r="W95" i="1"/>
  <c r="R95" i="1"/>
  <c r="S95" i="1"/>
  <c r="O95" i="1"/>
  <c r="R43" i="1"/>
  <c r="S43" i="1"/>
  <c r="W43" i="1"/>
  <c r="W74" i="1"/>
  <c r="O100" i="1"/>
  <c r="W100" i="1"/>
  <c r="W160" i="1"/>
  <c r="V159" i="1"/>
  <c r="W159" i="1"/>
  <c r="O160" i="1"/>
  <c r="N159" i="1"/>
  <c r="O159" i="1"/>
  <c r="W49" i="1"/>
  <c r="W48" i="1"/>
  <c r="W162" i="1"/>
  <c r="V161" i="1"/>
  <c r="W161" i="1"/>
  <c r="O162" i="1"/>
  <c r="N161" i="1"/>
  <c r="O161" i="1"/>
  <c r="R68" i="1"/>
  <c r="S68" i="1"/>
  <c r="L69" i="1"/>
  <c r="O81" i="1"/>
  <c r="O80" i="1"/>
  <c r="O78" i="1"/>
  <c r="O77" i="1"/>
  <c r="W58" i="1"/>
  <c r="W53" i="1"/>
  <c r="W38" i="1"/>
  <c r="W37" i="1"/>
  <c r="R73" i="1"/>
  <c r="S73" i="1"/>
  <c r="S129" i="1"/>
  <c r="O74" i="1"/>
  <c r="O49" i="1"/>
  <c r="O48" i="1"/>
  <c r="W81" i="1"/>
  <c r="W80" i="1"/>
  <c r="W78" i="1"/>
  <c r="W77" i="1"/>
  <c r="O58" i="1"/>
  <c r="O53" i="1"/>
  <c r="M69" i="1"/>
  <c r="U145" i="1"/>
  <c r="O38" i="1"/>
  <c r="O37" i="1"/>
  <c r="U181" i="1"/>
  <c r="U170" i="1"/>
  <c r="M145" i="1"/>
  <c r="O68" i="1"/>
  <c r="V69" i="1"/>
  <c r="N69" i="1"/>
  <c r="O43" i="1"/>
  <c r="O64" i="1"/>
  <c r="L145" i="1"/>
  <c r="S144" i="1"/>
  <c r="W64" i="1"/>
  <c r="R64" i="1"/>
  <c r="S64" i="1"/>
  <c r="V145" i="1"/>
  <c r="N145" i="1"/>
  <c r="S169" i="1"/>
  <c r="W169" i="1"/>
  <c r="L170" i="1"/>
  <c r="M170" i="1"/>
  <c r="M181" i="1"/>
  <c r="V170" i="1"/>
  <c r="N170" i="1"/>
  <c r="O169" i="1"/>
  <c r="O180" i="1"/>
  <c r="S180" i="1"/>
  <c r="L181" i="1"/>
  <c r="N181" i="1"/>
  <c r="V181" i="1"/>
</calcChain>
</file>

<file path=xl/sharedStrings.xml><?xml version="1.0" encoding="utf-8"?>
<sst xmlns="http://schemas.openxmlformats.org/spreadsheetml/2006/main" count="225" uniqueCount="188">
  <si>
    <t>Phase</t>
  </si>
  <si>
    <t>ACT_TOT</t>
  </si>
  <si>
    <t>Period</t>
  </si>
  <si>
    <t xml:space="preserve"> </t>
  </si>
  <si>
    <t>P&amp;L Aggregated Context :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</si>
  <si>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</si>
  <si>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</si>
  <si>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</si>
  <si>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</si>
  <si>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</si>
  <si>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</si>
  <si>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</si>
  <si>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</si>
  <si>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</si>
  <si>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</si>
  <si>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Actual Month :</t>
  </si>
  <si>
    <t>Budget Version :</t>
  </si>
  <si>
    <t xml:space="preserve">Forecast Version </t>
  </si>
  <si>
    <t>Local language</t>
  </si>
  <si>
    <t>Language List :</t>
  </si>
  <si>
    <t>Note List :</t>
  </si>
  <si>
    <t>Sheets Context Legend :</t>
  </si>
  <si>
    <t>Technical Named Cell for VBA process :</t>
  </si>
  <si>
    <t>Fixed Dimension Context</t>
  </si>
  <si>
    <t>z_Admin_Param Dimension Context</t>
  </si>
  <si>
    <t>Name of the dimension concerning report translation</t>
  </si>
  <si>
    <t>French</t>
  </si>
  <si>
    <t>A</t>
  </si>
  <si>
    <t>B</t>
  </si>
  <si>
    <t>C</t>
  </si>
  <si>
    <t>Calc excel</t>
  </si>
  <si>
    <t>Cube n°3 :</t>
  </si>
  <si>
    <t>Periode</t>
  </si>
  <si>
    <t>Antenne</t>
  </si>
  <si>
    <t>Type de formation</t>
  </si>
  <si>
    <t>Partenaire</t>
  </si>
  <si>
    <t>Nature Analytique</t>
  </si>
  <si>
    <t>GIE_Nat_Analytique</t>
  </si>
  <si>
    <t>Sélection du contexte</t>
  </si>
  <si>
    <t>GIE Transdev Formation - P&amp;L détaillé</t>
  </si>
  <si>
    <t>GIE_Indicator</t>
  </si>
  <si>
    <t>Tot_Produits_Subventions</t>
  </si>
  <si>
    <t>778000</t>
  </si>
  <si>
    <t>709600</t>
  </si>
  <si>
    <t>708800a</t>
  </si>
  <si>
    <t>708800c</t>
  </si>
  <si>
    <t>Tot_Produits</t>
  </si>
  <si>
    <t>621880_Tot</t>
  </si>
  <si>
    <t>621880a</t>
  </si>
  <si>
    <t>621880b</t>
  </si>
  <si>
    <t>617000</t>
  </si>
  <si>
    <t>613200a</t>
  </si>
  <si>
    <t>618880a</t>
  </si>
  <si>
    <t>618880b</t>
  </si>
  <si>
    <t>623600</t>
  </si>
  <si>
    <t>624100a</t>
  </si>
  <si>
    <t>618500</t>
  </si>
  <si>
    <t>Cout_direct_formation_autres</t>
  </si>
  <si>
    <t>Cout_direct_formation</t>
  </si>
  <si>
    <t>Marge_Cout_direct_formation</t>
  </si>
  <si>
    <t>Cout_structure_salaires</t>
  </si>
  <si>
    <t>621100</t>
  </si>
  <si>
    <t>615650</t>
  </si>
  <si>
    <t>Cout_structure_VH_Telephonie</t>
  </si>
  <si>
    <t>626210</t>
  </si>
  <si>
    <t>Cout_structure_honoraires</t>
  </si>
  <si>
    <t>622700</t>
  </si>
  <si>
    <t>Cout_structure_autres</t>
  </si>
  <si>
    <t>681120</t>
  </si>
  <si>
    <t>613200b</t>
  </si>
  <si>
    <t>624100b</t>
  </si>
  <si>
    <t>626100</t>
  </si>
  <si>
    <t>606450</t>
  </si>
  <si>
    <t>606460</t>
  </si>
  <si>
    <t>606470</t>
  </si>
  <si>
    <t>625600</t>
  </si>
  <si>
    <t>625700</t>
  </si>
  <si>
    <t>TBD_X1</t>
  </si>
  <si>
    <t>Cout_structure</t>
  </si>
  <si>
    <t>Resultat_exploitation</t>
  </si>
  <si>
    <t>Charges_financieres</t>
  </si>
  <si>
    <t>627700</t>
  </si>
  <si>
    <t>Resultat_financier</t>
  </si>
  <si>
    <t>Charges_exceptionnelles</t>
  </si>
  <si>
    <t>Produits_financiers</t>
  </si>
  <si>
    <t>Resultat_exceptionnel</t>
  </si>
  <si>
    <t>Resultat_avt_imp_taxes</t>
  </si>
  <si>
    <t>Impots_Taxes</t>
  </si>
  <si>
    <t>635115</t>
  </si>
  <si>
    <t>637100</t>
  </si>
  <si>
    <t>635140</t>
  </si>
  <si>
    <t>Resultat_net</t>
  </si>
  <si>
    <t>Nb_Stagiaire</t>
  </si>
  <si>
    <t>Nb_Session</t>
  </si>
  <si>
    <t>Nb_hr_Formation</t>
  </si>
  <si>
    <t>Nb_jr_Formateur_Moniteur</t>
  </si>
  <si>
    <t>Nb_jr_production</t>
  </si>
  <si>
    <t>Indicateurs opérationnels</t>
  </si>
  <si>
    <t>% du Total Produits</t>
  </si>
  <si>
    <t>z_Translate_Report</t>
  </si>
  <si>
    <t>Actual_N_1</t>
  </si>
  <si>
    <t>RP_GIE_Transdev_Formation</t>
  </si>
  <si>
    <t>GIE_Antennes</t>
  </si>
  <si>
    <t>GIE_Partenaires</t>
  </si>
  <si>
    <t>GIE_Type_ Formation</t>
  </si>
  <si>
    <t>706025b</t>
  </si>
  <si>
    <t>622600a</t>
  </si>
  <si>
    <t>622600b</t>
  </si>
  <si>
    <t>781740</t>
  </si>
  <si>
    <t>613510</t>
  </si>
  <si>
    <t>613530</t>
  </si>
  <si>
    <t>622610</t>
  </si>
  <si>
    <t>606400</t>
  </si>
  <si>
    <t>625500</t>
  </si>
  <si>
    <t>658000</t>
  </si>
  <si>
    <t>623400</t>
  </si>
  <si>
    <t>681110</t>
  </si>
  <si>
    <t>681740</t>
  </si>
  <si>
    <t>768000</t>
  </si>
  <si>
    <t>668000</t>
  </si>
  <si>
    <t>758000</t>
  </si>
  <si>
    <t>758500</t>
  </si>
  <si>
    <t>758810</t>
  </si>
  <si>
    <t>Produit_structure</t>
  </si>
  <si>
    <t>706025c</t>
  </si>
  <si>
    <t>706025d</t>
  </si>
  <si>
    <t>706025e</t>
  </si>
  <si>
    <t>706025f</t>
  </si>
  <si>
    <t>706025g</t>
  </si>
  <si>
    <t>706025a</t>
  </si>
  <si>
    <t>708800b</t>
  </si>
  <si>
    <t>628880</t>
  </si>
  <si>
    <t>772888</t>
  </si>
  <si>
    <t>671200</t>
  </si>
  <si>
    <t>672888</t>
  </si>
  <si>
    <t>613580a</t>
  </si>
  <si>
    <t xml:space="preserve">613580b </t>
  </si>
  <si>
    <t>615600a</t>
  </si>
  <si>
    <t>615600b</t>
  </si>
  <si>
    <t>615580b</t>
  </si>
  <si>
    <t>625130a</t>
  </si>
  <si>
    <t>625130b</t>
  </si>
  <si>
    <t>625130c</t>
  </si>
  <si>
    <t xml:space="preserve">623100a  </t>
  </si>
  <si>
    <t>623100b</t>
  </si>
  <si>
    <t>à supprimer</t>
  </si>
  <si>
    <t>sous-totaux</t>
  </si>
  <si>
    <t>Produits exceptionnels</t>
  </si>
  <si>
    <t>626200</t>
  </si>
  <si>
    <t>626600</t>
  </si>
  <si>
    <t>740100</t>
  </si>
  <si>
    <t>706025h</t>
  </si>
  <si>
    <t>706025i</t>
  </si>
  <si>
    <t>758870</t>
  </si>
  <si>
    <t>618100a</t>
  </si>
  <si>
    <t>618100b</t>
  </si>
  <si>
    <t>621400a</t>
  </si>
  <si>
    <t>621400b</t>
  </si>
  <si>
    <t>625200</t>
  </si>
  <si>
    <t>651100</t>
  </si>
  <si>
    <t>604300</t>
  </si>
  <si>
    <t>751100</t>
  </si>
  <si>
    <t>616000</t>
  </si>
  <si>
    <t>COUTS DE STRUCTURE</t>
  </si>
  <si>
    <t>606120</t>
  </si>
  <si>
    <t>618880</t>
  </si>
  <si>
    <t>Total Structure</t>
  </si>
  <si>
    <t>-</t>
  </si>
  <si>
    <t>615580a</t>
  </si>
  <si>
    <t>Accés formation à distance</t>
  </si>
  <si>
    <t xml:space="preserve">Fournitures de bureau </t>
  </si>
  <si>
    <t>Location véhicule (bus - navettes)</t>
  </si>
  <si>
    <t>Electricité et gaz</t>
  </si>
  <si>
    <t xml:space="preserve">Cadeaux formateurs - stagiaires </t>
  </si>
  <si>
    <t>708800d</t>
  </si>
  <si>
    <t>Autres produits</t>
  </si>
  <si>
    <t>Location et MAD de matériel et de salle</t>
  </si>
  <si>
    <t>615600d</t>
  </si>
  <si>
    <t>Maintenance logiciel informatique</t>
  </si>
  <si>
    <t>766000</t>
  </si>
  <si>
    <t>tango_core_model:</t>
  </si>
  <si>
    <t>628500</t>
  </si>
  <si>
    <t>654400</t>
  </si>
  <si>
    <t>661170</t>
  </si>
  <si>
    <t>615200</t>
  </si>
  <si>
    <t>613000</t>
  </si>
  <si>
    <t>606110</t>
  </si>
  <si>
    <t>Eau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</si>
</sst>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#,##0.0"/>
    <numFmt numFmtId="166" formatCode="0.0%"/>
    <numFmt numFmtId="167" formatCode="#,##0.0&quot; pts&quot;"/>
  </numFmts>
  <fonts count="6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b/>
      <sz val="12"/>
      <name val="Arial"/>
      <family val="2"/>
    </font>
    <font>
      <b/>
      <sz val="12"/>
      <color indexed="10"/>
      <name val="Arial"/>
      <family val="2"/>
    </font>
    <font>
      <sz val="10"/>
      <name val="Calibri"/>
      <family val="2"/>
    </font>
    <font>
      <sz val="9"/>
      <color indexed="9"/>
      <name val="Calibri"/>
      <family val="2"/>
    </font>
    <font>
      <sz val="10"/>
      <color indexed="9"/>
      <name val="Calibri"/>
      <family val="2"/>
    </font>
    <font>
      <b/>
      <sz val="10"/>
      <color indexed="10"/>
      <name val="Calibri"/>
      <family val="2"/>
    </font>
    <font>
      <sz val="10"/>
      <color indexed="12"/>
      <name val="Calibri"/>
      <family val="2"/>
    </font>
    <font>
      <b/>
      <sz val="14"/>
      <name val="Calibri"/>
      <family val="2"/>
    </font>
    <font>
      <b/>
      <sz val="32"/>
      <color indexed="9"/>
      <name val="Calibri"/>
      <family val="2"/>
    </font>
    <font>
      <b/>
      <i/>
      <sz val="20"/>
      <color indexed="9"/>
      <name val="Calibri"/>
      <family val="2"/>
    </font>
    <font>
      <sz val="10"/>
      <name val="Wingdings"/>
      <charset val="2"/>
    </font>
    <font>
      <b/>
      <sz val="16"/>
      <name val="Calibri"/>
      <family val="2"/>
    </font>
    <font>
      <b/>
      <sz val="10"/>
      <color indexed="53"/>
      <name val="Calibri"/>
      <family val="2"/>
    </font>
    <font>
      <b/>
      <sz val="10"/>
      <color indexed="9"/>
      <name val="Calibri"/>
      <family val="2"/>
    </font>
    <font>
      <b/>
      <sz val="14"/>
      <color indexed="9"/>
      <name val="Calibri"/>
      <family val="2"/>
    </font>
    <font>
      <b/>
      <sz val="12"/>
      <name val="Calibri"/>
      <family val="2"/>
    </font>
    <font>
      <sz val="14"/>
      <color indexed="9"/>
      <name val="Calibri"/>
      <family val="2"/>
    </font>
    <font>
      <sz val="14"/>
      <name val="Calibri"/>
      <family val="2"/>
    </font>
    <font>
      <sz val="18"/>
      <name val="Calibri"/>
      <family val="2"/>
    </font>
    <font>
      <b/>
      <sz val="16"/>
      <color indexed="57"/>
      <name val="Wingdings"/>
      <charset val="2"/>
    </font>
    <font>
      <sz val="18"/>
      <color indexed="9"/>
      <name val="Calibri"/>
      <family val="2"/>
    </font>
    <font>
      <b/>
      <sz val="16"/>
      <color indexed="23"/>
      <name val="Calibri"/>
      <family val="2"/>
    </font>
    <font>
      <b/>
      <sz val="22"/>
      <name val="Calibri"/>
      <family val="2"/>
    </font>
    <font>
      <b/>
      <sz val="15"/>
      <name val="Calibri"/>
      <family val="2"/>
    </font>
    <font>
      <b/>
      <sz val="18"/>
      <name val="Wingdings"/>
      <charset val="2"/>
    </font>
    <font>
      <sz val="10"/>
      <color indexed="9"/>
      <name val="Wingdings"/>
      <charset val="2"/>
    </font>
    <font>
      <b/>
      <sz val="18"/>
      <color indexed="23"/>
      <name val="Calibri"/>
      <family val="2"/>
    </font>
    <font>
      <b/>
      <sz val="18"/>
      <color indexed="52"/>
      <name val="Wingdings"/>
      <charset val="2"/>
    </font>
    <font>
      <b/>
      <sz val="12"/>
      <color indexed="61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b/>
      <sz val="11"/>
      <color indexed="17"/>
      <name val="Calibri"/>
      <family val="2"/>
    </font>
    <font>
      <b/>
      <sz val="10"/>
      <name val="Arial"/>
      <family val="2"/>
    </font>
    <font>
      <sz val="10"/>
      <color indexed="53"/>
      <name val="Calibri"/>
      <family val="2"/>
    </font>
    <font>
      <sz val="10"/>
      <color indexed="23"/>
      <name val="Calibri"/>
      <family val="2"/>
    </font>
    <font>
      <sz val="12"/>
      <name val="Arial"/>
      <family val="2"/>
    </font>
    <font>
      <i/>
      <sz val="14"/>
      <color indexed="23"/>
      <name val="Calibri"/>
      <family val="2"/>
    </font>
    <font>
      <sz val="11"/>
      <color theme="1"/>
      <name val="Calibri"/>
      <family val="2"/>
      <scheme val="minor"/>
    </font>
    <font>
      <sz val="22"/>
      <color theme="1" tint="0.14999847407452621"/>
      <name val="Calibri"/>
      <family val="2"/>
    </font>
    <font>
      <sz val="11"/>
      <name val="Calibri"/>
      <family val="2"/>
      <scheme val="minor"/>
    </font>
    <font>
      <b/>
      <sz val="14"/>
      <color theme="3"/>
      <name val="Arial"/>
      <family val="2"/>
    </font>
    <font>
      <b/>
      <sz val="16"/>
      <color theme="1" tint="0.249977111117893"/>
      <name val="Calibri"/>
      <family val="2"/>
    </font>
    <font>
      <b/>
      <i/>
      <sz val="11"/>
      <color theme="0" tint="-0.14999847407452621"/>
      <name val="Calibri"/>
      <family val="2"/>
      <scheme val="minor"/>
    </font>
    <font>
      <sz val="14"/>
      <color rgb="FF222222"/>
      <name val="Arial"/>
      <family val="2"/>
    </font>
    <font>
      <sz val="24"/>
      <color rgb="FFFF0000"/>
      <name val="Wingdings"/>
      <charset val="2"/>
    </font>
    <font>
      <sz val="14"/>
      <color rgb="FFFF0000"/>
      <name val="Arial"/>
      <family val="2"/>
    </font>
    <font>
      <sz val="12"/>
      <name val="Calibri"/>
      <family val="2"/>
    </font>
    <font>
      <b/>
      <sz val="20"/>
      <color indexed="9"/>
      <name val="Calibri"/>
      <family val="2"/>
    </font>
    <font>
      <b/>
      <i/>
      <sz val="16"/>
      <color indexed="9"/>
      <name val="Calibri"/>
      <family val="2"/>
    </font>
    <font>
      <sz val="11"/>
      <color indexed="63"/>
      <name val="Calibri"/>
      <family val="2"/>
    </font>
    <font>
      <b/>
      <sz val="12"/>
      <color indexed="23"/>
      <name val="Calibri"/>
      <family val="2"/>
    </font>
    <font>
      <b/>
      <sz val="12"/>
      <color theme="0"/>
      <name val="Calibri"/>
      <family val="2"/>
    </font>
    <font>
      <b/>
      <sz val="12"/>
      <color indexed="10"/>
      <name val="Calibri"/>
      <family val="2"/>
    </font>
    <font>
      <b/>
      <sz val="12"/>
      <color indexed="57"/>
      <name val="Wingdings"/>
      <charset val="2"/>
    </font>
    <font>
      <sz val="12"/>
      <color indexed="9"/>
      <name val="Calibri"/>
      <family val="2"/>
    </font>
    <font>
      <sz val="12"/>
      <color indexed="61"/>
      <name val="Calibri"/>
      <family val="2"/>
    </font>
    <font>
      <b/>
      <sz val="12"/>
      <color theme="1" tint="0.249977111117893"/>
      <name val="Calibri"/>
      <family val="2"/>
    </font>
    <font>
      <sz val="12"/>
      <color theme="1" tint="0.499984740745262"/>
      <name val="Calibri"/>
      <family val="2"/>
    </font>
    <font>
      <b/>
      <sz val="12"/>
      <color indexed="52"/>
      <name val="Wingdings"/>
      <charset val="2"/>
    </font>
    <font>
      <i/>
      <sz val="12"/>
      <color rgb="FF6C6C6C"/>
      <name val="Calibri"/>
      <family val="2"/>
    </font>
    <font>
      <i/>
      <sz val="12"/>
      <color indexed="23"/>
      <name val="Calibri"/>
      <family val="2"/>
    </font>
    <font>
      <i/>
      <sz val="11"/>
      <color theme="1" tint="0.34998626667073579"/>
      <name val="Calibri"/>
      <family val="2"/>
    </font>
    <font>
      <i/>
      <sz val="12"/>
      <color rgb="FF808080"/>
      <name val="Calibri"/>
      <family val="2"/>
    </font>
  </fonts>
  <fills count="2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F9F9F9"/>
        <bgColor indexed="64"/>
      </patternFill>
    </fill>
    <fill>
      <gradientFill degree="90">
        <stop position="0">
          <color rgb="FF959AA3"/>
        </stop>
        <stop position="1">
          <color theme="0" tint="-0.25098422193060094"/>
        </stop>
      </gradient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gradientFill>
        <stop position="0">
          <color theme="0"/>
        </stop>
        <stop position="1">
          <color rgb="FFFF0000"/>
        </stop>
      </gradientFill>
    </fill>
    <fill>
      <gradientFill degree="90">
        <stop position="0">
          <color rgb="FFABAFB5"/>
        </stop>
        <stop position="1">
          <color theme="0" tint="-0.25098422193060094"/>
        </stop>
      </gradientFill>
    </fill>
    <fill>
      <patternFill patternType="solid">
        <fgColor rgb="FFC5C5C5"/>
        <bgColor indexed="64"/>
      </patternFill>
    </fill>
    <fill>
      <gradientFill degree="270">
        <stop position="0">
          <color rgb="FFC5C5C5"/>
        </stop>
        <stop position="1">
          <color theme="0" tint="-0.1490218817712943"/>
        </stop>
      </gradientFill>
    </fill>
    <fill>
      <gradientFill degree="270">
        <stop position="0">
          <color rgb="FFDAD8DA"/>
        </stop>
        <stop position="1">
          <color theme="0" tint="-5.0965910824915313E-2"/>
        </stop>
      </gradientFill>
    </fill>
    <fill>
      <gradientFill degree="90">
        <stop position="0">
          <color theme="0" tint="-0.34900967436750391"/>
        </stop>
        <stop position="1">
          <color theme="0" tint="-0.49803155613879818"/>
        </stop>
      </gradientFill>
    </fill>
    <fill>
      <patternFill patternType="solid">
        <fgColor rgb="FFF3F3F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</fills>
  <borders count="5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thin">
        <color indexed="64"/>
      </top>
      <bottom/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/>
      <top/>
      <bottom style="hair">
        <color rgb="FFFF0000"/>
      </bottom>
      <diagonal/>
    </border>
    <border>
      <left style="hair">
        <color rgb="FFFF0000"/>
      </left>
      <right/>
      <top style="hair">
        <color rgb="FFFF0000"/>
      </top>
      <bottom/>
      <diagonal/>
    </border>
    <border>
      <left/>
      <right/>
      <top style="hair">
        <color rgb="FFFF0000"/>
      </top>
      <bottom/>
      <diagonal/>
    </border>
    <border>
      <left/>
      <right style="hair">
        <color rgb="FFFF0000"/>
      </right>
      <top style="hair">
        <color rgb="FFFF0000"/>
      </top>
      <bottom/>
      <diagonal/>
    </border>
    <border>
      <left style="hair">
        <color rgb="FFFF0000"/>
      </left>
      <right/>
      <top/>
      <bottom/>
      <diagonal/>
    </border>
    <border>
      <left/>
      <right style="hair">
        <color rgb="FFFF0000"/>
      </right>
      <top/>
      <bottom/>
      <diagonal/>
    </border>
    <border>
      <left style="hair">
        <color rgb="FFFF0000"/>
      </left>
      <right/>
      <top/>
      <bottom style="hair">
        <color rgb="FFFF0000"/>
      </bottom>
      <diagonal/>
    </border>
    <border>
      <left/>
      <right style="hair">
        <color rgb="FFFF0000"/>
      </right>
      <top/>
      <bottom style="hair">
        <color rgb="FFFF0000"/>
      </bottom>
      <diagonal/>
    </border>
    <border>
      <left/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/>
      <diagonal/>
    </border>
    <border>
      <left/>
      <right style="thin">
        <color theme="0"/>
      </right>
      <top/>
      <bottom style="thin">
        <color theme="1" tint="0.499984740745262"/>
      </bottom>
      <diagonal/>
    </border>
    <border>
      <left/>
      <right/>
      <top style="thin">
        <color theme="1" tint="0.499984740745262"/>
      </top>
      <bottom/>
      <diagonal/>
    </border>
    <border>
      <left/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0"/>
      </bottom>
      <diagonal/>
    </border>
    <border>
      <left/>
      <right style="thin">
        <color theme="1" tint="0.499984740745262"/>
      </right>
      <top/>
      <bottom style="thin">
        <color theme="0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0"/>
      </right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0"/>
      </bottom>
      <diagonal/>
    </border>
    <border>
      <left style="thin">
        <color theme="1" tint="0.499984740745262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1" tint="0.499984740745262"/>
      </top>
      <bottom style="thin">
        <color theme="0"/>
      </bottom>
      <diagonal/>
    </border>
    <border>
      <left/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0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40" fillId="0" borderId="0" applyFont="0" applyFill="0" applyBorder="0" applyAlignment="0" applyProtection="0"/>
    <xf numFmtId="164" fontId="40" fillId="0" borderId="0" applyFont="0" applyFill="0" applyBorder="0" applyAlignment="0" applyProtection="0"/>
  </cellStyleXfs>
  <cellXfs count="261">
    <xf numFmtId="0" fontId="0" fillId="0" borderId="0" xfId="0"/>
    <xf numFmtId="0" fontId="2" fillId="0" borderId="0" xfId="3" applyFont="1" applyFill="1" applyBorder="1" applyAlignment="1" applyProtection="1">
      <alignment horizontal="center" vertical="center"/>
    </xf>
    <xf numFmtId="0" fontId="2" fillId="3" borderId="0" xfId="3" applyFont="1" applyFill="1" applyBorder="1" applyAlignment="1" applyProtection="1">
      <alignment horizontal="center" vertical="center"/>
    </xf>
    <xf numFmtId="0" fontId="3" fillId="3" borderId="0" xfId="2" applyFont="1" applyFill="1" applyBorder="1" applyAlignment="1" applyProtection="1">
      <alignment horizontal="center"/>
    </xf>
    <xf numFmtId="0" fontId="4" fillId="3" borderId="0" xfId="2" applyFont="1" applyFill="1" applyBorder="1" applyAlignment="1" applyProtection="1">
      <alignment horizontal="right"/>
    </xf>
    <xf numFmtId="0" fontId="5" fillId="3" borderId="0" xfId="3" applyFont="1" applyFill="1" applyBorder="1" applyAlignment="1" applyProtection="1">
      <alignment vertical="center"/>
    </xf>
    <xf numFmtId="0" fontId="1" fillId="3" borderId="1" xfId="2" applyFill="1" applyBorder="1" applyProtection="1"/>
    <xf numFmtId="0" fontId="1" fillId="3" borderId="1" xfId="2" applyFill="1" applyBorder="1" applyProtection="1">
      <protection locked="0"/>
    </xf>
    <xf numFmtId="0" fontId="6" fillId="3" borderId="0" xfId="3" applyFont="1" applyFill="1" applyBorder="1" applyAlignment="1" applyProtection="1">
      <alignment vertical="center"/>
    </xf>
    <xf numFmtId="0" fontId="7" fillId="3" borderId="0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>
      <alignment vertical="center"/>
    </xf>
    <xf numFmtId="0" fontId="5" fillId="3" borderId="0" xfId="3" applyFont="1" applyFill="1" applyBorder="1" applyAlignment="1" applyProtection="1">
      <alignment horizontal="left" vertical="center"/>
    </xf>
    <xf numFmtId="0" fontId="4" fillId="3" borderId="0" xfId="0" applyFont="1" applyFill="1" applyAlignment="1" applyProtection="1">
      <alignment horizontal="right"/>
    </xf>
    <xf numFmtId="0" fontId="0" fillId="3" borderId="0" xfId="0" applyFill="1" applyBorder="1" applyProtection="1"/>
    <xf numFmtId="0" fontId="5" fillId="3" borderId="0" xfId="4" applyFont="1" applyFill="1" applyBorder="1" applyAlignment="1" applyProtection="1">
      <alignment vertical="center"/>
    </xf>
    <xf numFmtId="0" fontId="2" fillId="3" borderId="0" xfId="3" applyFont="1" applyFill="1" applyBorder="1" applyAlignment="1" applyProtection="1">
      <alignment vertical="center"/>
    </xf>
    <xf numFmtId="0" fontId="8" fillId="3" borderId="0" xfId="4" applyFont="1" applyFill="1" applyBorder="1" applyAlignment="1" applyProtection="1">
      <alignment horizontal="right" vertical="center"/>
    </xf>
    <xf numFmtId="165" fontId="8" fillId="3" borderId="0" xfId="4" applyNumberFormat="1" applyFont="1" applyFill="1" applyBorder="1" applyAlignment="1" applyProtection="1">
      <alignment horizontal="right" vertical="center"/>
    </xf>
    <xf numFmtId="2" fontId="9" fillId="3" borderId="0" xfId="4" applyNumberFormat="1" applyFont="1" applyFill="1" applyBorder="1" applyAlignment="1" applyProtection="1">
      <alignment vertical="center"/>
    </xf>
    <xf numFmtId="0" fontId="10" fillId="3" borderId="0" xfId="3" applyFont="1" applyFill="1" applyBorder="1" applyAlignment="1" applyProtection="1">
      <alignment horizontal="left" vertical="center"/>
    </xf>
    <xf numFmtId="0" fontId="5" fillId="3" borderId="0" xfId="2" applyFont="1" applyFill="1" applyBorder="1" applyAlignment="1">
      <alignment vertical="center"/>
    </xf>
    <xf numFmtId="0" fontId="2" fillId="0" borderId="5" xfId="3" applyFont="1" applyFill="1" applyBorder="1" applyAlignment="1" applyProtection="1">
      <alignment horizontal="center" vertical="center"/>
    </xf>
    <xf numFmtId="0" fontId="2" fillId="0" borderId="6" xfId="3" applyFont="1" applyFill="1" applyBorder="1" applyAlignment="1" applyProtection="1">
      <alignment horizontal="center" vertical="center"/>
    </xf>
    <xf numFmtId="0" fontId="5" fillId="0" borderId="6" xfId="3" applyFont="1" applyFill="1" applyBorder="1" applyAlignment="1" applyProtection="1">
      <alignment horizontal="left" vertical="center"/>
    </xf>
    <xf numFmtId="0" fontId="5" fillId="0" borderId="6" xfId="2" applyFont="1" applyFill="1" applyBorder="1" applyAlignment="1">
      <alignment horizontal="left" indent="1"/>
    </xf>
    <xf numFmtId="0" fontId="5" fillId="0" borderId="6" xfId="3" applyFont="1" applyFill="1" applyBorder="1" applyAlignment="1" applyProtection="1">
      <alignment vertical="center"/>
    </xf>
    <xf numFmtId="0" fontId="6" fillId="2" borderId="6" xfId="3" applyFont="1" applyFill="1" applyBorder="1" applyAlignment="1" applyProtection="1">
      <alignment vertical="center"/>
    </xf>
    <xf numFmtId="0" fontId="6" fillId="0" borderId="6" xfId="3" applyFont="1" applyFill="1" applyBorder="1" applyAlignment="1" applyProtection="1">
      <alignment vertical="center"/>
    </xf>
    <xf numFmtId="0" fontId="7" fillId="0" borderId="6" xfId="3" applyFont="1" applyFill="1" applyBorder="1" applyAlignment="1" applyProtection="1">
      <alignment vertical="center"/>
    </xf>
    <xf numFmtId="0" fontId="7" fillId="0" borderId="7" xfId="3" applyFont="1" applyFill="1" applyBorder="1" applyAlignment="1" applyProtection="1">
      <alignment vertical="center"/>
    </xf>
    <xf numFmtId="0" fontId="11" fillId="0" borderId="8" xfId="2" applyFont="1" applyFill="1" applyBorder="1" applyAlignment="1">
      <alignment vertical="center"/>
    </xf>
    <xf numFmtId="0" fontId="7" fillId="0" borderId="9" xfId="3" applyFont="1" applyFill="1" applyBorder="1" applyAlignment="1" applyProtection="1">
      <alignment vertical="center"/>
    </xf>
    <xf numFmtId="0" fontId="12" fillId="0" borderId="8" xfId="2" applyFont="1" applyFill="1" applyBorder="1" applyAlignment="1">
      <alignment vertical="center"/>
    </xf>
    <xf numFmtId="0" fontId="2" fillId="0" borderId="8" xfId="3" applyFont="1" applyFill="1" applyBorder="1" applyAlignment="1" applyProtection="1">
      <alignment horizontal="center" vertical="center"/>
    </xf>
    <xf numFmtId="0" fontId="5" fillId="0" borderId="0" xfId="2" applyFont="1" applyFill="1" applyBorder="1" applyAlignment="1">
      <alignment horizontal="left" indent="1"/>
    </xf>
    <xf numFmtId="0" fontId="1" fillId="0" borderId="0" xfId="2" applyFill="1" applyBorder="1" applyAlignment="1"/>
    <xf numFmtId="0" fontId="13" fillId="0" borderId="0" xfId="2" applyFont="1" applyFill="1" applyBorder="1" applyAlignment="1"/>
    <xf numFmtId="0" fontId="7" fillId="0" borderId="0" xfId="3" applyFont="1" applyFill="1" applyBorder="1" applyAlignment="1" applyProtection="1">
      <alignment vertical="center"/>
    </xf>
    <xf numFmtId="0" fontId="5" fillId="0" borderId="0" xfId="3" applyFont="1" applyFill="1" applyAlignment="1" applyProtection="1">
      <alignment vertical="center"/>
    </xf>
    <xf numFmtId="0" fontId="15" fillId="3" borderId="0" xfId="3" applyFont="1" applyFill="1" applyBorder="1" applyAlignment="1" applyProtection="1">
      <alignment horizontal="center" vertical="center"/>
    </xf>
    <xf numFmtId="0" fontId="15" fillId="0" borderId="8" xfId="3" applyFont="1" applyFill="1" applyBorder="1" applyAlignment="1" applyProtection="1">
      <alignment horizontal="center" vertical="center"/>
    </xf>
    <xf numFmtId="0" fontId="15" fillId="0" borderId="0" xfId="3" applyFont="1" applyFill="1" applyBorder="1" applyAlignment="1" applyProtection="1">
      <alignment horizontal="center" vertical="center"/>
    </xf>
    <xf numFmtId="0" fontId="16" fillId="0" borderId="0" xfId="1" applyFont="1" applyFill="1" applyBorder="1" applyAlignment="1">
      <alignment horizontal="center" vertical="center" wrapText="1"/>
    </xf>
    <xf numFmtId="0" fontId="17" fillId="0" borderId="0" xfId="2" applyFont="1" applyFill="1" applyBorder="1" applyAlignment="1">
      <alignment horizontal="center" vertical="center" wrapText="1"/>
    </xf>
    <xf numFmtId="0" fontId="4" fillId="0" borderId="0" xfId="2" applyFont="1" applyFill="1" applyBorder="1" applyAlignment="1" applyProtection="1">
      <alignment horizontal="left"/>
    </xf>
    <xf numFmtId="0" fontId="18" fillId="0" borderId="0" xfId="2" applyFont="1" applyFill="1" applyBorder="1" applyAlignment="1">
      <alignment horizontal="left"/>
    </xf>
    <xf numFmtId="0" fontId="2" fillId="5" borderId="0" xfId="3" applyFont="1" applyFill="1" applyBorder="1" applyAlignment="1" applyProtection="1">
      <alignment horizontal="center" vertical="center"/>
    </xf>
    <xf numFmtId="0" fontId="4" fillId="5" borderId="0" xfId="2" applyFont="1" applyFill="1" applyBorder="1" applyAlignment="1" applyProtection="1">
      <alignment horizontal="left"/>
    </xf>
    <xf numFmtId="0" fontId="15" fillId="5" borderId="8" xfId="3" applyFont="1" applyFill="1" applyBorder="1" applyAlignment="1" applyProtection="1">
      <alignment horizontal="center" vertical="center"/>
    </xf>
    <xf numFmtId="0" fontId="15" fillId="5" borderId="0" xfId="3" applyFont="1" applyFill="1" applyBorder="1" applyAlignment="1" applyProtection="1">
      <alignment horizontal="center" vertical="center"/>
    </xf>
    <xf numFmtId="0" fontId="5" fillId="5" borderId="0" xfId="3" applyFont="1" applyFill="1" applyBorder="1" applyAlignment="1" applyProtection="1">
      <alignment vertical="center"/>
    </xf>
    <xf numFmtId="0" fontId="18" fillId="5" borderId="0" xfId="2" applyFont="1" applyFill="1" applyBorder="1" applyAlignment="1">
      <alignment horizontal="left"/>
    </xf>
    <xf numFmtId="0" fontId="16" fillId="5" borderId="0" xfId="1" applyFont="1" applyFill="1" applyBorder="1" applyAlignment="1">
      <alignment horizontal="center" vertical="center" wrapText="1"/>
    </xf>
    <xf numFmtId="0" fontId="17" fillId="5" borderId="0" xfId="2" applyFont="1" applyFill="1" applyBorder="1" applyAlignment="1">
      <alignment vertical="center" wrapText="1"/>
    </xf>
    <xf numFmtId="0" fontId="5" fillId="5" borderId="0" xfId="2" applyFont="1" applyFill="1" applyBorder="1" applyAlignment="1">
      <alignment vertical="center"/>
    </xf>
    <xf numFmtId="0" fontId="17" fillId="5" borderId="0" xfId="2" applyFont="1" applyFill="1" applyBorder="1" applyAlignment="1">
      <alignment horizontal="center" vertical="center" wrapText="1"/>
    </xf>
    <xf numFmtId="0" fontId="7" fillId="5" borderId="9" xfId="3" applyFont="1" applyFill="1" applyBorder="1" applyAlignment="1" applyProtection="1">
      <alignment vertical="center"/>
    </xf>
    <xf numFmtId="0" fontId="5" fillId="0" borderId="0" xfId="2" applyFont="1" applyFill="1" applyBorder="1" applyAlignment="1">
      <alignment vertical="center" wrapText="1"/>
    </xf>
    <xf numFmtId="0" fontId="19" fillId="0" borderId="0" xfId="2" applyFont="1" applyFill="1" applyBorder="1" applyAlignment="1">
      <alignment horizontal="center" vertical="center" wrapText="1"/>
    </xf>
    <xf numFmtId="0" fontId="20" fillId="0" borderId="0" xfId="2" applyFont="1" applyFill="1" applyBorder="1" applyAlignment="1">
      <alignment horizontal="center" vertical="center" wrapText="1"/>
    </xf>
    <xf numFmtId="0" fontId="21" fillId="0" borderId="0" xfId="3" applyFont="1" applyFill="1" applyBorder="1" applyAlignment="1" applyProtection="1">
      <alignment horizontal="left" vertical="center"/>
    </xf>
    <xf numFmtId="0" fontId="21" fillId="0" borderId="0" xfId="3" applyFont="1" applyFill="1" applyBorder="1" applyAlignment="1" applyProtection="1">
      <alignment vertical="center"/>
    </xf>
    <xf numFmtId="0" fontId="2" fillId="3" borderId="0" xfId="4" applyFont="1" applyFill="1" applyBorder="1" applyAlignment="1" applyProtection="1">
      <alignment horizontal="left" vertical="center"/>
    </xf>
    <xf numFmtId="0" fontId="2" fillId="0" borderId="8" xfId="4" applyFont="1" applyFill="1" applyBorder="1" applyAlignment="1" applyProtection="1">
      <alignment horizontal="left" vertical="center"/>
    </xf>
    <xf numFmtId="0" fontId="5" fillId="0" borderId="0" xfId="4" applyFont="1" applyFill="1" applyBorder="1" applyAlignment="1">
      <alignment horizontal="left" vertical="center"/>
    </xf>
    <xf numFmtId="0" fontId="22" fillId="0" borderId="0" xfId="1" applyFont="1" applyFill="1" applyBorder="1" applyAlignment="1">
      <alignment horizontal="center" vertical="center"/>
    </xf>
    <xf numFmtId="0" fontId="23" fillId="3" borderId="0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>
      <alignment horizontal="left" vertical="center"/>
    </xf>
    <xf numFmtId="0" fontId="24" fillId="3" borderId="0" xfId="4" applyFont="1" applyFill="1" applyBorder="1" applyAlignment="1" applyProtection="1">
      <alignment horizontal="center" vertical="center" textRotation="90"/>
    </xf>
    <xf numFmtId="0" fontId="24" fillId="0" borderId="8" xfId="4" applyFont="1" applyFill="1" applyBorder="1" applyAlignment="1" applyProtection="1">
      <alignment horizontal="center" vertical="center" textRotation="90"/>
    </xf>
    <xf numFmtId="0" fontId="41" fillId="8" borderId="0" xfId="4" applyFont="1" applyFill="1" applyBorder="1" applyAlignment="1" applyProtection="1">
      <alignment vertical="center" textRotation="90" wrapText="1"/>
    </xf>
    <xf numFmtId="0" fontId="25" fillId="0" borderId="0" xfId="4" applyFont="1" applyFill="1" applyBorder="1" applyAlignment="1" applyProtection="1">
      <alignment horizontal="center" vertical="center"/>
    </xf>
    <xf numFmtId="0" fontId="14" fillId="0" borderId="0" xfId="4" applyFont="1" applyFill="1" applyBorder="1" applyAlignment="1">
      <alignment horizontal="left" vertical="center" wrapText="1"/>
    </xf>
    <xf numFmtId="0" fontId="18" fillId="0" borderId="0" xfId="1" applyFont="1" applyFill="1" applyBorder="1" applyAlignment="1">
      <alignment horizontal="center"/>
    </xf>
    <xf numFmtId="166" fontId="14" fillId="0" borderId="0" xfId="5" applyNumberFormat="1" applyFont="1" applyFill="1" applyBorder="1" applyAlignment="1">
      <alignment horizontal="right" vertical="center" wrapText="1" indent="1"/>
    </xf>
    <xf numFmtId="167" fontId="26" fillId="0" borderId="0" xfId="4" applyNumberFormat="1" applyFont="1" applyFill="1" applyBorder="1" applyAlignment="1">
      <alignment vertical="center" wrapText="1"/>
    </xf>
    <xf numFmtId="0" fontId="27" fillId="0" borderId="0" xfId="1" applyFont="1" applyFill="1" applyBorder="1" applyAlignment="1">
      <alignment horizontal="center" vertical="center"/>
    </xf>
    <xf numFmtId="165" fontId="26" fillId="0" borderId="0" xfId="3" applyNumberFormat="1" applyFont="1" applyFill="1" applyBorder="1" applyAlignment="1" applyProtection="1">
      <alignment horizontal="right" vertical="center" indent="1"/>
    </xf>
    <xf numFmtId="0" fontId="28" fillId="3" borderId="0" xfId="3" applyFont="1" applyFill="1" applyBorder="1" applyAlignment="1" applyProtection="1">
      <alignment vertical="center"/>
    </xf>
    <xf numFmtId="0" fontId="29" fillId="3" borderId="0" xfId="4" applyFont="1" applyFill="1" applyBorder="1" applyAlignment="1" applyProtection="1">
      <alignment horizontal="center" vertical="center" textRotation="90"/>
    </xf>
    <xf numFmtId="0" fontId="29" fillId="0" borderId="8" xfId="4" applyFont="1" applyFill="1" applyBorder="1" applyAlignment="1" applyProtection="1">
      <alignment horizontal="center" vertical="center" textRotation="90"/>
    </xf>
    <xf numFmtId="0" fontId="5" fillId="0" borderId="1" xfId="3" applyFont="1" applyFill="1" applyBorder="1" applyAlignment="1" applyProtection="1">
      <alignment vertical="center"/>
    </xf>
    <xf numFmtId="0" fontId="2" fillId="0" borderId="0" xfId="4" applyFont="1" applyFill="1" applyBorder="1" applyAlignment="1" applyProtection="1">
      <alignment horizontal="left" vertical="center"/>
    </xf>
    <xf numFmtId="3" fontId="5" fillId="0" borderId="0" xfId="4" applyNumberFormat="1" applyFont="1" applyFill="1" applyBorder="1" applyAlignment="1">
      <alignment horizontal="left" vertical="center"/>
    </xf>
    <xf numFmtId="166" fontId="5" fillId="0" borderId="0" xfId="4" applyNumberFormat="1" applyFont="1" applyFill="1" applyBorder="1" applyAlignment="1">
      <alignment horizontal="left" vertical="center"/>
    </xf>
    <xf numFmtId="0" fontId="5" fillId="3" borderId="0" xfId="4" applyFont="1" applyFill="1" applyBorder="1" applyAlignment="1">
      <alignment horizontal="left" vertical="center"/>
    </xf>
    <xf numFmtId="0" fontId="5" fillId="0" borderId="9" xfId="4" applyFont="1" applyFill="1" applyBorder="1" applyAlignment="1">
      <alignment horizontal="left" vertical="center"/>
    </xf>
    <xf numFmtId="0" fontId="23" fillId="0" borderId="9" xfId="3" applyFont="1" applyFill="1" applyBorder="1" applyAlignment="1" applyProtection="1">
      <alignment vertical="center"/>
    </xf>
    <xf numFmtId="0" fontId="5" fillId="0" borderId="0" xfId="3" applyFont="1" applyFill="1" applyBorder="1" applyAlignment="1" applyProtection="1"/>
    <xf numFmtId="0" fontId="2" fillId="0" borderId="0" xfId="3" applyFont="1" applyFill="1" applyBorder="1" applyAlignment="1" applyProtection="1">
      <alignment horizontal="center"/>
    </xf>
    <xf numFmtId="0" fontId="24" fillId="3" borderId="0" xfId="4" applyFont="1" applyFill="1" applyBorder="1" applyAlignment="1" applyProtection="1">
      <alignment horizontal="center" textRotation="90"/>
    </xf>
    <xf numFmtId="0" fontId="24" fillId="0" borderId="8" xfId="4" applyFont="1" applyFill="1" applyBorder="1" applyAlignment="1" applyProtection="1">
      <alignment horizontal="center" textRotation="90"/>
    </xf>
    <xf numFmtId="0" fontId="7" fillId="0" borderId="9" xfId="3" applyFont="1" applyFill="1" applyBorder="1" applyAlignment="1" applyProtection="1"/>
    <xf numFmtId="0" fontId="7" fillId="3" borderId="0" xfId="3" applyFont="1" applyFill="1" applyBorder="1" applyAlignment="1" applyProtection="1"/>
    <xf numFmtId="0" fontId="7" fillId="0" borderId="0" xfId="3" applyFont="1" applyFill="1" applyBorder="1" applyAlignment="1" applyProtection="1"/>
    <xf numFmtId="0" fontId="24" fillId="0" borderId="0" xfId="4" applyFont="1" applyFill="1" applyBorder="1" applyAlignment="1" applyProtection="1">
      <alignment horizontal="center" vertical="center" textRotation="90"/>
    </xf>
    <xf numFmtId="0" fontId="15" fillId="3" borderId="0" xfId="4" applyFont="1" applyFill="1" applyBorder="1" applyAlignment="1" applyProtection="1">
      <alignment horizontal="center" vertical="center"/>
    </xf>
    <xf numFmtId="0" fontId="7" fillId="0" borderId="29" xfId="3" applyFont="1" applyFill="1" applyBorder="1" applyAlignment="1" applyProtection="1">
      <alignment vertical="center"/>
    </xf>
    <xf numFmtId="0" fontId="6" fillId="2" borderId="0" xfId="3" applyFont="1" applyFill="1" applyBorder="1" applyAlignment="1" applyProtection="1">
      <alignment vertical="center"/>
    </xf>
    <xf numFmtId="0" fontId="6" fillId="0" borderId="0" xfId="3" applyFont="1" applyFill="1" applyBorder="1" applyAlignment="1" applyProtection="1">
      <alignment vertical="center"/>
    </xf>
    <xf numFmtId="0" fontId="2" fillId="11" borderId="1" xfId="3" applyFont="1" applyFill="1" applyBorder="1" applyAlignment="1" applyProtection="1">
      <alignment horizontal="center" vertical="center"/>
    </xf>
    <xf numFmtId="0" fontId="1" fillId="0" borderId="0" xfId="2" applyFont="1" applyProtection="1">
      <protection locked="0"/>
    </xf>
    <xf numFmtId="0" fontId="42" fillId="0" borderId="0" xfId="0" applyFont="1"/>
    <xf numFmtId="0" fontId="3" fillId="3" borderId="2" xfId="2" applyFont="1" applyFill="1" applyBorder="1" applyAlignment="1" applyProtection="1">
      <alignment horizontal="left"/>
      <protection locked="0"/>
    </xf>
    <xf numFmtId="0" fontId="35" fillId="12" borderId="3" xfId="2" applyFont="1" applyFill="1" applyBorder="1" applyProtection="1">
      <protection locked="0"/>
    </xf>
    <xf numFmtId="0" fontId="35" fillId="0" borderId="1" xfId="2" applyFont="1" applyBorder="1" applyAlignment="1" applyProtection="1">
      <alignment horizontal="center"/>
      <protection locked="0"/>
    </xf>
    <xf numFmtId="0" fontId="35" fillId="13" borderId="1" xfId="2" applyFont="1" applyFill="1" applyBorder="1" applyAlignment="1" applyProtection="1">
      <alignment horizontal="center"/>
      <protection locked="0"/>
    </xf>
    <xf numFmtId="0" fontId="35" fillId="0" borderId="1" xfId="2" applyFont="1" applyBorder="1" applyAlignment="1" applyProtection="1">
      <alignment horizontal="center"/>
    </xf>
    <xf numFmtId="0" fontId="43" fillId="0" borderId="0" xfId="2" applyFont="1" applyFill="1" applyAlignment="1" applyProtection="1">
      <alignment horizontal="center"/>
      <protection locked="0"/>
    </xf>
    <xf numFmtId="0" fontId="3" fillId="3" borderId="0" xfId="0" applyFont="1" applyFill="1" applyBorder="1" applyAlignment="1" applyProtection="1">
      <alignment horizontal="center"/>
    </xf>
    <xf numFmtId="0" fontId="1" fillId="3" borderId="4" xfId="2" applyFill="1" applyBorder="1" applyProtection="1"/>
    <xf numFmtId="4" fontId="35" fillId="0" borderId="1" xfId="2" applyNumberFormat="1" applyFont="1" applyBorder="1" applyAlignment="1" applyProtection="1">
      <alignment horizontal="center"/>
      <protection locked="0"/>
    </xf>
    <xf numFmtId="0" fontId="38" fillId="0" borderId="0" xfId="2" applyFont="1" applyFill="1" applyBorder="1" applyAlignment="1">
      <alignment vertical="center"/>
    </xf>
    <xf numFmtId="0" fontId="35" fillId="0" borderId="1" xfId="2" applyFont="1" applyBorder="1" applyAlignment="1" applyProtection="1">
      <alignment horizontal="left"/>
      <protection locked="0"/>
    </xf>
    <xf numFmtId="0" fontId="0" fillId="0" borderId="1" xfId="0" applyBorder="1"/>
    <xf numFmtId="0" fontId="45" fillId="0" borderId="0" xfId="0" applyFont="1"/>
    <xf numFmtId="0" fontId="46" fillId="0" borderId="0" xfId="0" applyFont="1"/>
    <xf numFmtId="0" fontId="47" fillId="0" borderId="0" xfId="2" applyFont="1" applyFill="1" applyBorder="1" applyAlignment="1">
      <alignment horizontal="right"/>
    </xf>
    <xf numFmtId="0" fontId="48" fillId="0" borderId="0" xfId="2" applyFont="1" applyFill="1" applyBorder="1" applyAlignment="1">
      <alignment vertical="center"/>
    </xf>
    <xf numFmtId="0" fontId="0" fillId="14" borderId="1" xfId="0" applyFill="1" applyBorder="1"/>
    <xf numFmtId="0" fontId="15" fillId="0" borderId="27" xfId="4" applyFont="1" applyFill="1" applyBorder="1" applyAlignment="1" applyProtection="1">
      <alignment horizontal="center" vertical="center"/>
    </xf>
    <xf numFmtId="0" fontId="15" fillId="0" borderId="28" xfId="4" applyFont="1" applyFill="1" applyBorder="1" applyAlignment="1" applyProtection="1">
      <alignment horizontal="center" vertical="center"/>
    </xf>
    <xf numFmtId="0" fontId="32" fillId="0" borderId="28" xfId="4" applyFont="1" applyFill="1" applyBorder="1" applyAlignment="1" applyProtection="1">
      <alignment horizontal="left" vertical="center"/>
    </xf>
    <xf numFmtId="0" fontId="33" fillId="0" borderId="28" xfId="4" applyFont="1" applyFill="1" applyBorder="1" applyAlignment="1" applyProtection="1">
      <alignment horizontal="left" vertical="center"/>
    </xf>
    <xf numFmtId="0" fontId="34" fillId="0" borderId="28" xfId="1" applyFont="1" applyFill="1" applyBorder="1" applyAlignment="1">
      <alignment horizontal="center"/>
    </xf>
    <xf numFmtId="9" fontId="32" fillId="0" borderId="28" xfId="4" applyNumberFormat="1" applyFont="1" applyFill="1" applyBorder="1" applyAlignment="1" applyProtection="1">
      <alignment horizontal="right" vertical="center" indent="1"/>
    </xf>
    <xf numFmtId="3" fontId="2" fillId="0" borderId="28" xfId="4" applyNumberFormat="1" applyFont="1" applyFill="1" applyBorder="1" applyAlignment="1" applyProtection="1">
      <alignment horizontal="right" vertical="center" indent="1"/>
    </xf>
    <xf numFmtId="9" fontId="2" fillId="0" borderId="28" xfId="4" applyNumberFormat="1" applyFont="1" applyFill="1" applyBorder="1" applyAlignment="1" applyProtection="1">
      <alignment horizontal="right" vertical="center" indent="1"/>
    </xf>
    <xf numFmtId="0" fontId="2" fillId="0" borderId="28" xfId="3" applyFont="1" applyFill="1" applyBorder="1" applyAlignment="1" applyProtection="1">
      <alignment horizontal="right" vertical="center" indent="1"/>
    </xf>
    <xf numFmtId="9" fontId="2" fillId="0" borderId="28" xfId="4" applyNumberFormat="1" applyFont="1" applyFill="1" applyBorder="1" applyAlignment="1" applyProtection="1">
      <alignment vertical="center"/>
    </xf>
    <xf numFmtId="166" fontId="5" fillId="0" borderId="32" xfId="4" applyNumberFormat="1" applyFont="1" applyFill="1" applyBorder="1" applyAlignment="1">
      <alignment horizontal="left" vertical="center"/>
    </xf>
    <xf numFmtId="0" fontId="5" fillId="0" borderId="40" xfId="4" applyFont="1" applyFill="1" applyBorder="1" applyAlignment="1">
      <alignment horizontal="left" vertical="center"/>
    </xf>
    <xf numFmtId="3" fontId="49" fillId="0" borderId="0" xfId="3" applyNumberFormat="1" applyFont="1" applyFill="1" applyBorder="1" applyAlignment="1" applyProtection="1">
      <alignment horizontal="right" vertical="center" indent="1"/>
    </xf>
    <xf numFmtId="0" fontId="18" fillId="4" borderId="10" xfId="2" applyFont="1" applyFill="1" applyBorder="1" applyAlignment="1">
      <alignment horizontal="left" vertical="center"/>
    </xf>
    <xf numFmtId="0" fontId="18" fillId="4" borderId="11" xfId="2" applyFont="1" applyFill="1" applyBorder="1" applyAlignment="1">
      <alignment horizontal="left" vertical="center"/>
    </xf>
    <xf numFmtId="0" fontId="44" fillId="0" borderId="0" xfId="3" applyFont="1" applyFill="1" applyBorder="1" applyAlignment="1" applyProtection="1">
      <alignment horizontal="left" vertical="center"/>
    </xf>
    <xf numFmtId="3" fontId="32" fillId="21" borderId="13" xfId="4" applyNumberFormat="1" applyFont="1" applyFill="1" applyBorder="1" applyAlignment="1">
      <alignment horizontal="right" vertical="center" wrapText="1" indent="1"/>
    </xf>
    <xf numFmtId="166" fontId="32" fillId="21" borderId="12" xfId="4" applyNumberFormat="1" applyFont="1" applyFill="1" applyBorder="1" applyAlignment="1">
      <alignment horizontal="right" vertical="center" wrapText="1" indent="1"/>
    </xf>
    <xf numFmtId="3" fontId="32" fillId="0" borderId="0" xfId="3" applyNumberFormat="1" applyFont="1" applyFill="1" applyBorder="1" applyAlignment="1" applyProtection="1">
      <alignment horizontal="right" vertical="center" indent="1"/>
    </xf>
    <xf numFmtId="0" fontId="49" fillId="0" borderId="0" xfId="3" applyFont="1" applyFill="1" applyBorder="1" applyAlignment="1" applyProtection="1">
      <alignment vertical="center"/>
    </xf>
    <xf numFmtId="0" fontId="49" fillId="0" borderId="0" xfId="3" applyFont="1" applyFill="1" applyBorder="1" applyAlignment="1" applyProtection="1">
      <alignment horizontal="left" vertical="center"/>
    </xf>
    <xf numFmtId="0" fontId="53" fillId="3" borderId="0" xfId="4" applyFont="1" applyFill="1" applyBorder="1" applyAlignment="1" applyProtection="1">
      <alignment horizontal="center" vertical="center" textRotation="90"/>
    </xf>
    <xf numFmtId="0" fontId="53" fillId="0" borderId="8" xfId="4" applyFont="1" applyFill="1" applyBorder="1" applyAlignment="1" applyProtection="1">
      <alignment horizontal="center" vertical="center" textRotation="90"/>
    </xf>
    <xf numFmtId="0" fontId="55" fillId="0" borderId="0" xfId="1" applyFont="1" applyFill="1" applyBorder="1" applyAlignment="1">
      <alignment horizontal="center"/>
    </xf>
    <xf numFmtId="3" fontId="54" fillId="9" borderId="30" xfId="2" applyNumberFormat="1" applyFont="1" applyFill="1" applyBorder="1" applyAlignment="1">
      <alignment horizontal="right" vertical="center" wrapText="1" indent="1"/>
    </xf>
    <xf numFmtId="3" fontId="54" fillId="9" borderId="22" xfId="2" applyNumberFormat="1" applyFont="1" applyFill="1" applyBorder="1" applyAlignment="1">
      <alignment horizontal="right" vertical="center" wrapText="1" indent="1"/>
    </xf>
    <xf numFmtId="3" fontId="54" fillId="16" borderId="25" xfId="2" applyNumberFormat="1" applyFont="1" applyFill="1" applyBorder="1" applyAlignment="1">
      <alignment horizontal="right" vertical="center" wrapText="1" indent="1"/>
    </xf>
    <xf numFmtId="0" fontId="56" fillId="0" borderId="0" xfId="1" applyFont="1" applyFill="1" applyBorder="1" applyAlignment="1">
      <alignment horizontal="center" vertical="center"/>
    </xf>
    <xf numFmtId="0" fontId="57" fillId="0" borderId="9" xfId="3" applyFont="1" applyFill="1" applyBorder="1" applyAlignment="1" applyProtection="1">
      <alignment vertical="center"/>
    </xf>
    <xf numFmtId="0" fontId="57" fillId="3" borderId="0" xfId="3" applyFont="1" applyFill="1" applyBorder="1" applyAlignment="1" applyProtection="1">
      <alignment vertical="center"/>
    </xf>
    <xf numFmtId="0" fontId="32" fillId="0" borderId="0" xfId="4" applyFont="1" applyFill="1" applyBorder="1" applyAlignment="1">
      <alignment horizontal="left" vertical="center"/>
    </xf>
    <xf numFmtId="3" fontId="32" fillId="6" borderId="12" xfId="4" applyNumberFormat="1" applyFont="1" applyFill="1" applyBorder="1" applyAlignment="1">
      <alignment horizontal="right" vertical="center" wrapText="1" indent="1"/>
    </xf>
    <xf numFmtId="3" fontId="32" fillId="7" borderId="13" xfId="4" applyNumberFormat="1" applyFont="1" applyFill="1" applyBorder="1" applyAlignment="1">
      <alignment horizontal="right" vertical="center" wrapText="1" indent="1"/>
    </xf>
    <xf numFmtId="166" fontId="32" fillId="7" borderId="12" xfId="4" applyNumberFormat="1" applyFont="1" applyFill="1" applyBorder="1" applyAlignment="1">
      <alignment horizontal="right" vertical="center" wrapText="1" indent="1"/>
    </xf>
    <xf numFmtId="0" fontId="58" fillId="0" borderId="0" xfId="1" applyFont="1" applyFill="1" applyBorder="1" applyAlignment="1">
      <alignment horizontal="center"/>
    </xf>
    <xf numFmtId="166" fontId="61" fillId="0" borderId="0" xfId="4" applyNumberFormat="1" applyFont="1" applyFill="1" applyBorder="1" applyAlignment="1">
      <alignment horizontal="center" vertical="center" wrapText="1"/>
    </xf>
    <xf numFmtId="0" fontId="59" fillId="18" borderId="32" xfId="2" applyFont="1" applyFill="1" applyBorder="1" applyAlignment="1">
      <alignment horizontal="center" vertical="center" wrapText="1"/>
    </xf>
    <xf numFmtId="0" fontId="49" fillId="0" borderId="0" xfId="2" applyFont="1" applyFill="1" applyBorder="1" applyAlignment="1">
      <alignment vertical="center" wrapText="1"/>
    </xf>
    <xf numFmtId="3" fontId="18" fillId="0" borderId="0" xfId="2" applyNumberFormat="1" applyFont="1" applyFill="1" applyBorder="1" applyAlignment="1">
      <alignment horizontal="left"/>
    </xf>
    <xf numFmtId="0" fontId="18" fillId="3" borderId="13" xfId="2" applyFont="1" applyFill="1" applyBorder="1" applyAlignment="1" applyProtection="1">
      <alignment horizontal="left" vertical="center" indent="1"/>
      <protection locked="0"/>
    </xf>
    <xf numFmtId="0" fontId="18" fillId="3" borderId="31" xfId="2" applyFont="1" applyFill="1" applyBorder="1" applyAlignment="1" applyProtection="1">
      <alignment horizontal="left" vertical="center" indent="1"/>
      <protection locked="0"/>
    </xf>
    <xf numFmtId="166" fontId="54" fillId="16" borderId="26" xfId="2" applyNumberFormat="1" applyFont="1" applyFill="1" applyBorder="1" applyAlignment="1">
      <alignment horizontal="right" vertical="center" wrapText="1" indent="1"/>
    </xf>
    <xf numFmtId="3" fontId="59" fillId="17" borderId="47" xfId="4" applyNumberFormat="1" applyFont="1" applyFill="1" applyBorder="1" applyAlignment="1">
      <alignment horizontal="right" vertical="center" wrapText="1" indent="1"/>
    </xf>
    <xf numFmtId="3" fontId="49" fillId="6" borderId="46" xfId="4" applyNumberFormat="1" applyFont="1" applyFill="1" applyBorder="1" applyAlignment="1">
      <alignment horizontal="right" vertical="center" wrapText="1" indent="1"/>
    </xf>
    <xf numFmtId="166" fontId="60" fillId="6" borderId="46" xfId="2" applyNumberFormat="1" applyFont="1" applyFill="1" applyBorder="1" applyAlignment="1">
      <alignment horizontal="right" vertical="center" wrapText="1" indent="1"/>
    </xf>
    <xf numFmtId="3" fontId="59" fillId="17" borderId="49" xfId="4" applyNumberFormat="1" applyFont="1" applyFill="1" applyBorder="1" applyAlignment="1">
      <alignment horizontal="right" vertical="center" wrapText="1" indent="1"/>
    </xf>
    <xf numFmtId="3" fontId="49" fillId="6" borderId="48" xfId="4" applyNumberFormat="1" applyFont="1" applyFill="1" applyBorder="1" applyAlignment="1">
      <alignment horizontal="right" vertical="center" wrapText="1" indent="1"/>
    </xf>
    <xf numFmtId="166" fontId="60" fillId="6" borderId="48" xfId="2" applyNumberFormat="1" applyFont="1" applyFill="1" applyBorder="1" applyAlignment="1">
      <alignment horizontal="right" vertical="center" wrapText="1" indent="1"/>
    </xf>
    <xf numFmtId="3" fontId="32" fillId="6" borderId="51" xfId="4" applyNumberFormat="1" applyFont="1" applyFill="1" applyBorder="1" applyAlignment="1">
      <alignment horizontal="right" vertical="center" wrapText="1" indent="1"/>
    </xf>
    <xf numFmtId="3" fontId="32" fillId="7" borderId="50" xfId="4" applyNumberFormat="1" applyFont="1" applyFill="1" applyBorder="1" applyAlignment="1">
      <alignment horizontal="right" vertical="center" wrapText="1" indent="1"/>
    </xf>
    <xf numFmtId="166" fontId="32" fillId="7" borderId="51" xfId="4" applyNumberFormat="1" applyFont="1" applyFill="1" applyBorder="1" applyAlignment="1">
      <alignment horizontal="right" vertical="center" wrapText="1" indent="1"/>
    </xf>
    <xf numFmtId="0" fontId="24" fillId="0" borderId="0" xfId="4" applyFont="1" applyFill="1" applyBorder="1" applyAlignment="1" applyProtection="1">
      <alignment horizontal="left" vertical="center"/>
    </xf>
    <xf numFmtId="165" fontId="18" fillId="10" borderId="0" xfId="3" applyNumberFormat="1" applyFont="1" applyFill="1" applyBorder="1" applyAlignment="1" applyProtection="1">
      <alignment horizontal="right" vertical="center"/>
    </xf>
    <xf numFmtId="3" fontId="32" fillId="6" borderId="35" xfId="4" applyNumberFormat="1" applyFont="1" applyFill="1" applyBorder="1" applyAlignment="1">
      <alignment horizontal="right" vertical="center" wrapText="1" indent="1"/>
    </xf>
    <xf numFmtId="3" fontId="32" fillId="21" borderId="45" xfId="4" applyNumberFormat="1" applyFont="1" applyFill="1" applyBorder="1" applyAlignment="1">
      <alignment horizontal="right" vertical="center" wrapText="1" indent="1"/>
    </xf>
    <xf numFmtId="3" fontId="32" fillId="6" borderId="33" xfId="4" applyNumberFormat="1" applyFont="1" applyFill="1" applyBorder="1" applyAlignment="1">
      <alignment horizontal="right" vertical="center" wrapText="1" indent="1"/>
    </xf>
    <xf numFmtId="3" fontId="32" fillId="21" borderId="38" xfId="4" applyNumberFormat="1" applyFont="1" applyFill="1" applyBorder="1" applyAlignment="1">
      <alignment horizontal="right" vertical="center" wrapText="1" indent="1"/>
    </xf>
    <xf numFmtId="166" fontId="32" fillId="21" borderId="36" xfId="4" applyNumberFormat="1" applyFont="1" applyFill="1" applyBorder="1" applyAlignment="1">
      <alignment horizontal="right" vertical="center" wrapText="1" indent="1"/>
    </xf>
    <xf numFmtId="166" fontId="32" fillId="21" borderId="37" xfId="4" applyNumberFormat="1" applyFont="1" applyFill="1" applyBorder="1" applyAlignment="1">
      <alignment horizontal="right" vertical="center" wrapText="1" indent="1"/>
    </xf>
    <xf numFmtId="166" fontId="32" fillId="21" borderId="39" xfId="4" applyNumberFormat="1" applyFont="1" applyFill="1" applyBorder="1" applyAlignment="1">
      <alignment horizontal="right" vertical="center" wrapText="1" indent="1"/>
    </xf>
    <xf numFmtId="3" fontId="32" fillId="6" borderId="42" xfId="4" applyNumberFormat="1" applyFont="1" applyFill="1" applyBorder="1" applyAlignment="1">
      <alignment horizontal="right" vertical="center" wrapText="1" indent="1"/>
    </xf>
    <xf numFmtId="3" fontId="32" fillId="6" borderId="44" xfId="4" applyNumberFormat="1" applyFont="1" applyFill="1" applyBorder="1" applyAlignment="1">
      <alignment horizontal="right" vertical="center" wrapText="1" indent="1"/>
    </xf>
    <xf numFmtId="3" fontId="32" fillId="6" borderId="41" xfId="4" applyNumberFormat="1" applyFont="1" applyFill="1" applyBorder="1" applyAlignment="1">
      <alignment horizontal="right" vertical="center" wrapText="1" indent="1"/>
    </xf>
    <xf numFmtId="0" fontId="2" fillId="3" borderId="15" xfId="4" applyFont="1" applyFill="1" applyBorder="1" applyAlignment="1" applyProtection="1">
      <alignment horizontal="left" vertical="center"/>
    </xf>
    <xf numFmtId="0" fontId="2" fillId="3" borderId="16" xfId="4" applyFont="1" applyFill="1" applyBorder="1" applyAlignment="1" applyProtection="1">
      <alignment horizontal="left" vertical="center"/>
    </xf>
    <xf numFmtId="0" fontId="5" fillId="3" borderId="16" xfId="4" applyFont="1" applyFill="1" applyBorder="1" applyAlignment="1">
      <alignment horizontal="left" vertical="center"/>
    </xf>
    <xf numFmtId="3" fontId="5" fillId="3" borderId="16" xfId="4" applyNumberFormat="1" applyFont="1" applyFill="1" applyBorder="1" applyAlignment="1">
      <alignment horizontal="left" vertical="center"/>
    </xf>
    <xf numFmtId="166" fontId="5" fillId="3" borderId="16" xfId="4" applyNumberFormat="1" applyFont="1" applyFill="1" applyBorder="1" applyAlignment="1">
      <alignment horizontal="left" vertical="center"/>
    </xf>
    <xf numFmtId="0" fontId="5" fillId="3" borderId="17" xfId="4" applyFont="1" applyFill="1" applyBorder="1" applyAlignment="1">
      <alignment horizontal="left" vertical="center"/>
    </xf>
    <xf numFmtId="166" fontId="30" fillId="3" borderId="19" xfId="4" applyNumberFormat="1" applyFont="1" applyFill="1" applyBorder="1" applyAlignment="1">
      <alignment horizontal="center" vertical="center" wrapText="1"/>
    </xf>
    <xf numFmtId="0" fontId="24" fillId="3" borderId="19" xfId="4" applyFont="1" applyFill="1" applyBorder="1" applyAlignment="1" applyProtection="1">
      <alignment horizontal="center" textRotation="90"/>
    </xf>
    <xf numFmtId="0" fontId="24" fillId="3" borderId="18" xfId="4" applyFont="1" applyFill="1" applyBorder="1" applyAlignment="1" applyProtection="1">
      <alignment horizontal="center" textRotation="90"/>
    </xf>
    <xf numFmtId="0" fontId="64" fillId="3" borderId="0" xfId="4" applyFont="1" applyFill="1" applyBorder="1" applyAlignment="1" applyProtection="1">
      <alignment horizontal="right" vertical="center"/>
    </xf>
    <xf numFmtId="0" fontId="39" fillId="3" borderId="0" xfId="4" applyFont="1" applyFill="1" applyBorder="1" applyAlignment="1" applyProtection="1">
      <alignment horizontal="center" vertical="center" textRotation="90"/>
    </xf>
    <xf numFmtId="166" fontId="62" fillId="3" borderId="0" xfId="5" applyNumberFormat="1" applyFont="1" applyFill="1" applyBorder="1" applyAlignment="1" applyProtection="1">
      <alignment horizontal="right" vertical="center" indent="1"/>
    </xf>
    <xf numFmtId="0" fontId="63" fillId="3" borderId="0" xfId="4" applyFont="1" applyFill="1" applyBorder="1" applyAlignment="1" applyProtection="1">
      <alignment horizontal="center" vertical="center" textRotation="90"/>
    </xf>
    <xf numFmtId="0" fontId="24" fillId="3" borderId="20" xfId="4" applyFont="1" applyFill="1" applyBorder="1" applyAlignment="1" applyProtection="1">
      <alignment horizontal="center" vertical="center" textRotation="90"/>
    </xf>
    <xf numFmtId="0" fontId="24" fillId="3" borderId="14" xfId="4" applyFont="1" applyFill="1" applyBorder="1" applyAlignment="1" applyProtection="1">
      <alignment horizontal="center" vertical="center" textRotation="90"/>
    </xf>
    <xf numFmtId="0" fontId="24" fillId="3" borderId="21" xfId="4" applyFont="1" applyFill="1" applyBorder="1" applyAlignment="1" applyProtection="1">
      <alignment horizontal="center" vertical="center" textRotation="90"/>
    </xf>
    <xf numFmtId="0" fontId="21" fillId="3" borderId="18" xfId="3" applyFont="1" applyFill="1" applyBorder="1" applyAlignment="1" applyProtection="1">
      <alignment vertical="center"/>
    </xf>
    <xf numFmtId="0" fontId="31" fillId="3" borderId="0" xfId="1" applyFont="1" applyFill="1" applyBorder="1" applyAlignment="1">
      <alignment horizontal="center" vertical="center"/>
    </xf>
    <xf numFmtId="165" fontId="18" fillId="3" borderId="0" xfId="3" applyNumberFormat="1" applyFont="1" applyFill="1" applyBorder="1" applyAlignment="1" applyProtection="1">
      <alignment horizontal="right" vertical="center"/>
    </xf>
    <xf numFmtId="3" fontId="49" fillId="6" borderId="54" xfId="4" applyNumberFormat="1" applyFont="1" applyFill="1" applyBorder="1" applyAlignment="1">
      <alignment horizontal="right" vertical="center" wrapText="1" indent="1"/>
    </xf>
    <xf numFmtId="49" fontId="5" fillId="3" borderId="0" xfId="3" applyNumberFormat="1" applyFont="1" applyFill="1" applyBorder="1" applyAlignment="1" applyProtection="1">
      <alignment horizontal="left" vertical="center"/>
    </xf>
    <xf numFmtId="49" fontId="36" fillId="3" borderId="0" xfId="3" applyNumberFormat="1" applyFont="1" applyFill="1" applyBorder="1" applyAlignment="1" applyProtection="1">
      <alignment horizontal="left" vertical="center"/>
    </xf>
    <xf numFmtId="49" fontId="15" fillId="3" borderId="0" xfId="3" applyNumberFormat="1" applyFont="1" applyFill="1" applyBorder="1" applyAlignment="1" applyProtection="1">
      <alignment horizontal="center" vertical="center"/>
    </xf>
    <xf numFmtId="49" fontId="5" fillId="3" borderId="0" xfId="4" applyNumberFormat="1" applyFont="1" applyFill="1" applyBorder="1" applyAlignment="1" applyProtection="1">
      <alignment horizontal="left" vertical="center"/>
    </xf>
    <xf numFmtId="49" fontId="37" fillId="3" borderId="0" xfId="4" applyNumberFormat="1" applyFont="1" applyFill="1" applyBorder="1" applyAlignment="1" applyProtection="1">
      <alignment horizontal="left" vertical="center" textRotation="90"/>
    </xf>
    <xf numFmtId="49" fontId="49" fillId="3" borderId="0" xfId="4" applyNumberFormat="1" applyFont="1" applyFill="1" applyBorder="1" applyAlignment="1" applyProtection="1">
      <alignment horizontal="left" vertical="center"/>
    </xf>
    <xf numFmtId="49" fontId="37" fillId="14" borderId="0" xfId="4" applyNumberFormat="1" applyFont="1" applyFill="1" applyBorder="1" applyAlignment="1" applyProtection="1">
      <alignment horizontal="left" vertical="center"/>
    </xf>
    <xf numFmtId="49" fontId="36" fillId="3" borderId="0" xfId="4" applyNumberFormat="1" applyFont="1" applyFill="1" applyBorder="1" applyAlignment="1" applyProtection="1">
      <alignment horizontal="left" vertical="center"/>
    </xf>
    <xf numFmtId="49" fontId="5" fillId="0" borderId="0" xfId="3" applyNumberFormat="1" applyFont="1" applyFill="1" applyBorder="1" applyAlignment="1" applyProtection="1">
      <alignment horizontal="left" vertical="center"/>
    </xf>
    <xf numFmtId="0" fontId="24" fillId="3" borderId="9" xfId="4" applyFont="1" applyFill="1" applyBorder="1" applyAlignment="1" applyProtection="1">
      <alignment horizontal="center" vertical="center" textRotation="90"/>
    </xf>
    <xf numFmtId="0" fontId="0" fillId="0" borderId="0" xfId="0"/>
    <xf numFmtId="49" fontId="5" fillId="3" borderId="0" xfId="3" applyNumberFormat="1" applyFont="1" applyFill="1" applyBorder="1" applyAlignment="1" applyProtection="1">
      <alignment horizontal="left" vertical="center"/>
    </xf>
    <xf numFmtId="49" fontId="5" fillId="3" borderId="0" xfId="4" quotePrefix="1" applyNumberFormat="1" applyFont="1" applyFill="1" applyBorder="1" applyAlignment="1" applyProtection="1">
      <alignment horizontal="left" vertical="center"/>
    </xf>
    <xf numFmtId="49" fontId="5" fillId="3" borderId="0" xfId="3" quotePrefix="1" applyNumberFormat="1" applyFont="1" applyFill="1" applyBorder="1" applyAlignment="1" applyProtection="1">
      <alignment horizontal="left" vertical="center"/>
    </xf>
    <xf numFmtId="0" fontId="52" fillId="7" borderId="13" xfId="4" applyFont="1" applyFill="1" applyBorder="1" applyAlignment="1">
      <alignment horizontal="left" vertical="center" indent="1"/>
    </xf>
    <xf numFmtId="0" fontId="52" fillId="7" borderId="50" xfId="4" applyFont="1" applyFill="1" applyBorder="1" applyAlignment="1">
      <alignment horizontal="left" vertical="center"/>
    </xf>
    <xf numFmtId="0" fontId="52" fillId="7" borderId="13" xfId="4" applyFont="1" applyFill="1" applyBorder="1" applyAlignment="1">
      <alignment horizontal="left" vertical="center"/>
    </xf>
    <xf numFmtId="0" fontId="5" fillId="22" borderId="0" xfId="3" applyFont="1" applyFill="1" applyBorder="1" applyAlignment="1" applyProtection="1">
      <alignment vertical="center"/>
    </xf>
    <xf numFmtId="0" fontId="5" fillId="23" borderId="0" xfId="3" applyFont="1" applyFill="1" applyBorder="1" applyAlignment="1" applyProtection="1">
      <alignment vertical="center"/>
    </xf>
    <xf numFmtId="0" fontId="21" fillId="23" borderId="0" xfId="3" applyFont="1" applyFill="1" applyBorder="1" applyAlignment="1" applyProtection="1">
      <alignment vertical="center"/>
    </xf>
    <xf numFmtId="0" fontId="52" fillId="7" borderId="13" xfId="4" applyFont="1" applyFill="1" applyBorder="1" applyAlignment="1">
      <alignment horizontal="left" vertical="center" indent="1"/>
    </xf>
    <xf numFmtId="0" fontId="4" fillId="24" borderId="0" xfId="2" applyFont="1" applyFill="1" applyBorder="1" applyAlignment="1" applyProtection="1"/>
    <xf numFmtId="0" fontId="4" fillId="24" borderId="9" xfId="2" applyFont="1" applyFill="1" applyBorder="1" applyAlignment="1" applyProtection="1"/>
    <xf numFmtId="0" fontId="20" fillId="3" borderId="0" xfId="3" applyFont="1" applyFill="1" applyBorder="1" applyAlignment="1" applyProtection="1">
      <alignment vertical="center"/>
    </xf>
    <xf numFmtId="0" fontId="19" fillId="3" borderId="0" xfId="3" applyFont="1" applyFill="1" applyBorder="1" applyAlignment="1" applyProtection="1">
      <alignment vertical="center"/>
    </xf>
    <xf numFmtId="164" fontId="20" fillId="3" borderId="0" xfId="6" applyFont="1" applyFill="1" applyBorder="1" applyAlignment="1" applyProtection="1">
      <alignment vertical="center"/>
    </xf>
    <xf numFmtId="0" fontId="21" fillId="3" borderId="0" xfId="3" applyFont="1" applyFill="1" applyBorder="1" applyAlignment="1" applyProtection="1">
      <alignment vertical="center"/>
    </xf>
    <xf numFmtId="0" fontId="5" fillId="3" borderId="0" xfId="3" applyNumberFormat="1" applyFont="1" applyFill="1" applyBorder="1" applyAlignment="1" applyProtection="1">
      <alignment horizontal="left" vertical="center"/>
    </xf>
    <xf numFmtId="0" fontId="35" fillId="12" borderId="3" xfId="2" applyFont="1" applyFill="1" applyBorder="1" applyAlignment="1" applyProtection="1">
      <alignment horizontal="left" vertical="center"/>
      <protection locked="0"/>
    </xf>
    <xf numFmtId="0" fontId="52" fillId="7" borderId="13" xfId="4" applyFont="1" applyFill="1" applyBorder="1" applyAlignment="1">
      <alignment horizontal="left" vertical="center"/>
    </xf>
    <xf numFmtId="167" fontId="65" fillId="3" borderId="34" xfId="4" applyNumberFormat="1" applyFont="1" applyFill="1" applyBorder="1" applyAlignment="1">
      <alignment horizontal="center" vertical="center" wrapText="1"/>
    </xf>
    <xf numFmtId="0" fontId="59" fillId="6" borderId="48" xfId="4" applyFont="1" applyFill="1" applyBorder="1" applyAlignment="1">
      <alignment horizontal="left" vertical="center" wrapText="1" indent="1"/>
    </xf>
    <xf numFmtId="0" fontId="54" fillId="16" borderId="24" xfId="2" applyFont="1" applyFill="1" applyBorder="1" applyAlignment="1">
      <alignment horizontal="left" vertical="center" indent="1"/>
    </xf>
    <xf numFmtId="0" fontId="54" fillId="16" borderId="25" xfId="2" applyFont="1" applyFill="1" applyBorder="1" applyAlignment="1">
      <alignment horizontal="left" vertical="center" indent="1"/>
    </xf>
    <xf numFmtId="0" fontId="54" fillId="16" borderId="26" xfId="2" applyFont="1" applyFill="1" applyBorder="1" applyAlignment="1">
      <alignment horizontal="left" vertical="center" indent="1"/>
    </xf>
    <xf numFmtId="0" fontId="52" fillId="21" borderId="43" xfId="4" applyFont="1" applyFill="1" applyBorder="1" applyAlignment="1">
      <alignment horizontal="left" vertical="center" indent="2"/>
    </xf>
    <xf numFmtId="0" fontId="52" fillId="21" borderId="13" xfId="4" applyFont="1" applyFill="1" applyBorder="1" applyAlignment="1">
      <alignment horizontal="left" vertical="center" indent="2"/>
    </xf>
    <xf numFmtId="0" fontId="52" fillId="21" borderId="37" xfId="4" applyFont="1" applyFill="1" applyBorder="1" applyAlignment="1">
      <alignment horizontal="left" vertical="center" indent="2"/>
    </xf>
    <xf numFmtId="0" fontId="52" fillId="21" borderId="53" xfId="4" applyFont="1" applyFill="1" applyBorder="1" applyAlignment="1">
      <alignment horizontal="left" vertical="center" indent="2"/>
    </xf>
    <xf numFmtId="0" fontId="52" fillId="21" borderId="38" xfId="4" applyFont="1" applyFill="1" applyBorder="1" applyAlignment="1">
      <alignment horizontal="left" vertical="center" indent="2"/>
    </xf>
    <xf numFmtId="0" fontId="52" fillId="21" borderId="39" xfId="4" applyFont="1" applyFill="1" applyBorder="1" applyAlignment="1">
      <alignment horizontal="left" vertical="center" indent="2"/>
    </xf>
    <xf numFmtId="0" fontId="52" fillId="21" borderId="52" xfId="4" applyFont="1" applyFill="1" applyBorder="1" applyAlignment="1">
      <alignment horizontal="left" vertical="center" indent="2"/>
    </xf>
    <xf numFmtId="0" fontId="52" fillId="21" borderId="45" xfId="4" applyFont="1" applyFill="1" applyBorder="1" applyAlignment="1">
      <alignment horizontal="left" vertical="center" indent="2"/>
    </xf>
    <xf numFmtId="0" fontId="52" fillId="21" borderId="36" xfId="4" applyFont="1" applyFill="1" applyBorder="1" applyAlignment="1">
      <alignment horizontal="left" vertical="center" indent="2"/>
    </xf>
    <xf numFmtId="0" fontId="59" fillId="19" borderId="23" xfId="2" applyFont="1" applyFill="1" applyBorder="1" applyAlignment="1">
      <alignment horizontal="center" vertical="center" wrapText="1"/>
    </xf>
    <xf numFmtId="0" fontId="59" fillId="19" borderId="0" xfId="2" applyFont="1" applyFill="1" applyBorder="1" applyAlignment="1">
      <alignment horizontal="center" vertical="center" wrapText="1"/>
    </xf>
    <xf numFmtId="167" fontId="65" fillId="3" borderId="34" xfId="4" applyNumberFormat="1" applyFont="1" applyFill="1" applyBorder="1" applyAlignment="1">
      <alignment horizontal="left" vertical="center" wrapText="1" indent="2"/>
    </xf>
    <xf numFmtId="0" fontId="52" fillId="7" borderId="50" xfId="4" applyFont="1" applyFill="1" applyBorder="1" applyAlignment="1">
      <alignment horizontal="left" vertical="center"/>
    </xf>
    <xf numFmtId="0" fontId="59" fillId="6" borderId="46" xfId="4" applyFont="1" applyFill="1" applyBorder="1" applyAlignment="1">
      <alignment horizontal="left" vertical="center" wrapText="1" indent="1"/>
    </xf>
    <xf numFmtId="0" fontId="52" fillId="7" borderId="48" xfId="4" applyFont="1" applyFill="1" applyBorder="1" applyAlignment="1">
      <alignment horizontal="left" vertical="center" indent="1"/>
    </xf>
    <xf numFmtId="0" fontId="52" fillId="7" borderId="31" xfId="4" applyFont="1" applyFill="1" applyBorder="1" applyAlignment="1">
      <alignment horizontal="left" vertical="center" indent="1"/>
    </xf>
    <xf numFmtId="167" fontId="65" fillId="3" borderId="34" xfId="4" applyNumberFormat="1" applyFont="1" applyFill="1" applyBorder="1" applyAlignment="1">
      <alignment horizontal="left" vertical="center" wrapText="1" indent="1"/>
    </xf>
    <xf numFmtId="0" fontId="52" fillId="7" borderId="31" xfId="4" applyFont="1" applyFill="1" applyBorder="1" applyAlignment="1">
      <alignment horizontal="left" vertical="center"/>
    </xf>
    <xf numFmtId="0" fontId="52" fillId="7" borderId="13" xfId="4" applyFont="1" applyFill="1" applyBorder="1" applyAlignment="1">
      <alignment horizontal="left" vertical="center" indent="1"/>
    </xf>
    <xf numFmtId="0" fontId="52" fillId="7" borderId="50" xfId="4" applyFont="1" applyFill="1" applyBorder="1" applyAlignment="1">
      <alignment horizontal="left" vertical="center" indent="1"/>
    </xf>
    <xf numFmtId="0" fontId="50" fillId="15" borderId="0" xfId="2" applyFont="1" applyFill="1" applyBorder="1" applyAlignment="1">
      <alignment horizontal="center" vertical="center"/>
    </xf>
    <xf numFmtId="0" fontId="51" fillId="15" borderId="0" xfId="2" applyFont="1" applyFill="1" applyBorder="1" applyAlignment="1">
      <alignment horizontal="center" vertical="center"/>
    </xf>
    <xf numFmtId="0" fontId="17" fillId="20" borderId="0" xfId="2" applyFont="1" applyFill="1" applyBorder="1" applyAlignment="1">
      <alignment horizontal="center" vertical="center" wrapText="1"/>
    </xf>
  </cellXfs>
  <cellStyles count="7">
    <cellStyle name="Milliers" xfId="6" builtinId="3"/>
    <cellStyle name="Normal" xfId="0" builtinId="0"/>
    <cellStyle name="Normal 10" xfId="1"/>
    <cellStyle name="Normal 2" xfId="2"/>
    <cellStyle name="Normal 3 2" xfId="3"/>
    <cellStyle name="Normal_Copie de CRD_CRC_domaine TER_ergo" xfId="4"/>
    <cellStyle name="Pourcentage" xfId="5" builtinId="5"/>
  </cellStyles>
  <dxfs count="590"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rgb="FFFF0000"/>
      </font>
    </dxf>
    <dxf>
      <font>
        <color theme="6" tint="-0.24994659260841701"/>
      </font>
    </dxf>
    <dxf>
      <font>
        <color theme="6" tint="-0.24994659260841701"/>
      </font>
    </dxf>
    <dxf>
      <font>
        <color rgb="FFFF0000"/>
      </font>
    </dxf>
    <dxf>
      <font>
        <color rgb="FFFF0000"/>
      </font>
    </dxf>
    <dxf>
      <font>
        <color theme="6" tint="-0.24994659260841701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  <dxf>
      <font>
        <color theme="9" tint="-0.24994659260841701"/>
      </font>
    </dxf>
    <dxf>
      <font>
        <color theme="6" tint="-0.24994659260841701"/>
      </font>
    </dxf>
    <dxf>
      <font>
        <color rgb="FFFF0000"/>
      </font>
    </dxf>
  </dxfs>
  <tableStyles count="0" defaultTableStyle="TableStyleMedium2" defaultPivotStyle="PivotStyleLight16"/>
  <colors>
    <mruColors>
      <color rgb="FFF3F3F3"/>
      <color rgb="FFDBDBDB"/>
      <color rgb="FFC5C5C5"/>
      <color rgb="FFF9F9F9"/>
      <color rgb="FFFF9F9F"/>
      <color rgb="FFFFD1D1"/>
      <color rgb="FFE2E2E2"/>
      <color rgb="FFD9D9D9"/>
      <color rgb="FFDEDEDE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4.png"/><Relationship Id="rId4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103077</xdr:colOff>
      <xdr:row>6</xdr:row>
      <xdr:rowOff>33896</xdr:rowOff>
    </xdr:from>
    <xdr:ext cx="1400410" cy="479398"/>
    <xdr:pic>
      <xdr:nvPicPr>
        <xdr:cNvPr id="1702" name="Image 7"/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006" y="619003"/>
          <a:ext cx="1400410" cy="4793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22</xdr:col>
      <xdr:colOff>376598</xdr:colOff>
      <xdr:row>6</xdr:row>
      <xdr:rowOff>108197</xdr:rowOff>
    </xdr:from>
    <xdr:to>
      <xdr:col>22</xdr:col>
      <xdr:colOff>757882</xdr:colOff>
      <xdr:row>7</xdr:row>
      <xdr:rowOff>74714</xdr:rowOff>
    </xdr:to>
    <xdr:pic>
      <xdr:nvPicPr>
        <xdr:cNvPr id="1715" name="Picture 6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lum contrast="-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75692" y="679697"/>
          <a:ext cx="382984" cy="3951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25082</xdr:colOff>
      <xdr:row>15</xdr:row>
      <xdr:rowOff>131598</xdr:rowOff>
    </xdr:from>
    <xdr:to>
      <xdr:col>8</xdr:col>
      <xdr:colOff>392679</xdr:colOff>
      <xdr:row>17</xdr:row>
      <xdr:rowOff>74612</xdr:rowOff>
    </xdr:to>
    <xdr:pic macro="[0]!Feuil2.refresch">
      <xdr:nvPicPr>
        <xdr:cNvPr id="5" name="Image 4" descr="https://encrypted-tbn0.gstatic.com/images?q=tbn:ANd9GcTxgS58yOjB6lOGGmLB1DHoUwsxi7gUgB9m9IqJsSBaSPvizChNz1HUshQ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aturation sat="40000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0895" y="2893848"/>
          <a:ext cx="367597" cy="371637"/>
        </a:xfrm>
        <a:prstGeom prst="rect">
          <a:avLst/>
        </a:prstGeom>
        <a:noFill/>
        <a:effectLst>
          <a:reflection blurRad="6350" stA="52000" endA="300" endPos="35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oneCell">
    <xdr:from>
      <xdr:col>8</xdr:col>
      <xdr:colOff>528363</xdr:colOff>
      <xdr:row>15</xdr:row>
      <xdr:rowOff>131754</xdr:rowOff>
    </xdr:from>
    <xdr:to>
      <xdr:col>8</xdr:col>
      <xdr:colOff>911286</xdr:colOff>
      <xdr:row>17</xdr:row>
      <xdr:rowOff>50784</xdr:rowOff>
    </xdr:to>
    <xdr:pic macro="[0]!Extrect_Excel_value">
      <xdr:nvPicPr>
        <xdr:cNvPr id="6" name="Imag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314176" y="2894004"/>
          <a:ext cx="382923" cy="347653"/>
        </a:xfrm>
        <a:prstGeom prst="rect">
          <a:avLst/>
        </a:prstGeom>
        <a:effectLst>
          <a:reflection blurRad="6350" stA="50000" endA="300" endPos="38500" dist="50800" dir="5400000" sy="-100000" algn="bl" rotWithShape="0"/>
        </a:effectLst>
      </xdr:spPr>
    </xdr:pic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5" tint="0.79998168889431442"/>
  </sheetPr>
  <dimension ref="A1:B73"/>
  <sheetViews>
    <sheetView showGridLines="0" workbookViewId="0">
      <selection activeCell="B6" sqref="B6"/>
    </sheetView>
  </sheetViews>
  <sheetFormatPr baseColWidth="10" defaultColWidth="11.42578125" defaultRowHeight="15" x14ac:dyDescent="0.25"/>
  <cols>
    <col min="1" max="1" width="48.140625" style="102" customWidth="1"/>
    <col min="2" max="2" width="35.85546875" customWidth="1"/>
    <col min="3" max="3" width="33.85546875" bestFit="1" customWidth="1"/>
    <col min="4" max="4" width="35.85546875" customWidth="1"/>
  </cols>
  <sheetData>
    <row r="1" spans="1:2" ht="18" x14ac:dyDescent="0.25">
      <c r="A1" s="108" t="s">
        <v>4</v>
      </c>
    </row>
    <row r="2" spans="1:2" x14ac:dyDescent="0.25">
      <c r="A2" s="101"/>
    </row>
    <row r="3" spans="1:2" ht="15.75" x14ac:dyDescent="0.25">
      <c r="A3" s="103" t="s">
        <v>5</v>
      </c>
    </row>
    <row r="4" spans="1:2" x14ac:dyDescent="0.25">
      <c r="A4" s="104" t="s">
        <v>6</v>
      </c>
      <c r="B4" s="106" t="s">
        <v>180</v>
      </c>
    </row>
    <row r="5" spans="1:2" x14ac:dyDescent="0.25">
      <c r="A5" s="104" t="s">
        <v>7</v>
      </c>
      <c r="B5" s="107" t="str">
        <f>LEFT(Server,LEN(Server)-1)</f>
        <v>tango_core_model</v>
      </c>
    </row>
    <row r="6" spans="1:2" x14ac:dyDescent="0.25">
      <c r="A6" s="104" t="s">
        <v>8</v>
      </c>
      <c r="B6" s="105" t="str">
        <f ca="1">Host_Serveur</f>
        <v>FRSAPP021269</v>
      </c>
    </row>
    <row r="7" spans="1:2" x14ac:dyDescent="0.25">
      <c r="A7" s="104" t="s">
        <v>9</v>
      </c>
      <c r="B7" s="105">
        <v>0</v>
      </c>
    </row>
    <row r="8" spans="1:2" x14ac:dyDescent="0.25">
      <c r="A8" s="104" t="s">
        <v>10</v>
      </c>
      <c r="B8" s="105">
        <v>0</v>
      </c>
    </row>
    <row r="9" spans="1:2" ht="15.75" x14ac:dyDescent="0.25">
      <c r="A9" s="103" t="s">
        <v>11</v>
      </c>
    </row>
    <row r="11" spans="1:2" x14ac:dyDescent="0.25">
      <c r="A11" s="104" t="s">
        <v>12</v>
      </c>
      <c r="B11" s="105" t="s">
        <v>101</v>
      </c>
    </row>
    <row r="12" spans="1:2" x14ac:dyDescent="0.25">
      <c r="A12" s="104" t="s">
        <v>13</v>
      </c>
      <c r="B12" s="111"/>
    </row>
    <row r="13" spans="1:2" x14ac:dyDescent="0.25">
      <c r="A13" s="104" t="s">
        <v>31</v>
      </c>
      <c r="B13" s="111"/>
    </row>
    <row r="14" spans="1:2" x14ac:dyDescent="0.25">
      <c r="A14" s="104" t="s">
        <v>14</v>
      </c>
      <c r="B14" s="107" t="str">
        <f ca="1">_xll.DBR(Server&amp;"z_admin_Param","YEAR_ACTUAL","STR_VAR1")</f>
        <v>2021</v>
      </c>
    </row>
    <row r="15" spans="1:2" x14ac:dyDescent="0.25">
      <c r="A15" s="104" t="s">
        <v>15</v>
      </c>
      <c r="B15" s="107" t="str">
        <f ca="1">_xll.DBR(Server&amp;"z_admin_Param","MONTH_ACTUAL","STR_VAR1")</f>
        <v>2021.12</v>
      </c>
    </row>
    <row r="16" spans="1:2" x14ac:dyDescent="0.25">
      <c r="A16" s="104" t="s">
        <v>16</v>
      </c>
      <c r="B16" s="107" t="str">
        <f ca="1">_xll.DBR(Server&amp;"z_admin_Param","BUDGET_VERSION","STR_VAR1")</f>
        <v>BUDG_TOT</v>
      </c>
    </row>
    <row r="17" spans="1:2" x14ac:dyDescent="0.25">
      <c r="A17" s="104" t="s">
        <v>17</v>
      </c>
      <c r="B17" s="107" t="str">
        <f ca="1">_xll.DBR(Server&amp;"z_admin_Param","FORECAST_VERSION","STR_VAR1")</f>
        <v>FC_2_TOT</v>
      </c>
    </row>
    <row r="18" spans="1:2" x14ac:dyDescent="0.25">
      <c r="A18" s="104" t="s">
        <v>18</v>
      </c>
      <c r="B18" s="107" t="s">
        <v>26</v>
      </c>
    </row>
    <row r="19" spans="1:2" x14ac:dyDescent="0.25">
      <c r="A19" s="231" t="s">
        <v>19</v>
      </c>
      <c r="B19" s="113"/>
    </row>
    <row r="20" spans="1:2" x14ac:dyDescent="0.25">
      <c r="A20" s="231"/>
      <c r="B20" s="113"/>
    </row>
    <row r="21" spans="1:2" x14ac:dyDescent="0.25">
      <c r="A21" s="231" t="s">
        <v>20</v>
      </c>
      <c r="B21" s="105" t="s">
        <v>27</v>
      </c>
    </row>
    <row r="22" spans="1:2" x14ac:dyDescent="0.25">
      <c r="A22" s="231"/>
      <c r="B22" s="105" t="s">
        <v>28</v>
      </c>
    </row>
    <row r="23" spans="1:2" x14ac:dyDescent="0.25">
      <c r="A23" s="231"/>
      <c r="B23" s="105" t="s">
        <v>29</v>
      </c>
    </row>
    <row r="24" spans="1:2" x14ac:dyDescent="0.25">
      <c r="A24" s="101"/>
    </row>
    <row r="25" spans="1:2" ht="15.75" x14ac:dyDescent="0.25">
      <c r="A25" s="103" t="s">
        <v>21</v>
      </c>
    </row>
    <row r="26" spans="1:2" x14ac:dyDescent="0.25">
      <c r="A26" s="101" t="s">
        <v>22</v>
      </c>
    </row>
    <row r="27" spans="1:2" x14ac:dyDescent="0.25">
      <c r="A27" s="101" t="s">
        <v>23</v>
      </c>
    </row>
    <row r="28" spans="1:2" x14ac:dyDescent="0.25">
      <c r="A28" s="101" t="s">
        <v>24</v>
      </c>
    </row>
    <row r="29" spans="1:2" x14ac:dyDescent="0.25">
      <c r="A29" s="101" t="s">
        <v>25</v>
      </c>
    </row>
    <row r="30" spans="1:2" x14ac:dyDescent="0.25">
      <c r="A30" s="115"/>
    </row>
    <row r="32" spans="1:2" x14ac:dyDescent="0.25">
      <c r="B32" s="100" t="s">
        <v>99</v>
      </c>
    </row>
    <row r="33" spans="2:2" x14ac:dyDescent="0.25">
      <c r="B33" s="81" t="s">
        <v>100</v>
      </c>
    </row>
    <row r="34" spans="2:2" x14ac:dyDescent="0.25">
      <c r="B34" s="81"/>
    </row>
    <row r="35" spans="2:2" x14ac:dyDescent="0.25">
      <c r="B35" s="81"/>
    </row>
    <row r="36" spans="2:2" x14ac:dyDescent="0.25">
      <c r="B36" s="81"/>
    </row>
    <row r="37" spans="2:2" x14ac:dyDescent="0.25">
      <c r="B37" s="81"/>
    </row>
    <row r="38" spans="2:2" x14ac:dyDescent="0.25">
      <c r="B38" s="81"/>
    </row>
    <row r="39" spans="2:2" x14ac:dyDescent="0.25">
      <c r="B39" s="81"/>
    </row>
    <row r="40" spans="2:2" x14ac:dyDescent="0.25">
      <c r="B40" s="81"/>
    </row>
    <row r="41" spans="2:2" x14ac:dyDescent="0.25">
      <c r="B41" s="81"/>
    </row>
    <row r="42" spans="2:2" x14ac:dyDescent="0.25">
      <c r="B42" s="81"/>
    </row>
    <row r="43" spans="2:2" x14ac:dyDescent="0.25">
      <c r="B43" s="81"/>
    </row>
    <row r="44" spans="2:2" x14ac:dyDescent="0.25">
      <c r="B44" s="81"/>
    </row>
    <row r="45" spans="2:2" x14ac:dyDescent="0.25">
      <c r="B45" s="114"/>
    </row>
    <row r="46" spans="2:2" x14ac:dyDescent="0.25">
      <c r="B46" s="114"/>
    </row>
    <row r="47" spans="2:2" x14ac:dyDescent="0.25">
      <c r="B47" s="114"/>
    </row>
    <row r="48" spans="2:2" x14ac:dyDescent="0.25">
      <c r="B48" s="114"/>
    </row>
    <row r="49" spans="2:2" x14ac:dyDescent="0.25">
      <c r="B49" s="114"/>
    </row>
    <row r="50" spans="2:2" x14ac:dyDescent="0.25">
      <c r="B50" s="114"/>
    </row>
    <row r="51" spans="2:2" x14ac:dyDescent="0.25">
      <c r="B51" s="114"/>
    </row>
    <row r="52" spans="2:2" x14ac:dyDescent="0.25">
      <c r="B52" s="114"/>
    </row>
    <row r="53" spans="2:2" x14ac:dyDescent="0.25">
      <c r="B53" s="114"/>
    </row>
    <row r="54" spans="2:2" x14ac:dyDescent="0.25">
      <c r="B54" s="114"/>
    </row>
    <row r="55" spans="2:2" x14ac:dyDescent="0.25">
      <c r="B55" s="114"/>
    </row>
    <row r="56" spans="2:2" x14ac:dyDescent="0.25">
      <c r="B56" s="114"/>
    </row>
    <row r="57" spans="2:2" x14ac:dyDescent="0.25">
      <c r="B57" s="114"/>
    </row>
    <row r="58" spans="2:2" x14ac:dyDescent="0.25">
      <c r="B58" s="114"/>
    </row>
    <row r="59" spans="2:2" x14ac:dyDescent="0.25">
      <c r="B59" s="114"/>
    </row>
    <row r="60" spans="2:2" x14ac:dyDescent="0.25">
      <c r="B60" s="114"/>
    </row>
    <row r="61" spans="2:2" x14ac:dyDescent="0.25">
      <c r="B61" s="114"/>
    </row>
    <row r="62" spans="2:2" x14ac:dyDescent="0.25">
      <c r="B62" s="114"/>
    </row>
    <row r="63" spans="2:2" x14ac:dyDescent="0.25">
      <c r="B63" s="114"/>
    </row>
    <row r="64" spans="2:2" x14ac:dyDescent="0.25">
      <c r="B64" s="114"/>
    </row>
    <row r="65" spans="1:2" ht="18" x14ac:dyDescent="0.25">
      <c r="A65" s="116"/>
      <c r="B65" s="114"/>
    </row>
    <row r="66" spans="1:2" x14ac:dyDescent="0.25">
      <c r="B66" s="119"/>
    </row>
    <row r="73" spans="1:2" ht="18" x14ac:dyDescent="0.25">
      <c r="A73" s="116"/>
    </row>
  </sheetData>
  <sheetProtection sheet="1" objects="1" scenarios="1"/>
  <mergeCells count="2">
    <mergeCell ref="A19:A20"/>
    <mergeCell ref="A21:A23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rgb="FFFF0000"/>
  </sheetPr>
  <dimension ref="A1:DN377"/>
  <sheetViews>
    <sheetView showGridLines="0" tabSelected="1" topLeftCell="E5" zoomScale="70" zoomScaleNormal="70" zoomScaleSheetLayoutView="55" workbookViewId="0">
      <selection activeCell="I9" sqref="I9"/>
    </sheetView>
  </sheetViews>
  <sheetFormatPr baseColWidth="10" defaultColWidth="11.42578125" defaultRowHeight="18" customHeight="1" outlineLevelRow="1" outlineLevelCol="1" x14ac:dyDescent="0.25"/>
  <cols>
    <col min="1" max="1" width="9.42578125" style="10" hidden="1" customWidth="1"/>
    <col min="2" max="2" width="9.42578125" style="1" hidden="1" customWidth="1"/>
    <col min="3" max="3" width="28.85546875" style="1" hidden="1" customWidth="1"/>
    <col min="4" max="4" width="28.7109375" style="211" hidden="1" customWidth="1"/>
    <col min="5" max="5" width="3.42578125" style="1" customWidth="1"/>
    <col min="6" max="6" width="4" style="1" customWidth="1"/>
    <col min="7" max="7" width="1.28515625" style="1" customWidth="1"/>
    <col min="8" max="8" width="3.28515625" style="1" customWidth="1"/>
    <col min="9" max="9" width="30.5703125" style="67" customWidth="1"/>
    <col min="10" max="10" width="43.140625" style="67" customWidth="1"/>
    <col min="11" max="11" width="1.7109375" style="10" customWidth="1"/>
    <col min="12" max="13" width="16" style="10" customWidth="1"/>
    <col min="14" max="14" width="15.28515625" style="98" customWidth="1"/>
    <col min="15" max="15" width="12.42578125" style="98" customWidth="1"/>
    <col min="16" max="16" width="1.140625" style="99" customWidth="1"/>
    <col min="17" max="17" width="16" style="10" customWidth="1" outlineLevel="1"/>
    <col min="18" max="18" width="15.28515625" style="98" customWidth="1" outlineLevel="1"/>
    <col min="19" max="19" width="12.42578125" style="98" customWidth="1" outlineLevel="1"/>
    <col min="20" max="20" width="1.140625" style="99" customWidth="1" outlineLevel="1"/>
    <col min="21" max="21" width="16" style="10" customWidth="1"/>
    <col min="22" max="22" width="15.28515625" style="99" customWidth="1"/>
    <col min="23" max="23" width="13.42578125" style="37" bestFit="1" customWidth="1"/>
    <col min="24" max="24" width="1.28515625" style="37" customWidth="1"/>
    <col min="25" max="25" width="4" style="37" customWidth="1"/>
    <col min="26" max="26" width="20" style="37" bestFit="1" customWidth="1"/>
    <col min="27" max="29" width="17.85546875" style="37" customWidth="1"/>
    <col min="30" max="34" width="13.28515625" style="37" customWidth="1"/>
    <col min="35" max="43" width="18.85546875" style="37" bestFit="1" customWidth="1"/>
    <col min="44" max="62" width="13.28515625" style="37" customWidth="1"/>
    <col min="63" max="63" width="44.7109375" style="37" customWidth="1"/>
    <col min="64" max="91" width="13.28515625" style="37" customWidth="1"/>
    <col min="92" max="93" width="13.28515625" style="10" customWidth="1"/>
    <col min="94" max="103" width="6.5703125" style="10" customWidth="1"/>
    <col min="104" max="105" width="6.42578125" style="10" customWidth="1"/>
    <col min="106" max="16384" width="11.42578125" style="10"/>
  </cols>
  <sheetData>
    <row r="1" spans="1:118" ht="37.5" hidden="1" customHeight="1" x14ac:dyDescent="0.25">
      <c r="B1" s="10"/>
      <c r="D1" s="203"/>
      <c r="E1" s="2"/>
      <c r="F1" s="2"/>
      <c r="G1" s="2"/>
      <c r="H1" s="2"/>
      <c r="I1" s="3"/>
      <c r="J1" s="4" t="s">
        <v>0</v>
      </c>
      <c r="K1" s="5"/>
      <c r="L1" s="6" t="s">
        <v>1</v>
      </c>
      <c r="M1" s="7" t="str">
        <f ca="1">ActualBudget</f>
        <v>BUDG_TOT</v>
      </c>
      <c r="N1" s="6"/>
      <c r="O1" s="6"/>
      <c r="P1" s="8"/>
      <c r="Q1" s="7" t="str">
        <f ca="1">ActualForecast</f>
        <v>FC_2_TOT</v>
      </c>
      <c r="R1" s="6"/>
      <c r="S1" s="6"/>
      <c r="T1" s="8"/>
      <c r="U1" s="6" t="s">
        <v>1</v>
      </c>
      <c r="V1" s="6"/>
      <c r="W1" s="6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  <c r="BT1" s="10"/>
      <c r="BU1" s="10"/>
      <c r="BV1" s="10"/>
      <c r="BW1" s="10"/>
      <c r="BX1" s="10"/>
      <c r="BY1" s="10"/>
      <c r="BZ1" s="10"/>
      <c r="CA1" s="10"/>
      <c r="CB1" s="10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</row>
    <row r="2" spans="1:118" ht="37.5" hidden="1" customHeight="1" x14ac:dyDescent="0.25">
      <c r="B2" s="10"/>
      <c r="D2" s="203"/>
      <c r="E2" s="2"/>
      <c r="F2" s="2"/>
      <c r="G2" s="2"/>
      <c r="H2" s="2"/>
      <c r="I2" s="11"/>
      <c r="J2" s="12" t="s">
        <v>2</v>
      </c>
      <c r="K2" s="13"/>
      <c r="L2" s="14"/>
      <c r="M2" s="15"/>
      <c r="N2" s="110"/>
      <c r="O2" s="8"/>
      <c r="P2" s="8"/>
      <c r="Q2" s="15"/>
      <c r="R2" s="110"/>
      <c r="S2" s="8"/>
      <c r="T2" s="8"/>
      <c r="U2" s="14" t="str">
        <f ca="1">_xll.DBRA(Server&amp;$J$2,$J$11,"Prior year")</f>
        <v>2020.12_YTD</v>
      </c>
      <c r="V2" s="8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</row>
    <row r="3" spans="1:118" ht="37.5" hidden="1" customHeight="1" x14ac:dyDescent="0.25">
      <c r="B3" s="10"/>
      <c r="D3" s="203"/>
      <c r="E3" s="2"/>
      <c r="F3" s="2"/>
      <c r="G3" s="2"/>
      <c r="H3" s="2"/>
      <c r="I3" s="11"/>
      <c r="J3" s="109"/>
      <c r="K3" s="16"/>
      <c r="L3" s="14"/>
      <c r="M3" s="15"/>
      <c r="N3" s="8"/>
      <c r="O3" s="8"/>
      <c r="P3" s="8"/>
      <c r="Q3" s="15"/>
      <c r="R3" s="8"/>
      <c r="S3" s="8"/>
      <c r="T3" s="8"/>
      <c r="U3" s="8"/>
      <c r="V3" s="8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  <c r="AI3" s="9"/>
      <c r="AJ3" s="9"/>
      <c r="AK3" s="9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</row>
    <row r="4" spans="1:118" ht="45" hidden="1" customHeight="1" x14ac:dyDescent="0.25">
      <c r="B4" s="10"/>
      <c r="D4" s="203"/>
      <c r="E4" s="2"/>
      <c r="F4" s="2"/>
      <c r="G4" s="2"/>
      <c r="H4" s="2"/>
      <c r="I4" s="11"/>
      <c r="J4" s="11"/>
      <c r="K4" s="17"/>
      <c r="L4" s="18"/>
      <c r="M4" s="15"/>
      <c r="N4" s="8"/>
      <c r="O4" s="8"/>
      <c r="P4" s="8"/>
      <c r="Q4" s="15"/>
      <c r="R4" s="8"/>
      <c r="S4" s="8"/>
      <c r="T4" s="8"/>
      <c r="U4" s="5"/>
      <c r="V4" s="8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  <c r="AI4" s="9"/>
      <c r="AJ4" s="9"/>
      <c r="AK4" s="9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</row>
    <row r="5" spans="1:118" ht="13.5" customHeight="1" x14ac:dyDescent="0.25">
      <c r="B5" s="10"/>
      <c r="D5" s="203"/>
      <c r="E5" s="2"/>
      <c r="F5" s="2"/>
      <c r="G5" s="2"/>
      <c r="H5" s="2"/>
      <c r="I5" s="11"/>
      <c r="J5" s="19"/>
      <c r="K5" s="16"/>
      <c r="L5" s="20"/>
      <c r="M5" s="15"/>
      <c r="N5" s="20"/>
      <c r="O5" s="20"/>
      <c r="P5" s="20"/>
      <c r="Q5" s="15"/>
      <c r="R5" s="20"/>
      <c r="S5" s="20"/>
      <c r="T5" s="20"/>
      <c r="U5" s="20"/>
      <c r="V5" s="20"/>
      <c r="W5" s="20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  <c r="BL5" s="9"/>
      <c r="BM5" s="9"/>
      <c r="BN5" s="9"/>
      <c r="BO5" s="9"/>
      <c r="BP5" s="9"/>
      <c r="BQ5" s="9"/>
      <c r="BR5" s="9"/>
      <c r="BS5" s="9"/>
      <c r="BT5" s="9"/>
      <c r="BU5" s="9"/>
      <c r="BV5" s="9"/>
      <c r="BW5" s="9"/>
      <c r="BX5" s="9"/>
      <c r="BY5" s="9"/>
      <c r="BZ5" s="9"/>
      <c r="CA5" s="9"/>
      <c r="CB5" s="9"/>
      <c r="CC5" s="9"/>
      <c r="CD5" s="9"/>
      <c r="CE5" s="9"/>
      <c r="CF5" s="9"/>
      <c r="CG5" s="9"/>
      <c r="CH5" s="9"/>
      <c r="CI5" s="9"/>
      <c r="CJ5" s="9"/>
      <c r="CK5" s="9"/>
      <c r="CL5" s="9"/>
      <c r="CM5" s="9"/>
      <c r="CN5" s="9"/>
      <c r="CO5" s="9"/>
      <c r="CP5" s="9"/>
      <c r="CQ5" s="9"/>
      <c r="CR5" s="9"/>
      <c r="CS5" s="9"/>
      <c r="CT5" s="9"/>
      <c r="CU5" s="9"/>
      <c r="CV5" s="9"/>
      <c r="CW5" s="9"/>
      <c r="CX5" s="9"/>
      <c r="CY5" s="9"/>
      <c r="CZ5" s="9"/>
      <c r="DA5" s="9"/>
      <c r="DB5" s="9"/>
      <c r="DC5" s="9"/>
      <c r="DD5" s="9"/>
      <c r="DE5" s="9"/>
      <c r="DF5" s="9"/>
      <c r="DG5" s="9"/>
      <c r="DH5" s="9"/>
      <c r="DI5" s="9"/>
      <c r="DJ5" s="9"/>
      <c r="DK5" s="9"/>
      <c r="DL5" s="9"/>
      <c r="DM5" s="9"/>
      <c r="DN5" s="9"/>
    </row>
    <row r="6" spans="1:118" ht="32.25" customHeight="1" x14ac:dyDescent="0.2">
      <c r="A6" s="220"/>
      <c r="B6" s="10" t="s">
        <v>145</v>
      </c>
      <c r="D6" s="203"/>
      <c r="E6" s="2"/>
      <c r="F6" s="21"/>
      <c r="G6" s="22"/>
      <c r="H6" s="22"/>
      <c r="I6" s="23"/>
      <c r="J6" s="24"/>
      <c r="K6" s="25"/>
      <c r="L6" s="25"/>
      <c r="M6" s="25"/>
      <c r="N6" s="26"/>
      <c r="O6" s="26"/>
      <c r="P6" s="27"/>
      <c r="Q6" s="25"/>
      <c r="R6" s="26"/>
      <c r="S6" s="26"/>
      <c r="T6" s="27"/>
      <c r="U6" s="25"/>
      <c r="V6" s="27"/>
      <c r="W6" s="28"/>
      <c r="X6" s="28"/>
      <c r="Y6" s="29"/>
      <c r="Z6" s="9"/>
      <c r="AA6" s="9"/>
      <c r="AB6" s="9"/>
      <c r="AC6" s="9"/>
      <c r="AD6" s="9"/>
      <c r="AE6" s="9"/>
      <c r="AF6" s="9"/>
      <c r="AG6" s="9"/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/>
      <c r="AW6" s="9"/>
      <c r="AX6" s="9"/>
      <c r="AY6" s="9"/>
      <c r="AZ6" s="9"/>
      <c r="BA6" s="9"/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  <c r="BQ6" s="9"/>
      <c r="BR6" s="9"/>
      <c r="BS6" s="9"/>
      <c r="BT6" s="9"/>
      <c r="BU6" s="9"/>
      <c r="BV6" s="9"/>
      <c r="BW6" s="9"/>
      <c r="BX6" s="9"/>
      <c r="BY6" s="9"/>
      <c r="BZ6" s="9"/>
      <c r="CA6" s="9"/>
      <c r="CB6" s="9"/>
      <c r="CC6" s="9"/>
      <c r="CD6" s="9"/>
      <c r="CE6" s="9"/>
      <c r="CF6" s="9"/>
      <c r="CG6" s="9"/>
      <c r="CH6" s="9"/>
      <c r="CI6" s="9"/>
      <c r="CJ6" s="9"/>
      <c r="CK6" s="9"/>
      <c r="CL6" s="9"/>
      <c r="CM6" s="9"/>
      <c r="CN6" s="9"/>
      <c r="CO6" s="9"/>
      <c r="CP6" s="9"/>
      <c r="CQ6" s="9"/>
      <c r="CR6" s="9"/>
      <c r="CS6" s="9"/>
      <c r="CT6" s="9"/>
      <c r="CU6" s="9"/>
      <c r="CV6" s="9"/>
      <c r="CW6" s="9"/>
      <c r="CX6" s="9"/>
      <c r="CY6" s="9"/>
      <c r="CZ6" s="9"/>
      <c r="DA6" s="9"/>
      <c r="DB6" s="9"/>
      <c r="DC6" s="9"/>
      <c r="DD6" s="9"/>
      <c r="DE6" s="9"/>
      <c r="DF6" s="9"/>
      <c r="DG6" s="9"/>
      <c r="DH6" s="9"/>
      <c r="DI6" s="9"/>
      <c r="DJ6" s="9"/>
      <c r="DK6" s="9"/>
      <c r="DL6" s="9"/>
      <c r="DM6" s="9"/>
      <c r="DN6" s="9"/>
    </row>
    <row r="7" spans="1:118" ht="33.75" customHeight="1" x14ac:dyDescent="0.25">
      <c r="A7" s="221"/>
      <c r="B7" s="10" t="s">
        <v>146</v>
      </c>
      <c r="D7" s="203"/>
      <c r="E7" s="2"/>
      <c r="F7" s="30"/>
      <c r="G7" s="258" t="s">
        <v>39</v>
      </c>
      <c r="H7" s="258"/>
      <c r="I7" s="258"/>
      <c r="J7" s="258"/>
      <c r="K7" s="258"/>
      <c r="L7" s="258"/>
      <c r="M7" s="258"/>
      <c r="N7" s="258"/>
      <c r="O7" s="258"/>
      <c r="P7" s="258"/>
      <c r="Q7" s="258"/>
      <c r="R7" s="258"/>
      <c r="S7" s="258"/>
      <c r="T7" s="258"/>
      <c r="U7" s="258"/>
      <c r="V7" s="258"/>
      <c r="W7" s="258"/>
      <c r="X7" s="258"/>
      <c r="Y7" s="31"/>
      <c r="Z7" s="9"/>
      <c r="AA7" s="9"/>
      <c r="AB7" s="9"/>
      <c r="AC7" s="9"/>
      <c r="AD7" s="9"/>
      <c r="AE7" s="9"/>
      <c r="AF7" s="9"/>
      <c r="AG7" s="9"/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  <c r="BQ7" s="9"/>
      <c r="BR7" s="9"/>
      <c r="BS7" s="9"/>
      <c r="BT7" s="9"/>
      <c r="BU7" s="9"/>
      <c r="BV7" s="9"/>
      <c r="BW7" s="9"/>
      <c r="BX7" s="9"/>
      <c r="BY7" s="9"/>
      <c r="BZ7" s="9"/>
      <c r="CA7" s="9"/>
      <c r="CB7" s="9"/>
      <c r="CC7" s="9"/>
      <c r="CD7" s="9"/>
      <c r="CE7" s="9"/>
      <c r="CF7" s="9"/>
      <c r="CG7" s="9"/>
      <c r="CH7" s="9"/>
      <c r="CI7" s="9"/>
      <c r="CJ7" s="9"/>
      <c r="CK7" s="9"/>
      <c r="CL7" s="9"/>
      <c r="CM7" s="9"/>
      <c r="CN7" s="9"/>
      <c r="CO7" s="9"/>
      <c r="CP7" s="9"/>
      <c r="CQ7" s="9"/>
      <c r="CR7" s="9"/>
      <c r="CS7" s="9"/>
      <c r="CT7" s="9"/>
      <c r="CU7" s="9"/>
      <c r="CV7" s="9"/>
      <c r="CW7" s="9"/>
      <c r="CX7" s="9"/>
      <c r="CY7" s="9"/>
      <c r="CZ7" s="9"/>
      <c r="DA7" s="9"/>
      <c r="DB7" s="9"/>
      <c r="DC7" s="9"/>
      <c r="DD7" s="9"/>
      <c r="DE7" s="9"/>
      <c r="DF7" s="9"/>
      <c r="DG7" s="9"/>
      <c r="DH7" s="9"/>
      <c r="DI7" s="9"/>
      <c r="DJ7" s="9"/>
      <c r="DK7" s="9"/>
      <c r="DL7" s="9"/>
      <c r="DM7" s="9"/>
      <c r="DN7" s="9"/>
    </row>
    <row r="8" spans="1:118" ht="21" customHeight="1" x14ac:dyDescent="0.25">
      <c r="B8" s="10"/>
      <c r="D8" s="203"/>
      <c r="E8" s="2"/>
      <c r="F8" s="32"/>
      <c r="G8" s="259" t="str">
        <f ca="1">_xll.DBRA(Server&amp;$C$12,J$12,"French")&amp;" - "&amp;_xll.DBRA(Server&amp;$C$13,J$13,"French")</f>
        <v>Total Antennes - Tot_Formation_Hors_PST</v>
      </c>
      <c r="H8" s="259"/>
      <c r="I8" s="259"/>
      <c r="J8" s="259"/>
      <c r="K8" s="259"/>
      <c r="L8" s="259"/>
      <c r="M8" s="259"/>
      <c r="N8" s="259"/>
      <c r="O8" s="259"/>
      <c r="P8" s="259"/>
      <c r="Q8" s="259"/>
      <c r="R8" s="259"/>
      <c r="S8" s="259"/>
      <c r="T8" s="259"/>
      <c r="U8" s="259"/>
      <c r="V8" s="259"/>
      <c r="W8" s="259"/>
      <c r="X8" s="259"/>
      <c r="Y8" s="31"/>
      <c r="Z8" s="9"/>
      <c r="AA8" s="9"/>
      <c r="AB8" s="9"/>
      <c r="AC8" s="9"/>
      <c r="AD8" s="9"/>
      <c r="AE8" s="9"/>
      <c r="AF8" s="9"/>
      <c r="AG8" s="9"/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  <c r="BQ8" s="9"/>
      <c r="BR8" s="9"/>
      <c r="BS8" s="9"/>
      <c r="BT8" s="9"/>
      <c r="BU8" s="9"/>
      <c r="BV8" s="9"/>
      <c r="BW8" s="9"/>
      <c r="BX8" s="9"/>
      <c r="BY8" s="9"/>
      <c r="BZ8" s="9"/>
      <c r="CA8" s="9"/>
      <c r="CB8" s="9"/>
      <c r="CC8" s="9"/>
      <c r="CD8" s="9"/>
      <c r="CE8" s="9"/>
      <c r="CF8" s="9"/>
      <c r="CG8" s="9"/>
      <c r="CH8" s="9"/>
      <c r="CI8" s="9"/>
      <c r="CJ8" s="9"/>
      <c r="CK8" s="9"/>
      <c r="CL8" s="9"/>
      <c r="CM8" s="9"/>
      <c r="CN8" s="9"/>
      <c r="CO8" s="9"/>
      <c r="CP8" s="9"/>
      <c r="CQ8" s="9"/>
      <c r="CR8" s="9"/>
      <c r="CS8" s="9"/>
      <c r="CT8" s="9"/>
      <c r="CU8" s="9"/>
      <c r="CV8" s="9"/>
      <c r="CW8" s="9"/>
      <c r="CX8" s="9"/>
      <c r="CY8" s="9"/>
      <c r="CZ8" s="9"/>
      <c r="DA8" s="9"/>
      <c r="DB8" s="9"/>
      <c r="DC8" s="9"/>
      <c r="DD8" s="9"/>
      <c r="DE8" s="9"/>
      <c r="DF8" s="9"/>
      <c r="DG8" s="9"/>
      <c r="DH8" s="9"/>
      <c r="DI8" s="9"/>
      <c r="DJ8" s="9"/>
      <c r="DK8" s="9"/>
      <c r="DL8" s="9"/>
      <c r="DM8" s="9"/>
      <c r="DN8" s="9"/>
    </row>
    <row r="9" spans="1:118" ht="39" customHeight="1" x14ac:dyDescent="0.2">
      <c r="B9" s="10"/>
      <c r="D9" s="203"/>
      <c r="E9" s="2"/>
      <c r="F9" s="33"/>
      <c r="I9" s="10"/>
      <c r="J9" s="34"/>
      <c r="K9" s="34"/>
      <c r="L9" s="35"/>
      <c r="M9" s="35"/>
      <c r="N9" s="35"/>
      <c r="O9" s="36"/>
      <c r="P9" s="35"/>
      <c r="Q9" s="35"/>
      <c r="R9" s="35"/>
      <c r="S9" s="36"/>
      <c r="T9" s="35"/>
      <c r="U9" s="35"/>
      <c r="V9" s="35"/>
      <c r="W9" s="35"/>
      <c r="X9" s="35"/>
      <c r="Y9" s="31"/>
      <c r="Z9" s="9"/>
      <c r="AA9" s="9"/>
      <c r="AB9" s="9"/>
      <c r="AC9" s="9"/>
      <c r="AD9" s="9"/>
      <c r="AE9" s="9"/>
      <c r="AF9" s="9"/>
      <c r="AG9" s="9"/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  <c r="BQ9" s="9"/>
      <c r="BR9" s="9"/>
      <c r="BS9" s="9"/>
      <c r="BT9" s="9"/>
      <c r="BU9" s="9"/>
      <c r="BV9" s="9"/>
      <c r="BW9" s="9"/>
      <c r="BX9" s="9"/>
      <c r="BY9" s="9"/>
      <c r="BZ9" s="9"/>
      <c r="CA9" s="9"/>
      <c r="CB9" s="9"/>
      <c r="CC9" s="9"/>
      <c r="CD9" s="9"/>
      <c r="CE9" s="9"/>
      <c r="CF9" s="9"/>
      <c r="CG9" s="9"/>
      <c r="CH9" s="9"/>
      <c r="CI9" s="9"/>
      <c r="CJ9" s="9"/>
      <c r="CK9" s="9"/>
      <c r="CL9" s="9"/>
      <c r="CM9" s="9"/>
      <c r="CN9" s="9"/>
      <c r="CO9" s="9"/>
      <c r="CP9" s="9"/>
      <c r="CQ9" s="9"/>
      <c r="CR9" s="9"/>
      <c r="CS9" s="9"/>
      <c r="CT9" s="9"/>
      <c r="CU9" s="9"/>
      <c r="CV9" s="9"/>
      <c r="CW9" s="9"/>
      <c r="CX9" s="9"/>
      <c r="CY9" s="9"/>
      <c r="CZ9" s="9"/>
      <c r="DA9" s="9"/>
      <c r="DB9" s="9"/>
      <c r="DC9" s="9"/>
      <c r="DD9" s="9"/>
      <c r="DE9" s="9"/>
      <c r="DF9" s="9"/>
      <c r="DG9" s="9"/>
      <c r="DH9" s="9"/>
      <c r="DI9" s="9"/>
      <c r="DJ9" s="9"/>
      <c r="DK9" s="9"/>
      <c r="DL9" s="9"/>
      <c r="DM9" s="9"/>
      <c r="DN9" s="9"/>
    </row>
    <row r="10" spans="1:118" ht="21" customHeight="1" x14ac:dyDescent="0.2">
      <c r="B10" s="10"/>
      <c r="D10" s="203"/>
      <c r="E10" s="2"/>
      <c r="F10" s="33"/>
      <c r="I10" s="135" t="s">
        <v>38</v>
      </c>
      <c r="J10" s="34"/>
      <c r="K10" s="34"/>
      <c r="L10" s="35"/>
      <c r="M10" s="35"/>
      <c r="N10" s="112"/>
      <c r="O10" s="36"/>
      <c r="P10" s="35"/>
      <c r="Q10" s="35"/>
      <c r="R10" s="112"/>
      <c r="S10" s="36"/>
      <c r="T10" s="35"/>
      <c r="U10" s="35"/>
      <c r="V10" s="35"/>
      <c r="W10" s="35"/>
      <c r="X10" s="35"/>
      <c r="Y10" s="31"/>
      <c r="Z10" s="9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9"/>
      <c r="CG10" s="9"/>
      <c r="CH10" s="9"/>
      <c r="CI10" s="9"/>
      <c r="CJ10" s="9"/>
      <c r="CK10" s="9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9"/>
      <c r="DB10" s="9"/>
      <c r="DC10" s="9"/>
      <c r="DD10" s="9"/>
      <c r="DE10" s="9"/>
      <c r="DF10" s="9"/>
      <c r="DG10" s="9"/>
      <c r="DH10" s="9"/>
      <c r="DI10" s="9"/>
      <c r="DJ10" s="9"/>
      <c r="DK10" s="9"/>
      <c r="DL10" s="9"/>
      <c r="DM10" s="9"/>
      <c r="DN10" s="9"/>
    </row>
    <row r="11" spans="1:118" ht="17.25" customHeight="1" x14ac:dyDescent="0.4">
      <c r="B11" s="10"/>
      <c r="C11" s="1" t="s">
        <v>2</v>
      </c>
      <c r="D11" s="230" t="str">
        <f ca="1">ActualMonth&amp;"_YTD"</f>
        <v>2021.12_YTD</v>
      </c>
      <c r="E11" s="2"/>
      <c r="F11" s="33"/>
      <c r="I11" s="133" t="s">
        <v>32</v>
      </c>
      <c r="J11" s="159" t="str">
        <f ca="1">_xll.SUBNM(Server&amp;"Period","",DEFAULt_PERIOD)</f>
        <v>2021.12_YTD</v>
      </c>
      <c r="K11" s="34"/>
      <c r="L11" s="35"/>
      <c r="M11" s="35"/>
      <c r="N11" s="35"/>
      <c r="O11" s="36"/>
      <c r="P11" s="35"/>
      <c r="Q11" s="35"/>
      <c r="R11" s="35"/>
      <c r="S11" s="36"/>
      <c r="T11" s="35"/>
      <c r="U11" s="117"/>
      <c r="V11" s="35"/>
      <c r="W11" s="35"/>
      <c r="X11" s="35"/>
      <c r="Y11" s="31"/>
      <c r="Z11" s="9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9"/>
      <c r="CG11" s="9"/>
      <c r="CH11" s="9"/>
      <c r="CI11" s="9"/>
      <c r="CJ11" s="9"/>
      <c r="CK11" s="9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9"/>
      <c r="DB11" s="9"/>
      <c r="DC11" s="9"/>
      <c r="DD11" s="9"/>
      <c r="DE11" s="9"/>
      <c r="DF11" s="9"/>
      <c r="DG11" s="9"/>
      <c r="DH11" s="9"/>
      <c r="DI11" s="9"/>
      <c r="DJ11" s="9"/>
      <c r="DK11" s="9"/>
      <c r="DL11" s="9"/>
      <c r="DM11" s="9"/>
      <c r="DN11" s="9"/>
    </row>
    <row r="12" spans="1:118" ht="17.25" customHeight="1" x14ac:dyDescent="0.2">
      <c r="B12" s="10"/>
      <c r="C12" s="1" t="s">
        <v>102</v>
      </c>
      <c r="D12" s="203"/>
      <c r="E12" s="2"/>
      <c r="F12" s="33"/>
      <c r="I12" s="134" t="s">
        <v>33</v>
      </c>
      <c r="J12" s="159" t="str">
        <f ca="1">_xll.SUBNM(Server&amp;"GIE_Antennes","","Tot_GIE","French")</f>
        <v>Total Antennes</v>
      </c>
      <c r="K12" s="34"/>
      <c r="L12" s="35"/>
      <c r="M12" s="35"/>
      <c r="N12" s="35"/>
      <c r="O12" s="36"/>
      <c r="P12" s="35"/>
      <c r="Q12" s="35"/>
      <c r="R12" s="35"/>
      <c r="S12" s="36"/>
      <c r="T12" s="35"/>
      <c r="U12" s="35"/>
      <c r="V12" s="35"/>
      <c r="W12" s="35"/>
      <c r="X12" s="35"/>
      <c r="Y12" s="31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9"/>
      <c r="CG12" s="9"/>
      <c r="CH12" s="9"/>
      <c r="CI12" s="9"/>
      <c r="CJ12" s="9"/>
      <c r="CK12" s="9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9"/>
      <c r="DB12" s="9"/>
      <c r="DC12" s="9"/>
      <c r="DD12" s="9"/>
      <c r="DE12" s="9"/>
      <c r="DF12" s="9"/>
      <c r="DG12" s="9"/>
      <c r="DH12" s="9"/>
      <c r="DI12" s="9"/>
      <c r="DJ12" s="9"/>
      <c r="DK12" s="9"/>
      <c r="DL12" s="9"/>
      <c r="DM12" s="9"/>
      <c r="DN12" s="9"/>
    </row>
    <row r="13" spans="1:118" ht="17.25" customHeight="1" x14ac:dyDescent="0.2">
      <c r="B13" s="10"/>
      <c r="C13" s="1" t="s">
        <v>104</v>
      </c>
      <c r="D13" s="203"/>
      <c r="E13" s="2"/>
      <c r="F13" s="33"/>
      <c r="I13" s="134" t="s">
        <v>34</v>
      </c>
      <c r="J13" s="159" t="str">
        <f ca="1">_xll.SUBNM(Server&amp;"GIE_Type_formation","","Tot_Formation_hors_PST")</f>
        <v>Tot_Formation_Hors_PST</v>
      </c>
      <c r="K13" s="34"/>
      <c r="L13" s="35" t="s">
        <v>166</v>
      </c>
      <c r="M13" s="35"/>
      <c r="N13" s="35"/>
      <c r="O13" s="36"/>
      <c r="P13" s="35"/>
      <c r="Q13" s="35"/>
      <c r="R13" s="35"/>
      <c r="S13" s="36"/>
      <c r="T13" s="35"/>
      <c r="U13" s="35"/>
      <c r="V13" s="35"/>
      <c r="W13" s="35"/>
      <c r="X13" s="35"/>
      <c r="Y13" s="31"/>
      <c r="Z13" s="9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9"/>
      <c r="CG13" s="9"/>
      <c r="CH13" s="9"/>
      <c r="CI13" s="9"/>
      <c r="CJ13" s="9"/>
      <c r="CK13" s="9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9"/>
      <c r="DB13" s="9"/>
      <c r="DC13" s="9"/>
      <c r="DD13" s="9"/>
      <c r="DE13" s="9"/>
      <c r="DF13" s="9"/>
      <c r="DG13" s="9"/>
      <c r="DH13" s="9"/>
      <c r="DI13" s="9"/>
      <c r="DJ13" s="9"/>
      <c r="DK13" s="9"/>
      <c r="DL13" s="9"/>
      <c r="DM13" s="9"/>
      <c r="DN13" s="9"/>
    </row>
    <row r="14" spans="1:118" ht="20.25" customHeight="1" x14ac:dyDescent="0.25">
      <c r="B14" s="10"/>
      <c r="C14" s="1" t="s">
        <v>103</v>
      </c>
      <c r="D14" s="203"/>
      <c r="E14" s="2"/>
      <c r="F14" s="33"/>
      <c r="I14" s="134" t="s">
        <v>35</v>
      </c>
      <c r="J14" s="160" t="str">
        <f ca="1">_xll.SUBNM(Server&amp;"GIE_Partenaires","TOUT","Tot_Part","French")</f>
        <v>Total Partenaires</v>
      </c>
      <c r="K14" s="34"/>
      <c r="L14"/>
      <c r="M14" s="35"/>
      <c r="N14" s="35"/>
      <c r="O14" s="10"/>
      <c r="P14" s="35"/>
      <c r="Q14" s="35"/>
      <c r="R14" s="35"/>
      <c r="S14" s="10"/>
      <c r="T14" s="35"/>
      <c r="U14" s="35"/>
      <c r="V14" s="35"/>
      <c r="W14" s="35"/>
      <c r="X14" s="35"/>
      <c r="Y14" s="31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9"/>
      <c r="CG14" s="9"/>
      <c r="CH14" s="9"/>
      <c r="CI14" s="9"/>
      <c r="CJ14" s="9"/>
      <c r="CK14" s="9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9"/>
      <c r="DB14" s="9"/>
      <c r="DC14" s="9"/>
      <c r="DD14" s="9"/>
      <c r="DE14" s="9"/>
      <c r="DF14" s="9"/>
      <c r="DG14" s="9"/>
      <c r="DH14" s="9"/>
      <c r="DI14" s="9"/>
      <c r="DJ14" s="9"/>
      <c r="DK14" s="9"/>
      <c r="DL14" s="9"/>
      <c r="DM14" s="9"/>
      <c r="DN14" s="9"/>
    </row>
    <row r="15" spans="1:118" ht="20.25" customHeight="1" x14ac:dyDescent="0.25">
      <c r="B15" s="10"/>
      <c r="C15" s="1" t="s">
        <v>37</v>
      </c>
      <c r="D15" s="203"/>
      <c r="E15" s="2"/>
      <c r="F15" s="33"/>
      <c r="I15" s="134" t="s">
        <v>36</v>
      </c>
      <c r="J15" s="160" t="str">
        <f ca="1">_xll.SUBNM(Server&amp;"GIE_Nat_Analytique","TOUT","Tot_nat_ana","French")</f>
        <v>Total Natures analytiques</v>
      </c>
      <c r="K15" s="34"/>
      <c r="L15" s="35"/>
      <c r="M15" s="35"/>
      <c r="N15"/>
      <c r="O15" s="36"/>
      <c r="P15" s="35"/>
      <c r="Q15" s="35"/>
      <c r="R15"/>
      <c r="S15" s="36"/>
      <c r="T15" s="35"/>
      <c r="U15" s="35"/>
      <c r="V15" s="35"/>
      <c r="W15" s="35"/>
      <c r="X15" s="35"/>
      <c r="Y15" s="31"/>
      <c r="Z15" s="9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9"/>
      <c r="CG15" s="9"/>
      <c r="CH15" s="9"/>
      <c r="CI15" s="9"/>
      <c r="CJ15" s="9"/>
      <c r="CK15" s="9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9"/>
      <c r="DB15" s="9"/>
      <c r="DC15" s="9"/>
      <c r="DD15" s="9"/>
      <c r="DE15" s="9"/>
      <c r="DF15" s="9"/>
      <c r="DG15" s="9"/>
      <c r="DH15" s="9"/>
      <c r="DI15" s="9"/>
      <c r="DJ15" s="9"/>
      <c r="DK15" s="9"/>
      <c r="DL15" s="9"/>
      <c r="DM15" s="9"/>
      <c r="DN15" s="9"/>
    </row>
    <row r="16" spans="1:118" ht="20.25" customHeight="1" x14ac:dyDescent="0.4">
      <c r="B16" s="10"/>
      <c r="D16" s="203"/>
      <c r="E16" s="2"/>
      <c r="F16" s="33"/>
      <c r="I16" s="10"/>
      <c r="J16" s="34"/>
      <c r="K16" s="34"/>
      <c r="L16" s="117"/>
      <c r="M16" s="118"/>
      <c r="N16" s="35"/>
      <c r="O16" s="36"/>
      <c r="P16" s="35"/>
      <c r="Q16" s="118"/>
      <c r="R16" s="35"/>
      <c r="S16" s="36"/>
      <c r="T16" s="35"/>
      <c r="U16" s="35"/>
      <c r="V16" s="35"/>
      <c r="W16" s="35"/>
      <c r="X16" s="35"/>
      <c r="Y16" s="31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</row>
    <row r="17" spans="1:118" s="38" customFormat="1" ht="12.75" customHeight="1" x14ac:dyDescent="0.25">
      <c r="B17" s="1"/>
      <c r="D17" s="204"/>
      <c r="E17" s="39"/>
      <c r="F17" s="40"/>
      <c r="G17" s="41"/>
      <c r="H17" s="41"/>
      <c r="I17" s="10"/>
      <c r="J17" s="10"/>
      <c r="K17" s="42"/>
      <c r="L17" s="260" t="str">
        <f ca="1">_xll.DBRA(Server&amp;$C$11,$J11,"French")</f>
        <v>Cumul Décembre 2021</v>
      </c>
      <c r="M17" s="260"/>
      <c r="N17" s="260"/>
      <c r="O17" s="260"/>
      <c r="P17" s="260"/>
      <c r="Q17" s="260"/>
      <c r="R17" s="260"/>
      <c r="S17" s="260"/>
      <c r="T17" s="260"/>
      <c r="U17" s="260"/>
      <c r="V17" s="260"/>
      <c r="W17" s="260"/>
      <c r="X17" s="43"/>
      <c r="Y17" s="31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</row>
    <row r="18" spans="1:118" s="38" customFormat="1" ht="12.75" customHeight="1" x14ac:dyDescent="0.25">
      <c r="B18" s="1"/>
      <c r="C18" s="44"/>
      <c r="D18" s="204"/>
      <c r="E18" s="39"/>
      <c r="F18" s="40"/>
      <c r="G18" s="41"/>
      <c r="H18" s="41"/>
      <c r="I18" s="10"/>
      <c r="J18" s="45"/>
      <c r="K18" s="42"/>
      <c r="L18" s="260"/>
      <c r="M18" s="260"/>
      <c r="N18" s="260"/>
      <c r="O18" s="260"/>
      <c r="P18" s="260"/>
      <c r="Q18" s="260"/>
      <c r="R18" s="260"/>
      <c r="S18" s="260"/>
      <c r="T18" s="260"/>
      <c r="U18" s="260"/>
      <c r="V18" s="260"/>
      <c r="W18" s="260"/>
      <c r="X18" s="43"/>
      <c r="Y18" s="31"/>
      <c r="Z18" s="9"/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</row>
    <row r="19" spans="1:118" s="50" customFormat="1" ht="2.25" customHeight="1" x14ac:dyDescent="0.25">
      <c r="B19" s="46"/>
      <c r="C19" s="47"/>
      <c r="D19" s="204"/>
      <c r="E19" s="39"/>
      <c r="F19" s="48"/>
      <c r="G19" s="49"/>
      <c r="H19" s="49"/>
      <c r="J19" s="51"/>
      <c r="K19" s="52"/>
      <c r="L19" s="53"/>
      <c r="M19" s="53"/>
      <c r="N19" s="53"/>
      <c r="O19" s="53"/>
      <c r="P19" s="54"/>
      <c r="Q19" s="53"/>
      <c r="R19" s="53"/>
      <c r="S19" s="53"/>
      <c r="T19" s="54"/>
      <c r="U19" s="53"/>
      <c r="V19" s="53"/>
      <c r="W19" s="53"/>
      <c r="X19" s="55"/>
      <c r="Y19" s="56"/>
      <c r="Z19" s="9"/>
      <c r="AA19" s="9"/>
      <c r="AB19" s="9"/>
      <c r="AC19" s="9"/>
      <c r="AD19" s="9"/>
      <c r="AE19" s="9"/>
      <c r="AF19" s="9"/>
      <c r="AG19" s="9"/>
      <c r="AH19" s="9"/>
      <c r="AI19" s="9"/>
      <c r="AJ19" s="9"/>
      <c r="AK19" s="9"/>
      <c r="AL19" s="9"/>
      <c r="AM19" s="9"/>
      <c r="AN19" s="9"/>
      <c r="AO19" s="9"/>
      <c r="AP19" s="9"/>
      <c r="AQ19" s="9"/>
      <c r="AR19" s="9"/>
      <c r="AS19" s="9"/>
      <c r="AT19" s="9"/>
      <c r="AU19" s="9"/>
      <c r="AV19" s="9"/>
      <c r="AW19" s="9"/>
      <c r="AX19" s="9"/>
      <c r="AY19" s="9"/>
      <c r="AZ19" s="9"/>
      <c r="BA19" s="9"/>
      <c r="BB19" s="9"/>
      <c r="BC19" s="9"/>
      <c r="BD19" s="9"/>
      <c r="BE19" s="9"/>
      <c r="BF19" s="9"/>
      <c r="BG19" s="9"/>
      <c r="BH19" s="9"/>
      <c r="BI19" s="9"/>
      <c r="BJ19" s="9"/>
      <c r="BK19" s="9"/>
      <c r="BL19" s="9"/>
      <c r="BM19" s="9"/>
      <c r="BN19" s="9"/>
      <c r="BO19" s="9"/>
      <c r="BP19" s="9"/>
      <c r="BQ19" s="9"/>
      <c r="BR19" s="9"/>
      <c r="BS19" s="9"/>
      <c r="BT19" s="9"/>
      <c r="BU19" s="9"/>
      <c r="BV19" s="9"/>
      <c r="BW19" s="9"/>
      <c r="BX19" s="9"/>
      <c r="BY19" s="9"/>
      <c r="BZ19" s="9"/>
      <c r="CA19" s="9"/>
      <c r="CB19" s="9"/>
      <c r="CC19" s="9"/>
      <c r="CD19" s="9"/>
      <c r="CE19" s="9"/>
      <c r="CF19" s="9"/>
      <c r="CG19" s="9"/>
      <c r="CH19" s="9"/>
      <c r="CI19" s="9"/>
      <c r="CJ19" s="9"/>
      <c r="CK19" s="9"/>
      <c r="CL19" s="9"/>
      <c r="CM19" s="9"/>
      <c r="CN19" s="9"/>
      <c r="CO19" s="9"/>
      <c r="CP19" s="9"/>
      <c r="CQ19" s="9"/>
      <c r="CR19" s="9"/>
      <c r="CS19" s="9"/>
      <c r="CT19" s="9"/>
      <c r="CU19" s="9"/>
      <c r="CV19" s="9"/>
      <c r="CW19" s="9"/>
      <c r="CX19" s="9"/>
      <c r="CY19" s="9"/>
      <c r="CZ19" s="9"/>
      <c r="DA19" s="9"/>
      <c r="DB19" s="9"/>
      <c r="DC19" s="9"/>
      <c r="DD19" s="9"/>
      <c r="DE19" s="9"/>
      <c r="DF19" s="9"/>
      <c r="DG19" s="9"/>
      <c r="DH19" s="9"/>
      <c r="DI19" s="9"/>
      <c r="DJ19" s="9"/>
      <c r="DK19" s="9"/>
      <c r="DL19" s="9"/>
      <c r="DM19" s="9"/>
      <c r="DN19" s="9"/>
    </row>
    <row r="20" spans="1:118" s="38" customFormat="1" ht="26.25" customHeight="1" x14ac:dyDescent="0.25">
      <c r="B20" s="1"/>
      <c r="C20" s="44"/>
      <c r="D20" s="204" t="s">
        <v>40</v>
      </c>
      <c r="E20" s="39"/>
      <c r="F20" s="40"/>
      <c r="G20" s="41"/>
      <c r="H20" s="41"/>
      <c r="I20" s="10"/>
      <c r="J20" s="158"/>
      <c r="K20" s="42"/>
      <c r="L20" s="156" t="str">
        <f ca="1">_xll.DBRA(Server&amp;$J$1,L$1,"French")</f>
        <v>Réalisé</v>
      </c>
      <c r="M20" s="156" t="str">
        <f ca="1">_xll.DBRA(Server&amp;$J$1,M$1,"French")</f>
        <v>Budget</v>
      </c>
      <c r="N20" s="247" t="str">
        <f ca="1">L20&amp;" vs. "&amp;M20</f>
        <v>Réalisé vs. Budget</v>
      </c>
      <c r="O20" s="248"/>
      <c r="P20" s="157"/>
      <c r="Q20" s="156" t="str">
        <f ca="1">_xll.DBRA(Server&amp;$J$1,Q$1,"French")</f>
        <v>Estimé 2</v>
      </c>
      <c r="R20" s="247" t="str">
        <f ca="1">L20&amp;" vs. "&amp;Q20</f>
        <v>Réalisé vs. Estimé 2</v>
      </c>
      <c r="S20" s="248"/>
      <c r="T20" s="157"/>
      <c r="U20" s="156" t="str">
        <f ca="1">_xll.DBRA(Server&amp;Context!$B$32,Context!$B$33,"French")</f>
        <v>Réalisé N-1</v>
      </c>
      <c r="V20" s="247" t="str">
        <f ca="1">L20&amp;" vs. "&amp;U20</f>
        <v>Réalisé vs. Réalisé N-1</v>
      </c>
      <c r="W20" s="248"/>
      <c r="X20" s="43"/>
      <c r="Y20" s="31"/>
      <c r="Z20" s="9"/>
      <c r="AA20" s="9"/>
      <c r="AB20" s="9"/>
      <c r="AC20" s="9"/>
      <c r="AD20" s="9"/>
      <c r="AE20" s="9"/>
      <c r="AF20" s="9"/>
      <c r="AG20" s="9"/>
      <c r="AH20" s="9"/>
      <c r="AI20" s="9"/>
      <c r="AJ20" s="9"/>
      <c r="AK20" s="9"/>
      <c r="AL20" s="9"/>
      <c r="AM20" s="9"/>
      <c r="AN20" s="9"/>
      <c r="AO20" s="9"/>
      <c r="AP20" s="9"/>
      <c r="AQ20" s="9"/>
      <c r="AR20" s="9"/>
      <c r="AS20" s="9"/>
      <c r="AT20" s="9"/>
      <c r="AU20" s="9"/>
      <c r="AV20" s="9"/>
      <c r="AW20" s="9"/>
      <c r="AX20" s="9"/>
      <c r="AY20" s="9"/>
      <c r="AZ20" s="9"/>
      <c r="BA20" s="9"/>
      <c r="BB20" s="9"/>
      <c r="BC20" s="9"/>
      <c r="BD20" s="9"/>
      <c r="BE20" s="9"/>
      <c r="BF20" s="9"/>
      <c r="BG20" s="9"/>
      <c r="BH20" s="9"/>
      <c r="BI20" s="9"/>
      <c r="BJ20" s="9"/>
      <c r="BK20" s="9"/>
      <c r="BL20" s="9"/>
      <c r="BM20" s="9"/>
      <c r="BN20" s="9"/>
      <c r="BO20" s="9"/>
      <c r="BP20" s="9"/>
      <c r="BQ20" s="9"/>
      <c r="BR20" s="9"/>
      <c r="BS20" s="9"/>
      <c r="BT20" s="9"/>
      <c r="BU20" s="9"/>
      <c r="BV20" s="9"/>
      <c r="BW20" s="9"/>
      <c r="BX20" s="9"/>
      <c r="BY20" s="9"/>
      <c r="BZ20" s="9"/>
      <c r="CA20" s="9"/>
      <c r="CB20" s="9"/>
      <c r="CC20" s="9"/>
      <c r="CD20" s="9"/>
      <c r="CE20" s="9"/>
      <c r="CF20" s="9"/>
      <c r="CG20" s="9"/>
      <c r="CH20" s="9"/>
      <c r="CI20" s="9"/>
      <c r="CJ20" s="9"/>
      <c r="CK20" s="9"/>
      <c r="CL20" s="9"/>
      <c r="CM20" s="9"/>
      <c r="CN20" s="9"/>
      <c r="CO20" s="9"/>
      <c r="CP20" s="9"/>
      <c r="CQ20" s="9"/>
      <c r="CR20" s="9"/>
      <c r="CS20" s="9"/>
      <c r="CT20" s="9"/>
      <c r="CU20" s="9"/>
      <c r="CV20" s="9"/>
      <c r="CW20" s="9"/>
      <c r="CX20" s="9"/>
      <c r="CY20" s="9"/>
      <c r="CZ20" s="9"/>
      <c r="DA20" s="9"/>
      <c r="DB20" s="9"/>
      <c r="DC20" s="9"/>
      <c r="DD20" s="9"/>
      <c r="DE20" s="9"/>
      <c r="DF20" s="9"/>
      <c r="DG20" s="9"/>
      <c r="DH20" s="9"/>
      <c r="DI20" s="9"/>
      <c r="DJ20" s="9"/>
      <c r="DK20" s="9"/>
      <c r="DL20" s="9"/>
      <c r="DM20" s="9"/>
      <c r="DN20" s="9"/>
    </row>
    <row r="21" spans="1:118" s="38" customFormat="1" ht="5.25" customHeight="1" x14ac:dyDescent="0.25">
      <c r="B21" s="1"/>
      <c r="C21" s="44"/>
      <c r="D21" s="205"/>
      <c r="E21" s="39"/>
      <c r="F21" s="40"/>
      <c r="G21" s="41"/>
      <c r="H21" s="41"/>
      <c r="I21" s="10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31"/>
      <c r="Z21" s="9"/>
      <c r="AA21" s="9"/>
      <c r="AB21" s="9"/>
      <c r="AC21" s="9"/>
      <c r="AD21" s="9"/>
      <c r="AE21" s="9"/>
      <c r="AF21" s="9"/>
      <c r="AG21" s="9"/>
      <c r="AH21" s="9"/>
      <c r="AI21" s="9"/>
      <c r="AJ21" s="9"/>
      <c r="AK21" s="9"/>
      <c r="AL21" s="9"/>
      <c r="AM21" s="9"/>
      <c r="AN21" s="9"/>
      <c r="AO21" s="9"/>
      <c r="AP21" s="9"/>
      <c r="AQ21" s="9"/>
      <c r="AR21" s="9"/>
      <c r="AS21" s="9"/>
      <c r="AT21" s="9"/>
      <c r="AU21" s="9"/>
      <c r="AV21" s="9"/>
      <c r="AW21" s="9"/>
      <c r="AX21" s="9"/>
      <c r="AY21" s="9"/>
      <c r="AZ21" s="9"/>
      <c r="BA21" s="9"/>
      <c r="BB21" s="9"/>
      <c r="BC21" s="9"/>
      <c r="BD21" s="9"/>
      <c r="BE21" s="9"/>
      <c r="BF21" s="9"/>
      <c r="BG21" s="9"/>
      <c r="BH21" s="9"/>
      <c r="BI21" s="9"/>
      <c r="BJ21" s="9"/>
      <c r="BK21" s="9"/>
      <c r="BL21" s="9"/>
      <c r="BM21" s="9"/>
      <c r="BN21" s="9"/>
      <c r="BO21" s="9"/>
      <c r="BP21" s="9"/>
      <c r="BQ21" s="9"/>
      <c r="BR21" s="9"/>
      <c r="BS21" s="9"/>
      <c r="BT21" s="9"/>
      <c r="BU21" s="9"/>
      <c r="BV21" s="9"/>
      <c r="BW21" s="9"/>
      <c r="BX21" s="9"/>
      <c r="BY21" s="9"/>
      <c r="BZ21" s="9"/>
      <c r="CA21" s="9"/>
      <c r="CB21" s="9"/>
      <c r="CC21" s="9"/>
      <c r="CD21" s="9"/>
      <c r="CE21" s="9"/>
      <c r="CF21" s="9"/>
      <c r="CG21" s="9"/>
      <c r="CH21" s="9"/>
      <c r="CI21" s="9"/>
      <c r="CJ21" s="9"/>
      <c r="CK21" s="9"/>
      <c r="CL21" s="9"/>
      <c r="CM21" s="9"/>
      <c r="CN21" s="9"/>
      <c r="CO21" s="9"/>
      <c r="CP21" s="9"/>
      <c r="CQ21" s="9"/>
      <c r="CR21" s="9"/>
      <c r="CS21" s="9"/>
      <c r="CT21" s="9"/>
      <c r="CU21" s="9"/>
      <c r="CV21" s="9"/>
      <c r="CW21" s="9"/>
      <c r="CX21" s="9"/>
      <c r="CY21" s="9"/>
      <c r="CZ21" s="9"/>
      <c r="DA21" s="9"/>
      <c r="DB21" s="9"/>
      <c r="DC21" s="9"/>
      <c r="DD21" s="9"/>
      <c r="DE21" s="9"/>
      <c r="DF21" s="9"/>
      <c r="DG21" s="9"/>
      <c r="DH21" s="9"/>
      <c r="DI21" s="9"/>
      <c r="DJ21" s="9"/>
      <c r="DK21" s="9"/>
      <c r="DL21" s="9"/>
      <c r="DM21" s="9"/>
      <c r="DN21" s="9"/>
    </row>
    <row r="22" spans="1:118" s="38" customFormat="1" ht="5.25" customHeight="1" x14ac:dyDescent="0.25">
      <c r="C22" s="44"/>
      <c r="D22" s="205"/>
      <c r="E22" s="39"/>
      <c r="F22" s="40"/>
      <c r="G22" s="41"/>
      <c r="H22" s="41"/>
      <c r="I22" s="10"/>
      <c r="J22" s="45"/>
      <c r="K22" s="42"/>
      <c r="L22" s="58"/>
      <c r="M22" s="58"/>
      <c r="N22" s="43"/>
      <c r="O22" s="43"/>
      <c r="P22" s="57"/>
      <c r="Q22" s="58"/>
      <c r="R22" s="43"/>
      <c r="S22" s="43"/>
      <c r="T22" s="57"/>
      <c r="U22" s="58"/>
      <c r="V22" s="58"/>
      <c r="W22" s="59"/>
      <c r="X22" s="43"/>
      <c r="Y22" s="31"/>
      <c r="Z22" s="9"/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9"/>
      <c r="AL22" s="9"/>
      <c r="AM22" s="9"/>
      <c r="AN22" s="9"/>
      <c r="AO22" s="9"/>
      <c r="AP22" s="9"/>
      <c r="AQ22" s="9"/>
      <c r="AR22" s="9"/>
      <c r="AS22" s="9"/>
      <c r="AT22" s="9"/>
      <c r="AU22" s="9"/>
      <c r="AV22" s="9"/>
      <c r="AW22" s="9"/>
      <c r="AX22" s="9"/>
      <c r="AY22" s="9"/>
      <c r="AZ22" s="9"/>
      <c r="BA22" s="9"/>
      <c r="BB22" s="9"/>
      <c r="BC22" s="9"/>
      <c r="BD22" s="9"/>
      <c r="BE22" s="9"/>
      <c r="BF22" s="9"/>
      <c r="BG22" s="9"/>
      <c r="BH22" s="9"/>
      <c r="BI22" s="9"/>
      <c r="BJ22" s="9"/>
      <c r="BK22" s="9"/>
      <c r="BL22" s="9"/>
      <c r="BM22" s="9"/>
      <c r="BN22" s="9"/>
      <c r="BO22" s="9"/>
      <c r="BP22" s="9"/>
      <c r="BQ22" s="9"/>
      <c r="BR22" s="9"/>
      <c r="BS22" s="9"/>
      <c r="BT22" s="9"/>
      <c r="BU22" s="9"/>
      <c r="BV22" s="9"/>
      <c r="BW22" s="9"/>
      <c r="BX22" s="9"/>
      <c r="BY22" s="9"/>
      <c r="BZ22" s="9"/>
      <c r="CA22" s="9"/>
      <c r="CB22" s="9"/>
      <c r="CC22" s="9"/>
      <c r="CD22" s="9"/>
      <c r="CE22" s="9"/>
      <c r="CF22" s="9"/>
      <c r="CG22" s="9"/>
      <c r="CH22" s="9"/>
      <c r="CI22" s="9"/>
      <c r="CJ22" s="9"/>
      <c r="CK22" s="9"/>
      <c r="CL22" s="9"/>
      <c r="CM22" s="9"/>
      <c r="CN22" s="9"/>
      <c r="CO22" s="9"/>
      <c r="CP22" s="9"/>
      <c r="CQ22" s="9"/>
      <c r="CR22" s="9"/>
      <c r="CS22" s="9"/>
      <c r="CT22" s="9"/>
      <c r="CU22" s="9"/>
      <c r="CV22" s="9"/>
      <c r="CW22" s="9"/>
      <c r="CX22" s="9"/>
      <c r="CY22" s="9"/>
      <c r="CZ22" s="9"/>
      <c r="DA22" s="9"/>
      <c r="DB22" s="9"/>
      <c r="DC22" s="9"/>
      <c r="DD22" s="9"/>
      <c r="DE22" s="9"/>
      <c r="DF22" s="9"/>
      <c r="DG22" s="9"/>
      <c r="DH22" s="9"/>
      <c r="DI22" s="9"/>
      <c r="DJ22" s="9"/>
      <c r="DK22" s="9"/>
      <c r="DL22" s="9"/>
      <c r="DM22" s="9"/>
      <c r="DN22" s="9"/>
    </row>
    <row r="23" spans="1:118" s="37" customFormat="1" ht="23.25" customHeight="1" collapsed="1" thickBot="1" x14ac:dyDescent="0.3">
      <c r="A23" s="10"/>
      <c r="B23" s="1"/>
      <c r="C23" s="44"/>
      <c r="D23" s="215" t="s">
        <v>105</v>
      </c>
      <c r="E23" s="68"/>
      <c r="F23" s="69"/>
      <c r="G23" s="251" t="str">
        <f ca="1">_xll.DBRA(Server&amp;$D$20,$D23,"French")</f>
        <v>Prestations pédagogiques</v>
      </c>
      <c r="H23" s="251" t="str">
        <f ca="1">_xll.DBRA(Server&amp;$D$20,$D23,"French")</f>
        <v>Prestations pédagogiques</v>
      </c>
      <c r="I23" s="251"/>
      <c r="J23" s="251"/>
      <c r="K23" s="154" t="s">
        <v>3</v>
      </c>
      <c r="L23" s="162">
        <f ca="1">_xll.DBRW(Server&amp;Cube1,$J$12,$J$13,$J$14,$L$1,$J$11,$J$15,$D23)</f>
        <v>4059044.66</v>
      </c>
      <c r="M23" s="162">
        <f ca="1">_xll.DBRW(Server&amp;Cube1,$J$12,$J$13,$J$14,$M$1,$J$11,$J$15,$D23)</f>
        <v>3113284</v>
      </c>
      <c r="N23" s="163">
        <f ca="1">L23-M23</f>
        <v>945760.66000000015</v>
      </c>
      <c r="O23" s="164">
        <f ca="1">IF(ISERROR(N23/M23),"-",N23/M23)</f>
        <v>0.30378232760005197</v>
      </c>
      <c r="P23" s="132"/>
      <c r="Q23" s="162">
        <f ca="1">_xll.DBRW(Server&amp;Cube1,$J$12,$J$13,$J$14,$Q$1,$J$11,$J$15,$D23)</f>
        <v>1657160.66</v>
      </c>
      <c r="R23" s="163">
        <f ca="1">L23-Q23</f>
        <v>2401884</v>
      </c>
      <c r="S23" s="164">
        <f ca="1">IF(ISERROR(R23/Q23),"-",R23/Q23)</f>
        <v>1.4493971875967657</v>
      </c>
      <c r="T23" s="132"/>
      <c r="U23" s="162">
        <f ca="1">_xll.DBRW(Server&amp;Cube1,$J$12,$J$13,$J$14,$U$1,$U$2,$J$15,$D23)</f>
        <v>3130436.89</v>
      </c>
      <c r="V23" s="163">
        <f ca="1">L23-U23</f>
        <v>928607.77</v>
      </c>
      <c r="W23" s="164">
        <f ca="1">IF(ISERROR(V23/U23),"-",V23/U23)</f>
        <v>0.29663839349912591</v>
      </c>
      <c r="X23" s="64"/>
      <c r="Y23" s="31"/>
      <c r="Z23" s="9"/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9"/>
      <c r="AL23" s="9"/>
      <c r="AM23" s="9"/>
      <c r="AN23" s="9"/>
      <c r="AO23" s="9"/>
      <c r="AP23" s="9"/>
      <c r="AQ23" s="9"/>
      <c r="AR23" s="9"/>
      <c r="AS23" s="9"/>
      <c r="AT23" s="9"/>
      <c r="AU23" s="9"/>
      <c r="AV23" s="9"/>
      <c r="AW23" s="9"/>
      <c r="AX23" s="9"/>
      <c r="AY23" s="9"/>
      <c r="AZ23" s="9"/>
      <c r="BA23" s="9"/>
      <c r="BB23" s="9"/>
      <c r="BC23" s="9"/>
      <c r="BD23" s="9"/>
      <c r="BE23" s="9"/>
      <c r="BF23" s="9"/>
      <c r="BG23" s="9"/>
      <c r="BH23" s="9"/>
      <c r="BI23" s="9"/>
      <c r="BJ23" s="9"/>
      <c r="BK23" s="9"/>
      <c r="BL23" s="9"/>
      <c r="BM23" s="9"/>
      <c r="BN23" s="9"/>
      <c r="BO23" s="9"/>
      <c r="BP23" s="9"/>
      <c r="BQ23" s="9"/>
      <c r="BR23" s="9"/>
      <c r="BS23" s="9"/>
      <c r="BT23" s="9"/>
      <c r="BU23" s="9"/>
      <c r="BV23" s="9"/>
      <c r="BW23" s="9"/>
      <c r="BX23" s="9"/>
      <c r="BY23" s="9"/>
      <c r="BZ23" s="9"/>
      <c r="CA23" s="9"/>
      <c r="CB23" s="9"/>
      <c r="CC23" s="9"/>
      <c r="CD23" s="9"/>
      <c r="CE23" s="9"/>
      <c r="CF23" s="9"/>
      <c r="CG23" s="9"/>
      <c r="CH23" s="9"/>
      <c r="CI23" s="9"/>
      <c r="CJ23" s="9"/>
      <c r="CK23" s="9"/>
      <c r="CL23" s="9"/>
      <c r="CM23" s="9"/>
      <c r="CN23" s="9"/>
      <c r="CO23" s="9"/>
      <c r="CP23" s="9"/>
      <c r="CQ23" s="9"/>
      <c r="CR23" s="9"/>
      <c r="CS23" s="9"/>
      <c r="CT23" s="9"/>
      <c r="CU23" s="9"/>
      <c r="CV23" s="9"/>
      <c r="CW23" s="9"/>
      <c r="CX23" s="9"/>
      <c r="CY23" s="9"/>
      <c r="CZ23" s="9"/>
      <c r="DA23" s="9"/>
      <c r="DB23" s="9"/>
      <c r="DC23" s="9"/>
      <c r="DD23" s="9"/>
      <c r="DE23" s="9"/>
      <c r="DF23" s="9"/>
      <c r="DG23" s="9"/>
      <c r="DH23" s="9"/>
      <c r="DI23" s="9"/>
      <c r="DJ23" s="9"/>
      <c r="DK23" s="9"/>
      <c r="DL23" s="9"/>
      <c r="DM23" s="9"/>
      <c r="DN23" s="9"/>
    </row>
    <row r="24" spans="1:118" s="37" customFormat="1" ht="23.25" customHeight="1" thickTop="1" x14ac:dyDescent="0.25">
      <c r="A24" s="10"/>
      <c r="B24" s="1"/>
      <c r="C24" s="44"/>
      <c r="D24" s="215" t="s">
        <v>124</v>
      </c>
      <c r="E24" s="68"/>
      <c r="F24" s="69"/>
      <c r="G24" s="252" t="str">
        <f ca="1">_xll.DBRA(Server&amp;$D$20,$D24,"French")</f>
        <v>Prestations Formations continues</v>
      </c>
      <c r="H24" s="252" t="str">
        <f ca="1">_xll.DBRA(Server&amp;$D$20,$D24,"French")</f>
        <v>Prestations Formations continues</v>
      </c>
      <c r="I24" s="252"/>
      <c r="J24" s="217"/>
      <c r="K24" s="154"/>
      <c r="L24" s="151">
        <f ca="1">_xll.DBRW(Server&amp;Cube1,$J$12,$J$13,$J$14,$L$1,$J$11,$J$15,$D24)</f>
        <v>1807622.51</v>
      </c>
      <c r="M24" s="151">
        <f ca="1">_xll.DBRW(Server&amp;Cube1,$J$12,$J$13,$J$14,$M$1,$J$11,$J$15,$D24)</f>
        <v>1492384</v>
      </c>
      <c r="N24" s="152">
        <f t="shared" ref="N24:N26" ca="1" si="0">L24-M24</f>
        <v>315238.51</v>
      </c>
      <c r="O24" s="153">
        <f ca="1">IF(ISERROR(N24/M24),"-",N24/M24)</f>
        <v>0.21123149939961833</v>
      </c>
      <c r="P24" s="138"/>
      <c r="Q24" s="151">
        <f ca="1">_xll.DBRW(Server&amp;Cube1,$J$12,$J$13,$J$14,$Q$1,$J$11,$J$15,$D24)</f>
        <v>738681.12</v>
      </c>
      <c r="R24" s="152">
        <f ca="1">L24-Q24</f>
        <v>1068941.3900000001</v>
      </c>
      <c r="S24" s="153">
        <f t="shared" ref="S24:S26" ca="1" si="1">IF(ISERROR(R24/Q24),"-",R24/Q24)</f>
        <v>1.4470945054071507</v>
      </c>
      <c r="T24" s="138"/>
      <c r="U24" s="151">
        <f ca="1">_xll.DBRW(Server&amp;Cube1,$J$12,$J$13,$J$14,$U$1,$U$2,$J$15,$D24)</f>
        <v>1226512.4500000002</v>
      </c>
      <c r="V24" s="152">
        <f t="shared" ref="V24:V26" ca="1" si="2">L24-U24</f>
        <v>581110.05999999982</v>
      </c>
      <c r="W24" s="153">
        <f t="shared" ref="W24:W26" ca="1" si="3">IF(ISERROR(V24/U24),"-",V24/U24)</f>
        <v>0.47379059217866049</v>
      </c>
      <c r="X24" s="64"/>
      <c r="Y24" s="31"/>
      <c r="Z24" s="228"/>
      <c r="AA24" s="5"/>
      <c r="AB24" s="9"/>
      <c r="AC24" s="9"/>
      <c r="AD24" s="9"/>
      <c r="AE24" s="9"/>
      <c r="AF24" s="9"/>
      <c r="AG24" s="9"/>
      <c r="AH24" s="9"/>
      <c r="AI24" s="9"/>
      <c r="AJ24" s="9"/>
      <c r="AK24" s="9"/>
      <c r="AL24" s="9"/>
      <c r="AM24" s="9"/>
      <c r="AN24" s="9"/>
      <c r="AO24" s="9"/>
      <c r="AP24" s="9"/>
      <c r="AQ24" s="9"/>
      <c r="AR24" s="9"/>
      <c r="AS24" s="9"/>
      <c r="AT24" s="9"/>
      <c r="AU24" s="9"/>
      <c r="AV24" s="9"/>
      <c r="AW24" s="9"/>
      <c r="AX24" s="9"/>
      <c r="AY24" s="9"/>
      <c r="AZ24" s="9"/>
      <c r="BA24" s="9"/>
      <c r="BB24" s="9"/>
      <c r="BC24" s="9"/>
      <c r="BD24" s="9"/>
      <c r="BE24" s="9"/>
      <c r="BF24" s="9"/>
      <c r="BG24" s="9"/>
      <c r="BH24" s="9"/>
      <c r="BI24" s="9"/>
      <c r="BJ24" s="9"/>
      <c r="BK24" s="9"/>
      <c r="BL24" s="9"/>
      <c r="BM24" s="9"/>
      <c r="BN24" s="9"/>
      <c r="BO24" s="9"/>
      <c r="BP24" s="9"/>
      <c r="BQ24" s="9"/>
      <c r="BR24" s="9"/>
      <c r="BS24" s="9"/>
      <c r="BT24" s="9"/>
      <c r="BU24" s="9"/>
      <c r="BV24" s="9"/>
      <c r="BW24" s="9"/>
      <c r="BX24" s="9"/>
      <c r="BY24" s="9"/>
      <c r="BZ24" s="9"/>
      <c r="CA24" s="9"/>
      <c r="CB24" s="9"/>
      <c r="CC24" s="9"/>
      <c r="CD24" s="9"/>
      <c r="CE24" s="9"/>
      <c r="CF24" s="9"/>
      <c r="CG24" s="9"/>
      <c r="CH24" s="9"/>
      <c r="CI24" s="9"/>
      <c r="CJ24" s="9"/>
      <c r="CK24" s="9"/>
      <c r="CL24" s="9"/>
      <c r="CM24" s="9"/>
      <c r="CN24" s="9"/>
      <c r="CO24" s="9"/>
      <c r="CP24" s="9"/>
      <c r="CQ24" s="9"/>
      <c r="CR24" s="9"/>
      <c r="CS24" s="9"/>
      <c r="CT24" s="9"/>
      <c r="CU24" s="9"/>
      <c r="CV24" s="9"/>
      <c r="CW24" s="9"/>
      <c r="CX24" s="9"/>
      <c r="CY24" s="9"/>
      <c r="CZ24" s="9"/>
      <c r="DA24" s="9"/>
      <c r="DB24" s="9"/>
      <c r="DC24" s="9"/>
      <c r="DD24" s="9"/>
      <c r="DE24" s="9"/>
      <c r="DF24" s="9"/>
      <c r="DG24" s="9"/>
      <c r="DH24" s="9"/>
      <c r="DI24" s="9"/>
      <c r="DJ24" s="9"/>
      <c r="DK24" s="9"/>
      <c r="DL24" s="9"/>
      <c r="DM24" s="9"/>
      <c r="DN24" s="9"/>
    </row>
    <row r="25" spans="1:118" s="37" customFormat="1" ht="23.25" customHeight="1" x14ac:dyDescent="0.25">
      <c r="A25" s="10"/>
      <c r="B25" s="1"/>
      <c r="C25" s="44"/>
      <c r="D25" s="215" t="s">
        <v>125</v>
      </c>
      <c r="E25" s="68"/>
      <c r="F25" s="69"/>
      <c r="G25" s="253" t="str">
        <f ca="1">_xll.DBRA(Server&amp;$D$20,$D25,"French")</f>
        <v>Prestations FCO Simples</v>
      </c>
      <c r="H25" s="253" t="str">
        <f ca="1">_xll.DBRA(Server&amp;$D$20,$D25,"French")</f>
        <v>Prestations FCO Simples</v>
      </c>
      <c r="I25" s="253"/>
      <c r="J25" s="217"/>
      <c r="K25" s="154"/>
      <c r="L25" s="151">
        <f ca="1">_xll.DBRW(Server&amp;Cube1,$J$12,$J$13,$J$14,$L$1,$J$11,$J$15,$D25)</f>
        <v>218334.36</v>
      </c>
      <c r="M25" s="151">
        <f ca="1">_xll.DBRW(Server&amp;Cube1,$J$12,$J$13,$J$14,$M$1,$J$11,$J$15,$D25)</f>
        <v>228160.00000000003</v>
      </c>
      <c r="N25" s="152">
        <f t="shared" ca="1" si="0"/>
        <v>-9825.6400000000431</v>
      </c>
      <c r="O25" s="153">
        <f ca="1">IF(ISERROR(N25/M25),"-",N25/M25)</f>
        <v>-4.3064691444600463E-2</v>
      </c>
      <c r="P25" s="138"/>
      <c r="Q25" s="151">
        <f ca="1">_xll.DBRW(Server&amp;Cube1,$J$12,$J$13,$J$14,$Q$1,$J$11,$J$15,$D25)</f>
        <v>46080</v>
      </c>
      <c r="R25" s="152">
        <f t="shared" ref="R25:R26" ca="1" si="4">L25-Q25</f>
        <v>172254.36</v>
      </c>
      <c r="S25" s="153">
        <f t="shared" ca="1" si="1"/>
        <v>3.7381588541666662</v>
      </c>
      <c r="T25" s="138"/>
      <c r="U25" s="151">
        <f ca="1">_xll.DBRW(Server&amp;Cube1,$J$12,$J$13,$J$14,$U$1,$U$2,$J$15,$D25)</f>
        <v>240170.45999999996</v>
      </c>
      <c r="V25" s="152">
        <f t="shared" ca="1" si="2"/>
        <v>-21836.099999999977</v>
      </c>
      <c r="W25" s="153">
        <f t="shared" ca="1" si="3"/>
        <v>-9.0919174656200349E-2</v>
      </c>
      <c r="X25" s="64"/>
      <c r="Y25" s="31"/>
      <c r="Z25" s="228"/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9"/>
      <c r="AL25" s="9"/>
      <c r="AM25" s="9"/>
      <c r="AN25" s="9"/>
      <c r="AO25" s="9"/>
      <c r="AP25" s="9"/>
      <c r="AQ25" s="9"/>
      <c r="AR25" s="9"/>
      <c r="AS25" s="9"/>
      <c r="AT25" s="9"/>
      <c r="AU25" s="9"/>
      <c r="AV25" s="9"/>
      <c r="AW25" s="9"/>
      <c r="AX25" s="9"/>
      <c r="AY25" s="9"/>
      <c r="AZ25" s="9"/>
      <c r="BA25" s="9"/>
      <c r="BB25" s="9"/>
      <c r="BC25" s="9"/>
      <c r="BD25" s="9"/>
      <c r="BE25" s="9"/>
      <c r="BF25" s="9"/>
      <c r="BG25" s="9"/>
      <c r="BH25" s="9"/>
      <c r="BI25" s="9"/>
      <c r="BJ25" s="9"/>
      <c r="BK25" s="9"/>
      <c r="BL25" s="9"/>
      <c r="BM25" s="9"/>
      <c r="BN25" s="9"/>
      <c r="BO25" s="9"/>
      <c r="BP25" s="9"/>
      <c r="BQ25" s="9"/>
      <c r="BR25" s="9"/>
      <c r="BS25" s="9"/>
      <c r="BT25" s="9"/>
      <c r="BU25" s="9"/>
      <c r="BV25" s="9"/>
      <c r="BW25" s="9"/>
      <c r="BX25" s="9"/>
      <c r="BY25" s="9"/>
      <c r="BZ25" s="9"/>
      <c r="CA25" s="9"/>
      <c r="CB25" s="9"/>
      <c r="CC25" s="9"/>
      <c r="CD25" s="9"/>
      <c r="CE25" s="9"/>
      <c r="CF25" s="9"/>
      <c r="CG25" s="9"/>
      <c r="CH25" s="9"/>
      <c r="CI25" s="9"/>
      <c r="CJ25" s="9"/>
      <c r="CK25" s="9"/>
      <c r="CL25" s="9"/>
      <c r="CM25" s="9"/>
      <c r="CN25" s="9"/>
      <c r="CO25" s="9"/>
      <c r="CP25" s="9"/>
      <c r="CQ25" s="9"/>
      <c r="CR25" s="9"/>
      <c r="CS25" s="9"/>
      <c r="CT25" s="9"/>
      <c r="CU25" s="9"/>
      <c r="CV25" s="9"/>
      <c r="CW25" s="9"/>
      <c r="CX25" s="9"/>
      <c r="CY25" s="9"/>
      <c r="CZ25" s="9"/>
      <c r="DA25" s="9"/>
      <c r="DB25" s="9"/>
      <c r="DC25" s="9"/>
      <c r="DD25" s="9"/>
      <c r="DE25" s="9"/>
      <c r="DF25" s="9"/>
      <c r="DG25" s="9"/>
      <c r="DH25" s="9"/>
      <c r="DI25" s="9"/>
      <c r="DJ25" s="9"/>
      <c r="DK25" s="9"/>
      <c r="DL25" s="9"/>
      <c r="DM25" s="9"/>
      <c r="DN25" s="9"/>
    </row>
    <row r="26" spans="1:118" s="37" customFormat="1" ht="23.25" customHeight="1" thickBot="1" x14ac:dyDescent="0.3">
      <c r="A26" s="10"/>
      <c r="B26" s="1"/>
      <c r="C26" s="44"/>
      <c r="D26" s="215" t="s">
        <v>126</v>
      </c>
      <c r="E26" s="68"/>
      <c r="F26" s="69"/>
      <c r="G26" s="253" t="str">
        <f ca="1">_xll.DBRA(Server&amp;$D$20,$D26,"French")</f>
        <v>Prestations FCO Complètes</v>
      </c>
      <c r="H26" s="253" t="str">
        <f ca="1">_xll.DBRA(Server&amp;$D$20,$D26,"French")</f>
        <v>Prestations FCO Complètes</v>
      </c>
      <c r="I26" s="253"/>
      <c r="J26" s="217"/>
      <c r="K26" s="154"/>
      <c r="L26" s="168">
        <f ca="1">_xll.DBRW(Server&amp;Cube1,$J$12,$J$13,$J$14,$L$1,$J$11,$J$15,$D26)</f>
        <v>676914.47000000009</v>
      </c>
      <c r="M26" s="168">
        <f ca="1">_xll.DBRW(Server&amp;Cube1,$J$12,$J$13,$J$14,$M$1,$J$11,$J$15,$D26)</f>
        <v>486170</v>
      </c>
      <c r="N26" s="169">
        <f t="shared" ca="1" si="0"/>
        <v>190744.47000000009</v>
      </c>
      <c r="O26" s="170">
        <f t="shared" ref="O26" ca="1" si="5">IF(ISERROR(N26/M26),"-",N26/M26)</f>
        <v>0.39234109467881623</v>
      </c>
      <c r="P26" s="138"/>
      <c r="Q26" s="168">
        <f ca="1">_xll.DBRW(Server&amp;Cube1,$J$12,$J$13,$J$14,$Q$1,$J$11,$J$15,$D26)</f>
        <v>51869.939999999995</v>
      </c>
      <c r="R26" s="169">
        <f t="shared" ca="1" si="4"/>
        <v>625044.53000000014</v>
      </c>
      <c r="S26" s="170">
        <f t="shared" ca="1" si="1"/>
        <v>12.050226585957111</v>
      </c>
      <c r="T26" s="138"/>
      <c r="U26" s="168">
        <f ca="1">_xll.DBRW(Server&amp;Cube1,$J$12,$J$13,$J$14,$U$1,$U$2,$J$15,$D26)</f>
        <v>771169.28000000014</v>
      </c>
      <c r="V26" s="169">
        <f t="shared" ca="1" si="2"/>
        <v>-94254.810000000056</v>
      </c>
      <c r="W26" s="170">
        <f t="shared" ca="1" si="3"/>
        <v>-0.12222324260634454</v>
      </c>
      <c r="X26" s="64"/>
      <c r="Y26" s="31"/>
      <c r="Z26" s="228"/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9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G26" s="9"/>
      <c r="BH26" s="9"/>
      <c r="BI26" s="9"/>
      <c r="BJ26" s="9"/>
      <c r="BK26" s="9"/>
      <c r="BL26" s="9"/>
      <c r="BM26" s="9"/>
      <c r="BN26" s="9"/>
      <c r="BO26" s="9"/>
      <c r="BP26" s="9"/>
      <c r="BQ26" s="9"/>
      <c r="BR26" s="9"/>
      <c r="BS26" s="9"/>
      <c r="BT26" s="9"/>
      <c r="BU26" s="9"/>
      <c r="BV26" s="9"/>
      <c r="BW26" s="9"/>
      <c r="BX26" s="9"/>
      <c r="BY26" s="9"/>
      <c r="BZ26" s="9"/>
      <c r="CA26" s="9"/>
      <c r="CB26" s="9"/>
      <c r="CC26" s="9"/>
      <c r="CD26" s="9"/>
      <c r="CE26" s="9"/>
      <c r="CF26" s="9"/>
      <c r="CG26" s="9"/>
      <c r="CH26" s="9"/>
      <c r="CI26" s="9"/>
      <c r="CJ26" s="9"/>
      <c r="CK26" s="9"/>
      <c r="CL26" s="9"/>
      <c r="CM26" s="9"/>
      <c r="CN26" s="9"/>
      <c r="CO26" s="9"/>
      <c r="CP26" s="9"/>
      <c r="CQ26" s="9"/>
      <c r="CR26" s="9"/>
      <c r="CS26" s="9"/>
      <c r="CT26" s="9"/>
      <c r="CU26" s="9"/>
      <c r="CV26" s="9"/>
      <c r="CW26" s="9"/>
      <c r="CX26" s="9"/>
      <c r="CY26" s="9"/>
      <c r="CZ26" s="9"/>
      <c r="DA26" s="9"/>
      <c r="DB26" s="9"/>
      <c r="DC26" s="9"/>
      <c r="DD26" s="9"/>
      <c r="DE26" s="9"/>
      <c r="DF26" s="9"/>
      <c r="DG26" s="9"/>
      <c r="DH26" s="9"/>
      <c r="DI26" s="9"/>
      <c r="DJ26" s="9"/>
      <c r="DK26" s="9"/>
      <c r="DL26" s="9"/>
      <c r="DM26" s="9"/>
      <c r="DN26" s="9"/>
    </row>
    <row r="27" spans="1:118" s="37" customFormat="1" ht="23.25" customHeight="1" thickTop="1" thickBot="1" x14ac:dyDescent="0.3">
      <c r="A27" s="10"/>
      <c r="B27" s="1"/>
      <c r="C27" s="44"/>
      <c r="D27" s="215" t="s">
        <v>151</v>
      </c>
      <c r="E27" s="68"/>
      <c r="F27" s="69"/>
      <c r="G27" s="253" t="str">
        <f ca="1">_xll.DBRA(Server&amp;$D$20,$D27,"French")</f>
        <v>Prestations Formations initiales</v>
      </c>
      <c r="H27" s="253" t="str">
        <f ca="1">_xll.DBRA(Server&amp;$D$20,$D27,"French")</f>
        <v>Prestations Formations initiales</v>
      </c>
      <c r="I27" s="253"/>
      <c r="J27" s="223"/>
      <c r="K27" s="154"/>
      <c r="L27" s="168">
        <f ca="1">_xll.DBRW(Server&amp;Cube1,$J$12,$J$13,$J$14,$L$1,$J$11,$J$15,$D27)</f>
        <v>1356173.32</v>
      </c>
      <c r="M27" s="168">
        <f ca="1">_xll.DBRW(Server&amp;Cube1,$J$12,$J$13,$J$14,$M$1,$J$11,$J$15,$D27)</f>
        <v>906570.00000000012</v>
      </c>
      <c r="N27" s="169">
        <f t="shared" ref="N27" ca="1" si="6">L27-M27</f>
        <v>449603.31999999995</v>
      </c>
      <c r="O27" s="170">
        <f t="shared" ref="O27" ca="1" si="7">IF(ISERROR(N27/M27),"-",N27/M27)</f>
        <v>0.49593889054347695</v>
      </c>
      <c r="P27" s="138"/>
      <c r="Q27" s="168">
        <f ca="1">_xll.DBRW(Server&amp;Cube1,$J$12,$J$13,$J$14,$Q$1,$J$11,$J$15,$D27)</f>
        <v>820529.6</v>
      </c>
      <c r="R27" s="169">
        <f t="shared" ref="R27" ca="1" si="8">L27-Q27</f>
        <v>535643.72000000009</v>
      </c>
      <c r="S27" s="170">
        <f t="shared" ref="S27" ca="1" si="9">IF(ISERROR(R27/Q27),"-",R27/Q27)</f>
        <v>0.65280243394022608</v>
      </c>
      <c r="T27" s="138"/>
      <c r="U27" s="168">
        <f ca="1">_xll.DBRW(Server&amp;Cube1,$J$12,$J$13,$J$14,$U$1,$U$2,$J$15,$D27)</f>
        <v>892584.7</v>
      </c>
      <c r="V27" s="169">
        <f t="shared" ref="V27" ca="1" si="10">L27-U27</f>
        <v>463588.62000000011</v>
      </c>
      <c r="W27" s="170">
        <f t="shared" ref="W27" ca="1" si="11">IF(ISERROR(V27/U27),"-",V27/U27)</f>
        <v>0.51937773524462172</v>
      </c>
      <c r="X27" s="64"/>
      <c r="Y27" s="31"/>
      <c r="Z27" s="227"/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9"/>
      <c r="AL27" s="9"/>
      <c r="AM27" s="9"/>
      <c r="AN27" s="9"/>
      <c r="AO27" s="9"/>
      <c r="AP27" s="9"/>
      <c r="AQ27" s="9"/>
      <c r="AR27" s="9"/>
      <c r="AS27" s="9"/>
      <c r="AT27" s="9"/>
      <c r="AU27" s="9"/>
      <c r="AV27" s="9"/>
      <c r="AW27" s="9"/>
      <c r="AX27" s="9"/>
      <c r="AY27" s="9"/>
      <c r="AZ27" s="9"/>
      <c r="BA27" s="9"/>
      <c r="BB27" s="9"/>
      <c r="BC27" s="9"/>
      <c r="BD27" s="9"/>
      <c r="BE27" s="9"/>
      <c r="BF27" s="9"/>
      <c r="BG27" s="9"/>
      <c r="BH27" s="9"/>
      <c r="BI27" s="9"/>
      <c r="BJ27" s="9"/>
      <c r="BK27" s="9"/>
      <c r="BL27" s="9"/>
      <c r="BM27" s="9"/>
      <c r="BN27" s="9"/>
      <c r="BO27" s="9"/>
      <c r="BP27" s="9"/>
      <c r="BQ27" s="9"/>
      <c r="BR27" s="9"/>
      <c r="BS27" s="9"/>
      <c r="BT27" s="9"/>
      <c r="BU27" s="9"/>
      <c r="BV27" s="9"/>
      <c r="BW27" s="9"/>
      <c r="BX27" s="9"/>
      <c r="BY27" s="9"/>
      <c r="BZ27" s="9"/>
      <c r="CA27" s="9"/>
      <c r="CB27" s="9"/>
      <c r="CC27" s="9"/>
      <c r="CD27" s="9"/>
      <c r="CE27" s="9"/>
      <c r="CF27" s="9"/>
      <c r="CG27" s="9"/>
      <c r="CH27" s="9"/>
      <c r="CI27" s="9"/>
      <c r="CJ27" s="9"/>
      <c r="CK27" s="9"/>
      <c r="CL27" s="9"/>
      <c r="CM27" s="9"/>
      <c r="CN27" s="9"/>
      <c r="CO27" s="9"/>
      <c r="CP27" s="9"/>
      <c r="CQ27" s="9"/>
      <c r="CR27" s="9"/>
      <c r="CS27" s="9"/>
      <c r="CT27" s="9"/>
      <c r="CU27" s="9"/>
      <c r="CV27" s="9"/>
      <c r="CW27" s="9"/>
      <c r="CX27" s="9"/>
      <c r="CY27" s="9"/>
      <c r="CZ27" s="9"/>
      <c r="DA27" s="9"/>
      <c r="DB27" s="9"/>
      <c r="DC27" s="9"/>
      <c r="DD27" s="9"/>
      <c r="DE27" s="9"/>
      <c r="DF27" s="9"/>
      <c r="DG27" s="9"/>
      <c r="DH27" s="9"/>
      <c r="DI27" s="9"/>
      <c r="DJ27" s="9"/>
      <c r="DK27" s="9"/>
      <c r="DL27" s="9"/>
      <c r="DM27" s="9"/>
      <c r="DN27" s="9"/>
    </row>
    <row r="28" spans="1:118" s="37" customFormat="1" ht="23.25" customHeight="1" thickTop="1" x14ac:dyDescent="0.25">
      <c r="A28" s="10"/>
      <c r="B28" s="1"/>
      <c r="C28" s="44"/>
      <c r="D28" s="215" t="s">
        <v>127</v>
      </c>
      <c r="E28" s="68"/>
      <c r="F28" s="69"/>
      <c r="G28" s="253" t="str">
        <f ca="1">_xll.DBRA(Server&amp;$D$20,$D28,"French")</f>
        <v>Ajustement Véhicules</v>
      </c>
      <c r="H28" s="253" t="str">
        <f ca="1">_xll.DBRA(Server&amp;$D$20,$D28,"French")</f>
        <v>Ajustement Véhicules</v>
      </c>
      <c r="I28" s="253"/>
      <c r="J28" s="217"/>
      <c r="K28" s="154"/>
      <c r="L28" s="151">
        <f ca="1">_xll.DBRW(Server&amp;Cube1,$J$12,$J$13,$J$14,$L$1,$J$11,$J$15,$D28)</f>
        <v>0</v>
      </c>
      <c r="M28" s="151">
        <f ca="1">_xll.DBRW(Server&amp;Cube1,$J$12,$J$13,$J$14,$M$1,$J$11,$J$15,$D28)</f>
        <v>0</v>
      </c>
      <c r="N28" s="152">
        <f t="shared" ref="N28:N29" ca="1" si="12">L28-M28</f>
        <v>0</v>
      </c>
      <c r="O28" s="153" t="str">
        <f t="shared" ref="O28:O29" ca="1" si="13">IF(ISERROR(N28/M28),"-",N28/M28)</f>
        <v>-</v>
      </c>
      <c r="P28" s="138"/>
      <c r="Q28" s="151">
        <f ca="1">_xll.DBRW(Server&amp;Cube1,$J$12,$J$13,$J$14,$Q$1,$J$11,$J$15,$D28)</f>
        <v>0</v>
      </c>
      <c r="R28" s="152">
        <f t="shared" ref="R28:R29" ca="1" si="14">L28-Q28</f>
        <v>0</v>
      </c>
      <c r="S28" s="153" t="str">
        <f t="shared" ref="S28:S29" ca="1" si="15">IF(ISERROR(R28/Q28),"-",R28/Q28)</f>
        <v>-</v>
      </c>
      <c r="T28" s="138"/>
      <c r="U28" s="151">
        <f ca="1">_xll.DBRW(Server&amp;Cube1,$J$12,$J$13,$J$14,$U$1,$U$2,$J$15,$D28)</f>
        <v>0</v>
      </c>
      <c r="V28" s="152">
        <f t="shared" ref="V28:V29" ca="1" si="16">L28-U28</f>
        <v>0</v>
      </c>
      <c r="W28" s="153" t="str">
        <f t="shared" ref="W28:W29" ca="1" si="17">IF(ISERROR(V28/U28),"-",V28/U28)</f>
        <v>-</v>
      </c>
      <c r="X28" s="64"/>
      <c r="Y28" s="31"/>
      <c r="Z28" s="227"/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9"/>
      <c r="AL28" s="9"/>
      <c r="AM28" s="9"/>
      <c r="AN28" s="9"/>
      <c r="AO28" s="9"/>
      <c r="AP28" s="9"/>
      <c r="AQ28" s="9"/>
      <c r="AR28" s="9"/>
      <c r="AS28" s="9"/>
      <c r="AT28" s="9"/>
      <c r="AU28" s="9"/>
      <c r="AV28" s="9"/>
      <c r="AW28" s="9"/>
      <c r="AX28" s="9"/>
      <c r="AY28" s="9"/>
      <c r="AZ28" s="9"/>
      <c r="BA28" s="9"/>
      <c r="BB28" s="9"/>
      <c r="BC28" s="9"/>
      <c r="BD28" s="9"/>
      <c r="BE28" s="9"/>
      <c r="BF28" s="9"/>
      <c r="BG28" s="9"/>
      <c r="BH28" s="9"/>
      <c r="BI28" s="9"/>
      <c r="BJ28" s="9"/>
      <c r="BK28" s="9"/>
      <c r="BL28" s="9"/>
      <c r="BM28" s="9"/>
      <c r="BN28" s="9"/>
      <c r="BO28" s="9"/>
      <c r="BP28" s="9"/>
      <c r="BQ28" s="9"/>
      <c r="BR28" s="9"/>
      <c r="BS28" s="9"/>
      <c r="BT28" s="9"/>
      <c r="BU28" s="9"/>
      <c r="BV28" s="9"/>
      <c r="BW28" s="9"/>
      <c r="BX28" s="9"/>
      <c r="BY28" s="9"/>
      <c r="BZ28" s="9"/>
      <c r="CA28" s="9"/>
      <c r="CB28" s="9"/>
      <c r="CC28" s="9"/>
      <c r="CD28" s="9"/>
      <c r="CE28" s="9"/>
      <c r="CF28" s="9"/>
      <c r="CG28" s="9"/>
      <c r="CH28" s="9"/>
      <c r="CI28" s="9"/>
      <c r="CJ28" s="9"/>
      <c r="CK28" s="9"/>
      <c r="CL28" s="9"/>
      <c r="CM28" s="9"/>
      <c r="CN28" s="9"/>
      <c r="CO28" s="9"/>
      <c r="CP28" s="9"/>
      <c r="CQ28" s="9"/>
      <c r="CR28" s="9"/>
      <c r="CS28" s="9"/>
      <c r="CT28" s="9"/>
      <c r="CU28" s="9"/>
      <c r="CV28" s="9"/>
      <c r="CW28" s="9"/>
      <c r="CX28" s="9"/>
      <c r="CY28" s="9"/>
      <c r="CZ28" s="9"/>
      <c r="DA28" s="9"/>
      <c r="DB28" s="9"/>
      <c r="DC28" s="9"/>
      <c r="DD28" s="9"/>
      <c r="DE28" s="9"/>
      <c r="DF28" s="9"/>
      <c r="DG28" s="9"/>
      <c r="DH28" s="9"/>
      <c r="DI28" s="9"/>
      <c r="DJ28" s="9"/>
      <c r="DK28" s="9"/>
      <c r="DL28" s="9"/>
      <c r="DM28" s="9"/>
      <c r="DN28" s="9"/>
    </row>
    <row r="29" spans="1:118" s="37" customFormat="1" ht="23.25" customHeight="1" thickBot="1" x14ac:dyDescent="0.3">
      <c r="A29" s="10"/>
      <c r="B29" s="1"/>
      <c r="C29" s="44"/>
      <c r="D29" s="215" t="s">
        <v>128</v>
      </c>
      <c r="E29" s="68"/>
      <c r="F29" s="69"/>
      <c r="G29" s="253" t="str">
        <f ca="1">_xll.DBRA(Server&amp;$D$20,$D29,"French")</f>
        <v>Ajustement Formateurs</v>
      </c>
      <c r="H29" s="253" t="str">
        <f ca="1">_xll.DBRA(Server&amp;$D$20,$D29,"French")</f>
        <v>Ajustement Formateurs</v>
      </c>
      <c r="I29" s="253"/>
      <c r="J29" s="217"/>
      <c r="K29" s="154"/>
      <c r="L29" s="168">
        <f ca="1">_xll.DBRW(Server&amp;Cube1,$J$12,$J$13,$J$14,$L$1,$J$11,$J$15,$D29)</f>
        <v>0</v>
      </c>
      <c r="M29" s="168">
        <f ca="1">_xll.DBRW(Server&amp;Cube1,$J$12,$J$13,$J$14,$M$1,$J$11,$J$15,$D29)</f>
        <v>0</v>
      </c>
      <c r="N29" s="169">
        <f t="shared" ca="1" si="12"/>
        <v>0</v>
      </c>
      <c r="O29" s="170" t="str">
        <f t="shared" ca="1" si="13"/>
        <v>-</v>
      </c>
      <c r="P29" s="138"/>
      <c r="Q29" s="168">
        <f ca="1">_xll.DBRW(Server&amp;Cube1,$J$12,$J$13,$J$14,$Q$1,$J$11,$J$15,$D29)</f>
        <v>0</v>
      </c>
      <c r="R29" s="169">
        <f t="shared" ca="1" si="14"/>
        <v>0</v>
      </c>
      <c r="S29" s="170" t="str">
        <f t="shared" ca="1" si="15"/>
        <v>-</v>
      </c>
      <c r="T29" s="138"/>
      <c r="U29" s="168">
        <f ca="1">_xll.DBRW(Server&amp;Cube1,$J$12,$J$13,$J$14,$U$1,$U$2,$J$15,$D29)</f>
        <v>0</v>
      </c>
      <c r="V29" s="169">
        <f t="shared" ca="1" si="16"/>
        <v>0</v>
      </c>
      <c r="W29" s="170" t="str">
        <f t="shared" ca="1" si="17"/>
        <v>-</v>
      </c>
      <c r="X29" s="64"/>
      <c r="Y29" s="31"/>
      <c r="Z29" s="227"/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9"/>
      <c r="AL29" s="9"/>
      <c r="AM29" s="9"/>
      <c r="AN29" s="9"/>
      <c r="AO29" s="9"/>
      <c r="AP29" s="9"/>
      <c r="AQ29" s="9"/>
      <c r="AR29" s="9"/>
      <c r="AS29" s="9"/>
      <c r="AT29" s="9"/>
      <c r="AU29" s="9"/>
      <c r="AV29" s="9"/>
      <c r="AW29" s="9"/>
      <c r="AX29" s="9"/>
      <c r="AY29" s="9"/>
      <c r="AZ29" s="9"/>
      <c r="BA29" s="9"/>
      <c r="BB29" s="9"/>
      <c r="BC29" s="9"/>
      <c r="BD29" s="9"/>
      <c r="BE29" s="9"/>
      <c r="BF29" s="9"/>
      <c r="BG29" s="9"/>
      <c r="BH29" s="9"/>
      <c r="BI29" s="9"/>
      <c r="BJ29" s="9"/>
      <c r="BK29" s="9"/>
      <c r="BL29" s="9"/>
      <c r="BM29" s="9"/>
      <c r="BN29" s="9"/>
      <c r="BO29" s="9"/>
      <c r="BP29" s="9"/>
      <c r="BQ29" s="9"/>
      <c r="BR29" s="9"/>
      <c r="BS29" s="9"/>
      <c r="BT29" s="9"/>
      <c r="BU29" s="9"/>
      <c r="BV29" s="9"/>
      <c r="BW29" s="9"/>
      <c r="BX29" s="9"/>
      <c r="BY29" s="9"/>
      <c r="BZ29" s="9"/>
      <c r="CA29" s="9"/>
      <c r="CB29" s="9"/>
      <c r="CC29" s="9"/>
      <c r="CD29" s="9"/>
      <c r="CE29" s="9"/>
      <c r="CF29" s="9"/>
      <c r="CG29" s="9"/>
      <c r="CH29" s="9"/>
      <c r="CI29" s="9"/>
      <c r="CJ29" s="9"/>
      <c r="CK29" s="9"/>
      <c r="CL29" s="9"/>
      <c r="CM29" s="9"/>
      <c r="CN29" s="9"/>
      <c r="CO29" s="9"/>
      <c r="CP29" s="9"/>
      <c r="CQ29" s="9"/>
      <c r="CR29" s="9"/>
      <c r="CS29" s="9"/>
      <c r="CT29" s="9"/>
      <c r="CU29" s="9"/>
      <c r="CV29" s="9"/>
      <c r="CW29" s="9"/>
      <c r="CX29" s="9"/>
      <c r="CY29" s="9"/>
      <c r="CZ29" s="9"/>
      <c r="DA29" s="9"/>
      <c r="DB29" s="9"/>
      <c r="DC29" s="9"/>
      <c r="DD29" s="9"/>
      <c r="DE29" s="9"/>
      <c r="DF29" s="9"/>
      <c r="DG29" s="9"/>
      <c r="DH29" s="9"/>
      <c r="DI29" s="9"/>
      <c r="DJ29" s="9"/>
      <c r="DK29" s="9"/>
      <c r="DL29" s="9"/>
      <c r="DM29" s="9"/>
      <c r="DN29" s="9"/>
    </row>
    <row r="30" spans="1:118" s="37" customFormat="1" ht="23.25" customHeight="1" thickTop="1" x14ac:dyDescent="0.25">
      <c r="A30" s="10"/>
      <c r="B30" s="1"/>
      <c r="C30" s="44"/>
      <c r="D30" s="68"/>
      <c r="E30" s="212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64"/>
      <c r="Y30" s="31"/>
      <c r="Z30" s="227"/>
      <c r="AA30" s="9"/>
      <c r="AB30" s="9"/>
      <c r="AC30" s="9"/>
      <c r="AD30" s="9"/>
      <c r="AE30" s="9"/>
      <c r="AF30" s="9"/>
      <c r="AG30" s="9"/>
      <c r="AH30" s="9"/>
      <c r="AI30" s="9"/>
      <c r="AJ30" s="9"/>
      <c r="AK30" s="9"/>
      <c r="AL30" s="9"/>
      <c r="AM30" s="9"/>
      <c r="AN30" s="9"/>
      <c r="AO30" s="9"/>
      <c r="AP30" s="9"/>
      <c r="AQ30" s="9"/>
      <c r="AR30" s="9"/>
      <c r="AS30" s="9"/>
      <c r="AT30" s="9"/>
      <c r="AU30" s="9"/>
      <c r="AV30" s="9"/>
      <c r="AW30" s="9"/>
      <c r="AX30" s="9"/>
      <c r="AY30" s="9"/>
      <c r="AZ30" s="9"/>
      <c r="BA30" s="9"/>
      <c r="BB30" s="9"/>
      <c r="BC30" s="9"/>
      <c r="BD30" s="9"/>
      <c r="BE30" s="9"/>
      <c r="BF30" s="9"/>
      <c r="BG30" s="9"/>
      <c r="BH30" s="9"/>
      <c r="BI30" s="9"/>
      <c r="BJ30" s="9"/>
      <c r="BK30" s="9"/>
      <c r="BL30" s="9"/>
      <c r="BM30" s="9"/>
      <c r="BN30" s="9"/>
      <c r="BO30" s="9"/>
      <c r="BP30" s="9"/>
      <c r="BQ30" s="9"/>
      <c r="BR30" s="9"/>
      <c r="BS30" s="9"/>
      <c r="BT30" s="9"/>
      <c r="BU30" s="9"/>
      <c r="BV30" s="9"/>
      <c r="BW30" s="9"/>
      <c r="BX30" s="9"/>
      <c r="BY30" s="9"/>
      <c r="BZ30" s="9"/>
      <c r="CA30" s="9"/>
      <c r="CB30" s="9"/>
      <c r="CC30" s="9"/>
      <c r="CD30" s="9"/>
      <c r="CE30" s="9"/>
      <c r="CF30" s="9"/>
      <c r="CG30" s="9"/>
      <c r="CH30" s="9"/>
      <c r="CI30" s="9"/>
      <c r="CJ30" s="9"/>
      <c r="CK30" s="9"/>
      <c r="CL30" s="9"/>
      <c r="CM30" s="9"/>
      <c r="CN30" s="9"/>
      <c r="CO30" s="9"/>
      <c r="CP30" s="9"/>
      <c r="CQ30" s="9"/>
      <c r="CR30" s="9"/>
      <c r="CS30" s="9"/>
      <c r="CT30" s="9"/>
      <c r="CU30" s="9"/>
      <c r="CV30" s="9"/>
      <c r="CW30" s="9"/>
      <c r="CX30" s="9"/>
      <c r="CY30" s="9"/>
      <c r="CZ30" s="9"/>
      <c r="DA30" s="9"/>
      <c r="DB30" s="9"/>
      <c r="DC30" s="9"/>
      <c r="DD30" s="9"/>
      <c r="DE30" s="9"/>
      <c r="DF30" s="9"/>
      <c r="DG30" s="9"/>
      <c r="DH30" s="9"/>
      <c r="DI30" s="9"/>
      <c r="DJ30" s="9"/>
      <c r="DK30" s="9"/>
      <c r="DL30" s="9"/>
      <c r="DM30" s="9"/>
      <c r="DN30" s="9"/>
    </row>
    <row r="31" spans="1:118" s="37" customFormat="1" ht="23.25" customHeight="1" collapsed="1" thickBot="1" x14ac:dyDescent="0.3">
      <c r="A31" s="10"/>
      <c r="B31" s="1"/>
      <c r="C31" s="44"/>
      <c r="D31" s="215" t="s">
        <v>129</v>
      </c>
      <c r="E31" s="212"/>
      <c r="F31" s="95"/>
      <c r="G31" s="251" t="str">
        <f ca="1">_xll.DBRA(Server&amp;$D$20,$D31,"French")</f>
        <v>Frais de déplacement formateurs / jour</v>
      </c>
      <c r="H31" s="251" t="str">
        <f ca="1">_xll.DBRA(Server&amp;$D$20,$D31,"French")</f>
        <v>Frais de déplacement formateurs / jour</v>
      </c>
      <c r="I31" s="251"/>
      <c r="J31" s="251"/>
      <c r="K31" s="154" t="s">
        <v>3</v>
      </c>
      <c r="L31" s="162">
        <f ca="1">_xll.DBRW(Server&amp;Cube1,$J$12,$J$13,$J$14,$L$1,$J$11,$J$15,$D31)</f>
        <v>5629.5400000000009</v>
      </c>
      <c r="M31" s="162">
        <f ca="1">_xll.DBRW(Server&amp;Cube1,$J$12,$J$13,$J$14,$M$1,$J$11,$J$15,$D31)</f>
        <v>4000</v>
      </c>
      <c r="N31" s="163">
        <f ca="1">L31-M31</f>
        <v>1629.5400000000009</v>
      </c>
      <c r="O31" s="164">
        <f ca="1">IF(ISERROR(N31/M31),"-",N31/M31)</f>
        <v>0.40738500000000022</v>
      </c>
      <c r="P31" s="132"/>
      <c r="Q31" s="162">
        <f ca="1">_xll.DBRW(Server&amp;Cube1,$J$12,$J$13,$J$14,$Q$1,$J$11,$J$15,$D31)</f>
        <v>4000.2</v>
      </c>
      <c r="R31" s="163">
        <f ca="1">L31-Q31</f>
        <v>1629.3400000000011</v>
      </c>
      <c r="S31" s="164">
        <f ca="1">IF(ISERROR(R31/Q31),"-",R31/Q31)</f>
        <v>0.40731463426828685</v>
      </c>
      <c r="T31" s="132"/>
      <c r="U31" s="162">
        <f ca="1">_xll.DBRW(Server&amp;Cube1,$J$12,$J$13,$J$14,$U$1,$U$2,$J$15,$D31)</f>
        <v>8834.9699999999993</v>
      </c>
      <c r="V31" s="163">
        <f ca="1">L31-U31</f>
        <v>-3205.4299999999985</v>
      </c>
      <c r="W31" s="164">
        <f ca="1">IF(ISERROR(V31/U31),"-",V31/U31)</f>
        <v>-0.36281164508764591</v>
      </c>
      <c r="X31" s="64"/>
      <c r="Y31" s="31"/>
      <c r="Z31" s="227"/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9"/>
      <c r="AL31" s="9"/>
      <c r="AM31" s="9"/>
      <c r="AN31" s="9"/>
      <c r="AO31" s="9"/>
      <c r="AP31" s="9"/>
      <c r="AQ31" s="9"/>
      <c r="AR31" s="9"/>
      <c r="AS31" s="9"/>
      <c r="AT31" s="9"/>
      <c r="AU31" s="9"/>
      <c r="AV31" s="9"/>
      <c r="AW31" s="9"/>
      <c r="AX31" s="9"/>
      <c r="AY31" s="9"/>
      <c r="AZ31" s="9"/>
      <c r="BA31" s="9"/>
      <c r="BB31" s="9"/>
      <c r="BC31" s="9"/>
      <c r="BD31" s="9"/>
      <c r="BE31" s="9"/>
      <c r="BF31" s="9"/>
      <c r="BG31" s="9"/>
      <c r="BH31" s="9"/>
      <c r="BI31" s="9"/>
      <c r="BJ31" s="9"/>
      <c r="BK31" s="9"/>
      <c r="BL31" s="9"/>
      <c r="BM31" s="9"/>
      <c r="BN31" s="9"/>
      <c r="BO31" s="9"/>
      <c r="BP31" s="9"/>
      <c r="BQ31" s="9"/>
      <c r="BR31" s="9"/>
      <c r="BS31" s="9"/>
      <c r="BT31" s="9"/>
      <c r="BU31" s="9"/>
      <c r="BV31" s="9"/>
      <c r="BW31" s="9"/>
      <c r="BX31" s="9"/>
      <c r="BY31" s="9"/>
      <c r="BZ31" s="9"/>
      <c r="CA31" s="9"/>
      <c r="CB31" s="9"/>
      <c r="CC31" s="9"/>
      <c r="CD31" s="9"/>
      <c r="CE31" s="9"/>
      <c r="CF31" s="9"/>
      <c r="CG31" s="9"/>
      <c r="CH31" s="9"/>
      <c r="CI31" s="9"/>
      <c r="CJ31" s="9"/>
      <c r="CK31" s="9"/>
      <c r="CL31" s="9"/>
      <c r="CM31" s="9"/>
      <c r="CN31" s="9"/>
      <c r="CO31" s="9"/>
      <c r="CP31" s="9"/>
      <c r="CQ31" s="9"/>
      <c r="CR31" s="9"/>
      <c r="CS31" s="9"/>
      <c r="CT31" s="9"/>
      <c r="CU31" s="9"/>
      <c r="CV31" s="9"/>
      <c r="CW31" s="9"/>
      <c r="CX31" s="9"/>
      <c r="CY31" s="9"/>
      <c r="CZ31" s="9"/>
      <c r="DA31" s="9"/>
      <c r="DB31" s="9"/>
      <c r="DC31" s="9"/>
      <c r="DD31" s="9"/>
      <c r="DE31" s="9"/>
      <c r="DF31" s="9"/>
      <c r="DG31" s="9"/>
      <c r="DH31" s="9"/>
      <c r="DI31" s="9"/>
      <c r="DJ31" s="9"/>
      <c r="DK31" s="9"/>
      <c r="DL31" s="9"/>
      <c r="DM31" s="9"/>
      <c r="DN31" s="9"/>
    </row>
    <row r="32" spans="1:118" s="37" customFormat="1" ht="23.25" customHeight="1" thickTop="1" thickBot="1" x14ac:dyDescent="0.3">
      <c r="A32" s="10"/>
      <c r="B32" s="1"/>
      <c r="C32" s="44"/>
      <c r="D32" s="215" t="s">
        <v>130</v>
      </c>
      <c r="E32" s="68"/>
      <c r="F32" s="69"/>
      <c r="G32" s="251" t="str">
        <f ca="1">_xll.DBRA(Server&amp;$D$20,$D32,"French")</f>
        <v>Frais de déplacement stagiaires / jour</v>
      </c>
      <c r="H32" s="251" t="str">
        <f ca="1">_xll.DBRA(Server&amp;$D$20,$D32,"French")</f>
        <v>Frais de déplacement stagiaires / jour</v>
      </c>
      <c r="I32" s="251"/>
      <c r="J32" s="251"/>
      <c r="K32" s="154"/>
      <c r="L32" s="162">
        <f ca="1">_xll.DBRW(Server&amp;Cube1,$J$12,$J$13,$J$14,$L$1,$J$11,$J$15,$D32)</f>
        <v>71957.25</v>
      </c>
      <c r="M32" s="162">
        <f ca="1">_xll.DBRW(Server&amp;Cube1,$J$12,$J$13,$J$14,$M$1,$J$11,$J$15,$D32)</f>
        <v>38960</v>
      </c>
      <c r="N32" s="163">
        <f ca="1">L32-M32</f>
        <v>32997.25</v>
      </c>
      <c r="O32" s="164">
        <f t="shared" ref="O32" ca="1" si="18">IF(ISERROR(N32/M32),"-",N32/M32)</f>
        <v>0.84695200205338805</v>
      </c>
      <c r="P32" s="132"/>
      <c r="Q32" s="162">
        <f ca="1">_xll.DBRW(Server&amp;Cube1,$J$12,$J$13,$J$14,$Q$1,$J$11,$J$15,$D32)</f>
        <v>6300</v>
      </c>
      <c r="R32" s="163">
        <f ca="1">L32-Q32</f>
        <v>65657.25</v>
      </c>
      <c r="S32" s="164">
        <f ca="1">IF(ISERROR(R32/Q32),"-",R32/Q32)</f>
        <v>10.421785714285715</v>
      </c>
      <c r="T32" s="132"/>
      <c r="U32" s="162">
        <f ca="1">_xll.DBRW(Server&amp;Cube1,$J$12,$J$13,$J$14,$U$1,$U$2,$J$15,$D32)</f>
        <v>50819</v>
      </c>
      <c r="V32" s="163">
        <f ca="1">L32-U32</f>
        <v>21138.25</v>
      </c>
      <c r="W32" s="164">
        <f t="shared" ref="W32" ca="1" si="19">IF(ISERROR(V32/U32),"-",V32/U32)</f>
        <v>0.41595171097424194</v>
      </c>
      <c r="X32" s="64"/>
      <c r="Y32" s="31"/>
      <c r="Z32" s="9"/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9"/>
      <c r="AL32" s="9"/>
      <c r="AM32" s="9"/>
      <c r="AN32" s="9"/>
      <c r="AO32" s="9"/>
      <c r="AP32" s="9"/>
      <c r="AQ32" s="9"/>
      <c r="AR32" s="9"/>
      <c r="AS32" s="9"/>
      <c r="AT32" s="9"/>
      <c r="AU32" s="9"/>
      <c r="AV32" s="9"/>
      <c r="AW32" s="9"/>
      <c r="AX32" s="9"/>
      <c r="AY32" s="9"/>
      <c r="AZ32" s="9"/>
      <c r="BA32" s="9"/>
      <c r="BB32" s="9"/>
      <c r="BC32" s="9"/>
      <c r="BD32" s="9"/>
      <c r="BE32" s="9"/>
      <c r="BF32" s="9"/>
      <c r="BG32" s="9"/>
      <c r="BH32" s="9"/>
      <c r="BI32" s="9"/>
      <c r="BJ32" s="9"/>
      <c r="BK32" s="9"/>
      <c r="BL32" s="9"/>
      <c r="BM32" s="9"/>
      <c r="BN32" s="9"/>
      <c r="BO32" s="9"/>
      <c r="BP32" s="9"/>
      <c r="BQ32" s="9"/>
      <c r="BR32" s="9"/>
      <c r="BS32" s="9"/>
      <c r="BT32" s="9"/>
      <c r="BU32" s="9"/>
      <c r="BV32" s="9"/>
      <c r="BW32" s="9"/>
      <c r="BX32" s="9"/>
      <c r="BY32" s="9"/>
      <c r="BZ32" s="9"/>
      <c r="CA32" s="9"/>
      <c r="CB32" s="9"/>
      <c r="CC32" s="9"/>
      <c r="CD32" s="9"/>
      <c r="CE32" s="9"/>
      <c r="CF32" s="9"/>
      <c r="CG32" s="9"/>
      <c r="CH32" s="9"/>
      <c r="CI32" s="9"/>
      <c r="CJ32" s="9"/>
      <c r="CK32" s="9"/>
      <c r="CL32" s="9"/>
      <c r="CM32" s="9"/>
      <c r="CN32" s="9"/>
      <c r="CO32" s="9"/>
      <c r="CP32" s="9"/>
      <c r="CQ32" s="9"/>
      <c r="CR32" s="9"/>
      <c r="CS32" s="9"/>
      <c r="CT32" s="9"/>
      <c r="CU32" s="9"/>
      <c r="CV32" s="9"/>
      <c r="CW32" s="9"/>
      <c r="CX32" s="9"/>
      <c r="CY32" s="9"/>
      <c r="CZ32" s="9"/>
      <c r="DA32" s="9"/>
      <c r="DB32" s="9"/>
      <c r="DC32" s="9"/>
      <c r="DD32" s="9"/>
      <c r="DE32" s="9"/>
      <c r="DF32" s="9"/>
      <c r="DG32" s="9"/>
      <c r="DH32" s="9"/>
      <c r="DI32" s="9"/>
      <c r="DJ32" s="9"/>
      <c r="DK32" s="9"/>
      <c r="DL32" s="9"/>
      <c r="DM32" s="9"/>
      <c r="DN32" s="9"/>
    </row>
    <row r="33" spans="1:118" s="37" customFormat="1" ht="23.25" customHeight="1" collapsed="1" thickTop="1" x14ac:dyDescent="0.25">
      <c r="A33" s="10"/>
      <c r="B33" s="1"/>
      <c r="C33" s="44"/>
      <c r="D33" s="206" t="s">
        <v>41</v>
      </c>
      <c r="E33" s="68"/>
      <c r="F33" s="69"/>
      <c r="G33" s="234" t="str">
        <f ca="1">_xll.DBRA(Server&amp;$D$20,$D33,"French")</f>
        <v>Subventions</v>
      </c>
      <c r="H33" s="234" t="str">
        <f ca="1">_xll.DBRA(Server&amp;$D$20,$D33,"French")</f>
        <v>Subventions</v>
      </c>
      <c r="I33" s="234"/>
      <c r="J33" s="234"/>
      <c r="K33" s="154" t="s">
        <v>3</v>
      </c>
      <c r="L33" s="165">
        <f ca="1">SUM(L34:L36)</f>
        <v>23504.36</v>
      </c>
      <c r="M33" s="165">
        <f ca="1">SUM(M34:M36)</f>
        <v>0</v>
      </c>
      <c r="N33" s="166">
        <f ca="1">L33-M33</f>
        <v>23504.36</v>
      </c>
      <c r="O33" s="167" t="str">
        <f ca="1">IF(ISERROR(N33/M33),"-",N33/M33)</f>
        <v>-</v>
      </c>
      <c r="P33" s="132"/>
      <c r="Q33" s="165">
        <f ca="1">SUM(Q34:Q36)</f>
        <v>0</v>
      </c>
      <c r="R33" s="166">
        <f ca="1">SUM(R34:R36)</f>
        <v>23504.36</v>
      </c>
      <c r="S33" s="167" t="str">
        <f ca="1">IF(ISERROR(R33/Q33),"-",R33/Q33)</f>
        <v>-</v>
      </c>
      <c r="T33" s="132"/>
      <c r="U33" s="165">
        <f ca="1">SUM(U34:U36)</f>
        <v>-8449.26</v>
      </c>
      <c r="V33" s="166">
        <f ca="1">L33-U33</f>
        <v>31953.620000000003</v>
      </c>
      <c r="W33" s="167">
        <f ca="1">IF(ISERROR(V33/U33),"-",V33/U33)</f>
        <v>-3.781824680504565</v>
      </c>
      <c r="X33" s="64"/>
      <c r="Y33" s="31"/>
      <c r="Z33" s="9"/>
      <c r="AA33" s="9"/>
      <c r="AB33" s="9"/>
      <c r="AC33" s="9"/>
      <c r="AD33" s="9"/>
      <c r="AE33" s="9"/>
      <c r="AF33" s="9"/>
      <c r="AG33" s="9"/>
      <c r="AH33" s="9"/>
      <c r="AI33" s="9"/>
      <c r="AJ33" s="9"/>
      <c r="AK33" s="9"/>
      <c r="AL33" s="9"/>
      <c r="AM33" s="9"/>
      <c r="AN33" s="9"/>
      <c r="AO33" s="9"/>
      <c r="AP33" s="9"/>
      <c r="AQ33" s="9"/>
      <c r="AR33" s="9"/>
      <c r="AS33" s="9"/>
      <c r="AT33" s="9"/>
      <c r="AU33" s="9"/>
      <c r="AV33" s="9"/>
      <c r="AW33" s="9"/>
      <c r="AX33" s="9"/>
      <c r="AY33" s="9"/>
      <c r="AZ33" s="9"/>
      <c r="BA33" s="9"/>
      <c r="BB33" s="9"/>
      <c r="BC33" s="9"/>
      <c r="BD33" s="9"/>
      <c r="BE33" s="9"/>
      <c r="BF33" s="9"/>
      <c r="BG33" s="9"/>
      <c r="BH33" s="9"/>
      <c r="BI33" s="9"/>
      <c r="BJ33" s="9"/>
      <c r="BK33" s="9"/>
      <c r="BL33" s="9"/>
      <c r="BM33" s="9"/>
      <c r="BN33" s="9"/>
      <c r="BO33" s="9"/>
      <c r="BP33" s="9"/>
      <c r="BQ33" s="9"/>
      <c r="BR33" s="9"/>
      <c r="BS33" s="9"/>
      <c r="BT33" s="9"/>
      <c r="BU33" s="9"/>
      <c r="BV33" s="9"/>
      <c r="BW33" s="9"/>
      <c r="BX33" s="9"/>
      <c r="BY33" s="9"/>
      <c r="BZ33" s="9"/>
      <c r="CA33" s="9"/>
      <c r="CB33" s="9"/>
      <c r="CC33" s="9"/>
      <c r="CD33" s="9"/>
      <c r="CE33" s="9"/>
      <c r="CF33" s="9"/>
      <c r="CG33" s="9"/>
      <c r="CH33" s="9"/>
      <c r="CI33" s="9"/>
      <c r="CJ33" s="9"/>
      <c r="CK33" s="9"/>
      <c r="CL33" s="9"/>
      <c r="CM33" s="9"/>
      <c r="CN33" s="9"/>
      <c r="CO33" s="9"/>
      <c r="CP33" s="9"/>
      <c r="CQ33" s="9"/>
      <c r="CR33" s="9"/>
      <c r="CS33" s="9"/>
      <c r="CT33" s="9"/>
      <c r="CU33" s="9"/>
      <c r="CV33" s="9"/>
      <c r="CW33" s="9"/>
      <c r="CX33" s="9"/>
      <c r="CY33" s="9"/>
      <c r="CZ33" s="9"/>
      <c r="DA33" s="9"/>
      <c r="DB33" s="9"/>
      <c r="DC33" s="9"/>
      <c r="DD33" s="9"/>
      <c r="DE33" s="9"/>
      <c r="DF33" s="9"/>
      <c r="DG33" s="9"/>
      <c r="DH33" s="9"/>
      <c r="DI33" s="9"/>
      <c r="DJ33" s="9"/>
      <c r="DK33" s="9"/>
      <c r="DL33" s="9"/>
      <c r="DM33" s="9"/>
      <c r="DN33" s="9"/>
    </row>
    <row r="34" spans="1:118" ht="21" customHeight="1" thickBot="1" x14ac:dyDescent="0.3">
      <c r="B34" s="60"/>
      <c r="C34" s="44"/>
      <c r="D34" s="216" t="s">
        <v>43</v>
      </c>
      <c r="E34" s="62"/>
      <c r="F34" s="63"/>
      <c r="G34" s="41"/>
      <c r="H34" s="257" t="str">
        <f ca="1">_xll.DBRA(Server&amp;$D$20,$D34,"French")</f>
        <v>R.R.R. sur prest. de service</v>
      </c>
      <c r="I34" s="257"/>
      <c r="J34" s="257"/>
      <c r="K34" s="150"/>
      <c r="L34" s="168">
        <f ca="1">_xll.DBRW(Server&amp;Cube1,$J$12,$J$13,$J$14,$L$1,$J$11,$J$15,$D34)</f>
        <v>0</v>
      </c>
      <c r="M34" s="168">
        <f ca="1">_xll.DBRW(Server&amp;Cube1,$J$12,$J$13,$J$14,$M$1,$J$11,$J$15,$D34)</f>
        <v>0</v>
      </c>
      <c r="N34" s="169">
        <f ca="1">L34-M34</f>
        <v>0</v>
      </c>
      <c r="O34" s="170" t="str">
        <f ca="1">IF(ISERROR(N34/M34),"-",N34/M34)</f>
        <v>-</v>
      </c>
      <c r="P34" s="138"/>
      <c r="Q34" s="168">
        <f ca="1">_xll.DBRW(Server&amp;Cube1,$J$12,$J$13,$J$14,$Q$1,$J$11,$J$15,$D34)</f>
        <v>0</v>
      </c>
      <c r="R34" s="169">
        <f ca="1">L34-Q34</f>
        <v>0</v>
      </c>
      <c r="S34" s="170" t="str">
        <f ca="1">IF(ISERROR(R34/Q34),"-",R34/Q34)</f>
        <v>-</v>
      </c>
      <c r="T34" s="138"/>
      <c r="U34" s="168">
        <f ca="1">_xll.DBRW(Server&amp;Cube1,$J$12,$J$13,$J$14,$U$1,$U$2,$J$15,$D34)</f>
        <v>0</v>
      </c>
      <c r="V34" s="169">
        <f ca="1">L34-U34</f>
        <v>0</v>
      </c>
      <c r="W34" s="170" t="str">
        <f ca="1">IF(ISERROR(V34/U34),"-",V34/U34)</f>
        <v>-</v>
      </c>
      <c r="X34" s="65"/>
      <c r="Y34" s="31"/>
      <c r="Z34" s="9"/>
      <c r="AA34" s="66"/>
      <c r="AB34" s="66"/>
      <c r="AC34" s="9"/>
      <c r="AD34" s="9"/>
      <c r="AE34" s="9"/>
      <c r="AF34" s="9"/>
      <c r="AG34" s="9"/>
      <c r="AH34" s="9"/>
      <c r="AI34" s="9"/>
      <c r="AJ34" s="9"/>
      <c r="AK34" s="9"/>
      <c r="AL34" s="9"/>
      <c r="AM34" s="9"/>
      <c r="AN34" s="9"/>
      <c r="AO34" s="9"/>
      <c r="AP34" s="9"/>
      <c r="AQ34" s="9"/>
      <c r="AR34" s="9"/>
      <c r="AS34" s="9"/>
      <c r="AT34" s="9"/>
      <c r="AU34" s="9"/>
      <c r="AV34" s="9"/>
      <c r="AW34" s="9"/>
      <c r="AX34" s="9"/>
      <c r="AY34" s="9"/>
      <c r="AZ34" s="9"/>
      <c r="BA34" s="9"/>
      <c r="BB34" s="9"/>
      <c r="BC34" s="9"/>
      <c r="BD34" s="9"/>
      <c r="BE34" s="9"/>
      <c r="BF34" s="9"/>
      <c r="BG34" s="9"/>
      <c r="BH34" s="9"/>
      <c r="BI34" s="9"/>
      <c r="BJ34" s="9"/>
      <c r="BK34" s="9"/>
      <c r="BL34" s="9"/>
      <c r="BM34" s="9"/>
      <c r="BN34" s="9"/>
      <c r="BO34" s="9"/>
      <c r="BP34" s="9"/>
      <c r="BQ34" s="9"/>
      <c r="BR34" s="9"/>
      <c r="BS34" s="9"/>
      <c r="BT34" s="9"/>
      <c r="BU34" s="9"/>
      <c r="BV34" s="9"/>
      <c r="BW34" s="9"/>
      <c r="BX34" s="9"/>
      <c r="BY34" s="9"/>
      <c r="BZ34" s="9"/>
      <c r="CA34" s="9"/>
      <c r="CB34" s="9"/>
      <c r="CC34" s="9"/>
      <c r="CD34" s="9"/>
      <c r="CE34" s="9"/>
      <c r="CF34" s="9"/>
      <c r="CG34" s="9"/>
      <c r="CH34" s="9"/>
      <c r="CI34" s="9"/>
      <c r="CJ34" s="9"/>
      <c r="CK34" s="9"/>
      <c r="CL34" s="9"/>
      <c r="CM34" s="9"/>
      <c r="CN34" s="9"/>
      <c r="CO34" s="9"/>
      <c r="CP34" s="9"/>
      <c r="CQ34" s="9"/>
      <c r="CR34" s="9"/>
      <c r="CS34" s="9"/>
      <c r="CT34" s="9"/>
      <c r="CU34" s="9"/>
      <c r="CV34" s="9"/>
      <c r="CW34" s="9"/>
      <c r="CX34" s="9"/>
      <c r="CY34" s="9"/>
      <c r="CZ34" s="9"/>
      <c r="DA34" s="9"/>
      <c r="DB34" s="9"/>
      <c r="DC34" s="9"/>
      <c r="DD34" s="9"/>
      <c r="DE34" s="9"/>
      <c r="DF34" s="9"/>
      <c r="DG34" s="9"/>
      <c r="DH34" s="9"/>
      <c r="DI34" s="9"/>
      <c r="DJ34" s="9"/>
      <c r="DK34" s="9"/>
      <c r="DL34" s="9"/>
      <c r="DM34" s="9"/>
      <c r="DN34" s="9"/>
    </row>
    <row r="35" spans="1:118" ht="21" customHeight="1" thickTop="1" thickBot="1" x14ac:dyDescent="0.3">
      <c r="B35" s="60"/>
      <c r="C35" s="213"/>
      <c r="D35" s="216" t="s">
        <v>120</v>
      </c>
      <c r="E35" s="62"/>
      <c r="F35" s="63"/>
      <c r="G35" s="41"/>
      <c r="H35" s="257" t="str">
        <f ca="1">_xll.DBRA(Server&amp;$D$20,$D35,"French")</f>
        <v>Produits divers de gestion courante</v>
      </c>
      <c r="I35" s="257"/>
      <c r="J35" s="257"/>
      <c r="K35" s="150"/>
      <c r="L35" s="151">
        <f ca="1">_xll.DBRW(Server&amp;Cube1,$J$12,$J$13,$J$14,$L$1,$J$11,$J$15,$D35)</f>
        <v>0</v>
      </c>
      <c r="M35" s="151">
        <f ca="1">_xll.DBRW(Server&amp;Cube1,$J$12,$J$13,$J$14,$M$1,$J$11,$J$15,$D35)</f>
        <v>0</v>
      </c>
      <c r="N35" s="152">
        <f t="shared" ref="N35" ca="1" si="20">L35-M35</f>
        <v>0</v>
      </c>
      <c r="O35" s="153" t="str">
        <f t="shared" ref="O35" ca="1" si="21">IF(ISERROR(N35/M35),"-",N35/M35)</f>
        <v>-</v>
      </c>
      <c r="P35" s="138"/>
      <c r="Q35" s="151">
        <f ca="1">_xll.DBRW(Server&amp;Cube1,$J$12,$J$13,$J$14,$Q$1,$J$11,$J$15,$D35)</f>
        <v>0</v>
      </c>
      <c r="R35" s="152">
        <f t="shared" ref="R35" ca="1" si="22">L35-Q35</f>
        <v>0</v>
      </c>
      <c r="S35" s="153" t="str">
        <f t="shared" ref="S35" ca="1" si="23">IF(ISERROR(R35/Q35),"-",R35/Q35)</f>
        <v>-</v>
      </c>
      <c r="T35" s="138"/>
      <c r="U35" s="151">
        <f ca="1">_xll.DBRW(Server&amp;Cube1,$J$12,$J$13,$J$14,$U$1,$U$2,$J$15,$D35)</f>
        <v>0</v>
      </c>
      <c r="V35" s="152">
        <f t="shared" ref="V35" ca="1" si="24">L35-U35</f>
        <v>0</v>
      </c>
      <c r="W35" s="153" t="str">
        <f t="shared" ref="W35" ca="1" si="25">IF(ISERROR(V35/U35),"-",V35/U35)</f>
        <v>-</v>
      </c>
      <c r="X35" s="65"/>
      <c r="Y35" s="31"/>
      <c r="Z35" s="9"/>
      <c r="AA35" s="66"/>
      <c r="AB35" s="66"/>
      <c r="AC35" s="9"/>
      <c r="AD35" s="9"/>
      <c r="AE35" s="9"/>
      <c r="AF35" s="9"/>
      <c r="AG35" s="9"/>
      <c r="AH35" s="9"/>
      <c r="AI35" s="9"/>
      <c r="AJ35" s="9"/>
      <c r="AK35" s="9"/>
      <c r="AL35" s="9"/>
      <c r="AM35" s="9"/>
      <c r="AN35" s="9"/>
      <c r="AO35" s="9"/>
      <c r="AP35" s="9"/>
      <c r="AQ35" s="9"/>
      <c r="AR35" s="9"/>
      <c r="AS35" s="9"/>
      <c r="AT35" s="9"/>
      <c r="AU35" s="9"/>
      <c r="AV35" s="9"/>
      <c r="AW35" s="9"/>
      <c r="AX35" s="9"/>
      <c r="AY35" s="9"/>
      <c r="AZ35" s="9"/>
      <c r="BA35" s="9"/>
      <c r="BB35" s="9"/>
      <c r="BC35" s="9"/>
      <c r="BD35" s="9"/>
      <c r="BE35" s="9"/>
      <c r="BF35" s="9"/>
      <c r="BG35" s="9"/>
      <c r="BH35" s="9"/>
      <c r="BI35" s="9"/>
      <c r="BJ35" s="9"/>
      <c r="BK35" s="9"/>
      <c r="BL35" s="9"/>
      <c r="BM35" s="9"/>
      <c r="BN35" s="9"/>
      <c r="BO35" s="9"/>
      <c r="BP35" s="9"/>
      <c r="BQ35" s="9"/>
      <c r="BR35" s="9"/>
      <c r="BS35" s="9"/>
      <c r="BT35" s="9"/>
      <c r="BU35" s="9"/>
      <c r="BV35" s="9"/>
      <c r="BW35" s="9"/>
      <c r="BX35" s="9"/>
      <c r="BY35" s="9"/>
      <c r="BZ35" s="9"/>
      <c r="CA35" s="9"/>
      <c r="CB35" s="9"/>
      <c r="CC35" s="9"/>
      <c r="CD35" s="9"/>
      <c r="CE35" s="9"/>
      <c r="CF35" s="9"/>
      <c r="CG35" s="9"/>
      <c r="CH35" s="9"/>
      <c r="CI35" s="9"/>
      <c r="CJ35" s="9"/>
      <c r="CK35" s="9"/>
      <c r="CL35" s="9"/>
      <c r="CM35" s="9"/>
      <c r="CN35" s="9"/>
      <c r="CO35" s="9"/>
      <c r="CP35" s="9"/>
      <c r="CQ35" s="9"/>
      <c r="CR35" s="9"/>
      <c r="CS35" s="9"/>
      <c r="CT35" s="9"/>
      <c r="CU35" s="9"/>
      <c r="CV35" s="9"/>
      <c r="CW35" s="9"/>
      <c r="CX35" s="9"/>
      <c r="CY35" s="9"/>
      <c r="CZ35" s="9"/>
      <c r="DA35" s="9"/>
      <c r="DB35" s="9"/>
      <c r="DC35" s="9"/>
      <c r="DD35" s="9"/>
      <c r="DE35" s="9"/>
      <c r="DF35" s="9"/>
      <c r="DG35" s="9"/>
      <c r="DH35" s="9"/>
      <c r="DI35" s="9"/>
      <c r="DJ35" s="9"/>
      <c r="DK35" s="9"/>
      <c r="DL35" s="9"/>
      <c r="DM35" s="9"/>
      <c r="DN35" s="9"/>
    </row>
    <row r="36" spans="1:118" ht="21" customHeight="1" thickTop="1" thickBot="1" x14ac:dyDescent="0.3">
      <c r="B36" s="60"/>
      <c r="C36" s="44"/>
      <c r="D36" s="216" t="s">
        <v>42</v>
      </c>
      <c r="E36" s="62"/>
      <c r="F36" s="63"/>
      <c r="G36" s="41"/>
      <c r="H36" s="256" t="str">
        <f ca="1">_xll.DBRA(Server&amp;$D$20,$D36,"French")</f>
        <v>Dédit formation</v>
      </c>
      <c r="I36" s="256"/>
      <c r="J36" s="256"/>
      <c r="K36" s="150"/>
      <c r="L36" s="151">
        <f ca="1">_xll.DBRW(Server&amp;Cube1,$J$12,$J$13,$J$14,$L$1,$J$11,$J$15,$D36)</f>
        <v>23504.36</v>
      </c>
      <c r="M36" s="151">
        <f ca="1">_xll.DBRW(Server&amp;Cube1,$J$12,$J$13,$J$14,$M$1,$J$11,$J$15,$D36)</f>
        <v>0</v>
      </c>
      <c r="N36" s="152">
        <f t="shared" ref="N36:N39" ca="1" si="26">L36-M36</f>
        <v>23504.36</v>
      </c>
      <c r="O36" s="153" t="str">
        <f t="shared" ref="O36:O39" ca="1" si="27">IF(ISERROR(N36/M36),"-",N36/M36)</f>
        <v>-</v>
      </c>
      <c r="P36" s="138"/>
      <c r="Q36" s="151">
        <f ca="1">_xll.DBRW(Server&amp;Cube1,$J$12,$J$13,$J$14,$Q$1,$J$11,$J$15,$D36)</f>
        <v>0</v>
      </c>
      <c r="R36" s="152">
        <f t="shared" ref="R36:R39" ca="1" si="28">L36-Q36</f>
        <v>23504.36</v>
      </c>
      <c r="S36" s="153" t="str">
        <f t="shared" ref="S36:S39" ca="1" si="29">IF(ISERROR(R36/Q36),"-",R36/Q36)</f>
        <v>-</v>
      </c>
      <c r="T36" s="138"/>
      <c r="U36" s="151">
        <f ca="1">_xll.DBRW(Server&amp;Cube1,$J$12,$J$13,$J$14,$U$1,$U$2,$J$15,$D36)</f>
        <v>-8449.26</v>
      </c>
      <c r="V36" s="152">
        <f ca="1">L36-U36</f>
        <v>31953.620000000003</v>
      </c>
      <c r="W36" s="153">
        <f ca="1">IF(ISERROR(V36/U36),"-",V36/U36)</f>
        <v>-3.781824680504565</v>
      </c>
      <c r="X36" s="65"/>
      <c r="Y36" s="31"/>
      <c r="Z36" s="9"/>
      <c r="AA36" s="66"/>
      <c r="AB36" s="66"/>
      <c r="AC36" s="9"/>
      <c r="AD36" s="9"/>
      <c r="AE36" s="9"/>
      <c r="AF36" s="9"/>
      <c r="AG36" s="9"/>
      <c r="AH36" s="9"/>
      <c r="AI36" s="9"/>
      <c r="AJ36" s="9"/>
      <c r="AK36" s="9"/>
      <c r="AL36" s="9"/>
      <c r="AM36" s="9"/>
      <c r="AN36" s="9"/>
      <c r="AO36" s="9"/>
      <c r="AP36" s="9"/>
      <c r="AQ36" s="9"/>
      <c r="AR36" s="9"/>
      <c r="AS36" s="9"/>
      <c r="AT36" s="9"/>
      <c r="AU36" s="9"/>
      <c r="AV36" s="9"/>
      <c r="AW36" s="9"/>
      <c r="AX36" s="9"/>
      <c r="AY36" s="9"/>
      <c r="AZ36" s="9"/>
      <c r="BA36" s="9"/>
      <c r="BB36" s="9"/>
      <c r="BC36" s="9"/>
      <c r="BD36" s="9"/>
      <c r="BE36" s="9"/>
      <c r="BF36" s="9"/>
      <c r="BG36" s="9"/>
      <c r="BH36" s="9"/>
      <c r="BI36" s="9"/>
      <c r="BJ36" s="9"/>
      <c r="BK36" s="9"/>
      <c r="BL36" s="9"/>
      <c r="BM36" s="9"/>
      <c r="BN36" s="9"/>
      <c r="BO36" s="9"/>
      <c r="BP36" s="9"/>
      <c r="BQ36" s="9"/>
      <c r="BR36" s="9"/>
      <c r="BS36" s="9"/>
      <c r="BT36" s="9"/>
      <c r="BU36" s="9"/>
      <c r="BV36" s="9"/>
      <c r="BW36" s="9"/>
      <c r="BX36" s="9"/>
      <c r="BY36" s="9"/>
      <c r="BZ36" s="9"/>
      <c r="CA36" s="9"/>
      <c r="CB36" s="9"/>
      <c r="CC36" s="9"/>
      <c r="CD36" s="9"/>
      <c r="CE36" s="9"/>
      <c r="CF36" s="9"/>
      <c r="CG36" s="9"/>
      <c r="CH36" s="9"/>
      <c r="CI36" s="9"/>
      <c r="CJ36" s="9"/>
      <c r="CK36" s="9"/>
      <c r="CL36" s="9"/>
      <c r="CM36" s="9"/>
      <c r="CN36" s="9"/>
      <c r="CO36" s="9"/>
      <c r="CP36" s="9"/>
      <c r="CQ36" s="9"/>
      <c r="CR36" s="9"/>
      <c r="CS36" s="9"/>
      <c r="CT36" s="9"/>
      <c r="CU36" s="9"/>
      <c r="CV36" s="9"/>
      <c r="CW36" s="9"/>
      <c r="CX36" s="9"/>
      <c r="CY36" s="9"/>
      <c r="CZ36" s="9"/>
      <c r="DA36" s="9"/>
      <c r="DB36" s="9"/>
      <c r="DC36" s="9"/>
      <c r="DD36" s="9"/>
      <c r="DE36" s="9"/>
      <c r="DF36" s="9"/>
      <c r="DG36" s="9"/>
      <c r="DH36" s="9"/>
      <c r="DI36" s="9"/>
      <c r="DJ36" s="9"/>
      <c r="DK36" s="9"/>
      <c r="DL36" s="9"/>
      <c r="DM36" s="9"/>
      <c r="DN36" s="9"/>
    </row>
    <row r="37" spans="1:118" s="37" customFormat="1" ht="23.25" customHeight="1" thickTop="1" x14ac:dyDescent="0.25">
      <c r="A37" s="221"/>
      <c r="B37" s="1"/>
      <c r="C37" s="44"/>
      <c r="D37" s="206" t="s">
        <v>174</v>
      </c>
      <c r="E37" s="68"/>
      <c r="F37" s="69"/>
      <c r="G37" s="234" t="s">
        <v>175</v>
      </c>
      <c r="H37" s="234"/>
      <c r="I37" s="234"/>
      <c r="J37" s="234"/>
      <c r="K37" s="154" t="s">
        <v>3</v>
      </c>
      <c r="L37" s="165">
        <f ca="1">SUM(L38:L39)</f>
        <v>94699.699999999983</v>
      </c>
      <c r="M37" s="165">
        <f ca="1">SUM(M38:M39)</f>
        <v>94138</v>
      </c>
      <c r="N37" s="165">
        <f ca="1">SUM(N38:N39)</f>
        <v>561.69999999998254</v>
      </c>
      <c r="O37" s="167">
        <f t="shared" ca="1" si="27"/>
        <v>5.9667721855146969E-3</v>
      </c>
      <c r="P37" s="132"/>
      <c r="Q37" s="165">
        <f ca="1">SUM(Q38:Q39)</f>
        <v>16767</v>
      </c>
      <c r="R37" s="166">
        <f ca="1">SUM(R38:R39)</f>
        <v>77932.699999999983</v>
      </c>
      <c r="S37" s="167">
        <f t="shared" ca="1" si="29"/>
        <v>4.6479811534561923</v>
      </c>
      <c r="T37" s="132"/>
      <c r="U37" s="165">
        <f ca="1">SUM(U38:U39)</f>
        <v>105731.2</v>
      </c>
      <c r="V37" s="166">
        <f ca="1">SUM(V38:V39)</f>
        <v>-11031.500000000015</v>
      </c>
      <c r="W37" s="167">
        <f t="shared" ref="W37:W39" ca="1" si="30">IF(ISERROR(V37/U37),"-",V37/U37)</f>
        <v>-0.10433533337368738</v>
      </c>
      <c r="X37" s="64"/>
      <c r="Y37" s="31"/>
      <c r="Z37" s="9"/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9"/>
      <c r="AL37" s="9"/>
      <c r="AM37" s="9"/>
      <c r="AN37" s="9"/>
      <c r="AO37" s="9"/>
      <c r="AP37" s="9"/>
      <c r="AQ37" s="9"/>
      <c r="AR37" s="9"/>
      <c r="AS37" s="9"/>
      <c r="AT37" s="9"/>
      <c r="AU37" s="9"/>
      <c r="AV37" s="9"/>
      <c r="AW37" s="9"/>
      <c r="AX37" s="9"/>
      <c r="AY37" s="9"/>
      <c r="AZ37" s="9"/>
      <c r="BA37" s="9"/>
      <c r="BB37" s="9"/>
      <c r="BC37" s="9"/>
      <c r="BD37" s="9"/>
      <c r="BE37" s="9"/>
      <c r="BF37" s="9"/>
      <c r="BG37" s="9"/>
      <c r="BH37" s="9"/>
      <c r="BI37" s="9"/>
      <c r="BJ37" s="9"/>
      <c r="BK37" s="9"/>
      <c r="BL37" s="9"/>
      <c r="BM37" s="9"/>
      <c r="BN37" s="9"/>
      <c r="BO37" s="9"/>
      <c r="BP37" s="9"/>
      <c r="BQ37" s="9"/>
      <c r="BR37" s="9"/>
      <c r="BS37" s="9"/>
      <c r="BT37" s="9"/>
      <c r="BU37" s="9"/>
      <c r="BV37" s="9"/>
      <c r="BW37" s="9"/>
      <c r="BX37" s="9"/>
      <c r="BY37" s="9"/>
      <c r="BZ37" s="9"/>
      <c r="CA37" s="9"/>
      <c r="CB37" s="9"/>
      <c r="CC37" s="9"/>
      <c r="CD37" s="9"/>
      <c r="CE37" s="9"/>
      <c r="CF37" s="9"/>
      <c r="CG37" s="9"/>
      <c r="CH37" s="9"/>
      <c r="CI37" s="9"/>
      <c r="CJ37" s="9"/>
      <c r="CK37" s="9"/>
      <c r="CL37" s="9"/>
      <c r="CM37" s="9"/>
      <c r="CN37" s="9"/>
      <c r="CO37" s="9"/>
      <c r="CP37" s="9"/>
      <c r="CQ37" s="9"/>
      <c r="CR37" s="9"/>
      <c r="CS37" s="9"/>
      <c r="CT37" s="9"/>
      <c r="CU37" s="9"/>
      <c r="CV37" s="9"/>
      <c r="CW37" s="9"/>
      <c r="CX37" s="9"/>
      <c r="CY37" s="9"/>
      <c r="CZ37" s="9"/>
      <c r="DA37" s="9"/>
      <c r="DB37" s="9"/>
      <c r="DC37" s="9"/>
      <c r="DD37" s="9"/>
      <c r="DE37" s="9"/>
      <c r="DF37" s="9"/>
      <c r="DG37" s="9"/>
      <c r="DH37" s="9"/>
      <c r="DI37" s="9"/>
      <c r="DJ37" s="9"/>
      <c r="DK37" s="9"/>
      <c r="DL37" s="9"/>
      <c r="DM37" s="9"/>
      <c r="DN37" s="9"/>
    </row>
    <row r="38" spans="1:118" ht="21" customHeight="1" x14ac:dyDescent="0.25">
      <c r="B38" s="60"/>
      <c r="C38" s="44"/>
      <c r="D38" s="216" t="s">
        <v>44</v>
      </c>
      <c r="E38" s="62"/>
      <c r="F38" s="63"/>
      <c r="G38" s="41"/>
      <c r="H38" s="256" t="str">
        <f ca="1">_xll.DBRA(Server&amp;$D$20,$D38,"French")</f>
        <v>Cartes CQC (produit)</v>
      </c>
      <c r="I38" s="256"/>
      <c r="J38" s="256"/>
      <c r="K38" s="150"/>
      <c r="L38" s="151">
        <f ca="1">_xll.DBRW(Server&amp;Cube1,$J$12,$J$13,$J$14,$L$1,$J$11,$J$15,$D38)</f>
        <v>94699.699999999983</v>
      </c>
      <c r="M38" s="151">
        <f ca="1">_xll.DBRW(Server&amp;Cube1,$J$12,$J$13,$J$14,$M$1,$J$11,$J$15,$D38)</f>
        <v>94138</v>
      </c>
      <c r="N38" s="152">
        <f ca="1">L38-M38</f>
        <v>561.69999999998254</v>
      </c>
      <c r="O38" s="153">
        <f t="shared" ca="1" si="27"/>
        <v>5.9667721855146969E-3</v>
      </c>
      <c r="P38" s="138"/>
      <c r="Q38" s="151">
        <f ca="1">_xll.DBRW(Server&amp;Cube1,$J$12,$J$13,$J$14,$Q$1,$J$11,$J$15,$D38)</f>
        <v>16767</v>
      </c>
      <c r="R38" s="152">
        <f t="shared" ca="1" si="28"/>
        <v>77932.699999999983</v>
      </c>
      <c r="S38" s="153">
        <f t="shared" ca="1" si="29"/>
        <v>4.6479811534561923</v>
      </c>
      <c r="T38" s="138"/>
      <c r="U38" s="151">
        <f ca="1">_xll.DBRW(Server&amp;Cube1,$J$12,$J$13,$J$14,$U$1,$U$2,$J$15,$D38)</f>
        <v>105731.2</v>
      </c>
      <c r="V38" s="152">
        <f t="shared" ref="V38:V39" ca="1" si="31">L38-U38</f>
        <v>-11031.500000000015</v>
      </c>
      <c r="W38" s="153">
        <f t="shared" ca="1" si="30"/>
        <v>-0.10433533337368738</v>
      </c>
      <c r="X38" s="65"/>
      <c r="Y38" s="31"/>
      <c r="Z38" s="9"/>
      <c r="AA38" s="66"/>
      <c r="AB38" s="66"/>
      <c r="AC38" s="9"/>
      <c r="AD38" s="9"/>
      <c r="AE38" s="9"/>
      <c r="AF38" s="9"/>
      <c r="AG38" s="9"/>
      <c r="AH38" s="9"/>
      <c r="AI38" s="9"/>
      <c r="AJ38" s="9"/>
      <c r="AK38" s="9"/>
      <c r="AL38" s="9"/>
      <c r="AM38" s="9"/>
      <c r="AN38" s="9"/>
      <c r="AO38" s="9"/>
      <c r="AP38" s="9"/>
      <c r="AQ38" s="9"/>
      <c r="AR38" s="9"/>
      <c r="AS38" s="9"/>
      <c r="AT38" s="9"/>
      <c r="AU38" s="9"/>
      <c r="AV38" s="9"/>
      <c r="AW38" s="9"/>
      <c r="AX38" s="9"/>
      <c r="AY38" s="9"/>
      <c r="AZ38" s="9"/>
      <c r="BA38" s="9"/>
      <c r="BB38" s="9"/>
      <c r="BC38" s="9"/>
      <c r="BD38" s="9"/>
      <c r="BE38" s="9"/>
      <c r="BF38" s="9"/>
      <c r="BG38" s="9"/>
      <c r="BH38" s="9"/>
      <c r="BI38" s="9"/>
      <c r="BJ38" s="9"/>
      <c r="BK38" s="9"/>
      <c r="BL38" s="9"/>
      <c r="BM38" s="9"/>
      <c r="BN38" s="9"/>
      <c r="BO38" s="9"/>
      <c r="BP38" s="9"/>
      <c r="BQ38" s="9"/>
      <c r="BR38" s="9"/>
      <c r="BS38" s="9"/>
      <c r="BT38" s="9"/>
      <c r="BU38" s="9"/>
      <c r="BV38" s="9"/>
      <c r="BW38" s="9"/>
      <c r="BX38" s="9"/>
      <c r="BY38" s="9"/>
      <c r="BZ38" s="9"/>
      <c r="CA38" s="9"/>
      <c r="CB38" s="9"/>
      <c r="CC38" s="9"/>
      <c r="CD38" s="9"/>
      <c r="CE38" s="9"/>
      <c r="CF38" s="9"/>
      <c r="CG38" s="9"/>
      <c r="CH38" s="9"/>
      <c r="CI38" s="9"/>
      <c r="CJ38" s="9"/>
      <c r="CK38" s="9"/>
      <c r="CL38" s="9"/>
      <c r="CM38" s="9"/>
      <c r="CN38" s="9"/>
      <c r="CO38" s="9"/>
      <c r="CP38" s="9"/>
      <c r="CQ38" s="9"/>
      <c r="CR38" s="9"/>
      <c r="CS38" s="9"/>
      <c r="CT38" s="9"/>
      <c r="CU38" s="9"/>
      <c r="CV38" s="9"/>
      <c r="CW38" s="9"/>
      <c r="CX38" s="9"/>
      <c r="CY38" s="9"/>
      <c r="CZ38" s="9"/>
      <c r="DA38" s="9"/>
      <c r="DB38" s="9"/>
      <c r="DC38" s="9"/>
      <c r="DD38" s="9"/>
      <c r="DE38" s="9"/>
      <c r="DF38" s="9"/>
      <c r="DG38" s="9"/>
      <c r="DH38" s="9"/>
      <c r="DI38" s="9"/>
      <c r="DJ38" s="9"/>
      <c r="DK38" s="9"/>
      <c r="DL38" s="9"/>
      <c r="DM38" s="9"/>
      <c r="DN38" s="9"/>
    </row>
    <row r="39" spans="1:118" ht="21" customHeight="1" x14ac:dyDescent="0.25">
      <c r="B39" s="60"/>
      <c r="C39" s="44"/>
      <c r="D39" s="216" t="s">
        <v>45</v>
      </c>
      <c r="E39" s="62"/>
      <c r="F39" s="63"/>
      <c r="G39" s="41"/>
      <c r="H39" s="256" t="str">
        <f ca="1">_xll.DBRA(Server&amp;$D$20,$D39,"French")</f>
        <v>Autres</v>
      </c>
      <c r="I39" s="256"/>
      <c r="J39" s="256"/>
      <c r="K39" s="150"/>
      <c r="L39" s="151">
        <f ca="1">_xll.DBRW(Server&amp;Cube1,$J$12,$J$13,$J$14,$L$1,$J$11,$J$15,$D39)</f>
        <v>0</v>
      </c>
      <c r="M39" s="151">
        <f ca="1">_xll.DBRW(Server&amp;Cube1,$J$12,$J$13,$J$14,$M$1,$J$11,$J$15,$D39)</f>
        <v>0</v>
      </c>
      <c r="N39" s="152">
        <f t="shared" ca="1" si="26"/>
        <v>0</v>
      </c>
      <c r="O39" s="153" t="str">
        <f t="shared" ca="1" si="27"/>
        <v>-</v>
      </c>
      <c r="P39" s="138"/>
      <c r="Q39" s="151">
        <f ca="1">_xll.DBRW(Server&amp;Cube1,$J$12,$J$13,$J$14,$Q$1,$J$11,$J$15,$D39)</f>
        <v>0</v>
      </c>
      <c r="R39" s="152">
        <f t="shared" ca="1" si="28"/>
        <v>0</v>
      </c>
      <c r="S39" s="153" t="str">
        <f t="shared" ca="1" si="29"/>
        <v>-</v>
      </c>
      <c r="T39" s="138"/>
      <c r="U39" s="151">
        <f ca="1">_xll.DBRW(Server&amp;Cube1,$J$12,$J$13,$J$14,$U$1,$U$2,$J$15,$D39)</f>
        <v>0</v>
      </c>
      <c r="V39" s="152">
        <f t="shared" ca="1" si="31"/>
        <v>0</v>
      </c>
      <c r="W39" s="153" t="str">
        <f t="shared" ca="1" si="30"/>
        <v>-</v>
      </c>
      <c r="X39" s="65"/>
      <c r="Y39" s="31"/>
      <c r="Z39" s="9"/>
      <c r="AA39" s="66"/>
      <c r="AB39" s="66"/>
      <c r="AC39" s="9"/>
      <c r="AD39" s="9"/>
      <c r="AE39" s="9"/>
      <c r="AF39" s="9"/>
      <c r="AG39" s="9"/>
      <c r="AH39" s="9"/>
      <c r="AI39" s="9"/>
      <c r="AJ39" s="9"/>
      <c r="AK39" s="9"/>
      <c r="AL39" s="9"/>
      <c r="AM39" s="9"/>
      <c r="AN39" s="9"/>
      <c r="AO39" s="9"/>
      <c r="AP39" s="9"/>
      <c r="AQ39" s="9"/>
      <c r="AR39" s="9"/>
      <c r="AS39" s="9"/>
      <c r="AT39" s="9"/>
      <c r="AU39" s="9"/>
      <c r="AV39" s="9"/>
      <c r="AW39" s="9"/>
      <c r="AX39" s="9"/>
      <c r="AY39" s="9"/>
      <c r="AZ39" s="9"/>
      <c r="BA39" s="9"/>
      <c r="BB39" s="9"/>
      <c r="BC39" s="9"/>
      <c r="BD39" s="9"/>
      <c r="BE39" s="9"/>
      <c r="BF39" s="9"/>
      <c r="BG39" s="9"/>
      <c r="BH39" s="9"/>
      <c r="BI39" s="9"/>
      <c r="BJ39" s="9"/>
      <c r="BK39" s="9"/>
      <c r="BL39" s="9"/>
      <c r="BM39" s="9"/>
      <c r="BN39" s="9"/>
      <c r="BO39" s="9"/>
      <c r="BP39" s="9"/>
      <c r="BQ39" s="9"/>
      <c r="BR39" s="9"/>
      <c r="BS39" s="9"/>
      <c r="BT39" s="9"/>
      <c r="BU39" s="9"/>
      <c r="BV39" s="9"/>
      <c r="BW39" s="9"/>
      <c r="BX39" s="9"/>
      <c r="BY39" s="9"/>
      <c r="BZ39" s="9"/>
      <c r="CA39" s="9"/>
      <c r="CB39" s="9"/>
      <c r="CC39" s="9"/>
      <c r="CD39" s="9"/>
      <c r="CE39" s="9"/>
      <c r="CF39" s="9"/>
      <c r="CG39" s="9"/>
      <c r="CH39" s="9"/>
      <c r="CI39" s="9"/>
      <c r="CJ39" s="9"/>
      <c r="CK39" s="9"/>
      <c r="CL39" s="9"/>
      <c r="CM39" s="9"/>
      <c r="CN39" s="9"/>
      <c r="CO39" s="9"/>
      <c r="CP39" s="9"/>
      <c r="CQ39" s="9"/>
      <c r="CR39" s="9"/>
      <c r="CS39" s="9"/>
      <c r="CT39" s="9"/>
      <c r="CU39" s="9"/>
      <c r="CV39" s="9"/>
      <c r="CW39" s="9"/>
      <c r="CX39" s="9"/>
      <c r="CY39" s="9"/>
      <c r="CZ39" s="9"/>
      <c r="DA39" s="9"/>
      <c r="DB39" s="9"/>
      <c r="DC39" s="9"/>
      <c r="DD39" s="9"/>
      <c r="DE39" s="9"/>
      <c r="DF39" s="9"/>
      <c r="DG39" s="9"/>
      <c r="DH39" s="9"/>
      <c r="DI39" s="9"/>
      <c r="DJ39" s="9"/>
      <c r="DK39" s="9"/>
      <c r="DL39" s="9"/>
      <c r="DM39" s="9"/>
      <c r="DN39" s="9"/>
    </row>
    <row r="40" spans="1:118" ht="9" customHeight="1" x14ac:dyDescent="0.25">
      <c r="C40" s="44"/>
      <c r="D40" s="207"/>
      <c r="E40" s="68"/>
      <c r="F40" s="69"/>
      <c r="G40" s="70"/>
      <c r="H40" s="71"/>
      <c r="I40" s="72"/>
      <c r="J40" s="72"/>
      <c r="K40" s="73"/>
      <c r="L40" s="74"/>
      <c r="M40" s="74"/>
      <c r="N40" s="75"/>
      <c r="O40" s="76"/>
      <c r="P40" s="77"/>
      <c r="Q40" s="74"/>
      <c r="R40" s="75"/>
      <c r="S40" s="76"/>
      <c r="T40" s="77"/>
      <c r="U40" s="74"/>
      <c r="V40" s="75"/>
      <c r="W40" s="76"/>
      <c r="X40" s="65"/>
      <c r="Y40" s="31"/>
      <c r="Z40" s="78"/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9"/>
      <c r="AL40" s="9"/>
      <c r="AM40" s="9"/>
      <c r="AN40" s="9"/>
      <c r="AO40" s="9"/>
      <c r="AP40" s="9"/>
      <c r="AQ40" s="9"/>
      <c r="AR40" s="9"/>
      <c r="AS40" s="9"/>
      <c r="AT40" s="9"/>
      <c r="AU40" s="9"/>
      <c r="AV40" s="9"/>
      <c r="AW40" s="9"/>
      <c r="AX40" s="9"/>
      <c r="AY40" s="9"/>
      <c r="AZ40" s="9"/>
      <c r="BA40" s="9"/>
      <c r="BB40" s="9"/>
      <c r="BC40" s="9"/>
      <c r="BD40" s="9"/>
      <c r="BE40" s="9"/>
      <c r="BF40" s="9"/>
      <c r="BG40" s="9"/>
      <c r="BH40" s="9"/>
      <c r="BI40" s="9"/>
      <c r="BJ40" s="9"/>
      <c r="BK40" s="9"/>
      <c r="BL40" s="9"/>
      <c r="BM40" s="9"/>
      <c r="BN40" s="9"/>
      <c r="BO40" s="9"/>
      <c r="BP40" s="9"/>
      <c r="BQ40" s="9"/>
      <c r="BR40" s="9"/>
      <c r="BS40" s="9"/>
      <c r="BT40" s="9"/>
      <c r="BU40" s="9"/>
      <c r="BV40" s="9"/>
      <c r="BW40" s="9"/>
      <c r="BX40" s="9"/>
      <c r="BY40" s="9"/>
      <c r="BZ40" s="9"/>
      <c r="CA40" s="9"/>
      <c r="CB40" s="9"/>
      <c r="CC40" s="9"/>
      <c r="CD40" s="9"/>
      <c r="CE40" s="9"/>
      <c r="CF40" s="9"/>
      <c r="CG40" s="9"/>
      <c r="CH40" s="9"/>
      <c r="CI40" s="9"/>
      <c r="CJ40" s="9"/>
      <c r="CK40" s="9"/>
      <c r="CL40" s="9"/>
      <c r="CM40" s="9"/>
      <c r="CN40" s="9"/>
      <c r="CO40" s="9"/>
      <c r="CP40" s="9"/>
      <c r="CQ40" s="9"/>
      <c r="CR40" s="9"/>
      <c r="CS40" s="9"/>
      <c r="CT40" s="9"/>
      <c r="CU40" s="9"/>
      <c r="CV40" s="9"/>
      <c r="CW40" s="9"/>
      <c r="CX40" s="9"/>
      <c r="CY40" s="9"/>
      <c r="CZ40" s="9"/>
      <c r="DA40" s="9"/>
      <c r="DB40" s="9"/>
      <c r="DC40" s="9"/>
      <c r="DD40" s="9"/>
      <c r="DE40" s="9"/>
      <c r="DF40" s="9"/>
      <c r="DG40" s="9"/>
      <c r="DH40" s="9"/>
      <c r="DI40" s="9"/>
      <c r="DJ40" s="9"/>
      <c r="DK40" s="9"/>
      <c r="DL40" s="9"/>
      <c r="DM40" s="9"/>
      <c r="DN40" s="9"/>
    </row>
    <row r="41" spans="1:118" s="139" customFormat="1" ht="22.5" customHeight="1" x14ac:dyDescent="0.25">
      <c r="B41" s="140"/>
      <c r="C41" s="44"/>
      <c r="D41" s="208" t="s">
        <v>46</v>
      </c>
      <c r="E41" s="141"/>
      <c r="F41" s="142"/>
      <c r="G41" s="235" t="str">
        <f ca="1">_xll.DBRA(Server&amp;$D$20,$D41,"French")</f>
        <v>Total Produits</v>
      </c>
      <c r="H41" s="236"/>
      <c r="I41" s="236"/>
      <c r="J41" s="237"/>
      <c r="K41" s="143"/>
      <c r="L41" s="144">
        <f ca="1">+L23+L31+L32+L33+L37</f>
        <v>4254835.51</v>
      </c>
      <c r="M41" s="144">
        <f ca="1">+M23+M31+M32+M33+M37</f>
        <v>3250382</v>
      </c>
      <c r="N41" s="146">
        <f ca="1">L41-M41</f>
        <v>1004453.5099999998</v>
      </c>
      <c r="O41" s="161">
        <f ca="1">IF(ISERROR(N41/M41),"-",N41/M41)</f>
        <v>0.30902629598613324</v>
      </c>
      <c r="P41" s="132"/>
      <c r="Q41" s="145">
        <f ca="1">+Q23+Q31+Q32+Q33+Q37</f>
        <v>1684227.8599999999</v>
      </c>
      <c r="R41" s="145">
        <f ca="1">+R23+R31+R32+R33+R37</f>
        <v>2570607.65</v>
      </c>
      <c r="S41" s="161">
        <f ca="1">IF(ISERROR(R41/Q41),"-",R41/Q41)</f>
        <v>1.5262825838779321</v>
      </c>
      <c r="T41" s="132"/>
      <c r="U41" s="144">
        <f ca="1">+U23+U31+U32+U33+U37</f>
        <v>3287372.8000000007</v>
      </c>
      <c r="V41" s="146">
        <f ca="1">L41-U41</f>
        <v>967462.70999999903</v>
      </c>
      <c r="W41" s="161">
        <f ca="1">IF(ISERROR(V41/U41),"-",V41/U41)</f>
        <v>0.29429662191035916</v>
      </c>
      <c r="X41" s="147"/>
      <c r="Y41" s="148"/>
      <c r="Z41" s="149"/>
      <c r="AA41" s="149"/>
      <c r="AB41" s="149"/>
      <c r="AC41" s="149"/>
      <c r="AD41" s="149"/>
      <c r="AE41" s="149"/>
      <c r="AF41" s="149"/>
      <c r="AG41" s="149"/>
      <c r="AH41" s="149"/>
      <c r="AI41" s="149"/>
      <c r="AJ41" s="149"/>
      <c r="AK41" s="149"/>
      <c r="AL41" s="149"/>
      <c r="AM41" s="149"/>
      <c r="AN41" s="149"/>
      <c r="AO41" s="149"/>
      <c r="AP41" s="149"/>
      <c r="AQ41" s="149"/>
      <c r="AR41" s="149"/>
      <c r="AS41" s="149"/>
      <c r="AT41" s="149"/>
      <c r="AU41" s="149"/>
      <c r="AV41" s="149"/>
      <c r="AW41" s="149"/>
      <c r="AX41" s="149"/>
      <c r="AY41" s="149"/>
      <c r="AZ41" s="149"/>
      <c r="BA41" s="149"/>
      <c r="BB41" s="149"/>
      <c r="BC41" s="149"/>
      <c r="BD41" s="149"/>
      <c r="BE41" s="149"/>
      <c r="BF41" s="149"/>
      <c r="BG41" s="149"/>
      <c r="BH41" s="149"/>
      <c r="BI41" s="149"/>
      <c r="BJ41" s="149"/>
      <c r="BK41" s="149"/>
      <c r="BL41" s="149"/>
      <c r="BM41" s="149"/>
      <c r="BN41" s="149"/>
      <c r="BO41" s="149"/>
      <c r="BP41" s="149"/>
      <c r="BQ41" s="149"/>
      <c r="BR41" s="149"/>
      <c r="BS41" s="149"/>
      <c r="BT41" s="149"/>
      <c r="BU41" s="149"/>
      <c r="BV41" s="149"/>
      <c r="BW41" s="149"/>
      <c r="BX41" s="149"/>
      <c r="BY41" s="149"/>
      <c r="BZ41" s="149"/>
      <c r="CA41" s="149"/>
      <c r="CB41" s="149"/>
      <c r="CC41" s="149"/>
      <c r="CD41" s="149"/>
      <c r="CE41" s="149"/>
      <c r="CF41" s="149"/>
      <c r="CG41" s="149"/>
      <c r="CH41" s="149"/>
      <c r="CI41" s="149"/>
      <c r="CJ41" s="149"/>
      <c r="CK41" s="149"/>
      <c r="CL41" s="149"/>
      <c r="CM41" s="149"/>
      <c r="CN41" s="149"/>
      <c r="CO41" s="149"/>
      <c r="CP41" s="149"/>
      <c r="CQ41" s="149"/>
      <c r="CR41" s="149"/>
      <c r="CS41" s="149"/>
      <c r="CT41" s="149"/>
      <c r="CU41" s="149"/>
      <c r="CV41" s="149"/>
      <c r="CW41" s="149"/>
      <c r="CX41" s="149"/>
      <c r="CY41" s="149"/>
      <c r="CZ41" s="149"/>
      <c r="DA41" s="149"/>
      <c r="DB41" s="149"/>
      <c r="DC41" s="149"/>
      <c r="DD41" s="149"/>
      <c r="DE41" s="149"/>
      <c r="DF41" s="149"/>
      <c r="DG41" s="149"/>
      <c r="DH41" s="149"/>
      <c r="DI41" s="149"/>
      <c r="DJ41" s="149"/>
      <c r="DK41" s="149"/>
      <c r="DL41" s="149"/>
      <c r="DM41" s="149"/>
      <c r="DN41" s="149"/>
    </row>
    <row r="42" spans="1:118" ht="20.25" customHeight="1" thickBot="1" x14ac:dyDescent="0.3">
      <c r="C42" s="44"/>
      <c r="D42" s="206"/>
      <c r="E42" s="62"/>
      <c r="F42" s="63"/>
      <c r="G42" s="82"/>
      <c r="H42" s="82"/>
      <c r="I42" s="64"/>
      <c r="J42" s="64"/>
      <c r="K42" s="64"/>
      <c r="L42" s="83"/>
      <c r="M42" s="83"/>
      <c r="N42" s="83"/>
      <c r="O42" s="84"/>
      <c r="P42" s="83"/>
      <c r="Q42" s="83"/>
      <c r="R42" s="83"/>
      <c r="S42" s="84"/>
      <c r="T42" s="83"/>
      <c r="U42" s="83"/>
      <c r="V42" s="83"/>
      <c r="W42" s="84"/>
      <c r="X42" s="64"/>
      <c r="Y42" s="31"/>
      <c r="Z42" s="9"/>
      <c r="AA42" s="85"/>
      <c r="AB42" s="85"/>
      <c r="AC42" s="85"/>
      <c r="AD42" s="85"/>
      <c r="AE42" s="85"/>
      <c r="AF42" s="85"/>
      <c r="AG42" s="85"/>
      <c r="AH42" s="85"/>
      <c r="AI42" s="85"/>
      <c r="AJ42" s="85"/>
      <c r="AK42" s="85"/>
      <c r="AL42" s="85"/>
      <c r="AM42" s="85"/>
      <c r="AN42" s="85"/>
      <c r="AO42" s="85"/>
      <c r="AP42" s="85"/>
      <c r="AQ42" s="85"/>
      <c r="AR42" s="85"/>
      <c r="AS42" s="85"/>
      <c r="AT42" s="85"/>
      <c r="AU42" s="85"/>
      <c r="AV42" s="85"/>
      <c r="AW42" s="85"/>
      <c r="AX42" s="85"/>
      <c r="AY42" s="85"/>
      <c r="AZ42" s="85"/>
      <c r="BA42" s="85"/>
      <c r="BB42" s="85"/>
      <c r="BC42" s="85"/>
      <c r="BD42" s="85"/>
      <c r="BE42" s="85"/>
      <c r="BF42" s="85"/>
      <c r="BG42" s="85"/>
      <c r="BH42" s="85"/>
      <c r="BI42" s="85"/>
      <c r="BJ42" s="85"/>
      <c r="BK42" s="85"/>
      <c r="BL42" s="85"/>
      <c r="BM42" s="85"/>
      <c r="BN42" s="85"/>
      <c r="BO42" s="85"/>
      <c r="BP42" s="85"/>
      <c r="BQ42" s="85"/>
      <c r="BR42" s="85"/>
      <c r="BS42" s="85"/>
      <c r="BT42" s="85"/>
      <c r="BU42" s="85"/>
      <c r="BV42" s="85"/>
      <c r="BW42" s="85"/>
      <c r="BX42" s="85"/>
      <c r="BY42" s="85"/>
      <c r="BZ42" s="85"/>
      <c r="CA42" s="85"/>
      <c r="CB42" s="85"/>
      <c r="CC42" s="85"/>
      <c r="CD42" s="85"/>
      <c r="CE42" s="85"/>
      <c r="CF42" s="85"/>
      <c r="CG42" s="85"/>
      <c r="CH42" s="85"/>
      <c r="CI42" s="85"/>
      <c r="CJ42" s="85"/>
      <c r="CK42" s="85"/>
      <c r="CL42" s="85"/>
      <c r="CM42" s="85"/>
      <c r="CN42" s="85"/>
      <c r="CO42" s="85"/>
      <c r="CP42" s="85"/>
      <c r="CQ42" s="85"/>
      <c r="CR42" s="85"/>
      <c r="CS42" s="85"/>
      <c r="CT42" s="85"/>
      <c r="CU42" s="85"/>
      <c r="CV42" s="85"/>
      <c r="CW42" s="85"/>
      <c r="CX42" s="85"/>
      <c r="CY42" s="85"/>
      <c r="CZ42" s="85"/>
      <c r="DA42" s="85"/>
      <c r="DB42" s="85"/>
      <c r="DC42" s="85"/>
      <c r="DD42" s="85"/>
      <c r="DE42" s="85"/>
      <c r="DF42" s="85"/>
      <c r="DG42" s="85"/>
      <c r="DH42" s="85"/>
      <c r="DI42" s="85"/>
      <c r="DJ42" s="85"/>
      <c r="DK42" s="85"/>
      <c r="DL42" s="85"/>
      <c r="DM42" s="85"/>
      <c r="DN42" s="85"/>
    </row>
    <row r="43" spans="1:118" s="37" customFormat="1" ht="23.25" customHeight="1" collapsed="1" thickTop="1" x14ac:dyDescent="0.25">
      <c r="A43" s="10"/>
      <c r="B43" s="1"/>
      <c r="C43" s="44"/>
      <c r="D43" s="215" t="s">
        <v>47</v>
      </c>
      <c r="E43" s="68"/>
      <c r="F43" s="69"/>
      <c r="G43" s="234" t="str">
        <f ca="1">_xll.DBRA(Server&amp;$D$20,$D43,"French")</f>
        <v>Formateurs et autres frais de personnel directs (interne groupe)</v>
      </c>
      <c r="H43" s="234" t="str">
        <f ca="1">_xll.DBRA(Server&amp;$D$20,$D43,"French")</f>
        <v>Formateurs et autres frais de personnel directs (interne groupe)</v>
      </c>
      <c r="I43" s="234"/>
      <c r="J43" s="234"/>
      <c r="K43" s="154" t="s">
        <v>3</v>
      </c>
      <c r="L43" s="165">
        <f ca="1">L44+L45+L46</f>
        <v>-737765.15</v>
      </c>
      <c r="M43" s="165">
        <f ca="1">M44+M45+M46</f>
        <v>-455312.99999999994</v>
      </c>
      <c r="N43" s="166">
        <f ca="1">L43-M43</f>
        <v>-282452.15000000008</v>
      </c>
      <c r="O43" s="167">
        <f t="shared" ref="O43:O44" ca="1" si="32">IF(ISERROR(N43/M43),"-",N43/M43)</f>
        <v>0.62034721169832652</v>
      </c>
      <c r="P43" s="132"/>
      <c r="Q43" s="165">
        <f ca="1">Q44+Q45+Q46</f>
        <v>-239058.06000000003</v>
      </c>
      <c r="R43" s="166">
        <f t="shared" ref="R43:R45" ca="1" si="33">L43-Q43</f>
        <v>-498707.08999999997</v>
      </c>
      <c r="S43" s="167">
        <f t="shared" ref="S43:S45" ca="1" si="34">IF(ISERROR(R43/Q43),"-",R43/Q43)</f>
        <v>2.0861337618150166</v>
      </c>
      <c r="T43" s="132"/>
      <c r="U43" s="165">
        <f ca="1">U44+U45+U46</f>
        <v>-660081.39999999991</v>
      </c>
      <c r="V43" s="166">
        <f ca="1">L43-U43</f>
        <v>-77683.750000000116</v>
      </c>
      <c r="W43" s="167">
        <f t="shared" ref="W43:W45" ca="1" si="35">IF(ISERROR(V43/U43),"-",V43/U43)</f>
        <v>0.1176881366449655</v>
      </c>
      <c r="X43" s="64"/>
      <c r="Y43" s="31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9"/>
      <c r="BO43" s="9"/>
      <c r="BP43" s="9"/>
      <c r="BQ43" s="9"/>
      <c r="BR43" s="9"/>
      <c r="BS43" s="9"/>
      <c r="BT43" s="9"/>
      <c r="BU43" s="9"/>
      <c r="BV43" s="9"/>
      <c r="BW43" s="9"/>
      <c r="BX43" s="9"/>
      <c r="BY43" s="9"/>
      <c r="BZ43" s="9"/>
      <c r="CA43" s="9"/>
      <c r="CB43" s="9"/>
      <c r="CC43" s="9"/>
      <c r="CD43" s="9"/>
      <c r="CE43" s="9"/>
      <c r="CF43" s="9"/>
      <c r="CG43" s="9"/>
      <c r="CH43" s="9"/>
      <c r="CI43" s="9"/>
      <c r="CJ43" s="9"/>
      <c r="CK43" s="9"/>
      <c r="CL43" s="9"/>
      <c r="CM43" s="9"/>
      <c r="CN43" s="9"/>
      <c r="CO43" s="9"/>
      <c r="CP43" s="9"/>
      <c r="CQ43" s="9"/>
      <c r="CR43" s="9"/>
      <c r="CS43" s="9"/>
      <c r="CT43" s="9"/>
      <c r="CU43" s="9"/>
      <c r="CV43" s="9"/>
      <c r="CW43" s="9"/>
      <c r="CX43" s="9"/>
      <c r="CY43" s="9"/>
      <c r="CZ43" s="9"/>
      <c r="DA43" s="9"/>
      <c r="DB43" s="9"/>
      <c r="DC43" s="9"/>
      <c r="DD43" s="9"/>
      <c r="DE43" s="9"/>
      <c r="DF43" s="9"/>
      <c r="DG43" s="9"/>
      <c r="DH43" s="9"/>
      <c r="DI43" s="9"/>
      <c r="DJ43" s="9"/>
      <c r="DK43" s="9"/>
      <c r="DL43" s="9"/>
      <c r="DM43" s="9"/>
      <c r="DN43" s="9"/>
    </row>
    <row r="44" spans="1:118" ht="21" customHeight="1" x14ac:dyDescent="0.25">
      <c r="B44" s="60"/>
      <c r="C44" s="44"/>
      <c r="D44" s="216" t="s">
        <v>48</v>
      </c>
      <c r="E44" s="62"/>
      <c r="F44" s="63"/>
      <c r="G44" s="41"/>
      <c r="H44" s="256" t="str">
        <f ca="1">_xll.DBRA(Server&amp;$D$20,$D44,"French")</f>
        <v>MAD formateurs</v>
      </c>
      <c r="I44" s="256"/>
      <c r="J44" s="256"/>
      <c r="K44" s="150"/>
      <c r="L44" s="151">
        <f ca="1">_xll.DBRW(Server&amp;Cube1,$J$12,$J$13,$J$14,$L$1,$J$11,$J$15,$D44)</f>
        <v>-442925.08000000007</v>
      </c>
      <c r="M44" s="151">
        <f ca="1">_xll.DBRW(Server&amp;Cube1,$J$12,$J$13,$J$14,$M$1,$J$11,$J$15,$D44)</f>
        <v>-360772.99999999994</v>
      </c>
      <c r="N44" s="152">
        <f t="shared" ref="N44" ca="1" si="36">L44-M44</f>
        <v>-82152.080000000133</v>
      </c>
      <c r="O44" s="153">
        <f t="shared" ca="1" si="32"/>
        <v>0.22771127551119441</v>
      </c>
      <c r="P44" s="138"/>
      <c r="Q44" s="151">
        <f ca="1">_xll.DBRW(Server&amp;Cube1,$J$12,$J$13,$J$14,$Q$1,$J$11,$J$15,$D44)</f>
        <v>-214457.94000000003</v>
      </c>
      <c r="R44" s="152">
        <f t="shared" ca="1" si="33"/>
        <v>-228467.14000000004</v>
      </c>
      <c r="S44" s="153">
        <f t="shared" ca="1" si="34"/>
        <v>1.0653237646505418</v>
      </c>
      <c r="T44" s="138"/>
      <c r="U44" s="151">
        <f ca="1">_xll.DBRW(Server&amp;Cube1,$J$12,$J$13,$J$14,$U$1,$U$2,$J$15,$D44)</f>
        <v>-523153.11</v>
      </c>
      <c r="V44" s="152">
        <f t="shared" ref="V44" ca="1" si="37">L44-U44</f>
        <v>80228.029999999912</v>
      </c>
      <c r="W44" s="153">
        <f t="shared" ca="1" si="35"/>
        <v>-0.15335477982726683</v>
      </c>
      <c r="X44" s="65"/>
      <c r="Y44" s="31"/>
      <c r="Z44" s="228"/>
      <c r="AA44" s="226"/>
      <c r="AB44" s="66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9"/>
      <c r="BO44" s="9"/>
      <c r="BP44" s="9"/>
      <c r="BQ44" s="9"/>
      <c r="BR44" s="9"/>
      <c r="BS44" s="9"/>
      <c r="BT44" s="9"/>
      <c r="BU44" s="9"/>
      <c r="BV44" s="9"/>
      <c r="BW44" s="9"/>
      <c r="BX44" s="9"/>
      <c r="BY44" s="9"/>
      <c r="BZ44" s="9"/>
      <c r="CA44" s="9"/>
      <c r="CB44" s="9"/>
      <c r="CC44" s="9"/>
      <c r="CD44" s="9"/>
      <c r="CE44" s="9"/>
      <c r="CF44" s="9"/>
      <c r="CG44" s="9"/>
      <c r="CH44" s="9"/>
      <c r="CI44" s="9"/>
      <c r="CJ44" s="9"/>
      <c r="CK44" s="9"/>
      <c r="CL44" s="9"/>
      <c r="CM44" s="9"/>
      <c r="CN44" s="9"/>
      <c r="CO44" s="9"/>
      <c r="CP44" s="9"/>
      <c r="CQ44" s="9"/>
      <c r="CR44" s="9"/>
      <c r="CS44" s="9"/>
      <c r="CT44" s="9"/>
      <c r="CU44" s="9"/>
      <c r="CV44" s="9"/>
      <c r="CW44" s="9"/>
      <c r="CX44" s="9"/>
      <c r="CY44" s="9"/>
      <c r="CZ44" s="9"/>
      <c r="DA44" s="9"/>
      <c r="DB44" s="9"/>
      <c r="DC44" s="9"/>
      <c r="DD44" s="9"/>
      <c r="DE44" s="9"/>
      <c r="DF44" s="9"/>
      <c r="DG44" s="9"/>
      <c r="DH44" s="9"/>
      <c r="DI44" s="9"/>
      <c r="DJ44" s="9"/>
      <c r="DK44" s="9"/>
      <c r="DL44" s="9"/>
      <c r="DM44" s="9"/>
      <c r="DN44" s="9"/>
    </row>
    <row r="45" spans="1:118" ht="21" customHeight="1" thickBot="1" x14ac:dyDescent="0.3">
      <c r="B45" s="60"/>
      <c r="C45" s="44"/>
      <c r="D45" s="203" t="s">
        <v>49</v>
      </c>
      <c r="E45" s="62"/>
      <c r="F45" s="63"/>
      <c r="G45" s="41"/>
      <c r="H45" s="257" t="str">
        <f ca="1">_xll.DBRA(Server&amp;$D$20,$D45,"French")</f>
        <v>Frais du formateur</v>
      </c>
      <c r="I45" s="257"/>
      <c r="J45" s="257"/>
      <c r="K45" s="150"/>
      <c r="L45" s="168">
        <f ca="1">_xll.DBRW(Server&amp;Cube1,$J$12,$J$13,$J$14,$L$1,$J$11,$J$15,$D45)</f>
        <v>-226950.59999999998</v>
      </c>
      <c r="M45" s="168">
        <f ca="1">_xll.DBRW(Server&amp;Cube1,$J$12,$J$13,$J$14,$M$1,$J$11,$J$15,$D45)</f>
        <v>-35999.999999999993</v>
      </c>
      <c r="N45" s="169">
        <f ca="1">L45-M45</f>
        <v>-190950.59999999998</v>
      </c>
      <c r="O45" s="170">
        <f ca="1">IF(ISERROR(N45/M45),"-",N45/M45)</f>
        <v>5.3041833333333335</v>
      </c>
      <c r="P45" s="138"/>
      <c r="Q45" s="168">
        <f ca="1">_xll.DBRW(Server&amp;Cube1,$J$12,$J$13,$J$14,$Q$1,$J$11,$J$15,$D45)</f>
        <v>-9200.1600000000017</v>
      </c>
      <c r="R45" s="169">
        <f t="shared" ca="1" si="33"/>
        <v>-217750.43999999997</v>
      </c>
      <c r="S45" s="170">
        <f t="shared" ca="1" si="34"/>
        <v>23.668114467574469</v>
      </c>
      <c r="T45" s="138"/>
      <c r="U45" s="168">
        <f ca="1">_xll.DBRW(Server&amp;Cube1,$J$12,$J$13,$J$14,$U$1,$U$2,$J$15,$D45)</f>
        <v>-89856.11</v>
      </c>
      <c r="V45" s="169">
        <f ca="1">L45-U45</f>
        <v>-137094.49</v>
      </c>
      <c r="W45" s="170">
        <f t="shared" ca="1" si="35"/>
        <v>1.525711384568061</v>
      </c>
      <c r="X45" s="65"/>
      <c r="Y45" s="31"/>
      <c r="Z45" s="228"/>
      <c r="AA45" s="66"/>
      <c r="AB45" s="66"/>
      <c r="AC45" s="9"/>
      <c r="AD45" s="9"/>
      <c r="AE45" s="9"/>
      <c r="AF45" s="9"/>
      <c r="AG45" s="9"/>
      <c r="AH45" s="9"/>
      <c r="AI45" s="9"/>
      <c r="AJ45" s="9"/>
      <c r="AK45" s="9"/>
      <c r="AL45" s="9"/>
      <c r="AM45" s="9"/>
      <c r="AN45" s="9"/>
      <c r="AO45" s="9"/>
      <c r="AP45" s="9"/>
      <c r="AQ45" s="9"/>
      <c r="AR45" s="9"/>
      <c r="AS45" s="9"/>
      <c r="AT45" s="9"/>
      <c r="AU45" s="9"/>
      <c r="AV45" s="9"/>
      <c r="AW45" s="9"/>
      <c r="AX45" s="9"/>
      <c r="AY45" s="9"/>
      <c r="AZ45" s="9"/>
      <c r="BA45" s="9"/>
      <c r="BB45" s="9"/>
      <c r="BC45" s="9"/>
      <c r="BD45" s="9"/>
      <c r="BE45" s="9"/>
      <c r="BF45" s="9"/>
      <c r="BG45" s="9"/>
      <c r="BH45" s="9"/>
      <c r="BI45" s="9"/>
      <c r="BJ45" s="9"/>
      <c r="BK45" s="9"/>
      <c r="BL45" s="9"/>
      <c r="BM45" s="9"/>
      <c r="BN45" s="9"/>
      <c r="BO45" s="9"/>
      <c r="BP45" s="9"/>
      <c r="BQ45" s="9"/>
      <c r="BR45" s="9"/>
      <c r="BS45" s="9"/>
      <c r="BT45" s="9"/>
      <c r="BU45" s="9"/>
      <c r="BV45" s="9"/>
      <c r="BW45" s="9"/>
      <c r="BX45" s="9"/>
      <c r="BY45" s="9"/>
      <c r="BZ45" s="9"/>
      <c r="CA45" s="9"/>
      <c r="CB45" s="9"/>
      <c r="CC45" s="9"/>
      <c r="CD45" s="9"/>
      <c r="CE45" s="9"/>
      <c r="CF45" s="9"/>
      <c r="CG45" s="9"/>
      <c r="CH45" s="9"/>
      <c r="CI45" s="9"/>
      <c r="CJ45" s="9"/>
      <c r="CK45" s="9"/>
      <c r="CL45" s="9"/>
      <c r="CM45" s="9"/>
      <c r="CN45" s="9"/>
      <c r="CO45" s="9"/>
      <c r="CP45" s="9"/>
      <c r="CQ45" s="9"/>
      <c r="CR45" s="9"/>
      <c r="CS45" s="9"/>
      <c r="CT45" s="9"/>
      <c r="CU45" s="9"/>
      <c r="CV45" s="9"/>
      <c r="CW45" s="9"/>
      <c r="CX45" s="9"/>
      <c r="CY45" s="9"/>
      <c r="CZ45" s="9"/>
      <c r="DA45" s="9"/>
      <c r="DB45" s="9"/>
      <c r="DC45" s="9"/>
      <c r="DD45" s="9"/>
      <c r="DE45" s="9"/>
      <c r="DF45" s="9"/>
      <c r="DG45" s="9"/>
      <c r="DH45" s="9"/>
      <c r="DI45" s="9"/>
      <c r="DJ45" s="9"/>
      <c r="DK45" s="9"/>
      <c r="DL45" s="9"/>
      <c r="DM45" s="9"/>
      <c r="DN45" s="9"/>
    </row>
    <row r="46" spans="1:118" ht="21" customHeight="1" thickTop="1" thickBot="1" x14ac:dyDescent="0.3">
      <c r="B46" s="60"/>
      <c r="C46" s="44"/>
      <c r="D46" s="214" t="s">
        <v>56</v>
      </c>
      <c r="E46" s="62"/>
      <c r="F46" s="63"/>
      <c r="G46" s="41"/>
      <c r="H46" s="257" t="str">
        <f ca="1">_xll.DBRA(Server&amp;$D$20,$D46,"French")</f>
        <v>Frais de stagiaires</v>
      </c>
      <c r="I46" s="257"/>
      <c r="J46" s="257"/>
      <c r="K46" s="150"/>
      <c r="L46" s="168">
        <f ca="1">_xll.DBRW(Server&amp;Cube1,$J$12,$J$13,$J$14,$L$1,$J$11,$J$15,$D46)</f>
        <v>-67889.47</v>
      </c>
      <c r="M46" s="168">
        <f ca="1">_xll.DBRW(Server&amp;Cube1,$J$12,$J$13,$J$14,$M$1,$J$11,$J$15,$D46)</f>
        <v>-58539.999999999985</v>
      </c>
      <c r="N46" s="169">
        <f ca="1">L46-M46</f>
        <v>-9349.4700000000157</v>
      </c>
      <c r="O46" s="170">
        <f ca="1">IF(ISERROR(N46/M46),"-",N46/M46)</f>
        <v>0.15971079603689817</v>
      </c>
      <c r="P46" s="138"/>
      <c r="Q46" s="168">
        <f ca="1">_xll.DBRW(Server&amp;Cube1,$J$12,$J$13,$J$14,$Q$1,$J$11,$J$15,$D46)</f>
        <v>-15399.96</v>
      </c>
      <c r="R46" s="169">
        <f t="shared" ref="R46" ca="1" si="38">L46-Q46</f>
        <v>-52489.51</v>
      </c>
      <c r="S46" s="170">
        <f t="shared" ref="S46" ca="1" si="39">IF(ISERROR(R46/Q46),"-",R46/Q46)</f>
        <v>3.4084185932950479</v>
      </c>
      <c r="T46" s="138"/>
      <c r="U46" s="168">
        <f ca="1">_xll.DBRW(Server&amp;Cube1,$J$12,$J$13,$J$14,$U$1,$U$2,$J$15,$D46)</f>
        <v>-47072.179999999993</v>
      </c>
      <c r="V46" s="169">
        <f ca="1">L46-U46</f>
        <v>-20817.290000000008</v>
      </c>
      <c r="W46" s="170">
        <f ca="1">IF(ISERROR(V46/U46),"-",V46/U46)</f>
        <v>0.44224189319466428</v>
      </c>
      <c r="X46" s="65"/>
      <c r="Y46" s="31"/>
      <c r="Z46" s="228"/>
      <c r="AA46" s="66"/>
      <c r="AB46" s="66"/>
      <c r="AC46" s="9"/>
      <c r="AD46" s="9"/>
      <c r="AE46" s="9"/>
      <c r="AF46" s="9"/>
      <c r="AG46" s="9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  <c r="BF46" s="9"/>
      <c r="BG46" s="9"/>
      <c r="BH46" s="9"/>
      <c r="BI46" s="9"/>
      <c r="BJ46" s="9"/>
      <c r="BK46" s="9"/>
      <c r="BL46" s="9"/>
      <c r="BM46" s="9"/>
      <c r="BN46" s="9"/>
      <c r="BO46" s="9"/>
      <c r="BP46" s="9"/>
      <c r="BQ46" s="9"/>
      <c r="BR46" s="9"/>
      <c r="BS46" s="9"/>
      <c r="BT46" s="9"/>
      <c r="BU46" s="9"/>
      <c r="BV46" s="9"/>
      <c r="BW46" s="9"/>
      <c r="BX46" s="9"/>
      <c r="BY46" s="9"/>
      <c r="BZ46" s="9"/>
      <c r="CA46" s="9"/>
      <c r="CB46" s="9"/>
      <c r="CC46" s="9"/>
      <c r="CD46" s="9"/>
      <c r="CE46" s="9"/>
      <c r="CF46" s="9"/>
      <c r="CG46" s="9"/>
      <c r="CH46" s="9"/>
      <c r="CI46" s="9"/>
      <c r="CJ46" s="9"/>
      <c r="CK46" s="9"/>
      <c r="CL46" s="9"/>
      <c r="CM46" s="9"/>
      <c r="CN46" s="9"/>
      <c r="CO46" s="9"/>
      <c r="CP46" s="9"/>
      <c r="CQ46" s="9"/>
      <c r="CR46" s="9"/>
      <c r="CS46" s="9"/>
      <c r="CT46" s="9"/>
      <c r="CU46" s="9"/>
      <c r="CV46" s="9"/>
      <c r="CW46" s="9"/>
      <c r="CX46" s="9"/>
      <c r="CY46" s="9"/>
      <c r="CZ46" s="9"/>
      <c r="DA46" s="9"/>
      <c r="DB46" s="9"/>
      <c r="DC46" s="9"/>
      <c r="DD46" s="9"/>
      <c r="DE46" s="9"/>
      <c r="DF46" s="9"/>
      <c r="DG46" s="9"/>
      <c r="DH46" s="9"/>
      <c r="DI46" s="9"/>
      <c r="DJ46" s="9"/>
      <c r="DK46" s="9"/>
      <c r="DL46" s="9"/>
      <c r="DM46" s="9"/>
      <c r="DN46" s="9"/>
    </row>
    <row r="47" spans="1:118" s="37" customFormat="1" ht="23.25" customHeight="1" thickTop="1" thickBot="1" x14ac:dyDescent="0.3">
      <c r="A47" s="10"/>
      <c r="B47" s="1"/>
      <c r="C47" s="44"/>
      <c r="D47" s="206" t="s">
        <v>50</v>
      </c>
      <c r="E47" s="68"/>
      <c r="F47" s="69"/>
      <c r="G47" s="234" t="str">
        <f ca="1">_xll.DBRA(Server&amp;$D$20,$D47,"French")</f>
        <v>Honoraires conseil et formation</v>
      </c>
      <c r="H47" s="234" t="str">
        <f ca="1">_xll.DBRA(Server&amp;$D$20,$D47,"French")</f>
        <v>Honoraires conseil et formation</v>
      </c>
      <c r="I47" s="234"/>
      <c r="J47" s="234"/>
      <c r="K47" s="154"/>
      <c r="L47" s="165">
        <f ca="1">_xll.DBRW(Server&amp;Cube1,$J$12,$J$13,$J$14,$L$1,$J$11,$J$15,$D47)</f>
        <v>-1484856.49</v>
      </c>
      <c r="M47" s="165">
        <f ca="1">_xll.DBRW(Server&amp;Cube1,$J$12,$J$13,$J$14,$M$1,$J$11,$J$15,$D47)</f>
        <v>-1070120</v>
      </c>
      <c r="N47" s="166">
        <f ca="1">L47-M47</f>
        <v>-414736.49</v>
      </c>
      <c r="O47" s="167">
        <f ca="1">IF(ISERROR(N47/M47),"-",N47/M47)</f>
        <v>0.38756073150674691</v>
      </c>
      <c r="P47" s="132"/>
      <c r="Q47" s="165">
        <f ca="1">_xll.DBRW(Server&amp;Cube1,$J$12,$J$13,$J$14,$Q$1,$J$11,$J$15,$D47)</f>
        <v>-990871.53</v>
      </c>
      <c r="R47" s="166">
        <f ca="1">L47-Q47</f>
        <v>-493984.95999999996</v>
      </c>
      <c r="S47" s="167">
        <f ca="1">IF(ISERROR(R47/Q47),"-",R47/Q47)</f>
        <v>0.49853582936225843</v>
      </c>
      <c r="T47" s="132"/>
      <c r="U47" s="165">
        <f ca="1">_xll.DBRW(Server&amp;Cube1,$J$12,$J$13,$J$14,$U$1,$U$2,$J$15,$D47)</f>
        <v>-991654.9800000001</v>
      </c>
      <c r="V47" s="166">
        <f ca="1">L47-U47</f>
        <v>-493201.50999999989</v>
      </c>
      <c r="W47" s="167">
        <f ca="1">IF(ISERROR(V47/U47),"-",V47/U47)</f>
        <v>0.49735192173390774</v>
      </c>
      <c r="X47" s="64"/>
      <c r="Y47" s="31"/>
      <c r="Z47" s="228"/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9"/>
      <c r="AL47" s="9"/>
      <c r="AM47" s="9"/>
      <c r="AN47" s="9"/>
      <c r="AO47" s="9"/>
      <c r="AP47" s="9"/>
      <c r="AQ47" s="9"/>
      <c r="AR47" s="9"/>
      <c r="AS47" s="9"/>
      <c r="AT47" s="9"/>
      <c r="AU47" s="9"/>
      <c r="AV47" s="9"/>
      <c r="AW47" s="9"/>
      <c r="AX47" s="9"/>
      <c r="AY47" s="9"/>
      <c r="AZ47" s="9"/>
      <c r="BA47" s="9"/>
      <c r="BB47" s="9"/>
      <c r="BC47" s="9"/>
      <c r="BD47" s="9"/>
      <c r="BE47" s="9"/>
      <c r="BF47" s="9"/>
      <c r="BG47" s="9"/>
      <c r="BH47" s="9"/>
      <c r="BI47" s="9"/>
      <c r="BJ47" s="9"/>
      <c r="BK47" s="9"/>
      <c r="BL47" s="9"/>
      <c r="BM47" s="9"/>
      <c r="BN47" s="9"/>
      <c r="BO47" s="9"/>
      <c r="BP47" s="9"/>
      <c r="BQ47" s="9"/>
      <c r="BR47" s="9"/>
      <c r="BS47" s="9"/>
      <c r="BT47" s="9"/>
      <c r="BU47" s="9"/>
      <c r="BV47" s="9"/>
      <c r="BW47" s="9"/>
      <c r="BX47" s="9"/>
      <c r="BY47" s="9"/>
      <c r="BZ47" s="9"/>
      <c r="CA47" s="9"/>
      <c r="CB47" s="9"/>
      <c r="CC47" s="9"/>
      <c r="CD47" s="9"/>
      <c r="CE47" s="9"/>
      <c r="CF47" s="9"/>
      <c r="CG47" s="9"/>
      <c r="CH47" s="9"/>
      <c r="CI47" s="9"/>
      <c r="CJ47" s="9"/>
      <c r="CK47" s="9"/>
      <c r="CL47" s="9"/>
      <c r="CM47" s="9"/>
      <c r="CN47" s="9"/>
      <c r="CO47" s="9"/>
      <c r="CP47" s="9"/>
      <c r="CQ47" s="9"/>
      <c r="CR47" s="9"/>
      <c r="CS47" s="9"/>
      <c r="CT47" s="9"/>
      <c r="CU47" s="9"/>
      <c r="CV47" s="9"/>
      <c r="CW47" s="9"/>
      <c r="CX47" s="9"/>
      <c r="CY47" s="9"/>
      <c r="CZ47" s="9"/>
      <c r="DA47" s="9"/>
      <c r="DB47" s="9"/>
      <c r="DC47" s="9"/>
      <c r="DD47" s="9"/>
      <c r="DE47" s="9"/>
      <c r="DF47" s="9"/>
      <c r="DG47" s="9"/>
      <c r="DH47" s="9"/>
      <c r="DI47" s="9"/>
      <c r="DJ47" s="9"/>
      <c r="DK47" s="9"/>
      <c r="DL47" s="9"/>
      <c r="DM47" s="9"/>
      <c r="DN47" s="9"/>
    </row>
    <row r="48" spans="1:118" s="37" customFormat="1" ht="23.25" customHeight="1" collapsed="1" thickTop="1" x14ac:dyDescent="0.25">
      <c r="A48" s="221"/>
      <c r="B48" s="1"/>
      <c r="C48" s="44"/>
      <c r="D48" s="206" t="s">
        <v>185</v>
      </c>
      <c r="E48" s="68"/>
      <c r="F48" s="69"/>
      <c r="G48" s="234" t="s">
        <v>176</v>
      </c>
      <c r="H48" s="234"/>
      <c r="I48" s="234"/>
      <c r="J48" s="234"/>
      <c r="K48" s="154" t="s">
        <v>3</v>
      </c>
      <c r="L48" s="165">
        <f ca="1">SUM(L49:L52)</f>
        <v>-29561.720000000005</v>
      </c>
      <c r="M48" s="165">
        <f ca="1">SUM(M49:M52)</f>
        <v>-43400</v>
      </c>
      <c r="N48" s="165">
        <f ca="1">SUM(N49:N52)</f>
        <v>13838.279999999995</v>
      </c>
      <c r="O48" s="167">
        <f ca="1">IF(ISERROR(N48/M48),"-",N48/M48)</f>
        <v>-0.31885437788018423</v>
      </c>
      <c r="P48" s="132"/>
      <c r="Q48" s="165">
        <f ca="1">_xll.DBRW(Server&amp;Cube1,$J$12,$J$13,$J$14,$Q$1,$J$11,$J$15,$D48)</f>
        <v>-19000.02</v>
      </c>
      <c r="R48" s="166">
        <f ca="1">L48-Q48</f>
        <v>-10561.700000000004</v>
      </c>
      <c r="S48" s="167">
        <f ca="1">IF(ISERROR(R48/Q48),"-",R48/Q48)</f>
        <v>0.55587836223330311</v>
      </c>
      <c r="T48" s="132"/>
      <c r="U48" s="165">
        <f ca="1">SUM(U49:U52)</f>
        <v>-2911.1299999999992</v>
      </c>
      <c r="V48" s="166">
        <f ca="1">SUM(V49:V52)</f>
        <v>-26650.590000000004</v>
      </c>
      <c r="W48" s="167">
        <f ca="1">IF(ISERROR(V48/U48),"-",V48/U48)</f>
        <v>9.1547234235503083</v>
      </c>
      <c r="X48" s="64"/>
      <c r="Y48" s="31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9"/>
      <c r="BO48" s="9"/>
      <c r="BP48" s="9"/>
      <c r="BQ48" s="9"/>
      <c r="BR48" s="9"/>
      <c r="BS48" s="9"/>
      <c r="BT48" s="9"/>
      <c r="BU48" s="9"/>
      <c r="BV48" s="9"/>
      <c r="BW48" s="9"/>
      <c r="BX48" s="9"/>
      <c r="BY48" s="9"/>
      <c r="BZ48" s="9"/>
      <c r="CA48" s="9"/>
      <c r="CB48" s="9"/>
      <c r="CC48" s="9"/>
      <c r="CD48" s="9"/>
      <c r="CE48" s="9"/>
      <c r="CF48" s="9"/>
      <c r="CG48" s="9"/>
      <c r="CH48" s="9"/>
      <c r="CI48" s="9"/>
      <c r="CJ48" s="9"/>
      <c r="CK48" s="9"/>
      <c r="CL48" s="9"/>
      <c r="CM48" s="9"/>
      <c r="CN48" s="9"/>
      <c r="CO48" s="9"/>
      <c r="CP48" s="9"/>
      <c r="CQ48" s="9"/>
      <c r="CR48" s="9"/>
      <c r="CS48" s="9"/>
      <c r="CT48" s="9"/>
      <c r="CU48" s="9"/>
      <c r="CV48" s="9"/>
      <c r="CW48" s="9"/>
      <c r="CX48" s="9"/>
      <c r="CY48" s="9"/>
      <c r="CZ48" s="9"/>
      <c r="DA48" s="9"/>
      <c r="DB48" s="9"/>
      <c r="DC48" s="9"/>
      <c r="DD48" s="9"/>
      <c r="DE48" s="9"/>
      <c r="DF48" s="9"/>
      <c r="DG48" s="9"/>
      <c r="DH48" s="9"/>
      <c r="DI48" s="9"/>
      <c r="DJ48" s="9"/>
      <c r="DK48" s="9"/>
      <c r="DL48" s="9"/>
      <c r="DM48" s="9"/>
      <c r="DN48" s="9"/>
    </row>
    <row r="49" spans="1:118" ht="21" customHeight="1" x14ac:dyDescent="0.25">
      <c r="B49" s="60"/>
      <c r="C49" s="44"/>
      <c r="D49" s="203" t="s">
        <v>51</v>
      </c>
      <c r="E49" s="62"/>
      <c r="F49" s="63"/>
      <c r="G49" s="41"/>
      <c r="H49" s="232" t="str">
        <f ca="1">_xll.DBRA(Server&amp;$D$20,$D49,"French")</f>
        <v>Location et MAD salle de formation</v>
      </c>
      <c r="I49" s="232"/>
      <c r="J49" s="232"/>
      <c r="K49" s="150"/>
      <c r="L49" s="151">
        <f ca="1">_xll.DBRW(Server&amp;Cube1,$J$12,$J$13,$J$14,$L$1,$J$11,$J$15,$D49)</f>
        <v>-29470.720000000005</v>
      </c>
      <c r="M49" s="151">
        <f ca="1">_xll.DBRW(Server&amp;Cube1,$J$12,$J$13,$J$14,$M$1,$J$11,$J$15,$D49)</f>
        <v>-43400</v>
      </c>
      <c r="N49" s="152">
        <f t="shared" ref="N49:N62" ca="1" si="40">L49-M49</f>
        <v>13929.279999999995</v>
      </c>
      <c r="O49" s="153">
        <f t="shared" ref="O49:O62" ca="1" si="41">IF(ISERROR(N49/M49),"-",N49/M49)</f>
        <v>-0.32095115207373259</v>
      </c>
      <c r="P49" s="138"/>
      <c r="Q49" s="151">
        <f ca="1">_xll.DBRW(Server&amp;Cube1,$J$12,$J$13,$J$14,$Q$1,$J$11,$J$15,$D49)</f>
        <v>-19000.02</v>
      </c>
      <c r="R49" s="152">
        <f t="shared" ref="R49:R62" ca="1" si="42">L49-Q49</f>
        <v>-10470.700000000004</v>
      </c>
      <c r="S49" s="153">
        <f t="shared" ref="S49:S62" ca="1" si="43">IF(ISERROR(R49/Q49),"-",R49/Q49)</f>
        <v>0.55108889359063851</v>
      </c>
      <c r="T49" s="138"/>
      <c r="U49" s="151">
        <f ca="1">_xll.DBRW(Server&amp;Cube1,$J$12,$J$13,$J$14,$U$1,$U$2,$J$15,$D49)</f>
        <v>-7680.1299999999992</v>
      </c>
      <c r="V49" s="152">
        <f t="shared" ref="V49:V62" ca="1" si="44">L49-U49</f>
        <v>-21790.590000000004</v>
      </c>
      <c r="W49" s="153">
        <f t="shared" ref="W49:W62" ca="1" si="45">IF(ISERROR(V49/U49),"-",V49/U49)</f>
        <v>2.8372683795717006</v>
      </c>
      <c r="X49" s="65"/>
      <c r="Y49" s="31"/>
      <c r="Z49" s="9"/>
      <c r="AA49" s="66"/>
      <c r="AB49" s="66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9"/>
      <c r="BO49" s="9"/>
      <c r="BP49" s="9"/>
      <c r="BQ49" s="9"/>
      <c r="BR49" s="9"/>
      <c r="BS49" s="9"/>
      <c r="BT49" s="9"/>
      <c r="BU49" s="9"/>
      <c r="BV49" s="9"/>
      <c r="BW49" s="9"/>
      <c r="BX49" s="9"/>
      <c r="BY49" s="9"/>
      <c r="BZ49" s="9"/>
      <c r="CA49" s="9"/>
      <c r="CB49" s="9"/>
      <c r="CC49" s="9"/>
      <c r="CD49" s="9"/>
      <c r="CE49" s="9"/>
      <c r="CF49" s="9"/>
      <c r="CG49" s="9"/>
      <c r="CH49" s="9"/>
      <c r="CI49" s="9"/>
      <c r="CJ49" s="9"/>
      <c r="CK49" s="9"/>
      <c r="CL49" s="9"/>
      <c r="CM49" s="9"/>
      <c r="CN49" s="9"/>
      <c r="CO49" s="9"/>
      <c r="CP49" s="9"/>
      <c r="CQ49" s="9"/>
      <c r="CR49" s="9"/>
      <c r="CS49" s="9"/>
      <c r="CT49" s="9"/>
      <c r="CU49" s="9"/>
      <c r="CV49" s="9"/>
      <c r="CW49" s="9"/>
      <c r="CX49" s="9"/>
      <c r="CY49" s="9"/>
      <c r="CZ49" s="9"/>
      <c r="DA49" s="9"/>
      <c r="DB49" s="9"/>
      <c r="DC49" s="9"/>
      <c r="DD49" s="9"/>
      <c r="DE49" s="9"/>
      <c r="DF49" s="9"/>
      <c r="DG49" s="9"/>
      <c r="DH49" s="9"/>
      <c r="DI49" s="9"/>
      <c r="DJ49" s="9"/>
      <c r="DK49" s="9"/>
      <c r="DL49" s="9"/>
      <c r="DM49" s="9"/>
      <c r="DN49" s="9"/>
    </row>
    <row r="50" spans="1:118" ht="21" customHeight="1" thickBot="1" x14ac:dyDescent="0.3">
      <c r="B50" s="60"/>
      <c r="C50" s="44"/>
      <c r="D50" s="203" t="s">
        <v>109</v>
      </c>
      <c r="E50" s="62"/>
      <c r="F50" s="63"/>
      <c r="G50" s="41"/>
      <c r="H50" s="232" t="str">
        <f ca="1">_xll.DBRA(Server&amp;$D$20,$D50,"French")</f>
        <v>Location et MAD véhicule de formation</v>
      </c>
      <c r="I50" s="232"/>
      <c r="J50" s="232"/>
      <c r="K50" s="150"/>
      <c r="L50" s="168">
        <f ca="1">_xll.DBRW(Server&amp;Cube1,$J$12,$J$13,$J$14,$L$1,$J$11,$J$15,$D50)</f>
        <v>-91</v>
      </c>
      <c r="M50" s="168">
        <f ca="1">_xll.DBRW(Server&amp;Cube1,$J$12,$J$13,$J$14,$M$1,$J$11,$J$15,$D50)</f>
        <v>0</v>
      </c>
      <c r="N50" s="169">
        <f t="shared" ca="1" si="40"/>
        <v>-91</v>
      </c>
      <c r="O50" s="153" t="str">
        <f t="shared" ca="1" si="41"/>
        <v>-</v>
      </c>
      <c r="P50" s="138"/>
      <c r="Q50" s="168">
        <f ca="1">_xll.DBRW(Server&amp;Cube1,$J$12,$J$13,$J$14,$Q$1,$J$11,$J$15,$D50)</f>
        <v>0</v>
      </c>
      <c r="R50" s="169">
        <f t="shared" ca="1" si="42"/>
        <v>-91</v>
      </c>
      <c r="S50" s="153" t="str">
        <f t="shared" ca="1" si="43"/>
        <v>-</v>
      </c>
      <c r="T50" s="138"/>
      <c r="U50" s="168">
        <f ca="1">_xll.DBRW(Server&amp;Cube1,$J$12,$J$13,$J$14,$U$1,$U$2,$J$15,$D50)</f>
        <v>-231</v>
      </c>
      <c r="V50" s="169">
        <f t="shared" ca="1" si="44"/>
        <v>140</v>
      </c>
      <c r="W50" s="153">
        <f t="shared" ca="1" si="45"/>
        <v>-0.60606060606060608</v>
      </c>
      <c r="X50" s="65"/>
      <c r="Y50" s="31"/>
      <c r="Z50" s="9"/>
      <c r="AA50" s="66"/>
      <c r="AB50" s="66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9"/>
      <c r="BO50" s="9"/>
      <c r="BP50" s="9"/>
      <c r="BQ50" s="9"/>
      <c r="BR50" s="9"/>
      <c r="BS50" s="9"/>
      <c r="BT50" s="9"/>
      <c r="BU50" s="9"/>
      <c r="BV50" s="9"/>
      <c r="BW50" s="9"/>
      <c r="BX50" s="9"/>
      <c r="BY50" s="9"/>
      <c r="BZ50" s="9"/>
      <c r="CA50" s="9"/>
      <c r="CB50" s="9"/>
      <c r="CC50" s="9"/>
      <c r="CD50" s="9"/>
      <c r="CE50" s="9"/>
      <c r="CF50" s="9"/>
      <c r="CG50" s="9"/>
      <c r="CH50" s="9"/>
      <c r="CI50" s="9"/>
      <c r="CJ50" s="9"/>
      <c r="CK50" s="9"/>
      <c r="CL50" s="9"/>
      <c r="CM50" s="9"/>
      <c r="CN50" s="9"/>
      <c r="CO50" s="9"/>
      <c r="CP50" s="9"/>
      <c r="CQ50" s="9"/>
      <c r="CR50" s="9"/>
      <c r="CS50" s="9"/>
      <c r="CT50" s="9"/>
      <c r="CU50" s="9"/>
      <c r="CV50" s="9"/>
      <c r="CW50" s="9"/>
      <c r="CX50" s="9"/>
      <c r="CY50" s="9"/>
      <c r="CZ50" s="9"/>
      <c r="DA50" s="9"/>
      <c r="DB50" s="9"/>
      <c r="DC50" s="9"/>
      <c r="DD50" s="9"/>
      <c r="DE50" s="9"/>
      <c r="DF50" s="9"/>
      <c r="DG50" s="9"/>
      <c r="DH50" s="9"/>
      <c r="DI50" s="9"/>
      <c r="DJ50" s="9"/>
      <c r="DK50" s="9"/>
      <c r="DL50" s="9"/>
      <c r="DM50" s="9"/>
      <c r="DN50" s="9"/>
    </row>
    <row r="51" spans="1:118" ht="21" customHeight="1" thickTop="1" thickBot="1" x14ac:dyDescent="0.3">
      <c r="B51" s="60"/>
      <c r="C51" s="44"/>
      <c r="D51" s="203" t="s">
        <v>110</v>
      </c>
      <c r="E51" s="62"/>
      <c r="F51" s="63"/>
      <c r="G51" s="41"/>
      <c r="H51" s="232" t="str">
        <f ca="1">_xll.DBRA(Server&amp;$D$20,$D51,"French")</f>
        <v>Location et MAD matériel divers</v>
      </c>
      <c r="I51" s="232"/>
      <c r="J51" s="232"/>
      <c r="K51" s="150"/>
      <c r="L51" s="168">
        <f ca="1">_xll.DBRW(Server&amp;Cube1,$J$12,$J$13,$J$14,$L$1,$J$11,$J$15,$D51)</f>
        <v>0</v>
      </c>
      <c r="M51" s="168">
        <f ca="1">_xll.DBRW(Server&amp;Cube1,$J$12,$J$13,$J$14,$M$1,$J$11,$J$15,$D51)</f>
        <v>0</v>
      </c>
      <c r="N51" s="169">
        <f t="shared" ref="N51" ca="1" si="46">L51-M51</f>
        <v>0</v>
      </c>
      <c r="O51" s="153" t="str">
        <f t="shared" ref="O51" ca="1" si="47">IF(ISERROR(N51/M51),"-",N51/M51)</f>
        <v>-</v>
      </c>
      <c r="P51" s="138"/>
      <c r="Q51" s="168">
        <f ca="1">_xll.DBRW(Server&amp;Cube1,$J$12,$J$13,$J$14,$Q$1,$J$11,$J$15,$D51)</f>
        <v>0</v>
      </c>
      <c r="R51" s="169">
        <f t="shared" ref="R51" ca="1" si="48">L51-Q51</f>
        <v>0</v>
      </c>
      <c r="S51" s="153" t="str">
        <f t="shared" ref="S51" ca="1" si="49">IF(ISERROR(R51/Q51),"-",R51/Q51)</f>
        <v>-</v>
      </c>
      <c r="T51" s="138"/>
      <c r="U51" s="168">
        <f ca="1">_xll.DBRW(Server&amp;Cube1,$J$12,$J$13,$J$14,$U$1,$U$2,$J$15,$D51)</f>
        <v>5000</v>
      </c>
      <c r="V51" s="169">
        <f t="shared" ref="V51" ca="1" si="50">L51-U51</f>
        <v>-5000</v>
      </c>
      <c r="W51" s="153">
        <f t="shared" ref="W51" ca="1" si="51">IF(ISERROR(V51/U51),"-",V51/U51)</f>
        <v>-1</v>
      </c>
      <c r="X51" s="65"/>
      <c r="Y51" s="31"/>
      <c r="Z51" s="9"/>
      <c r="AA51" s="66"/>
      <c r="AB51" s="66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9"/>
      <c r="BO51" s="9"/>
      <c r="BP51" s="9"/>
      <c r="BQ51" s="9"/>
      <c r="BR51" s="9"/>
      <c r="BS51" s="9"/>
      <c r="BT51" s="9"/>
      <c r="BU51" s="9"/>
      <c r="BV51" s="9"/>
      <c r="BW51" s="9"/>
      <c r="BX51" s="9"/>
      <c r="BY51" s="9"/>
      <c r="BZ51" s="9"/>
      <c r="CA51" s="9"/>
      <c r="CB51" s="9"/>
      <c r="CC51" s="9"/>
      <c r="CD51" s="9"/>
      <c r="CE51" s="9"/>
      <c r="CF51" s="9"/>
      <c r="CG51" s="9"/>
      <c r="CH51" s="9"/>
      <c r="CI51" s="9"/>
      <c r="CJ51" s="9"/>
      <c r="CK51" s="9"/>
      <c r="CL51" s="9"/>
      <c r="CM51" s="9"/>
      <c r="CN51" s="9"/>
      <c r="CO51" s="9"/>
      <c r="CP51" s="9"/>
      <c r="CQ51" s="9"/>
      <c r="CR51" s="9"/>
      <c r="CS51" s="9"/>
      <c r="CT51" s="9"/>
      <c r="CU51" s="9"/>
      <c r="CV51" s="9"/>
      <c r="CW51" s="9"/>
      <c r="CX51" s="9"/>
      <c r="CY51" s="9"/>
      <c r="CZ51" s="9"/>
      <c r="DA51" s="9"/>
      <c r="DB51" s="9"/>
      <c r="DC51" s="9"/>
      <c r="DD51" s="9"/>
      <c r="DE51" s="9"/>
      <c r="DF51" s="9"/>
      <c r="DG51" s="9"/>
      <c r="DH51" s="9"/>
      <c r="DI51" s="9"/>
      <c r="DJ51" s="9"/>
      <c r="DK51" s="9"/>
      <c r="DL51" s="9"/>
      <c r="DM51" s="9"/>
      <c r="DN51" s="9"/>
    </row>
    <row r="52" spans="1:118" ht="21" customHeight="1" thickTop="1" thickBot="1" x14ac:dyDescent="0.3">
      <c r="B52" s="60"/>
      <c r="C52" s="44"/>
      <c r="D52" s="214" t="s">
        <v>135</v>
      </c>
      <c r="E52" s="62"/>
      <c r="F52" s="63"/>
      <c r="G52" s="41"/>
      <c r="H52" s="232" t="str">
        <f ca="1">_xll.DBRA(Server&amp;$D$20,$D52,"French")</f>
        <v>Location mobilière diverse (coûts directs)</v>
      </c>
      <c r="I52" s="232"/>
      <c r="J52" s="232"/>
      <c r="K52" s="150"/>
      <c r="L52" s="168">
        <f ca="1">_xll.DBRW(Server&amp;Cube1,$J$12,$J$13,$J$14,$L$1,$J$11,$J$15,$D52)</f>
        <v>0</v>
      </c>
      <c r="M52" s="168">
        <f ca="1">_xll.DBRW(Server&amp;Cube1,$J$12,$J$13,$J$14,$M$1,$J$11,$J$15,$D52)</f>
        <v>0</v>
      </c>
      <c r="N52" s="169">
        <f t="shared" ref="N52" ca="1" si="52">L52-M52</f>
        <v>0</v>
      </c>
      <c r="O52" s="153" t="str">
        <f t="shared" ref="O52" ca="1" si="53">IF(ISERROR(N52/M52),"-",N52/M52)</f>
        <v>-</v>
      </c>
      <c r="P52" s="138"/>
      <c r="Q52" s="168">
        <f ca="1">_xll.DBRW(Server&amp;Cube1,$J$12,$J$13,$J$14,$Q$1,$J$11,$J$15,$D52)</f>
        <v>0</v>
      </c>
      <c r="R52" s="169">
        <f t="shared" ref="R52" ca="1" si="54">L52-Q52</f>
        <v>0</v>
      </c>
      <c r="S52" s="153" t="str">
        <f t="shared" ref="S52" ca="1" si="55">IF(ISERROR(R52/Q52),"-",R52/Q52)</f>
        <v>-</v>
      </c>
      <c r="T52" s="138"/>
      <c r="U52" s="168">
        <f ca="1">_xll.DBRW(Server&amp;Cube1,$J$12,$J$13,$J$14,$U$1,$U$2,$J$15,$D52)</f>
        <v>0</v>
      </c>
      <c r="V52" s="169">
        <f t="shared" ref="V52" ca="1" si="56">L52-U52</f>
        <v>0</v>
      </c>
      <c r="W52" s="153" t="str">
        <f t="shared" ref="W52" ca="1" si="57">IF(ISERROR(V52/U52),"-",V52/U52)</f>
        <v>-</v>
      </c>
      <c r="X52" s="65"/>
      <c r="Y52" s="31"/>
      <c r="Z52" s="9"/>
      <c r="AA52" s="66"/>
      <c r="AB52" s="66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9"/>
      <c r="BO52" s="9"/>
      <c r="BP52" s="9"/>
      <c r="BQ52" s="9"/>
      <c r="BR52" s="9"/>
      <c r="BS52" s="9"/>
      <c r="BT52" s="9"/>
      <c r="BU52" s="9"/>
      <c r="BV52" s="9"/>
      <c r="BW52" s="9"/>
      <c r="BX52" s="9"/>
      <c r="BY52" s="9"/>
      <c r="BZ52" s="9"/>
      <c r="CA52" s="9"/>
      <c r="CB52" s="9"/>
      <c r="CC52" s="9"/>
      <c r="CD52" s="9"/>
      <c r="CE52" s="9"/>
      <c r="CF52" s="9"/>
      <c r="CG52" s="9"/>
      <c r="CH52" s="9"/>
      <c r="CI52" s="9"/>
      <c r="CJ52" s="9"/>
      <c r="CK52" s="9"/>
      <c r="CL52" s="9"/>
      <c r="CM52" s="9"/>
      <c r="CN52" s="9"/>
      <c r="CO52" s="9"/>
      <c r="CP52" s="9"/>
      <c r="CQ52" s="9"/>
      <c r="CR52" s="9"/>
      <c r="CS52" s="9"/>
      <c r="CT52" s="9"/>
      <c r="CU52" s="9"/>
      <c r="CV52" s="9"/>
      <c r="CW52" s="9"/>
      <c r="CX52" s="9"/>
      <c r="CY52" s="9"/>
      <c r="CZ52" s="9"/>
      <c r="DA52" s="9"/>
      <c r="DB52" s="9"/>
      <c r="DC52" s="9"/>
      <c r="DD52" s="9"/>
      <c r="DE52" s="9"/>
      <c r="DF52" s="9"/>
      <c r="DG52" s="9"/>
      <c r="DH52" s="9"/>
      <c r="DI52" s="9"/>
      <c r="DJ52" s="9"/>
      <c r="DK52" s="9"/>
      <c r="DL52" s="9"/>
      <c r="DM52" s="9"/>
      <c r="DN52" s="9"/>
    </row>
    <row r="53" spans="1:118" s="37" customFormat="1" ht="23.25" customHeight="1" thickTop="1" x14ac:dyDescent="0.25">
      <c r="A53" s="221"/>
      <c r="B53" s="1"/>
      <c r="C53" s="44"/>
      <c r="D53" s="206" t="s">
        <v>57</v>
      </c>
      <c r="E53" s="68"/>
      <c r="F53" s="69"/>
      <c r="G53" s="234" t="str">
        <f ca="1">_xll.DBRA(Server&amp;$D$20,$D53,"French")</f>
        <v>Autres coûts directs</v>
      </c>
      <c r="H53" s="234" t="str">
        <f ca="1">_xll.DBRA(Server&amp;$D$20,$D53,"French")</f>
        <v>Autres coûts directs</v>
      </c>
      <c r="I53" s="234"/>
      <c r="J53" s="234"/>
      <c r="K53" s="154"/>
      <c r="L53" s="165">
        <f ca="1">SUM(L54:L62)</f>
        <v>-125186</v>
      </c>
      <c r="M53" s="165">
        <f ca="1">SUM(M54:M62)</f>
        <v>-115405</v>
      </c>
      <c r="N53" s="165">
        <f ca="1">SUM(N54:N62)</f>
        <v>-9781.0000000000036</v>
      </c>
      <c r="O53" s="167">
        <f t="shared" ca="1" si="41"/>
        <v>8.475369351414587E-2</v>
      </c>
      <c r="P53" s="132"/>
      <c r="Q53" s="165">
        <f ca="1">SUM(Q54:Q62)</f>
        <v>-20567</v>
      </c>
      <c r="R53" s="166">
        <f t="shared" ca="1" si="42"/>
        <v>-104619</v>
      </c>
      <c r="S53" s="167">
        <f t="shared" ca="1" si="43"/>
        <v>5.0867408956094717</v>
      </c>
      <c r="T53" s="132"/>
      <c r="U53" s="165">
        <f ca="1">SUM(U54:U62)</f>
        <v>-107549.57999999997</v>
      </c>
      <c r="V53" s="166">
        <f ca="1">SUM(V54:V62)</f>
        <v>-17636.420000000027</v>
      </c>
      <c r="W53" s="167">
        <f t="shared" ca="1" si="45"/>
        <v>0.16398408994251798</v>
      </c>
      <c r="X53" s="64"/>
      <c r="Y53" s="31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9"/>
      <c r="BO53" s="9"/>
      <c r="BP53" s="9"/>
      <c r="BQ53" s="9"/>
      <c r="BR53" s="9"/>
      <c r="BS53" s="9"/>
      <c r="BT53" s="9"/>
      <c r="BU53" s="9"/>
      <c r="BV53" s="9"/>
      <c r="BW53" s="9"/>
      <c r="BX53" s="9"/>
      <c r="BY53" s="9"/>
      <c r="BZ53" s="9"/>
      <c r="CA53" s="9"/>
      <c r="CB53" s="9"/>
      <c r="CC53" s="9"/>
      <c r="CD53" s="9"/>
      <c r="CE53" s="9"/>
      <c r="CF53" s="9"/>
      <c r="CG53" s="9"/>
      <c r="CH53" s="9"/>
      <c r="CI53" s="9"/>
      <c r="CJ53" s="9"/>
      <c r="CK53" s="9"/>
      <c r="CL53" s="9"/>
      <c r="CM53" s="9"/>
      <c r="CN53" s="9"/>
      <c r="CO53" s="9"/>
      <c r="CP53" s="9"/>
      <c r="CQ53" s="9"/>
      <c r="CR53" s="9"/>
      <c r="CS53" s="9"/>
      <c r="CT53" s="9"/>
      <c r="CU53" s="9"/>
      <c r="CV53" s="9"/>
      <c r="CW53" s="9"/>
      <c r="CX53" s="9"/>
      <c r="CY53" s="9"/>
      <c r="CZ53" s="9"/>
      <c r="DA53" s="9"/>
      <c r="DB53" s="9"/>
      <c r="DC53" s="9"/>
      <c r="DD53" s="9"/>
      <c r="DE53" s="9"/>
      <c r="DF53" s="9"/>
      <c r="DG53" s="9"/>
      <c r="DH53" s="9"/>
      <c r="DI53" s="9"/>
      <c r="DJ53" s="9"/>
      <c r="DK53" s="9"/>
      <c r="DL53" s="9"/>
      <c r="DM53" s="9"/>
      <c r="DN53" s="9"/>
    </row>
    <row r="54" spans="1:118" ht="23.25" x14ac:dyDescent="0.25">
      <c r="B54" s="60"/>
      <c r="C54" s="44"/>
      <c r="D54" s="214" t="s">
        <v>160</v>
      </c>
      <c r="E54" s="62"/>
      <c r="F54" s="63"/>
      <c r="G54" s="41"/>
      <c r="H54" s="232" t="str">
        <f ca="1">_xll.DBRA(Server&amp;$D$20,$D54,"French")</f>
        <v>Accés formation à distance (coûts directs)</v>
      </c>
      <c r="I54" s="232"/>
      <c r="J54" s="232"/>
      <c r="K54" s="150"/>
      <c r="L54" s="151">
        <f ca="1">_xll.DBRW(Server&amp;Cube1,$J$12,$J$13,$J$14,$L$1,$J$11,$J$15,$D54)</f>
        <v>0</v>
      </c>
      <c r="M54" s="151">
        <f ca="1">_xll.DBRW(Server&amp;Cube1,$J$12,$J$13,$J$14,$M$1,$J$11,$J$15,$D54)</f>
        <v>0</v>
      </c>
      <c r="N54" s="136">
        <f t="shared" ref="N54" ca="1" si="58">L54-M54</f>
        <v>0</v>
      </c>
      <c r="O54" s="137" t="str">
        <f t="shared" ref="O54" ca="1" si="59">IF(ISERROR(N54/M54),"-",N54/M54)</f>
        <v>-</v>
      </c>
      <c r="P54" s="138"/>
      <c r="Q54" s="151">
        <f ca="1">_xll.DBRW(Server&amp;Cube1,$J$12,$J$13,$J$14,$Q$1,$J$11,$J$15,$D54)</f>
        <v>0</v>
      </c>
      <c r="R54" s="136">
        <f t="shared" ref="R54" ca="1" si="60">L54-Q54</f>
        <v>0</v>
      </c>
      <c r="S54" s="137" t="str">
        <f t="shared" ref="S54" ca="1" si="61">IF(ISERROR(R54/Q54),"-",R54/Q54)</f>
        <v>-</v>
      </c>
      <c r="T54" s="138"/>
      <c r="U54" s="151">
        <f ca="1">_xll.DBRW(Server&amp;Cube1,$J$12,$J$13,$J$14,$U$1,$U$2,$J$15,$D54)</f>
        <v>0</v>
      </c>
      <c r="V54" s="136">
        <f t="shared" ref="V54" ca="1" si="62">L54-U54</f>
        <v>0</v>
      </c>
      <c r="W54" s="137" t="str">
        <f t="shared" ref="W54" ca="1" si="63">IF(ISERROR(V54/U54),"-",V54/U54)</f>
        <v>-</v>
      </c>
      <c r="X54" s="65"/>
      <c r="Y54" s="31"/>
      <c r="Z54" s="9"/>
      <c r="AA54" s="66"/>
      <c r="AB54" s="66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9"/>
      <c r="BO54" s="9"/>
      <c r="BP54" s="9"/>
      <c r="BQ54" s="9"/>
      <c r="BR54" s="9"/>
      <c r="BS54" s="9"/>
      <c r="BT54" s="9"/>
      <c r="BU54" s="9"/>
      <c r="BV54" s="9"/>
      <c r="BW54" s="9"/>
      <c r="BX54" s="9"/>
      <c r="BY54" s="9"/>
      <c r="BZ54" s="9"/>
      <c r="CA54" s="9"/>
      <c r="CB54" s="9"/>
      <c r="CC54" s="9"/>
      <c r="CD54" s="9"/>
      <c r="CE54" s="9"/>
      <c r="CF54" s="9"/>
      <c r="CG54" s="9"/>
      <c r="CH54" s="9"/>
      <c r="CI54" s="9"/>
      <c r="CJ54" s="9"/>
      <c r="CK54" s="9"/>
      <c r="CL54" s="9"/>
      <c r="CM54" s="9"/>
      <c r="CN54" s="9"/>
      <c r="CO54" s="9"/>
      <c r="CP54" s="9"/>
      <c r="CQ54" s="9"/>
      <c r="CR54" s="9"/>
      <c r="CS54" s="9"/>
      <c r="CT54" s="9"/>
      <c r="CU54" s="9"/>
      <c r="CV54" s="9"/>
      <c r="CW54" s="9"/>
      <c r="CX54" s="9"/>
      <c r="CY54" s="9"/>
      <c r="CZ54" s="9"/>
      <c r="DA54" s="9"/>
      <c r="DB54" s="9"/>
      <c r="DC54" s="9"/>
      <c r="DD54" s="9"/>
      <c r="DE54" s="9"/>
      <c r="DF54" s="9"/>
      <c r="DG54" s="9"/>
      <c r="DH54" s="9"/>
      <c r="DI54" s="9"/>
      <c r="DJ54" s="9"/>
      <c r="DK54" s="9"/>
      <c r="DL54" s="9"/>
      <c r="DM54" s="9"/>
      <c r="DN54" s="9"/>
    </row>
    <row r="55" spans="1:118" ht="23.25" x14ac:dyDescent="0.25">
      <c r="B55" s="60"/>
      <c r="C55" s="44"/>
      <c r="D55" s="214" t="s">
        <v>72</v>
      </c>
      <c r="E55" s="62"/>
      <c r="F55" s="63"/>
      <c r="G55" s="41"/>
      <c r="H55" s="232" t="str">
        <f ca="1">_xll.DBRA(Server&amp;$D$20,$D55,"French")</f>
        <v>Fournitures de bureau (coûts directs)</v>
      </c>
      <c r="I55" s="232"/>
      <c r="J55" s="232"/>
      <c r="K55" s="150"/>
      <c r="L55" s="151">
        <f ca="1">_xll.DBRW(Server&amp;Cube1,$J$12,$J$13,$J$14,$L$1,$J$11,$J$15,$D55)</f>
        <v>0</v>
      </c>
      <c r="M55" s="151">
        <f ca="1">_xll.DBRW(Server&amp;Cube1,$J$12,$J$13,$J$14,$M$1,$J$11,$J$15,$D55)</f>
        <v>0</v>
      </c>
      <c r="N55" s="136">
        <f t="shared" ref="N55" ca="1" si="64">L55-M55</f>
        <v>0</v>
      </c>
      <c r="O55" s="137" t="str">
        <f t="shared" ref="O55" ca="1" si="65">IF(ISERROR(N55/M55),"-",N55/M55)</f>
        <v>-</v>
      </c>
      <c r="P55" s="138"/>
      <c r="Q55" s="151">
        <f ca="1">_xll.DBRW(Server&amp;Cube1,$J$12,$J$13,$J$14,$Q$1,$J$11,$J$15,$D55)</f>
        <v>0</v>
      </c>
      <c r="R55" s="136">
        <f t="shared" ref="R55" ca="1" si="66">L55-Q55</f>
        <v>0</v>
      </c>
      <c r="S55" s="137" t="str">
        <f t="shared" ref="S55" ca="1" si="67">IF(ISERROR(R55/Q55),"-",R55/Q55)</f>
        <v>-</v>
      </c>
      <c r="T55" s="138"/>
      <c r="U55" s="151">
        <f ca="1">_xll.DBRW(Server&amp;Cube1,$J$12,$J$13,$J$14,$U$1,$U$2,$J$15,$D55)</f>
        <v>0</v>
      </c>
      <c r="V55" s="136">
        <f t="shared" ref="V55" ca="1" si="68">L55-U55</f>
        <v>0</v>
      </c>
      <c r="W55" s="137" t="str">
        <f t="shared" ref="W55" ca="1" si="69">IF(ISERROR(V55/U55),"-",V55/U55)</f>
        <v>-</v>
      </c>
      <c r="X55" s="65"/>
      <c r="Y55" s="31"/>
      <c r="Z55" s="9"/>
      <c r="AA55" s="66"/>
      <c r="AB55" s="66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9"/>
      <c r="BO55" s="9"/>
      <c r="BP55" s="9"/>
      <c r="BQ55" s="9"/>
      <c r="BR55" s="9"/>
      <c r="BS55" s="9"/>
      <c r="BT55" s="9"/>
      <c r="BU55" s="9"/>
      <c r="BV55" s="9"/>
      <c r="BW55" s="9"/>
      <c r="BX55" s="9"/>
      <c r="BY55" s="9"/>
      <c r="BZ55" s="9"/>
      <c r="CA55" s="9"/>
      <c r="CB55" s="9"/>
      <c r="CC55" s="9"/>
      <c r="CD55" s="9"/>
      <c r="CE55" s="9"/>
      <c r="CF55" s="9"/>
      <c r="CG55" s="9"/>
      <c r="CH55" s="9"/>
      <c r="CI55" s="9"/>
      <c r="CJ55" s="9"/>
      <c r="CK55" s="9"/>
      <c r="CL55" s="9"/>
      <c r="CM55" s="9"/>
      <c r="CN55" s="9"/>
      <c r="CO55" s="9"/>
      <c r="CP55" s="9"/>
      <c r="CQ55" s="9"/>
      <c r="CR55" s="9"/>
      <c r="CS55" s="9"/>
      <c r="CT55" s="9"/>
      <c r="CU55" s="9"/>
      <c r="CV55" s="9"/>
      <c r="CW55" s="9"/>
      <c r="CX55" s="9"/>
      <c r="CY55" s="9"/>
      <c r="CZ55" s="9"/>
      <c r="DA55" s="9"/>
      <c r="DB55" s="9"/>
      <c r="DC55" s="9"/>
      <c r="DD55" s="9"/>
      <c r="DE55" s="9"/>
      <c r="DF55" s="9"/>
      <c r="DG55" s="9"/>
      <c r="DH55" s="9"/>
      <c r="DI55" s="9"/>
      <c r="DJ55" s="9"/>
      <c r="DK55" s="9"/>
      <c r="DL55" s="9"/>
      <c r="DM55" s="9"/>
      <c r="DN55" s="9"/>
    </row>
    <row r="56" spans="1:118" ht="21" customHeight="1" x14ac:dyDescent="0.25">
      <c r="B56" s="60"/>
      <c r="C56" s="44"/>
      <c r="D56" s="203" t="s">
        <v>137</v>
      </c>
      <c r="E56" s="62"/>
      <c r="F56" s="63"/>
      <c r="G56" s="41"/>
      <c r="H56" s="232" t="str">
        <f ca="1">_xll.DBRA(Server&amp;$D$20,$D56,"French")</f>
        <v>Maintenance Informatique</v>
      </c>
      <c r="I56" s="232"/>
      <c r="J56" s="232"/>
      <c r="K56" s="150"/>
      <c r="L56" s="151">
        <f ca="1">_xll.DBRW(Server&amp;Cube1,$J$12,$J$13,$J$14,$L$1,$J$11,$J$15,$D56)</f>
        <v>-5835</v>
      </c>
      <c r="M56" s="151">
        <f ca="1">_xll.DBRW(Server&amp;Cube1,$J$12,$J$13,$J$14,$M$1,$J$11,$J$15,$D56)</f>
        <v>-7000</v>
      </c>
      <c r="N56" s="152">
        <f ca="1">L56-M56</f>
        <v>1165</v>
      </c>
      <c r="O56" s="153">
        <f ca="1">IF(ISERROR(N56/M56),"-",N56/M56)</f>
        <v>-0.16642857142857143</v>
      </c>
      <c r="P56" s="138"/>
      <c r="Q56" s="151">
        <f ca="1">_xll.DBRW(Server&amp;Cube1,$J$12,$J$13,$J$14,$Q$1,$J$11,$J$15,$D56)</f>
        <v>-1800</v>
      </c>
      <c r="R56" s="152">
        <f ca="1">L56-Q56</f>
        <v>-4035</v>
      </c>
      <c r="S56" s="153">
        <f ca="1">IF(ISERROR(R56/Q56),"-",R56/Q56)</f>
        <v>2.2416666666666667</v>
      </c>
      <c r="T56" s="138"/>
      <c r="U56" s="151">
        <f ca="1">_xll.DBRW(Server&amp;Cube1,$J$12,$J$13,$J$14,$U$1,$U$2,$J$15,$D56)</f>
        <v>653.23000000000047</v>
      </c>
      <c r="V56" s="152">
        <f ca="1">L56-U56</f>
        <v>-6488.2300000000005</v>
      </c>
      <c r="W56" s="153">
        <f ca="1">IF(ISERROR(V56/U56),"-",V56/U56)</f>
        <v>-9.9325352479218587</v>
      </c>
      <c r="X56" s="65"/>
      <c r="Y56" s="31"/>
      <c r="Z56" s="9"/>
      <c r="AA56" s="66"/>
      <c r="AB56" s="66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9"/>
      <c r="BO56" s="9"/>
      <c r="BP56" s="9"/>
      <c r="BQ56" s="9"/>
      <c r="BR56" s="9"/>
      <c r="BS56" s="9"/>
      <c r="BT56" s="9"/>
      <c r="BU56" s="9"/>
      <c r="BV56" s="9"/>
      <c r="BW56" s="9"/>
      <c r="BX56" s="9"/>
      <c r="BY56" s="9"/>
      <c r="BZ56" s="9"/>
      <c r="CA56" s="9"/>
      <c r="CB56" s="9"/>
      <c r="CC56" s="9"/>
      <c r="CD56" s="9"/>
      <c r="CE56" s="9"/>
      <c r="CF56" s="9"/>
      <c r="CG56" s="9"/>
      <c r="CH56" s="9"/>
      <c r="CI56" s="9"/>
      <c r="CJ56" s="9"/>
      <c r="CK56" s="9"/>
      <c r="CL56" s="9"/>
      <c r="CM56" s="9"/>
      <c r="CN56" s="9"/>
      <c r="CO56" s="9"/>
      <c r="CP56" s="9"/>
      <c r="CQ56" s="9"/>
      <c r="CR56" s="9"/>
      <c r="CS56" s="9"/>
      <c r="CT56" s="9"/>
      <c r="CU56" s="9"/>
      <c r="CV56" s="9"/>
      <c r="CW56" s="9"/>
      <c r="CX56" s="9"/>
      <c r="CY56" s="9"/>
      <c r="CZ56" s="9"/>
      <c r="DA56" s="9"/>
      <c r="DB56" s="9"/>
      <c r="DC56" s="9"/>
      <c r="DD56" s="9"/>
      <c r="DE56" s="9"/>
      <c r="DF56" s="9"/>
      <c r="DG56" s="9"/>
      <c r="DH56" s="9"/>
      <c r="DI56" s="9"/>
      <c r="DJ56" s="9"/>
      <c r="DK56" s="9"/>
      <c r="DL56" s="9"/>
      <c r="DM56" s="9"/>
      <c r="DN56" s="9"/>
    </row>
    <row r="57" spans="1:118" ht="21" customHeight="1" x14ac:dyDescent="0.25">
      <c r="B57" s="60"/>
      <c r="C57" s="44"/>
      <c r="D57" s="216" t="s">
        <v>154</v>
      </c>
      <c r="E57" s="62"/>
      <c r="F57" s="63"/>
      <c r="G57" s="41"/>
      <c r="H57" s="232" t="str">
        <f ca="1">_xll.DBRA(Server&amp;$D$20,$D57,"French")</f>
        <v>Documentation technique et reprographie (coûts directs)</v>
      </c>
      <c r="I57" s="232"/>
      <c r="J57" s="232"/>
      <c r="K57" s="150"/>
      <c r="L57" s="151">
        <f ca="1">_xll.DBRW(Server&amp;Cube1,$J$12,$J$13,$J$14,$L$1,$J$11,$J$15,$D57)</f>
        <v>-16744.57</v>
      </c>
      <c r="M57" s="151">
        <f ca="1">_xll.DBRW(Server&amp;Cube1,$J$12,$J$13,$J$14,$M$1,$J$11,$J$15,$D57)</f>
        <v>-10590.000000000002</v>
      </c>
      <c r="N57" s="152">
        <f t="shared" ref="N57" ca="1" si="70">L57-M57</f>
        <v>-6154.5699999999979</v>
      </c>
      <c r="O57" s="153">
        <f t="shared" ref="O57" ca="1" si="71">IF(ISERROR(N57/M57),"-",N57/M57)</f>
        <v>0.58116808309726131</v>
      </c>
      <c r="P57" s="138"/>
      <c r="Q57" s="151">
        <f ca="1">_xll.DBRW(Server&amp;Cube1,$J$12,$J$13,$J$14,$Q$1,$J$11,$J$15,$D57)</f>
        <v>-1800</v>
      </c>
      <c r="R57" s="152">
        <f t="shared" ref="R57" ca="1" si="72">L57-Q57</f>
        <v>-14944.57</v>
      </c>
      <c r="S57" s="153">
        <f t="shared" ref="S57" ca="1" si="73">IF(ISERROR(R57/Q57),"-",R57/Q57)</f>
        <v>8.302538888888888</v>
      </c>
      <c r="T57" s="138"/>
      <c r="U57" s="151">
        <f ca="1">_xll.DBRW(Server&amp;Cube1,$J$12,$J$13,$J$14,$U$1,$U$2,$J$15,$D57)</f>
        <v>-3723.88</v>
      </c>
      <c r="V57" s="152">
        <f t="shared" ref="V57" ca="1" si="74">L57-U57</f>
        <v>-13020.689999999999</v>
      </c>
      <c r="W57" s="153">
        <f t="shared" ref="W57" ca="1" si="75">IF(ISERROR(V57/U57),"-",V57/U57)</f>
        <v>3.4965385565592872</v>
      </c>
      <c r="X57" s="65"/>
      <c r="Y57" s="31"/>
      <c r="Z57" s="9"/>
      <c r="AA57" s="66"/>
      <c r="AB57" s="66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9"/>
      <c r="BO57" s="9"/>
      <c r="BP57" s="9"/>
      <c r="BQ57" s="9"/>
      <c r="BR57" s="9"/>
      <c r="BS57" s="9"/>
      <c r="BT57" s="9"/>
      <c r="BU57" s="9"/>
      <c r="BV57" s="9"/>
      <c r="BW57" s="9"/>
      <c r="BX57" s="9"/>
      <c r="BY57" s="9"/>
      <c r="BZ57" s="9"/>
      <c r="CA57" s="9"/>
      <c r="CB57" s="9"/>
      <c r="CC57" s="9"/>
      <c r="CD57" s="9"/>
      <c r="CE57" s="9"/>
      <c r="CF57" s="9"/>
      <c r="CG57" s="9"/>
      <c r="CH57" s="9"/>
      <c r="CI57" s="9"/>
      <c r="CJ57" s="9"/>
      <c r="CK57" s="9"/>
      <c r="CL57" s="9"/>
      <c r="CM57" s="9"/>
      <c r="CN57" s="9"/>
      <c r="CO57" s="9"/>
      <c r="CP57" s="9"/>
      <c r="CQ57" s="9"/>
      <c r="CR57" s="9"/>
      <c r="CS57" s="9"/>
      <c r="CT57" s="9"/>
      <c r="CU57" s="9"/>
      <c r="CV57" s="9"/>
      <c r="CW57" s="9"/>
      <c r="CX57" s="9"/>
      <c r="CY57" s="9"/>
      <c r="CZ57" s="9"/>
      <c r="DA57" s="9"/>
      <c r="DB57" s="9"/>
      <c r="DC57" s="9"/>
      <c r="DD57" s="9"/>
      <c r="DE57" s="9"/>
      <c r="DF57" s="9"/>
      <c r="DG57" s="9"/>
      <c r="DH57" s="9"/>
      <c r="DI57" s="9"/>
      <c r="DJ57" s="9"/>
      <c r="DK57" s="9"/>
      <c r="DL57" s="9"/>
      <c r="DM57" s="9"/>
      <c r="DN57" s="9"/>
    </row>
    <row r="58" spans="1:118" ht="23.25" x14ac:dyDescent="0.25">
      <c r="B58" s="60"/>
      <c r="C58" s="44"/>
      <c r="D58" s="203" t="s">
        <v>52</v>
      </c>
      <c r="E58" s="62"/>
      <c r="F58" s="63"/>
      <c r="G58" s="41"/>
      <c r="H58" s="232" t="str">
        <f ca="1">_xll.DBRA(Server&amp;$D$20,$D58,"French")</f>
        <v>Documentation Livrets,DVD et Autres (coûts directs)</v>
      </c>
      <c r="I58" s="232"/>
      <c r="J58" s="232"/>
      <c r="K58" s="150"/>
      <c r="L58" s="151">
        <f ca="1">_xll.DBRW(Server&amp;Cube1,$J$12,$J$13,$J$14,$L$1,$J$11,$J$15,$D58)</f>
        <v>-1209.9000000000001</v>
      </c>
      <c r="M58" s="151">
        <f ca="1">_xll.DBRW(Server&amp;Cube1,$J$12,$J$13,$J$14,$M$1,$J$11,$J$15,$D58)</f>
        <v>-3077.0000000000009</v>
      </c>
      <c r="N58" s="136">
        <f t="shared" ca="1" si="40"/>
        <v>1867.1000000000008</v>
      </c>
      <c r="O58" s="137">
        <f t="shared" ca="1" si="41"/>
        <v>-0.60679233019174528</v>
      </c>
      <c r="P58" s="138"/>
      <c r="Q58" s="151">
        <f ca="1">_xll.DBRW(Server&amp;Cube1,$J$12,$J$13,$J$14,$Q$1,$J$11,$J$15,$D58)</f>
        <v>-200</v>
      </c>
      <c r="R58" s="136">
        <f t="shared" ca="1" si="42"/>
        <v>-1009.9000000000001</v>
      </c>
      <c r="S58" s="137">
        <f t="shared" ca="1" si="43"/>
        <v>5.0495000000000001</v>
      </c>
      <c r="T58" s="138"/>
      <c r="U58" s="151">
        <f ca="1">_xll.DBRW(Server&amp;Cube1,$J$12,$J$13,$J$14,$U$1,$U$2,$J$15,$D58)</f>
        <v>-392</v>
      </c>
      <c r="V58" s="136">
        <f t="shared" ca="1" si="44"/>
        <v>-817.90000000000009</v>
      </c>
      <c r="W58" s="137">
        <f t="shared" ca="1" si="45"/>
        <v>2.0864795918367349</v>
      </c>
      <c r="X58" s="65"/>
      <c r="Y58" s="31"/>
      <c r="Z58" s="9"/>
      <c r="AA58" s="66"/>
      <c r="AB58" s="66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9"/>
      <c r="BO58" s="9"/>
      <c r="BP58" s="9"/>
      <c r="BQ58" s="9"/>
      <c r="BR58" s="9"/>
      <c r="BS58" s="9"/>
      <c r="BT58" s="9"/>
      <c r="BU58" s="9"/>
      <c r="BV58" s="9"/>
      <c r="BW58" s="9"/>
      <c r="BX58" s="9"/>
      <c r="BY58" s="9"/>
      <c r="BZ58" s="9"/>
      <c r="CA58" s="9"/>
      <c r="CB58" s="9"/>
      <c r="CC58" s="9"/>
      <c r="CD58" s="9"/>
      <c r="CE58" s="9"/>
      <c r="CF58" s="9"/>
      <c r="CG58" s="9"/>
      <c r="CH58" s="9"/>
      <c r="CI58" s="9"/>
      <c r="CJ58" s="9"/>
      <c r="CK58" s="9"/>
      <c r="CL58" s="9"/>
      <c r="CM58" s="9"/>
      <c r="CN58" s="9"/>
      <c r="CO58" s="9"/>
      <c r="CP58" s="9"/>
      <c r="CQ58" s="9"/>
      <c r="CR58" s="9"/>
      <c r="CS58" s="9"/>
      <c r="CT58" s="9"/>
      <c r="CU58" s="9"/>
      <c r="CV58" s="9"/>
      <c r="CW58" s="9"/>
      <c r="CX58" s="9"/>
      <c r="CY58" s="9"/>
      <c r="CZ58" s="9"/>
      <c r="DA58" s="9"/>
      <c r="DB58" s="9"/>
      <c r="DC58" s="9"/>
      <c r="DD58" s="9"/>
      <c r="DE58" s="9"/>
      <c r="DF58" s="9"/>
      <c r="DG58" s="9"/>
      <c r="DH58" s="9"/>
      <c r="DI58" s="9"/>
      <c r="DJ58" s="9"/>
      <c r="DK58" s="9"/>
      <c r="DL58" s="9"/>
      <c r="DM58" s="9"/>
      <c r="DN58" s="9"/>
    </row>
    <row r="59" spans="1:118" ht="23.25" x14ac:dyDescent="0.25">
      <c r="B59" s="60"/>
      <c r="C59" s="44"/>
      <c r="D59" s="203" t="s">
        <v>53</v>
      </c>
      <c r="E59" s="62"/>
      <c r="F59" s="63"/>
      <c r="G59" s="41"/>
      <c r="H59" s="232" t="str">
        <f ca="1">_xll.DBRA(Server&amp;$D$20,$D59,"French")</f>
        <v>Cartes CQC (charge)</v>
      </c>
      <c r="I59" s="232"/>
      <c r="J59" s="232"/>
      <c r="K59" s="150"/>
      <c r="L59" s="151">
        <f ca="1">_xll.DBRW(Server&amp;Cube1,$J$12,$J$13,$J$14,$L$1,$J$11,$J$15,$D59)</f>
        <v>-99435.6</v>
      </c>
      <c r="M59" s="151">
        <f ca="1">_xll.DBRW(Server&amp;Cube1,$J$12,$J$13,$J$14,$M$1,$J$11,$J$15,$D59)</f>
        <v>-94138</v>
      </c>
      <c r="N59" s="136">
        <f t="shared" ca="1" si="40"/>
        <v>-5297.6000000000058</v>
      </c>
      <c r="O59" s="137">
        <f t="shared" ca="1" si="41"/>
        <v>5.6274830567889754E-2</v>
      </c>
      <c r="P59" s="138"/>
      <c r="Q59" s="151">
        <f ca="1">_xll.DBRW(Server&amp;Cube1,$J$12,$J$13,$J$14,$Q$1,$J$11,$J$15,$D59)</f>
        <v>-16767</v>
      </c>
      <c r="R59" s="136">
        <f t="shared" ca="1" si="42"/>
        <v>-82668.600000000006</v>
      </c>
      <c r="S59" s="137">
        <f t="shared" ca="1" si="43"/>
        <v>4.9304347826086961</v>
      </c>
      <c r="T59" s="138"/>
      <c r="U59" s="151">
        <f ca="1">_xll.DBRW(Server&amp;Cube1,$J$12,$J$13,$J$14,$U$1,$U$2,$J$15,$D59)</f>
        <v>-103347.89999999998</v>
      </c>
      <c r="V59" s="136">
        <f t="shared" ca="1" si="44"/>
        <v>3912.2999999999738</v>
      </c>
      <c r="W59" s="137">
        <f t="shared" ca="1" si="45"/>
        <v>-3.7855631319068647E-2</v>
      </c>
      <c r="X59" s="65"/>
      <c r="Y59" s="31"/>
      <c r="Z59" s="9"/>
      <c r="AA59" s="66"/>
      <c r="AB59" s="66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9"/>
      <c r="BO59" s="9"/>
      <c r="BP59" s="9"/>
      <c r="BQ59" s="9"/>
      <c r="BR59" s="9"/>
      <c r="BS59" s="9"/>
      <c r="BT59" s="9"/>
      <c r="BU59" s="9"/>
      <c r="BV59" s="9"/>
      <c r="BW59" s="9"/>
      <c r="BX59" s="9"/>
      <c r="BY59" s="9"/>
      <c r="BZ59" s="9"/>
      <c r="CA59" s="9"/>
      <c r="CB59" s="9"/>
      <c r="CC59" s="9"/>
      <c r="CD59" s="9"/>
      <c r="CE59" s="9"/>
      <c r="CF59" s="9"/>
      <c r="CG59" s="9"/>
      <c r="CH59" s="9"/>
      <c r="CI59" s="9"/>
      <c r="CJ59" s="9"/>
      <c r="CK59" s="9"/>
      <c r="CL59" s="9"/>
      <c r="CM59" s="9"/>
      <c r="CN59" s="9"/>
      <c r="CO59" s="9"/>
      <c r="CP59" s="9"/>
      <c r="CQ59" s="9"/>
      <c r="CR59" s="9"/>
      <c r="CS59" s="9"/>
      <c r="CT59" s="9"/>
      <c r="CU59" s="9"/>
      <c r="CV59" s="9"/>
      <c r="CW59" s="9"/>
      <c r="CX59" s="9"/>
      <c r="CY59" s="9"/>
      <c r="CZ59" s="9"/>
      <c r="DA59" s="9"/>
      <c r="DB59" s="9"/>
      <c r="DC59" s="9"/>
      <c r="DD59" s="9"/>
      <c r="DE59" s="9"/>
      <c r="DF59" s="9"/>
      <c r="DG59" s="9"/>
      <c r="DH59" s="9"/>
      <c r="DI59" s="9"/>
      <c r="DJ59" s="9"/>
      <c r="DK59" s="9"/>
      <c r="DL59" s="9"/>
      <c r="DM59" s="9"/>
      <c r="DN59" s="9"/>
    </row>
    <row r="60" spans="1:118" ht="21" customHeight="1" x14ac:dyDescent="0.25">
      <c r="B60" s="60"/>
      <c r="C60" s="44"/>
      <c r="D60" s="214" t="s">
        <v>143</v>
      </c>
      <c r="E60" s="62"/>
      <c r="F60" s="63"/>
      <c r="G60" s="41"/>
      <c r="H60" s="232" t="str">
        <f ca="1">_xll.DBRA(Server&amp;$D$20,$D60,"French")</f>
        <v>Publicité et Marketing (coûts directs)</v>
      </c>
      <c r="I60" s="232"/>
      <c r="J60" s="232"/>
      <c r="K60" s="150"/>
      <c r="L60" s="151">
        <f ca="1">_xll.DBRW(Server&amp;Cube1,$J$12,$J$13,$J$14,$L$1,$J$11,$J$15,$D60)</f>
        <v>0</v>
      </c>
      <c r="M60" s="151">
        <f ca="1">_xll.DBRW(Server&amp;Cube1,$J$12,$J$13,$J$14,$M$1,$J$11,$J$15,$D60)</f>
        <v>0</v>
      </c>
      <c r="N60" s="152">
        <f t="shared" ref="N60" ca="1" si="76">L60-M60</f>
        <v>0</v>
      </c>
      <c r="O60" s="153" t="str">
        <f t="shared" ref="O60" ca="1" si="77">IF(ISERROR(N60/M60),"-",N60/M60)</f>
        <v>-</v>
      </c>
      <c r="P60" s="138"/>
      <c r="Q60" s="151">
        <f ca="1">_xll.DBRW(Server&amp;Cube1,$J$12,$J$13,$J$14,$Q$1,$J$11,$J$15,$D60)</f>
        <v>0</v>
      </c>
      <c r="R60" s="152">
        <f t="shared" ref="R60" ca="1" si="78">L60-Q60</f>
        <v>0</v>
      </c>
      <c r="S60" s="153" t="str">
        <f t="shared" ref="S60" ca="1" si="79">IF(ISERROR(R60/Q60),"-",R60/Q60)</f>
        <v>-</v>
      </c>
      <c r="T60" s="138"/>
      <c r="U60" s="151">
        <f ca="1">_xll.DBRW(Server&amp;Cube1,$J$12,$J$13,$J$14,$U$1,$U$2,$J$15,$D60)</f>
        <v>0</v>
      </c>
      <c r="V60" s="152">
        <f t="shared" ref="V60" ca="1" si="80">L60-U60</f>
        <v>0</v>
      </c>
      <c r="W60" s="153" t="str">
        <f t="shared" ref="W60" ca="1" si="81">IF(ISERROR(V60/U60),"-",V60/U60)</f>
        <v>-</v>
      </c>
      <c r="X60" s="65"/>
      <c r="Y60" s="31"/>
      <c r="Z60" s="9"/>
      <c r="AA60" s="66"/>
      <c r="AB60" s="66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9"/>
      <c r="BO60" s="9"/>
      <c r="BP60" s="9"/>
      <c r="BQ60" s="9"/>
      <c r="BR60" s="9"/>
      <c r="BS60" s="9"/>
      <c r="BT60" s="9"/>
      <c r="BU60" s="9"/>
      <c r="BV60" s="9"/>
      <c r="BW60" s="9"/>
      <c r="BX60" s="9"/>
      <c r="BY60" s="9"/>
      <c r="BZ60" s="9"/>
      <c r="CA60" s="9"/>
      <c r="CB60" s="9"/>
      <c r="CC60" s="9"/>
      <c r="CD60" s="9"/>
      <c r="CE60" s="9"/>
      <c r="CF60" s="9"/>
      <c r="CG60" s="9"/>
      <c r="CH60" s="9"/>
      <c r="CI60" s="9"/>
      <c r="CJ60" s="9"/>
      <c r="CK60" s="9"/>
      <c r="CL60" s="9"/>
      <c r="CM60" s="9"/>
      <c r="CN60" s="9"/>
      <c r="CO60" s="9"/>
      <c r="CP60" s="9"/>
      <c r="CQ60" s="9"/>
      <c r="CR60" s="9"/>
      <c r="CS60" s="9"/>
      <c r="CT60" s="9"/>
      <c r="CU60" s="9"/>
      <c r="CV60" s="9"/>
      <c r="CW60" s="9"/>
      <c r="CX60" s="9"/>
      <c r="CY60" s="9"/>
      <c r="CZ60" s="9"/>
      <c r="DA60" s="9"/>
      <c r="DB60" s="9"/>
      <c r="DC60" s="9"/>
      <c r="DD60" s="9"/>
      <c r="DE60" s="9"/>
      <c r="DF60" s="9"/>
      <c r="DG60" s="9"/>
      <c r="DH60" s="9"/>
      <c r="DI60" s="9"/>
      <c r="DJ60" s="9"/>
      <c r="DK60" s="9"/>
      <c r="DL60" s="9"/>
      <c r="DM60" s="9"/>
      <c r="DN60" s="9"/>
    </row>
    <row r="61" spans="1:118" ht="21" customHeight="1" x14ac:dyDescent="0.25">
      <c r="B61" s="60"/>
      <c r="C61" s="44"/>
      <c r="D61" s="214" t="s">
        <v>115</v>
      </c>
      <c r="E61" s="62"/>
      <c r="F61" s="63"/>
      <c r="G61" s="41"/>
      <c r="H61" s="232" t="str">
        <f ca="1">_xll.DBRA(Server&amp;$D$20,$D61,"French")</f>
        <v>Cadeaux Stagiaires (coûts directs)</v>
      </c>
      <c r="I61" s="232"/>
      <c r="J61" s="232"/>
      <c r="K61" s="150"/>
      <c r="L61" s="151">
        <f ca="1">_xll.DBRW(Server&amp;Cube1,$J$12,$J$13,$J$14,$L$1,$J$11,$J$15,$D61)</f>
        <v>0</v>
      </c>
      <c r="M61" s="151">
        <f ca="1">_xll.DBRW(Server&amp;Cube1,$J$12,$J$13,$J$14,$M$1,$J$11,$J$15,$D61)</f>
        <v>0</v>
      </c>
      <c r="N61" s="152">
        <f t="shared" ref="N61" ca="1" si="82">L61-M61</f>
        <v>0</v>
      </c>
      <c r="O61" s="153" t="str">
        <f t="shared" ref="O61" ca="1" si="83">IF(ISERROR(N61/M61),"-",N61/M61)</f>
        <v>-</v>
      </c>
      <c r="P61" s="138"/>
      <c r="Q61" s="151">
        <f ca="1">_xll.DBRW(Server&amp;Cube1,$J$12,$J$13,$J$14,$Q$1,$J$11,$J$15,$D61)</f>
        <v>0</v>
      </c>
      <c r="R61" s="152">
        <f t="shared" ref="R61" ca="1" si="84">L61-Q61</f>
        <v>0</v>
      </c>
      <c r="S61" s="153" t="str">
        <f t="shared" ref="S61" ca="1" si="85">IF(ISERROR(R61/Q61),"-",R61/Q61)</f>
        <v>-</v>
      </c>
      <c r="T61" s="138"/>
      <c r="U61" s="151">
        <f ca="1">_xll.DBRW(Server&amp;Cube1,$J$12,$J$13,$J$14,$U$1,$U$2,$J$15,$D61)</f>
        <v>0</v>
      </c>
      <c r="V61" s="152">
        <f t="shared" ref="V61" ca="1" si="86">L61-U61</f>
        <v>0</v>
      </c>
      <c r="W61" s="153" t="str">
        <f t="shared" ref="W61" ca="1" si="87">IF(ISERROR(V61/U61),"-",V61/U61)</f>
        <v>-</v>
      </c>
      <c r="X61" s="65"/>
      <c r="Y61" s="31"/>
      <c r="Z61" s="9"/>
      <c r="AA61" s="66"/>
      <c r="AB61" s="66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9"/>
      <c r="BO61" s="9"/>
      <c r="BP61" s="9"/>
      <c r="BQ61" s="9"/>
      <c r="BR61" s="9"/>
      <c r="BS61" s="9"/>
      <c r="BT61" s="9"/>
      <c r="BU61" s="9"/>
      <c r="BV61" s="9"/>
      <c r="BW61" s="9"/>
      <c r="BX61" s="9"/>
      <c r="BY61" s="9"/>
      <c r="BZ61" s="9"/>
      <c r="CA61" s="9"/>
      <c r="CB61" s="9"/>
      <c r="CC61" s="9"/>
      <c r="CD61" s="9"/>
      <c r="CE61" s="9"/>
      <c r="CF61" s="9"/>
      <c r="CG61" s="9"/>
      <c r="CH61" s="9"/>
      <c r="CI61" s="9"/>
      <c r="CJ61" s="9"/>
      <c r="CK61" s="9"/>
      <c r="CL61" s="9"/>
      <c r="CM61" s="9"/>
      <c r="CN61" s="9"/>
      <c r="CO61" s="9"/>
      <c r="CP61" s="9"/>
      <c r="CQ61" s="9"/>
      <c r="CR61" s="9"/>
      <c r="CS61" s="9"/>
      <c r="CT61" s="9"/>
      <c r="CU61" s="9"/>
      <c r="CV61" s="9"/>
      <c r="CW61" s="9"/>
      <c r="CX61" s="9"/>
      <c r="CY61" s="9"/>
      <c r="CZ61" s="9"/>
      <c r="DA61" s="9"/>
      <c r="DB61" s="9"/>
      <c r="DC61" s="9"/>
      <c r="DD61" s="9"/>
      <c r="DE61" s="9"/>
      <c r="DF61" s="9"/>
      <c r="DG61" s="9"/>
      <c r="DH61" s="9"/>
      <c r="DI61" s="9"/>
      <c r="DJ61" s="9"/>
      <c r="DK61" s="9"/>
      <c r="DL61" s="9"/>
      <c r="DM61" s="9"/>
      <c r="DN61" s="9"/>
    </row>
    <row r="62" spans="1:118" ht="21" customHeight="1" x14ac:dyDescent="0.25">
      <c r="B62" s="60"/>
      <c r="C62" s="44"/>
      <c r="D62" s="203" t="s">
        <v>70</v>
      </c>
      <c r="E62" s="62"/>
      <c r="F62" s="63"/>
      <c r="G62" s="41"/>
      <c r="H62" s="232" t="str">
        <f ca="1">_xll.DBRA(Server&amp;$D$20,$D62,"French")</f>
        <v>Transport sur achat (coûts directs)</v>
      </c>
      <c r="I62" s="232"/>
      <c r="J62" s="232"/>
      <c r="K62" s="150"/>
      <c r="L62" s="151">
        <f ca="1">_xll.DBRW(Server&amp;Cube1,$J$12,$J$13,$J$14,$L$1,$J$11,$J$15,$D62)</f>
        <v>-1960.9299999999998</v>
      </c>
      <c r="M62" s="151">
        <f ca="1">_xll.DBRW(Server&amp;Cube1,$J$12,$J$13,$J$14,$M$1,$J$11,$J$15,$D62)</f>
        <v>-600</v>
      </c>
      <c r="N62" s="152">
        <f t="shared" ca="1" si="40"/>
        <v>-1360.9299999999998</v>
      </c>
      <c r="O62" s="153">
        <f t="shared" ca="1" si="41"/>
        <v>2.2682166666666665</v>
      </c>
      <c r="P62" s="138"/>
      <c r="Q62" s="151">
        <f ca="1">_xll.DBRW(Server&amp;Cube1,$J$12,$J$13,$J$14,$Q$1,$J$11,$J$15,$D62)</f>
        <v>0</v>
      </c>
      <c r="R62" s="152">
        <f t="shared" ca="1" si="42"/>
        <v>-1960.9299999999998</v>
      </c>
      <c r="S62" s="153" t="str">
        <f t="shared" ca="1" si="43"/>
        <v>-</v>
      </c>
      <c r="T62" s="138"/>
      <c r="U62" s="151">
        <f ca="1">_xll.DBRW(Server&amp;Cube1,$J$12,$J$13,$J$14,$U$1,$U$2,$J$15,$D62)</f>
        <v>-739.03</v>
      </c>
      <c r="V62" s="152">
        <f t="shared" ca="1" si="44"/>
        <v>-1221.8999999999999</v>
      </c>
      <c r="W62" s="153">
        <f t="shared" ca="1" si="45"/>
        <v>1.653383489168234</v>
      </c>
      <c r="X62" s="65"/>
      <c r="Y62" s="31"/>
      <c r="Z62" s="9"/>
      <c r="AA62" s="66"/>
      <c r="AB62" s="66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9"/>
      <c r="BO62" s="9"/>
      <c r="BP62" s="9"/>
      <c r="BQ62" s="9"/>
      <c r="BR62" s="9"/>
      <c r="BS62" s="9"/>
      <c r="BT62" s="9"/>
      <c r="BU62" s="9"/>
      <c r="BV62" s="9"/>
      <c r="BW62" s="9"/>
      <c r="BX62" s="9"/>
      <c r="BY62" s="9"/>
      <c r="BZ62" s="9"/>
      <c r="CA62" s="9"/>
      <c r="CB62" s="9"/>
      <c r="CC62" s="9"/>
      <c r="CD62" s="9"/>
      <c r="CE62" s="9"/>
      <c r="CF62" s="9"/>
      <c r="CG62" s="9"/>
      <c r="CH62" s="9"/>
      <c r="CI62" s="9"/>
      <c r="CJ62" s="9"/>
      <c r="CK62" s="9"/>
      <c r="CL62" s="9"/>
      <c r="CM62" s="9"/>
      <c r="CN62" s="9"/>
      <c r="CO62" s="9"/>
      <c r="CP62" s="9"/>
      <c r="CQ62" s="9"/>
      <c r="CR62" s="9"/>
      <c r="CS62" s="9"/>
      <c r="CT62" s="9"/>
      <c r="CU62" s="9"/>
      <c r="CV62" s="9"/>
      <c r="CW62" s="9"/>
      <c r="CX62" s="9"/>
      <c r="CY62" s="9"/>
      <c r="CZ62" s="9"/>
      <c r="DA62" s="9"/>
      <c r="DB62" s="9"/>
      <c r="DC62" s="9"/>
      <c r="DD62" s="9"/>
      <c r="DE62" s="9"/>
      <c r="DF62" s="9"/>
      <c r="DG62" s="9"/>
      <c r="DH62" s="9"/>
      <c r="DI62" s="9"/>
      <c r="DJ62" s="9"/>
      <c r="DK62" s="9"/>
      <c r="DL62" s="9"/>
      <c r="DM62" s="9"/>
      <c r="DN62" s="9"/>
    </row>
    <row r="63" spans="1:118" ht="9" customHeight="1" x14ac:dyDescent="0.25">
      <c r="C63" s="44"/>
      <c r="D63" s="207"/>
      <c r="E63" s="68"/>
      <c r="F63" s="69"/>
      <c r="G63" s="70"/>
      <c r="H63" s="71"/>
      <c r="I63" s="72"/>
      <c r="J63" s="72"/>
      <c r="K63" s="73"/>
      <c r="L63" s="74"/>
      <c r="M63" s="74"/>
      <c r="N63" s="75"/>
      <c r="O63" s="76"/>
      <c r="P63" s="77"/>
      <c r="Q63" s="74"/>
      <c r="R63" s="75"/>
      <c r="S63" s="76"/>
      <c r="T63" s="77"/>
      <c r="U63" s="74"/>
      <c r="V63" s="75"/>
      <c r="W63" s="76"/>
      <c r="X63" s="65"/>
      <c r="Y63" s="31"/>
      <c r="Z63" s="78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9"/>
      <c r="BO63" s="9"/>
      <c r="BP63" s="9"/>
      <c r="BQ63" s="9"/>
      <c r="BR63" s="9"/>
      <c r="BS63" s="9"/>
      <c r="BT63" s="9"/>
      <c r="BU63" s="9"/>
      <c r="BV63" s="9"/>
      <c r="BW63" s="9"/>
      <c r="BX63" s="9"/>
      <c r="BY63" s="9"/>
      <c r="BZ63" s="9"/>
      <c r="CA63" s="9"/>
      <c r="CB63" s="9"/>
      <c r="CC63" s="9"/>
      <c r="CD63" s="9"/>
      <c r="CE63" s="9"/>
      <c r="CF63" s="9"/>
      <c r="CG63" s="9"/>
      <c r="CH63" s="9"/>
      <c r="CI63" s="9"/>
      <c r="CJ63" s="9"/>
      <c r="CK63" s="9"/>
      <c r="CL63" s="9"/>
      <c r="CM63" s="9"/>
      <c r="CN63" s="9"/>
      <c r="CO63" s="9"/>
      <c r="CP63" s="9"/>
      <c r="CQ63" s="9"/>
      <c r="CR63" s="9"/>
      <c r="CS63" s="9"/>
      <c r="CT63" s="9"/>
      <c r="CU63" s="9"/>
      <c r="CV63" s="9"/>
      <c r="CW63" s="9"/>
      <c r="CX63" s="9"/>
      <c r="CY63" s="9"/>
      <c r="CZ63" s="9"/>
      <c r="DA63" s="9"/>
      <c r="DB63" s="9"/>
      <c r="DC63" s="9"/>
      <c r="DD63" s="9"/>
      <c r="DE63" s="9"/>
      <c r="DF63" s="9"/>
      <c r="DG63" s="9"/>
      <c r="DH63" s="9"/>
      <c r="DI63" s="9"/>
      <c r="DJ63" s="9"/>
      <c r="DK63" s="9"/>
      <c r="DL63" s="9"/>
      <c r="DM63" s="9"/>
      <c r="DN63" s="9"/>
    </row>
    <row r="64" spans="1:118" s="139" customFormat="1" ht="22.5" customHeight="1" x14ac:dyDescent="0.25">
      <c r="A64" s="221"/>
      <c r="B64" s="140"/>
      <c r="C64" s="44"/>
      <c r="D64" s="208" t="s">
        <v>58</v>
      </c>
      <c r="E64" s="141"/>
      <c r="F64" s="142"/>
      <c r="G64" s="235" t="str">
        <f ca="1">_xll.DBRA(Server&amp;$D$20,$D64,"French")</f>
        <v>Coûts directs de la formation</v>
      </c>
      <c r="H64" s="236"/>
      <c r="I64" s="236"/>
      <c r="J64" s="237"/>
      <c r="K64" s="143"/>
      <c r="L64" s="144">
        <f ca="1">+L43+L47+L48+L53</f>
        <v>-2377369.3600000003</v>
      </c>
      <c r="M64" s="144">
        <f ca="1">+M43+M47+M48+M53</f>
        <v>-1684238</v>
      </c>
      <c r="N64" s="144">
        <f ca="1">+N43+N47+N48+N53</f>
        <v>-693131.3600000001</v>
      </c>
      <c r="O64" s="161">
        <f ca="1">IF(ISERROR(N64/M64),"-",N64/M64)</f>
        <v>0.41154003175323206</v>
      </c>
      <c r="P64" s="132"/>
      <c r="Q64" s="145">
        <f ca="1">_xll.DBRW(Server&amp;Cube1,$J$12,$J$13,$J$14,$Q$1,$J$11,$J$15,$D64)</f>
        <v>-1269496.6100000001</v>
      </c>
      <c r="R64" s="146">
        <f ca="1">L64-Q64</f>
        <v>-1107872.7500000002</v>
      </c>
      <c r="S64" s="161">
        <f ca="1">IF(ISERROR(R64/Q64),"-",R64/Q64)</f>
        <v>0.87268665490961816</v>
      </c>
      <c r="T64" s="132"/>
      <c r="U64" s="144">
        <f ca="1">+U43+U47+U48+U53</f>
        <v>-1762197.0899999999</v>
      </c>
      <c r="V64" s="146">
        <f ca="1">L64-U64</f>
        <v>-615172.27000000048</v>
      </c>
      <c r="W64" s="161">
        <f ca="1">IF(ISERROR(V64/U64),"-",V64/U64)</f>
        <v>0.34909390867283779</v>
      </c>
      <c r="X64" s="155"/>
      <c r="Y64" s="148"/>
      <c r="Z64" s="149"/>
      <c r="AA64" s="149"/>
      <c r="AB64" s="149"/>
      <c r="AC64" s="149"/>
      <c r="AD64" s="149"/>
      <c r="AE64" s="149"/>
      <c r="AF64" s="149"/>
      <c r="AG64" s="149"/>
      <c r="AH64" s="149"/>
      <c r="AI64" s="149"/>
      <c r="AJ64" s="149"/>
      <c r="AK64" s="149"/>
      <c r="AL64" s="149"/>
      <c r="AM64" s="149"/>
      <c r="AN64" s="149"/>
      <c r="AO64" s="149"/>
      <c r="AP64" s="149"/>
      <c r="AQ64" s="149"/>
      <c r="AR64" s="149"/>
      <c r="AS64" s="149"/>
      <c r="AT64" s="149"/>
      <c r="AU64" s="149"/>
      <c r="AV64" s="149"/>
      <c r="AW64" s="149"/>
      <c r="AX64" s="149"/>
      <c r="AY64" s="149"/>
      <c r="AZ64" s="149"/>
      <c r="BA64" s="149"/>
      <c r="BB64" s="149"/>
      <c r="BC64" s="149"/>
      <c r="BD64" s="149"/>
      <c r="BE64" s="149"/>
      <c r="BF64" s="149"/>
      <c r="BG64" s="149"/>
      <c r="BH64" s="149"/>
      <c r="BI64" s="149"/>
      <c r="BJ64" s="149"/>
      <c r="BK64" s="149"/>
      <c r="BL64" s="149"/>
      <c r="BM64" s="149"/>
      <c r="BN64" s="149"/>
      <c r="BO64" s="149"/>
      <c r="BP64" s="149"/>
      <c r="BQ64" s="149"/>
      <c r="BR64" s="149"/>
      <c r="BS64" s="149"/>
      <c r="BT64" s="149"/>
      <c r="BU64" s="149"/>
      <c r="BV64" s="149"/>
      <c r="BW64" s="149"/>
      <c r="BX64" s="149"/>
      <c r="BY64" s="149"/>
      <c r="BZ64" s="149"/>
      <c r="CA64" s="149"/>
      <c r="CB64" s="149"/>
      <c r="CC64" s="149"/>
      <c r="CD64" s="149"/>
      <c r="CE64" s="149"/>
      <c r="CF64" s="149"/>
      <c r="CG64" s="149"/>
      <c r="CH64" s="149"/>
      <c r="CI64" s="149"/>
      <c r="CJ64" s="149"/>
      <c r="CK64" s="149"/>
      <c r="CL64" s="149"/>
      <c r="CM64" s="149"/>
      <c r="CN64" s="149"/>
      <c r="CO64" s="149"/>
      <c r="CP64" s="149"/>
      <c r="CQ64" s="149"/>
      <c r="CR64" s="149"/>
      <c r="CS64" s="149"/>
      <c r="CT64" s="149"/>
      <c r="CU64" s="149"/>
      <c r="CV64" s="149"/>
      <c r="CW64" s="149"/>
      <c r="CX64" s="149"/>
      <c r="CY64" s="149"/>
      <c r="CZ64" s="149"/>
      <c r="DA64" s="149"/>
      <c r="DB64" s="149"/>
      <c r="DC64" s="149"/>
      <c r="DD64" s="149"/>
      <c r="DE64" s="149"/>
      <c r="DF64" s="149"/>
      <c r="DG64" s="149"/>
      <c r="DH64" s="149"/>
      <c r="DI64" s="149"/>
      <c r="DJ64" s="149"/>
      <c r="DK64" s="149"/>
      <c r="DL64" s="149"/>
      <c r="DM64" s="149"/>
      <c r="DN64" s="149"/>
    </row>
    <row r="65" spans="1:118" ht="8.25" customHeight="1" x14ac:dyDescent="0.25">
      <c r="C65" s="44"/>
      <c r="D65" s="206"/>
      <c r="E65" s="62"/>
      <c r="F65" s="63"/>
      <c r="G65" s="82"/>
      <c r="H65" s="82"/>
      <c r="I65" s="64"/>
      <c r="J65" s="64"/>
      <c r="K65" s="64"/>
      <c r="L65" s="83"/>
      <c r="M65" s="83"/>
      <c r="N65" s="83"/>
      <c r="O65" s="84"/>
      <c r="P65" s="83"/>
      <c r="Q65" s="83"/>
      <c r="R65" s="83"/>
      <c r="S65" s="84"/>
      <c r="T65" s="83"/>
      <c r="U65" s="83"/>
      <c r="V65" s="83"/>
      <c r="W65" s="130"/>
      <c r="X65" s="131"/>
      <c r="Y65" s="31"/>
      <c r="Z65" s="9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  <c r="AT65" s="85"/>
      <c r="AU65" s="85"/>
      <c r="AV65" s="85"/>
      <c r="AW65" s="85"/>
      <c r="AX65" s="85"/>
      <c r="AY65" s="85"/>
      <c r="AZ65" s="85"/>
      <c r="BA65" s="85"/>
      <c r="BB65" s="85"/>
      <c r="BC65" s="85"/>
      <c r="BD65" s="85"/>
      <c r="BE65" s="85"/>
      <c r="BF65" s="85"/>
      <c r="BG65" s="85"/>
      <c r="BH65" s="85"/>
      <c r="BI65" s="85"/>
      <c r="BJ65" s="85"/>
      <c r="BK65" s="85"/>
      <c r="BL65" s="85"/>
      <c r="BM65" s="85"/>
      <c r="BN65" s="85"/>
      <c r="BO65" s="85"/>
      <c r="BP65" s="85"/>
      <c r="BQ65" s="85"/>
      <c r="BR65" s="85"/>
      <c r="BS65" s="85"/>
      <c r="BT65" s="85"/>
      <c r="BU65" s="85"/>
      <c r="BV65" s="85"/>
      <c r="BW65" s="85"/>
      <c r="BX65" s="85"/>
      <c r="BY65" s="85"/>
      <c r="BZ65" s="85"/>
      <c r="CA65" s="85"/>
      <c r="CB65" s="85"/>
      <c r="CC65" s="85"/>
      <c r="CD65" s="85"/>
      <c r="CE65" s="85"/>
      <c r="CF65" s="85"/>
      <c r="CG65" s="85"/>
      <c r="CH65" s="85"/>
      <c r="CI65" s="85"/>
      <c r="CJ65" s="85"/>
      <c r="CK65" s="85"/>
      <c r="CL65" s="85"/>
      <c r="CM65" s="85"/>
      <c r="CN65" s="85"/>
      <c r="CO65" s="85"/>
      <c r="CP65" s="85"/>
      <c r="CQ65" s="85"/>
      <c r="CR65" s="85"/>
      <c r="CS65" s="85"/>
      <c r="CT65" s="85"/>
      <c r="CU65" s="85"/>
      <c r="CV65" s="85"/>
      <c r="CW65" s="85"/>
      <c r="CX65" s="85"/>
      <c r="CY65" s="85"/>
      <c r="CZ65" s="85"/>
      <c r="DA65" s="85"/>
      <c r="DB65" s="85"/>
      <c r="DC65" s="85"/>
      <c r="DD65" s="85"/>
      <c r="DE65" s="85"/>
      <c r="DF65" s="85"/>
      <c r="DG65" s="85"/>
      <c r="DH65" s="85"/>
      <c r="DI65" s="85"/>
      <c r="DJ65" s="85"/>
      <c r="DK65" s="85"/>
      <c r="DL65" s="85"/>
      <c r="DM65" s="85"/>
      <c r="DN65" s="85"/>
    </row>
    <row r="66" spans="1:118" ht="8.25" customHeight="1" x14ac:dyDescent="0.25">
      <c r="C66" s="44"/>
      <c r="D66" s="206"/>
      <c r="E66" s="62"/>
      <c r="F66" s="63"/>
      <c r="G66" s="82"/>
      <c r="H66" s="82"/>
      <c r="I66" s="64"/>
      <c r="J66" s="64"/>
      <c r="K66" s="64"/>
      <c r="L66" s="83"/>
      <c r="M66" s="83"/>
      <c r="N66" s="83"/>
      <c r="O66" s="84"/>
      <c r="P66" s="83"/>
      <c r="Q66" s="83"/>
      <c r="R66" s="83"/>
      <c r="S66" s="84"/>
      <c r="T66" s="83"/>
      <c r="U66" s="83"/>
      <c r="V66" s="83"/>
      <c r="W66" s="84"/>
      <c r="X66" s="64"/>
      <c r="Y66" s="31"/>
      <c r="Z66" s="9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  <c r="AT66" s="85"/>
      <c r="AU66" s="85"/>
      <c r="AV66" s="85"/>
      <c r="AW66" s="85"/>
      <c r="AX66" s="85"/>
      <c r="AY66" s="85"/>
      <c r="AZ66" s="85"/>
      <c r="BA66" s="85"/>
      <c r="BB66" s="85"/>
      <c r="BC66" s="85"/>
      <c r="BD66" s="85"/>
      <c r="BE66" s="85"/>
      <c r="BF66" s="85"/>
      <c r="BG66" s="85"/>
      <c r="BH66" s="85"/>
      <c r="BI66" s="85"/>
      <c r="BJ66" s="85"/>
      <c r="BK66" s="85"/>
      <c r="BL66" s="85"/>
      <c r="BM66" s="85"/>
      <c r="BN66" s="85"/>
      <c r="BO66" s="85"/>
      <c r="BP66" s="85"/>
      <c r="BQ66" s="85"/>
      <c r="BR66" s="85"/>
      <c r="BS66" s="85"/>
      <c r="BT66" s="85"/>
      <c r="BU66" s="85"/>
      <c r="BV66" s="85"/>
      <c r="BW66" s="85"/>
      <c r="BX66" s="85"/>
      <c r="BY66" s="85"/>
      <c r="BZ66" s="85"/>
      <c r="CA66" s="85"/>
      <c r="CB66" s="85"/>
      <c r="CC66" s="85"/>
      <c r="CD66" s="85"/>
      <c r="CE66" s="85"/>
      <c r="CF66" s="85"/>
      <c r="CG66" s="85"/>
      <c r="CH66" s="85"/>
      <c r="CI66" s="85"/>
      <c r="CJ66" s="85"/>
      <c r="CK66" s="85"/>
      <c r="CL66" s="85"/>
      <c r="CM66" s="85"/>
      <c r="CN66" s="85"/>
      <c r="CO66" s="85"/>
      <c r="CP66" s="85"/>
      <c r="CQ66" s="85"/>
      <c r="CR66" s="85"/>
      <c r="CS66" s="85"/>
      <c r="CT66" s="85"/>
      <c r="CU66" s="85"/>
      <c r="CV66" s="85"/>
      <c r="CW66" s="85"/>
      <c r="CX66" s="85"/>
      <c r="CY66" s="85"/>
      <c r="CZ66" s="85"/>
      <c r="DA66" s="85"/>
      <c r="DB66" s="85"/>
      <c r="DC66" s="85"/>
      <c r="DD66" s="85"/>
      <c r="DE66" s="85"/>
      <c r="DF66" s="85"/>
      <c r="DG66" s="85"/>
      <c r="DH66" s="85"/>
      <c r="DI66" s="85"/>
      <c r="DJ66" s="85"/>
      <c r="DK66" s="85"/>
      <c r="DL66" s="85"/>
      <c r="DM66" s="85"/>
      <c r="DN66" s="85"/>
    </row>
    <row r="67" spans="1:118" ht="8.25" customHeight="1" x14ac:dyDescent="0.25">
      <c r="C67" s="44"/>
      <c r="D67" s="206"/>
      <c r="E67" s="62"/>
      <c r="F67" s="63"/>
      <c r="G67" s="183"/>
      <c r="H67" s="184"/>
      <c r="I67" s="185"/>
      <c r="J67" s="185"/>
      <c r="K67" s="185"/>
      <c r="L67" s="186"/>
      <c r="M67" s="186"/>
      <c r="N67" s="186"/>
      <c r="O67" s="187"/>
      <c r="P67" s="186"/>
      <c r="Q67" s="186"/>
      <c r="R67" s="186"/>
      <c r="S67" s="187"/>
      <c r="T67" s="186"/>
      <c r="U67" s="186"/>
      <c r="V67" s="186"/>
      <c r="W67" s="187"/>
      <c r="X67" s="188"/>
      <c r="Y67" s="86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  <c r="AT67" s="85"/>
      <c r="AU67" s="85"/>
      <c r="AV67" s="85"/>
      <c r="AW67" s="85"/>
      <c r="AX67" s="85"/>
      <c r="AY67" s="85"/>
      <c r="AZ67" s="85"/>
      <c r="BA67" s="85"/>
      <c r="BB67" s="85"/>
      <c r="BC67" s="85"/>
      <c r="BD67" s="85"/>
      <c r="BE67" s="85"/>
      <c r="BF67" s="85"/>
      <c r="BG67" s="85"/>
      <c r="BH67" s="85"/>
      <c r="BI67" s="85"/>
      <c r="BJ67" s="85"/>
      <c r="BK67" s="85"/>
      <c r="BL67" s="85"/>
      <c r="BM67" s="85"/>
      <c r="BN67" s="85"/>
      <c r="BO67" s="85"/>
      <c r="BP67" s="85"/>
      <c r="BQ67" s="85"/>
      <c r="BR67" s="85"/>
      <c r="BS67" s="85"/>
      <c r="BT67" s="85"/>
      <c r="BU67" s="85"/>
      <c r="BV67" s="85"/>
      <c r="BW67" s="85"/>
      <c r="BX67" s="85"/>
      <c r="BY67" s="85"/>
      <c r="BZ67" s="85"/>
      <c r="CA67" s="85"/>
      <c r="CB67" s="85"/>
      <c r="CC67" s="85"/>
      <c r="CD67" s="85"/>
      <c r="CE67" s="85"/>
      <c r="CF67" s="85"/>
      <c r="CG67" s="85"/>
      <c r="CH67" s="85"/>
      <c r="CI67" s="85"/>
      <c r="CJ67" s="85"/>
      <c r="CK67" s="85"/>
      <c r="CL67" s="85"/>
      <c r="CM67" s="85"/>
      <c r="CN67" s="85"/>
      <c r="CO67" s="85"/>
      <c r="CP67" s="85"/>
      <c r="CQ67" s="85"/>
      <c r="CR67" s="85"/>
      <c r="CS67" s="85"/>
      <c r="CT67" s="85"/>
      <c r="CU67" s="85"/>
      <c r="CV67" s="85"/>
      <c r="CW67" s="85"/>
      <c r="CX67" s="85"/>
      <c r="CY67" s="85"/>
      <c r="CZ67" s="85"/>
      <c r="DA67" s="85"/>
      <c r="DB67" s="85"/>
      <c r="DC67" s="85"/>
      <c r="DD67" s="85"/>
      <c r="DE67" s="85"/>
      <c r="DF67" s="85"/>
      <c r="DG67" s="85"/>
      <c r="DH67" s="85"/>
      <c r="DI67" s="85"/>
      <c r="DJ67" s="85"/>
      <c r="DK67" s="85"/>
      <c r="DL67" s="85"/>
      <c r="DM67" s="85"/>
      <c r="DN67" s="85"/>
    </row>
    <row r="68" spans="1:118" s="61" customFormat="1" ht="22.5" customHeight="1" x14ac:dyDescent="0.25">
      <c r="A68" s="221"/>
      <c r="B68" s="60"/>
      <c r="C68" s="44"/>
      <c r="D68" s="206" t="s">
        <v>59</v>
      </c>
      <c r="E68" s="79"/>
      <c r="F68" s="80"/>
      <c r="G68" s="199"/>
      <c r="H68" s="235" t="str">
        <f ca="1">_xll.DBRA(Server&amp;$D$20,$D68,"French")</f>
        <v>MARGE sur coûts directs de formation</v>
      </c>
      <c r="I68" s="236"/>
      <c r="J68" s="237"/>
      <c r="K68" s="200"/>
      <c r="L68" s="144">
        <f ca="1">SUM(L41,L64)</f>
        <v>1877466.1499999994</v>
      </c>
      <c r="M68" s="144">
        <f ca="1">SUM(M41,M64)</f>
        <v>1566144</v>
      </c>
      <c r="N68" s="144">
        <f ca="1">SUM(N41,N64)</f>
        <v>311322.14999999967</v>
      </c>
      <c r="O68" s="161">
        <f ca="1">IF(ISERROR(N68/M68),"-",N68/M68)</f>
        <v>0.19878258321073902</v>
      </c>
      <c r="P68" s="201"/>
      <c r="Q68" s="145">
        <f ca="1">_xll.DBRW(Server&amp;Cube1,$J$12,$J$13,$J$14,$Q$1,$J$11,$J$15,$D68)</f>
        <v>414731.25</v>
      </c>
      <c r="R68" s="146">
        <f ca="1">L68-Q68</f>
        <v>1462734.8999999994</v>
      </c>
      <c r="S68" s="161">
        <f ca="1">IF(ISERROR(R68/Q68),"-",R68/Q68)</f>
        <v>3.526946426149463</v>
      </c>
      <c r="T68" s="172"/>
      <c r="U68" s="144">
        <f ca="1">SUM(U41,U64)</f>
        <v>1525175.7100000009</v>
      </c>
      <c r="V68" s="146">
        <f ca="1">L68-U68</f>
        <v>352290.43999999855</v>
      </c>
      <c r="W68" s="161">
        <f ca="1">IF(ISERROR(V68/U68),"-",V68/U68)</f>
        <v>0.23098351074578702</v>
      </c>
      <c r="X68" s="189"/>
      <c r="Y68" s="87"/>
      <c r="Z68" s="66"/>
      <c r="AA68" s="66"/>
      <c r="AB68" s="66"/>
      <c r="AC68" s="66"/>
      <c r="AD68" s="66"/>
      <c r="AE68" s="66"/>
      <c r="AF68" s="66"/>
      <c r="AG68" s="66"/>
      <c r="AH68" s="66"/>
      <c r="AI68" s="66"/>
      <c r="AJ68" s="66"/>
      <c r="AK68" s="66"/>
      <c r="AL68" s="66"/>
      <c r="AM68" s="66"/>
      <c r="AN68" s="66"/>
      <c r="AO68" s="66"/>
      <c r="AP68" s="66"/>
      <c r="AQ68" s="66"/>
      <c r="AR68" s="66"/>
      <c r="AS68" s="66"/>
      <c r="AT68" s="66"/>
      <c r="AU68" s="66"/>
      <c r="AV68" s="66"/>
      <c r="AW68" s="66"/>
      <c r="AX68" s="66"/>
      <c r="AY68" s="66"/>
      <c r="AZ68" s="66"/>
      <c r="BA68" s="66"/>
      <c r="BB68" s="66"/>
      <c r="BC68" s="66"/>
      <c r="BD68" s="66"/>
      <c r="BE68" s="66"/>
      <c r="BF68" s="66"/>
      <c r="BG68" s="66"/>
      <c r="BH68" s="66"/>
      <c r="BI68" s="66"/>
      <c r="BJ68" s="66"/>
      <c r="BK68" s="66"/>
      <c r="BL68" s="66"/>
      <c r="BM68" s="66"/>
      <c r="BN68" s="66"/>
      <c r="BO68" s="66"/>
      <c r="BP68" s="66"/>
      <c r="BQ68" s="66"/>
      <c r="BR68" s="66"/>
      <c r="BS68" s="66"/>
      <c r="BT68" s="66"/>
      <c r="BU68" s="66"/>
      <c r="BV68" s="66"/>
      <c r="BW68" s="66"/>
      <c r="BX68" s="66"/>
      <c r="BY68" s="66"/>
      <c r="BZ68" s="66"/>
      <c r="CA68" s="66"/>
      <c r="CB68" s="66"/>
      <c r="CC68" s="66"/>
      <c r="CD68" s="66"/>
      <c r="CE68" s="66"/>
      <c r="CF68" s="66"/>
      <c r="CG68" s="66"/>
      <c r="CH68" s="66"/>
      <c r="CI68" s="66"/>
      <c r="CJ68" s="66"/>
      <c r="CK68" s="66"/>
      <c r="CL68" s="66"/>
      <c r="CM68" s="66"/>
      <c r="CN68" s="66"/>
      <c r="CO68" s="66"/>
      <c r="CP68" s="66"/>
      <c r="CQ68" s="66"/>
      <c r="CR68" s="66"/>
      <c r="CS68" s="66"/>
      <c r="CT68" s="66"/>
      <c r="CU68" s="66"/>
      <c r="CV68" s="66"/>
      <c r="CW68" s="66"/>
      <c r="CX68" s="66"/>
      <c r="CY68" s="66"/>
      <c r="CZ68" s="66"/>
      <c r="DA68" s="66"/>
      <c r="DB68" s="66"/>
      <c r="DC68" s="66"/>
      <c r="DD68" s="66"/>
      <c r="DE68" s="66"/>
      <c r="DF68" s="66"/>
      <c r="DG68" s="66"/>
      <c r="DH68" s="66"/>
      <c r="DI68" s="66"/>
      <c r="DJ68" s="66"/>
      <c r="DK68" s="66"/>
      <c r="DL68" s="66"/>
      <c r="DM68" s="66"/>
      <c r="DN68" s="66"/>
    </row>
    <row r="69" spans="1:118" s="94" customFormat="1" ht="22.5" customHeight="1" collapsed="1" x14ac:dyDescent="0.25">
      <c r="A69" s="88"/>
      <c r="B69" s="89"/>
      <c r="C69" s="44"/>
      <c r="D69" s="209" t="s">
        <v>30</v>
      </c>
      <c r="E69" s="90"/>
      <c r="F69" s="91"/>
      <c r="G69" s="191"/>
      <c r="H69" s="90"/>
      <c r="I69" s="90"/>
      <c r="J69" s="192" t="s">
        <v>98</v>
      </c>
      <c r="K69" s="193"/>
      <c r="L69" s="194">
        <f ca="1">IF(ISERROR(L68/L41),"-",L68/L41)</f>
        <v>0.44125469611867546</v>
      </c>
      <c r="M69" s="194">
        <f ca="1">IF(ISERROR(M68/M41),"-",M68/M41)</f>
        <v>0.48183382753165627</v>
      </c>
      <c r="N69" s="233">
        <f ca="1">IF(ISERROR((L69-M69)*100),"-",(L69-M69)*100)</f>
        <v>-4.0579131412980809</v>
      </c>
      <c r="O69" s="233"/>
      <c r="P69" s="195"/>
      <c r="Q69" s="194">
        <f ca="1">IF(ISERROR(Q68/Q41),"-",Q68/Q41)</f>
        <v>0.24624414537353637</v>
      </c>
      <c r="R69" s="249">
        <f ca="1">IF(ISERROR((P69-Q69)*100),"-",(P69-Q69)*100)</f>
        <v>-24.624414537353637</v>
      </c>
      <c r="S69" s="249"/>
      <c r="T69" s="195"/>
      <c r="U69" s="194">
        <f ca="1">IF(ISERROR(U68/U41),"-",U68/U41)</f>
        <v>0.46394972605479989</v>
      </c>
      <c r="V69" s="233">
        <f ca="1">IF(ISERROR((L69-U69)*100),"-",(L69-U69)*100)</f>
        <v>-2.2695029936124431</v>
      </c>
      <c r="W69" s="233"/>
      <c r="X69" s="190"/>
      <c r="Y69" s="92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  <c r="BI69" s="93"/>
      <c r="BJ69" s="93"/>
      <c r="BK69" s="93"/>
      <c r="BL69" s="93"/>
      <c r="BM69" s="93"/>
      <c r="BN69" s="93"/>
      <c r="BO69" s="93"/>
      <c r="BP69" s="93"/>
      <c r="BQ69" s="93"/>
      <c r="BR69" s="93"/>
      <c r="BS69" s="93"/>
      <c r="BT69" s="93"/>
      <c r="BU69" s="93"/>
      <c r="BV69" s="93"/>
      <c r="BW69" s="93"/>
      <c r="BX69" s="93"/>
      <c r="BY69" s="93"/>
      <c r="BZ69" s="93"/>
      <c r="CA69" s="93"/>
      <c r="CB69" s="93"/>
      <c r="CC69" s="93"/>
      <c r="CD69" s="93"/>
      <c r="CE69" s="93"/>
      <c r="CF69" s="93"/>
      <c r="CG69" s="93"/>
      <c r="CH69" s="93"/>
      <c r="CI69" s="93"/>
      <c r="CJ69" s="93"/>
      <c r="CK69" s="93"/>
      <c r="CL69" s="93"/>
      <c r="CM69" s="93"/>
      <c r="CN69" s="93"/>
      <c r="CO69" s="93"/>
      <c r="CP69" s="93"/>
      <c r="CQ69" s="93"/>
      <c r="CR69" s="93"/>
      <c r="CS69" s="93"/>
      <c r="CT69" s="93"/>
      <c r="CU69" s="93"/>
      <c r="CV69" s="93"/>
      <c r="CW69" s="93"/>
      <c r="CX69" s="93"/>
      <c r="CY69" s="93"/>
      <c r="CZ69" s="93"/>
      <c r="DA69" s="93"/>
      <c r="DB69" s="93"/>
      <c r="DC69" s="93"/>
      <c r="DD69" s="93"/>
      <c r="DE69" s="93"/>
      <c r="DF69" s="93"/>
      <c r="DG69" s="93"/>
      <c r="DH69" s="93"/>
      <c r="DI69" s="93"/>
      <c r="DJ69" s="93"/>
      <c r="DK69" s="93"/>
      <c r="DL69" s="93"/>
      <c r="DM69" s="93"/>
      <c r="DN69" s="93"/>
    </row>
    <row r="70" spans="1:118" s="37" customFormat="1" ht="5.25" customHeight="1" x14ac:dyDescent="0.25">
      <c r="A70" s="10"/>
      <c r="B70" s="1"/>
      <c r="C70" s="44"/>
      <c r="D70" s="207"/>
      <c r="E70" s="68"/>
      <c r="F70" s="69"/>
      <c r="G70" s="196"/>
      <c r="H70" s="197"/>
      <c r="I70" s="197"/>
      <c r="J70" s="197"/>
      <c r="K70" s="197"/>
      <c r="L70" s="197"/>
      <c r="M70" s="197"/>
      <c r="N70" s="197"/>
      <c r="O70" s="197"/>
      <c r="P70" s="197"/>
      <c r="Q70" s="197"/>
      <c r="R70" s="197"/>
      <c r="S70" s="197"/>
      <c r="T70" s="197"/>
      <c r="U70" s="197"/>
      <c r="V70" s="197"/>
      <c r="W70" s="197"/>
      <c r="X70" s="198"/>
      <c r="Y70" s="31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9"/>
      <c r="BO70" s="9"/>
      <c r="BP70" s="9"/>
      <c r="BQ70" s="9"/>
      <c r="BR70" s="9"/>
      <c r="BS70" s="9"/>
      <c r="BT70" s="9"/>
      <c r="BU70" s="9"/>
      <c r="BV70" s="9"/>
      <c r="BW70" s="9"/>
      <c r="BX70" s="9"/>
      <c r="BY70" s="9"/>
      <c r="BZ70" s="9"/>
      <c r="CA70" s="9"/>
      <c r="CB70" s="9"/>
      <c r="CC70" s="9"/>
      <c r="CD70" s="9"/>
      <c r="CE70" s="9"/>
      <c r="CF70" s="9"/>
      <c r="CG70" s="9"/>
      <c r="CH70" s="9"/>
      <c r="CI70" s="9"/>
      <c r="CJ70" s="9"/>
      <c r="CK70" s="9"/>
      <c r="CL70" s="9"/>
      <c r="CM70" s="9"/>
      <c r="CN70" s="9"/>
      <c r="CO70" s="9"/>
      <c r="CP70" s="9"/>
      <c r="CQ70" s="9"/>
      <c r="CR70" s="9"/>
      <c r="CS70" s="9"/>
      <c r="CT70" s="9"/>
      <c r="CU70" s="9"/>
      <c r="CV70" s="9"/>
      <c r="CW70" s="9"/>
      <c r="CX70" s="9"/>
      <c r="CY70" s="9"/>
      <c r="CZ70" s="9"/>
      <c r="DA70" s="9"/>
      <c r="DB70" s="9"/>
      <c r="DC70" s="9"/>
      <c r="DD70" s="9"/>
      <c r="DE70" s="9"/>
      <c r="DF70" s="9"/>
      <c r="DG70" s="9"/>
      <c r="DH70" s="9"/>
      <c r="DI70" s="9"/>
      <c r="DJ70" s="9"/>
      <c r="DK70" s="9"/>
      <c r="DL70" s="9"/>
      <c r="DM70" s="9"/>
      <c r="DN70" s="9"/>
    </row>
    <row r="71" spans="1:118" s="37" customFormat="1" ht="5.25" customHeight="1" x14ac:dyDescent="0.25">
      <c r="A71" s="10"/>
      <c r="B71" s="1"/>
      <c r="C71" s="44"/>
      <c r="D71" s="207"/>
      <c r="E71" s="68"/>
      <c r="F71" s="95"/>
      <c r="G71" s="68"/>
      <c r="H71" s="68"/>
      <c r="I71" s="68"/>
      <c r="J71" s="68"/>
      <c r="K71" s="68"/>
      <c r="L71" s="68"/>
      <c r="M71" s="68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31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9"/>
      <c r="BO71" s="9"/>
      <c r="BP71" s="9"/>
      <c r="BQ71" s="9"/>
      <c r="BR71" s="9"/>
      <c r="BS71" s="9"/>
      <c r="BT71" s="9"/>
      <c r="BU71" s="9"/>
      <c r="BV71" s="9"/>
      <c r="BW71" s="9"/>
      <c r="BX71" s="9"/>
      <c r="BY71" s="9"/>
      <c r="BZ71" s="9"/>
      <c r="CA71" s="9"/>
      <c r="CB71" s="9"/>
      <c r="CC71" s="9"/>
      <c r="CD71" s="9"/>
      <c r="CE71" s="9"/>
      <c r="CF71" s="9"/>
      <c r="CG71" s="9"/>
      <c r="CH71" s="9"/>
      <c r="CI71" s="9"/>
      <c r="CJ71" s="9"/>
      <c r="CK71" s="9"/>
      <c r="CL71" s="9"/>
      <c r="CM71" s="9"/>
      <c r="CN71" s="9"/>
      <c r="CO71" s="9"/>
      <c r="CP71" s="9"/>
      <c r="CQ71" s="9"/>
      <c r="CR71" s="9"/>
      <c r="CS71" s="9"/>
      <c r="CT71" s="9"/>
      <c r="CU71" s="9"/>
      <c r="CV71" s="9"/>
      <c r="CW71" s="9"/>
      <c r="CX71" s="9"/>
      <c r="CY71" s="9"/>
      <c r="CZ71" s="9"/>
      <c r="DA71" s="9"/>
      <c r="DB71" s="9"/>
      <c r="DC71" s="9"/>
      <c r="DD71" s="9"/>
      <c r="DE71" s="9"/>
      <c r="DF71" s="9"/>
      <c r="DG71" s="9"/>
      <c r="DH71" s="9"/>
      <c r="DI71" s="9"/>
      <c r="DJ71" s="9"/>
      <c r="DK71" s="9"/>
      <c r="DL71" s="9"/>
      <c r="DM71" s="9"/>
      <c r="DN71" s="9"/>
    </row>
    <row r="72" spans="1:118" s="37" customFormat="1" ht="15" customHeight="1" thickBot="1" x14ac:dyDescent="0.3">
      <c r="A72" s="10"/>
      <c r="B72" s="1"/>
      <c r="C72" s="224" t="s">
        <v>163</v>
      </c>
      <c r="D72" s="224"/>
      <c r="E72" s="224"/>
      <c r="F72" s="224"/>
      <c r="G72" s="224"/>
      <c r="H72" s="224"/>
      <c r="I72" s="224"/>
      <c r="J72" s="224"/>
      <c r="K72" s="224"/>
      <c r="L72" s="224"/>
      <c r="M72" s="224"/>
      <c r="N72" s="224"/>
      <c r="O72" s="224"/>
      <c r="P72" s="224"/>
      <c r="Q72" s="224"/>
      <c r="R72" s="224"/>
      <c r="S72" s="224"/>
      <c r="T72" s="224"/>
      <c r="U72" s="224"/>
      <c r="V72" s="224"/>
      <c r="W72" s="224"/>
      <c r="X72" s="224"/>
      <c r="Y72" s="225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9"/>
      <c r="BO72" s="9"/>
      <c r="BP72" s="9"/>
      <c r="BQ72" s="9"/>
      <c r="BR72" s="9"/>
      <c r="BS72" s="9"/>
      <c r="BT72" s="9"/>
      <c r="BU72" s="9"/>
      <c r="BV72" s="9"/>
      <c r="BW72" s="9"/>
      <c r="BX72" s="9"/>
      <c r="BY72" s="9"/>
      <c r="BZ72" s="9"/>
      <c r="CA72" s="9"/>
      <c r="CB72" s="9"/>
      <c r="CC72" s="9"/>
      <c r="CD72" s="9"/>
      <c r="CE72" s="9"/>
      <c r="CF72" s="9"/>
      <c r="CG72" s="9"/>
      <c r="CH72" s="9"/>
      <c r="CI72" s="9"/>
      <c r="CJ72" s="9"/>
      <c r="CK72" s="9"/>
      <c r="CL72" s="9"/>
      <c r="CM72" s="9"/>
      <c r="CN72" s="9"/>
      <c r="CO72" s="9"/>
      <c r="CP72" s="9"/>
      <c r="CQ72" s="9"/>
      <c r="CR72" s="9"/>
      <c r="CS72" s="9"/>
      <c r="CT72" s="9"/>
      <c r="CU72" s="9"/>
      <c r="CV72" s="9"/>
      <c r="CW72" s="9"/>
      <c r="CX72" s="9"/>
      <c r="CY72" s="9"/>
      <c r="CZ72" s="9"/>
      <c r="DA72" s="9"/>
      <c r="DB72" s="9"/>
      <c r="DC72" s="9"/>
      <c r="DD72" s="9"/>
      <c r="DE72" s="9"/>
      <c r="DF72" s="9"/>
      <c r="DG72" s="9"/>
      <c r="DH72" s="9"/>
      <c r="DI72" s="9"/>
      <c r="DJ72" s="9"/>
      <c r="DK72" s="9"/>
      <c r="DL72" s="9"/>
      <c r="DM72" s="9"/>
      <c r="DN72" s="9"/>
    </row>
    <row r="73" spans="1:118" s="37" customFormat="1" ht="23.25" customHeight="1" collapsed="1" thickTop="1" thickBot="1" x14ac:dyDescent="0.3">
      <c r="A73" s="221"/>
      <c r="B73" s="1"/>
      <c r="C73" s="44"/>
      <c r="D73" s="206" t="s">
        <v>60</v>
      </c>
      <c r="E73" s="68"/>
      <c r="F73" s="69"/>
      <c r="G73" s="234" t="str">
        <f ca="1">_xll.DBRA(Server&amp;$D$20,$D73,"French")</f>
        <v>Salaires</v>
      </c>
      <c r="H73" s="234" t="str">
        <f ca="1">_xll.DBRA(Server&amp;$D$20,$D73,"French")</f>
        <v>Salaires</v>
      </c>
      <c r="I73" s="234"/>
      <c r="J73" s="234"/>
      <c r="K73" s="154" t="s">
        <v>3</v>
      </c>
      <c r="L73" s="165">
        <f ca="1">SUM(L74:L76)</f>
        <v>-1812309.5899999996</v>
      </c>
      <c r="M73" s="165">
        <f ca="1">SUM(M74:M76)</f>
        <v>-1659639</v>
      </c>
      <c r="N73" s="165">
        <f ca="1">SUM(N74:N76)</f>
        <v>-152670.58999999962</v>
      </c>
      <c r="O73" s="167">
        <f ca="1">IF(ISERROR(N73/M73),"-",N73/M73)</f>
        <v>9.1990240046178492E-2</v>
      </c>
      <c r="P73" s="132"/>
      <c r="Q73" s="165">
        <f ca="1">SUM(Q74:Q76)</f>
        <v>0</v>
      </c>
      <c r="R73" s="166">
        <f t="shared" ref="R73:R126" ca="1" si="88">L73-Q73</f>
        <v>-1812309.5899999996</v>
      </c>
      <c r="S73" s="167" t="str">
        <f t="shared" ref="S73:S126" ca="1" si="89">IF(ISERROR(R73/Q73),"-",R73/Q73)</f>
        <v>-</v>
      </c>
      <c r="T73" s="132"/>
      <c r="U73" s="165">
        <f ca="1">SUM(U74:U76)</f>
        <v>-1635229.47</v>
      </c>
      <c r="V73" s="166">
        <f ca="1">SUM(V74:V76)</f>
        <v>-177080.11999999959</v>
      </c>
      <c r="W73" s="167">
        <f ca="1">IF(ISERROR(V73/U73),"-",V73/U73)</f>
        <v>0.10829068534338461</v>
      </c>
      <c r="X73" s="64"/>
      <c r="Y73" s="31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9"/>
      <c r="BO73" s="9"/>
      <c r="BP73" s="9"/>
      <c r="BQ73" s="9"/>
      <c r="BR73" s="9"/>
      <c r="BS73" s="9"/>
      <c r="BT73" s="9"/>
      <c r="BU73" s="9"/>
      <c r="BV73" s="9"/>
      <c r="BW73" s="9"/>
      <c r="BX73" s="9"/>
      <c r="BY73" s="9"/>
      <c r="BZ73" s="9"/>
      <c r="CA73" s="9"/>
      <c r="CB73" s="9"/>
      <c r="CC73" s="9"/>
      <c r="CD73" s="9"/>
      <c r="CE73" s="9"/>
      <c r="CF73" s="9"/>
      <c r="CG73" s="9"/>
      <c r="CH73" s="9"/>
      <c r="CI73" s="9"/>
      <c r="CJ73" s="9"/>
      <c r="CK73" s="9"/>
      <c r="CL73" s="9"/>
      <c r="CM73" s="9"/>
      <c r="CN73" s="9"/>
      <c r="CO73" s="9"/>
      <c r="CP73" s="9"/>
      <c r="CQ73" s="9"/>
      <c r="CR73" s="9"/>
      <c r="CS73" s="9"/>
      <c r="CT73" s="9"/>
      <c r="CU73" s="9"/>
      <c r="CV73" s="9"/>
      <c r="CW73" s="9"/>
      <c r="CX73" s="9"/>
      <c r="CY73" s="9"/>
      <c r="CZ73" s="9"/>
      <c r="DA73" s="9"/>
      <c r="DB73" s="9"/>
      <c r="DC73" s="9"/>
      <c r="DD73" s="9"/>
      <c r="DE73" s="9"/>
      <c r="DF73" s="9"/>
      <c r="DG73" s="9"/>
      <c r="DH73" s="9"/>
      <c r="DI73" s="9"/>
      <c r="DJ73" s="9"/>
      <c r="DK73" s="9"/>
      <c r="DL73" s="9"/>
      <c r="DM73" s="9"/>
      <c r="DN73" s="9"/>
    </row>
    <row r="74" spans="1:118" ht="21" hidden="1" customHeight="1" outlineLevel="1" x14ac:dyDescent="0.25">
      <c r="B74" s="60"/>
      <c r="C74" s="44"/>
      <c r="D74" s="203" t="s">
        <v>61</v>
      </c>
      <c r="E74" s="62"/>
      <c r="F74" s="63"/>
      <c r="G74" s="41"/>
      <c r="H74" s="232" t="str">
        <f ca="1">_xll.DBRA(Server&amp;$D$20,$D74,"French")</f>
        <v>Personnel intérimaire</v>
      </c>
      <c r="I74" s="232"/>
      <c r="J74" s="232"/>
      <c r="K74" s="150"/>
      <c r="L74" s="151">
        <f ca="1">_xll.DBRW(Server&amp;Cube1,$J$12,$L$13,$J$14,$L$1,$J$11,$J$15,$D74)</f>
        <v>-9125.26</v>
      </c>
      <c r="M74" s="151">
        <f ca="1">_xll.DBRW(Server&amp;Cube1,$J$12,$L$13,$J$14,$M$1,$J$11,$J$15,$D74)</f>
        <v>0</v>
      </c>
      <c r="N74" s="152">
        <f ca="1">L74-M74</f>
        <v>-9125.26</v>
      </c>
      <c r="O74" s="153" t="str">
        <f t="shared" ref="O74:O126" ca="1" si="90">IF(ISERROR(N74/M74),"-",N74/M74)</f>
        <v>-</v>
      </c>
      <c r="P74" s="138"/>
      <c r="Q74" s="151">
        <f ca="1">_xll.DBRW(Server&amp;Cube1,$J$12,$L$13,$J$14,$Q$1,$J$11,$J$15,$D74)</f>
        <v>0</v>
      </c>
      <c r="R74" s="152">
        <f t="shared" ca="1" si="88"/>
        <v>-9125.26</v>
      </c>
      <c r="S74" s="153" t="str">
        <f t="shared" ca="1" si="89"/>
        <v>-</v>
      </c>
      <c r="T74" s="138"/>
      <c r="U74" s="151">
        <f ca="1">_xll.DBRW(Server&amp;Cube1,$J$12,$L$13,$J$14,$U$1,$U$2,$J$15,$D74)</f>
        <v>-36098.439999999995</v>
      </c>
      <c r="V74" s="152">
        <f t="shared" ref="V74:V126" ca="1" si="91">L74-U74</f>
        <v>26973.179999999993</v>
      </c>
      <c r="W74" s="153">
        <f t="shared" ref="W74:W126" ca="1" si="92">IF(ISERROR(V74/U74),"-",V74/U74)</f>
        <v>-0.74721179086963307</v>
      </c>
      <c r="X74" s="65"/>
      <c r="Y74" s="31"/>
      <c r="Z74" s="228"/>
      <c r="AA74" s="229"/>
      <c r="AB74" s="66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9"/>
      <c r="BO74" s="9"/>
      <c r="BP74" s="9"/>
      <c r="BQ74" s="9"/>
      <c r="BR74" s="9"/>
      <c r="BS74" s="9"/>
      <c r="BT74" s="9"/>
      <c r="BU74" s="9"/>
      <c r="BV74" s="9"/>
      <c r="BW74" s="9"/>
      <c r="BX74" s="9"/>
      <c r="BY74" s="9"/>
      <c r="BZ74" s="9"/>
      <c r="CA74" s="9"/>
      <c r="CB74" s="9"/>
      <c r="CC74" s="9"/>
      <c r="CD74" s="9"/>
      <c r="CE74" s="9"/>
      <c r="CF74" s="9"/>
      <c r="CG74" s="9"/>
      <c r="CH74" s="9"/>
      <c r="CI74" s="9"/>
      <c r="CJ74" s="9"/>
      <c r="CK74" s="9"/>
      <c r="CL74" s="9"/>
      <c r="CM74" s="9"/>
      <c r="CN74" s="9"/>
      <c r="CO74" s="9"/>
      <c r="CP74" s="9"/>
      <c r="CQ74" s="9"/>
      <c r="CR74" s="9"/>
      <c r="CS74" s="9"/>
      <c r="CT74" s="9"/>
      <c r="CU74" s="9"/>
      <c r="CV74" s="9"/>
      <c r="CW74" s="9"/>
      <c r="CX74" s="9"/>
      <c r="CY74" s="9"/>
      <c r="CZ74" s="9"/>
      <c r="DA74" s="9"/>
      <c r="DB74" s="9"/>
      <c r="DC74" s="9"/>
      <c r="DD74" s="9"/>
      <c r="DE74" s="9"/>
      <c r="DF74" s="9"/>
      <c r="DG74" s="9"/>
      <c r="DH74" s="9"/>
      <c r="DI74" s="9"/>
      <c r="DJ74" s="9"/>
      <c r="DK74" s="9"/>
      <c r="DL74" s="9"/>
      <c r="DM74" s="9"/>
      <c r="DN74" s="9"/>
    </row>
    <row r="75" spans="1:118" ht="21" hidden="1" customHeight="1" outlineLevel="1" thickBot="1" x14ac:dyDescent="0.3">
      <c r="B75" s="60"/>
      <c r="C75" s="44"/>
      <c r="D75" s="216" t="s">
        <v>156</v>
      </c>
      <c r="E75" s="62"/>
      <c r="F75" s="63"/>
      <c r="G75" s="41"/>
      <c r="H75" s="250" t="str">
        <f ca="1">_xll.DBRA(Server&amp;$D$20,$D75,"French")</f>
        <v>PMAD - Resp. administrative et personnel GIE</v>
      </c>
      <c r="I75" s="250"/>
      <c r="J75" s="250"/>
      <c r="K75" s="150"/>
      <c r="L75" s="168">
        <f ca="1">_xll.DBRW(Server&amp;Cube1,$J$12,$L$13,$J$14,$L$1,$J$11,$J$15,$D75)</f>
        <v>-1803184.3299999996</v>
      </c>
      <c r="M75" s="168">
        <f ca="1">_xll.DBRW(Server&amp;Cube1,$J$12,$L$13,$J$14,$M$1,$J$11,$J$15,$D75)</f>
        <v>-1659639</v>
      </c>
      <c r="N75" s="169">
        <f ca="1">L75-M75</f>
        <v>-143545.32999999961</v>
      </c>
      <c r="O75" s="153">
        <f t="shared" ca="1" si="90"/>
        <v>8.6491899744462267E-2</v>
      </c>
      <c r="P75" s="138"/>
      <c r="Q75" s="168">
        <f ca="1">_xll.DBRW(Server&amp;Cube1,$J$12,$L$13,$J$14,$Q$1,$J$11,$J$15,$D75)</f>
        <v>0</v>
      </c>
      <c r="R75" s="169">
        <f t="shared" ca="1" si="88"/>
        <v>-1803184.3299999996</v>
      </c>
      <c r="S75" s="153" t="str">
        <f t="shared" ca="1" si="89"/>
        <v>-</v>
      </c>
      <c r="T75" s="138"/>
      <c r="U75" s="168">
        <f ca="1">_xll.DBRW(Server&amp;Cube1,$J$12,$L$13,$J$14,$U$1,$U$2,$J$15,$D75)</f>
        <v>-1599131.03</v>
      </c>
      <c r="V75" s="169">
        <f t="shared" ca="1" si="91"/>
        <v>-204053.29999999958</v>
      </c>
      <c r="W75" s="153">
        <f t="shared" ca="1" si="92"/>
        <v>0.12760261427733011</v>
      </c>
      <c r="X75" s="65"/>
      <c r="Y75" s="31"/>
      <c r="Z75" s="228"/>
      <c r="AA75" s="66"/>
      <c r="AB75" s="66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9"/>
      <c r="BO75" s="9"/>
      <c r="BP75" s="9"/>
      <c r="BQ75" s="9"/>
      <c r="BR75" s="9"/>
      <c r="BS75" s="9"/>
      <c r="BT75" s="9"/>
      <c r="BU75" s="9"/>
      <c r="BV75" s="9"/>
      <c r="BW75" s="9"/>
      <c r="BX75" s="9"/>
      <c r="BY75" s="9"/>
      <c r="BZ75" s="9"/>
      <c r="CA75" s="9"/>
      <c r="CB75" s="9"/>
      <c r="CC75" s="9"/>
      <c r="CD75" s="9"/>
      <c r="CE75" s="9"/>
      <c r="CF75" s="9"/>
      <c r="CG75" s="9"/>
      <c r="CH75" s="9"/>
      <c r="CI75" s="9"/>
      <c r="CJ75" s="9"/>
      <c r="CK75" s="9"/>
      <c r="CL75" s="9"/>
      <c r="CM75" s="9"/>
      <c r="CN75" s="9"/>
      <c r="CO75" s="9"/>
      <c r="CP75" s="9"/>
      <c r="CQ75" s="9"/>
      <c r="CR75" s="9"/>
      <c r="CS75" s="9"/>
      <c r="CT75" s="9"/>
      <c r="CU75" s="9"/>
      <c r="CV75" s="9"/>
      <c r="CW75" s="9"/>
      <c r="CX75" s="9"/>
      <c r="CY75" s="9"/>
      <c r="CZ75" s="9"/>
      <c r="DA75" s="9"/>
      <c r="DB75" s="9"/>
      <c r="DC75" s="9"/>
      <c r="DD75" s="9"/>
      <c r="DE75" s="9"/>
      <c r="DF75" s="9"/>
      <c r="DG75" s="9"/>
      <c r="DH75" s="9"/>
      <c r="DI75" s="9"/>
      <c r="DJ75" s="9"/>
      <c r="DK75" s="9"/>
      <c r="DL75" s="9"/>
      <c r="DM75" s="9"/>
      <c r="DN75" s="9"/>
    </row>
    <row r="76" spans="1:118" ht="21" hidden="1" customHeight="1" outlineLevel="1" thickTop="1" thickBot="1" x14ac:dyDescent="0.3">
      <c r="B76" s="60"/>
      <c r="C76" s="44"/>
      <c r="D76" s="216" t="s">
        <v>157</v>
      </c>
      <c r="E76" s="62"/>
      <c r="F76" s="63"/>
      <c r="G76" s="41"/>
      <c r="H76" s="250" t="str">
        <f ca="1">_xll.DBRA(Server&amp;$D$20,$D76,"French")</f>
        <v>PMAD - Contributions projets pédagogiques</v>
      </c>
      <c r="I76" s="250"/>
      <c r="J76" s="250"/>
      <c r="K76" s="150"/>
      <c r="L76" s="168">
        <f ca="1">_xll.DBRW(Server&amp;Cube1,$J$12,$L$13,$J$14,$L$1,$J$11,$J$15,$D76)</f>
        <v>0</v>
      </c>
      <c r="M76" s="168">
        <f ca="1">_xll.DBRW(Server&amp;Cube1,$J$12,$L$13,$J$14,$M$1,$J$11,$J$15,$D76)</f>
        <v>0</v>
      </c>
      <c r="N76" s="169">
        <f ca="1">L76-M76</f>
        <v>0</v>
      </c>
      <c r="O76" s="153" t="str">
        <f t="shared" ref="O76" ca="1" si="93">IF(ISERROR(N76/M76),"-",N76/M76)</f>
        <v>-</v>
      </c>
      <c r="P76" s="138"/>
      <c r="Q76" s="168">
        <f ca="1">_xll.DBRW(Server&amp;Cube1,$J$12,$L$13,$J$14,$Q$1,$J$11,$J$15,$D76)</f>
        <v>0</v>
      </c>
      <c r="R76" s="169">
        <f t="shared" ref="R76" ca="1" si="94">L76-Q76</f>
        <v>0</v>
      </c>
      <c r="S76" s="153" t="str">
        <f t="shared" ref="S76" ca="1" si="95">IF(ISERROR(R76/Q76),"-",R76/Q76)</f>
        <v>-</v>
      </c>
      <c r="T76" s="138"/>
      <c r="U76" s="168">
        <f ca="1">_xll.DBRW(Server&amp;Cube1,$J$12,$L$13,$J$14,$U$1,$U$2,$J$15,$D76)</f>
        <v>0</v>
      </c>
      <c r="V76" s="169">
        <f t="shared" ref="V76" ca="1" si="96">L76-U76</f>
        <v>0</v>
      </c>
      <c r="W76" s="153" t="str">
        <f t="shared" ref="W76" ca="1" si="97">IF(ISERROR(V76/U76),"-",V76/U76)</f>
        <v>-</v>
      </c>
      <c r="X76" s="65"/>
      <c r="Y76" s="31"/>
      <c r="Z76" s="9"/>
      <c r="AA76" s="66"/>
      <c r="AB76" s="66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9"/>
      <c r="BO76" s="9"/>
      <c r="BP76" s="9"/>
      <c r="BQ76" s="9"/>
      <c r="BR76" s="9"/>
      <c r="BS76" s="9"/>
      <c r="BT76" s="9"/>
      <c r="BU76" s="9"/>
      <c r="BV76" s="9"/>
      <c r="BW76" s="9"/>
      <c r="BX76" s="9"/>
      <c r="BY76" s="9"/>
      <c r="BZ76" s="9"/>
      <c r="CA76" s="9"/>
      <c r="CB76" s="9"/>
      <c r="CC76" s="9"/>
      <c r="CD76" s="9"/>
      <c r="CE76" s="9"/>
      <c r="CF76" s="9"/>
      <c r="CG76" s="9"/>
      <c r="CH76" s="9"/>
      <c r="CI76" s="9"/>
      <c r="CJ76" s="9"/>
      <c r="CK76" s="9"/>
      <c r="CL76" s="9"/>
      <c r="CM76" s="9"/>
      <c r="CN76" s="9"/>
      <c r="CO76" s="9"/>
      <c r="CP76" s="9"/>
      <c r="CQ76" s="9"/>
      <c r="CR76" s="9"/>
      <c r="CS76" s="9"/>
      <c r="CT76" s="9"/>
      <c r="CU76" s="9"/>
      <c r="CV76" s="9"/>
      <c r="CW76" s="9"/>
      <c r="CX76" s="9"/>
      <c r="CY76" s="9"/>
      <c r="CZ76" s="9"/>
      <c r="DA76" s="9"/>
      <c r="DB76" s="9"/>
      <c r="DC76" s="9"/>
      <c r="DD76" s="9"/>
      <c r="DE76" s="9"/>
      <c r="DF76" s="9"/>
      <c r="DG76" s="9"/>
      <c r="DH76" s="9"/>
      <c r="DI76" s="9"/>
      <c r="DJ76" s="9"/>
      <c r="DK76" s="9"/>
      <c r="DL76" s="9"/>
      <c r="DM76" s="9"/>
      <c r="DN76" s="9"/>
    </row>
    <row r="77" spans="1:118" s="37" customFormat="1" ht="23.25" customHeight="1" collapsed="1" thickTop="1" thickBot="1" x14ac:dyDescent="0.3">
      <c r="A77" s="10"/>
      <c r="B77" s="1"/>
      <c r="C77" s="44"/>
      <c r="D77" s="206" t="s">
        <v>177</v>
      </c>
      <c r="E77" s="68"/>
      <c r="F77" s="69"/>
      <c r="G77" s="234" t="s">
        <v>178</v>
      </c>
      <c r="H77" s="234"/>
      <c r="I77" s="234"/>
      <c r="J77" s="234"/>
      <c r="K77" s="154" t="s">
        <v>3</v>
      </c>
      <c r="L77" s="165">
        <f ca="1">SUM(L78:L79)</f>
        <v>-51372.639999999999</v>
      </c>
      <c r="M77" s="165">
        <f ca="1">SUM(M78:M79)</f>
        <v>-79808</v>
      </c>
      <c r="N77" s="165">
        <f ca="1">SUM(N78:N79)</f>
        <v>28435.360000000001</v>
      </c>
      <c r="O77" s="167">
        <f t="shared" ca="1" si="90"/>
        <v>-0.3562971130713713</v>
      </c>
      <c r="P77" s="132"/>
      <c r="Q77" s="165">
        <f ca="1">SUM(Q78:Q79)</f>
        <v>0</v>
      </c>
      <c r="R77" s="166">
        <f t="shared" ca="1" si="88"/>
        <v>-51372.639999999999</v>
      </c>
      <c r="S77" s="167" t="str">
        <f t="shared" ca="1" si="89"/>
        <v>-</v>
      </c>
      <c r="T77" s="132"/>
      <c r="U77" s="165">
        <f ca="1">SUM(U78:U79)</f>
        <v>-53674.17</v>
      </c>
      <c r="V77" s="166">
        <f ca="1">SUM(V78:V79)</f>
        <v>2301.5299999999988</v>
      </c>
      <c r="W77" s="167">
        <f t="shared" ca="1" si="92"/>
        <v>-4.2879657011929556E-2</v>
      </c>
      <c r="X77" s="64"/>
      <c r="Y77" s="31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9"/>
      <c r="BO77" s="9"/>
      <c r="BP77" s="9"/>
      <c r="BQ77" s="9"/>
      <c r="BR77" s="9"/>
      <c r="BS77" s="9"/>
      <c r="BT77" s="9"/>
      <c r="BU77" s="9"/>
      <c r="BV77" s="9"/>
      <c r="BW77" s="9"/>
      <c r="BX77" s="9"/>
      <c r="BY77" s="9"/>
      <c r="BZ77" s="9"/>
      <c r="CA77" s="9"/>
      <c r="CB77" s="9"/>
      <c r="CC77" s="9"/>
      <c r="CD77" s="9"/>
      <c r="CE77" s="9"/>
      <c r="CF77" s="9"/>
      <c r="CG77" s="9"/>
      <c r="CH77" s="9"/>
      <c r="CI77" s="9"/>
      <c r="CJ77" s="9"/>
      <c r="CK77" s="9"/>
      <c r="CL77" s="9"/>
      <c r="CM77" s="9"/>
      <c r="CN77" s="9"/>
      <c r="CO77" s="9"/>
      <c r="CP77" s="9"/>
      <c r="CQ77" s="9"/>
      <c r="CR77" s="9"/>
      <c r="CS77" s="9"/>
      <c r="CT77" s="9"/>
      <c r="CU77" s="9"/>
      <c r="CV77" s="9"/>
      <c r="CW77" s="9"/>
      <c r="CX77" s="9"/>
      <c r="CY77" s="9"/>
      <c r="CZ77" s="9"/>
      <c r="DA77" s="9"/>
      <c r="DB77" s="9"/>
      <c r="DC77" s="9"/>
      <c r="DD77" s="9"/>
      <c r="DE77" s="9"/>
      <c r="DF77" s="9"/>
      <c r="DG77" s="9"/>
      <c r="DH77" s="9"/>
      <c r="DI77" s="9"/>
      <c r="DJ77" s="9"/>
      <c r="DK77" s="9"/>
      <c r="DL77" s="9"/>
      <c r="DM77" s="9"/>
      <c r="DN77" s="9"/>
    </row>
    <row r="78" spans="1:118" ht="21" hidden="1" customHeight="1" outlineLevel="1" x14ac:dyDescent="0.25">
      <c r="B78" s="60"/>
      <c r="C78" s="44"/>
      <c r="D78" s="203" t="s">
        <v>138</v>
      </c>
      <c r="E78" s="62"/>
      <c r="F78" s="63"/>
      <c r="G78" s="41"/>
      <c r="H78" s="232" t="str">
        <f ca="1">_xll.DBRA(Server&amp;$D$20,$D78,"French")</f>
        <v>Maintenance Informatique Pack Finance</v>
      </c>
      <c r="I78" s="232"/>
      <c r="J78" s="232"/>
      <c r="K78" s="150"/>
      <c r="L78" s="151">
        <f ca="1">_xll.DBRW(Server&amp;Cube1,$J$12,$L$13,$J$14,$L$1,$J$11,$J$15,$D78)</f>
        <v>-29164.25</v>
      </c>
      <c r="M78" s="151">
        <f ca="1">_xll.DBRW(Server&amp;Cube1,$J$12,$L$13,$J$14,$M$1,$J$11,$J$15,$D78)</f>
        <v>-36587</v>
      </c>
      <c r="N78" s="152">
        <f ca="1">L78-M78</f>
        <v>7422.75</v>
      </c>
      <c r="O78" s="153">
        <f t="shared" ca="1" si="90"/>
        <v>-0.20287943805176703</v>
      </c>
      <c r="P78" s="138"/>
      <c r="Q78" s="151">
        <f ca="1">_xll.DBRW(Server&amp;Cube1,$J$12,$L$13,$J$14,$Q$1,$J$11,$J$15,$D78)</f>
        <v>0</v>
      </c>
      <c r="R78" s="152">
        <f t="shared" ca="1" si="88"/>
        <v>-29164.25</v>
      </c>
      <c r="S78" s="153" t="str">
        <f t="shared" ca="1" si="89"/>
        <v>-</v>
      </c>
      <c r="T78" s="138"/>
      <c r="U78" s="151">
        <f ca="1">_xll.DBRW(Server&amp;Cube1,$J$12,$L$13,$J$14,$U$1,$U$2,$J$15,$D78)</f>
        <v>-27298.33</v>
      </c>
      <c r="V78" s="152">
        <f t="shared" ca="1" si="91"/>
        <v>-1865.9199999999983</v>
      </c>
      <c r="W78" s="153">
        <f t="shared" ca="1" si="92"/>
        <v>6.8352899243286969E-2</v>
      </c>
      <c r="X78" s="65"/>
      <c r="Y78" s="31"/>
      <c r="Z78" s="9"/>
      <c r="AA78" s="66"/>
      <c r="AB78" s="66"/>
      <c r="AC78" s="9"/>
      <c r="AD78" s="9"/>
      <c r="AE78" s="9"/>
      <c r="AF78" s="9"/>
      <c r="AG78" s="9"/>
      <c r="AH78" s="9"/>
      <c r="AI78" s="9"/>
      <c r="AJ78" s="9"/>
      <c r="AK78" s="9"/>
      <c r="AL78" s="9"/>
      <c r="AM78" s="9"/>
      <c r="AN78" s="9"/>
      <c r="AO78" s="9"/>
      <c r="AP78" s="9"/>
      <c r="AQ78" s="9"/>
      <c r="AR78" s="9"/>
      <c r="AS78" s="9"/>
      <c r="AT78" s="9"/>
      <c r="AU78" s="9"/>
      <c r="AV78" s="9"/>
      <c r="AW78" s="9"/>
      <c r="AX78" s="9"/>
      <c r="AY78" s="9"/>
      <c r="AZ78" s="9"/>
      <c r="BA78" s="9"/>
      <c r="BB78" s="9"/>
      <c r="BC78" s="9"/>
      <c r="BD78" s="9"/>
      <c r="BE78" s="9"/>
      <c r="BF78" s="9"/>
      <c r="BG78" s="9"/>
      <c r="BH78" s="9"/>
      <c r="BI78" s="9"/>
      <c r="BJ78" s="9"/>
      <c r="BK78" s="9"/>
      <c r="BL78" s="9"/>
      <c r="BM78" s="9"/>
      <c r="BN78" s="9"/>
      <c r="BO78" s="9"/>
      <c r="BP78" s="9"/>
      <c r="BQ78" s="9"/>
      <c r="BR78" s="9"/>
      <c r="BS78" s="9"/>
      <c r="BT78" s="9"/>
      <c r="BU78" s="9"/>
      <c r="BV78" s="9"/>
      <c r="BW78" s="9"/>
      <c r="BX78" s="9"/>
      <c r="BY78" s="9"/>
      <c r="BZ78" s="9"/>
      <c r="CA78" s="9"/>
      <c r="CB78" s="9"/>
      <c r="CC78" s="9"/>
      <c r="CD78" s="9"/>
      <c r="CE78" s="9"/>
      <c r="CF78" s="9"/>
      <c r="CG78" s="9"/>
      <c r="CH78" s="9"/>
      <c r="CI78" s="9"/>
      <c r="CJ78" s="9"/>
      <c r="CK78" s="9"/>
      <c r="CL78" s="9"/>
      <c r="CM78" s="9"/>
      <c r="CN78" s="9"/>
      <c r="CO78" s="9"/>
      <c r="CP78" s="9"/>
      <c r="CQ78" s="9"/>
      <c r="CR78" s="9"/>
      <c r="CS78" s="9"/>
      <c r="CT78" s="9"/>
      <c r="CU78" s="9"/>
      <c r="CV78" s="9"/>
      <c r="CW78" s="9"/>
      <c r="CX78" s="9"/>
      <c r="CY78" s="9"/>
      <c r="CZ78" s="9"/>
      <c r="DA78" s="9"/>
      <c r="DB78" s="9"/>
      <c r="DC78" s="9"/>
      <c r="DD78" s="9"/>
      <c r="DE78" s="9"/>
      <c r="DF78" s="9"/>
      <c r="DG78" s="9"/>
      <c r="DH78" s="9"/>
      <c r="DI78" s="9"/>
      <c r="DJ78" s="9"/>
      <c r="DK78" s="9"/>
      <c r="DL78" s="9"/>
      <c r="DM78" s="9"/>
      <c r="DN78" s="9"/>
    </row>
    <row r="79" spans="1:118" ht="21" hidden="1" customHeight="1" outlineLevel="1" thickBot="1" x14ac:dyDescent="0.3">
      <c r="B79" s="60"/>
      <c r="C79" s="44"/>
      <c r="D79" s="203" t="s">
        <v>62</v>
      </c>
      <c r="E79" s="62"/>
      <c r="F79" s="63"/>
      <c r="G79" s="41"/>
      <c r="H79" s="250" t="str">
        <f ca="1">_xll.DBRA(Server&amp;$D$20,$D79,"French")</f>
        <v>Abonnement SAAS</v>
      </c>
      <c r="I79" s="250"/>
      <c r="J79" s="250"/>
      <c r="K79" s="150"/>
      <c r="L79" s="168">
        <f ca="1">_xll.DBRW(Server&amp;Cube1,$J$12,$L$13,$J$14,$L$1,$J$11,$J$15,$D79)</f>
        <v>-22208.39</v>
      </c>
      <c r="M79" s="168">
        <f ca="1">_xll.DBRW(Server&amp;Cube1,$J$12,$L$13,$J$14,$M$1,$J$11,$J$15,$D79)</f>
        <v>-43221</v>
      </c>
      <c r="N79" s="169">
        <f ca="1">L79-M79</f>
        <v>21012.61</v>
      </c>
      <c r="O79" s="153">
        <f t="shared" ca="1" si="90"/>
        <v>-0.48616667823511722</v>
      </c>
      <c r="P79" s="138"/>
      <c r="Q79" s="168">
        <f ca="1">_xll.DBRW(Server&amp;Cube1,$J$12,$L$13,$J$14,$Q$1,$J$11,$J$15,$D79)</f>
        <v>0</v>
      </c>
      <c r="R79" s="169">
        <f t="shared" ca="1" si="88"/>
        <v>-22208.39</v>
      </c>
      <c r="S79" s="153" t="str">
        <f t="shared" ca="1" si="89"/>
        <v>-</v>
      </c>
      <c r="T79" s="138"/>
      <c r="U79" s="168">
        <f ca="1">_xll.DBRW(Server&amp;Cube1,$J$12,$L$13,$J$14,$U$1,$U$2,$J$15,$D79)</f>
        <v>-26375.839999999997</v>
      </c>
      <c r="V79" s="169">
        <f t="shared" ca="1" si="91"/>
        <v>4167.4499999999971</v>
      </c>
      <c r="W79" s="153">
        <f t="shared" ca="1" si="92"/>
        <v>-0.15800255081923448</v>
      </c>
      <c r="X79" s="65"/>
      <c r="Y79" s="31"/>
      <c r="Z79" s="9"/>
      <c r="AA79" s="66"/>
      <c r="AB79" s="66"/>
      <c r="AC79" s="9"/>
      <c r="AD79" s="9"/>
      <c r="AE79" s="9"/>
      <c r="AF79" s="9"/>
      <c r="AG79" s="9"/>
      <c r="AH79" s="9"/>
      <c r="AI79" s="9"/>
      <c r="AJ79" s="9"/>
      <c r="AK79" s="9"/>
      <c r="AL79" s="9"/>
      <c r="AM79" s="9"/>
      <c r="AN79" s="9"/>
      <c r="AO79" s="9"/>
      <c r="AP79" s="9"/>
      <c r="AQ79" s="9"/>
      <c r="AR79" s="9"/>
      <c r="AS79" s="9"/>
      <c r="AT79" s="9"/>
      <c r="AU79" s="9"/>
      <c r="AV79" s="9"/>
      <c r="AW79" s="9"/>
      <c r="AX79" s="9"/>
      <c r="AY79" s="9"/>
      <c r="AZ79" s="9"/>
      <c r="BA79" s="9"/>
      <c r="BB79" s="9"/>
      <c r="BC79" s="9"/>
      <c r="BD79" s="9"/>
      <c r="BE79" s="9"/>
      <c r="BF79" s="9"/>
      <c r="BG79" s="9"/>
      <c r="BH79" s="9"/>
      <c r="BI79" s="9"/>
      <c r="BJ79" s="9"/>
      <c r="BK79" s="9"/>
      <c r="BL79" s="9"/>
      <c r="BM79" s="9"/>
      <c r="BN79" s="9"/>
      <c r="BO79" s="9"/>
      <c r="BP79" s="9"/>
      <c r="BQ79" s="9"/>
      <c r="BR79" s="9"/>
      <c r="BS79" s="9"/>
      <c r="BT79" s="9"/>
      <c r="BU79" s="9"/>
      <c r="BV79" s="9"/>
      <c r="BW79" s="9"/>
      <c r="BX79" s="9"/>
      <c r="BY79" s="9"/>
      <c r="BZ79" s="9"/>
      <c r="CA79" s="9"/>
      <c r="CB79" s="9"/>
      <c r="CC79" s="9"/>
      <c r="CD79" s="9"/>
      <c r="CE79" s="9"/>
      <c r="CF79" s="9"/>
      <c r="CG79" s="9"/>
      <c r="CH79" s="9"/>
      <c r="CI79" s="9"/>
      <c r="CJ79" s="9"/>
      <c r="CK79" s="9"/>
      <c r="CL79" s="9"/>
      <c r="CM79" s="9"/>
      <c r="CN79" s="9"/>
      <c r="CO79" s="9"/>
      <c r="CP79" s="9"/>
      <c r="CQ79" s="9"/>
      <c r="CR79" s="9"/>
      <c r="CS79" s="9"/>
      <c r="CT79" s="9"/>
      <c r="CU79" s="9"/>
      <c r="CV79" s="9"/>
      <c r="CW79" s="9"/>
      <c r="CX79" s="9"/>
      <c r="CY79" s="9"/>
      <c r="CZ79" s="9"/>
      <c r="DA79" s="9"/>
      <c r="DB79" s="9"/>
      <c r="DC79" s="9"/>
      <c r="DD79" s="9"/>
      <c r="DE79" s="9"/>
      <c r="DF79" s="9"/>
      <c r="DG79" s="9"/>
      <c r="DH79" s="9"/>
      <c r="DI79" s="9"/>
      <c r="DJ79" s="9"/>
      <c r="DK79" s="9"/>
      <c r="DL79" s="9"/>
      <c r="DM79" s="9"/>
      <c r="DN79" s="9"/>
    </row>
    <row r="80" spans="1:118" s="37" customFormat="1" ht="23.25" customHeight="1" collapsed="1" thickTop="1" thickBot="1" x14ac:dyDescent="0.3">
      <c r="A80" s="221"/>
      <c r="B80" s="1"/>
      <c r="C80" s="44"/>
      <c r="D80" s="206" t="s">
        <v>63</v>
      </c>
      <c r="E80" s="68"/>
      <c r="F80" s="69"/>
      <c r="G80" s="234" t="str">
        <f ca="1">_xll.DBRA(Server&amp;$D$20,$D80,"French")</f>
        <v>Location VH et Télephonie</v>
      </c>
      <c r="H80" s="234" t="str">
        <f ca="1">_xll.DBRA(Server&amp;$D$20,$D80,"French")</f>
        <v>Location VH et Télephonie</v>
      </c>
      <c r="I80" s="234"/>
      <c r="J80" s="234"/>
      <c r="K80" s="154" t="s">
        <v>3</v>
      </c>
      <c r="L80" s="165">
        <f ca="1">SUM(L81:L86)</f>
        <v>-132220.64000000001</v>
      </c>
      <c r="M80" s="165">
        <f ca="1">SUM(M81:M86)</f>
        <v>-131661</v>
      </c>
      <c r="N80" s="165">
        <f ca="1">SUM(N81:N86)</f>
        <v>-559.6400000000217</v>
      </c>
      <c r="O80" s="167">
        <f t="shared" ca="1" si="90"/>
        <v>4.2506133175353499E-3</v>
      </c>
      <c r="P80" s="132"/>
      <c r="Q80" s="165">
        <f ca="1">_xll.DBRW(Server&amp;Cube1,$J$12,$L$13,$J$14,$Q$1,$J$11,$J$15,$D80)</f>
        <v>0</v>
      </c>
      <c r="R80" s="166">
        <f t="shared" ca="1" si="88"/>
        <v>-132220.64000000001</v>
      </c>
      <c r="S80" s="167" t="str">
        <f t="shared" ca="1" si="89"/>
        <v>-</v>
      </c>
      <c r="T80" s="132"/>
      <c r="U80" s="165">
        <f ca="1">SUM(U81:U86)</f>
        <v>-126258.08</v>
      </c>
      <c r="V80" s="165">
        <f ca="1">SUM(V81:V86)</f>
        <v>-5962.5600000000195</v>
      </c>
      <c r="W80" s="167">
        <f t="shared" ca="1" si="92"/>
        <v>4.7225175608563187E-2</v>
      </c>
      <c r="X80" s="64"/>
      <c r="Y80" s="31"/>
      <c r="Z80" s="9"/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9"/>
      <c r="AL80" s="9"/>
      <c r="AM80" s="9"/>
      <c r="AN80" s="9"/>
      <c r="AO80" s="9"/>
      <c r="AP80" s="9"/>
      <c r="AQ80" s="9"/>
      <c r="AR80" s="9"/>
      <c r="AS80" s="9"/>
      <c r="AT80" s="9"/>
      <c r="AU80" s="9"/>
      <c r="AV80" s="9"/>
      <c r="AW80" s="9"/>
      <c r="AX80" s="9"/>
      <c r="AY80" s="9"/>
      <c r="AZ80" s="9"/>
      <c r="BA80" s="9"/>
      <c r="BB80" s="9"/>
      <c r="BC80" s="9"/>
      <c r="BD80" s="9"/>
      <c r="BE80" s="9"/>
      <c r="BF80" s="9"/>
      <c r="BG80" s="9"/>
      <c r="BH80" s="9"/>
      <c r="BI80" s="9"/>
      <c r="BJ80" s="9"/>
      <c r="BK80" s="9"/>
      <c r="BL80" s="9"/>
      <c r="BM80" s="9"/>
      <c r="BN80" s="9"/>
      <c r="BO80" s="9"/>
      <c r="BP80" s="9"/>
      <c r="BQ80" s="9"/>
      <c r="BR80" s="9"/>
      <c r="BS80" s="9"/>
      <c r="BT80" s="9"/>
      <c r="BU80" s="9"/>
      <c r="BV80" s="9"/>
      <c r="BW80" s="9"/>
      <c r="BX80" s="9"/>
      <c r="BY80" s="9"/>
      <c r="BZ80" s="9"/>
      <c r="CA80" s="9"/>
      <c r="CB80" s="9"/>
      <c r="CC80" s="9"/>
      <c r="CD80" s="9"/>
      <c r="CE80" s="9"/>
      <c r="CF80" s="9"/>
      <c r="CG80" s="9"/>
      <c r="CH80" s="9"/>
      <c r="CI80" s="9"/>
      <c r="CJ80" s="9"/>
      <c r="CK80" s="9"/>
      <c r="CL80" s="9"/>
      <c r="CM80" s="9"/>
      <c r="CN80" s="9"/>
      <c r="CO80" s="9"/>
      <c r="CP80" s="9"/>
      <c r="CQ80" s="9"/>
      <c r="CR80" s="9"/>
      <c r="CS80" s="9"/>
      <c r="CT80" s="9"/>
      <c r="CU80" s="9"/>
      <c r="CV80" s="9"/>
      <c r="CW80" s="9"/>
      <c r="CX80" s="9"/>
      <c r="CY80" s="9"/>
      <c r="CZ80" s="9"/>
      <c r="DA80" s="9"/>
      <c r="DB80" s="9"/>
      <c r="DC80" s="9"/>
      <c r="DD80" s="9"/>
      <c r="DE80" s="9"/>
      <c r="DF80" s="9"/>
      <c r="DG80" s="9"/>
      <c r="DH80" s="9"/>
      <c r="DI80" s="9"/>
      <c r="DJ80" s="9"/>
      <c r="DK80" s="9"/>
      <c r="DL80" s="9"/>
      <c r="DM80" s="9"/>
      <c r="DN80" s="9"/>
    </row>
    <row r="81" spans="1:118" ht="21" hidden="1" customHeight="1" outlineLevel="1" thickBot="1" x14ac:dyDescent="0.3">
      <c r="B81" s="60"/>
      <c r="C81" s="44"/>
      <c r="D81" s="203" t="s">
        <v>139</v>
      </c>
      <c r="E81" s="62"/>
      <c r="F81" s="63"/>
      <c r="G81" s="41"/>
      <c r="H81" s="250" t="str">
        <f ca="1">_xll.DBRA(Server&amp;$D$20,$D81,"French")</f>
        <v>Véhicule de fonction - Entretiens et réparations</v>
      </c>
      <c r="I81" s="250"/>
      <c r="J81" s="250"/>
      <c r="K81" s="150"/>
      <c r="L81" s="151">
        <f ca="1">_xll.DBRW(Server&amp;Cube1,$J$12,$L$13,$J$14,$L$1,$J$11,$J$15,$D81)</f>
        <v>0</v>
      </c>
      <c r="M81" s="151">
        <f ca="1">_xll.DBRW(Server&amp;Cube1,$J$12,$L$13,$J$14,$M$1,$J$11,$J$15,$D81)</f>
        <v>0</v>
      </c>
      <c r="N81" s="152">
        <f t="shared" ref="N81:N87" ca="1" si="98">L81-M81</f>
        <v>0</v>
      </c>
      <c r="O81" s="153" t="str">
        <f t="shared" ca="1" si="90"/>
        <v>-</v>
      </c>
      <c r="P81" s="138"/>
      <c r="Q81" s="151">
        <f ca="1">_xll.DBRW(Server&amp;Cube1,$J$12,$L$13,$J$14,$Q$1,$J$11,$J$15,$D81)</f>
        <v>0</v>
      </c>
      <c r="R81" s="152">
        <f t="shared" ca="1" si="88"/>
        <v>0</v>
      </c>
      <c r="S81" s="153" t="str">
        <f t="shared" ca="1" si="89"/>
        <v>-</v>
      </c>
      <c r="T81" s="138"/>
      <c r="U81" s="151">
        <f ca="1">_xll.DBRW(Server&amp;Cube1,$J$12,$L$13,$J$14,$U$1,$U$2,$J$15,$D81)</f>
        <v>0</v>
      </c>
      <c r="V81" s="152">
        <f t="shared" ca="1" si="91"/>
        <v>0</v>
      </c>
      <c r="W81" s="153" t="str">
        <f t="shared" ca="1" si="92"/>
        <v>-</v>
      </c>
      <c r="X81" s="65"/>
      <c r="Y81" s="31"/>
      <c r="Z81" s="9"/>
      <c r="AA81" s="66"/>
      <c r="AB81" s="66"/>
      <c r="AC81" s="9"/>
      <c r="AD81" s="9"/>
      <c r="AE81" s="9"/>
      <c r="AF81" s="9"/>
      <c r="AG81" s="9"/>
      <c r="AH81" s="9"/>
      <c r="AI81" s="9"/>
      <c r="AJ81" s="9"/>
      <c r="AK81" s="9"/>
      <c r="AL81" s="9"/>
      <c r="AM81" s="9"/>
      <c r="AN81" s="9"/>
      <c r="AO81" s="9"/>
      <c r="AP81" s="9"/>
      <c r="AQ81" s="9"/>
      <c r="AR81" s="9"/>
      <c r="AS81" s="9"/>
      <c r="AT81" s="9"/>
      <c r="AU81" s="9"/>
      <c r="AV81" s="9"/>
      <c r="AW81" s="9"/>
      <c r="AX81" s="9"/>
      <c r="AY81" s="9"/>
      <c r="AZ81" s="9"/>
      <c r="BA81" s="9"/>
      <c r="BB81" s="9"/>
      <c r="BC81" s="9"/>
      <c r="BD81" s="9"/>
      <c r="BE81" s="9"/>
      <c r="BF81" s="9"/>
      <c r="BG81" s="9"/>
      <c r="BH81" s="9"/>
      <c r="BI81" s="9"/>
      <c r="BJ81" s="9"/>
      <c r="BK81" s="9"/>
      <c r="BL81" s="9"/>
      <c r="BM81" s="9"/>
      <c r="BN81" s="9"/>
      <c r="BO81" s="9"/>
      <c r="BP81" s="9"/>
      <c r="BQ81" s="9"/>
      <c r="BR81" s="9"/>
      <c r="BS81" s="9"/>
      <c r="BT81" s="9"/>
      <c r="BU81" s="9"/>
      <c r="BV81" s="9"/>
      <c r="BW81" s="9"/>
      <c r="BX81" s="9"/>
      <c r="BY81" s="9"/>
      <c r="BZ81" s="9"/>
      <c r="CA81" s="9"/>
      <c r="CB81" s="9"/>
      <c r="CC81" s="9"/>
      <c r="CD81" s="9"/>
      <c r="CE81" s="9"/>
      <c r="CF81" s="9"/>
      <c r="CG81" s="9"/>
      <c r="CH81" s="9"/>
      <c r="CI81" s="9"/>
      <c r="CJ81" s="9"/>
      <c r="CK81" s="9"/>
      <c r="CL81" s="9"/>
      <c r="CM81" s="9"/>
      <c r="CN81" s="9"/>
      <c r="CO81" s="9"/>
      <c r="CP81" s="9"/>
      <c r="CQ81" s="9"/>
      <c r="CR81" s="9"/>
      <c r="CS81" s="9"/>
      <c r="CT81" s="9"/>
      <c r="CU81" s="9"/>
      <c r="CV81" s="9"/>
      <c r="CW81" s="9"/>
      <c r="CX81" s="9"/>
      <c r="CY81" s="9"/>
      <c r="CZ81" s="9"/>
      <c r="DA81" s="9"/>
      <c r="DB81" s="9"/>
      <c r="DC81" s="9"/>
      <c r="DD81" s="9"/>
      <c r="DE81" s="9"/>
      <c r="DF81" s="9"/>
      <c r="DG81" s="9"/>
      <c r="DH81" s="9"/>
      <c r="DI81" s="9"/>
      <c r="DJ81" s="9"/>
      <c r="DK81" s="9"/>
      <c r="DL81" s="9"/>
      <c r="DM81" s="9"/>
      <c r="DN81" s="9"/>
    </row>
    <row r="82" spans="1:118" ht="21" hidden="1" customHeight="1" outlineLevel="1" thickTop="1" thickBot="1" x14ac:dyDescent="0.3">
      <c r="B82" s="60"/>
      <c r="C82" s="44"/>
      <c r="D82" s="214" t="s">
        <v>162</v>
      </c>
      <c r="E82" s="62"/>
      <c r="F82" s="63"/>
      <c r="G82" s="41"/>
      <c r="H82" s="250" t="str">
        <f ca="1">_xll.DBRA(Server&amp;$D$20,$D82,"French")</f>
        <v>Véhicule de Fonction - Prime d'assurance</v>
      </c>
      <c r="I82" s="250"/>
      <c r="J82" s="250"/>
      <c r="K82" s="150"/>
      <c r="L82" s="151">
        <f ca="1">_xll.DBRW(Server&amp;Cube1,$J$12,$L$13,$J$14,$L$1,$J$11,$J$15,$D82)</f>
        <v>-2284.619999999999</v>
      </c>
      <c r="M82" s="151">
        <f ca="1">_xll.DBRW(Server&amp;Cube1,$J$12,$L$13,$J$14,$M$1,$J$11,$J$15,$D82)</f>
        <v>-7305</v>
      </c>
      <c r="N82" s="152">
        <f t="shared" ca="1" si="98"/>
        <v>5020.380000000001</v>
      </c>
      <c r="O82" s="153">
        <f t="shared" ref="O82" ca="1" si="99">IF(ISERROR(N82/M82),"-",N82/M82)</f>
        <v>-0.68725256673511304</v>
      </c>
      <c r="P82" s="138"/>
      <c r="Q82" s="151">
        <f ca="1">_xll.DBRW(Server&amp;Cube1,$J$12,$L$13,$J$14,$Q$1,$J$11,$J$15,$D82)</f>
        <v>0</v>
      </c>
      <c r="R82" s="152">
        <f t="shared" ref="R82" ca="1" si="100">L82-Q82</f>
        <v>-2284.619999999999</v>
      </c>
      <c r="S82" s="153" t="str">
        <f t="shared" ref="S82" ca="1" si="101">IF(ISERROR(R82/Q82),"-",R82/Q82)</f>
        <v>-</v>
      </c>
      <c r="T82" s="138"/>
      <c r="U82" s="151">
        <f ca="1">_xll.DBRW(Server&amp;Cube1,$J$12,$L$13,$J$14,$U$1,$U$2,$J$15,$D82)</f>
        <v>-4930.0199999999995</v>
      </c>
      <c r="V82" s="152">
        <f t="shared" ref="V82" ca="1" si="102">L82-U82</f>
        <v>2645.4000000000005</v>
      </c>
      <c r="W82" s="153">
        <f t="shared" ref="W82" ca="1" si="103">IF(ISERROR(V82/U82),"-",V82/U82)</f>
        <v>-0.53659011525308231</v>
      </c>
      <c r="X82" s="65"/>
      <c r="Y82" s="31"/>
      <c r="Z82" s="9"/>
      <c r="AA82" s="66"/>
      <c r="AB82" s="66"/>
      <c r="AC82" s="9"/>
      <c r="AD82" s="9"/>
      <c r="AE82" s="9"/>
      <c r="AF82" s="9"/>
      <c r="AG82" s="9"/>
      <c r="AH82" s="9"/>
      <c r="AI82" s="9"/>
      <c r="AJ82" s="9"/>
      <c r="AK82" s="9"/>
      <c r="AL82" s="9"/>
      <c r="AM82" s="9"/>
      <c r="AN82" s="9"/>
      <c r="AO82" s="9"/>
      <c r="AP82" s="9"/>
      <c r="AQ82" s="9"/>
      <c r="AR82" s="9"/>
      <c r="AS82" s="9"/>
      <c r="AT82" s="9"/>
      <c r="AU82" s="9"/>
      <c r="AV82" s="9"/>
      <c r="AW82" s="9"/>
      <c r="AX82" s="9"/>
      <c r="AY82" s="9"/>
      <c r="AZ82" s="9"/>
      <c r="BA82" s="9"/>
      <c r="BB82" s="9"/>
      <c r="BC82" s="9"/>
      <c r="BD82" s="9"/>
      <c r="BE82" s="9"/>
      <c r="BF82" s="9"/>
      <c r="BG82" s="9"/>
      <c r="BH82" s="9"/>
      <c r="BI82" s="9"/>
      <c r="BJ82" s="9"/>
      <c r="BK82" s="9"/>
      <c r="BL82" s="9"/>
      <c r="BM82" s="9"/>
      <c r="BN82" s="9"/>
      <c r="BO82" s="9"/>
      <c r="BP82" s="9"/>
      <c r="BQ82" s="9"/>
      <c r="BR82" s="9"/>
      <c r="BS82" s="9"/>
      <c r="BT82" s="9"/>
      <c r="BU82" s="9"/>
      <c r="BV82" s="9"/>
      <c r="BW82" s="9"/>
      <c r="BX82" s="9"/>
      <c r="BY82" s="9"/>
      <c r="BZ82" s="9"/>
      <c r="CA82" s="9"/>
      <c r="CB82" s="9"/>
      <c r="CC82" s="9"/>
      <c r="CD82" s="9"/>
      <c r="CE82" s="9"/>
      <c r="CF82" s="9"/>
      <c r="CG82" s="9"/>
      <c r="CH82" s="9"/>
      <c r="CI82" s="9"/>
      <c r="CJ82" s="9"/>
      <c r="CK82" s="9"/>
      <c r="CL82" s="9"/>
      <c r="CM82" s="9"/>
      <c r="CN82" s="9"/>
      <c r="CO82" s="9"/>
      <c r="CP82" s="9"/>
      <c r="CQ82" s="9"/>
      <c r="CR82" s="9"/>
      <c r="CS82" s="9"/>
      <c r="CT82" s="9"/>
      <c r="CU82" s="9"/>
      <c r="CV82" s="9"/>
      <c r="CW82" s="9"/>
      <c r="CX82" s="9"/>
      <c r="CY82" s="9"/>
      <c r="CZ82" s="9"/>
      <c r="DA82" s="9"/>
      <c r="DB82" s="9"/>
      <c r="DC82" s="9"/>
      <c r="DD82" s="9"/>
      <c r="DE82" s="9"/>
      <c r="DF82" s="9"/>
      <c r="DG82" s="9"/>
      <c r="DH82" s="9"/>
      <c r="DI82" s="9"/>
      <c r="DJ82" s="9"/>
      <c r="DK82" s="9"/>
      <c r="DL82" s="9"/>
      <c r="DM82" s="9"/>
      <c r="DN82" s="9"/>
    </row>
    <row r="83" spans="1:118" ht="21" hidden="1" customHeight="1" outlineLevel="1" thickTop="1" thickBot="1" x14ac:dyDescent="0.3">
      <c r="B83" s="60"/>
      <c r="C83" s="44"/>
      <c r="D83" s="203" t="s">
        <v>140</v>
      </c>
      <c r="E83" s="62"/>
      <c r="F83" s="63"/>
      <c r="G83" s="41"/>
      <c r="H83" s="250" t="str">
        <f ca="1">_xll.DBRA(Server&amp;$D$20,$D83,"French")</f>
        <v>Véhicule de Fonction - Frais de location</v>
      </c>
      <c r="I83" s="250"/>
      <c r="J83" s="250"/>
      <c r="K83" s="150"/>
      <c r="L83" s="151">
        <f ca="1">_xll.DBRW(Server&amp;Cube1,$J$12,$L$13,$J$14,$L$1,$J$11,$J$15,$D83)</f>
        <v>-84175.010000000009</v>
      </c>
      <c r="M83" s="151">
        <f ca="1">_xll.DBRW(Server&amp;Cube1,$J$12,$L$13,$J$14,$M$1,$J$11,$J$15,$D83)</f>
        <v>-58050</v>
      </c>
      <c r="N83" s="152">
        <f t="shared" ca="1" si="98"/>
        <v>-26125.010000000009</v>
      </c>
      <c r="O83" s="153">
        <f t="shared" ref="O83" ca="1" si="104">IF(ISERROR(N83/M83),"-",N83/M83)</f>
        <v>0.45004323858742479</v>
      </c>
      <c r="P83" s="138"/>
      <c r="Q83" s="151">
        <f ca="1">_xll.DBRW(Server&amp;Cube1,$J$12,$L$13,$J$14,$Q$1,$J$11,$J$15,$D83)</f>
        <v>0</v>
      </c>
      <c r="R83" s="152">
        <f t="shared" ref="R83" ca="1" si="105">L83-Q83</f>
        <v>-84175.010000000009</v>
      </c>
      <c r="S83" s="153" t="str">
        <f t="shared" ref="S83" ca="1" si="106">IF(ISERROR(R83/Q83),"-",R83/Q83)</f>
        <v>-</v>
      </c>
      <c r="T83" s="138"/>
      <c r="U83" s="151">
        <f ca="1">_xll.DBRW(Server&amp;Cube1,$J$12,$L$13,$J$14,$U$1,$U$2,$J$15,$D83)</f>
        <v>-88174.549999999988</v>
      </c>
      <c r="V83" s="152">
        <f t="shared" ref="V83" ca="1" si="107">L83-U83</f>
        <v>3999.539999999979</v>
      </c>
      <c r="W83" s="153">
        <f t="shared" ref="W83" ca="1" si="108">IF(ISERROR(V83/U83),"-",V83/U83)</f>
        <v>-4.535934688637458E-2</v>
      </c>
      <c r="X83" s="65"/>
      <c r="Y83" s="31"/>
      <c r="Z83" s="9"/>
      <c r="AA83" s="66"/>
      <c r="AB83" s="66"/>
      <c r="AC83" s="9"/>
      <c r="AD83" s="9"/>
      <c r="AE83" s="9"/>
      <c r="AF83" s="9"/>
      <c r="AG83" s="9"/>
      <c r="AH83" s="9"/>
      <c r="AI83" s="9"/>
      <c r="AJ83" s="9"/>
      <c r="AK83" s="9"/>
      <c r="AL83" s="9"/>
      <c r="AM83" s="9"/>
      <c r="AN83" s="9"/>
      <c r="AO83" s="9"/>
      <c r="AP83" s="9"/>
      <c r="AQ83" s="9"/>
      <c r="AR83" s="9"/>
      <c r="AS83" s="9"/>
      <c r="AT83" s="9"/>
      <c r="AU83" s="9"/>
      <c r="AV83" s="9"/>
      <c r="AW83" s="9"/>
      <c r="AX83" s="9"/>
      <c r="AY83" s="9"/>
      <c r="AZ83" s="9"/>
      <c r="BA83" s="9"/>
      <c r="BB83" s="9"/>
      <c r="BC83" s="9"/>
      <c r="BD83" s="9"/>
      <c r="BE83" s="9"/>
      <c r="BF83" s="9"/>
      <c r="BG83" s="9"/>
      <c r="BH83" s="9"/>
      <c r="BI83" s="9"/>
      <c r="BJ83" s="9"/>
      <c r="BK83" s="9"/>
      <c r="BL83" s="9"/>
      <c r="BM83" s="9"/>
      <c r="BN83" s="9"/>
      <c r="BO83" s="9"/>
      <c r="BP83" s="9"/>
      <c r="BQ83" s="9"/>
      <c r="BR83" s="9"/>
      <c r="BS83" s="9"/>
      <c r="BT83" s="9"/>
      <c r="BU83" s="9"/>
      <c r="BV83" s="9"/>
      <c r="BW83" s="9"/>
      <c r="BX83" s="9"/>
      <c r="BY83" s="9"/>
      <c r="BZ83" s="9"/>
      <c r="CA83" s="9"/>
      <c r="CB83" s="9"/>
      <c r="CC83" s="9"/>
      <c r="CD83" s="9"/>
      <c r="CE83" s="9"/>
      <c r="CF83" s="9"/>
      <c r="CG83" s="9"/>
      <c r="CH83" s="9"/>
      <c r="CI83" s="9"/>
      <c r="CJ83" s="9"/>
      <c r="CK83" s="9"/>
      <c r="CL83" s="9"/>
      <c r="CM83" s="9"/>
      <c r="CN83" s="9"/>
      <c r="CO83" s="9"/>
      <c r="CP83" s="9"/>
      <c r="CQ83" s="9"/>
      <c r="CR83" s="9"/>
      <c r="CS83" s="9"/>
      <c r="CT83" s="9"/>
      <c r="CU83" s="9"/>
      <c r="CV83" s="9"/>
      <c r="CW83" s="9"/>
      <c r="CX83" s="9"/>
      <c r="CY83" s="9"/>
      <c r="CZ83" s="9"/>
      <c r="DA83" s="9"/>
      <c r="DB83" s="9"/>
      <c r="DC83" s="9"/>
      <c r="DD83" s="9"/>
      <c r="DE83" s="9"/>
      <c r="DF83" s="9"/>
      <c r="DG83" s="9"/>
      <c r="DH83" s="9"/>
      <c r="DI83" s="9"/>
      <c r="DJ83" s="9"/>
      <c r="DK83" s="9"/>
      <c r="DL83" s="9"/>
      <c r="DM83" s="9"/>
      <c r="DN83" s="9"/>
    </row>
    <row r="84" spans="1:118" ht="21" hidden="1" customHeight="1" outlineLevel="1" thickTop="1" thickBot="1" x14ac:dyDescent="0.3">
      <c r="B84" s="60"/>
      <c r="C84" s="44"/>
      <c r="D84" s="214" t="s">
        <v>141</v>
      </c>
      <c r="E84" s="62"/>
      <c r="F84" s="63"/>
      <c r="G84" s="41"/>
      <c r="H84" s="218" t="str">
        <f ca="1">_xll.DBRA(Server&amp;$D$20,$D84,"French")</f>
        <v>Véhicule de Fonction - Frais de péage</v>
      </c>
      <c r="I84" s="218"/>
      <c r="J84" s="218"/>
      <c r="K84" s="150"/>
      <c r="L84" s="151">
        <f ca="1">_xll.DBRW(Server&amp;Cube1,$J$12,$L$13,$J$14,$L$1,$J$11,$J$15,$D84)</f>
        <v>-14682.460000000003</v>
      </c>
      <c r="M84" s="151">
        <f ca="1">_xll.DBRW(Server&amp;Cube1,$J$12,$L$13,$J$14,$M$1,$J$11,$J$15,$D84)</f>
        <v>-29100</v>
      </c>
      <c r="N84" s="152">
        <f t="shared" ca="1" si="98"/>
        <v>14417.539999999997</v>
      </c>
      <c r="O84" s="153">
        <f t="shared" ref="O84" ca="1" si="109">IF(ISERROR(N84/M84),"-",N84/M84)</f>
        <v>-0.49544810996563565</v>
      </c>
      <c r="P84" s="138"/>
      <c r="Q84" s="151">
        <f ca="1">_xll.DBRW(Server&amp;Cube1,$J$12,$L$13,$J$14,$Q$1,$J$11,$J$15,$D84)</f>
        <v>0</v>
      </c>
      <c r="R84" s="152">
        <f t="shared" ref="R84" ca="1" si="110">L84-Q84</f>
        <v>-14682.460000000003</v>
      </c>
      <c r="S84" s="153" t="str">
        <f t="shared" ref="S84" ca="1" si="111">IF(ISERROR(R84/Q84),"-",R84/Q84)</f>
        <v>-</v>
      </c>
      <c r="T84" s="138"/>
      <c r="U84" s="151">
        <f ca="1">_xll.DBRW(Server&amp;Cube1,$J$12,$L$13,$J$14,$U$1,$U$2,$J$15,$D84)</f>
        <v>-3079.4399999999996</v>
      </c>
      <c r="V84" s="152">
        <f t="shared" ref="V84" ca="1" si="112">L84-U84</f>
        <v>-11603.020000000004</v>
      </c>
      <c r="W84" s="153">
        <f t="shared" ref="W84" ca="1" si="113">IF(ISERROR(V84/U84),"-",V84/U84)</f>
        <v>3.7678993583248919</v>
      </c>
      <c r="X84" s="65"/>
      <c r="Y84" s="31"/>
      <c r="Z84" s="9"/>
      <c r="AA84" s="66"/>
      <c r="AB84" s="66"/>
      <c r="AC84" s="9"/>
      <c r="AD84" s="9"/>
      <c r="AE84" s="9"/>
      <c r="AF84" s="9"/>
      <c r="AG84" s="9"/>
      <c r="AH84" s="9"/>
      <c r="AI84" s="9"/>
      <c r="AJ84" s="9"/>
      <c r="AK84" s="9"/>
      <c r="AL84" s="9"/>
      <c r="AM84" s="9"/>
      <c r="AN84" s="9"/>
      <c r="AO84" s="9"/>
      <c r="AP84" s="9"/>
      <c r="AQ84" s="9"/>
      <c r="AR84" s="9"/>
      <c r="AS84" s="9"/>
      <c r="AT84" s="9"/>
      <c r="AU84" s="9"/>
      <c r="AV84" s="9"/>
      <c r="AW84" s="9"/>
      <c r="AX84" s="9"/>
      <c r="AY84" s="9"/>
      <c r="AZ84" s="9"/>
      <c r="BA84" s="9"/>
      <c r="BB84" s="9"/>
      <c r="BC84" s="9"/>
      <c r="BD84" s="9"/>
      <c r="BE84" s="9"/>
      <c r="BF84" s="9"/>
      <c r="BG84" s="9"/>
      <c r="BH84" s="9"/>
      <c r="BI84" s="9"/>
      <c r="BJ84" s="9"/>
      <c r="BK84" s="9"/>
      <c r="BL84" s="9"/>
      <c r="BM84" s="9"/>
      <c r="BN84" s="9"/>
      <c r="BO84" s="9"/>
      <c r="BP84" s="9"/>
      <c r="BQ84" s="9"/>
      <c r="BR84" s="9"/>
      <c r="BS84" s="9"/>
      <c r="BT84" s="9"/>
      <c r="BU84" s="9"/>
      <c r="BV84" s="9"/>
      <c r="BW84" s="9"/>
      <c r="BX84" s="9"/>
      <c r="BY84" s="9"/>
      <c r="BZ84" s="9"/>
      <c r="CA84" s="9"/>
      <c r="CB84" s="9"/>
      <c r="CC84" s="9"/>
      <c r="CD84" s="9"/>
      <c r="CE84" s="9"/>
      <c r="CF84" s="9"/>
      <c r="CG84" s="9"/>
      <c r="CH84" s="9"/>
      <c r="CI84" s="9"/>
      <c r="CJ84" s="9"/>
      <c r="CK84" s="9"/>
      <c r="CL84" s="9"/>
      <c r="CM84" s="9"/>
      <c r="CN84" s="9"/>
      <c r="CO84" s="9"/>
      <c r="CP84" s="9"/>
      <c r="CQ84" s="9"/>
      <c r="CR84" s="9"/>
      <c r="CS84" s="9"/>
      <c r="CT84" s="9"/>
      <c r="CU84" s="9"/>
      <c r="CV84" s="9"/>
      <c r="CW84" s="9"/>
      <c r="CX84" s="9"/>
      <c r="CY84" s="9"/>
      <c r="CZ84" s="9"/>
      <c r="DA84" s="9"/>
      <c r="DB84" s="9"/>
      <c r="DC84" s="9"/>
      <c r="DD84" s="9"/>
      <c r="DE84" s="9"/>
      <c r="DF84" s="9"/>
      <c r="DG84" s="9"/>
      <c r="DH84" s="9"/>
      <c r="DI84" s="9"/>
      <c r="DJ84" s="9"/>
      <c r="DK84" s="9"/>
      <c r="DL84" s="9"/>
      <c r="DM84" s="9"/>
      <c r="DN84" s="9"/>
    </row>
    <row r="85" spans="1:118" ht="21" hidden="1" customHeight="1" outlineLevel="1" thickTop="1" thickBot="1" x14ac:dyDescent="0.3">
      <c r="B85" s="60"/>
      <c r="C85" s="44"/>
      <c r="D85" s="214" t="s">
        <v>142</v>
      </c>
      <c r="E85" s="62"/>
      <c r="F85" s="63"/>
      <c r="G85" s="41"/>
      <c r="H85" s="218" t="str">
        <f ca="1">_xll.DBRA(Server&amp;$D$20,$D85,"French")</f>
        <v>Véhicule de Fonction - Frais de carburant</v>
      </c>
      <c r="I85" s="218"/>
      <c r="J85" s="218"/>
      <c r="K85" s="150"/>
      <c r="L85" s="151">
        <f ca="1">_xll.DBRW(Server&amp;Cube1,$J$12,$L$13,$J$14,$L$1,$J$11,$J$15,$D85)</f>
        <v>-28860.66</v>
      </c>
      <c r="M85" s="151">
        <f ca="1">_xll.DBRW(Server&amp;Cube1,$J$12,$L$13,$J$14,$M$1,$J$11,$J$15,$D85)</f>
        <v>-32499.999999999989</v>
      </c>
      <c r="N85" s="152">
        <f t="shared" ca="1" si="98"/>
        <v>3639.3399999999892</v>
      </c>
      <c r="O85" s="153">
        <f t="shared" ref="O85" ca="1" si="114">IF(ISERROR(N85/M85),"-",N85/M85)</f>
        <v>-0.11197969230769202</v>
      </c>
      <c r="P85" s="138"/>
      <c r="Q85" s="151">
        <f ca="1">_xll.DBRW(Server&amp;Cube1,$J$12,$L$13,$J$14,$Q$1,$J$11,$J$15,$D85)</f>
        <v>0</v>
      </c>
      <c r="R85" s="152">
        <f t="shared" ref="R85" ca="1" si="115">L85-Q85</f>
        <v>-28860.66</v>
      </c>
      <c r="S85" s="153" t="str">
        <f t="shared" ref="S85" ca="1" si="116">IF(ISERROR(R85/Q85),"-",R85/Q85)</f>
        <v>-</v>
      </c>
      <c r="T85" s="138"/>
      <c r="U85" s="151">
        <f ca="1">_xll.DBRW(Server&amp;Cube1,$J$12,$L$13,$J$14,$U$1,$U$2,$J$15,$D85)</f>
        <v>-27276.520000000004</v>
      </c>
      <c r="V85" s="152">
        <f t="shared" ref="V85" ca="1" si="117">L85-U85</f>
        <v>-1584.1399999999958</v>
      </c>
      <c r="W85" s="153">
        <f t="shared" ref="W85" ca="1" si="118">IF(ISERROR(V85/U85),"-",V85/U85)</f>
        <v>5.8077056750641044E-2</v>
      </c>
      <c r="X85" s="65"/>
      <c r="Y85" s="31"/>
      <c r="Z85" s="9"/>
      <c r="AA85" s="66"/>
      <c r="AB85" s="66"/>
      <c r="AC85" s="9"/>
      <c r="AD85" s="9"/>
      <c r="AE85" s="9"/>
      <c r="AF85" s="9"/>
      <c r="AG85" s="9"/>
      <c r="AH85" s="9"/>
      <c r="AI85" s="9"/>
      <c r="AJ85" s="9"/>
      <c r="AK85" s="9"/>
      <c r="AL85" s="9"/>
      <c r="AM85" s="9"/>
      <c r="AN85" s="9"/>
      <c r="AO85" s="9"/>
      <c r="AP85" s="9"/>
      <c r="AQ85" s="9"/>
      <c r="AR85" s="9"/>
      <c r="AS85" s="9"/>
      <c r="AT85" s="9"/>
      <c r="AU85" s="9"/>
      <c r="AV85" s="9"/>
      <c r="AW85" s="9"/>
      <c r="AX85" s="9"/>
      <c r="AY85" s="9"/>
      <c r="AZ85" s="9"/>
      <c r="BA85" s="9"/>
      <c r="BB85" s="9"/>
      <c r="BC85" s="9"/>
      <c r="BD85" s="9"/>
      <c r="BE85" s="9"/>
      <c r="BF85" s="9"/>
      <c r="BG85" s="9"/>
      <c r="BH85" s="9"/>
      <c r="BI85" s="9"/>
      <c r="BJ85" s="9"/>
      <c r="BK85" s="9"/>
      <c r="BL85" s="9"/>
      <c r="BM85" s="9"/>
      <c r="BN85" s="9"/>
      <c r="BO85" s="9"/>
      <c r="BP85" s="9"/>
      <c r="BQ85" s="9"/>
      <c r="BR85" s="9"/>
      <c r="BS85" s="9"/>
      <c r="BT85" s="9"/>
      <c r="BU85" s="9"/>
      <c r="BV85" s="9"/>
      <c r="BW85" s="9"/>
      <c r="BX85" s="9"/>
      <c r="BY85" s="9"/>
      <c r="BZ85" s="9"/>
      <c r="CA85" s="9"/>
      <c r="CB85" s="9"/>
      <c r="CC85" s="9"/>
      <c r="CD85" s="9"/>
      <c r="CE85" s="9"/>
      <c r="CF85" s="9"/>
      <c r="CG85" s="9"/>
      <c r="CH85" s="9"/>
      <c r="CI85" s="9"/>
      <c r="CJ85" s="9"/>
      <c r="CK85" s="9"/>
      <c r="CL85" s="9"/>
      <c r="CM85" s="9"/>
      <c r="CN85" s="9"/>
      <c r="CO85" s="9"/>
      <c r="CP85" s="9"/>
      <c r="CQ85" s="9"/>
      <c r="CR85" s="9"/>
      <c r="CS85" s="9"/>
      <c r="CT85" s="9"/>
      <c r="CU85" s="9"/>
      <c r="CV85" s="9"/>
      <c r="CW85" s="9"/>
      <c r="CX85" s="9"/>
      <c r="CY85" s="9"/>
      <c r="CZ85" s="9"/>
      <c r="DA85" s="9"/>
      <c r="DB85" s="9"/>
      <c r="DC85" s="9"/>
      <c r="DD85" s="9"/>
      <c r="DE85" s="9"/>
      <c r="DF85" s="9"/>
      <c r="DG85" s="9"/>
      <c r="DH85" s="9"/>
      <c r="DI85" s="9"/>
      <c r="DJ85" s="9"/>
      <c r="DK85" s="9"/>
      <c r="DL85" s="9"/>
      <c r="DM85" s="9"/>
      <c r="DN85" s="9"/>
    </row>
    <row r="86" spans="1:118" ht="21" hidden="1" customHeight="1" outlineLevel="1" thickTop="1" thickBot="1" x14ac:dyDescent="0.3">
      <c r="B86" s="60"/>
      <c r="C86" s="44"/>
      <c r="D86" s="203" t="s">
        <v>64</v>
      </c>
      <c r="E86" s="62"/>
      <c r="F86" s="63"/>
      <c r="G86" s="41"/>
      <c r="H86" s="250" t="str">
        <f ca="1">_xll.DBRA(Server&amp;$D$20,$D86,"French")</f>
        <v>Téléphone mobile</v>
      </c>
      <c r="I86" s="250"/>
      <c r="J86" s="250"/>
      <c r="K86" s="150"/>
      <c r="L86" s="168">
        <f ca="1">_xll.DBRW(Server&amp;Cube1,$J$12,$L$13,$J$14,$L$1,$J$11,$J$15,$D86)</f>
        <v>-2217.89</v>
      </c>
      <c r="M86" s="168">
        <f ca="1">_xll.DBRW(Server&amp;Cube1,$J$12,$L$13,$J$14,$M$1,$J$11,$J$15,$D86)</f>
        <v>-4706</v>
      </c>
      <c r="N86" s="169">
        <f t="shared" ca="1" si="98"/>
        <v>2488.11</v>
      </c>
      <c r="O86" s="153">
        <f t="shared" ca="1" si="90"/>
        <v>-0.52871015724606885</v>
      </c>
      <c r="P86" s="138"/>
      <c r="Q86" s="168">
        <f ca="1">_xll.DBRW(Server&amp;Cube1,$J$12,$L$13,$J$14,$Q$1,$J$11,$J$15,$D86)</f>
        <v>0</v>
      </c>
      <c r="R86" s="169">
        <f t="shared" ca="1" si="88"/>
        <v>-2217.89</v>
      </c>
      <c r="S86" s="153" t="str">
        <f t="shared" ca="1" si="89"/>
        <v>-</v>
      </c>
      <c r="T86" s="138"/>
      <c r="U86" s="168">
        <f ca="1">_xll.DBRW(Server&amp;Cube1,$J$12,$L$13,$J$14,$U$1,$U$2,$J$15,$D86)</f>
        <v>-2797.55</v>
      </c>
      <c r="V86" s="169">
        <f t="shared" ca="1" si="91"/>
        <v>579.66000000000031</v>
      </c>
      <c r="W86" s="153">
        <f t="shared" ca="1" si="92"/>
        <v>-0.20720273096101957</v>
      </c>
      <c r="X86" s="65"/>
      <c r="Y86" s="31"/>
      <c r="Z86" s="9"/>
      <c r="AA86" s="66"/>
      <c r="AB86" s="66"/>
      <c r="AC86" s="9"/>
      <c r="AD86" s="9"/>
      <c r="AE86" s="9"/>
      <c r="AF86" s="9"/>
      <c r="AG86" s="9"/>
      <c r="AH86" s="9"/>
      <c r="AI86" s="9"/>
      <c r="AJ86" s="9"/>
      <c r="AK86" s="9"/>
      <c r="AL86" s="9"/>
      <c r="AM86" s="9"/>
      <c r="AN86" s="9"/>
      <c r="AO86" s="9"/>
      <c r="AP86" s="9"/>
      <c r="AQ86" s="9"/>
      <c r="AR86" s="9"/>
      <c r="AS86" s="9"/>
      <c r="AT86" s="9"/>
      <c r="AU86" s="9"/>
      <c r="AV86" s="9"/>
      <c r="AW86" s="9"/>
      <c r="AX86" s="9"/>
      <c r="AY86" s="9"/>
      <c r="AZ86" s="9"/>
      <c r="BA86" s="9"/>
      <c r="BB86" s="9"/>
      <c r="BC86" s="9"/>
      <c r="BD86" s="9"/>
      <c r="BE86" s="9"/>
      <c r="BF86" s="9"/>
      <c r="BG86" s="9"/>
      <c r="BH86" s="9"/>
      <c r="BI86" s="9"/>
      <c r="BJ86" s="9"/>
      <c r="BK86" s="9"/>
      <c r="BL86" s="9"/>
      <c r="BM86" s="9"/>
      <c r="BN86" s="9"/>
      <c r="BO86" s="9"/>
      <c r="BP86" s="9"/>
      <c r="BQ86" s="9"/>
      <c r="BR86" s="9"/>
      <c r="BS86" s="9"/>
      <c r="BT86" s="9"/>
      <c r="BU86" s="9"/>
      <c r="BV86" s="9"/>
      <c r="BW86" s="9"/>
      <c r="BX86" s="9"/>
      <c r="BY86" s="9"/>
      <c r="BZ86" s="9"/>
      <c r="CA86" s="9"/>
      <c r="CB86" s="9"/>
      <c r="CC86" s="9"/>
      <c r="CD86" s="9"/>
      <c r="CE86" s="9"/>
      <c r="CF86" s="9"/>
      <c r="CG86" s="9"/>
      <c r="CH86" s="9"/>
      <c r="CI86" s="9"/>
      <c r="CJ86" s="9"/>
      <c r="CK86" s="9"/>
      <c r="CL86" s="9"/>
      <c r="CM86" s="9"/>
      <c r="CN86" s="9"/>
      <c r="CO86" s="9"/>
      <c r="CP86" s="9"/>
      <c r="CQ86" s="9"/>
      <c r="CR86" s="9"/>
      <c r="CS86" s="9"/>
      <c r="CT86" s="9"/>
      <c r="CU86" s="9"/>
      <c r="CV86" s="9"/>
      <c r="CW86" s="9"/>
      <c r="CX86" s="9"/>
      <c r="CY86" s="9"/>
      <c r="CZ86" s="9"/>
      <c r="DA86" s="9"/>
      <c r="DB86" s="9"/>
      <c r="DC86" s="9"/>
      <c r="DD86" s="9"/>
      <c r="DE86" s="9"/>
      <c r="DF86" s="9"/>
      <c r="DG86" s="9"/>
      <c r="DH86" s="9"/>
      <c r="DI86" s="9"/>
      <c r="DJ86" s="9"/>
      <c r="DK86" s="9"/>
      <c r="DL86" s="9"/>
      <c r="DM86" s="9"/>
      <c r="DN86" s="9"/>
    </row>
    <row r="87" spans="1:118" s="37" customFormat="1" ht="23.25" customHeight="1" collapsed="1" thickTop="1" thickBot="1" x14ac:dyDescent="0.3">
      <c r="A87" s="10"/>
      <c r="B87" s="1"/>
      <c r="C87" s="44"/>
      <c r="D87" s="206" t="s">
        <v>65</v>
      </c>
      <c r="E87" s="68"/>
      <c r="F87" s="69"/>
      <c r="G87" s="234" t="str">
        <f ca="1">_xll.DBRA(Server&amp;$D$20,$D87,"French")</f>
        <v>Honoraires</v>
      </c>
      <c r="H87" s="234" t="str">
        <f ca="1">_xll.DBRA(Server&amp;$D$20,$D87,"French")</f>
        <v>Honoraires</v>
      </c>
      <c r="I87" s="234"/>
      <c r="J87" s="234"/>
      <c r="K87" s="154" t="s">
        <v>3</v>
      </c>
      <c r="L87" s="165">
        <f ca="1">_xll.DBRW(Server&amp;Cube1,$J$12,$L$13,$J$14,$L$1,$J$11,$J$15,$D87)</f>
        <v>-139059.82999999999</v>
      </c>
      <c r="M87" s="165">
        <f ca="1">_xll.DBRW(Server&amp;Cube1,$J$12,$L$13,$J$14,$M$1,$J$11,$J$15,$D87)</f>
        <v>-138542.00000000003</v>
      </c>
      <c r="N87" s="166">
        <f t="shared" ca="1" si="98"/>
        <v>-517.82999999995809</v>
      </c>
      <c r="O87" s="167">
        <f t="shared" ca="1" si="90"/>
        <v>3.7377113077619638E-3</v>
      </c>
      <c r="P87" s="132"/>
      <c r="Q87" s="165">
        <f ca="1">_xll.DBRW(Server&amp;Cube1,$J$12,$L$13,$J$14,$Q$1,$J$11,$J$15,$D87)</f>
        <v>0</v>
      </c>
      <c r="R87" s="166">
        <f t="shared" ca="1" si="88"/>
        <v>-139059.82999999999</v>
      </c>
      <c r="S87" s="167" t="str">
        <f t="shared" ca="1" si="89"/>
        <v>-</v>
      </c>
      <c r="T87" s="132"/>
      <c r="U87" s="165">
        <f ca="1">_xll.DBRW(Server&amp;Cube1,$J$12,$L$13,$J$14,$U$1,$U$2,$J$15,$D87)</f>
        <v>-137065.26999999999</v>
      </c>
      <c r="V87" s="166">
        <f t="shared" ca="1" si="91"/>
        <v>-1994.5599999999977</v>
      </c>
      <c r="W87" s="167">
        <f t="shared" ca="1" si="92"/>
        <v>1.4551899252086234E-2</v>
      </c>
      <c r="X87" s="64"/>
      <c r="Y87" s="31"/>
      <c r="Z87" s="9"/>
      <c r="AA87" s="9"/>
      <c r="AB87" s="9"/>
      <c r="AC87" s="9"/>
      <c r="AD87" s="9"/>
      <c r="AE87" s="9"/>
      <c r="AF87" s="9"/>
      <c r="AG87" s="9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  <c r="BF87" s="9"/>
      <c r="BG87" s="9"/>
      <c r="BH87" s="9"/>
      <c r="BI87" s="9"/>
      <c r="BJ87" s="9"/>
      <c r="BK87" s="9"/>
      <c r="BL87" s="9"/>
      <c r="BM87" s="9"/>
      <c r="BN87" s="9"/>
      <c r="BO87" s="9"/>
      <c r="BP87" s="9"/>
      <c r="BQ87" s="9"/>
      <c r="BR87" s="9"/>
      <c r="BS87" s="9"/>
      <c r="BT87" s="9"/>
      <c r="BU87" s="9"/>
      <c r="BV87" s="9"/>
      <c r="BW87" s="9"/>
      <c r="BX87" s="9"/>
      <c r="BY87" s="9"/>
      <c r="BZ87" s="9"/>
      <c r="CA87" s="9"/>
      <c r="CB87" s="9"/>
      <c r="CC87" s="9"/>
      <c r="CD87" s="9"/>
      <c r="CE87" s="9"/>
      <c r="CF87" s="9"/>
      <c r="CG87" s="9"/>
      <c r="CH87" s="9"/>
      <c r="CI87" s="9"/>
      <c r="CJ87" s="9"/>
      <c r="CK87" s="9"/>
      <c r="CL87" s="9"/>
      <c r="CM87" s="9"/>
      <c r="CN87" s="9"/>
      <c r="CO87" s="9"/>
      <c r="CP87" s="9"/>
      <c r="CQ87" s="9"/>
      <c r="CR87" s="9"/>
      <c r="CS87" s="9"/>
      <c r="CT87" s="9"/>
      <c r="CU87" s="9"/>
      <c r="CV87" s="9"/>
      <c r="CW87" s="9"/>
      <c r="CX87" s="9"/>
      <c r="CY87" s="9"/>
      <c r="CZ87" s="9"/>
      <c r="DA87" s="9"/>
      <c r="DB87" s="9"/>
      <c r="DC87" s="9"/>
      <c r="DD87" s="9"/>
      <c r="DE87" s="9"/>
      <c r="DF87" s="9"/>
      <c r="DG87" s="9"/>
      <c r="DH87" s="9"/>
      <c r="DI87" s="9"/>
      <c r="DJ87" s="9"/>
      <c r="DK87" s="9"/>
      <c r="DL87" s="9"/>
      <c r="DM87" s="9"/>
      <c r="DN87" s="9"/>
    </row>
    <row r="88" spans="1:118" ht="21" hidden="1" customHeight="1" outlineLevel="1" x14ac:dyDescent="0.25">
      <c r="B88" s="60"/>
      <c r="C88" s="44"/>
      <c r="D88" s="203" t="s">
        <v>106</v>
      </c>
      <c r="E88" s="62"/>
      <c r="F88" s="63"/>
      <c r="G88" s="41"/>
      <c r="H88" s="232" t="str">
        <f ca="1">_xll.DBRA(Server&amp;$D$20,$D88,"French")</f>
        <v>Assistance comptable et financière</v>
      </c>
      <c r="I88" s="232"/>
      <c r="J88" s="232"/>
      <c r="K88" s="150"/>
      <c r="L88" s="151">
        <f ca="1">_xll.DBRW(Server&amp;Cube1,$J$12,$L$13,$J$14,$L$1,$J$11,$J$15,$D88)</f>
        <v>-129558.65</v>
      </c>
      <c r="M88" s="151">
        <f ca="1">_xll.DBRW(Server&amp;Cube1,$J$12,$L$13,$J$14,$M$1,$J$11,$J$15,$D88)</f>
        <v>-133491</v>
      </c>
      <c r="N88" s="152">
        <f t="shared" ref="N88:N126" ca="1" si="119">L88-M88</f>
        <v>3932.3500000000058</v>
      </c>
      <c r="O88" s="153">
        <f t="shared" ca="1" si="90"/>
        <v>-2.9457791161951036E-2</v>
      </c>
      <c r="P88" s="138"/>
      <c r="Q88" s="151">
        <f ca="1">_xll.DBRW(Server&amp;Cube1,$J$12,$L$13,$J$14,$Q$1,$J$11,$J$15,$D88)</f>
        <v>0</v>
      </c>
      <c r="R88" s="152">
        <f t="shared" ca="1" si="88"/>
        <v>-129558.65</v>
      </c>
      <c r="S88" s="153" t="str">
        <f t="shared" ca="1" si="89"/>
        <v>-</v>
      </c>
      <c r="T88" s="138"/>
      <c r="U88" s="151">
        <f ca="1">_xll.DBRW(Server&amp;Cube1,$J$12,$L$13,$J$14,$U$1,$U$2,$J$15,$D88)</f>
        <v>-124558.79</v>
      </c>
      <c r="V88" s="152">
        <f t="shared" ca="1" si="91"/>
        <v>-4999.8600000000006</v>
      </c>
      <c r="W88" s="153">
        <f t="shared" ca="1" si="92"/>
        <v>4.0140563343622725E-2</v>
      </c>
      <c r="X88" s="65"/>
      <c r="Y88" s="31"/>
      <c r="Z88" s="9"/>
      <c r="AA88" s="66"/>
      <c r="AB88" s="66"/>
      <c r="AC88" s="9"/>
      <c r="AD88" s="9"/>
      <c r="AE88" s="9"/>
      <c r="AF88" s="9"/>
      <c r="AG88" s="9"/>
      <c r="AH88" s="9"/>
      <c r="AI88" s="9"/>
      <c r="AJ88" s="9"/>
      <c r="AK88" s="9"/>
      <c r="AL88" s="9"/>
      <c r="AM88" s="9"/>
      <c r="AN88" s="9"/>
      <c r="AO88" s="9"/>
      <c r="AP88" s="9"/>
      <c r="AQ88" s="9"/>
      <c r="AR88" s="9"/>
      <c r="AS88" s="9"/>
      <c r="AT88" s="9"/>
      <c r="AU88" s="9"/>
      <c r="AV88" s="9"/>
      <c r="AW88" s="9"/>
      <c r="AX88" s="9"/>
      <c r="AY88" s="9"/>
      <c r="AZ88" s="9"/>
      <c r="BA88" s="9"/>
      <c r="BB88" s="9"/>
      <c r="BC88" s="9"/>
      <c r="BD88" s="9"/>
      <c r="BE88" s="9"/>
      <c r="BF88" s="9"/>
      <c r="BG88" s="9"/>
      <c r="BH88" s="9"/>
      <c r="BI88" s="9"/>
      <c r="BJ88" s="9"/>
      <c r="BK88" s="9"/>
      <c r="BL88" s="9"/>
      <c r="BM88" s="9"/>
      <c r="BN88" s="9"/>
      <c r="BO88" s="9"/>
      <c r="BP88" s="9"/>
      <c r="BQ88" s="9"/>
      <c r="BR88" s="9"/>
      <c r="BS88" s="9"/>
      <c r="BT88" s="9"/>
      <c r="BU88" s="9"/>
      <c r="BV88" s="9"/>
      <c r="BW88" s="9"/>
      <c r="BX88" s="9"/>
      <c r="BY88" s="9"/>
      <c r="BZ88" s="9"/>
      <c r="CA88" s="9"/>
      <c r="CB88" s="9"/>
      <c r="CC88" s="9"/>
      <c r="CD88" s="9"/>
      <c r="CE88" s="9"/>
      <c r="CF88" s="9"/>
      <c r="CG88" s="9"/>
      <c r="CH88" s="9"/>
      <c r="CI88" s="9"/>
      <c r="CJ88" s="9"/>
      <c r="CK88" s="9"/>
      <c r="CL88" s="9"/>
      <c r="CM88" s="9"/>
      <c r="CN88" s="9"/>
      <c r="CO88" s="9"/>
      <c r="CP88" s="9"/>
      <c r="CQ88" s="9"/>
      <c r="CR88" s="9"/>
      <c r="CS88" s="9"/>
      <c r="CT88" s="9"/>
      <c r="CU88" s="9"/>
      <c r="CV88" s="9"/>
      <c r="CW88" s="9"/>
      <c r="CX88" s="9"/>
      <c r="CY88" s="9"/>
      <c r="CZ88" s="9"/>
      <c r="DA88" s="9"/>
      <c r="DB88" s="9"/>
      <c r="DC88" s="9"/>
      <c r="DD88" s="9"/>
      <c r="DE88" s="9"/>
      <c r="DF88" s="9"/>
      <c r="DG88" s="9"/>
      <c r="DH88" s="9"/>
      <c r="DI88" s="9"/>
      <c r="DJ88" s="9"/>
      <c r="DK88" s="9"/>
      <c r="DL88" s="9"/>
      <c r="DM88" s="9"/>
      <c r="DN88" s="9"/>
    </row>
    <row r="89" spans="1:118" ht="21" hidden="1" customHeight="1" outlineLevel="1" x14ac:dyDescent="0.25">
      <c r="B89" s="60"/>
      <c r="C89" s="44"/>
      <c r="D89" s="214" t="s">
        <v>107</v>
      </c>
      <c r="E89" s="62"/>
      <c r="F89" s="63"/>
      <c r="G89" s="41"/>
      <c r="H89" s="219" t="str">
        <f ca="1">_xll.DBRA(Server&amp;$D$20,$D89,"French")</f>
        <v>Honoraires CAC</v>
      </c>
      <c r="I89" s="219"/>
      <c r="J89" s="219"/>
      <c r="K89" s="150"/>
      <c r="L89" s="151">
        <f ca="1">_xll.DBRW(Server&amp;Cube1,$J$12,$L$13,$J$14,$L$1,$J$11,$J$15,$D89)</f>
        <v>-5885</v>
      </c>
      <c r="M89" s="151">
        <f ca="1">_xll.DBRW(Server&amp;Cube1,$J$12,$L$13,$J$14,$M$1,$J$11,$J$15,$D89)</f>
        <v>-4851</v>
      </c>
      <c r="N89" s="152">
        <f t="shared" ref="N89" ca="1" si="120">L89-M89</f>
        <v>-1034</v>
      </c>
      <c r="O89" s="153">
        <f t="shared" ref="O89" ca="1" si="121">IF(ISERROR(N89/M89),"-",N89/M89)</f>
        <v>0.21315192743764172</v>
      </c>
      <c r="P89" s="138"/>
      <c r="Q89" s="151">
        <f ca="1">_xll.DBRW(Server&amp;Cube1,$J$12,$L$13,$J$14,$Q$1,$J$11,$J$15,$D89)</f>
        <v>0</v>
      </c>
      <c r="R89" s="152">
        <f t="shared" ref="R89" ca="1" si="122">L89-Q89</f>
        <v>-5885</v>
      </c>
      <c r="S89" s="153" t="str">
        <f t="shared" ref="S89" ca="1" si="123">IF(ISERROR(R89/Q89),"-",R89/Q89)</f>
        <v>-</v>
      </c>
      <c r="T89" s="138"/>
      <c r="U89" s="151">
        <f ca="1">_xll.DBRW(Server&amp;Cube1,$J$12,$L$13,$J$14,$U$1,$U$2,$J$15,$D89)</f>
        <v>-3998</v>
      </c>
      <c r="V89" s="152">
        <f t="shared" ref="V89" ca="1" si="124">L89-U89</f>
        <v>-1887</v>
      </c>
      <c r="W89" s="153">
        <f t="shared" ref="W89" ca="1" si="125">IF(ISERROR(V89/U89),"-",V89/U89)</f>
        <v>0.47198599299649824</v>
      </c>
      <c r="X89" s="65"/>
      <c r="Y89" s="31"/>
      <c r="Z89" s="9"/>
      <c r="AA89" s="66"/>
      <c r="AB89" s="66"/>
      <c r="AC89" s="9"/>
      <c r="AD89" s="9"/>
      <c r="AE89" s="9"/>
      <c r="AF89" s="9"/>
      <c r="AG89" s="9"/>
      <c r="AH89" s="9"/>
      <c r="AI89" s="9"/>
      <c r="AJ89" s="9"/>
      <c r="AK89" s="9"/>
      <c r="AL89" s="9"/>
      <c r="AM89" s="9"/>
      <c r="AN89" s="9"/>
      <c r="AO89" s="9"/>
      <c r="AP89" s="9"/>
      <c r="AQ89" s="9"/>
      <c r="AR89" s="9"/>
      <c r="AS89" s="9"/>
      <c r="AT89" s="9"/>
      <c r="AU89" s="9"/>
      <c r="AV89" s="9"/>
      <c r="AW89" s="9"/>
      <c r="AX89" s="9"/>
      <c r="AY89" s="9"/>
      <c r="AZ89" s="9"/>
      <c r="BA89" s="9"/>
      <c r="BB89" s="9"/>
      <c r="BC89" s="9"/>
      <c r="BD89" s="9"/>
      <c r="BE89" s="9"/>
      <c r="BF89" s="9"/>
      <c r="BG89" s="9"/>
      <c r="BH89" s="9"/>
      <c r="BI89" s="9"/>
      <c r="BJ89" s="9"/>
      <c r="BK89" s="9"/>
      <c r="BL89" s="9"/>
      <c r="BM89" s="9"/>
      <c r="BN89" s="9"/>
      <c r="BO89" s="9"/>
      <c r="BP89" s="9"/>
      <c r="BQ89" s="9"/>
      <c r="BR89" s="9"/>
      <c r="BS89" s="9"/>
      <c r="BT89" s="9"/>
      <c r="BU89" s="9"/>
      <c r="BV89" s="9"/>
      <c r="BW89" s="9"/>
      <c r="BX89" s="9"/>
      <c r="BY89" s="9"/>
      <c r="BZ89" s="9"/>
      <c r="CA89" s="9"/>
      <c r="CB89" s="9"/>
      <c r="CC89" s="9"/>
      <c r="CD89" s="9"/>
      <c r="CE89" s="9"/>
      <c r="CF89" s="9"/>
      <c r="CG89" s="9"/>
      <c r="CH89" s="9"/>
      <c r="CI89" s="9"/>
      <c r="CJ89" s="9"/>
      <c r="CK89" s="9"/>
      <c r="CL89" s="9"/>
      <c r="CM89" s="9"/>
      <c r="CN89" s="9"/>
      <c r="CO89" s="9"/>
      <c r="CP89" s="9"/>
      <c r="CQ89" s="9"/>
      <c r="CR89" s="9"/>
      <c r="CS89" s="9"/>
      <c r="CT89" s="9"/>
      <c r="CU89" s="9"/>
      <c r="CV89" s="9"/>
      <c r="CW89" s="9"/>
      <c r="CX89" s="9"/>
      <c r="CY89" s="9"/>
      <c r="CZ89" s="9"/>
      <c r="DA89" s="9"/>
      <c r="DB89" s="9"/>
      <c r="DC89" s="9"/>
      <c r="DD89" s="9"/>
      <c r="DE89" s="9"/>
      <c r="DF89" s="9"/>
      <c r="DG89" s="9"/>
      <c r="DH89" s="9"/>
      <c r="DI89" s="9"/>
      <c r="DJ89" s="9"/>
      <c r="DK89" s="9"/>
      <c r="DL89" s="9"/>
      <c r="DM89" s="9"/>
      <c r="DN89" s="9"/>
    </row>
    <row r="90" spans="1:118" ht="21" hidden="1" customHeight="1" outlineLevel="1" x14ac:dyDescent="0.25">
      <c r="B90" s="60"/>
      <c r="C90" s="44"/>
      <c r="D90" s="214" t="s">
        <v>111</v>
      </c>
      <c r="E90" s="62"/>
      <c r="F90" s="63"/>
      <c r="G90" s="41"/>
      <c r="H90" s="219" t="str">
        <f ca="1">_xll.DBRA(Server&amp;$D$20,$D90,"French")</f>
        <v>Honoraires - Conseils</v>
      </c>
      <c r="I90" s="219"/>
      <c r="J90" s="219"/>
      <c r="K90" s="150"/>
      <c r="L90" s="151">
        <f ca="1">_xll.DBRW(Server&amp;Cube1,$J$12,$L$13,$J$14,$L$1,$J$11,$J$15,$D90)</f>
        <v>-3360</v>
      </c>
      <c r="M90" s="151">
        <f ca="1">_xll.DBRW(Server&amp;Cube1,$J$12,$L$13,$J$14,$M$1,$J$11,$J$15,$D90)</f>
        <v>0</v>
      </c>
      <c r="N90" s="152">
        <f t="shared" ref="N90" ca="1" si="126">L90-M90</f>
        <v>-3360</v>
      </c>
      <c r="O90" s="153" t="str">
        <f t="shared" ref="O90" ca="1" si="127">IF(ISERROR(N90/M90),"-",N90/M90)</f>
        <v>-</v>
      </c>
      <c r="P90" s="138"/>
      <c r="Q90" s="151">
        <f ca="1">_xll.DBRW(Server&amp;Cube1,$J$12,$L$13,$J$14,$Q$1,$J$11,$J$15,$D90)</f>
        <v>0</v>
      </c>
      <c r="R90" s="152">
        <f t="shared" ref="R90" ca="1" si="128">L90-Q90</f>
        <v>-3360</v>
      </c>
      <c r="S90" s="153" t="str">
        <f t="shared" ref="S90" ca="1" si="129">IF(ISERROR(R90/Q90),"-",R90/Q90)</f>
        <v>-</v>
      </c>
      <c r="T90" s="138"/>
      <c r="U90" s="151">
        <f ca="1">_xll.DBRW(Server&amp;Cube1,$J$12,$L$13,$J$14,$U$1,$U$2,$J$15,$D90)</f>
        <v>-8508.48</v>
      </c>
      <c r="V90" s="152">
        <f t="shared" ref="V90" ca="1" si="130">L90-U90</f>
        <v>5148.4799999999996</v>
      </c>
      <c r="W90" s="153">
        <f t="shared" ref="W90" ca="1" si="131">IF(ISERROR(V90/U90),"-",V90/U90)</f>
        <v>-0.60509985332280269</v>
      </c>
      <c r="X90" s="65"/>
      <c r="Y90" s="31"/>
      <c r="Z90" s="9"/>
      <c r="AA90" s="66"/>
      <c r="AB90" s="66"/>
      <c r="AC90" s="9"/>
      <c r="AD90" s="9"/>
      <c r="AE90" s="9"/>
      <c r="AF90" s="9"/>
      <c r="AG90" s="9"/>
      <c r="AH90" s="9"/>
      <c r="AI90" s="9"/>
      <c r="AJ90" s="9"/>
      <c r="AK90" s="9"/>
      <c r="AL90" s="9"/>
      <c r="AM90" s="9"/>
      <c r="AN90" s="9"/>
      <c r="AO90" s="9"/>
      <c r="AP90" s="9"/>
      <c r="AQ90" s="9"/>
      <c r="AR90" s="9"/>
      <c r="AS90" s="9"/>
      <c r="AT90" s="9"/>
      <c r="AU90" s="9"/>
      <c r="AV90" s="9"/>
      <c r="AW90" s="9"/>
      <c r="AX90" s="9"/>
      <c r="AY90" s="9"/>
      <c r="AZ90" s="9"/>
      <c r="BA90" s="9"/>
      <c r="BB90" s="9"/>
      <c r="BC90" s="9"/>
      <c r="BD90" s="9"/>
      <c r="BE90" s="9"/>
      <c r="BF90" s="9"/>
      <c r="BG90" s="9"/>
      <c r="BH90" s="9"/>
      <c r="BI90" s="9"/>
      <c r="BJ90" s="9"/>
      <c r="BK90" s="9"/>
      <c r="BL90" s="9"/>
      <c r="BM90" s="9"/>
      <c r="BN90" s="9"/>
      <c r="BO90" s="9"/>
      <c r="BP90" s="9"/>
      <c r="BQ90" s="9"/>
      <c r="BR90" s="9"/>
      <c r="BS90" s="9"/>
      <c r="BT90" s="9"/>
      <c r="BU90" s="9"/>
      <c r="BV90" s="9"/>
      <c r="BW90" s="9"/>
      <c r="BX90" s="9"/>
      <c r="BY90" s="9"/>
      <c r="BZ90" s="9"/>
      <c r="CA90" s="9"/>
      <c r="CB90" s="9"/>
      <c r="CC90" s="9"/>
      <c r="CD90" s="9"/>
      <c r="CE90" s="9"/>
      <c r="CF90" s="9"/>
      <c r="CG90" s="9"/>
      <c r="CH90" s="9"/>
      <c r="CI90" s="9"/>
      <c r="CJ90" s="9"/>
      <c r="CK90" s="9"/>
      <c r="CL90" s="9"/>
      <c r="CM90" s="9"/>
      <c r="CN90" s="9"/>
      <c r="CO90" s="9"/>
      <c r="CP90" s="9"/>
      <c r="CQ90" s="9"/>
      <c r="CR90" s="9"/>
      <c r="CS90" s="9"/>
      <c r="CT90" s="9"/>
      <c r="CU90" s="9"/>
      <c r="CV90" s="9"/>
      <c r="CW90" s="9"/>
      <c r="CX90" s="9"/>
      <c r="CY90" s="9"/>
      <c r="CZ90" s="9"/>
      <c r="DA90" s="9"/>
      <c r="DB90" s="9"/>
      <c r="DC90" s="9"/>
      <c r="DD90" s="9"/>
      <c r="DE90" s="9"/>
      <c r="DF90" s="9"/>
      <c r="DG90" s="9"/>
      <c r="DH90" s="9"/>
      <c r="DI90" s="9"/>
      <c r="DJ90" s="9"/>
      <c r="DK90" s="9"/>
      <c r="DL90" s="9"/>
      <c r="DM90" s="9"/>
      <c r="DN90" s="9"/>
    </row>
    <row r="91" spans="1:118" ht="21" hidden="1" customHeight="1" outlineLevel="1" thickBot="1" x14ac:dyDescent="0.3">
      <c r="B91" s="60"/>
      <c r="C91" s="44"/>
      <c r="D91" s="203" t="s">
        <v>66</v>
      </c>
      <c r="E91" s="62"/>
      <c r="F91" s="63"/>
      <c r="G91" s="41"/>
      <c r="H91" s="232" t="str">
        <f ca="1">_xll.DBRA(Server&amp;$D$20,$D91,"French")</f>
        <v>Frais d'actes et de contentieux publications et divers</v>
      </c>
      <c r="I91" s="232"/>
      <c r="J91" s="232"/>
      <c r="K91" s="150"/>
      <c r="L91" s="168">
        <f ca="1">_xll.DBRW(Server&amp;Cube1,$J$12,$L$13,$J$14,$L$1,$J$11,$J$15,$D91)</f>
        <v>-256.18</v>
      </c>
      <c r="M91" s="168">
        <f ca="1">_xll.DBRW(Server&amp;Cube1,$J$12,$L$13,$J$14,$M$1,$J$11,$J$15,$D91)</f>
        <v>-199.99999999999997</v>
      </c>
      <c r="N91" s="169">
        <f t="shared" ca="1" si="119"/>
        <v>-56.180000000000035</v>
      </c>
      <c r="O91" s="153">
        <f t="shared" ca="1" si="90"/>
        <v>0.28090000000000021</v>
      </c>
      <c r="P91" s="138"/>
      <c r="Q91" s="168">
        <f ca="1">_xll.DBRW(Server&amp;Cube1,$J$12,$L$13,$J$14,$Q$1,$J$11,$J$15,$D91)</f>
        <v>0</v>
      </c>
      <c r="R91" s="169">
        <f t="shared" ca="1" si="88"/>
        <v>-256.18</v>
      </c>
      <c r="S91" s="153" t="str">
        <f t="shared" ca="1" si="89"/>
        <v>-</v>
      </c>
      <c r="T91" s="138"/>
      <c r="U91" s="168">
        <f ca="1">_xll.DBRW(Server&amp;Cube1,$J$12,$L$13,$J$14,$U$1,$U$2,$J$15,$D91)</f>
        <v>0</v>
      </c>
      <c r="V91" s="169">
        <f t="shared" ca="1" si="91"/>
        <v>-256.18</v>
      </c>
      <c r="W91" s="153" t="str">
        <f t="shared" ca="1" si="92"/>
        <v>-</v>
      </c>
      <c r="X91" s="65"/>
      <c r="Y91" s="31"/>
      <c r="Z91" s="9"/>
      <c r="AA91" s="66"/>
      <c r="AB91" s="66"/>
      <c r="AC91" s="9"/>
      <c r="AD91" s="9"/>
      <c r="AE91" s="9"/>
      <c r="AF91" s="9"/>
      <c r="AG91" s="9"/>
      <c r="AH91" s="9"/>
      <c r="AI91" s="9"/>
      <c r="AJ91" s="9"/>
      <c r="AK91" s="9"/>
      <c r="AL91" s="9"/>
      <c r="AM91" s="9"/>
      <c r="AN91" s="9"/>
      <c r="AO91" s="9"/>
      <c r="AP91" s="9"/>
      <c r="AQ91" s="9"/>
      <c r="AR91" s="9"/>
      <c r="AS91" s="9"/>
      <c r="AT91" s="9"/>
      <c r="AU91" s="9"/>
      <c r="AV91" s="9"/>
      <c r="AW91" s="9"/>
      <c r="AX91" s="9"/>
      <c r="AY91" s="9"/>
      <c r="AZ91" s="9"/>
      <c r="BA91" s="9"/>
      <c r="BB91" s="9"/>
      <c r="BC91" s="9"/>
      <c r="BD91" s="9"/>
      <c r="BE91" s="9"/>
      <c r="BF91" s="9"/>
      <c r="BG91" s="9"/>
      <c r="BH91" s="9"/>
      <c r="BI91" s="9"/>
      <c r="BJ91" s="9"/>
      <c r="BK91" s="9"/>
      <c r="BL91" s="9"/>
      <c r="BM91" s="9"/>
      <c r="BN91" s="9"/>
      <c r="BO91" s="9"/>
      <c r="BP91" s="9"/>
      <c r="BQ91" s="9"/>
      <c r="BR91" s="9"/>
      <c r="BS91" s="9"/>
      <c r="BT91" s="9"/>
      <c r="BU91" s="9"/>
      <c r="BV91" s="9"/>
      <c r="BW91" s="9"/>
      <c r="BX91" s="9"/>
      <c r="BY91" s="9"/>
      <c r="BZ91" s="9"/>
      <c r="CA91" s="9"/>
      <c r="CB91" s="9"/>
      <c r="CC91" s="9"/>
      <c r="CD91" s="9"/>
      <c r="CE91" s="9"/>
      <c r="CF91" s="9"/>
      <c r="CG91" s="9"/>
      <c r="CH91" s="9"/>
      <c r="CI91" s="9"/>
      <c r="CJ91" s="9"/>
      <c r="CK91" s="9"/>
      <c r="CL91" s="9"/>
      <c r="CM91" s="9"/>
      <c r="CN91" s="9"/>
      <c r="CO91" s="9"/>
      <c r="CP91" s="9"/>
      <c r="CQ91" s="9"/>
      <c r="CR91" s="9"/>
      <c r="CS91" s="9"/>
      <c r="CT91" s="9"/>
      <c r="CU91" s="9"/>
      <c r="CV91" s="9"/>
      <c r="CW91" s="9"/>
      <c r="CX91" s="9"/>
      <c r="CY91" s="9"/>
      <c r="CZ91" s="9"/>
      <c r="DA91" s="9"/>
      <c r="DB91" s="9"/>
      <c r="DC91" s="9"/>
      <c r="DD91" s="9"/>
      <c r="DE91" s="9"/>
      <c r="DF91" s="9"/>
      <c r="DG91" s="9"/>
      <c r="DH91" s="9"/>
      <c r="DI91" s="9"/>
      <c r="DJ91" s="9"/>
      <c r="DK91" s="9"/>
      <c r="DL91" s="9"/>
      <c r="DM91" s="9"/>
      <c r="DN91" s="9"/>
    </row>
    <row r="92" spans="1:118" s="37" customFormat="1" ht="23.25" customHeight="1" collapsed="1" thickTop="1" x14ac:dyDescent="0.25">
      <c r="A92" s="221"/>
      <c r="C92" s="44"/>
      <c r="D92" s="206" t="s">
        <v>67</v>
      </c>
      <c r="E92" s="68"/>
      <c r="F92" s="69"/>
      <c r="G92" s="234" t="str">
        <f ca="1">_xll.DBRA(Server&amp;$D$20,$D92,"French")</f>
        <v>Autres frais</v>
      </c>
      <c r="H92" s="234" t="str">
        <f ca="1">_xll.DBRA(Server&amp;$D$20,$D92,"French")</f>
        <v>Autres frais</v>
      </c>
      <c r="I92" s="234"/>
      <c r="J92" s="234"/>
      <c r="K92" s="154" t="s">
        <v>3</v>
      </c>
      <c r="L92" s="165">
        <f ca="1">SUM(L93:L127)</f>
        <v>-355419.46000000008</v>
      </c>
      <c r="M92" s="165">
        <f ca="1">SUM(M93:M127)</f>
        <v>-416155.99999999988</v>
      </c>
      <c r="N92" s="165">
        <f ca="1">SUM(N93:N127)</f>
        <v>60736.539999999877</v>
      </c>
      <c r="O92" s="167">
        <f ca="1">IF(ISERROR(N92/M92),"-",N92/M92)</f>
        <v>-0.14594656811388013</v>
      </c>
      <c r="P92" s="132"/>
      <c r="Q92" s="165">
        <f ca="1">SUM(Q93:Q127)</f>
        <v>0</v>
      </c>
      <c r="R92" s="166">
        <f t="shared" ca="1" si="88"/>
        <v>-355419.46000000008</v>
      </c>
      <c r="S92" s="167" t="str">
        <f t="shared" ca="1" si="89"/>
        <v>-</v>
      </c>
      <c r="T92" s="132"/>
      <c r="U92" s="165">
        <f ca="1">SUM(U93:U127)</f>
        <v>-488774.44999999995</v>
      </c>
      <c r="V92" s="166">
        <f ca="1">SUM(V93:V127)</f>
        <v>133354.98999999996</v>
      </c>
      <c r="W92" s="167">
        <f ca="1">IF(ISERROR(V92/U92),"-",V92/U92)</f>
        <v>-0.27283543564930607</v>
      </c>
      <c r="X92" s="64"/>
      <c r="Y92" s="31"/>
      <c r="Z92" s="9"/>
      <c r="AA92" s="9"/>
      <c r="AB92" s="9"/>
      <c r="AC92" s="9"/>
      <c r="AD92" s="9"/>
      <c r="AE92" s="9"/>
      <c r="AF92" s="9"/>
      <c r="AG92" s="9"/>
      <c r="AH92" s="9"/>
      <c r="AI92" s="9"/>
      <c r="AJ92" s="9"/>
      <c r="AK92" s="9"/>
      <c r="AL92" s="9"/>
      <c r="AM92" s="9"/>
      <c r="AN92" s="9"/>
      <c r="AO92" s="9"/>
      <c r="AP92" s="9"/>
      <c r="AQ92" s="9"/>
      <c r="AR92" s="9"/>
      <c r="AS92" s="9"/>
      <c r="AT92" s="9"/>
      <c r="AU92" s="9"/>
      <c r="AV92" s="9"/>
      <c r="AW92" s="9"/>
      <c r="AX92" s="9"/>
      <c r="AY92" s="9"/>
      <c r="AZ92" s="9"/>
      <c r="BA92" s="9"/>
      <c r="BB92" s="9"/>
      <c r="BC92" s="9"/>
      <c r="BD92" s="9"/>
      <c r="BE92" s="9"/>
      <c r="BF92" s="9"/>
      <c r="BG92" s="9"/>
      <c r="BH92" s="9"/>
      <c r="BI92" s="9"/>
      <c r="BJ92" s="9"/>
      <c r="BK92" s="9"/>
      <c r="BL92" s="9"/>
      <c r="BM92" s="9"/>
      <c r="BN92" s="9"/>
      <c r="BO92" s="9"/>
      <c r="BP92" s="9"/>
      <c r="BQ92" s="9"/>
      <c r="BR92" s="9"/>
      <c r="BS92" s="9"/>
      <c r="BT92" s="9"/>
      <c r="BU92" s="9"/>
      <c r="BV92" s="9"/>
      <c r="BW92" s="9"/>
      <c r="BX92" s="9"/>
      <c r="BY92" s="9"/>
      <c r="BZ92" s="9"/>
      <c r="CA92" s="9"/>
      <c r="CB92" s="9"/>
      <c r="CC92" s="9"/>
      <c r="CD92" s="9"/>
      <c r="CE92" s="9"/>
      <c r="CF92" s="9"/>
      <c r="CG92" s="9"/>
      <c r="CH92" s="9"/>
      <c r="CI92" s="9"/>
      <c r="CJ92" s="9"/>
      <c r="CK92" s="9"/>
      <c r="CL92" s="9"/>
      <c r="CM92" s="9"/>
      <c r="CN92" s="9"/>
      <c r="CO92" s="9"/>
      <c r="CP92" s="9"/>
      <c r="CQ92" s="9"/>
      <c r="CR92" s="9"/>
      <c r="CS92" s="9"/>
      <c r="CT92" s="9"/>
      <c r="CU92" s="9"/>
      <c r="CV92" s="9"/>
      <c r="CW92" s="9"/>
      <c r="CX92" s="9"/>
      <c r="CY92" s="9"/>
      <c r="CZ92" s="9"/>
      <c r="DA92" s="9"/>
      <c r="DB92" s="9"/>
      <c r="DC92" s="9"/>
      <c r="DD92" s="9"/>
      <c r="DE92" s="9"/>
      <c r="DF92" s="9"/>
      <c r="DG92" s="9"/>
      <c r="DH92" s="9"/>
      <c r="DI92" s="9"/>
      <c r="DJ92" s="9"/>
      <c r="DK92" s="9"/>
      <c r="DL92" s="9"/>
      <c r="DM92" s="9"/>
      <c r="DN92" s="9"/>
    </row>
    <row r="93" spans="1:118" ht="21" hidden="1" customHeight="1" outlineLevel="1" x14ac:dyDescent="0.25">
      <c r="B93" s="60"/>
      <c r="C93" s="44"/>
      <c r="D93" s="214" t="s">
        <v>160</v>
      </c>
      <c r="E93" s="62"/>
      <c r="F93" s="63"/>
      <c r="G93" s="41"/>
      <c r="H93" s="232" t="s">
        <v>169</v>
      </c>
      <c r="I93" s="232"/>
      <c r="J93" s="232"/>
      <c r="K93" s="150"/>
      <c r="L93" s="151">
        <f ca="1">_xll.DBRW(Server&amp;Cube1,$J$12,$L$13,$J$14,$L$1,$J$11,$J$15,$D93)</f>
        <v>0</v>
      </c>
      <c r="M93" s="151">
        <f ca="1">_xll.DBRW(Server&amp;Cube1,$J$12,$L$13,$J$14,$M$1,$J$11,$J$15,$D93)</f>
        <v>0</v>
      </c>
      <c r="N93" s="152">
        <f t="shared" ref="N93:N94" ca="1" si="132">L93-M93</f>
        <v>0</v>
      </c>
      <c r="O93" s="153" t="str">
        <f t="shared" ref="O93:O94" ca="1" si="133">IF(ISERROR(N93/M93),"-",N93/M93)</f>
        <v>-</v>
      </c>
      <c r="P93" s="138"/>
      <c r="Q93" s="151">
        <f ca="1">_xll.DBRW(Server&amp;Cube1,$J$12,$L$13,$J$14,$Q$1,$J$11,$J$15,$D93)</f>
        <v>0</v>
      </c>
      <c r="R93" s="152">
        <f t="shared" ref="R93:R94" ca="1" si="134">L93-Q93</f>
        <v>0</v>
      </c>
      <c r="S93" s="153" t="str">
        <f t="shared" ref="S93:S94" ca="1" si="135">IF(ISERROR(R93/Q93),"-",R93/Q93)</f>
        <v>-</v>
      </c>
      <c r="T93" s="138"/>
      <c r="U93" s="151">
        <f ca="1">_xll.DBRW(Server&amp;Cube1,$J$12,$L$13,$J$14,$U$1,$U$2,$J$15,$D93)</f>
        <v>0</v>
      </c>
      <c r="V93" s="152">
        <f t="shared" ref="V93:V94" ca="1" si="136">L93-U93</f>
        <v>0</v>
      </c>
      <c r="W93" s="153" t="str">
        <f t="shared" ref="W93:W94" ca="1" si="137">IF(ISERROR(V93/U93),"-",V93/U93)</f>
        <v>-</v>
      </c>
      <c r="X93" s="65"/>
      <c r="Y93" s="31"/>
      <c r="Z93" s="9"/>
      <c r="AA93" s="66"/>
      <c r="AB93" s="66"/>
      <c r="AC93" s="9"/>
      <c r="AD93" s="9"/>
      <c r="AE93" s="9"/>
      <c r="AF93" s="9"/>
      <c r="AG93" s="9"/>
      <c r="AH93" s="9"/>
      <c r="AI93" s="9"/>
      <c r="AJ93" s="9"/>
      <c r="AK93" s="9"/>
      <c r="AL93" s="9"/>
      <c r="AM93" s="9"/>
      <c r="AN93" s="9"/>
      <c r="AO93" s="9"/>
      <c r="AP93" s="9"/>
      <c r="AQ93" s="9"/>
      <c r="AR93" s="9"/>
      <c r="AS93" s="9"/>
      <c r="AT93" s="9"/>
      <c r="AU93" s="9"/>
      <c r="AV93" s="9"/>
      <c r="AW93" s="9"/>
      <c r="AX93" s="9"/>
      <c r="AY93" s="9"/>
      <c r="AZ93" s="9"/>
      <c r="BA93" s="9"/>
      <c r="BB93" s="9"/>
      <c r="BC93" s="9"/>
      <c r="BD93" s="9"/>
      <c r="BE93" s="9"/>
      <c r="BF93" s="9"/>
      <c r="BG93" s="9"/>
      <c r="BH93" s="9"/>
      <c r="BI93" s="9"/>
      <c r="BJ93" s="9"/>
      <c r="BK93" s="9"/>
      <c r="BL93" s="9"/>
      <c r="BM93" s="9"/>
      <c r="BN93" s="9"/>
      <c r="BO93" s="9"/>
      <c r="BP93" s="9"/>
      <c r="BQ93" s="9"/>
      <c r="BR93" s="9"/>
      <c r="BS93" s="9"/>
      <c r="BT93" s="9"/>
      <c r="BU93" s="9"/>
      <c r="BV93" s="9"/>
      <c r="BW93" s="9"/>
      <c r="BX93" s="9"/>
      <c r="BY93" s="9"/>
      <c r="BZ93" s="9"/>
      <c r="CA93" s="9"/>
      <c r="CB93" s="9"/>
      <c r="CC93" s="9"/>
      <c r="CD93" s="9"/>
      <c r="CE93" s="9"/>
      <c r="CF93" s="9"/>
      <c r="CG93" s="9"/>
      <c r="CH93" s="9"/>
      <c r="CI93" s="9"/>
      <c r="CJ93" s="9"/>
      <c r="CK93" s="9"/>
      <c r="CL93" s="9"/>
      <c r="CM93" s="9"/>
      <c r="CN93" s="9"/>
      <c r="CO93" s="9"/>
      <c r="CP93" s="9"/>
      <c r="CQ93" s="9"/>
      <c r="CR93" s="9"/>
      <c r="CS93" s="9"/>
      <c r="CT93" s="9"/>
      <c r="CU93" s="9"/>
      <c r="CV93" s="9"/>
      <c r="CW93" s="9"/>
      <c r="CX93" s="9"/>
      <c r="CY93" s="9"/>
      <c r="CZ93" s="9"/>
      <c r="DA93" s="9"/>
      <c r="DB93" s="9"/>
      <c r="DC93" s="9"/>
      <c r="DD93" s="9"/>
      <c r="DE93" s="9"/>
      <c r="DF93" s="9"/>
      <c r="DG93" s="9"/>
      <c r="DH93" s="9"/>
      <c r="DI93" s="9"/>
      <c r="DJ93" s="9"/>
      <c r="DK93" s="9"/>
      <c r="DL93" s="9"/>
      <c r="DM93" s="9"/>
      <c r="DN93" s="9"/>
    </row>
    <row r="94" spans="1:118" ht="21" hidden="1" customHeight="1" outlineLevel="1" x14ac:dyDescent="0.25">
      <c r="B94" s="60"/>
      <c r="C94" s="44"/>
      <c r="D94" s="214" t="s">
        <v>186</v>
      </c>
      <c r="E94" s="62"/>
      <c r="F94" s="63"/>
      <c r="G94" s="41"/>
      <c r="H94" s="232" t="s">
        <v>187</v>
      </c>
      <c r="I94" s="232"/>
      <c r="J94" s="232"/>
      <c r="K94" s="150"/>
      <c r="L94" s="151">
        <f ca="1">_xll.DBRW(Server&amp;Cube1,$J$12,$L$13,$J$14,$L$1,$J$11,$J$15,$D94)</f>
        <v>0</v>
      </c>
      <c r="M94" s="151">
        <f>_xll.DBRW(Server&amp;Cube1,$J$12,$L$13,$J$14,$M$1,$J$11,$J$15,$D94)</f>
        <v>0</v>
      </c>
      <c r="N94" s="152">
        <f t="shared" si="132"/>
        <v>0</v>
      </c>
      <c r="O94" s="153" t="str">
        <f t="shared" si="133"/>
        <v>-</v>
      </c>
      <c r="P94" s="138"/>
      <c r="Q94" s="151">
        <f>_xll.DBRW(Server&amp;Cube1,$J$12,$L$13,$J$14,$Q$1,$J$11,$J$15,$D94)</f>
        <v>0</v>
      </c>
      <c r="R94" s="152">
        <f t="shared" si="134"/>
        <v>0</v>
      </c>
      <c r="S94" s="153" t="str">
        <f t="shared" si="135"/>
        <v>-</v>
      </c>
      <c r="T94" s="138"/>
      <c r="U94" s="151">
        <f>_xll.DBRW(Server&amp;Cube1,$J$12,$L$13,$J$14,$U$1,$U$2,$J$15,$D94)</f>
        <v>0</v>
      </c>
      <c r="V94" s="152">
        <f t="shared" si="136"/>
        <v>0</v>
      </c>
      <c r="W94" s="153" t="str">
        <f t="shared" si="137"/>
        <v>-</v>
      </c>
      <c r="X94" s="65"/>
      <c r="Y94" s="31"/>
      <c r="Z94" s="9"/>
      <c r="AA94" s="66"/>
      <c r="AB94" s="66"/>
      <c r="AC94" s="9"/>
      <c r="AD94" s="9"/>
      <c r="AE94" s="9"/>
      <c r="AF94" s="9"/>
      <c r="AG94" s="9"/>
      <c r="AH94" s="9"/>
      <c r="AI94" s="9"/>
      <c r="AJ94" s="9"/>
      <c r="AK94" s="9"/>
      <c r="AL94" s="9"/>
      <c r="AM94" s="9"/>
      <c r="AN94" s="9"/>
      <c r="AO94" s="9"/>
      <c r="AP94" s="9"/>
      <c r="AQ94" s="9"/>
      <c r="AR94" s="9"/>
      <c r="AS94" s="9"/>
      <c r="AT94" s="9"/>
      <c r="AU94" s="9"/>
      <c r="AV94" s="9"/>
      <c r="AW94" s="9"/>
      <c r="AX94" s="9"/>
      <c r="AY94" s="9"/>
      <c r="AZ94" s="9"/>
      <c r="BA94" s="9"/>
      <c r="BB94" s="9"/>
      <c r="BC94" s="9"/>
      <c r="BD94" s="9"/>
      <c r="BE94" s="9"/>
      <c r="BF94" s="9"/>
      <c r="BG94" s="9"/>
      <c r="BH94" s="9"/>
      <c r="BI94" s="9"/>
      <c r="BJ94" s="9"/>
      <c r="BK94" s="9"/>
      <c r="BL94" s="9"/>
      <c r="BM94" s="9"/>
      <c r="BN94" s="9"/>
      <c r="BO94" s="9"/>
      <c r="BP94" s="9"/>
      <c r="BQ94" s="9"/>
      <c r="BR94" s="9"/>
      <c r="BS94" s="9"/>
      <c r="BT94" s="9"/>
      <c r="BU94" s="9"/>
      <c r="BV94" s="9"/>
      <c r="BW94" s="9"/>
      <c r="BX94" s="9"/>
      <c r="BY94" s="9"/>
      <c r="BZ94" s="9"/>
      <c r="CA94" s="9"/>
      <c r="CB94" s="9"/>
      <c r="CC94" s="9"/>
      <c r="CD94" s="9"/>
      <c r="CE94" s="9"/>
      <c r="CF94" s="9"/>
      <c r="CG94" s="9"/>
      <c r="CH94" s="9"/>
      <c r="CI94" s="9"/>
      <c r="CJ94" s="9"/>
      <c r="CK94" s="9"/>
      <c r="CL94" s="9"/>
      <c r="CM94" s="9"/>
      <c r="CN94" s="9"/>
      <c r="CO94" s="9"/>
      <c r="CP94" s="9"/>
      <c r="CQ94" s="9"/>
      <c r="CR94" s="9"/>
      <c r="CS94" s="9"/>
      <c r="CT94" s="9"/>
      <c r="CU94" s="9"/>
      <c r="CV94" s="9"/>
      <c r="CW94" s="9"/>
      <c r="CX94" s="9"/>
      <c r="CY94" s="9"/>
      <c r="CZ94" s="9"/>
      <c r="DA94" s="9"/>
      <c r="DB94" s="9"/>
      <c r="DC94" s="9"/>
      <c r="DD94" s="9"/>
      <c r="DE94" s="9"/>
      <c r="DF94" s="9"/>
      <c r="DG94" s="9"/>
      <c r="DH94" s="9"/>
      <c r="DI94" s="9"/>
      <c r="DJ94" s="9"/>
      <c r="DK94" s="9"/>
      <c r="DL94" s="9"/>
      <c r="DM94" s="9"/>
      <c r="DN94" s="9"/>
    </row>
    <row r="95" spans="1:118" ht="21" hidden="1" customHeight="1" outlineLevel="1" x14ac:dyDescent="0.25">
      <c r="B95" s="60"/>
      <c r="C95" s="44"/>
      <c r="D95" s="214" t="s">
        <v>164</v>
      </c>
      <c r="E95" s="62"/>
      <c r="F95" s="63"/>
      <c r="G95" s="41"/>
      <c r="H95" s="232" t="s">
        <v>172</v>
      </c>
      <c r="I95" s="232"/>
      <c r="J95" s="232"/>
      <c r="K95" s="150"/>
      <c r="L95" s="151">
        <f ca="1">_xll.DBRW(Server&amp;Cube1,$J$12,$L$13,$J$14,$L$1,$J$11,$J$15,$D95)</f>
        <v>0</v>
      </c>
      <c r="M95" s="151">
        <f ca="1">_xll.DBRW(Server&amp;Cube1,$J$12,$L$13,$J$14,$M$1,$J$11,$J$15,$D95)</f>
        <v>0</v>
      </c>
      <c r="N95" s="152">
        <f t="shared" ref="N95" ca="1" si="138">L95-M95</f>
        <v>0</v>
      </c>
      <c r="O95" s="153" t="str">
        <f t="shared" ref="O95" ca="1" si="139">IF(ISERROR(N95/M95),"-",N95/M95)</f>
        <v>-</v>
      </c>
      <c r="P95" s="138"/>
      <c r="Q95" s="151">
        <f ca="1">_xll.DBRW(Server&amp;Cube1,$J$12,$L$13,$J$14,$Q$1,$J$11,$J$15,$D95)</f>
        <v>0</v>
      </c>
      <c r="R95" s="152">
        <f t="shared" ref="R95" ca="1" si="140">L95-Q95</f>
        <v>0</v>
      </c>
      <c r="S95" s="153" t="str">
        <f t="shared" ref="S95" ca="1" si="141">IF(ISERROR(R95/Q95),"-",R95/Q95)</f>
        <v>-</v>
      </c>
      <c r="T95" s="138"/>
      <c r="U95" s="151">
        <f ca="1">_xll.DBRW(Server&amp;Cube1,$J$12,$L$13,$J$14,$U$1,$U$2,$J$15,$D95)</f>
        <v>0</v>
      </c>
      <c r="V95" s="152">
        <f t="shared" ref="V95" ca="1" si="142">L95-U95</f>
        <v>0</v>
      </c>
      <c r="W95" s="153" t="str">
        <f t="shared" ref="W95" ca="1" si="143">IF(ISERROR(V95/U95),"-",V95/U95)</f>
        <v>-</v>
      </c>
      <c r="X95" s="65"/>
      <c r="Y95" s="31"/>
      <c r="Z95" s="9"/>
      <c r="AA95" s="66"/>
      <c r="AB95" s="66"/>
      <c r="AC95" s="9"/>
      <c r="AD95" s="9"/>
      <c r="AE95" s="9"/>
      <c r="AF95" s="9"/>
      <c r="AG95" s="9"/>
      <c r="AH95" s="9"/>
      <c r="AI95" s="9"/>
      <c r="AJ95" s="9"/>
      <c r="AK95" s="9"/>
      <c r="AL95" s="9"/>
      <c r="AM95" s="9"/>
      <c r="AN95" s="9"/>
      <c r="AO95" s="9"/>
      <c r="AP95" s="9"/>
      <c r="AQ95" s="9"/>
      <c r="AR95" s="9"/>
      <c r="AS95" s="9"/>
      <c r="AT95" s="9"/>
      <c r="AU95" s="9"/>
      <c r="AV95" s="9"/>
      <c r="AW95" s="9"/>
      <c r="AX95" s="9"/>
      <c r="AY95" s="9"/>
      <c r="AZ95" s="9"/>
      <c r="BA95" s="9"/>
      <c r="BB95" s="9"/>
      <c r="BC95" s="9"/>
      <c r="BD95" s="9"/>
      <c r="BE95" s="9"/>
      <c r="BF95" s="9"/>
      <c r="BG95" s="9"/>
      <c r="BH95" s="9"/>
      <c r="BI95" s="9"/>
      <c r="BJ95" s="9"/>
      <c r="BK95" s="9"/>
      <c r="BL95" s="9"/>
      <c r="BM95" s="9"/>
      <c r="BN95" s="9"/>
      <c r="BO95" s="9"/>
      <c r="BP95" s="9"/>
      <c r="BQ95" s="9"/>
      <c r="BR95" s="9"/>
      <c r="BS95" s="9"/>
      <c r="BT95" s="9"/>
      <c r="BU95" s="9"/>
      <c r="BV95" s="9"/>
      <c r="BW95" s="9"/>
      <c r="BX95" s="9"/>
      <c r="BY95" s="9"/>
      <c r="BZ95" s="9"/>
      <c r="CA95" s="9"/>
      <c r="CB95" s="9"/>
      <c r="CC95" s="9"/>
      <c r="CD95" s="9"/>
      <c r="CE95" s="9"/>
      <c r="CF95" s="9"/>
      <c r="CG95" s="9"/>
      <c r="CH95" s="9"/>
      <c r="CI95" s="9"/>
      <c r="CJ95" s="9"/>
      <c r="CK95" s="9"/>
      <c r="CL95" s="9"/>
      <c r="CM95" s="9"/>
      <c r="CN95" s="9"/>
      <c r="CO95" s="9"/>
      <c r="CP95" s="9"/>
      <c r="CQ95" s="9"/>
      <c r="CR95" s="9"/>
      <c r="CS95" s="9"/>
      <c r="CT95" s="9"/>
      <c r="CU95" s="9"/>
      <c r="CV95" s="9"/>
      <c r="CW95" s="9"/>
      <c r="CX95" s="9"/>
      <c r="CY95" s="9"/>
      <c r="CZ95" s="9"/>
      <c r="DA95" s="9"/>
      <c r="DB95" s="9"/>
      <c r="DC95" s="9"/>
      <c r="DD95" s="9"/>
      <c r="DE95" s="9"/>
      <c r="DF95" s="9"/>
      <c r="DG95" s="9"/>
      <c r="DH95" s="9"/>
      <c r="DI95" s="9"/>
      <c r="DJ95" s="9"/>
      <c r="DK95" s="9"/>
      <c r="DL95" s="9"/>
      <c r="DM95" s="9"/>
      <c r="DN95" s="9"/>
    </row>
    <row r="96" spans="1:118" ht="21" hidden="1" customHeight="1" outlineLevel="1" x14ac:dyDescent="0.25">
      <c r="B96" s="60"/>
      <c r="C96" s="44"/>
      <c r="D96" s="214" t="s">
        <v>112</v>
      </c>
      <c r="E96" s="62"/>
      <c r="F96" s="63"/>
      <c r="G96" s="41"/>
      <c r="H96" s="232" t="str">
        <f ca="1">_xll.DBRA(Server&amp;$D$20,$D96,"French")</f>
        <v>Achat petit mobilier</v>
      </c>
      <c r="I96" s="232"/>
      <c r="J96" s="232"/>
      <c r="K96" s="150"/>
      <c r="L96" s="151">
        <f ca="1">_xll.DBRW(Server&amp;Cube1,$J$12,$L$13,$J$14,$L$1,$J$11,$J$15,$D96)</f>
        <v>0</v>
      </c>
      <c r="M96" s="151">
        <f ca="1">_xll.DBRW(Server&amp;Cube1,$J$12,$L$13,$J$14,$M$1,$J$11,$J$15,$D96)</f>
        <v>0</v>
      </c>
      <c r="N96" s="152">
        <f ca="1">L96-M96</f>
        <v>0</v>
      </c>
      <c r="O96" s="153" t="str">
        <f ca="1">IF(ISERROR(N96/M96),"-",N96/M96)</f>
        <v>-</v>
      </c>
      <c r="P96" s="138"/>
      <c r="Q96" s="151">
        <f ca="1">_xll.DBRW(Server&amp;Cube1,$J$12,$L$13,$J$14,$Q$1,$J$11,$J$15,$D96)</f>
        <v>0</v>
      </c>
      <c r="R96" s="152">
        <f ca="1">L96-Q96</f>
        <v>0</v>
      </c>
      <c r="S96" s="153" t="str">
        <f ca="1">IF(ISERROR(R96/Q96),"-",R96/Q96)</f>
        <v>-</v>
      </c>
      <c r="T96" s="138"/>
      <c r="U96" s="151">
        <f ca="1">_xll.DBRW(Server&amp;Cube1,$J$12,$L$13,$J$14,$U$1,$U$2,$J$15,$D96)</f>
        <v>0</v>
      </c>
      <c r="V96" s="152">
        <f ca="1">L96-U96</f>
        <v>0</v>
      </c>
      <c r="W96" s="153" t="str">
        <f ca="1">IF(ISERROR(V96/U96),"-",V96/U96)</f>
        <v>-</v>
      </c>
      <c r="X96" s="65"/>
      <c r="Y96" s="31"/>
      <c r="Z96" s="9"/>
      <c r="AA96" s="66"/>
      <c r="AB96" s="66"/>
      <c r="AC96" s="9"/>
      <c r="AD96" s="9"/>
      <c r="AE96" s="9"/>
      <c r="AF96" s="9"/>
      <c r="AG96" s="9"/>
      <c r="AH96" s="9"/>
      <c r="AI96" s="9"/>
      <c r="AJ96" s="9"/>
      <c r="AK96" s="9"/>
      <c r="AL96" s="9"/>
      <c r="AM96" s="9"/>
      <c r="AN96" s="9"/>
      <c r="AO96" s="9"/>
      <c r="AP96" s="9"/>
      <c r="AQ96" s="9"/>
      <c r="AR96" s="9"/>
      <c r="AS96" s="9"/>
      <c r="AT96" s="9"/>
      <c r="AU96" s="9"/>
      <c r="AV96" s="9"/>
      <c r="AW96" s="9"/>
      <c r="AX96" s="9"/>
      <c r="AY96" s="9"/>
      <c r="AZ96" s="9"/>
      <c r="BA96" s="9"/>
      <c r="BB96" s="9"/>
      <c r="BC96" s="9"/>
      <c r="BD96" s="9"/>
      <c r="BE96" s="9"/>
      <c r="BF96" s="9"/>
      <c r="BG96" s="9"/>
      <c r="BH96" s="9"/>
      <c r="BI96" s="9"/>
      <c r="BJ96" s="9"/>
      <c r="BK96" s="9"/>
      <c r="BL96" s="9"/>
      <c r="BM96" s="9"/>
      <c r="BN96" s="9"/>
      <c r="BO96" s="9"/>
      <c r="BP96" s="9"/>
      <c r="BQ96" s="9"/>
      <c r="BR96" s="9"/>
      <c r="BS96" s="9"/>
      <c r="BT96" s="9"/>
      <c r="BU96" s="9"/>
      <c r="BV96" s="9"/>
      <c r="BW96" s="9"/>
      <c r="BX96" s="9"/>
      <c r="BY96" s="9"/>
      <c r="BZ96" s="9"/>
      <c r="CA96" s="9"/>
      <c r="CB96" s="9"/>
      <c r="CC96" s="9"/>
      <c r="CD96" s="9"/>
      <c r="CE96" s="9"/>
      <c r="CF96" s="9"/>
      <c r="CG96" s="9"/>
      <c r="CH96" s="9"/>
      <c r="CI96" s="9"/>
      <c r="CJ96" s="9"/>
      <c r="CK96" s="9"/>
      <c r="CL96" s="9"/>
      <c r="CM96" s="9"/>
      <c r="CN96" s="9"/>
      <c r="CO96" s="9"/>
      <c r="CP96" s="9"/>
      <c r="CQ96" s="9"/>
      <c r="CR96" s="9"/>
      <c r="CS96" s="9"/>
      <c r="CT96" s="9"/>
      <c r="CU96" s="9"/>
      <c r="CV96" s="9"/>
      <c r="CW96" s="9"/>
      <c r="CX96" s="9"/>
      <c r="CY96" s="9"/>
      <c r="CZ96" s="9"/>
      <c r="DA96" s="9"/>
      <c r="DB96" s="9"/>
      <c r="DC96" s="9"/>
      <c r="DD96" s="9"/>
      <c r="DE96" s="9"/>
      <c r="DF96" s="9"/>
      <c r="DG96" s="9"/>
      <c r="DH96" s="9"/>
      <c r="DI96" s="9"/>
      <c r="DJ96" s="9"/>
      <c r="DK96" s="9"/>
      <c r="DL96" s="9"/>
      <c r="DM96" s="9"/>
      <c r="DN96" s="9"/>
    </row>
    <row r="97" spans="2:118" ht="21" hidden="1" customHeight="1" outlineLevel="1" x14ac:dyDescent="0.25">
      <c r="B97" s="60"/>
      <c r="C97" s="44"/>
      <c r="D97" s="214" t="s">
        <v>72</v>
      </c>
      <c r="E97" s="62"/>
      <c r="F97" s="63"/>
      <c r="G97" s="41"/>
      <c r="H97" s="232" t="s">
        <v>170</v>
      </c>
      <c r="I97" s="232"/>
      <c r="J97" s="232"/>
      <c r="K97" s="150"/>
      <c r="L97" s="151">
        <f ca="1">_xll.DBRW(Server&amp;Cube1,$J$12,$L$13,$J$14,$L$1,$J$11,$J$15,$D97)</f>
        <v>-5086.26</v>
      </c>
      <c r="M97" s="151">
        <f ca="1">_xll.DBRW(Server&amp;Cube1,$J$12,$L$13,$J$14,$M$1,$J$11,$J$15,$D97)</f>
        <v>-8450.0000000000018</v>
      </c>
      <c r="N97" s="152">
        <f ca="1">L97-M97</f>
        <v>3363.7400000000016</v>
      </c>
      <c r="O97" s="153">
        <f ca="1">IF(ISERROR(N97/M97),"-",N97/M97)</f>
        <v>-0.39807573964497051</v>
      </c>
      <c r="P97" s="138"/>
      <c r="Q97" s="151">
        <f ca="1">_xll.DBRW(Server&amp;Cube1,$J$12,$L$13,$J$14,$Q$1,$J$11,$J$15,$D97)</f>
        <v>0</v>
      </c>
      <c r="R97" s="152">
        <f ca="1">L97-Q97</f>
        <v>-5086.26</v>
      </c>
      <c r="S97" s="153" t="str">
        <f ca="1">IF(ISERROR(R97/Q97),"-",R97/Q97)</f>
        <v>-</v>
      </c>
      <c r="T97" s="138"/>
      <c r="U97" s="151">
        <f ca="1">_xll.DBRW(Server&amp;Cube1,$J$12,$L$13,$J$14,$U$1,$U$2,$J$15,$D97)</f>
        <v>-8700.380000000001</v>
      </c>
      <c r="V97" s="152">
        <f ca="1">L97-U97</f>
        <v>3614.1200000000008</v>
      </c>
      <c r="W97" s="153">
        <f ca="1">IF(ISERROR(V97/U97),"-",V97/U97)</f>
        <v>-0.41539794813559872</v>
      </c>
      <c r="X97" s="65"/>
      <c r="Y97" s="31"/>
      <c r="Z97" s="9"/>
      <c r="AA97" s="66"/>
      <c r="AB97" s="66"/>
      <c r="AC97" s="9"/>
      <c r="AD97" s="9"/>
      <c r="AE97" s="9"/>
      <c r="AF97" s="9"/>
      <c r="AG97" s="9"/>
      <c r="AH97" s="9"/>
      <c r="AI97" s="9"/>
      <c r="AJ97" s="9"/>
      <c r="AK97" s="9"/>
      <c r="AL97" s="9"/>
      <c r="AM97" s="9"/>
      <c r="AN97" s="9"/>
      <c r="AO97" s="9"/>
      <c r="AP97" s="9"/>
      <c r="AQ97" s="9"/>
      <c r="AR97" s="9"/>
      <c r="AS97" s="9"/>
      <c r="AT97" s="9"/>
      <c r="AU97" s="9"/>
      <c r="AV97" s="9"/>
      <c r="AW97" s="9"/>
      <c r="AX97" s="9"/>
      <c r="AY97" s="9"/>
      <c r="AZ97" s="9"/>
      <c r="BA97" s="9"/>
      <c r="BB97" s="9"/>
      <c r="BC97" s="9"/>
      <c r="BD97" s="9"/>
      <c r="BE97" s="9"/>
      <c r="BF97" s="9"/>
      <c r="BG97" s="9"/>
      <c r="BH97" s="9"/>
      <c r="BI97" s="9"/>
      <c r="BJ97" s="9"/>
      <c r="BK97" s="9"/>
      <c r="BL97" s="9"/>
      <c r="BM97" s="9"/>
      <c r="BN97" s="9"/>
      <c r="BO97" s="9"/>
      <c r="BP97" s="9"/>
      <c r="BQ97" s="9"/>
      <c r="BR97" s="9"/>
      <c r="BS97" s="9"/>
      <c r="BT97" s="9"/>
      <c r="BU97" s="9"/>
      <c r="BV97" s="9"/>
      <c r="BW97" s="9"/>
      <c r="BX97" s="9"/>
      <c r="BY97" s="9"/>
      <c r="BZ97" s="9"/>
      <c r="CA97" s="9"/>
      <c r="CB97" s="9"/>
      <c r="CC97" s="9"/>
      <c r="CD97" s="9"/>
      <c r="CE97" s="9"/>
      <c r="CF97" s="9"/>
      <c r="CG97" s="9"/>
      <c r="CH97" s="9"/>
      <c r="CI97" s="9"/>
      <c r="CJ97" s="9"/>
      <c r="CK97" s="9"/>
      <c r="CL97" s="9"/>
      <c r="CM97" s="9"/>
      <c r="CN97" s="9"/>
      <c r="CO97" s="9"/>
      <c r="CP97" s="9"/>
      <c r="CQ97" s="9"/>
      <c r="CR97" s="9"/>
      <c r="CS97" s="9"/>
      <c r="CT97" s="9"/>
      <c r="CU97" s="9"/>
      <c r="CV97" s="9"/>
      <c r="CW97" s="9"/>
      <c r="CX97" s="9"/>
      <c r="CY97" s="9"/>
      <c r="CZ97" s="9"/>
      <c r="DA97" s="9"/>
      <c r="DB97" s="9"/>
      <c r="DC97" s="9"/>
      <c r="DD97" s="9"/>
      <c r="DE97" s="9"/>
      <c r="DF97" s="9"/>
      <c r="DG97" s="9"/>
      <c r="DH97" s="9"/>
      <c r="DI97" s="9"/>
      <c r="DJ97" s="9"/>
      <c r="DK97" s="9"/>
      <c r="DL97" s="9"/>
      <c r="DM97" s="9"/>
      <c r="DN97" s="9"/>
    </row>
    <row r="98" spans="2:118" ht="21" hidden="1" customHeight="1" outlineLevel="1" x14ac:dyDescent="0.25">
      <c r="B98" s="60"/>
      <c r="C98" s="44"/>
      <c r="D98" s="214" t="s">
        <v>73</v>
      </c>
      <c r="E98" s="62"/>
      <c r="F98" s="63"/>
      <c r="G98" s="41"/>
      <c r="H98" s="232" t="str">
        <f ca="1">_xll.DBRA(Server&amp;$D$20,$D98,"French")</f>
        <v>Achats imprimés de bureau/Imprimerie</v>
      </c>
      <c r="I98" s="232"/>
      <c r="J98" s="232"/>
      <c r="K98" s="150"/>
      <c r="L98" s="151">
        <f ca="1">_xll.DBRW(Server&amp;Cube1,$J$12,$L$13,$J$14,$L$1,$J$11,$J$15,$D98)</f>
        <v>-556.12</v>
      </c>
      <c r="M98" s="151">
        <f ca="1">_xll.DBRW(Server&amp;Cube1,$J$12,$L$13,$J$14,$M$1,$J$11,$J$15,$D98)</f>
        <v>-2000.0000000000002</v>
      </c>
      <c r="N98" s="152">
        <f ca="1">L98-M98</f>
        <v>1443.88</v>
      </c>
      <c r="O98" s="153">
        <f ca="1">IF(ISERROR(N98/M98),"-",N98/M98)</f>
        <v>-0.72194000000000003</v>
      </c>
      <c r="P98" s="138"/>
      <c r="Q98" s="151">
        <f ca="1">_xll.DBRW(Server&amp;Cube1,$J$12,$L$13,$J$14,$Q$1,$J$11,$J$15,$D98)</f>
        <v>0</v>
      </c>
      <c r="R98" s="152">
        <f ca="1">L98-Q98</f>
        <v>-556.12</v>
      </c>
      <c r="S98" s="153" t="str">
        <f ca="1">IF(ISERROR(R98/Q98),"-",R98/Q98)</f>
        <v>-</v>
      </c>
      <c r="T98" s="138"/>
      <c r="U98" s="151">
        <f ca="1">_xll.DBRW(Server&amp;Cube1,$J$12,$L$13,$J$14,$U$1,$U$2,$J$15,$D98)</f>
        <v>-2059.39</v>
      </c>
      <c r="V98" s="152">
        <f ca="1">L98-U98</f>
        <v>1503.27</v>
      </c>
      <c r="W98" s="153">
        <f ca="1">IF(ISERROR(V98/U98),"-",V98/U98)</f>
        <v>-0.72995887131626358</v>
      </c>
      <c r="X98" s="65"/>
      <c r="Y98" s="31"/>
      <c r="Z98" s="9"/>
      <c r="AA98" s="66"/>
      <c r="AB98" s="66"/>
      <c r="AC98" s="9"/>
      <c r="AD98" s="9"/>
      <c r="AE98" s="9"/>
      <c r="AF98" s="9"/>
      <c r="AG98" s="9"/>
      <c r="AH98" s="9"/>
      <c r="AI98" s="9"/>
      <c r="AJ98" s="9"/>
      <c r="AK98" s="9"/>
      <c r="AL98" s="9"/>
      <c r="AM98" s="9"/>
      <c r="AN98" s="9"/>
      <c r="AO98" s="9"/>
      <c r="AP98" s="9"/>
      <c r="AQ98" s="9"/>
      <c r="AR98" s="9"/>
      <c r="AS98" s="9"/>
      <c r="AT98" s="9"/>
      <c r="AU98" s="9"/>
      <c r="AV98" s="9"/>
      <c r="AW98" s="9"/>
      <c r="AX98" s="9"/>
      <c r="AY98" s="9"/>
      <c r="AZ98" s="9"/>
      <c r="BA98" s="9"/>
      <c r="BB98" s="9"/>
      <c r="BC98" s="9"/>
      <c r="BD98" s="9"/>
      <c r="BE98" s="9"/>
      <c r="BF98" s="9"/>
      <c r="BG98" s="9"/>
      <c r="BH98" s="9"/>
      <c r="BI98" s="9"/>
      <c r="BJ98" s="9"/>
      <c r="BK98" s="9"/>
      <c r="BL98" s="9"/>
      <c r="BM98" s="9"/>
      <c r="BN98" s="9"/>
      <c r="BO98" s="9"/>
      <c r="BP98" s="9"/>
      <c r="BQ98" s="9"/>
      <c r="BR98" s="9"/>
      <c r="BS98" s="9"/>
      <c r="BT98" s="9"/>
      <c r="BU98" s="9"/>
      <c r="BV98" s="9"/>
      <c r="BW98" s="9"/>
      <c r="BX98" s="9"/>
      <c r="BY98" s="9"/>
      <c r="BZ98" s="9"/>
      <c r="CA98" s="9"/>
      <c r="CB98" s="9"/>
      <c r="CC98" s="9"/>
      <c r="CD98" s="9"/>
      <c r="CE98" s="9"/>
      <c r="CF98" s="9"/>
      <c r="CG98" s="9"/>
      <c r="CH98" s="9"/>
      <c r="CI98" s="9"/>
      <c r="CJ98" s="9"/>
      <c r="CK98" s="9"/>
      <c r="CL98" s="9"/>
      <c r="CM98" s="9"/>
      <c r="CN98" s="9"/>
      <c r="CO98" s="9"/>
      <c r="CP98" s="9"/>
      <c r="CQ98" s="9"/>
      <c r="CR98" s="9"/>
      <c r="CS98" s="9"/>
      <c r="CT98" s="9"/>
      <c r="CU98" s="9"/>
      <c r="CV98" s="9"/>
      <c r="CW98" s="9"/>
      <c r="CX98" s="9"/>
      <c r="CY98" s="9"/>
      <c r="CZ98" s="9"/>
      <c r="DA98" s="9"/>
      <c r="DB98" s="9"/>
      <c r="DC98" s="9"/>
      <c r="DD98" s="9"/>
      <c r="DE98" s="9"/>
      <c r="DF98" s="9"/>
      <c r="DG98" s="9"/>
      <c r="DH98" s="9"/>
      <c r="DI98" s="9"/>
      <c r="DJ98" s="9"/>
      <c r="DK98" s="9"/>
      <c r="DL98" s="9"/>
      <c r="DM98" s="9"/>
      <c r="DN98" s="9"/>
    </row>
    <row r="99" spans="2:118" ht="21" hidden="1" customHeight="1" outlineLevel="1" x14ac:dyDescent="0.25">
      <c r="B99" s="60"/>
      <c r="C99" s="44"/>
      <c r="D99" s="214" t="s">
        <v>74</v>
      </c>
      <c r="E99" s="62"/>
      <c r="F99" s="63"/>
      <c r="G99" s="41"/>
      <c r="H99" s="232" t="str">
        <f ca="1">_xll.DBRA(Server&amp;$D$20,$D99,"French")</f>
        <v>Achats fournitures informatiques</v>
      </c>
      <c r="I99" s="232"/>
      <c r="J99" s="232"/>
      <c r="K99" s="150"/>
      <c r="L99" s="151">
        <f ca="1">_xll.DBRW(Server&amp;Cube1,$J$12,$L$13,$J$14,$L$1,$J$11,$J$15,$D99)</f>
        <v>-3582.6600000000003</v>
      </c>
      <c r="M99" s="151">
        <f ca="1">_xll.DBRW(Server&amp;Cube1,$J$12,$L$13,$J$14,$M$1,$J$11,$J$15,$D99)</f>
        <v>-1165</v>
      </c>
      <c r="N99" s="152">
        <f ca="1">L99-M99</f>
        <v>-2417.6600000000003</v>
      </c>
      <c r="O99" s="153">
        <f ca="1">IF(ISERROR(N99/M99),"-",N99/M99)</f>
        <v>2.0752446351931333</v>
      </c>
      <c r="P99" s="138"/>
      <c r="Q99" s="151">
        <f ca="1">_xll.DBRW(Server&amp;Cube1,$J$12,$L$13,$J$14,$Q$1,$J$11,$J$15,$D99)</f>
        <v>0</v>
      </c>
      <c r="R99" s="152">
        <f ca="1">L99-Q99</f>
        <v>-3582.6600000000003</v>
      </c>
      <c r="S99" s="153" t="str">
        <f ca="1">IF(ISERROR(R99/Q99),"-",R99/Q99)</f>
        <v>-</v>
      </c>
      <c r="T99" s="138"/>
      <c r="U99" s="151">
        <f ca="1">_xll.DBRW(Server&amp;Cube1,$J$12,$L$13,$J$14,$U$1,$U$2,$J$15,$D99)</f>
        <v>-5456.5300000000007</v>
      </c>
      <c r="V99" s="152">
        <f t="shared" ref="V99" ca="1" si="144">L99-U99</f>
        <v>1873.8700000000003</v>
      </c>
      <c r="W99" s="153">
        <f ca="1">IF(ISERROR(V99/U99),"-",V99/U99)</f>
        <v>-0.3434178864589767</v>
      </c>
      <c r="X99" s="65"/>
      <c r="Y99" s="31"/>
      <c r="Z99" s="9"/>
      <c r="AA99" s="66"/>
      <c r="AB99" s="66"/>
      <c r="AC99" s="9"/>
      <c r="AD99" s="9"/>
      <c r="AE99" s="9"/>
      <c r="AF99" s="9"/>
      <c r="AG99" s="9"/>
      <c r="AH99" s="9"/>
      <c r="AI99" s="9"/>
      <c r="AJ99" s="9"/>
      <c r="AK99" s="9"/>
      <c r="AL99" s="9"/>
      <c r="AM99" s="9"/>
      <c r="AN99" s="9"/>
      <c r="AO99" s="9"/>
      <c r="AP99" s="9"/>
      <c r="AQ99" s="9"/>
      <c r="AR99" s="9"/>
      <c r="AS99" s="9"/>
      <c r="AT99" s="9"/>
      <c r="AU99" s="9"/>
      <c r="AV99" s="9"/>
      <c r="AW99" s="9"/>
      <c r="AX99" s="9"/>
      <c r="AY99" s="9"/>
      <c r="AZ99" s="9"/>
      <c r="BA99" s="9"/>
      <c r="BB99" s="9"/>
      <c r="BC99" s="9"/>
      <c r="BD99" s="9"/>
      <c r="BE99" s="9"/>
      <c r="BF99" s="9"/>
      <c r="BG99" s="9"/>
      <c r="BH99" s="9"/>
      <c r="BI99" s="9"/>
      <c r="BJ99" s="9"/>
      <c r="BK99" s="9"/>
      <c r="BL99" s="9"/>
      <c r="BM99" s="9"/>
      <c r="BN99" s="9"/>
      <c r="BO99" s="9"/>
      <c r="BP99" s="9"/>
      <c r="BQ99" s="9"/>
      <c r="BR99" s="9"/>
      <c r="BS99" s="9"/>
      <c r="BT99" s="9"/>
      <c r="BU99" s="9"/>
      <c r="BV99" s="9"/>
      <c r="BW99" s="9"/>
      <c r="BX99" s="9"/>
      <c r="BY99" s="9"/>
      <c r="BZ99" s="9"/>
      <c r="CA99" s="9"/>
      <c r="CB99" s="9"/>
      <c r="CC99" s="9"/>
      <c r="CD99" s="9"/>
      <c r="CE99" s="9"/>
      <c r="CF99" s="9"/>
      <c r="CG99" s="9"/>
      <c r="CH99" s="9"/>
      <c r="CI99" s="9"/>
      <c r="CJ99" s="9"/>
      <c r="CK99" s="9"/>
      <c r="CL99" s="9"/>
      <c r="CM99" s="9"/>
      <c r="CN99" s="9"/>
      <c r="CO99" s="9"/>
      <c r="CP99" s="9"/>
      <c r="CQ99" s="9"/>
      <c r="CR99" s="9"/>
      <c r="CS99" s="9"/>
      <c r="CT99" s="9"/>
      <c r="CU99" s="9"/>
      <c r="CV99" s="9"/>
      <c r="CW99" s="9"/>
      <c r="CX99" s="9"/>
      <c r="CY99" s="9"/>
      <c r="CZ99" s="9"/>
      <c r="DA99" s="9"/>
      <c r="DB99" s="9"/>
      <c r="DC99" s="9"/>
      <c r="DD99" s="9"/>
      <c r="DE99" s="9"/>
      <c r="DF99" s="9"/>
      <c r="DG99" s="9"/>
      <c r="DH99" s="9"/>
      <c r="DI99" s="9"/>
      <c r="DJ99" s="9"/>
      <c r="DK99" s="9"/>
      <c r="DL99" s="9"/>
      <c r="DM99" s="9"/>
      <c r="DN99" s="9"/>
    </row>
    <row r="100" spans="2:118" ht="21" hidden="1" customHeight="1" outlineLevel="1" x14ac:dyDescent="0.25">
      <c r="B100" s="60"/>
      <c r="C100" s="44"/>
      <c r="D100" s="203" t="s">
        <v>69</v>
      </c>
      <c r="E100" s="62"/>
      <c r="F100" s="63"/>
      <c r="G100" s="41"/>
      <c r="H100" s="232" t="str">
        <f ca="1">_xll.DBRA(Server&amp;$D$20,$D100,"French")</f>
        <v>Location bureau structure</v>
      </c>
      <c r="I100" s="232"/>
      <c r="J100" s="232"/>
      <c r="K100" s="150"/>
      <c r="L100" s="151">
        <f ca="1">_xll.DBRW(Server&amp;Cube1,$J$12,$L$13,$J$14,$L$1,$J$11,$J$15,$D100)</f>
        <v>-205076.23000000004</v>
      </c>
      <c r="M100" s="151">
        <f ca="1">_xll.DBRW(Server&amp;Cube1,$J$12,$L$13,$J$14,$M$1,$J$11,$J$15,$D100)</f>
        <v>-215809.99999999991</v>
      </c>
      <c r="N100" s="152">
        <f t="shared" ca="1" si="119"/>
        <v>10733.769999999873</v>
      </c>
      <c r="O100" s="153">
        <f t="shared" ca="1" si="90"/>
        <v>-4.9737129882766684E-2</v>
      </c>
      <c r="P100" s="138"/>
      <c r="Q100" s="151">
        <f ca="1">_xll.DBRW(Server&amp;Cube1,$J$12,$L$13,$J$14,$Q$1,$J$11,$J$15,$D100)</f>
        <v>0</v>
      </c>
      <c r="R100" s="152">
        <f t="shared" ca="1" si="88"/>
        <v>-205076.23000000004</v>
      </c>
      <c r="S100" s="153" t="str">
        <f t="shared" ca="1" si="89"/>
        <v>-</v>
      </c>
      <c r="T100" s="138"/>
      <c r="U100" s="151">
        <f ca="1">_xll.DBRW(Server&amp;Cube1,$J$12,$L$13,$J$14,$U$1,$U$2,$J$15,$D100)</f>
        <v>-243374.44</v>
      </c>
      <c r="V100" s="152">
        <f ca="1">L100-U100</f>
        <v>38298.209999999963</v>
      </c>
      <c r="W100" s="153">
        <f t="shared" ca="1" si="92"/>
        <v>-0.15736332048673626</v>
      </c>
      <c r="X100" s="65"/>
      <c r="Y100" s="31"/>
      <c r="Z100" s="9"/>
      <c r="AA100" s="66"/>
      <c r="AB100" s="66"/>
      <c r="AC100" s="9"/>
      <c r="AD100" s="9"/>
      <c r="AE100" s="9"/>
      <c r="AF100" s="9"/>
      <c r="AG100" s="9"/>
      <c r="AH100" s="9"/>
      <c r="AI100" s="9"/>
      <c r="AJ100" s="9"/>
      <c r="AK100" s="9"/>
      <c r="AL100" s="9"/>
      <c r="AM100" s="9"/>
      <c r="AN100" s="9"/>
      <c r="AO100" s="9"/>
      <c r="AP100" s="9"/>
      <c r="AQ100" s="9"/>
      <c r="AR100" s="9"/>
      <c r="AS100" s="9"/>
      <c r="AT100" s="9"/>
      <c r="AU100" s="9"/>
      <c r="AV100" s="9"/>
      <c r="AW100" s="9"/>
      <c r="AX100" s="9"/>
      <c r="AY100" s="9"/>
      <c r="AZ100" s="9"/>
      <c r="BA100" s="9"/>
      <c r="BB100" s="9"/>
      <c r="BC100" s="9"/>
      <c r="BD100" s="9"/>
      <c r="BE100" s="9"/>
      <c r="BF100" s="9"/>
      <c r="BG100" s="9"/>
      <c r="BH100" s="9"/>
      <c r="BI100" s="9"/>
      <c r="BJ100" s="9"/>
      <c r="BK100" s="9"/>
      <c r="BL100" s="9"/>
      <c r="BM100" s="9"/>
      <c r="BN100" s="9"/>
      <c r="BO100" s="9"/>
      <c r="BP100" s="9"/>
      <c r="BQ100" s="9"/>
      <c r="BR100" s="9"/>
      <c r="BS100" s="9"/>
      <c r="BT100" s="9"/>
      <c r="BU100" s="9"/>
      <c r="BV100" s="9"/>
      <c r="BW100" s="9"/>
      <c r="BX100" s="9"/>
      <c r="BY100" s="9"/>
      <c r="BZ100" s="9"/>
      <c r="CA100" s="9"/>
      <c r="CB100" s="9"/>
      <c r="CC100" s="9"/>
      <c r="CD100" s="9"/>
      <c r="CE100" s="9"/>
      <c r="CF100" s="9"/>
      <c r="CG100" s="9"/>
      <c r="CH100" s="9"/>
      <c r="CI100" s="9"/>
      <c r="CJ100" s="9"/>
      <c r="CK100" s="9"/>
      <c r="CL100" s="9"/>
      <c r="CM100" s="9"/>
      <c r="CN100" s="9"/>
      <c r="CO100" s="9"/>
      <c r="CP100" s="9"/>
      <c r="CQ100" s="9"/>
      <c r="CR100" s="9"/>
      <c r="CS100" s="9"/>
      <c r="CT100" s="9"/>
      <c r="CU100" s="9"/>
      <c r="CV100" s="9"/>
      <c r="CW100" s="9"/>
      <c r="CX100" s="9"/>
      <c r="CY100" s="9"/>
      <c r="CZ100" s="9"/>
      <c r="DA100" s="9"/>
      <c r="DB100" s="9"/>
      <c r="DC100" s="9"/>
      <c r="DD100" s="9"/>
      <c r="DE100" s="9"/>
      <c r="DF100" s="9"/>
      <c r="DG100" s="9"/>
      <c r="DH100" s="9"/>
      <c r="DI100" s="9"/>
      <c r="DJ100" s="9"/>
      <c r="DK100" s="9"/>
      <c r="DL100" s="9"/>
      <c r="DM100" s="9"/>
      <c r="DN100" s="9"/>
    </row>
    <row r="101" spans="2:118" ht="21" hidden="1" customHeight="1" outlineLevel="1" x14ac:dyDescent="0.25">
      <c r="B101" s="60"/>
      <c r="C101" s="44"/>
      <c r="D101" s="214" t="s">
        <v>109</v>
      </c>
      <c r="E101" s="62"/>
      <c r="F101" s="63"/>
      <c r="G101" s="41"/>
      <c r="H101" s="232" t="s">
        <v>171</v>
      </c>
      <c r="I101" s="232"/>
      <c r="J101" s="232"/>
      <c r="K101" s="150"/>
      <c r="L101" s="151">
        <f ca="1">_xll.DBRW(Server&amp;Cube1,$J$12,$L$13,$J$14,$L$1,$J$11,$J$15,$D101)</f>
        <v>0</v>
      </c>
      <c r="M101" s="151">
        <f ca="1">_xll.DBRW(Server&amp;Cube1,$J$12,$L$13,$J$14,$M$1,$J$11,$J$15,$D101)</f>
        <v>0</v>
      </c>
      <c r="N101" s="152">
        <f t="shared" ref="N101" ca="1" si="145">L101-M101</f>
        <v>0</v>
      </c>
      <c r="O101" s="153" t="str">
        <f t="shared" ref="O101" ca="1" si="146">IF(ISERROR(N101/M101),"-",N101/M101)</f>
        <v>-</v>
      </c>
      <c r="P101" s="138"/>
      <c r="Q101" s="151">
        <f ca="1">_xll.DBRW(Server&amp;Cube1,$J$12,$L$13,$J$14,$Q$1,$J$11,$J$15,$D101)</f>
        <v>0</v>
      </c>
      <c r="R101" s="152">
        <f t="shared" ref="R101" ca="1" si="147">L101-Q101</f>
        <v>0</v>
      </c>
      <c r="S101" s="153" t="str">
        <f t="shared" ref="S101" ca="1" si="148">IF(ISERROR(R101/Q101),"-",R101/Q101)</f>
        <v>-</v>
      </c>
      <c r="T101" s="138"/>
      <c r="U101" s="151">
        <f ca="1">_xll.DBRW(Server&amp;Cube1,$J$12,$L$13,$J$14,$U$1,$U$2,$J$15,$D101)</f>
        <v>0</v>
      </c>
      <c r="V101" s="152">
        <f t="shared" ref="V101" ca="1" si="149">L101-U101</f>
        <v>0</v>
      </c>
      <c r="W101" s="153" t="str">
        <f t="shared" ref="W101" ca="1" si="150">IF(ISERROR(V101/U101),"-",V101/U101)</f>
        <v>-</v>
      </c>
      <c r="X101" s="65"/>
      <c r="Y101" s="31"/>
      <c r="Z101" s="9"/>
      <c r="AA101" s="66"/>
      <c r="AB101" s="66"/>
      <c r="AC101" s="9"/>
      <c r="AD101" s="9"/>
      <c r="AE101" s="9"/>
      <c r="AF101" s="9"/>
      <c r="AG101" s="9"/>
      <c r="AH101" s="9"/>
      <c r="AI101" s="9"/>
      <c r="AJ101" s="9"/>
      <c r="AK101" s="9"/>
      <c r="AL101" s="9"/>
      <c r="AM101" s="9"/>
      <c r="AN101" s="9"/>
      <c r="AO101" s="9"/>
      <c r="AP101" s="9"/>
      <c r="AQ101" s="9"/>
      <c r="AR101" s="9"/>
      <c r="AS101" s="9"/>
      <c r="AT101" s="9"/>
      <c r="AU101" s="9"/>
      <c r="AV101" s="9"/>
      <c r="AW101" s="9"/>
      <c r="AX101" s="9"/>
      <c r="AY101" s="9"/>
      <c r="AZ101" s="9"/>
      <c r="BA101" s="9"/>
      <c r="BB101" s="9"/>
      <c r="BC101" s="9"/>
      <c r="BD101" s="9"/>
      <c r="BE101" s="9"/>
      <c r="BF101" s="9"/>
      <c r="BG101" s="9"/>
      <c r="BH101" s="9"/>
      <c r="BI101" s="9"/>
      <c r="BJ101" s="9"/>
      <c r="BK101" s="9"/>
      <c r="BL101" s="9"/>
      <c r="BM101" s="9"/>
      <c r="BN101" s="9"/>
      <c r="BO101" s="9"/>
      <c r="BP101" s="9"/>
      <c r="BQ101" s="9"/>
      <c r="BR101" s="9"/>
      <c r="BS101" s="9"/>
      <c r="BT101" s="9"/>
      <c r="BU101" s="9"/>
      <c r="BV101" s="9"/>
      <c r="BW101" s="9"/>
      <c r="BX101" s="9"/>
      <c r="BY101" s="9"/>
      <c r="BZ101" s="9"/>
      <c r="CA101" s="9"/>
      <c r="CB101" s="9"/>
      <c r="CC101" s="9"/>
      <c r="CD101" s="9"/>
      <c r="CE101" s="9"/>
      <c r="CF101" s="9"/>
      <c r="CG101" s="9"/>
      <c r="CH101" s="9"/>
      <c r="CI101" s="9"/>
      <c r="CJ101" s="9"/>
      <c r="CK101" s="9"/>
      <c r="CL101" s="9"/>
      <c r="CM101" s="9"/>
      <c r="CN101" s="9"/>
      <c r="CO101" s="9"/>
      <c r="CP101" s="9"/>
      <c r="CQ101" s="9"/>
      <c r="CR101" s="9"/>
      <c r="CS101" s="9"/>
      <c r="CT101" s="9"/>
      <c r="CU101" s="9"/>
      <c r="CV101" s="9"/>
      <c r="CW101" s="9"/>
      <c r="CX101" s="9"/>
      <c r="CY101" s="9"/>
      <c r="CZ101" s="9"/>
      <c r="DA101" s="9"/>
      <c r="DB101" s="9"/>
      <c r="DC101" s="9"/>
      <c r="DD101" s="9"/>
      <c r="DE101" s="9"/>
      <c r="DF101" s="9"/>
      <c r="DG101" s="9"/>
      <c r="DH101" s="9"/>
      <c r="DI101" s="9"/>
      <c r="DJ101" s="9"/>
      <c r="DK101" s="9"/>
      <c r="DL101" s="9"/>
      <c r="DM101" s="9"/>
      <c r="DN101" s="9"/>
    </row>
    <row r="102" spans="2:118" ht="21" hidden="1" customHeight="1" outlineLevel="1" x14ac:dyDescent="0.25">
      <c r="B102" s="60"/>
      <c r="C102" s="44"/>
      <c r="D102" s="214" t="s">
        <v>110</v>
      </c>
      <c r="E102" s="62"/>
      <c r="F102" s="63"/>
      <c r="G102" s="41"/>
      <c r="H102" s="232" t="str">
        <f ca="1">_xll.DBRA(Server&amp;$D$20,$D102,"French")</f>
        <v>Location et MAD matériel divers</v>
      </c>
      <c r="I102" s="232"/>
      <c r="J102" s="232"/>
      <c r="K102" s="150"/>
      <c r="L102" s="151">
        <f ca="1">_xll.DBRW(Server&amp;Cube1,$J$12,$L$13,$J$14,$L$1,$J$11,$J$15,$D102)</f>
        <v>0</v>
      </c>
      <c r="M102" s="151">
        <f ca="1">_xll.DBRW(Server&amp;Cube1,$J$12,$L$13,$J$14,$M$1,$J$11,$J$15,$D102)</f>
        <v>0</v>
      </c>
      <c r="N102" s="152">
        <f t="shared" ref="N102" ca="1" si="151">L102-M102</f>
        <v>0</v>
      </c>
      <c r="O102" s="153" t="str">
        <f t="shared" ref="O102" ca="1" si="152">IF(ISERROR(N102/M102),"-",N102/M102)</f>
        <v>-</v>
      </c>
      <c r="P102" s="138"/>
      <c r="Q102" s="151">
        <f ca="1">_xll.DBRW(Server&amp;Cube1,$J$12,$L$13,$J$14,$Q$1,$J$11,$J$15,$D102)</f>
        <v>0</v>
      </c>
      <c r="R102" s="152">
        <f t="shared" ref="R102" ca="1" si="153">L102-Q102</f>
        <v>0</v>
      </c>
      <c r="S102" s="153" t="str">
        <f t="shared" ref="S102" ca="1" si="154">IF(ISERROR(R102/Q102),"-",R102/Q102)</f>
        <v>-</v>
      </c>
      <c r="T102" s="138"/>
      <c r="U102" s="151">
        <f ca="1">_xll.DBRW(Server&amp;Cube1,$J$12,$L$13,$J$14,$U$1,$U$2,$J$15,$D102)</f>
        <v>0</v>
      </c>
      <c r="V102" s="152">
        <f t="shared" ref="V102" ca="1" si="155">L102-U102</f>
        <v>0</v>
      </c>
      <c r="W102" s="153" t="str">
        <f t="shared" ref="W102" ca="1" si="156">IF(ISERROR(V102/U102),"-",V102/U102)</f>
        <v>-</v>
      </c>
      <c r="X102" s="65"/>
      <c r="Y102" s="31"/>
      <c r="Z102" s="9"/>
      <c r="AA102" s="66"/>
      <c r="AB102" s="66"/>
      <c r="AC102" s="9"/>
      <c r="AD102" s="9"/>
      <c r="AE102" s="9"/>
      <c r="AF102" s="9"/>
      <c r="AG102" s="9"/>
      <c r="AH102" s="9"/>
      <c r="AI102" s="9"/>
      <c r="AJ102" s="9"/>
      <c r="AK102" s="9"/>
      <c r="AL102" s="9"/>
      <c r="AM102" s="9"/>
      <c r="AN102" s="9"/>
      <c r="AO102" s="9"/>
      <c r="AP102" s="9"/>
      <c r="AQ102" s="9"/>
      <c r="AR102" s="9"/>
      <c r="AS102" s="9"/>
      <c r="AT102" s="9"/>
      <c r="AU102" s="9"/>
      <c r="AV102" s="9"/>
      <c r="AW102" s="9"/>
      <c r="AX102" s="9"/>
      <c r="AY102" s="9"/>
      <c r="AZ102" s="9"/>
      <c r="BA102" s="9"/>
      <c r="BB102" s="9"/>
      <c r="BC102" s="9"/>
      <c r="BD102" s="9"/>
      <c r="BE102" s="9"/>
      <c r="BF102" s="9"/>
      <c r="BG102" s="9"/>
      <c r="BH102" s="9"/>
      <c r="BI102" s="9"/>
      <c r="BJ102" s="9"/>
      <c r="BK102" s="9"/>
      <c r="BL102" s="9"/>
      <c r="BM102" s="9"/>
      <c r="BN102" s="9"/>
      <c r="BO102" s="9"/>
      <c r="BP102" s="9"/>
      <c r="BQ102" s="9"/>
      <c r="BR102" s="9"/>
      <c r="BS102" s="9"/>
      <c r="BT102" s="9"/>
      <c r="BU102" s="9"/>
      <c r="BV102" s="9"/>
      <c r="BW102" s="9"/>
      <c r="BX102" s="9"/>
      <c r="BY102" s="9"/>
      <c r="BZ102" s="9"/>
      <c r="CA102" s="9"/>
      <c r="CB102" s="9"/>
      <c r="CC102" s="9"/>
      <c r="CD102" s="9"/>
      <c r="CE102" s="9"/>
      <c r="CF102" s="9"/>
      <c r="CG102" s="9"/>
      <c r="CH102" s="9"/>
      <c r="CI102" s="9"/>
      <c r="CJ102" s="9"/>
      <c r="CK102" s="9"/>
      <c r="CL102" s="9"/>
      <c r="CM102" s="9"/>
      <c r="CN102" s="9"/>
      <c r="CO102" s="9"/>
      <c r="CP102" s="9"/>
      <c r="CQ102" s="9"/>
      <c r="CR102" s="9"/>
      <c r="CS102" s="9"/>
      <c r="CT102" s="9"/>
      <c r="CU102" s="9"/>
      <c r="CV102" s="9"/>
      <c r="CW102" s="9"/>
      <c r="CX102" s="9"/>
      <c r="CY102" s="9"/>
      <c r="CZ102" s="9"/>
      <c r="DA102" s="9"/>
      <c r="DB102" s="9"/>
      <c r="DC102" s="9"/>
      <c r="DD102" s="9"/>
      <c r="DE102" s="9"/>
      <c r="DF102" s="9"/>
      <c r="DG102" s="9"/>
      <c r="DH102" s="9"/>
      <c r="DI102" s="9"/>
      <c r="DJ102" s="9"/>
      <c r="DK102" s="9"/>
      <c r="DL102" s="9"/>
      <c r="DM102" s="9"/>
      <c r="DN102" s="9"/>
    </row>
    <row r="103" spans="2:118" ht="21" hidden="1" customHeight="1" outlineLevel="1" x14ac:dyDescent="0.25">
      <c r="B103" s="60"/>
      <c r="C103" s="44"/>
      <c r="D103" s="214" t="s">
        <v>136</v>
      </c>
      <c r="E103" s="62"/>
      <c r="F103" s="63"/>
      <c r="G103" s="41"/>
      <c r="H103" s="232" t="str">
        <f ca="1">_xll.DBRA(Server&amp;$D$20,$D103,"French")</f>
        <v>Location mobilière diverse</v>
      </c>
      <c r="I103" s="232"/>
      <c r="J103" s="232"/>
      <c r="K103" s="150"/>
      <c r="L103" s="151">
        <f ca="1">_xll.DBRW(Server&amp;Cube1,$J$12,$L$13,$J$14,$L$1,$J$11,$J$15,$D103)</f>
        <v>-1223.5</v>
      </c>
      <c r="M103" s="151">
        <f ca="1">_xll.DBRW(Server&amp;Cube1,$J$12,$L$13,$J$14,$M$1,$J$11,$J$15,$D103)</f>
        <v>-252</v>
      </c>
      <c r="N103" s="152">
        <f t="shared" ref="N103" ca="1" si="157">L103-M103</f>
        <v>-971.5</v>
      </c>
      <c r="O103" s="153">
        <f t="shared" ref="O103" ca="1" si="158">IF(ISERROR(N103/M103),"-",N103/M103)</f>
        <v>3.8551587301587302</v>
      </c>
      <c r="P103" s="138"/>
      <c r="Q103" s="151">
        <f ca="1">_xll.DBRW(Server&amp;Cube1,$J$12,$L$13,$J$14,$Q$1,$J$11,$J$15,$D103)</f>
        <v>0</v>
      </c>
      <c r="R103" s="152">
        <f t="shared" ref="R103" ca="1" si="159">L103-Q103</f>
        <v>-1223.5</v>
      </c>
      <c r="S103" s="153" t="str">
        <f t="shared" ref="S103" ca="1" si="160">IF(ISERROR(R103/Q103),"-",R103/Q103)</f>
        <v>-</v>
      </c>
      <c r="T103" s="138"/>
      <c r="U103" s="151">
        <f ca="1">_xll.DBRW(Server&amp;Cube1,$J$12,$L$13,$J$14,$U$1,$U$2,$J$15,$D103)</f>
        <v>-189</v>
      </c>
      <c r="V103" s="152">
        <f t="shared" ref="V103" ca="1" si="161">L103-U103</f>
        <v>-1034.5</v>
      </c>
      <c r="W103" s="153">
        <f t="shared" ref="W103" ca="1" si="162">IF(ISERROR(V103/U103),"-",V103/U103)</f>
        <v>5.4735449735449739</v>
      </c>
      <c r="X103" s="65"/>
      <c r="Y103" s="31"/>
      <c r="Z103" s="9"/>
      <c r="AA103" s="66"/>
      <c r="AB103" s="66"/>
      <c r="AC103" s="9"/>
      <c r="AD103" s="9"/>
      <c r="AE103" s="9"/>
      <c r="AF103" s="9"/>
      <c r="AG103" s="9"/>
      <c r="AH103" s="9"/>
      <c r="AI103" s="9"/>
      <c r="AJ103" s="9"/>
      <c r="AK103" s="9"/>
      <c r="AL103" s="9"/>
      <c r="AM103" s="9"/>
      <c r="AN103" s="9"/>
      <c r="AO103" s="9"/>
      <c r="AP103" s="9"/>
      <c r="AQ103" s="9"/>
      <c r="AR103" s="9"/>
      <c r="AS103" s="9"/>
      <c r="AT103" s="9"/>
      <c r="AU103" s="9"/>
      <c r="AV103" s="9"/>
      <c r="AW103" s="9"/>
      <c r="AX103" s="9"/>
      <c r="AY103" s="9"/>
      <c r="AZ103" s="9"/>
      <c r="BA103" s="9"/>
      <c r="BB103" s="9"/>
      <c r="BC103" s="9"/>
      <c r="BD103" s="9"/>
      <c r="BE103" s="9"/>
      <c r="BF103" s="9"/>
      <c r="BG103" s="9"/>
      <c r="BH103" s="9"/>
      <c r="BI103" s="9"/>
      <c r="BJ103" s="9"/>
      <c r="BK103" s="9"/>
      <c r="BL103" s="9"/>
      <c r="BM103" s="9"/>
      <c r="BN103" s="9"/>
      <c r="BO103" s="9"/>
      <c r="BP103" s="9"/>
      <c r="BQ103" s="9"/>
      <c r="BR103" s="9"/>
      <c r="BS103" s="9"/>
      <c r="BT103" s="9"/>
      <c r="BU103" s="9"/>
      <c r="BV103" s="9"/>
      <c r="BW103" s="9"/>
      <c r="BX103" s="9"/>
      <c r="BY103" s="9"/>
      <c r="BZ103" s="9"/>
      <c r="CA103" s="9"/>
      <c r="CB103" s="9"/>
      <c r="CC103" s="9"/>
      <c r="CD103" s="9"/>
      <c r="CE103" s="9"/>
      <c r="CF103" s="9"/>
      <c r="CG103" s="9"/>
      <c r="CH103" s="9"/>
      <c r="CI103" s="9"/>
      <c r="CJ103" s="9"/>
      <c r="CK103" s="9"/>
      <c r="CL103" s="9"/>
      <c r="CM103" s="9"/>
      <c r="CN103" s="9"/>
      <c r="CO103" s="9"/>
      <c r="CP103" s="9"/>
      <c r="CQ103" s="9"/>
      <c r="CR103" s="9"/>
      <c r="CS103" s="9"/>
      <c r="CT103" s="9"/>
      <c r="CU103" s="9"/>
      <c r="CV103" s="9"/>
      <c r="CW103" s="9"/>
      <c r="CX103" s="9"/>
      <c r="CY103" s="9"/>
      <c r="CZ103" s="9"/>
      <c r="DA103" s="9"/>
      <c r="DB103" s="9"/>
      <c r="DC103" s="9"/>
      <c r="DD103" s="9"/>
      <c r="DE103" s="9"/>
      <c r="DF103" s="9"/>
      <c r="DG103" s="9"/>
      <c r="DH103" s="9"/>
      <c r="DI103" s="9"/>
      <c r="DJ103" s="9"/>
      <c r="DK103" s="9"/>
      <c r="DL103" s="9"/>
      <c r="DM103" s="9"/>
      <c r="DN103" s="9"/>
    </row>
    <row r="104" spans="2:118" ht="21" hidden="1" customHeight="1" outlineLevel="1" x14ac:dyDescent="0.25">
      <c r="B104" s="60"/>
      <c r="C104" s="44"/>
      <c r="D104" s="214" t="s">
        <v>184</v>
      </c>
      <c r="E104" s="62"/>
      <c r="F104" s="63"/>
      <c r="G104" s="41"/>
      <c r="H104" s="232" t="str">
        <f ca="1">_xll.DBRA(Server&amp;$D$20,$D104,"French")</f>
        <v>Entretien réparation immobilier</v>
      </c>
      <c r="I104" s="232"/>
      <c r="J104" s="232"/>
      <c r="K104" s="150"/>
      <c r="L104" s="151">
        <f ca="1">_xll.DBRW(Server&amp;Cube1,$J$12,$L$13,$J$14,$L$1,$J$11,$J$15,$D104)</f>
        <v>-7815.74</v>
      </c>
      <c r="M104" s="151">
        <f ca="1">_xll.DBRW(Server&amp;Cube1,$J$12,$L$13,$J$14,$M$1,$J$11,$J$15,$D104)</f>
        <v>-6600</v>
      </c>
      <c r="N104" s="152">
        <f t="shared" ref="N104" ca="1" si="163">L104-M104</f>
        <v>-1215.7399999999998</v>
      </c>
      <c r="O104" s="153">
        <f t="shared" ref="O104" ca="1" si="164">IF(ISERROR(N104/M104),"-",N104/M104)</f>
        <v>0.18420303030303026</v>
      </c>
      <c r="P104" s="138"/>
      <c r="Q104" s="151">
        <f ca="1">_xll.DBRW(Server&amp;Cube1,$J$12,$L$13,$J$14,$Q$1,$J$11,$J$15,$D104)</f>
        <v>0</v>
      </c>
      <c r="R104" s="152">
        <f t="shared" ref="R104" ca="1" si="165">L104-Q104</f>
        <v>-7815.74</v>
      </c>
      <c r="S104" s="153" t="str">
        <f t="shared" ref="S104" ca="1" si="166">IF(ISERROR(R104/Q104),"-",R104/Q104)</f>
        <v>-</v>
      </c>
      <c r="T104" s="138"/>
      <c r="U104" s="151">
        <f ca="1">_xll.DBRW(Server&amp;Cube1,$J$12,$L$13,$J$14,$U$1,$U$2,$J$15,$D104)</f>
        <v>-8154.3899999999994</v>
      </c>
      <c r="V104" s="152">
        <f t="shared" ref="V104" ca="1" si="167">L104-U104</f>
        <v>338.64999999999964</v>
      </c>
      <c r="W104" s="153">
        <f t="shared" ref="W104" ca="1" si="168">IF(ISERROR(V104/U104),"-",V104/U104)</f>
        <v>-4.1529777212029308E-2</v>
      </c>
      <c r="X104" s="65"/>
      <c r="Y104" s="31"/>
      <c r="Z104" s="9"/>
      <c r="AA104" s="66"/>
      <c r="AB104" s="66"/>
      <c r="AC104" s="9"/>
      <c r="AD104" s="9"/>
      <c r="AE104" s="9"/>
      <c r="AF104" s="9"/>
      <c r="AG104" s="9"/>
      <c r="AH104" s="9"/>
      <c r="AI104" s="9"/>
      <c r="AJ104" s="9"/>
      <c r="AK104" s="9"/>
      <c r="AL104" s="9"/>
      <c r="AM104" s="9"/>
      <c r="AN104" s="9"/>
      <c r="AO104" s="9"/>
      <c r="AP104" s="9"/>
      <c r="AQ104" s="9"/>
      <c r="AR104" s="9"/>
      <c r="AS104" s="9"/>
      <c r="AT104" s="9"/>
      <c r="AU104" s="9"/>
      <c r="AV104" s="9"/>
      <c r="AW104" s="9"/>
      <c r="AX104" s="9"/>
      <c r="AY104" s="9"/>
      <c r="AZ104" s="9"/>
      <c r="BA104" s="9"/>
      <c r="BB104" s="9"/>
      <c r="BC104" s="9"/>
      <c r="BD104" s="9"/>
      <c r="BE104" s="9"/>
      <c r="BF104" s="9"/>
      <c r="BG104" s="9"/>
      <c r="BH104" s="9"/>
      <c r="BI104" s="9"/>
      <c r="BJ104" s="9"/>
      <c r="BK104" s="9"/>
      <c r="BL104" s="9"/>
      <c r="BM104" s="9"/>
      <c r="BN104" s="9"/>
      <c r="BO104" s="9"/>
      <c r="BP104" s="9"/>
      <c r="BQ104" s="9"/>
      <c r="BR104" s="9"/>
      <c r="BS104" s="9"/>
      <c r="BT104" s="9"/>
      <c r="BU104" s="9"/>
      <c r="BV104" s="9"/>
      <c r="BW104" s="9"/>
      <c r="BX104" s="9"/>
      <c r="BY104" s="9"/>
      <c r="BZ104" s="9"/>
      <c r="CA104" s="9"/>
      <c r="CB104" s="9"/>
      <c r="CC104" s="9"/>
      <c r="CD104" s="9"/>
      <c r="CE104" s="9"/>
      <c r="CF104" s="9"/>
      <c r="CG104" s="9"/>
      <c r="CH104" s="9"/>
      <c r="CI104" s="9"/>
      <c r="CJ104" s="9"/>
      <c r="CK104" s="9"/>
      <c r="CL104" s="9"/>
      <c r="CM104" s="9"/>
      <c r="CN104" s="9"/>
      <c r="CO104" s="9"/>
      <c r="CP104" s="9"/>
      <c r="CQ104" s="9"/>
      <c r="CR104" s="9"/>
      <c r="CS104" s="9"/>
      <c r="CT104" s="9"/>
      <c r="CU104" s="9"/>
      <c r="CV104" s="9"/>
      <c r="CW104" s="9"/>
      <c r="CX104" s="9"/>
      <c r="CY104" s="9"/>
      <c r="CZ104" s="9"/>
      <c r="DA104" s="9"/>
      <c r="DB104" s="9"/>
      <c r="DC104" s="9"/>
      <c r="DD104" s="9"/>
      <c r="DE104" s="9"/>
      <c r="DF104" s="9"/>
      <c r="DG104" s="9"/>
      <c r="DH104" s="9"/>
      <c r="DI104" s="9"/>
      <c r="DJ104" s="9"/>
      <c r="DK104" s="9"/>
      <c r="DL104" s="9"/>
      <c r="DM104" s="9"/>
      <c r="DN104" s="9"/>
    </row>
    <row r="105" spans="2:118" ht="21" hidden="1" customHeight="1" outlineLevel="1" x14ac:dyDescent="0.25">
      <c r="B105" s="60"/>
      <c r="C105" s="44"/>
      <c r="D105" s="216" t="s">
        <v>168</v>
      </c>
      <c r="E105" s="62"/>
      <c r="F105" s="63"/>
      <c r="G105" s="41"/>
      <c r="H105" s="232" t="str">
        <f ca="1">_xll.DBRA(Server&amp;$D$20,$D105,"French")</f>
        <v>Entretiens et réparations divers</v>
      </c>
      <c r="I105" s="232"/>
      <c r="J105" s="232"/>
      <c r="K105" s="150"/>
      <c r="L105" s="151">
        <f ca="1">_xll.DBRW(Server&amp;Cube1,$J$12,$L$13,$J$14,$L$1,$J$11,$J$15,$D105)</f>
        <v>0</v>
      </c>
      <c r="M105" s="151">
        <f ca="1">_xll.DBRW(Server&amp;Cube1,$J$12,$L$13,$J$14,$M$1,$J$11,$J$15,$D105)</f>
        <v>-1899.9999999999998</v>
      </c>
      <c r="N105" s="152">
        <f t="shared" ref="N105" ca="1" si="169">L105-M105</f>
        <v>1899.9999999999998</v>
      </c>
      <c r="O105" s="153">
        <f t="shared" ref="O105" ca="1" si="170">IF(ISERROR(N105/M105),"-",N105/M105)</f>
        <v>-1</v>
      </c>
      <c r="P105" s="138"/>
      <c r="Q105" s="151">
        <f ca="1">_xll.DBRW(Server&amp;Cube1,$J$12,$L$13,$J$14,$Q$1,$J$11,$J$15,$D105)</f>
        <v>0</v>
      </c>
      <c r="R105" s="152">
        <f t="shared" ref="R105" ca="1" si="171">L105-Q105</f>
        <v>0</v>
      </c>
      <c r="S105" s="153" t="str">
        <f t="shared" ref="S105" ca="1" si="172">IF(ISERROR(R105/Q105),"-",R105/Q105)</f>
        <v>-</v>
      </c>
      <c r="T105" s="138"/>
      <c r="U105" s="151">
        <f ca="1">_xll.DBRW(Server&amp;Cube1,$J$12,$L$13,$J$14,$U$1,$U$2,$J$15,$D105)</f>
        <v>0</v>
      </c>
      <c r="V105" s="152">
        <f t="shared" ref="V105" ca="1" si="173">L105-U105</f>
        <v>0</v>
      </c>
      <c r="W105" s="153" t="str">
        <f t="shared" ref="W105" ca="1" si="174">IF(ISERROR(V105/U105),"-",V105/U105)</f>
        <v>-</v>
      </c>
      <c r="X105" s="65"/>
      <c r="Y105" s="31"/>
      <c r="Z105" s="9"/>
      <c r="AA105" s="66"/>
      <c r="AB105" s="66"/>
      <c r="AC105" s="9"/>
      <c r="AD105" s="9"/>
      <c r="AE105" s="9"/>
      <c r="AF105" s="9"/>
      <c r="AG105" s="9"/>
      <c r="AH105" s="9"/>
      <c r="AI105" s="9"/>
      <c r="AJ105" s="9"/>
      <c r="AK105" s="9"/>
      <c r="AL105" s="9"/>
      <c r="AM105" s="9"/>
      <c r="AN105" s="9"/>
      <c r="AO105" s="9"/>
      <c r="AP105" s="9"/>
      <c r="AQ105" s="9"/>
      <c r="AR105" s="9"/>
      <c r="AS105" s="9"/>
      <c r="AT105" s="9"/>
      <c r="AU105" s="9"/>
      <c r="AV105" s="9"/>
      <c r="AW105" s="9"/>
      <c r="AX105" s="9"/>
      <c r="AY105" s="9"/>
      <c r="AZ105" s="9"/>
      <c r="BA105" s="9"/>
      <c r="BB105" s="9"/>
      <c r="BC105" s="9"/>
      <c r="BD105" s="9"/>
      <c r="BE105" s="9"/>
      <c r="BF105" s="9"/>
      <c r="BG105" s="9"/>
      <c r="BH105" s="9"/>
      <c r="BI105" s="9"/>
      <c r="BJ105" s="9"/>
      <c r="BK105" s="9"/>
      <c r="BL105" s="9"/>
      <c r="BM105" s="9"/>
      <c r="BN105" s="9"/>
      <c r="BO105" s="9"/>
      <c r="BP105" s="9"/>
      <c r="BQ105" s="9"/>
      <c r="BR105" s="9"/>
      <c r="BS105" s="9"/>
      <c r="BT105" s="9"/>
      <c r="BU105" s="9"/>
      <c r="BV105" s="9"/>
      <c r="BW105" s="9"/>
      <c r="BX105" s="9"/>
      <c r="BY105" s="9"/>
      <c r="BZ105" s="9"/>
      <c r="CA105" s="9"/>
      <c r="CB105" s="9"/>
      <c r="CC105" s="9"/>
      <c r="CD105" s="9"/>
      <c r="CE105" s="9"/>
      <c r="CF105" s="9"/>
      <c r="CG105" s="9"/>
      <c r="CH105" s="9"/>
      <c r="CI105" s="9"/>
      <c r="CJ105" s="9"/>
      <c r="CK105" s="9"/>
      <c r="CL105" s="9"/>
      <c r="CM105" s="9"/>
      <c r="CN105" s="9"/>
      <c r="CO105" s="9"/>
      <c r="CP105" s="9"/>
      <c r="CQ105" s="9"/>
      <c r="CR105" s="9"/>
      <c r="CS105" s="9"/>
      <c r="CT105" s="9"/>
      <c r="CU105" s="9"/>
      <c r="CV105" s="9"/>
      <c r="CW105" s="9"/>
      <c r="CX105" s="9"/>
      <c r="CY105" s="9"/>
      <c r="CZ105" s="9"/>
      <c r="DA105" s="9"/>
      <c r="DB105" s="9"/>
      <c r="DC105" s="9"/>
      <c r="DD105" s="9"/>
      <c r="DE105" s="9"/>
      <c r="DF105" s="9"/>
      <c r="DG105" s="9"/>
      <c r="DH105" s="9"/>
      <c r="DI105" s="9"/>
      <c r="DJ105" s="9"/>
      <c r="DK105" s="9"/>
      <c r="DL105" s="9"/>
      <c r="DM105" s="9"/>
      <c r="DN105" s="9"/>
    </row>
    <row r="106" spans="2:118" ht="21" hidden="1" customHeight="1" outlineLevel="1" x14ac:dyDescent="0.25">
      <c r="B106" s="60"/>
      <c r="C106" s="44"/>
      <c r="D106" s="216" t="s">
        <v>155</v>
      </c>
      <c r="E106" s="62"/>
      <c r="F106" s="63"/>
      <c r="G106" s="41"/>
      <c r="H106" s="232" t="str">
        <f ca="1">_xll.DBRA(Server&amp;$D$20,$D106,"French")</f>
        <v>Reprographie et documentation technique</v>
      </c>
      <c r="I106" s="232"/>
      <c r="J106" s="232"/>
      <c r="K106" s="150"/>
      <c r="L106" s="151">
        <f ca="1">_xll.DBRW(Server&amp;Cube1,$J$12,$L$13,$J$14,$L$1,$J$11,$J$15,$D106)</f>
        <v>-6622.4000000000005</v>
      </c>
      <c r="M106" s="151">
        <f ca="1">_xll.DBRW(Server&amp;Cube1,$J$12,$L$13,$J$14,$M$1,$J$11,$J$15,$D106)</f>
        <v>-4800</v>
      </c>
      <c r="N106" s="152">
        <f t="shared" ref="N106" ca="1" si="175">L106-M106</f>
        <v>-1822.4000000000005</v>
      </c>
      <c r="O106" s="153">
        <f t="shared" ref="O106" ca="1" si="176">IF(ISERROR(N106/M106),"-",N106/M106)</f>
        <v>0.37966666666666676</v>
      </c>
      <c r="P106" s="138"/>
      <c r="Q106" s="151">
        <f ca="1">_xll.DBRW(Server&amp;Cube1,$J$12,$L$13,$J$14,$Q$1,$J$11,$J$15,$D106)</f>
        <v>0</v>
      </c>
      <c r="R106" s="152">
        <f t="shared" ref="R106" ca="1" si="177">L106-Q106</f>
        <v>-6622.4000000000005</v>
      </c>
      <c r="S106" s="153" t="str">
        <f t="shared" ref="S106" ca="1" si="178">IF(ISERROR(R106/Q106),"-",R106/Q106)</f>
        <v>-</v>
      </c>
      <c r="T106" s="138"/>
      <c r="U106" s="151">
        <f ca="1">_xll.DBRW(Server&amp;Cube1,$J$12,$L$13,$J$14,$U$1,$U$2,$J$15,$D106)</f>
        <v>-7444.24</v>
      </c>
      <c r="V106" s="152">
        <f t="shared" ref="V106" ca="1" si="179">L106-U106</f>
        <v>821.83999999999924</v>
      </c>
      <c r="W106" s="153">
        <f t="shared" ref="W106" ca="1" si="180">IF(ISERROR(V106/U106),"-",V106/U106)</f>
        <v>-0.11039944977593405</v>
      </c>
      <c r="X106" s="65"/>
      <c r="Y106" s="31"/>
      <c r="Z106" s="9"/>
      <c r="AA106" s="66"/>
      <c r="AB106" s="66"/>
      <c r="AC106" s="9"/>
      <c r="AD106" s="9"/>
      <c r="AE106" s="9"/>
      <c r="AF106" s="9"/>
      <c r="AG106" s="9"/>
      <c r="AH106" s="9"/>
      <c r="AI106" s="9"/>
      <c r="AJ106" s="9"/>
      <c r="AK106" s="9"/>
      <c r="AL106" s="9"/>
      <c r="AM106" s="9"/>
      <c r="AN106" s="9"/>
      <c r="AO106" s="9"/>
      <c r="AP106" s="9"/>
      <c r="AQ106" s="9"/>
      <c r="AR106" s="9"/>
      <c r="AS106" s="9"/>
      <c r="AT106" s="9"/>
      <c r="AU106" s="9"/>
      <c r="AV106" s="9"/>
      <c r="AW106" s="9"/>
      <c r="AX106" s="9"/>
      <c r="AY106" s="9"/>
      <c r="AZ106" s="9"/>
      <c r="BA106" s="9"/>
      <c r="BB106" s="9"/>
      <c r="BC106" s="9"/>
      <c r="BD106" s="9"/>
      <c r="BE106" s="9"/>
      <c r="BF106" s="9"/>
      <c r="BG106" s="9"/>
      <c r="BH106" s="9"/>
      <c r="BI106" s="9"/>
      <c r="BJ106" s="9"/>
      <c r="BK106" s="9"/>
      <c r="BL106" s="9"/>
      <c r="BM106" s="9"/>
      <c r="BN106" s="9"/>
      <c r="BO106" s="9"/>
      <c r="BP106" s="9"/>
      <c r="BQ106" s="9"/>
      <c r="BR106" s="9"/>
      <c r="BS106" s="9"/>
      <c r="BT106" s="9"/>
      <c r="BU106" s="9"/>
      <c r="BV106" s="9"/>
      <c r="BW106" s="9"/>
      <c r="BX106" s="9"/>
      <c r="BY106" s="9"/>
      <c r="BZ106" s="9"/>
      <c r="CA106" s="9"/>
      <c r="CB106" s="9"/>
      <c r="CC106" s="9"/>
      <c r="CD106" s="9"/>
      <c r="CE106" s="9"/>
      <c r="CF106" s="9"/>
      <c r="CG106" s="9"/>
      <c r="CH106" s="9"/>
      <c r="CI106" s="9"/>
      <c r="CJ106" s="9"/>
      <c r="CK106" s="9"/>
      <c r="CL106" s="9"/>
      <c r="CM106" s="9"/>
      <c r="CN106" s="9"/>
      <c r="CO106" s="9"/>
      <c r="CP106" s="9"/>
      <c r="CQ106" s="9"/>
      <c r="CR106" s="9"/>
      <c r="CS106" s="9"/>
      <c r="CT106" s="9"/>
      <c r="CU106" s="9"/>
      <c r="CV106" s="9"/>
      <c r="CW106" s="9"/>
      <c r="CX106" s="9"/>
      <c r="CY106" s="9"/>
      <c r="CZ106" s="9"/>
      <c r="DA106" s="9"/>
      <c r="DB106" s="9"/>
      <c r="DC106" s="9"/>
      <c r="DD106" s="9"/>
      <c r="DE106" s="9"/>
      <c r="DF106" s="9"/>
      <c r="DG106" s="9"/>
      <c r="DH106" s="9"/>
      <c r="DI106" s="9"/>
      <c r="DJ106" s="9"/>
      <c r="DK106" s="9"/>
      <c r="DL106" s="9"/>
      <c r="DM106" s="9"/>
      <c r="DN106" s="9"/>
    </row>
    <row r="107" spans="2:118" ht="21" hidden="1" customHeight="1" outlineLevel="1" x14ac:dyDescent="0.25">
      <c r="B107" s="60"/>
      <c r="C107" s="44"/>
      <c r="D107" s="216" t="s">
        <v>165</v>
      </c>
      <c r="E107" s="62"/>
      <c r="F107" s="63"/>
      <c r="G107" s="41"/>
      <c r="H107" s="232" t="str">
        <f ca="1">_xll.DBRA(Server&amp;$D$20,$D107,"French")</f>
        <v>Documentation technique</v>
      </c>
      <c r="I107" s="232"/>
      <c r="J107" s="232"/>
      <c r="K107" s="150"/>
      <c r="L107" s="151">
        <f ca="1">_xll.DBRW(Server&amp;Cube1,$J$12,$L$13,$J$14,$L$1,$J$11,$J$15,$D107)</f>
        <v>-7519.9600000000009</v>
      </c>
      <c r="M107" s="151">
        <f ca="1">_xll.DBRW(Server&amp;Cube1,$J$12,$L$13,$J$14,$M$1,$J$11,$J$15,$D107)</f>
        <v>-5690.0000000000009</v>
      </c>
      <c r="N107" s="152">
        <f t="shared" ref="N107" ca="1" si="181">L107-M107</f>
        <v>-1829.96</v>
      </c>
      <c r="O107" s="153">
        <f t="shared" ref="O107" ca="1" si="182">IF(ISERROR(N107/M107),"-",N107/M107)</f>
        <v>0.32160984182776797</v>
      </c>
      <c r="P107" s="138"/>
      <c r="Q107" s="151">
        <f ca="1">_xll.DBRW(Server&amp;Cube1,$J$12,$L$13,$J$14,$Q$1,$J$11,$J$15,$D107)</f>
        <v>0</v>
      </c>
      <c r="R107" s="152">
        <f t="shared" ref="R107" ca="1" si="183">L107-Q107</f>
        <v>-7519.9600000000009</v>
      </c>
      <c r="S107" s="153" t="str">
        <f t="shared" ref="S107" ca="1" si="184">IF(ISERROR(R107/Q107),"-",R107/Q107)</f>
        <v>-</v>
      </c>
      <c r="T107" s="138"/>
      <c r="U107" s="151">
        <f ca="1">_xll.DBRW(Server&amp;Cube1,$J$12,$L$13,$J$14,$U$1,$U$2,$J$15,$D107)</f>
        <v>-9545.4399999999987</v>
      </c>
      <c r="V107" s="152">
        <f t="shared" ref="V107" ca="1" si="185">L107-U107</f>
        <v>2025.4799999999977</v>
      </c>
      <c r="W107" s="153">
        <f t="shared" ref="W107" ca="1" si="186">IF(ISERROR(V107/U107),"-",V107/U107)</f>
        <v>-0.21219346619956733</v>
      </c>
      <c r="X107" s="65"/>
      <c r="Y107" s="31"/>
      <c r="Z107" s="9"/>
      <c r="AA107" s="66"/>
      <c r="AB107" s="66"/>
      <c r="AC107" s="9"/>
      <c r="AD107" s="9"/>
      <c r="AE107" s="9"/>
      <c r="AF107" s="9"/>
      <c r="AG107" s="9"/>
      <c r="AH107" s="9"/>
      <c r="AI107" s="9"/>
      <c r="AJ107" s="9"/>
      <c r="AK107" s="9"/>
      <c r="AL107" s="9"/>
      <c r="AM107" s="9"/>
      <c r="AN107" s="9"/>
      <c r="AO107" s="9"/>
      <c r="AP107" s="9"/>
      <c r="AQ107" s="9"/>
      <c r="AR107" s="9"/>
      <c r="AS107" s="9"/>
      <c r="AT107" s="9"/>
      <c r="AU107" s="9"/>
      <c r="AV107" s="9"/>
      <c r="AW107" s="9"/>
      <c r="AX107" s="9"/>
      <c r="AY107" s="9"/>
      <c r="AZ107" s="9"/>
      <c r="BA107" s="9"/>
      <c r="BB107" s="9"/>
      <c r="BC107" s="9"/>
      <c r="BD107" s="9"/>
      <c r="BE107" s="9"/>
      <c r="BF107" s="9"/>
      <c r="BG107" s="9"/>
      <c r="BH107" s="9"/>
      <c r="BI107" s="9"/>
      <c r="BJ107" s="9"/>
      <c r="BK107" s="9"/>
      <c r="BL107" s="9"/>
      <c r="BM107" s="9"/>
      <c r="BN107" s="9"/>
      <c r="BO107" s="9"/>
      <c r="BP107" s="9"/>
      <c r="BQ107" s="9"/>
      <c r="BR107" s="9"/>
      <c r="BS107" s="9"/>
      <c r="BT107" s="9"/>
      <c r="BU107" s="9"/>
      <c r="BV107" s="9"/>
      <c r="BW107" s="9"/>
      <c r="BX107" s="9"/>
      <c r="BY107" s="9"/>
      <c r="BZ107" s="9"/>
      <c r="CA107" s="9"/>
      <c r="CB107" s="9"/>
      <c r="CC107" s="9"/>
      <c r="CD107" s="9"/>
      <c r="CE107" s="9"/>
      <c r="CF107" s="9"/>
      <c r="CG107" s="9"/>
      <c r="CH107" s="9"/>
      <c r="CI107" s="9"/>
      <c r="CJ107" s="9"/>
      <c r="CK107" s="9"/>
      <c r="CL107" s="9"/>
      <c r="CM107" s="9"/>
      <c r="CN107" s="9"/>
      <c r="CO107" s="9"/>
      <c r="CP107" s="9"/>
      <c r="CQ107" s="9"/>
      <c r="CR107" s="9"/>
      <c r="CS107" s="9"/>
      <c r="CT107" s="9"/>
      <c r="CU107" s="9"/>
      <c r="CV107" s="9"/>
      <c r="CW107" s="9"/>
      <c r="CX107" s="9"/>
      <c r="CY107" s="9"/>
      <c r="CZ107" s="9"/>
      <c r="DA107" s="9"/>
      <c r="DB107" s="9"/>
      <c r="DC107" s="9"/>
      <c r="DD107" s="9"/>
      <c r="DE107" s="9"/>
      <c r="DF107" s="9"/>
      <c r="DG107" s="9"/>
      <c r="DH107" s="9"/>
      <c r="DI107" s="9"/>
      <c r="DJ107" s="9"/>
      <c r="DK107" s="9"/>
      <c r="DL107" s="9"/>
      <c r="DM107" s="9"/>
      <c r="DN107" s="9"/>
    </row>
    <row r="108" spans="2:118" ht="21" hidden="1" customHeight="1" outlineLevel="1" x14ac:dyDescent="0.25">
      <c r="B108" s="60"/>
      <c r="C108" s="44"/>
      <c r="D108" s="214" t="s">
        <v>144</v>
      </c>
      <c r="E108" s="62"/>
      <c r="F108" s="63"/>
      <c r="G108" s="41"/>
      <c r="H108" s="232" t="str">
        <f ca="1">_xll.DBRA(Server&amp;$D$20,$D108,"French")</f>
        <v>Frais de publicité et marketing</v>
      </c>
      <c r="I108" s="232"/>
      <c r="J108" s="232"/>
      <c r="K108" s="150"/>
      <c r="L108" s="151">
        <f ca="1">_xll.DBRW(Server&amp;Cube1,$J$12,$L$13,$J$14,$L$1,$J$11,$J$15,$D108)</f>
        <v>-1095</v>
      </c>
      <c r="M108" s="151">
        <f ca="1">_xll.DBRW(Server&amp;Cube1,$J$12,$L$13,$J$14,$M$1,$J$11,$J$15,$D108)</f>
        <v>-1500</v>
      </c>
      <c r="N108" s="152">
        <f t="shared" ref="N108" ca="1" si="187">L108-M108</f>
        <v>405</v>
      </c>
      <c r="O108" s="153">
        <f t="shared" ref="O108" ca="1" si="188">IF(ISERROR(N108/M108),"-",N108/M108)</f>
        <v>-0.27</v>
      </c>
      <c r="P108" s="138"/>
      <c r="Q108" s="151">
        <f ca="1">_xll.DBRW(Server&amp;Cube1,$J$12,$L$13,$J$14,$Q$1,$J$11,$J$15,$D108)</f>
        <v>0</v>
      </c>
      <c r="R108" s="152">
        <f t="shared" ref="R108" ca="1" si="189">L108-Q108</f>
        <v>-1095</v>
      </c>
      <c r="S108" s="153" t="str">
        <f t="shared" ref="S108" ca="1" si="190">IF(ISERROR(R108/Q108),"-",R108/Q108)</f>
        <v>-</v>
      </c>
      <c r="T108" s="138"/>
      <c r="U108" s="151">
        <f ca="1">_xll.DBRW(Server&amp;Cube1,$J$12,$L$13,$J$14,$U$1,$U$2,$J$15,$D108)</f>
        <v>-1460</v>
      </c>
      <c r="V108" s="152">
        <f t="shared" ref="V108" ca="1" si="191">L108-U108</f>
        <v>365</v>
      </c>
      <c r="W108" s="153">
        <f t="shared" ref="W108" ca="1" si="192">IF(ISERROR(V108/U108),"-",V108/U108)</f>
        <v>-0.25</v>
      </c>
      <c r="X108" s="65"/>
      <c r="Y108" s="31"/>
      <c r="Z108" s="9"/>
      <c r="AA108" s="66"/>
      <c r="AB108" s="66"/>
      <c r="AC108" s="9"/>
      <c r="AD108" s="9"/>
      <c r="AE108" s="9"/>
      <c r="AF108" s="9"/>
      <c r="AG108" s="9"/>
      <c r="AH108" s="9"/>
      <c r="AI108" s="9"/>
      <c r="AJ108" s="9"/>
      <c r="AK108" s="9"/>
      <c r="AL108" s="9"/>
      <c r="AM108" s="9"/>
      <c r="AN108" s="9"/>
      <c r="AO108" s="9"/>
      <c r="AP108" s="9"/>
      <c r="AQ108" s="9"/>
      <c r="AR108" s="9"/>
      <c r="AS108" s="9"/>
      <c r="AT108" s="9"/>
      <c r="AU108" s="9"/>
      <c r="AV108" s="9"/>
      <c r="AW108" s="9"/>
      <c r="AX108" s="9"/>
      <c r="AY108" s="9"/>
      <c r="AZ108" s="9"/>
      <c r="BA108" s="9"/>
      <c r="BB108" s="9"/>
      <c r="BC108" s="9"/>
      <c r="BD108" s="9"/>
      <c r="BE108" s="9"/>
      <c r="BF108" s="9"/>
      <c r="BG108" s="9"/>
      <c r="BH108" s="9"/>
      <c r="BI108" s="9"/>
      <c r="BJ108" s="9"/>
      <c r="BK108" s="9"/>
      <c r="BL108" s="9"/>
      <c r="BM108" s="9"/>
      <c r="BN108" s="9"/>
      <c r="BO108" s="9"/>
      <c r="BP108" s="9"/>
      <c r="BQ108" s="9"/>
      <c r="BR108" s="9"/>
      <c r="BS108" s="9"/>
      <c r="BT108" s="9"/>
      <c r="BU108" s="9"/>
      <c r="BV108" s="9"/>
      <c r="BW108" s="9"/>
      <c r="BX108" s="9"/>
      <c r="BY108" s="9"/>
      <c r="BZ108" s="9"/>
      <c r="CA108" s="9"/>
      <c r="CB108" s="9"/>
      <c r="CC108" s="9"/>
      <c r="CD108" s="9"/>
      <c r="CE108" s="9"/>
      <c r="CF108" s="9"/>
      <c r="CG108" s="9"/>
      <c r="CH108" s="9"/>
      <c r="CI108" s="9"/>
      <c r="CJ108" s="9"/>
      <c r="CK108" s="9"/>
      <c r="CL108" s="9"/>
      <c r="CM108" s="9"/>
      <c r="CN108" s="9"/>
      <c r="CO108" s="9"/>
      <c r="CP108" s="9"/>
      <c r="CQ108" s="9"/>
      <c r="CR108" s="9"/>
      <c r="CS108" s="9"/>
      <c r="CT108" s="9"/>
      <c r="CU108" s="9"/>
      <c r="CV108" s="9"/>
      <c r="CW108" s="9"/>
      <c r="CX108" s="9"/>
      <c r="CY108" s="9"/>
      <c r="CZ108" s="9"/>
      <c r="DA108" s="9"/>
      <c r="DB108" s="9"/>
      <c r="DC108" s="9"/>
      <c r="DD108" s="9"/>
      <c r="DE108" s="9"/>
      <c r="DF108" s="9"/>
      <c r="DG108" s="9"/>
      <c r="DH108" s="9"/>
      <c r="DI108" s="9"/>
      <c r="DJ108" s="9"/>
      <c r="DK108" s="9"/>
      <c r="DL108" s="9"/>
      <c r="DM108" s="9"/>
      <c r="DN108" s="9"/>
    </row>
    <row r="109" spans="2:118" ht="21" hidden="1" customHeight="1" outlineLevel="1" x14ac:dyDescent="0.25">
      <c r="B109" s="60"/>
      <c r="C109" s="44"/>
      <c r="D109" s="203" t="s">
        <v>115</v>
      </c>
      <c r="E109" s="62"/>
      <c r="F109" s="63"/>
      <c r="G109" s="41"/>
      <c r="H109" s="232" t="s">
        <v>173</v>
      </c>
      <c r="I109" s="232"/>
      <c r="J109" s="232"/>
      <c r="K109" s="150"/>
      <c r="L109" s="151">
        <f ca="1">_xll.DBRW(Server&amp;Cube1,$J$12,$L$13,$J$14,$L$1,$J$11,$J$15,$D109)</f>
        <v>-3409</v>
      </c>
      <c r="M109" s="151">
        <f ca="1">_xll.DBRW(Server&amp;Cube1,$J$12,$L$13,$J$14,$M$1,$J$11,$J$15,$D109)</f>
        <v>-549.99999999999989</v>
      </c>
      <c r="N109" s="152">
        <f ca="1">L109-M109</f>
        <v>-2859</v>
      </c>
      <c r="O109" s="153">
        <f ca="1">IF(ISERROR(N109/M109),"-",N109/M109)</f>
        <v>5.1981818181818191</v>
      </c>
      <c r="P109" s="138"/>
      <c r="Q109" s="151">
        <f ca="1">_xll.DBRW(Server&amp;Cube1,$J$12,$L$13,$J$14,$Q$1,$J$11,$J$15,$D109)</f>
        <v>0</v>
      </c>
      <c r="R109" s="152">
        <f ca="1">L109-Q109</f>
        <v>-3409</v>
      </c>
      <c r="S109" s="153" t="str">
        <f ca="1">IF(ISERROR(R109/Q109),"-",R109/Q109)</f>
        <v>-</v>
      </c>
      <c r="T109" s="138"/>
      <c r="U109" s="151">
        <f ca="1">_xll.DBRW(Server&amp;Cube1,$J$12,$L$13,$J$14,$U$1,$U$2,$J$15,$D109)</f>
        <v>-1880</v>
      </c>
      <c r="V109" s="152">
        <f ca="1">L109-U109</f>
        <v>-1529</v>
      </c>
      <c r="W109" s="153">
        <f ca="1">IF(ISERROR(V109/U109),"-",V109/U109)</f>
        <v>0.8132978723404255</v>
      </c>
      <c r="X109" s="65"/>
      <c r="Y109" s="31"/>
      <c r="Z109" s="9"/>
      <c r="AA109" s="66"/>
      <c r="AB109" s="66"/>
      <c r="AC109" s="9"/>
      <c r="AD109" s="9"/>
      <c r="AE109" s="9"/>
      <c r="AF109" s="9"/>
      <c r="AG109" s="9"/>
      <c r="AH109" s="9"/>
      <c r="AI109" s="9"/>
      <c r="AJ109" s="9"/>
      <c r="AK109" s="9"/>
      <c r="AL109" s="9"/>
      <c r="AM109" s="9"/>
      <c r="AN109" s="9"/>
      <c r="AO109" s="9"/>
      <c r="AP109" s="9"/>
      <c r="AQ109" s="9"/>
      <c r="AR109" s="9"/>
      <c r="AS109" s="9"/>
      <c r="AT109" s="9"/>
      <c r="AU109" s="9"/>
      <c r="AV109" s="9"/>
      <c r="AW109" s="9"/>
      <c r="AX109" s="9"/>
      <c r="AY109" s="9"/>
      <c r="AZ109" s="9"/>
      <c r="BA109" s="9"/>
      <c r="BB109" s="9"/>
      <c r="BC109" s="9"/>
      <c r="BD109" s="9"/>
      <c r="BE109" s="9"/>
      <c r="BF109" s="9"/>
      <c r="BG109" s="9"/>
      <c r="BH109" s="9"/>
      <c r="BI109" s="9"/>
      <c r="BJ109" s="9"/>
      <c r="BK109" s="9"/>
      <c r="BL109" s="9"/>
      <c r="BM109" s="9"/>
      <c r="BN109" s="9"/>
      <c r="BO109" s="9"/>
      <c r="BP109" s="9"/>
      <c r="BQ109" s="9"/>
      <c r="BR109" s="9"/>
      <c r="BS109" s="9"/>
      <c r="BT109" s="9"/>
      <c r="BU109" s="9"/>
      <c r="BV109" s="9"/>
      <c r="BW109" s="9"/>
      <c r="BX109" s="9"/>
      <c r="BY109" s="9"/>
      <c r="BZ109" s="9"/>
      <c r="CA109" s="9"/>
      <c r="CB109" s="9"/>
      <c r="CC109" s="9"/>
      <c r="CD109" s="9"/>
      <c r="CE109" s="9"/>
      <c r="CF109" s="9"/>
      <c r="CG109" s="9"/>
      <c r="CH109" s="9"/>
      <c r="CI109" s="9"/>
      <c r="CJ109" s="9"/>
      <c r="CK109" s="9"/>
      <c r="CL109" s="9"/>
      <c r="CM109" s="9"/>
      <c r="CN109" s="9"/>
      <c r="CO109" s="9"/>
      <c r="CP109" s="9"/>
      <c r="CQ109" s="9"/>
      <c r="CR109" s="9"/>
      <c r="CS109" s="9"/>
      <c r="CT109" s="9"/>
      <c r="CU109" s="9"/>
      <c r="CV109" s="9"/>
      <c r="CW109" s="9"/>
      <c r="CX109" s="9"/>
      <c r="CY109" s="9"/>
      <c r="CZ109" s="9"/>
      <c r="DA109" s="9"/>
      <c r="DB109" s="9"/>
      <c r="DC109" s="9"/>
      <c r="DD109" s="9"/>
      <c r="DE109" s="9"/>
      <c r="DF109" s="9"/>
      <c r="DG109" s="9"/>
      <c r="DH109" s="9"/>
      <c r="DI109" s="9"/>
      <c r="DJ109" s="9"/>
      <c r="DK109" s="9"/>
      <c r="DL109" s="9"/>
      <c r="DM109" s="9"/>
      <c r="DN109" s="9"/>
    </row>
    <row r="110" spans="2:118" ht="21" hidden="1" customHeight="1" outlineLevel="1" x14ac:dyDescent="0.25">
      <c r="B110" s="60"/>
      <c r="C110" s="44"/>
      <c r="D110" s="214" t="s">
        <v>54</v>
      </c>
      <c r="E110" s="62"/>
      <c r="F110" s="63"/>
      <c r="G110" s="41"/>
      <c r="H110" s="232" t="str">
        <f ca="1">_xll.DBRA(Server&amp;$D$20,$D110,"French")</f>
        <v>Catalogue "Siège"</v>
      </c>
      <c r="I110" s="232"/>
      <c r="J110" s="232"/>
      <c r="K110" s="150"/>
      <c r="L110" s="151">
        <f ca="1">_xll.DBRW(Server&amp;Cube1,$J$12,$L$13,$J$14,$L$1,$J$11,$J$15,$D110)</f>
        <v>-8570</v>
      </c>
      <c r="M110" s="151">
        <f ca="1">_xll.DBRW(Server&amp;Cube1,$J$12,$L$13,$J$14,$M$1,$J$11,$J$15,$D110)</f>
        <v>-15000</v>
      </c>
      <c r="N110" s="152">
        <f t="shared" ref="N110" ca="1" si="193">L110-M110</f>
        <v>6430</v>
      </c>
      <c r="O110" s="153">
        <f t="shared" ref="O110" ca="1" si="194">IF(ISERROR(N110/M110),"-",N110/M110)</f>
        <v>-0.42866666666666664</v>
      </c>
      <c r="P110" s="138"/>
      <c r="Q110" s="151">
        <f ca="1">_xll.DBRW(Server&amp;Cube1,$J$12,$L$13,$J$14,$Q$1,$J$11,$J$15,$D110)</f>
        <v>0</v>
      </c>
      <c r="R110" s="152">
        <f t="shared" ref="R110" ca="1" si="195">L110-Q110</f>
        <v>-8570</v>
      </c>
      <c r="S110" s="153" t="str">
        <f t="shared" ref="S110" ca="1" si="196">IF(ISERROR(R110/Q110),"-",R110/Q110)</f>
        <v>-</v>
      </c>
      <c r="T110" s="138"/>
      <c r="U110" s="151">
        <f ca="1">_xll.DBRW(Server&amp;Cube1,$J$12,$L$13,$J$14,$U$1,$U$2,$J$15,$D110)</f>
        <v>10257</v>
      </c>
      <c r="V110" s="152">
        <f t="shared" ref="V110" ca="1" si="197">L110-U110</f>
        <v>-18827</v>
      </c>
      <c r="W110" s="153"/>
      <c r="X110" s="65"/>
      <c r="Y110" s="31"/>
      <c r="Z110" s="9"/>
      <c r="AA110" s="66"/>
      <c r="AB110" s="66"/>
      <c r="AC110" s="9"/>
      <c r="AD110" s="9"/>
      <c r="AE110" s="9"/>
      <c r="AF110" s="9"/>
      <c r="AG110" s="9"/>
      <c r="AH110" s="9"/>
      <c r="AI110" s="9"/>
      <c r="AJ110" s="9"/>
      <c r="AK110" s="9"/>
      <c r="AL110" s="9"/>
      <c r="AM110" s="9"/>
      <c r="AN110" s="9"/>
      <c r="AO110" s="9"/>
      <c r="AP110" s="9"/>
      <c r="AQ110" s="9"/>
      <c r="AR110" s="9"/>
      <c r="AS110" s="9"/>
      <c r="AT110" s="9"/>
      <c r="AU110" s="9"/>
      <c r="AV110" s="9"/>
      <c r="AW110" s="9"/>
      <c r="AX110" s="9"/>
      <c r="AY110" s="9"/>
      <c r="AZ110" s="9"/>
      <c r="BA110" s="9"/>
      <c r="BB110" s="9"/>
      <c r="BC110" s="9"/>
      <c r="BD110" s="9"/>
      <c r="BE110" s="9"/>
      <c r="BF110" s="9"/>
      <c r="BG110" s="9"/>
      <c r="BH110" s="9"/>
      <c r="BI110" s="9"/>
      <c r="BJ110" s="9"/>
      <c r="BK110" s="9"/>
      <c r="BL110" s="9"/>
      <c r="BM110" s="9"/>
      <c r="BN110" s="9"/>
      <c r="BO110" s="9"/>
      <c r="BP110" s="9"/>
      <c r="BQ110" s="9"/>
      <c r="BR110" s="9"/>
      <c r="BS110" s="9"/>
      <c r="BT110" s="9"/>
      <c r="BU110" s="9"/>
      <c r="BV110" s="9"/>
      <c r="BW110" s="9"/>
      <c r="BX110" s="9"/>
      <c r="BY110" s="9"/>
      <c r="BZ110" s="9"/>
      <c r="CA110" s="9"/>
      <c r="CB110" s="9"/>
      <c r="CC110" s="9"/>
      <c r="CD110" s="9"/>
      <c r="CE110" s="9"/>
      <c r="CF110" s="9"/>
      <c r="CG110" s="9"/>
      <c r="CH110" s="9"/>
      <c r="CI110" s="9"/>
      <c r="CJ110" s="9"/>
      <c r="CK110" s="9"/>
      <c r="CL110" s="9"/>
      <c r="CM110" s="9"/>
      <c r="CN110" s="9"/>
      <c r="CO110" s="9"/>
      <c r="CP110" s="9"/>
      <c r="CQ110" s="9"/>
      <c r="CR110" s="9"/>
      <c r="CS110" s="9"/>
      <c r="CT110" s="9"/>
      <c r="CU110" s="9"/>
      <c r="CV110" s="9"/>
      <c r="CW110" s="9"/>
      <c r="CX110" s="9"/>
      <c r="CY110" s="9"/>
      <c r="CZ110" s="9"/>
      <c r="DA110" s="9"/>
      <c r="DB110" s="9"/>
      <c r="DC110" s="9"/>
      <c r="DD110" s="9"/>
      <c r="DE110" s="9"/>
      <c r="DF110" s="9"/>
      <c r="DG110" s="9"/>
      <c r="DH110" s="9"/>
      <c r="DI110" s="9"/>
      <c r="DJ110" s="9"/>
      <c r="DK110" s="9"/>
      <c r="DL110" s="9"/>
      <c r="DM110" s="9"/>
      <c r="DN110" s="9"/>
    </row>
    <row r="111" spans="2:118" ht="21" hidden="1" customHeight="1" outlineLevel="1" x14ac:dyDescent="0.25">
      <c r="B111" s="60"/>
      <c r="C111" s="44"/>
      <c r="D111" s="203" t="s">
        <v>55</v>
      </c>
      <c r="E111" s="62"/>
      <c r="F111" s="63"/>
      <c r="G111" s="41"/>
      <c r="H111" s="232" t="str">
        <f ca="1">_xll.DBRA(Server&amp;$D$20,$D111,"French")</f>
        <v>Autre transport sur achat</v>
      </c>
      <c r="I111" s="232"/>
      <c r="J111" s="232"/>
      <c r="K111" s="150"/>
      <c r="L111" s="151">
        <f ca="1">_xll.DBRW(Server&amp;Cube1,$J$12,$L$13,$J$14,$L$1,$J$11,$J$15,$D111)</f>
        <v>-443.74</v>
      </c>
      <c r="M111" s="151">
        <f ca="1">_xll.DBRW(Server&amp;Cube1,$J$12,$L$13,$J$14,$M$1,$J$11,$J$15,$D111)</f>
        <v>-399.99999999999994</v>
      </c>
      <c r="N111" s="152">
        <f t="shared" ca="1" si="119"/>
        <v>-43.740000000000066</v>
      </c>
      <c r="O111" s="153">
        <f t="shared" ca="1" si="90"/>
        <v>0.10935000000000018</v>
      </c>
      <c r="P111" s="138"/>
      <c r="Q111" s="151">
        <f ca="1">_xll.DBRW(Server&amp;Cube1,$J$12,$L$13,$J$14,$Q$1,$J$11,$J$15,$D111)</f>
        <v>0</v>
      </c>
      <c r="R111" s="152">
        <f t="shared" ca="1" si="88"/>
        <v>-443.74</v>
      </c>
      <c r="S111" s="153" t="str">
        <f t="shared" ca="1" si="89"/>
        <v>-</v>
      </c>
      <c r="T111" s="138"/>
      <c r="U111" s="151">
        <f ca="1">_xll.DBRW(Server&amp;Cube1,$J$12,$L$13,$J$14,$U$1,$U$2,$J$15,$D111)</f>
        <v>-32.379999999999995</v>
      </c>
      <c r="V111" s="152">
        <f t="shared" ca="1" si="91"/>
        <v>-411.36</v>
      </c>
      <c r="W111" s="153">
        <f t="shared" ca="1" si="92"/>
        <v>12.704138357010503</v>
      </c>
      <c r="X111" s="65"/>
      <c r="Y111" s="31"/>
      <c r="Z111" s="9"/>
      <c r="AA111" s="66"/>
      <c r="AB111" s="66"/>
      <c r="AC111" s="9"/>
      <c r="AD111" s="9"/>
      <c r="AE111" s="9"/>
      <c r="AF111" s="9"/>
      <c r="AG111" s="9"/>
      <c r="AH111" s="9"/>
      <c r="AI111" s="9"/>
      <c r="AJ111" s="9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  <c r="BL111" s="9"/>
      <c r="BM111" s="9"/>
      <c r="BN111" s="9"/>
      <c r="BO111" s="9"/>
      <c r="BP111" s="9"/>
      <c r="BQ111" s="9"/>
      <c r="BR111" s="9"/>
      <c r="BS111" s="9"/>
      <c r="BT111" s="9"/>
      <c r="BU111" s="9"/>
      <c r="BV111" s="9"/>
      <c r="BW111" s="9"/>
      <c r="BX111" s="9"/>
      <c r="BY111" s="9"/>
      <c r="BZ111" s="9"/>
      <c r="CA111" s="9"/>
      <c r="CB111" s="9"/>
      <c r="CC111" s="9"/>
      <c r="CD111" s="9"/>
      <c r="CE111" s="9"/>
      <c r="CF111" s="9"/>
      <c r="CG111" s="9"/>
      <c r="CH111" s="9"/>
      <c r="CI111" s="9"/>
      <c r="CJ111" s="9"/>
      <c r="CK111" s="9"/>
      <c r="CL111" s="9"/>
      <c r="CM111" s="9"/>
      <c r="CN111" s="9"/>
      <c r="CO111" s="9"/>
      <c r="CP111" s="9"/>
      <c r="CQ111" s="9"/>
      <c r="CR111" s="9"/>
      <c r="CS111" s="9"/>
      <c r="CT111" s="9"/>
      <c r="CU111" s="9"/>
      <c r="CV111" s="9"/>
      <c r="CW111" s="9"/>
      <c r="CX111" s="9"/>
      <c r="CY111" s="9"/>
      <c r="CZ111" s="9"/>
      <c r="DA111" s="9"/>
      <c r="DB111" s="9"/>
      <c r="DC111" s="9"/>
      <c r="DD111" s="9"/>
      <c r="DE111" s="9"/>
      <c r="DF111" s="9"/>
      <c r="DG111" s="9"/>
      <c r="DH111" s="9"/>
      <c r="DI111" s="9"/>
      <c r="DJ111" s="9"/>
      <c r="DK111" s="9"/>
      <c r="DL111" s="9"/>
      <c r="DM111" s="9"/>
      <c r="DN111" s="9"/>
    </row>
    <row r="112" spans="2:118" ht="21" hidden="1" customHeight="1" outlineLevel="1" x14ac:dyDescent="0.25">
      <c r="B112" s="60"/>
      <c r="C112" s="44"/>
      <c r="D112" s="214" t="s">
        <v>158</v>
      </c>
      <c r="E112" s="62"/>
      <c r="F112" s="63"/>
      <c r="G112" s="41"/>
      <c r="H112" s="232" t="str">
        <f ca="1">_xll.DBRA(Server&amp;$D$20,$D112,"French")</f>
        <v>Frais de colloques, séminaires, conférences</v>
      </c>
      <c r="I112" s="232"/>
      <c r="J112" s="232"/>
      <c r="K112" s="150"/>
      <c r="L112" s="151">
        <f ca="1">_xll.DBRW(Server&amp;Cube1,$J$12,$L$13,$J$14,$L$1,$J$11,$J$15,$D112)</f>
        <v>-1590</v>
      </c>
      <c r="M112" s="151">
        <f ca="1">_xll.DBRW(Server&amp;Cube1,$J$12,$L$13,$J$14,$M$1,$J$11,$J$15,$D112)</f>
        <v>-8000.0000000000027</v>
      </c>
      <c r="N112" s="152">
        <f t="shared" ref="N112" ca="1" si="198">L112-M112</f>
        <v>6410.0000000000027</v>
      </c>
      <c r="O112" s="153">
        <f t="shared" ref="O112" ca="1" si="199">IF(ISERROR(N112/M112),"-",N112/M112)</f>
        <v>-0.80125000000000002</v>
      </c>
      <c r="P112" s="138"/>
      <c r="Q112" s="151">
        <f ca="1">_xll.DBRW(Server&amp;Cube1,$J$12,$L$13,$J$14,$Q$1,$J$11,$J$15,$D112)</f>
        <v>0</v>
      </c>
      <c r="R112" s="152">
        <f t="shared" ref="R112" ca="1" si="200">L112-Q112</f>
        <v>-1590</v>
      </c>
      <c r="S112" s="153" t="str">
        <f t="shared" ref="S112" ca="1" si="201">IF(ISERROR(R112/Q112),"-",R112/Q112)</f>
        <v>-</v>
      </c>
      <c r="T112" s="138"/>
      <c r="U112" s="151">
        <f ca="1">_xll.DBRW(Server&amp;Cube1,$J$12,$L$13,$J$14,$U$1,$U$2,$J$15,$D112)</f>
        <v>-3685.48</v>
      </c>
      <c r="V112" s="152">
        <f t="shared" ref="V112" ca="1" si="202">L112-U112</f>
        <v>2095.48</v>
      </c>
      <c r="W112" s="153">
        <f t="shared" ref="W112" ca="1" si="203">IF(ISERROR(V112/U112),"-",V112/U112)</f>
        <v>-0.568577227389648</v>
      </c>
      <c r="X112" s="65"/>
      <c r="Y112" s="31"/>
      <c r="Z112" s="9"/>
      <c r="AA112" s="66"/>
      <c r="AB112" s="66"/>
      <c r="AC112" s="9"/>
      <c r="AD112" s="9"/>
      <c r="AE112" s="9"/>
      <c r="AF112" s="9"/>
      <c r="AG112" s="9"/>
      <c r="AH112" s="9"/>
      <c r="AI112" s="9"/>
      <c r="AJ112" s="9"/>
      <c r="AK112" s="9"/>
      <c r="AL112" s="9"/>
      <c r="AM112" s="9"/>
      <c r="AN112" s="9"/>
      <c r="AO112" s="9"/>
      <c r="AP112" s="9"/>
      <c r="AQ112" s="9"/>
      <c r="AR112" s="9"/>
      <c r="AS112" s="9"/>
      <c r="AT112" s="9"/>
      <c r="AU112" s="9"/>
      <c r="AV112" s="9"/>
      <c r="AW112" s="9"/>
      <c r="AX112" s="9"/>
      <c r="AY112" s="9"/>
      <c r="AZ112" s="9"/>
      <c r="BA112" s="9"/>
      <c r="BB112" s="9"/>
      <c r="BC112" s="9"/>
      <c r="BD112" s="9"/>
      <c r="BE112" s="9"/>
      <c r="BF112" s="9"/>
      <c r="BG112" s="9"/>
      <c r="BH112" s="9"/>
      <c r="BI112" s="9"/>
      <c r="BJ112" s="9"/>
      <c r="BK112" s="9"/>
      <c r="BL112" s="9"/>
      <c r="BM112" s="9"/>
      <c r="BN112" s="9"/>
      <c r="BO112" s="9"/>
      <c r="BP112" s="9"/>
      <c r="BQ112" s="9"/>
      <c r="BR112" s="9"/>
      <c r="BS112" s="9"/>
      <c r="BT112" s="9"/>
      <c r="BU112" s="9"/>
      <c r="BV112" s="9"/>
      <c r="BW112" s="9"/>
      <c r="BX112" s="9"/>
      <c r="BY112" s="9"/>
      <c r="BZ112" s="9"/>
      <c r="CA112" s="9"/>
      <c r="CB112" s="9"/>
      <c r="CC112" s="9"/>
      <c r="CD112" s="9"/>
      <c r="CE112" s="9"/>
      <c r="CF112" s="9"/>
      <c r="CG112" s="9"/>
      <c r="CH112" s="9"/>
      <c r="CI112" s="9"/>
      <c r="CJ112" s="9"/>
      <c r="CK112" s="9"/>
      <c r="CL112" s="9"/>
      <c r="CM112" s="9"/>
      <c r="CN112" s="9"/>
      <c r="CO112" s="9"/>
      <c r="CP112" s="9"/>
      <c r="CQ112" s="9"/>
      <c r="CR112" s="9"/>
      <c r="CS112" s="9"/>
      <c r="CT112" s="9"/>
      <c r="CU112" s="9"/>
      <c r="CV112" s="9"/>
      <c r="CW112" s="9"/>
      <c r="CX112" s="9"/>
      <c r="CY112" s="9"/>
      <c r="CZ112" s="9"/>
      <c r="DA112" s="9"/>
      <c r="DB112" s="9"/>
      <c r="DC112" s="9"/>
      <c r="DD112" s="9"/>
      <c r="DE112" s="9"/>
      <c r="DF112" s="9"/>
      <c r="DG112" s="9"/>
      <c r="DH112" s="9"/>
      <c r="DI112" s="9"/>
      <c r="DJ112" s="9"/>
      <c r="DK112" s="9"/>
      <c r="DL112" s="9"/>
      <c r="DM112" s="9"/>
      <c r="DN112" s="9"/>
    </row>
    <row r="113" spans="2:118" ht="21" hidden="1" customHeight="1" outlineLevel="1" x14ac:dyDescent="0.25">
      <c r="B113" s="60"/>
      <c r="C113" s="44"/>
      <c r="D113" s="203" t="s">
        <v>113</v>
      </c>
      <c r="E113" s="62"/>
      <c r="F113" s="63"/>
      <c r="G113" s="41"/>
      <c r="H113" s="232" t="str">
        <f ca="1">_xll.DBRA(Server&amp;$D$20,$D113,"French")</f>
        <v>Frais de déménagements</v>
      </c>
      <c r="I113" s="232"/>
      <c r="J113" s="232"/>
      <c r="K113" s="150"/>
      <c r="L113" s="151">
        <f ca="1">_xll.DBRW(Server&amp;Cube1,$J$12,$L$13,$J$14,$L$1,$J$11,$J$15,$D113)</f>
        <v>0</v>
      </c>
      <c r="M113" s="151">
        <f ca="1">_xll.DBRW(Server&amp;Cube1,$J$12,$L$13,$J$14,$M$1,$J$11,$J$15,$D113)</f>
        <v>0</v>
      </c>
      <c r="N113" s="152">
        <f ca="1">L113-M113</f>
        <v>0</v>
      </c>
      <c r="O113" s="153" t="str">
        <f ca="1">IF(ISERROR(N113/M113),"-",N113/M113)</f>
        <v>-</v>
      </c>
      <c r="P113" s="138"/>
      <c r="Q113" s="151">
        <f ca="1">_xll.DBRW(Server&amp;Cube1,$J$12,$L$13,$J$14,$Q$1,$J$11,$J$15,$D113)</f>
        <v>0</v>
      </c>
      <c r="R113" s="152">
        <f ca="1">L113-Q113</f>
        <v>0</v>
      </c>
      <c r="S113" s="153" t="str">
        <f ca="1">IF(ISERROR(R113/Q113),"-",R113/Q113)</f>
        <v>-</v>
      </c>
      <c r="T113" s="138"/>
      <c r="U113" s="151">
        <f ca="1">_xll.DBRW(Server&amp;Cube1,$J$12,$L$13,$J$14,$U$1,$U$2,$J$15,$D113)</f>
        <v>0</v>
      </c>
      <c r="V113" s="152">
        <f ca="1">L113-U113</f>
        <v>0</v>
      </c>
      <c r="W113" s="153" t="str">
        <f ca="1">IF(ISERROR(V113/U113),"-",V113/U113)</f>
        <v>-</v>
      </c>
      <c r="X113" s="65"/>
      <c r="Y113" s="31"/>
      <c r="Z113" s="9"/>
      <c r="AA113" s="66"/>
      <c r="AB113" s="66"/>
      <c r="AC113" s="9"/>
      <c r="AD113" s="9"/>
      <c r="AE113" s="9"/>
      <c r="AF113" s="9"/>
      <c r="AG113" s="9"/>
      <c r="AH113" s="9"/>
      <c r="AI113" s="9"/>
      <c r="AJ113" s="9"/>
      <c r="AK113" s="9"/>
      <c r="AL113" s="9"/>
      <c r="AM113" s="9"/>
      <c r="AN113" s="9"/>
      <c r="AO113" s="9"/>
      <c r="AP113" s="9"/>
      <c r="AQ113" s="9"/>
      <c r="AR113" s="9"/>
      <c r="AS113" s="9"/>
      <c r="AT113" s="9"/>
      <c r="AU113" s="9"/>
      <c r="AV113" s="9"/>
      <c r="AW113" s="9"/>
      <c r="AX113" s="9"/>
      <c r="AY113" s="9"/>
      <c r="AZ113" s="9"/>
      <c r="BA113" s="9"/>
      <c r="BB113" s="9"/>
      <c r="BC113" s="9"/>
      <c r="BD113" s="9"/>
      <c r="BE113" s="9"/>
      <c r="BF113" s="9"/>
      <c r="BG113" s="9"/>
      <c r="BH113" s="9"/>
      <c r="BI113" s="9"/>
      <c r="BJ113" s="9"/>
      <c r="BK113" s="9"/>
      <c r="BL113" s="9"/>
      <c r="BM113" s="9"/>
      <c r="BN113" s="9"/>
      <c r="BO113" s="9"/>
      <c r="BP113" s="9"/>
      <c r="BQ113" s="9"/>
      <c r="BR113" s="9"/>
      <c r="BS113" s="9"/>
      <c r="BT113" s="9"/>
      <c r="BU113" s="9"/>
      <c r="BV113" s="9"/>
      <c r="BW113" s="9"/>
      <c r="BX113" s="9"/>
      <c r="BY113" s="9"/>
      <c r="BZ113" s="9"/>
      <c r="CA113" s="9"/>
      <c r="CB113" s="9"/>
      <c r="CC113" s="9"/>
      <c r="CD113" s="9"/>
      <c r="CE113" s="9"/>
      <c r="CF113" s="9"/>
      <c r="CG113" s="9"/>
      <c r="CH113" s="9"/>
      <c r="CI113" s="9"/>
      <c r="CJ113" s="9"/>
      <c r="CK113" s="9"/>
      <c r="CL113" s="9"/>
      <c r="CM113" s="9"/>
      <c r="CN113" s="9"/>
      <c r="CO113" s="9"/>
      <c r="CP113" s="9"/>
      <c r="CQ113" s="9"/>
      <c r="CR113" s="9"/>
      <c r="CS113" s="9"/>
      <c r="CT113" s="9"/>
      <c r="CU113" s="9"/>
      <c r="CV113" s="9"/>
      <c r="CW113" s="9"/>
      <c r="CX113" s="9"/>
      <c r="CY113" s="9"/>
      <c r="CZ113" s="9"/>
      <c r="DA113" s="9"/>
      <c r="DB113" s="9"/>
      <c r="DC113" s="9"/>
      <c r="DD113" s="9"/>
      <c r="DE113" s="9"/>
      <c r="DF113" s="9"/>
      <c r="DG113" s="9"/>
      <c r="DH113" s="9"/>
      <c r="DI113" s="9"/>
      <c r="DJ113" s="9"/>
      <c r="DK113" s="9"/>
      <c r="DL113" s="9"/>
      <c r="DM113" s="9"/>
      <c r="DN113" s="9"/>
    </row>
    <row r="114" spans="2:118" ht="21" hidden="1" customHeight="1" outlineLevel="1" x14ac:dyDescent="0.25">
      <c r="C114" s="44"/>
      <c r="D114" s="203" t="s">
        <v>75</v>
      </c>
      <c r="E114" s="62"/>
      <c r="F114" s="63"/>
      <c r="G114" s="41"/>
      <c r="H114" s="232" t="str">
        <f ca="1">_xll.DBRA(Server&amp;$D$20,$D114,"French")</f>
        <v>Frais de missions</v>
      </c>
      <c r="I114" s="232"/>
      <c r="J114" s="232"/>
      <c r="K114" s="150"/>
      <c r="L114" s="151">
        <f ca="1">_xll.DBRW(Server&amp;Cube1,$J$12,$L$13,$J$14,$L$1,$J$11,$J$15,$D114)</f>
        <v>-44340.250000000007</v>
      </c>
      <c r="M114" s="151">
        <f ca="1">_xll.DBRW(Server&amp;Cube1,$J$12,$L$13,$J$14,$M$1,$J$11,$J$15,$D114)</f>
        <v>-75733</v>
      </c>
      <c r="N114" s="152">
        <f ca="1">L114-M114</f>
        <v>31392.749999999993</v>
      </c>
      <c r="O114" s="153">
        <f ca="1">IF(ISERROR(N114/M114),"-",N114/M114)</f>
        <v>-0.41451876988895187</v>
      </c>
      <c r="P114" s="138"/>
      <c r="Q114" s="151">
        <f ca="1">_xll.DBRW(Server&amp;Cube1,$J$12,$L$13,$J$14,$Q$1,$J$11,$J$15,$D114)</f>
        <v>0</v>
      </c>
      <c r="R114" s="152">
        <f ca="1">L114-Q114</f>
        <v>-44340.250000000007</v>
      </c>
      <c r="S114" s="153" t="str">
        <f ca="1">IF(ISERROR(R114/Q114),"-",R114/Q114)</f>
        <v>-</v>
      </c>
      <c r="T114" s="138"/>
      <c r="U114" s="151">
        <f ca="1">_xll.DBRW(Server&amp;Cube1,$J$12,$L$13,$J$14,$U$1,$U$2,$J$15,$D114)</f>
        <v>-67326.209999999992</v>
      </c>
      <c r="V114" s="152">
        <f ca="1">L114-U114</f>
        <v>22985.959999999985</v>
      </c>
      <c r="W114" s="153">
        <f ca="1">IF(ISERROR(V114/U114),"-",V114/U114)</f>
        <v>-0.341411762224548</v>
      </c>
      <c r="X114" s="65"/>
      <c r="Y114" s="31"/>
      <c r="Z114" s="9"/>
      <c r="AA114" s="66"/>
      <c r="AB114" s="66"/>
      <c r="AC114" s="9"/>
      <c r="AD114" s="9"/>
      <c r="AE114" s="9"/>
      <c r="AF114" s="9"/>
      <c r="AG114" s="9"/>
      <c r="AH114" s="9"/>
      <c r="AI114" s="9"/>
      <c r="AJ114" s="9"/>
      <c r="AK114" s="9"/>
      <c r="AL114" s="9"/>
      <c r="AM114" s="9"/>
      <c r="AN114" s="9"/>
      <c r="AO114" s="9"/>
      <c r="AP114" s="9"/>
      <c r="AQ114" s="9"/>
      <c r="AR114" s="9"/>
      <c r="AS114" s="9"/>
      <c r="AT114" s="9"/>
      <c r="AU114" s="9"/>
      <c r="AV114" s="9"/>
      <c r="AW114" s="9"/>
      <c r="AX114" s="9"/>
      <c r="AY114" s="9"/>
      <c r="AZ114" s="9"/>
      <c r="BA114" s="9"/>
      <c r="BB114" s="9"/>
      <c r="BC114" s="9"/>
      <c r="BD114" s="9"/>
      <c r="BE114" s="9"/>
      <c r="BF114" s="9"/>
      <c r="BG114" s="9"/>
      <c r="BH114" s="9"/>
      <c r="BI114" s="9"/>
      <c r="BJ114" s="9"/>
      <c r="BK114" s="9"/>
      <c r="BL114" s="9"/>
      <c r="BM114" s="9"/>
      <c r="BN114" s="9"/>
      <c r="BO114" s="9"/>
      <c r="BP114" s="9"/>
      <c r="BQ114" s="9"/>
      <c r="BR114" s="9"/>
      <c r="BS114" s="9"/>
      <c r="BT114" s="9"/>
      <c r="BU114" s="9"/>
      <c r="BV114" s="9"/>
      <c r="BW114" s="9"/>
      <c r="BX114" s="9"/>
      <c r="BY114" s="9"/>
      <c r="BZ114" s="9"/>
      <c r="CA114" s="9"/>
      <c r="CB114" s="9"/>
      <c r="CC114" s="9"/>
      <c r="CD114" s="9"/>
      <c r="CE114" s="9"/>
      <c r="CF114" s="9"/>
      <c r="CG114" s="9"/>
      <c r="CH114" s="9"/>
      <c r="CI114" s="9"/>
      <c r="CJ114" s="9"/>
      <c r="CK114" s="9"/>
      <c r="CL114" s="9"/>
      <c r="CM114" s="9"/>
      <c r="CN114" s="9"/>
      <c r="CO114" s="9"/>
      <c r="CP114" s="9"/>
      <c r="CQ114" s="9"/>
      <c r="CR114" s="9"/>
      <c r="CS114" s="9"/>
      <c r="CT114" s="9"/>
      <c r="CU114" s="9"/>
      <c r="CV114" s="9"/>
      <c r="CW114" s="9"/>
      <c r="CX114" s="9"/>
      <c r="CY114" s="9"/>
      <c r="CZ114" s="9"/>
      <c r="DA114" s="9"/>
      <c r="DB114" s="9"/>
      <c r="DC114" s="9"/>
      <c r="DD114" s="9"/>
      <c r="DE114" s="9"/>
      <c r="DF114" s="9"/>
      <c r="DG114" s="9"/>
      <c r="DH114" s="9"/>
      <c r="DI114" s="9"/>
      <c r="DJ114" s="9"/>
      <c r="DK114" s="9"/>
      <c r="DL114" s="9"/>
      <c r="DM114" s="9"/>
      <c r="DN114" s="9"/>
    </row>
    <row r="115" spans="2:118" ht="21" hidden="1" customHeight="1" outlineLevel="1" x14ac:dyDescent="0.25">
      <c r="B115" s="60"/>
      <c r="C115" s="44"/>
      <c r="D115" s="214" t="s">
        <v>76</v>
      </c>
      <c r="E115" s="62"/>
      <c r="F115" s="63"/>
      <c r="G115" s="41"/>
      <c r="H115" s="232" t="str">
        <f ca="1">_xll.DBRA(Server&amp;$D$20,$D115,"French")</f>
        <v>Frais de réceptions</v>
      </c>
      <c r="I115" s="232"/>
      <c r="J115" s="232"/>
      <c r="K115" s="150"/>
      <c r="L115" s="151">
        <f ca="1">_xll.DBRW(Server&amp;Cube1,$J$12,$L$13,$J$14,$L$1,$J$11,$J$15,$D115)</f>
        <v>-10106.720000000001</v>
      </c>
      <c r="M115" s="151">
        <f ca="1">_xll.DBRW(Server&amp;Cube1,$J$12,$L$13,$J$14,$M$1,$J$11,$J$15,$D115)</f>
        <v>-28655.000000000011</v>
      </c>
      <c r="N115" s="152">
        <f ca="1">L115-M115</f>
        <v>18548.28000000001</v>
      </c>
      <c r="O115" s="153">
        <f ca="1">IF(ISERROR(N115/M115),"-",N115/M115)</f>
        <v>-0.6472964578607574</v>
      </c>
      <c r="P115" s="138"/>
      <c r="Q115" s="151">
        <f ca="1">_xll.DBRW(Server&amp;Cube1,$J$12,$L$13,$J$14,$Q$1,$J$11,$J$15,$D115)</f>
        <v>0</v>
      </c>
      <c r="R115" s="152">
        <f ca="1">L115-Q115</f>
        <v>-10106.720000000001</v>
      </c>
      <c r="S115" s="153" t="str">
        <f ca="1">IF(ISERROR(R115/Q115),"-",R115/Q115)</f>
        <v>-</v>
      </c>
      <c r="T115" s="138"/>
      <c r="U115" s="151">
        <f ca="1">_xll.DBRW(Server&amp;Cube1,$J$12,$L$13,$J$14,$U$1,$U$2,$J$15,$D115)</f>
        <v>-10806.839999999997</v>
      </c>
      <c r="V115" s="152">
        <f ca="1">L115-U115</f>
        <v>700.11999999999534</v>
      </c>
      <c r="W115" s="153">
        <f ca="1">IF(ISERROR(V115/U115),"-",V115/U115)</f>
        <v>-6.4784895492113845E-2</v>
      </c>
      <c r="X115" s="65"/>
      <c r="Y115" s="31"/>
      <c r="Z115" s="9"/>
      <c r="AA115" s="66"/>
      <c r="AB115" s="66"/>
      <c r="AC115" s="9"/>
      <c r="AD115" s="9"/>
      <c r="AE115" s="9"/>
      <c r="AF115" s="9"/>
      <c r="AG115" s="9"/>
      <c r="AH115" s="9"/>
      <c r="AI115" s="9"/>
      <c r="AJ115" s="9"/>
      <c r="AK115" s="9"/>
      <c r="AL115" s="9"/>
      <c r="AM115" s="9"/>
      <c r="AN115" s="9"/>
      <c r="AO115" s="9"/>
      <c r="AP115" s="9"/>
      <c r="AQ115" s="9"/>
      <c r="AR115" s="9"/>
      <c r="AS115" s="9"/>
      <c r="AT115" s="9"/>
      <c r="AU115" s="9"/>
      <c r="AV115" s="9"/>
      <c r="AW115" s="9"/>
      <c r="AX115" s="9"/>
      <c r="AY115" s="9"/>
      <c r="AZ115" s="9"/>
      <c r="BA115" s="9"/>
      <c r="BB115" s="9"/>
      <c r="BC115" s="9"/>
      <c r="BD115" s="9"/>
      <c r="BE115" s="9"/>
      <c r="BF115" s="9"/>
      <c r="BG115" s="9"/>
      <c r="BH115" s="9"/>
      <c r="BI115" s="9"/>
      <c r="BJ115" s="9"/>
      <c r="BK115" s="9"/>
      <c r="BL115" s="9"/>
      <c r="BM115" s="9"/>
      <c r="BN115" s="9"/>
      <c r="BO115" s="9"/>
      <c r="BP115" s="9"/>
      <c r="BQ115" s="9"/>
      <c r="BR115" s="9"/>
      <c r="BS115" s="9"/>
      <c r="BT115" s="9"/>
      <c r="BU115" s="9"/>
      <c r="BV115" s="9"/>
      <c r="BW115" s="9"/>
      <c r="BX115" s="9"/>
      <c r="BY115" s="9"/>
      <c r="BZ115" s="9"/>
      <c r="CA115" s="9"/>
      <c r="CB115" s="9"/>
      <c r="CC115" s="9"/>
      <c r="CD115" s="9"/>
      <c r="CE115" s="9"/>
      <c r="CF115" s="9"/>
      <c r="CG115" s="9"/>
      <c r="CH115" s="9"/>
      <c r="CI115" s="9"/>
      <c r="CJ115" s="9"/>
      <c r="CK115" s="9"/>
      <c r="CL115" s="9"/>
      <c r="CM115" s="9"/>
      <c r="CN115" s="9"/>
      <c r="CO115" s="9"/>
      <c r="CP115" s="9"/>
      <c r="CQ115" s="9"/>
      <c r="CR115" s="9"/>
      <c r="CS115" s="9"/>
      <c r="CT115" s="9"/>
      <c r="CU115" s="9"/>
      <c r="CV115" s="9"/>
      <c r="CW115" s="9"/>
      <c r="CX115" s="9"/>
      <c r="CY115" s="9"/>
      <c r="CZ115" s="9"/>
      <c r="DA115" s="9"/>
      <c r="DB115" s="9"/>
      <c r="DC115" s="9"/>
      <c r="DD115" s="9"/>
      <c r="DE115" s="9"/>
      <c r="DF115" s="9"/>
      <c r="DG115" s="9"/>
      <c r="DH115" s="9"/>
      <c r="DI115" s="9"/>
      <c r="DJ115" s="9"/>
      <c r="DK115" s="9"/>
      <c r="DL115" s="9"/>
      <c r="DM115" s="9"/>
      <c r="DN115" s="9"/>
    </row>
    <row r="116" spans="2:118" ht="21" hidden="1" customHeight="1" outlineLevel="1" x14ac:dyDescent="0.25">
      <c r="B116" s="60"/>
      <c r="C116" s="44"/>
      <c r="D116" s="203" t="s">
        <v>71</v>
      </c>
      <c r="E116" s="62"/>
      <c r="F116" s="63"/>
      <c r="G116" s="41"/>
      <c r="H116" s="232" t="str">
        <f ca="1">_xll.DBRA(Server&amp;$D$20,$D116,"French")</f>
        <v>Frais d'affranchissements</v>
      </c>
      <c r="I116" s="232"/>
      <c r="J116" s="232"/>
      <c r="K116" s="150"/>
      <c r="L116" s="151">
        <f ca="1">_xll.DBRW(Server&amp;Cube1,$J$12,$L$13,$J$14,$L$1,$J$11,$J$15,$D116)</f>
        <v>-842.44</v>
      </c>
      <c r="M116" s="151">
        <f ca="1">_xll.DBRW(Server&amp;Cube1,$J$12,$L$13,$J$14,$M$1,$J$11,$J$15,$D116)</f>
        <v>-1000.0000000000001</v>
      </c>
      <c r="N116" s="152">
        <f t="shared" ca="1" si="119"/>
        <v>157.56000000000006</v>
      </c>
      <c r="O116" s="153">
        <f t="shared" ca="1" si="90"/>
        <v>-0.15756000000000003</v>
      </c>
      <c r="P116" s="138"/>
      <c r="Q116" s="151">
        <f ca="1">_xll.DBRW(Server&amp;Cube1,$J$12,$L$13,$J$14,$Q$1,$J$11,$J$15,$D116)</f>
        <v>0</v>
      </c>
      <c r="R116" s="152">
        <f t="shared" ca="1" si="88"/>
        <v>-842.44</v>
      </c>
      <c r="S116" s="153" t="str">
        <f t="shared" ca="1" si="89"/>
        <v>-</v>
      </c>
      <c r="T116" s="138"/>
      <c r="U116" s="151">
        <f ca="1">_xll.DBRW(Server&amp;Cube1,$J$12,$L$13,$J$14,$U$1,$U$2,$J$15,$D116)</f>
        <v>-912.05000000000007</v>
      </c>
      <c r="V116" s="152">
        <f ca="1">L116-U116</f>
        <v>69.610000000000014</v>
      </c>
      <c r="W116" s="153">
        <f t="shared" ca="1" si="92"/>
        <v>-7.6322570034537587E-2</v>
      </c>
      <c r="X116" s="65"/>
      <c r="Y116" s="31"/>
      <c r="Z116" s="9"/>
      <c r="AA116" s="66"/>
      <c r="AB116" s="66"/>
      <c r="AC116" s="9"/>
      <c r="AD116" s="9"/>
      <c r="AE116" s="9"/>
      <c r="AF116" s="9"/>
      <c r="AG116" s="9"/>
      <c r="AH116" s="9"/>
      <c r="AI116" s="9"/>
      <c r="AJ116" s="9"/>
      <c r="AK116" s="9"/>
      <c r="AL116" s="9"/>
      <c r="AM116" s="9"/>
      <c r="AN116" s="9"/>
      <c r="AO116" s="9"/>
      <c r="AP116" s="9"/>
      <c r="AQ116" s="9"/>
      <c r="AR116" s="9"/>
      <c r="AS116" s="9"/>
      <c r="AT116" s="9"/>
      <c r="AU116" s="9"/>
      <c r="AV116" s="9"/>
      <c r="AW116" s="9"/>
      <c r="AX116" s="9"/>
      <c r="AY116" s="9"/>
      <c r="AZ116" s="9"/>
      <c r="BA116" s="9"/>
      <c r="BB116" s="9"/>
      <c r="BC116" s="9"/>
      <c r="BD116" s="9"/>
      <c r="BE116" s="9"/>
      <c r="BF116" s="9"/>
      <c r="BG116" s="9"/>
      <c r="BH116" s="9"/>
      <c r="BI116" s="9"/>
      <c r="BJ116" s="9"/>
      <c r="BK116" s="9"/>
      <c r="BL116" s="9"/>
      <c r="BM116" s="9"/>
      <c r="BN116" s="9"/>
      <c r="BO116" s="9"/>
      <c r="BP116" s="9"/>
      <c r="BQ116" s="9"/>
      <c r="BR116" s="9"/>
      <c r="BS116" s="9"/>
      <c r="BT116" s="9"/>
      <c r="BU116" s="9"/>
      <c r="BV116" s="9"/>
      <c r="BW116" s="9"/>
      <c r="BX116" s="9"/>
      <c r="BY116" s="9"/>
      <c r="BZ116" s="9"/>
      <c r="CA116" s="9"/>
      <c r="CB116" s="9"/>
      <c r="CC116" s="9"/>
      <c r="CD116" s="9"/>
      <c r="CE116" s="9"/>
      <c r="CF116" s="9"/>
      <c r="CG116" s="9"/>
      <c r="CH116" s="9"/>
      <c r="CI116" s="9"/>
      <c r="CJ116" s="9"/>
      <c r="CK116" s="9"/>
      <c r="CL116" s="9"/>
      <c r="CM116" s="9"/>
      <c r="CN116" s="9"/>
      <c r="CO116" s="9"/>
      <c r="CP116" s="9"/>
      <c r="CQ116" s="9"/>
      <c r="CR116" s="9"/>
      <c r="CS116" s="9"/>
      <c r="CT116" s="9"/>
      <c r="CU116" s="9"/>
      <c r="CV116" s="9"/>
      <c r="CW116" s="9"/>
      <c r="CX116" s="9"/>
      <c r="CY116" s="9"/>
      <c r="CZ116" s="9"/>
      <c r="DA116" s="9"/>
      <c r="DB116" s="9"/>
      <c r="DC116" s="9"/>
      <c r="DD116" s="9"/>
      <c r="DE116" s="9"/>
      <c r="DF116" s="9"/>
      <c r="DG116" s="9"/>
      <c r="DH116" s="9"/>
      <c r="DI116" s="9"/>
      <c r="DJ116" s="9"/>
      <c r="DK116" s="9"/>
      <c r="DL116" s="9"/>
      <c r="DM116" s="9"/>
      <c r="DN116" s="9"/>
    </row>
    <row r="117" spans="2:118" ht="21" hidden="1" customHeight="1" outlineLevel="1" x14ac:dyDescent="0.25">
      <c r="B117" s="60"/>
      <c r="C117" s="44"/>
      <c r="D117" s="214" t="s">
        <v>148</v>
      </c>
      <c r="E117" s="62"/>
      <c r="F117" s="63"/>
      <c r="G117" s="41"/>
      <c r="H117" s="232" t="str">
        <f ca="1">_xll.DBRA(Server&amp;$D$20,$D117,"French")</f>
        <v>Webconférence</v>
      </c>
      <c r="I117" s="232"/>
      <c r="J117" s="232"/>
      <c r="K117" s="150"/>
      <c r="L117" s="151">
        <f ca="1">_xll.DBRW(Server&amp;Cube1,$J$12,$L$13,$J$14,$L$1,$J$11,$J$15,$D117)</f>
        <v>-186.8</v>
      </c>
      <c r="M117" s="151">
        <f ca="1">_xll.DBRW(Server&amp;Cube1,$J$12,$L$13,$J$14,$M$1,$J$11,$J$15,$D117)</f>
        <v>0</v>
      </c>
      <c r="N117" s="152">
        <f t="shared" ref="N117:N118" ca="1" si="204">L117-M117</f>
        <v>-186.8</v>
      </c>
      <c r="O117" s="153" t="str">
        <f t="shared" ref="O117:O118" ca="1" si="205">IF(ISERROR(N117/M117),"-",N117/M117)</f>
        <v>-</v>
      </c>
      <c r="P117" s="138"/>
      <c r="Q117" s="151">
        <f ca="1">_xll.DBRW(Server&amp;Cube1,$J$12,$L$13,$J$14,$Q$1,$J$11,$J$15,$D117)</f>
        <v>0</v>
      </c>
      <c r="R117" s="152">
        <f t="shared" ref="R117:R118" ca="1" si="206">L117-Q117</f>
        <v>-186.8</v>
      </c>
      <c r="S117" s="153" t="str">
        <f t="shared" ref="S117:S118" ca="1" si="207">IF(ISERROR(R117/Q117),"-",R117/Q117)</f>
        <v>-</v>
      </c>
      <c r="T117" s="138"/>
      <c r="U117" s="151">
        <f ca="1">_xll.DBRW(Server&amp;Cube1,$J$12,$L$13,$J$14,$U$1,$U$2,$J$15,$D117)</f>
        <v>-45</v>
      </c>
      <c r="V117" s="152">
        <f t="shared" ref="V117:V118" ca="1" si="208">L117-U117</f>
        <v>-141.80000000000001</v>
      </c>
      <c r="W117" s="153">
        <f t="shared" ca="1" si="92"/>
        <v>3.1511111111111112</v>
      </c>
      <c r="X117" s="65"/>
      <c r="Y117" s="31"/>
      <c r="Z117" s="9"/>
      <c r="AA117" s="66"/>
      <c r="AB117" s="66"/>
      <c r="AC117" s="9"/>
      <c r="AD117" s="9"/>
      <c r="AE117" s="9"/>
      <c r="AF117" s="9"/>
      <c r="AG117" s="9"/>
      <c r="AH117" s="9"/>
      <c r="AI117" s="9"/>
      <c r="AJ117" s="9"/>
      <c r="AK117" s="9"/>
      <c r="AL117" s="9"/>
      <c r="AM117" s="9"/>
      <c r="AN117" s="9"/>
      <c r="AO117" s="9"/>
      <c r="AP117" s="9"/>
      <c r="AQ117" s="9"/>
      <c r="AR117" s="9"/>
      <c r="AS117" s="9"/>
      <c r="AT117" s="9"/>
      <c r="AU117" s="9"/>
      <c r="AV117" s="9"/>
      <c r="AW117" s="9"/>
      <c r="AX117" s="9"/>
      <c r="AY117" s="9"/>
      <c r="AZ117" s="9"/>
      <c r="BA117" s="9"/>
      <c r="BB117" s="9"/>
      <c r="BC117" s="9"/>
      <c r="BD117" s="9"/>
      <c r="BE117" s="9"/>
      <c r="BF117" s="9"/>
      <c r="BG117" s="9"/>
      <c r="BH117" s="9"/>
      <c r="BI117" s="9"/>
      <c r="BJ117" s="9"/>
      <c r="BK117" s="9"/>
      <c r="BL117" s="9"/>
      <c r="BM117" s="9"/>
      <c r="BN117" s="9"/>
      <c r="BO117" s="9"/>
      <c r="BP117" s="9"/>
      <c r="BQ117" s="9"/>
      <c r="BR117" s="9"/>
      <c r="BS117" s="9"/>
      <c r="BT117" s="9"/>
      <c r="BU117" s="9"/>
      <c r="BV117" s="9"/>
      <c r="BW117" s="9"/>
      <c r="BX117" s="9"/>
      <c r="BY117" s="9"/>
      <c r="BZ117" s="9"/>
      <c r="CA117" s="9"/>
      <c r="CB117" s="9"/>
      <c r="CC117" s="9"/>
      <c r="CD117" s="9"/>
      <c r="CE117" s="9"/>
      <c r="CF117" s="9"/>
      <c r="CG117" s="9"/>
      <c r="CH117" s="9"/>
      <c r="CI117" s="9"/>
      <c r="CJ117" s="9"/>
      <c r="CK117" s="9"/>
      <c r="CL117" s="9"/>
      <c r="CM117" s="9"/>
      <c r="CN117" s="9"/>
      <c r="CO117" s="9"/>
      <c r="CP117" s="9"/>
      <c r="CQ117" s="9"/>
      <c r="CR117" s="9"/>
      <c r="CS117" s="9"/>
      <c r="CT117" s="9"/>
      <c r="CU117" s="9"/>
      <c r="CV117" s="9"/>
      <c r="CW117" s="9"/>
      <c r="CX117" s="9"/>
      <c r="CY117" s="9"/>
      <c r="CZ117" s="9"/>
      <c r="DA117" s="9"/>
      <c r="DB117" s="9"/>
      <c r="DC117" s="9"/>
      <c r="DD117" s="9"/>
      <c r="DE117" s="9"/>
      <c r="DF117" s="9"/>
      <c r="DG117" s="9"/>
      <c r="DH117" s="9"/>
      <c r="DI117" s="9"/>
      <c r="DJ117" s="9"/>
      <c r="DK117" s="9"/>
      <c r="DL117" s="9"/>
      <c r="DM117" s="9"/>
      <c r="DN117" s="9"/>
    </row>
    <row r="118" spans="2:118" ht="21" hidden="1" customHeight="1" outlineLevel="1" x14ac:dyDescent="0.25">
      <c r="B118" s="60"/>
      <c r="C118" s="44"/>
      <c r="D118" s="214" t="s">
        <v>149</v>
      </c>
      <c r="E118" s="62"/>
      <c r="F118" s="63"/>
      <c r="G118" s="41"/>
      <c r="H118" s="232" t="str">
        <f ca="1">_xll.DBRA(Server&amp;$D$20,$D118,"French")</f>
        <v>Télécom &amp; internet</v>
      </c>
      <c r="I118" s="232"/>
      <c r="J118" s="232"/>
      <c r="K118" s="150"/>
      <c r="L118" s="151">
        <f ca="1">_xll.DBRW(Server&amp;Cube1,$J$12,$L$13,$J$14,$L$1,$J$11,$J$15,$D118)</f>
        <v>-615</v>
      </c>
      <c r="M118" s="151">
        <f ca="1">_xll.DBRW(Server&amp;Cube1,$J$12,$L$13,$J$14,$M$1,$J$11,$J$15,$D118)</f>
        <v>-540</v>
      </c>
      <c r="N118" s="152">
        <f t="shared" ca="1" si="204"/>
        <v>-75</v>
      </c>
      <c r="O118" s="153">
        <f t="shared" ca="1" si="205"/>
        <v>0.1388888888888889</v>
      </c>
      <c r="P118" s="138"/>
      <c r="Q118" s="151">
        <f ca="1">_xll.DBRW(Server&amp;Cube1,$J$12,$L$13,$J$14,$Q$1,$J$11,$J$15,$D118)</f>
        <v>0</v>
      </c>
      <c r="R118" s="152">
        <f t="shared" ca="1" si="206"/>
        <v>-615</v>
      </c>
      <c r="S118" s="153" t="str">
        <f t="shared" ca="1" si="207"/>
        <v>-</v>
      </c>
      <c r="T118" s="138"/>
      <c r="U118" s="151">
        <f ca="1">_xll.DBRW(Server&amp;Cube1,$J$12,$L$13,$J$14,$U$1,$U$2,$J$15,$D118)</f>
        <v>-60</v>
      </c>
      <c r="V118" s="152">
        <f t="shared" ca="1" si="208"/>
        <v>-555</v>
      </c>
      <c r="W118" s="153">
        <f t="shared" ca="1" si="92"/>
        <v>9.25</v>
      </c>
      <c r="X118" s="65"/>
      <c r="Y118" s="31"/>
      <c r="Z118" s="9"/>
      <c r="AA118" s="66"/>
      <c r="AB118" s="66"/>
      <c r="AC118" s="9"/>
      <c r="AD118" s="9"/>
      <c r="AE118" s="9"/>
      <c r="AF118" s="9"/>
      <c r="AG118" s="9"/>
      <c r="AH118" s="9"/>
      <c r="AI118" s="9"/>
      <c r="AJ118" s="9"/>
      <c r="AK118" s="9"/>
      <c r="AL118" s="9"/>
      <c r="AM118" s="9"/>
      <c r="AN118" s="9"/>
      <c r="AO118" s="9"/>
      <c r="AP118" s="9"/>
      <c r="AQ118" s="9"/>
      <c r="AR118" s="9"/>
      <c r="AS118" s="9"/>
      <c r="AT118" s="9"/>
      <c r="AU118" s="9"/>
      <c r="AV118" s="9"/>
      <c r="AW118" s="9"/>
      <c r="AX118" s="9"/>
      <c r="AY118" s="9"/>
      <c r="AZ118" s="9"/>
      <c r="BA118" s="9"/>
      <c r="BB118" s="9"/>
      <c r="BC118" s="9"/>
      <c r="BD118" s="9"/>
      <c r="BE118" s="9"/>
      <c r="BF118" s="9"/>
      <c r="BG118" s="9"/>
      <c r="BH118" s="9"/>
      <c r="BI118" s="9"/>
      <c r="BJ118" s="9"/>
      <c r="BK118" s="9"/>
      <c r="BL118" s="9"/>
      <c r="BM118" s="9"/>
      <c r="BN118" s="9"/>
      <c r="BO118" s="9"/>
      <c r="BP118" s="9"/>
      <c r="BQ118" s="9"/>
      <c r="BR118" s="9"/>
      <c r="BS118" s="9"/>
      <c r="BT118" s="9"/>
      <c r="BU118" s="9"/>
      <c r="BV118" s="9"/>
      <c r="BW118" s="9"/>
      <c r="BX118" s="9"/>
      <c r="BY118" s="9"/>
      <c r="BZ118" s="9"/>
      <c r="CA118" s="9"/>
      <c r="CB118" s="9"/>
      <c r="CC118" s="9"/>
      <c r="CD118" s="9"/>
      <c r="CE118" s="9"/>
      <c r="CF118" s="9"/>
      <c r="CG118" s="9"/>
      <c r="CH118" s="9"/>
      <c r="CI118" s="9"/>
      <c r="CJ118" s="9"/>
      <c r="CK118" s="9"/>
      <c r="CL118" s="9"/>
      <c r="CM118" s="9"/>
      <c r="CN118" s="9"/>
      <c r="CO118" s="9"/>
      <c r="CP118" s="9"/>
      <c r="CQ118" s="9"/>
      <c r="CR118" s="9"/>
      <c r="CS118" s="9"/>
      <c r="CT118" s="9"/>
      <c r="CU118" s="9"/>
      <c r="CV118" s="9"/>
      <c r="CW118" s="9"/>
      <c r="CX118" s="9"/>
      <c r="CY118" s="9"/>
      <c r="CZ118" s="9"/>
      <c r="DA118" s="9"/>
      <c r="DB118" s="9"/>
      <c r="DC118" s="9"/>
      <c r="DD118" s="9"/>
      <c r="DE118" s="9"/>
      <c r="DF118" s="9"/>
      <c r="DG118" s="9"/>
      <c r="DH118" s="9"/>
      <c r="DI118" s="9"/>
      <c r="DJ118" s="9"/>
      <c r="DK118" s="9"/>
      <c r="DL118" s="9"/>
      <c r="DM118" s="9"/>
      <c r="DN118" s="9"/>
    </row>
    <row r="119" spans="2:118" ht="21" hidden="1" customHeight="1" outlineLevel="1" x14ac:dyDescent="0.25">
      <c r="B119" s="60"/>
      <c r="C119" s="44"/>
      <c r="D119" s="214" t="s">
        <v>181</v>
      </c>
      <c r="E119" s="62"/>
      <c r="F119" s="63"/>
      <c r="G119" s="41"/>
      <c r="H119" s="232" t="str">
        <f ca="1">_xll.DBRA(Server&amp;$D$20,$D119,"French")</f>
        <v>Formation du personnel</v>
      </c>
      <c r="I119" s="232"/>
      <c r="J119" s="232"/>
      <c r="K119" s="150"/>
      <c r="L119" s="151">
        <f ca="1">_xll.DBRW(Server&amp;Cube1,$J$12,$L$13,$J$14,$L$1,$J$11,$J$15,$D119)</f>
        <v>0</v>
      </c>
      <c r="M119" s="151">
        <f ca="1">_xll.DBRW(Server&amp;Cube1,$J$12,$L$13,$J$14,$M$1,$J$11,$J$15,$D119)</f>
        <v>0</v>
      </c>
      <c r="N119" s="152">
        <f t="shared" ref="N119" ca="1" si="209">L119-M119</f>
        <v>0</v>
      </c>
      <c r="O119" s="153" t="str">
        <f t="shared" ref="O119" ca="1" si="210">IF(ISERROR(N119/M119),"-",N119/M119)</f>
        <v>-</v>
      </c>
      <c r="P119" s="138"/>
      <c r="Q119" s="151">
        <f ca="1">_xll.DBRW(Server&amp;Cube1,$J$12,$L$13,$J$14,$Q$1,$J$11,$J$15,$D119)</f>
        <v>0</v>
      </c>
      <c r="R119" s="152">
        <f t="shared" ref="R119" ca="1" si="211">L119-Q119</f>
        <v>0</v>
      </c>
      <c r="S119" s="153" t="str">
        <f t="shared" ref="S119" ca="1" si="212">IF(ISERROR(R119/Q119),"-",R119/Q119)</f>
        <v>-</v>
      </c>
      <c r="T119" s="138"/>
      <c r="U119" s="151">
        <f ca="1">_xll.DBRW(Server&amp;Cube1,$J$12,$L$13,$J$14,$U$1,$U$2,$J$15,$D119)</f>
        <v>-610</v>
      </c>
      <c r="V119" s="152">
        <f t="shared" ref="V119" ca="1" si="213">L119-U119</f>
        <v>610</v>
      </c>
      <c r="W119" s="153">
        <f t="shared" ca="1" si="92"/>
        <v>-1</v>
      </c>
      <c r="X119" s="65"/>
      <c r="Y119" s="31"/>
      <c r="Z119" s="9"/>
      <c r="AA119" s="66"/>
      <c r="AB119" s="66"/>
      <c r="AC119" s="9"/>
      <c r="AD119" s="9"/>
      <c r="AE119" s="9"/>
      <c r="AF119" s="9"/>
      <c r="AG119" s="9"/>
      <c r="AH119" s="9"/>
      <c r="AI119" s="9"/>
      <c r="AJ119" s="9"/>
      <c r="AK119" s="9"/>
      <c r="AL119" s="9"/>
      <c r="AM119" s="9"/>
      <c r="AN119" s="9"/>
      <c r="AO119" s="9"/>
      <c r="AP119" s="9"/>
      <c r="AQ119" s="9"/>
      <c r="AR119" s="9"/>
      <c r="AS119" s="9"/>
      <c r="AT119" s="9"/>
      <c r="AU119" s="9"/>
      <c r="AV119" s="9"/>
      <c r="AW119" s="9"/>
      <c r="AX119" s="9"/>
      <c r="AY119" s="9"/>
      <c r="AZ119" s="9"/>
      <c r="BA119" s="9"/>
      <c r="BB119" s="9"/>
      <c r="BC119" s="9"/>
      <c r="BD119" s="9"/>
      <c r="BE119" s="9"/>
      <c r="BF119" s="9"/>
      <c r="BG119" s="9"/>
      <c r="BH119" s="9"/>
      <c r="BI119" s="9"/>
      <c r="BJ119" s="9"/>
      <c r="BK119" s="9"/>
      <c r="BL119" s="9"/>
      <c r="BM119" s="9"/>
      <c r="BN119" s="9"/>
      <c r="BO119" s="9"/>
      <c r="BP119" s="9"/>
      <c r="BQ119" s="9"/>
      <c r="BR119" s="9"/>
      <c r="BS119" s="9"/>
      <c r="BT119" s="9"/>
      <c r="BU119" s="9"/>
      <c r="BV119" s="9"/>
      <c r="BW119" s="9"/>
      <c r="BX119" s="9"/>
      <c r="BY119" s="9"/>
      <c r="BZ119" s="9"/>
      <c r="CA119" s="9"/>
      <c r="CB119" s="9"/>
      <c r="CC119" s="9"/>
      <c r="CD119" s="9"/>
      <c r="CE119" s="9"/>
      <c r="CF119" s="9"/>
      <c r="CG119" s="9"/>
      <c r="CH119" s="9"/>
      <c r="CI119" s="9"/>
      <c r="CJ119" s="9"/>
      <c r="CK119" s="9"/>
      <c r="CL119" s="9"/>
      <c r="CM119" s="9"/>
      <c r="CN119" s="9"/>
      <c r="CO119" s="9"/>
      <c r="CP119" s="9"/>
      <c r="CQ119" s="9"/>
      <c r="CR119" s="9"/>
      <c r="CS119" s="9"/>
      <c r="CT119" s="9"/>
      <c r="CU119" s="9"/>
      <c r="CV119" s="9"/>
      <c r="CW119" s="9"/>
      <c r="CX119" s="9"/>
      <c r="CY119" s="9"/>
      <c r="CZ119" s="9"/>
      <c r="DA119" s="9"/>
      <c r="DB119" s="9"/>
      <c r="DC119" s="9"/>
      <c r="DD119" s="9"/>
      <c r="DE119" s="9"/>
      <c r="DF119" s="9"/>
      <c r="DG119" s="9"/>
      <c r="DH119" s="9"/>
      <c r="DI119" s="9"/>
      <c r="DJ119" s="9"/>
      <c r="DK119" s="9"/>
      <c r="DL119" s="9"/>
      <c r="DM119" s="9"/>
      <c r="DN119" s="9"/>
    </row>
    <row r="120" spans="2:118" ht="21" hidden="1" customHeight="1" outlineLevel="1" x14ac:dyDescent="0.25">
      <c r="B120" s="60"/>
      <c r="C120" s="44"/>
      <c r="D120" s="214" t="s">
        <v>131</v>
      </c>
      <c r="E120" s="62"/>
      <c r="F120" s="63"/>
      <c r="G120" s="41"/>
      <c r="H120" s="255" t="str">
        <f ca="1">_xll.DBRA(Server&amp;$D$20,$D120,"French")</f>
        <v>Projets pédagogiques</v>
      </c>
      <c r="I120" s="255"/>
      <c r="J120" s="255"/>
      <c r="K120" s="150"/>
      <c r="L120" s="151">
        <f ca="1">_xll.DBRW(Server&amp;Cube1,$J$12,$L$13,$J$14,$L$1,$J$11,$J$15,$D120)</f>
        <v>-23980</v>
      </c>
      <c r="M120" s="151">
        <f ca="1">_xll.DBRW(Server&amp;Cube1,$J$12,$L$13,$J$14,$M$1,$J$11,$J$15,$D120)</f>
        <v>-29690.000000000004</v>
      </c>
      <c r="N120" s="152">
        <f t="shared" ref="N120" ca="1" si="214">L120-M120</f>
        <v>5710.0000000000036</v>
      </c>
      <c r="O120" s="153">
        <f t="shared" ref="O120" ca="1" si="215">IF(ISERROR(N120/M120),"-",N120/M120)</f>
        <v>-0.19232064668238474</v>
      </c>
      <c r="P120" s="138"/>
      <c r="Q120" s="151">
        <f ca="1">_xll.DBRW(Server&amp;Cube1,$J$12,$L$13,$J$14,$Q$1,$J$11,$J$15,$D120)</f>
        <v>0</v>
      </c>
      <c r="R120" s="152">
        <f t="shared" ref="R120" ca="1" si="216">L120-Q120</f>
        <v>-23980</v>
      </c>
      <c r="S120" s="153" t="str">
        <f t="shared" ref="S120" ca="1" si="217">IF(ISERROR(R120/Q120),"-",R120/Q120)</f>
        <v>-</v>
      </c>
      <c r="T120" s="138"/>
      <c r="U120" s="151">
        <f ca="1">_xll.DBRW(Server&amp;Cube1,$J$12,$L$13,$J$14,$U$1,$U$2,$J$15,$D120)</f>
        <v>-120003</v>
      </c>
      <c r="V120" s="152">
        <f t="shared" ref="V120" ca="1" si="218">L120-U120</f>
        <v>96023</v>
      </c>
      <c r="W120" s="153">
        <f t="shared" ref="W120:W121" ca="1" si="219">IF(ISERROR(V120/U120),"-",V120/U120)</f>
        <v>-0.80017166237510728</v>
      </c>
      <c r="X120" s="65"/>
      <c r="Y120" s="31"/>
      <c r="Z120" s="9"/>
      <c r="AA120" s="66"/>
      <c r="AB120" s="66"/>
      <c r="AC120" s="9"/>
      <c r="AD120" s="9"/>
      <c r="AE120" s="9"/>
      <c r="AF120" s="9"/>
      <c r="AG120" s="9"/>
      <c r="AH120" s="9"/>
      <c r="AI120" s="9"/>
      <c r="AJ120" s="9"/>
      <c r="AK120" s="9"/>
      <c r="AL120" s="9"/>
      <c r="AM120" s="9"/>
      <c r="AN120" s="9"/>
      <c r="AO120" s="9"/>
      <c r="AP120" s="9"/>
      <c r="AQ120" s="9"/>
      <c r="AR120" s="9"/>
      <c r="AS120" s="9"/>
      <c r="AT120" s="9"/>
      <c r="AU120" s="9"/>
      <c r="AV120" s="9"/>
      <c r="AW120" s="9"/>
      <c r="AX120" s="9"/>
      <c r="AY120" s="9"/>
      <c r="AZ120" s="9"/>
      <c r="BA120" s="9"/>
      <c r="BB120" s="9"/>
      <c r="BC120" s="9"/>
      <c r="BD120" s="9"/>
      <c r="BE120" s="9"/>
      <c r="BF120" s="9"/>
      <c r="BG120" s="9"/>
      <c r="BH120" s="9"/>
      <c r="BI120" s="9"/>
      <c r="BJ120" s="9"/>
      <c r="BK120" s="9"/>
      <c r="BL120" s="9"/>
      <c r="BM120" s="9"/>
      <c r="BN120" s="9"/>
      <c r="BO120" s="9"/>
      <c r="BP120" s="9"/>
      <c r="BQ120" s="9"/>
      <c r="BR120" s="9"/>
      <c r="BS120" s="9"/>
      <c r="BT120" s="9"/>
      <c r="BU120" s="9"/>
      <c r="BV120" s="9"/>
      <c r="BW120" s="9"/>
      <c r="BX120" s="9"/>
      <c r="BY120" s="9"/>
      <c r="BZ120" s="9"/>
      <c r="CA120" s="9"/>
      <c r="CB120" s="9"/>
      <c r="CC120" s="9"/>
      <c r="CD120" s="9"/>
      <c r="CE120" s="9"/>
      <c r="CF120" s="9"/>
      <c r="CG120" s="9"/>
      <c r="CH120" s="9"/>
      <c r="CI120" s="9"/>
      <c r="CJ120" s="9"/>
      <c r="CK120" s="9"/>
      <c r="CL120" s="9"/>
      <c r="CM120" s="9"/>
      <c r="CN120" s="9"/>
      <c r="CO120" s="9"/>
      <c r="CP120" s="9"/>
      <c r="CQ120" s="9"/>
      <c r="CR120" s="9"/>
      <c r="CS120" s="9"/>
      <c r="CT120" s="9"/>
      <c r="CU120" s="9"/>
      <c r="CV120" s="9"/>
      <c r="CW120" s="9"/>
      <c r="CX120" s="9"/>
      <c r="CY120" s="9"/>
      <c r="CZ120" s="9"/>
      <c r="DA120" s="9"/>
      <c r="DB120" s="9"/>
      <c r="DC120" s="9"/>
      <c r="DD120" s="9"/>
      <c r="DE120" s="9"/>
      <c r="DF120" s="9"/>
      <c r="DG120" s="9"/>
      <c r="DH120" s="9"/>
      <c r="DI120" s="9"/>
      <c r="DJ120" s="9"/>
      <c r="DK120" s="9"/>
      <c r="DL120" s="9"/>
      <c r="DM120" s="9"/>
      <c r="DN120" s="9"/>
    </row>
    <row r="121" spans="2:118" ht="21" hidden="1" customHeight="1" outlineLevel="1" x14ac:dyDescent="0.25">
      <c r="B121" s="60"/>
      <c r="C121" s="44"/>
      <c r="D121" s="214" t="s">
        <v>159</v>
      </c>
      <c r="E121" s="62"/>
      <c r="F121" s="63"/>
      <c r="G121" s="41"/>
      <c r="H121" s="232" t="str">
        <f ca="1">_xll.DBRA(Server&amp;$D$20,$D121,"French")</f>
        <v>Licences</v>
      </c>
      <c r="I121" s="232"/>
      <c r="J121" s="232"/>
      <c r="K121" s="150"/>
      <c r="L121" s="151">
        <f ca="1">_xll.DBRW(Server&amp;Cube1,$J$12,$L$13,$J$14,$L$1,$J$11,$J$15,$D121)</f>
        <v>-3270</v>
      </c>
      <c r="M121" s="151">
        <f ca="1">_xll.DBRW(Server&amp;Cube1,$J$12,$L$13,$J$14,$M$1,$J$11,$J$15,$D121)</f>
        <v>-5561</v>
      </c>
      <c r="N121" s="152">
        <f t="shared" ref="N121" ca="1" si="220">L121-M121</f>
        <v>2291</v>
      </c>
      <c r="O121" s="153">
        <f t="shared" ref="O121" ca="1" si="221">IF(ISERROR(N121/M121),"-",N121/M121)</f>
        <v>-0.41197626326200326</v>
      </c>
      <c r="P121" s="138"/>
      <c r="Q121" s="151">
        <f ca="1">_xll.DBRW(Server&amp;Cube1,$J$12,$L$13,$J$14,$Q$1,$J$11,$J$15,$D121)</f>
        <v>0</v>
      </c>
      <c r="R121" s="152">
        <f t="shared" ref="R121" ca="1" si="222">L121-Q121</f>
        <v>-3270</v>
      </c>
      <c r="S121" s="153" t="str">
        <f t="shared" ref="S121" ca="1" si="223">IF(ISERROR(R121/Q121),"-",R121/Q121)</f>
        <v>-</v>
      </c>
      <c r="T121" s="138"/>
      <c r="U121" s="151">
        <f ca="1">_xll.DBRW(Server&amp;Cube1,$J$12,$L$13,$J$14,$U$1,$U$2,$J$15,$D121)</f>
        <v>-3677.6800000000003</v>
      </c>
      <c r="V121" s="152">
        <f t="shared" ref="V121" ca="1" si="224">L121-U121</f>
        <v>407.68000000000029</v>
      </c>
      <c r="W121" s="153">
        <f t="shared" ca="1" si="219"/>
        <v>-0.1108524939635858</v>
      </c>
      <c r="X121" s="65"/>
      <c r="Y121" s="31"/>
      <c r="Z121" s="9"/>
      <c r="AA121" s="66"/>
      <c r="AB121" s="66"/>
      <c r="AC121" s="9"/>
      <c r="AD121" s="9"/>
      <c r="AE121" s="9"/>
      <c r="AF121" s="9"/>
      <c r="AG121" s="9"/>
      <c r="AH121" s="9"/>
      <c r="AI121" s="9"/>
      <c r="AJ121" s="9"/>
      <c r="AK121" s="9"/>
      <c r="AL121" s="9"/>
      <c r="AM121" s="9"/>
      <c r="AN121" s="9"/>
      <c r="AO121" s="9"/>
      <c r="AP121" s="9"/>
      <c r="AQ121" s="9"/>
      <c r="AR121" s="9"/>
      <c r="AS121" s="9"/>
      <c r="AT121" s="9"/>
      <c r="AU121" s="9"/>
      <c r="AV121" s="9"/>
      <c r="AW121" s="9"/>
      <c r="AX121" s="9"/>
      <c r="AY121" s="9"/>
      <c r="AZ121" s="9"/>
      <c r="BA121" s="9"/>
      <c r="BB121" s="9"/>
      <c r="BC121" s="9"/>
      <c r="BD121" s="9"/>
      <c r="BE121" s="9"/>
      <c r="BF121" s="9"/>
      <c r="BG121" s="9"/>
      <c r="BH121" s="9"/>
      <c r="BI121" s="9"/>
      <c r="BJ121" s="9"/>
      <c r="BK121" s="9"/>
      <c r="BL121" s="9"/>
      <c r="BM121" s="9"/>
      <c r="BN121" s="9"/>
      <c r="BO121" s="9"/>
      <c r="BP121" s="9"/>
      <c r="BQ121" s="9"/>
      <c r="BR121" s="9"/>
      <c r="BS121" s="9"/>
      <c r="BT121" s="9"/>
      <c r="BU121" s="9"/>
      <c r="BV121" s="9"/>
      <c r="BW121" s="9"/>
      <c r="BX121" s="9"/>
      <c r="BY121" s="9"/>
      <c r="BZ121" s="9"/>
      <c r="CA121" s="9"/>
      <c r="CB121" s="9"/>
      <c r="CC121" s="9"/>
      <c r="CD121" s="9"/>
      <c r="CE121" s="9"/>
      <c r="CF121" s="9"/>
      <c r="CG121" s="9"/>
      <c r="CH121" s="9"/>
      <c r="CI121" s="9"/>
      <c r="CJ121" s="9"/>
      <c r="CK121" s="9"/>
      <c r="CL121" s="9"/>
      <c r="CM121" s="9"/>
      <c r="CN121" s="9"/>
      <c r="CO121" s="9"/>
      <c r="CP121" s="9"/>
      <c r="CQ121" s="9"/>
      <c r="CR121" s="9"/>
      <c r="CS121" s="9"/>
      <c r="CT121" s="9"/>
      <c r="CU121" s="9"/>
      <c r="CV121" s="9"/>
      <c r="CW121" s="9"/>
      <c r="CX121" s="9"/>
      <c r="CY121" s="9"/>
      <c r="CZ121" s="9"/>
      <c r="DA121" s="9"/>
      <c r="DB121" s="9"/>
      <c r="DC121" s="9"/>
      <c r="DD121" s="9"/>
      <c r="DE121" s="9"/>
      <c r="DF121" s="9"/>
      <c r="DG121" s="9"/>
      <c r="DH121" s="9"/>
      <c r="DI121" s="9"/>
      <c r="DJ121" s="9"/>
      <c r="DK121" s="9"/>
      <c r="DL121" s="9"/>
      <c r="DM121" s="9"/>
      <c r="DN121" s="9"/>
    </row>
    <row r="122" spans="2:118" ht="21" hidden="1" customHeight="1" outlineLevel="1" x14ac:dyDescent="0.25">
      <c r="B122" s="60"/>
      <c r="C122" s="44"/>
      <c r="D122" s="203" t="s">
        <v>116</v>
      </c>
      <c r="E122" s="62"/>
      <c r="F122" s="63"/>
      <c r="G122" s="41"/>
      <c r="H122" s="232" t="str">
        <f ca="1">_xll.DBRA(Server&amp;$D$20,$D122,"French")</f>
        <v>Dot.Amort. Immob. Incorporelles</v>
      </c>
      <c r="I122" s="232"/>
      <c r="J122" s="232"/>
      <c r="K122" s="150"/>
      <c r="L122" s="151">
        <f ca="1">_xll.DBRW(Server&amp;Cube1,$J$12,$L$13,$J$14,$L$1,$J$11,$J$15,$D122)</f>
        <v>0</v>
      </c>
      <c r="M122" s="151">
        <f ca="1">_xll.DBRW(Server&amp;Cube1,$J$12,$L$13,$J$14,$M$1,$J$11,$J$15,$D122)</f>
        <v>0</v>
      </c>
      <c r="N122" s="152">
        <f t="shared" ref="N122" ca="1" si="225">L122-M122</f>
        <v>0</v>
      </c>
      <c r="O122" s="153" t="str">
        <f t="shared" ref="O122" ca="1" si="226">IF(ISERROR(N122/M122),"-",N122/M122)</f>
        <v>-</v>
      </c>
      <c r="P122" s="138"/>
      <c r="Q122" s="151">
        <f ca="1">_xll.DBRW(Server&amp;Cube1,$J$12,$L$13,$J$14,$Q$1,$J$11,$J$15,$D122)</f>
        <v>0</v>
      </c>
      <c r="R122" s="152">
        <f t="shared" ref="R122" ca="1" si="227">L122-Q122</f>
        <v>0</v>
      </c>
      <c r="S122" s="153" t="str">
        <f t="shared" ref="S122" ca="1" si="228">IF(ISERROR(R122/Q122),"-",R122/Q122)</f>
        <v>-</v>
      </c>
      <c r="T122" s="138"/>
      <c r="U122" s="151">
        <f ca="1">_xll.DBRW(Server&amp;Cube1,$J$12,$L$13,$J$14,$U$1,$U$2,$J$15,$D122)</f>
        <v>0</v>
      </c>
      <c r="V122" s="152">
        <f t="shared" ref="V122" ca="1" si="229">L122-U122</f>
        <v>0</v>
      </c>
      <c r="W122" s="153" t="str">
        <f t="shared" ref="W122" ca="1" si="230">IF(ISERROR(V122/U122),"-",V122/U122)</f>
        <v>-</v>
      </c>
      <c r="X122" s="65"/>
      <c r="Y122" s="31"/>
      <c r="Z122" s="9"/>
      <c r="AA122" s="66"/>
      <c r="AB122" s="66"/>
      <c r="AC122" s="9"/>
      <c r="AD122" s="9"/>
      <c r="AE122" s="9"/>
      <c r="AF122" s="9"/>
      <c r="AG122" s="9"/>
      <c r="AH122" s="9"/>
      <c r="AI122" s="9"/>
      <c r="AJ122" s="9"/>
      <c r="AK122" s="9"/>
      <c r="AL122" s="9"/>
      <c r="AM122" s="9"/>
      <c r="AN122" s="9"/>
      <c r="AO122" s="9"/>
      <c r="AP122" s="9"/>
      <c r="AQ122" s="9"/>
      <c r="AR122" s="9"/>
      <c r="AS122" s="9"/>
      <c r="AT122" s="9"/>
      <c r="AU122" s="9"/>
      <c r="AV122" s="9"/>
      <c r="AW122" s="9"/>
      <c r="AX122" s="9"/>
      <c r="AY122" s="9"/>
      <c r="AZ122" s="9"/>
      <c r="BA122" s="9"/>
      <c r="BB122" s="9"/>
      <c r="BC122" s="9"/>
      <c r="BD122" s="9"/>
      <c r="BE122" s="9"/>
      <c r="BF122" s="9"/>
      <c r="BG122" s="9"/>
      <c r="BH122" s="9"/>
      <c r="BI122" s="9"/>
      <c r="BJ122" s="9"/>
      <c r="BK122" s="9"/>
      <c r="BL122" s="9"/>
      <c r="BM122" s="9"/>
      <c r="BN122" s="9"/>
      <c r="BO122" s="9"/>
      <c r="BP122" s="9"/>
      <c r="BQ122" s="9"/>
      <c r="BR122" s="9"/>
      <c r="BS122" s="9"/>
      <c r="BT122" s="9"/>
      <c r="BU122" s="9"/>
      <c r="BV122" s="9"/>
      <c r="BW122" s="9"/>
      <c r="BX122" s="9"/>
      <c r="BY122" s="9"/>
      <c r="BZ122" s="9"/>
      <c r="CA122" s="9"/>
      <c r="CB122" s="9"/>
      <c r="CC122" s="9"/>
      <c r="CD122" s="9"/>
      <c r="CE122" s="9"/>
      <c r="CF122" s="9"/>
      <c r="CG122" s="9"/>
      <c r="CH122" s="9"/>
      <c r="CI122" s="9"/>
      <c r="CJ122" s="9"/>
      <c r="CK122" s="9"/>
      <c r="CL122" s="9"/>
      <c r="CM122" s="9"/>
      <c r="CN122" s="9"/>
      <c r="CO122" s="9"/>
      <c r="CP122" s="9"/>
      <c r="CQ122" s="9"/>
      <c r="CR122" s="9"/>
      <c r="CS122" s="9"/>
      <c r="CT122" s="9"/>
      <c r="CU122" s="9"/>
      <c r="CV122" s="9"/>
      <c r="CW122" s="9"/>
      <c r="CX122" s="9"/>
      <c r="CY122" s="9"/>
      <c r="CZ122" s="9"/>
      <c r="DA122" s="9"/>
      <c r="DB122" s="9"/>
      <c r="DC122" s="9"/>
      <c r="DD122" s="9"/>
      <c r="DE122" s="9"/>
      <c r="DF122" s="9"/>
      <c r="DG122" s="9"/>
      <c r="DH122" s="9"/>
      <c r="DI122" s="9"/>
      <c r="DJ122" s="9"/>
      <c r="DK122" s="9"/>
      <c r="DL122" s="9"/>
      <c r="DM122" s="9"/>
      <c r="DN122" s="9"/>
    </row>
    <row r="123" spans="2:118" ht="21" hidden="1" customHeight="1" outlineLevel="1" x14ac:dyDescent="0.25">
      <c r="B123" s="60"/>
      <c r="C123" s="44"/>
      <c r="D123" s="214" t="s">
        <v>68</v>
      </c>
      <c r="E123" s="62"/>
      <c r="F123" s="63"/>
      <c r="G123" s="41"/>
      <c r="H123" s="232" t="str">
        <f ca="1">_xll.DBRA(Server&amp;$D$20,$D123,"French")</f>
        <v>Dot.Amort. Immob. Corporelles</v>
      </c>
      <c r="I123" s="232"/>
      <c r="J123" s="232"/>
      <c r="K123" s="150"/>
      <c r="L123" s="151">
        <f ca="1">_xll.DBRW(Server&amp;Cube1,$J$12,$L$13,$J$14,$L$1,$J$11,$J$15,$D123)</f>
        <v>-3169.0299999999997</v>
      </c>
      <c r="M123" s="151">
        <f ca="1">_xll.DBRW(Server&amp;Cube1,$J$12,$L$13,$J$14,$M$1,$J$11,$J$15,$D123)</f>
        <v>-2860.0000000000014</v>
      </c>
      <c r="N123" s="152">
        <f ca="1">L123-M123</f>
        <v>-309.02999999999838</v>
      </c>
      <c r="O123" s="153">
        <f ca="1">IF(ISERROR(N123/M123),"-",N123/M123)</f>
        <v>0.10805244755244693</v>
      </c>
      <c r="P123" s="138"/>
      <c r="Q123" s="151">
        <f ca="1">_xll.DBRW(Server&amp;Cube1,$J$12,$L$13,$J$14,$Q$1,$J$11,$J$15,$D123)</f>
        <v>0</v>
      </c>
      <c r="R123" s="152">
        <f t="shared" ref="R123" ca="1" si="231">L123-Q123</f>
        <v>-3169.0299999999997</v>
      </c>
      <c r="S123" s="153" t="str">
        <f t="shared" ref="S123" ca="1" si="232">IF(ISERROR(R123/Q123),"-",R123/Q123)</f>
        <v>-</v>
      </c>
      <c r="T123" s="138"/>
      <c r="U123" s="151">
        <f ca="1">_xll.DBRW(Server&amp;Cube1,$J$12,$L$13,$J$14,$U$1,$U$2,$J$15,$D123)</f>
        <v>-3135.38</v>
      </c>
      <c r="V123" s="152">
        <f ca="1">L123-U123</f>
        <v>-33.649999999999636</v>
      </c>
      <c r="W123" s="153">
        <f t="shared" ref="W123" ca="1" si="233">IF(ISERROR(V123/U123),"-",V123/U123)</f>
        <v>1.0732351421518169E-2</v>
      </c>
      <c r="X123" s="65"/>
      <c r="Y123" s="31"/>
      <c r="Z123" s="9"/>
      <c r="AA123" s="66"/>
      <c r="AB123" s="66"/>
      <c r="AC123" s="9"/>
      <c r="AD123" s="9"/>
      <c r="AE123" s="9"/>
      <c r="AF123" s="9"/>
      <c r="AG123" s="9"/>
      <c r="AH123" s="9"/>
      <c r="AI123" s="9"/>
      <c r="AJ123" s="9"/>
      <c r="AK123" s="9"/>
      <c r="AL123" s="9"/>
      <c r="AM123" s="9"/>
      <c r="AN123" s="9"/>
      <c r="AO123" s="9"/>
      <c r="AP123" s="9"/>
      <c r="AQ123" s="9"/>
      <c r="AR123" s="9"/>
      <c r="AS123" s="9"/>
      <c r="AT123" s="9"/>
      <c r="AU123" s="9"/>
      <c r="AV123" s="9"/>
      <c r="AW123" s="9"/>
      <c r="AX123" s="9"/>
      <c r="AY123" s="9"/>
      <c r="AZ123" s="9"/>
      <c r="BA123" s="9"/>
      <c r="BB123" s="9"/>
      <c r="BC123" s="9"/>
      <c r="BD123" s="9"/>
      <c r="BE123" s="9"/>
      <c r="BF123" s="9"/>
      <c r="BG123" s="9"/>
      <c r="BH123" s="9"/>
      <c r="BI123" s="9"/>
      <c r="BJ123" s="9"/>
      <c r="BK123" s="9"/>
      <c r="BL123" s="9"/>
      <c r="BM123" s="9"/>
      <c r="BN123" s="9"/>
      <c r="BO123" s="9"/>
      <c r="BP123" s="9"/>
      <c r="BQ123" s="9"/>
      <c r="BR123" s="9"/>
      <c r="BS123" s="9"/>
      <c r="BT123" s="9"/>
      <c r="BU123" s="9"/>
      <c r="BV123" s="9"/>
      <c r="BW123" s="9"/>
      <c r="BX123" s="9"/>
      <c r="BY123" s="9"/>
      <c r="BZ123" s="9"/>
      <c r="CA123" s="9"/>
      <c r="CB123" s="9"/>
      <c r="CC123" s="9"/>
      <c r="CD123" s="9"/>
      <c r="CE123" s="9"/>
      <c r="CF123" s="9"/>
      <c r="CG123" s="9"/>
      <c r="CH123" s="9"/>
      <c r="CI123" s="9"/>
      <c r="CJ123" s="9"/>
      <c r="CK123" s="9"/>
      <c r="CL123" s="9"/>
      <c r="CM123" s="9"/>
      <c r="CN123" s="9"/>
      <c r="CO123" s="9"/>
      <c r="CP123" s="9"/>
      <c r="CQ123" s="9"/>
      <c r="CR123" s="9"/>
      <c r="CS123" s="9"/>
      <c r="CT123" s="9"/>
      <c r="CU123" s="9"/>
      <c r="CV123" s="9"/>
      <c r="CW123" s="9"/>
      <c r="CX123" s="9"/>
      <c r="CY123" s="9"/>
      <c r="CZ123" s="9"/>
      <c r="DA123" s="9"/>
      <c r="DB123" s="9"/>
      <c r="DC123" s="9"/>
      <c r="DD123" s="9"/>
      <c r="DE123" s="9"/>
      <c r="DF123" s="9"/>
      <c r="DG123" s="9"/>
      <c r="DH123" s="9"/>
      <c r="DI123" s="9"/>
      <c r="DJ123" s="9"/>
      <c r="DK123" s="9"/>
      <c r="DL123" s="9"/>
      <c r="DM123" s="9"/>
      <c r="DN123" s="9"/>
    </row>
    <row r="124" spans="2:118" ht="21" hidden="1" customHeight="1" outlineLevel="1" x14ac:dyDescent="0.25">
      <c r="B124" s="60"/>
      <c r="C124" s="44"/>
      <c r="D124" s="203" t="s">
        <v>117</v>
      </c>
      <c r="E124" s="62"/>
      <c r="F124" s="63"/>
      <c r="G124" s="41"/>
      <c r="H124" s="232" t="str">
        <f ca="1">_xll.DBRA(Server&amp;$D$20,$D124,"French")</f>
        <v>Dot. Aux dépréciations créances</v>
      </c>
      <c r="I124" s="232"/>
      <c r="J124" s="232"/>
      <c r="K124" s="150"/>
      <c r="L124" s="151">
        <f ca="1">_xll.DBRW(Server&amp;Cube1,$J$12,$L$13,$J$14,$L$1,$J$11,$J$15,$D124)</f>
        <v>-16310</v>
      </c>
      <c r="M124" s="151">
        <f ca="1">_xll.DBRW(Server&amp;Cube1,$J$12,$L$13,$J$14,$M$1,$J$11,$J$15,$D124)</f>
        <v>0</v>
      </c>
      <c r="N124" s="152">
        <f t="shared" ref="N124" ca="1" si="234">L124-M124</f>
        <v>-16310</v>
      </c>
      <c r="O124" s="153" t="str">
        <f t="shared" ref="O124" ca="1" si="235">IF(ISERROR(N124/M124),"-",N124/M124)</f>
        <v>-</v>
      </c>
      <c r="P124" s="138"/>
      <c r="Q124" s="151">
        <f ca="1">_xll.DBRW(Server&amp;Cube1,$J$12,$L$13,$J$14,$Q$1,$J$11,$J$15,$D124)</f>
        <v>0</v>
      </c>
      <c r="R124" s="152">
        <f t="shared" ref="R124" ca="1" si="236">L124-Q124</f>
        <v>-16310</v>
      </c>
      <c r="S124" s="153" t="str">
        <f t="shared" ref="S124" ca="1" si="237">IF(ISERROR(R124/Q124),"-",R124/Q124)</f>
        <v>-</v>
      </c>
      <c r="T124" s="138"/>
      <c r="U124" s="151">
        <f ca="1">_xll.DBRW(Server&amp;Cube1,$J$12,$L$13,$J$14,$U$1,$U$2,$J$15,$D124)</f>
        <v>0</v>
      </c>
      <c r="V124" s="152">
        <f t="shared" ref="V124" ca="1" si="238">L124-U124</f>
        <v>-16310</v>
      </c>
      <c r="W124" s="153" t="str">
        <f t="shared" ref="W124" ca="1" si="239">IF(ISERROR(V124/U124),"-",V124/U124)</f>
        <v>-</v>
      </c>
      <c r="X124" s="65"/>
      <c r="Y124" s="31"/>
      <c r="Z124" s="9"/>
      <c r="AA124" s="66"/>
      <c r="AB124" s="66"/>
      <c r="AC124" s="9"/>
      <c r="AD124" s="9"/>
      <c r="AE124" s="9"/>
      <c r="AF124" s="9"/>
      <c r="AG124" s="9"/>
      <c r="AH124" s="9"/>
      <c r="AI124" s="9"/>
      <c r="AJ124" s="9"/>
      <c r="AK124" s="9"/>
      <c r="AL124" s="9"/>
      <c r="AM124" s="9"/>
      <c r="AN124" s="9"/>
      <c r="AO124" s="9"/>
      <c r="AP124" s="9"/>
      <c r="AQ124" s="9"/>
      <c r="AR124" s="9"/>
      <c r="AS124" s="9"/>
      <c r="AT124" s="9"/>
      <c r="AU124" s="9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9"/>
      <c r="BH124" s="9"/>
      <c r="BI124" s="9"/>
      <c r="BJ124" s="9"/>
      <c r="BK124" s="9"/>
      <c r="BL124" s="9"/>
      <c r="BM124" s="9"/>
      <c r="BN124" s="9"/>
      <c r="BO124" s="9"/>
      <c r="BP124" s="9"/>
      <c r="BQ124" s="9"/>
      <c r="BR124" s="9"/>
      <c r="BS124" s="9"/>
      <c r="BT124" s="9"/>
      <c r="BU124" s="9"/>
      <c r="BV124" s="9"/>
      <c r="BW124" s="9"/>
      <c r="BX124" s="9"/>
      <c r="BY124" s="9"/>
      <c r="BZ124" s="9"/>
      <c r="CA124" s="9"/>
      <c r="CB124" s="9"/>
      <c r="CC124" s="9"/>
      <c r="CD124" s="9"/>
      <c r="CE124" s="9"/>
      <c r="CF124" s="9"/>
      <c r="CG124" s="9"/>
      <c r="CH124" s="9"/>
      <c r="CI124" s="9"/>
      <c r="CJ124" s="9"/>
      <c r="CK124" s="9"/>
      <c r="CL124" s="9"/>
      <c r="CM124" s="9"/>
      <c r="CN124" s="9"/>
      <c r="CO124" s="9"/>
      <c r="CP124" s="9"/>
      <c r="CQ124" s="9"/>
      <c r="CR124" s="9"/>
      <c r="CS124" s="9"/>
      <c r="CT124" s="9"/>
      <c r="CU124" s="9"/>
      <c r="CV124" s="9"/>
      <c r="CW124" s="9"/>
      <c r="CX124" s="9"/>
      <c r="CY124" s="9"/>
      <c r="CZ124" s="9"/>
      <c r="DA124" s="9"/>
      <c r="DB124" s="9"/>
      <c r="DC124" s="9"/>
      <c r="DD124" s="9"/>
      <c r="DE124" s="9"/>
      <c r="DF124" s="9"/>
      <c r="DG124" s="9"/>
      <c r="DH124" s="9"/>
      <c r="DI124" s="9"/>
      <c r="DJ124" s="9"/>
      <c r="DK124" s="9"/>
      <c r="DL124" s="9"/>
      <c r="DM124" s="9"/>
      <c r="DN124" s="9"/>
    </row>
    <row r="125" spans="2:118" ht="21" hidden="1" customHeight="1" outlineLevel="1" x14ac:dyDescent="0.25">
      <c r="B125" s="60"/>
      <c r="C125" s="44"/>
      <c r="D125" s="203" t="s">
        <v>77</v>
      </c>
      <c r="E125" s="62"/>
      <c r="F125" s="63"/>
      <c r="G125" s="41"/>
      <c r="H125" s="232" t="str">
        <f ca="1">_xll.DBRA(Server&amp;$D$20,$D125,"French")</f>
        <v>Divers (Autres frais)</v>
      </c>
      <c r="I125" s="232"/>
      <c r="J125" s="232"/>
      <c r="K125" s="150"/>
      <c r="L125" s="151">
        <f ca="1">_xll.DBRW(Server&amp;Cube1,$J$12,$L$13,$J$14,$L$1,$J$11,$J$15,$D125)</f>
        <v>0</v>
      </c>
      <c r="M125" s="151">
        <f ca="1">_xll.DBRW(Server&amp;Cube1,$J$12,$L$13,$J$14,$M$1,$J$11,$J$15,$D125)</f>
        <v>0</v>
      </c>
      <c r="N125" s="152">
        <f t="shared" ca="1" si="119"/>
        <v>0</v>
      </c>
      <c r="O125" s="153" t="str">
        <f t="shared" ca="1" si="90"/>
        <v>-</v>
      </c>
      <c r="P125" s="138"/>
      <c r="Q125" s="151">
        <f ca="1">_xll.DBRW(Server&amp;Cube1,$J$12,$L$13,$J$14,$Q$1,$J$11,$J$15,$D125)</f>
        <v>0</v>
      </c>
      <c r="R125" s="152">
        <f t="shared" ca="1" si="88"/>
        <v>0</v>
      </c>
      <c r="S125" s="153" t="str">
        <f t="shared" ca="1" si="89"/>
        <v>-</v>
      </c>
      <c r="T125" s="138"/>
      <c r="U125" s="151">
        <f ca="1">_xll.DBRW(Server&amp;Cube1,$J$12,$L$13,$J$14,$U$1,$U$2,$J$15,$D125)</f>
        <v>0</v>
      </c>
      <c r="V125" s="152">
        <f t="shared" ca="1" si="91"/>
        <v>0</v>
      </c>
      <c r="W125" s="153" t="str">
        <f t="shared" ca="1" si="92"/>
        <v>-</v>
      </c>
      <c r="X125" s="65"/>
      <c r="Y125" s="31"/>
      <c r="Z125" s="9"/>
      <c r="AA125" s="66"/>
      <c r="AB125" s="66"/>
      <c r="AC125" s="9"/>
      <c r="AD125" s="9"/>
      <c r="AE125" s="9"/>
      <c r="AF125" s="9"/>
      <c r="AG125" s="9"/>
      <c r="AH125" s="9"/>
      <c r="AI125" s="9"/>
      <c r="AJ125" s="9"/>
      <c r="AK125" s="9"/>
      <c r="AL125" s="9"/>
      <c r="AM125" s="9"/>
      <c r="AN125" s="9"/>
      <c r="AO125" s="9"/>
      <c r="AP125" s="9"/>
      <c r="AQ125" s="9"/>
      <c r="AR125" s="9"/>
      <c r="AS125" s="9"/>
      <c r="AT125" s="9"/>
      <c r="AU125" s="9"/>
      <c r="AV125" s="9"/>
      <c r="AW125" s="9"/>
      <c r="AX125" s="9"/>
      <c r="AY125" s="9"/>
      <c r="AZ125" s="9"/>
      <c r="BA125" s="9"/>
      <c r="BB125" s="9"/>
      <c r="BC125" s="9"/>
      <c r="BD125" s="9"/>
      <c r="BE125" s="9"/>
      <c r="BF125" s="9"/>
      <c r="BG125" s="9"/>
      <c r="BH125" s="9"/>
      <c r="BI125" s="9"/>
      <c r="BJ125" s="9"/>
      <c r="BK125" s="9"/>
      <c r="BL125" s="9"/>
      <c r="BM125" s="9"/>
      <c r="BN125" s="9"/>
      <c r="BO125" s="9"/>
      <c r="BP125" s="9"/>
      <c r="BQ125" s="9"/>
      <c r="BR125" s="9"/>
      <c r="BS125" s="9"/>
      <c r="BT125" s="9"/>
      <c r="BU125" s="9"/>
      <c r="BV125" s="9"/>
      <c r="BW125" s="9"/>
      <c r="BX125" s="9"/>
      <c r="BY125" s="9"/>
      <c r="BZ125" s="9"/>
      <c r="CA125" s="9"/>
      <c r="CB125" s="9"/>
      <c r="CC125" s="9"/>
      <c r="CD125" s="9"/>
      <c r="CE125" s="9"/>
      <c r="CF125" s="9"/>
      <c r="CG125" s="9"/>
      <c r="CH125" s="9"/>
      <c r="CI125" s="9"/>
      <c r="CJ125" s="9"/>
      <c r="CK125" s="9"/>
      <c r="CL125" s="9"/>
      <c r="CM125" s="9"/>
      <c r="CN125" s="9"/>
      <c r="CO125" s="9"/>
      <c r="CP125" s="9"/>
      <c r="CQ125" s="9"/>
      <c r="CR125" s="9"/>
      <c r="CS125" s="9"/>
      <c r="CT125" s="9"/>
      <c r="CU125" s="9"/>
      <c r="CV125" s="9"/>
      <c r="CW125" s="9"/>
      <c r="CX125" s="9"/>
      <c r="CY125" s="9"/>
      <c r="CZ125" s="9"/>
      <c r="DA125" s="9"/>
      <c r="DB125" s="9"/>
      <c r="DC125" s="9"/>
      <c r="DD125" s="9"/>
      <c r="DE125" s="9"/>
      <c r="DF125" s="9"/>
      <c r="DG125" s="9"/>
      <c r="DH125" s="9"/>
      <c r="DI125" s="9"/>
      <c r="DJ125" s="9"/>
      <c r="DK125" s="9"/>
      <c r="DL125" s="9"/>
      <c r="DM125" s="9"/>
      <c r="DN125" s="9"/>
    </row>
    <row r="126" spans="2:118" ht="21" hidden="1" customHeight="1" outlineLevel="1" x14ac:dyDescent="0.25">
      <c r="B126" s="60"/>
      <c r="C126" s="44"/>
      <c r="D126" s="214" t="s">
        <v>182</v>
      </c>
      <c r="E126" s="62"/>
      <c r="F126" s="63"/>
      <c r="G126" s="41"/>
      <c r="H126" s="232" t="str">
        <f ca="1">_xll.DBRA(Server&amp;$D$20,$D126,"French")</f>
        <v>Pertes/créances irrécouvr. exer.ant.</v>
      </c>
      <c r="I126" s="232"/>
      <c r="J126" s="232"/>
      <c r="K126" s="150"/>
      <c r="L126" s="151">
        <f ca="1">_xll.DBRW(Server&amp;Cube1,$J$12,$L$13,$J$14,$L$1,$J$11,$J$15,$D126)</f>
        <v>0</v>
      </c>
      <c r="M126" s="151">
        <f ca="1">_xll.DBRW(Server&amp;Cube1,$J$12,$L$13,$J$14,$M$1,$J$11,$J$15,$D126)</f>
        <v>0</v>
      </c>
      <c r="N126" s="152">
        <f t="shared" ca="1" si="119"/>
        <v>0</v>
      </c>
      <c r="O126" s="153" t="str">
        <f t="shared" ca="1" si="90"/>
        <v>-</v>
      </c>
      <c r="P126" s="138"/>
      <c r="Q126" s="151">
        <f ca="1">_xll.DBRW(Server&amp;Cube1,$J$12,$L$13,$J$14,$Q$1,$J$11,$J$15,$D126)</f>
        <v>0</v>
      </c>
      <c r="R126" s="152">
        <f t="shared" ca="1" si="88"/>
        <v>0</v>
      </c>
      <c r="S126" s="153" t="str">
        <f t="shared" ca="1" si="89"/>
        <v>-</v>
      </c>
      <c r="T126" s="138"/>
      <c r="U126" s="151">
        <f ca="1">_xll.DBRW(Server&amp;Cube1,$J$12,$L$13,$J$14,$U$1,$U$2,$J$15,$D126)</f>
        <v>0</v>
      </c>
      <c r="V126" s="152">
        <f t="shared" ca="1" si="91"/>
        <v>0</v>
      </c>
      <c r="W126" s="153" t="str">
        <f t="shared" ca="1" si="92"/>
        <v>-</v>
      </c>
      <c r="X126" s="65"/>
      <c r="Y126" s="31"/>
      <c r="Z126" s="9"/>
      <c r="AA126" s="66"/>
      <c r="AB126" s="66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</row>
    <row r="127" spans="2:118" ht="21" hidden="1" customHeight="1" outlineLevel="1" x14ac:dyDescent="0.25">
      <c r="B127" s="60"/>
      <c r="C127" s="44"/>
      <c r="D127" s="214" t="s">
        <v>114</v>
      </c>
      <c r="E127" s="62"/>
      <c r="F127" s="63"/>
      <c r="G127" s="41"/>
      <c r="H127" s="232" t="str">
        <f ca="1">_xll.DBRA(Server&amp;$D$20,$D127,"French")</f>
        <v>Charges diverses de gestion courante</v>
      </c>
      <c r="I127" s="232"/>
      <c r="J127" s="232"/>
      <c r="K127" s="150"/>
      <c r="L127" s="151">
        <f ca="1">_xll.DBRW(Server&amp;Cube1,$J$12,$L$13,$J$14,$L$1,$J$11,$J$15,$D127)</f>
        <v>-8.61</v>
      </c>
      <c r="M127" s="151">
        <f ca="1">_xll.DBRW(Server&amp;Cube1,$J$12,$L$13,$J$14,$M$1,$J$11,$J$15,$D127)</f>
        <v>0</v>
      </c>
      <c r="N127" s="152">
        <f t="shared" ref="N127" ca="1" si="240">L127-M127</f>
        <v>-8.61</v>
      </c>
      <c r="O127" s="153" t="str">
        <f t="shared" ref="O127" ca="1" si="241">IF(ISERROR(N127/M127),"-",N127/M127)</f>
        <v>-</v>
      </c>
      <c r="P127" s="138"/>
      <c r="Q127" s="151">
        <f ca="1">_xll.DBRW(Server&amp;Cube1,$J$12,$L$13,$J$14,$Q$1,$J$11,$J$15,$D127)</f>
        <v>0</v>
      </c>
      <c r="R127" s="152">
        <f t="shared" ref="R127" ca="1" si="242">L127-Q127</f>
        <v>-8.61</v>
      </c>
      <c r="S127" s="153" t="str">
        <f t="shared" ref="S127" ca="1" si="243">IF(ISERROR(R127/Q127),"-",R127/Q127)</f>
        <v>-</v>
      </c>
      <c r="T127" s="138"/>
      <c r="U127" s="151">
        <f ca="1">_xll.DBRW(Server&amp;Cube1,$J$12,$L$13,$J$14,$U$1,$U$2,$J$15,$D127)</f>
        <v>-473.62000000000006</v>
      </c>
      <c r="V127" s="152">
        <f t="shared" ref="V127" ca="1" si="244">L127-U127</f>
        <v>465.01000000000005</v>
      </c>
      <c r="W127" s="153">
        <f t="shared" ref="W127" ca="1" si="245">IF(ISERROR(V127/U127),"-",V127/U127)</f>
        <v>-0.98182086905113797</v>
      </c>
      <c r="X127" s="65"/>
      <c r="Y127" s="31"/>
      <c r="Z127" s="9"/>
      <c r="AA127" s="66"/>
      <c r="AB127" s="66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</row>
    <row r="128" spans="2:118" ht="15" customHeight="1" collapsed="1" x14ac:dyDescent="0.25">
      <c r="C128" s="44"/>
      <c r="D128" s="207"/>
      <c r="E128" s="68"/>
      <c r="F128" s="69"/>
      <c r="G128" s="70"/>
      <c r="H128" s="71"/>
      <c r="I128" s="72"/>
      <c r="J128" s="72"/>
      <c r="K128" s="73"/>
      <c r="L128" s="74"/>
      <c r="M128" s="74"/>
      <c r="N128" s="75"/>
      <c r="O128" s="76"/>
      <c r="P128" s="77"/>
      <c r="Q128" s="74"/>
      <c r="R128" s="75"/>
      <c r="S128" s="76"/>
      <c r="T128" s="77"/>
      <c r="U128" s="74"/>
      <c r="V128" s="75"/>
      <c r="W128" s="76"/>
      <c r="X128" s="65"/>
      <c r="Y128" s="31"/>
      <c r="Z128" s="78"/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  <c r="BF128" s="9"/>
      <c r="BG128" s="9"/>
      <c r="BH128" s="9"/>
      <c r="BI128" s="9"/>
      <c r="BJ128" s="9"/>
      <c r="BK128" s="9"/>
      <c r="BL128" s="9"/>
      <c r="BM128" s="9"/>
      <c r="BN128" s="9"/>
      <c r="BO128" s="9"/>
      <c r="BP128" s="9"/>
      <c r="BQ128" s="9"/>
      <c r="BR128" s="9"/>
      <c r="BS128" s="9"/>
      <c r="BT128" s="9"/>
      <c r="BU128" s="9"/>
      <c r="BV128" s="9"/>
      <c r="BW128" s="9"/>
      <c r="BX128" s="9"/>
      <c r="BY128" s="9"/>
      <c r="BZ128" s="9"/>
      <c r="CA128" s="9"/>
      <c r="CB128" s="9"/>
      <c r="CC128" s="9"/>
      <c r="CD128" s="9"/>
      <c r="CE128" s="9"/>
      <c r="CF128" s="9"/>
      <c r="CG128" s="9"/>
      <c r="CH128" s="9"/>
      <c r="CI128" s="9"/>
      <c r="CJ128" s="9"/>
      <c r="CK128" s="9"/>
      <c r="CL128" s="9"/>
      <c r="CM128" s="9"/>
      <c r="CN128" s="9"/>
      <c r="CO128" s="9"/>
      <c r="CP128" s="9"/>
      <c r="CQ128" s="9"/>
      <c r="CR128" s="9"/>
      <c r="CS128" s="9"/>
      <c r="CT128" s="9"/>
      <c r="CU128" s="9"/>
      <c r="CV128" s="9"/>
      <c r="CW128" s="9"/>
      <c r="CX128" s="9"/>
      <c r="CY128" s="9"/>
      <c r="CZ128" s="9"/>
      <c r="DA128" s="9"/>
      <c r="DB128" s="9"/>
      <c r="DC128" s="9"/>
      <c r="DD128" s="9"/>
      <c r="DE128" s="9"/>
      <c r="DF128" s="9"/>
      <c r="DG128" s="9"/>
      <c r="DH128" s="9"/>
      <c r="DI128" s="9"/>
      <c r="DJ128" s="9"/>
      <c r="DK128" s="9"/>
      <c r="DL128" s="9"/>
      <c r="DM128" s="9"/>
      <c r="DN128" s="9"/>
    </row>
    <row r="129" spans="1:118" s="139" customFormat="1" ht="22.5" customHeight="1" x14ac:dyDescent="0.25">
      <c r="A129" s="221"/>
      <c r="B129" s="140"/>
      <c r="C129" s="44"/>
      <c r="D129" s="208" t="s">
        <v>78</v>
      </c>
      <c r="E129" s="141"/>
      <c r="F129" s="142"/>
      <c r="G129" s="235" t="str">
        <f ca="1">_xll.DBRA(Server&amp;$D$20,$D129,"French")</f>
        <v>Coûts de structure</v>
      </c>
      <c r="H129" s="236"/>
      <c r="I129" s="236"/>
      <c r="J129" s="237"/>
      <c r="K129" s="143"/>
      <c r="L129" s="144">
        <f ca="1">SUM(L73,L77,L80,L87,L92)</f>
        <v>-2490382.1599999997</v>
      </c>
      <c r="M129" s="144">
        <f ca="1">SUM(M73,M77,M80,M87,M92)</f>
        <v>-2425806</v>
      </c>
      <c r="N129" s="144">
        <f ca="1">SUM(N73,N77,N80,N87,N92)</f>
        <v>-64576.159999999727</v>
      </c>
      <c r="O129" s="161">
        <f ca="1">IF(ISERROR(N129/M129),"-",N129/M129)</f>
        <v>2.6620496445305078E-2</v>
      </c>
      <c r="P129" s="132"/>
      <c r="Q129" s="145">
        <f ca="1">_xll.DBRW(Server&amp;Cube1,$J$12,$L$13,$J$14,$Q$1,$J$11,$J$15,$D129)</f>
        <v>0</v>
      </c>
      <c r="R129" s="146">
        <f ca="1">L129-Q129</f>
        <v>-2490382.1599999997</v>
      </c>
      <c r="S129" s="161" t="str">
        <f t="shared" ref="S129" ca="1" si="246">IF(ISERROR(R129/Q129),"-",R129/Q129)</f>
        <v>-</v>
      </c>
      <c r="T129" s="132"/>
      <c r="U129" s="144">
        <f ca="1">SUM(U73,U77,U80,U87,U92)</f>
        <v>-2441001.44</v>
      </c>
      <c r="V129" s="144">
        <f ca="1">SUM(V73,V77,V80,V87,V92)</f>
        <v>-49380.719999999652</v>
      </c>
      <c r="W129" s="161">
        <f ca="1">IF(ISERROR(V129/U129),"-",V129/U129)</f>
        <v>2.0229697201653289E-2</v>
      </c>
      <c r="X129" s="155"/>
      <c r="Y129" s="148"/>
      <c r="Z129" s="149"/>
      <c r="AA129" s="149"/>
      <c r="AB129" s="149"/>
      <c r="AC129" s="149"/>
      <c r="AD129" s="149"/>
      <c r="AE129" s="149"/>
      <c r="AF129" s="149"/>
      <c r="AG129" s="149"/>
      <c r="AH129" s="149"/>
      <c r="AI129" s="149"/>
      <c r="AJ129" s="149"/>
      <c r="AK129" s="149"/>
      <c r="AL129" s="149"/>
      <c r="AM129" s="149"/>
      <c r="AN129" s="149"/>
      <c r="AO129" s="149"/>
      <c r="AP129" s="149"/>
      <c r="AQ129" s="149"/>
      <c r="AR129" s="149"/>
      <c r="AS129" s="149"/>
      <c r="AT129" s="149"/>
      <c r="AU129" s="149"/>
      <c r="AV129" s="149"/>
      <c r="AW129" s="149"/>
      <c r="AX129" s="149"/>
      <c r="AY129" s="149"/>
      <c r="AZ129" s="149"/>
      <c r="BA129" s="149"/>
      <c r="BB129" s="149"/>
      <c r="BC129" s="149"/>
      <c r="BD129" s="149"/>
      <c r="BE129" s="149"/>
      <c r="BF129" s="149"/>
      <c r="BG129" s="149"/>
      <c r="BH129" s="149"/>
      <c r="BI129" s="149"/>
      <c r="BJ129" s="149"/>
      <c r="BK129" s="149"/>
      <c r="BL129" s="149"/>
      <c r="BM129" s="149"/>
      <c r="BN129" s="149"/>
      <c r="BO129" s="149"/>
      <c r="BP129" s="149"/>
      <c r="BQ129" s="149"/>
      <c r="BR129" s="149"/>
      <c r="BS129" s="149"/>
      <c r="BT129" s="149"/>
      <c r="BU129" s="149"/>
      <c r="BV129" s="149"/>
      <c r="BW129" s="149"/>
      <c r="BX129" s="149"/>
      <c r="BY129" s="149"/>
      <c r="BZ129" s="149"/>
      <c r="CA129" s="149"/>
      <c r="CB129" s="149"/>
      <c r="CC129" s="149"/>
      <c r="CD129" s="149"/>
      <c r="CE129" s="149"/>
      <c r="CF129" s="149"/>
      <c r="CG129" s="149"/>
      <c r="CH129" s="149"/>
      <c r="CI129" s="149"/>
      <c r="CJ129" s="149"/>
      <c r="CK129" s="149"/>
      <c r="CL129" s="149"/>
      <c r="CM129" s="149"/>
      <c r="CN129" s="149"/>
      <c r="CO129" s="149"/>
      <c r="CP129" s="149"/>
      <c r="CQ129" s="149"/>
      <c r="CR129" s="149"/>
      <c r="CS129" s="149"/>
      <c r="CT129" s="149"/>
      <c r="CU129" s="149"/>
      <c r="CV129" s="149"/>
      <c r="CW129" s="149"/>
      <c r="CX129" s="149"/>
      <c r="CY129" s="149"/>
      <c r="CZ129" s="149"/>
      <c r="DA129" s="149"/>
      <c r="DB129" s="149"/>
      <c r="DC129" s="149"/>
      <c r="DD129" s="149"/>
      <c r="DE129" s="149"/>
      <c r="DF129" s="149"/>
      <c r="DG129" s="149"/>
      <c r="DH129" s="149"/>
      <c r="DI129" s="149"/>
      <c r="DJ129" s="149"/>
      <c r="DK129" s="149"/>
      <c r="DL129" s="149"/>
      <c r="DM129" s="149"/>
      <c r="DN129" s="149"/>
    </row>
    <row r="130" spans="1:118" s="37" customFormat="1" ht="15" customHeight="1" thickBot="1" x14ac:dyDescent="0.3">
      <c r="A130" s="10"/>
      <c r="B130" s="1"/>
      <c r="C130" s="44"/>
      <c r="D130" s="207"/>
      <c r="E130" s="68"/>
      <c r="F130" s="69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31"/>
      <c r="Z130" s="9"/>
      <c r="AA130" s="9"/>
      <c r="AB130" s="9"/>
      <c r="AC130" s="9"/>
      <c r="AD130" s="9"/>
      <c r="AE130" s="9"/>
      <c r="AF130" s="9"/>
      <c r="AG130" s="9"/>
      <c r="AH130" s="9"/>
      <c r="AI130" s="9"/>
      <c r="AJ130" s="9"/>
      <c r="AK130" s="9"/>
      <c r="AL130" s="9"/>
      <c r="AM130" s="9"/>
      <c r="AN130" s="9"/>
      <c r="AO130" s="9"/>
      <c r="AP130" s="9"/>
      <c r="AQ130" s="9"/>
      <c r="AR130" s="9"/>
      <c r="AS130" s="9"/>
      <c r="AT130" s="9"/>
      <c r="AU130" s="9"/>
      <c r="AV130" s="9"/>
      <c r="AW130" s="9"/>
      <c r="AX130" s="9"/>
      <c r="AY130" s="9"/>
      <c r="AZ130" s="9"/>
      <c r="BA130" s="9"/>
      <c r="BB130" s="9"/>
      <c r="BC130" s="9"/>
      <c r="BD130" s="9"/>
      <c r="BE130" s="9"/>
      <c r="BF130" s="9"/>
      <c r="BG130" s="9"/>
      <c r="BH130" s="9"/>
      <c r="BI130" s="9"/>
      <c r="BJ130" s="9"/>
      <c r="BK130" s="9"/>
      <c r="BL130" s="9"/>
      <c r="BM130" s="9"/>
      <c r="BN130" s="9"/>
      <c r="BO130" s="9"/>
      <c r="BP130" s="9"/>
      <c r="BQ130" s="9"/>
      <c r="BR130" s="9"/>
      <c r="BS130" s="9"/>
      <c r="BT130" s="9"/>
      <c r="BU130" s="9"/>
      <c r="BV130" s="9"/>
      <c r="BW130" s="9"/>
      <c r="BX130" s="9"/>
      <c r="BY130" s="9"/>
      <c r="BZ130" s="9"/>
      <c r="CA130" s="9"/>
      <c r="CB130" s="9"/>
      <c r="CC130" s="9"/>
      <c r="CD130" s="9"/>
      <c r="CE130" s="9"/>
      <c r="CF130" s="9"/>
      <c r="CG130" s="9"/>
      <c r="CH130" s="9"/>
      <c r="CI130" s="9"/>
      <c r="CJ130" s="9"/>
      <c r="CK130" s="9"/>
      <c r="CL130" s="9"/>
      <c r="CM130" s="9"/>
      <c r="CN130" s="9"/>
      <c r="CO130" s="9"/>
      <c r="CP130" s="9"/>
      <c r="CQ130" s="9"/>
      <c r="CR130" s="9"/>
      <c r="CS130" s="9"/>
      <c r="CT130" s="9"/>
      <c r="CU130" s="9"/>
      <c r="CV130" s="9"/>
      <c r="CW130" s="9"/>
      <c r="CX130" s="9"/>
      <c r="CY130" s="9"/>
      <c r="CZ130" s="9"/>
      <c r="DA130" s="9"/>
      <c r="DB130" s="9"/>
      <c r="DC130" s="9"/>
      <c r="DD130" s="9"/>
      <c r="DE130" s="9"/>
      <c r="DF130" s="9"/>
      <c r="DG130" s="9"/>
      <c r="DH130" s="9"/>
      <c r="DI130" s="9"/>
      <c r="DJ130" s="9"/>
      <c r="DK130" s="9"/>
      <c r="DL130" s="9"/>
      <c r="DM130" s="9"/>
      <c r="DN130" s="9"/>
    </row>
    <row r="131" spans="1:118" s="37" customFormat="1" ht="23.25" customHeight="1" collapsed="1" thickTop="1" thickBot="1" x14ac:dyDescent="0.3">
      <c r="A131" s="10"/>
      <c r="B131" s="1"/>
      <c r="C131" s="44"/>
      <c r="D131" s="215" t="s">
        <v>152</v>
      </c>
      <c r="E131" s="68"/>
      <c r="F131" s="69"/>
      <c r="G131" s="234" t="str">
        <f ca="1">_xll.DBRA(Server&amp;$D$20,$D131,"French")</f>
        <v>Produits structures</v>
      </c>
      <c r="H131" s="234" t="str">
        <f ca="1">_xll.DBRA(Server&amp;$D$20,$D131,"French")</f>
        <v>Produits structures</v>
      </c>
      <c r="I131" s="234"/>
      <c r="J131" s="234"/>
      <c r="K131" s="154" t="s">
        <v>3</v>
      </c>
      <c r="L131" s="165">
        <f ca="1">_xll.DBRW(Server&amp;Cube1,$J$12,$L$13,$J$14,$L$1,$J$11,$J$15,$D131)</f>
        <v>64.8</v>
      </c>
      <c r="M131" s="165">
        <f ca="1">_xll.DBRW(Server&amp;Cube1,$J$12,$L$13,$J$14,$M$1,$J$11,$J$15,$D131)</f>
        <v>0</v>
      </c>
      <c r="N131" s="166">
        <f t="shared" ref="N131:N138" ca="1" si="247">L131-M131</f>
        <v>64.8</v>
      </c>
      <c r="O131" s="167" t="str">
        <f ca="1">IF(ISERROR(N131/M131),"-",N131/M131)</f>
        <v>-</v>
      </c>
      <c r="P131" s="132"/>
      <c r="Q131" s="165">
        <f ca="1">_xll.DBRW(Server&amp;Cube1,$J$12,$L$13,$J$14,$Q$1,$J$11,$J$15,$D131)</f>
        <v>0</v>
      </c>
      <c r="R131" s="166">
        <f t="shared" ref="R131" ca="1" si="248">L131-Q131</f>
        <v>64.8</v>
      </c>
      <c r="S131" s="167" t="str">
        <f t="shared" ref="S131" ca="1" si="249">IF(ISERROR(R131/Q131),"-",R131/Q131)</f>
        <v>-</v>
      </c>
      <c r="T131" s="132"/>
      <c r="U131" s="165">
        <f ca="1">_xll.DBRW(Server&amp;Cube1,$J$12,$L$13,$J$14,$U$1,$U$2,$J$15,$D131)</f>
        <v>21.6</v>
      </c>
      <c r="V131" s="166">
        <f t="shared" ref="V131:V138" ca="1" si="250">L131-U131</f>
        <v>43.199999999999996</v>
      </c>
      <c r="W131" s="167">
        <f t="shared" ref="W131:W138" ca="1" si="251">IF(ISERROR(V131/U131),"-",V131/U131)</f>
        <v>1.9999999999999998</v>
      </c>
      <c r="X131" s="64"/>
      <c r="Y131" s="31"/>
      <c r="Z131" s="9"/>
      <c r="AA131" s="9"/>
      <c r="AB131" s="9"/>
      <c r="AC131" s="9"/>
      <c r="AD131" s="9"/>
      <c r="AE131" s="9"/>
      <c r="AF131" s="9"/>
      <c r="AG131" s="9"/>
      <c r="AH131" s="9"/>
      <c r="AI131" s="9"/>
      <c r="AJ131" s="9"/>
      <c r="AK131" s="9"/>
      <c r="AL131" s="9"/>
      <c r="AM131" s="9"/>
      <c r="AN131" s="9"/>
      <c r="AO131" s="9"/>
      <c r="AP131" s="9"/>
      <c r="AQ131" s="9"/>
      <c r="AR131" s="9"/>
      <c r="AS131" s="9"/>
      <c r="AT131" s="9"/>
      <c r="AU131" s="9"/>
      <c r="AV131" s="9"/>
      <c r="AW131" s="9"/>
      <c r="AX131" s="9"/>
      <c r="AY131" s="9"/>
      <c r="AZ131" s="9"/>
      <c r="BA131" s="9"/>
      <c r="BB131" s="9"/>
      <c r="BC131" s="9"/>
      <c r="BD131" s="9"/>
      <c r="BE131" s="9"/>
      <c r="BF131" s="9"/>
      <c r="BG131" s="9"/>
      <c r="BH131" s="9"/>
      <c r="BI131" s="9"/>
      <c r="BJ131" s="9"/>
      <c r="BK131" s="9"/>
      <c r="BL131" s="9"/>
      <c r="BM131" s="9"/>
      <c r="BN131" s="9"/>
      <c r="BO131" s="9"/>
      <c r="BP131" s="9"/>
      <c r="BQ131" s="9"/>
      <c r="BR131" s="9"/>
      <c r="BS131" s="9"/>
      <c r="BT131" s="9"/>
      <c r="BU131" s="9"/>
      <c r="BV131" s="9"/>
      <c r="BW131" s="9"/>
      <c r="BX131" s="9"/>
      <c r="BY131" s="9"/>
      <c r="BZ131" s="9"/>
      <c r="CA131" s="9"/>
      <c r="CB131" s="9"/>
      <c r="CC131" s="9"/>
      <c r="CD131" s="9"/>
      <c r="CE131" s="9"/>
      <c r="CF131" s="9"/>
      <c r="CG131" s="9"/>
      <c r="CH131" s="9"/>
      <c r="CI131" s="9"/>
      <c r="CJ131" s="9"/>
      <c r="CK131" s="9"/>
      <c r="CL131" s="9"/>
      <c r="CM131" s="9"/>
      <c r="CN131" s="9"/>
      <c r="CO131" s="9"/>
      <c r="CP131" s="9"/>
      <c r="CQ131" s="9"/>
      <c r="CR131" s="9"/>
      <c r="CS131" s="9"/>
      <c r="CT131" s="9"/>
      <c r="CU131" s="9"/>
      <c r="CV131" s="9"/>
      <c r="CW131" s="9"/>
      <c r="CX131" s="9"/>
      <c r="CY131" s="9"/>
      <c r="CZ131" s="9"/>
      <c r="DA131" s="9"/>
      <c r="DB131" s="9"/>
      <c r="DC131" s="9"/>
      <c r="DD131" s="9"/>
      <c r="DE131" s="9"/>
      <c r="DF131" s="9"/>
      <c r="DG131" s="9"/>
      <c r="DH131" s="9"/>
      <c r="DI131" s="9"/>
      <c r="DJ131" s="9"/>
      <c r="DK131" s="9"/>
      <c r="DL131" s="9"/>
      <c r="DM131" s="9"/>
      <c r="DN131" s="9"/>
    </row>
    <row r="132" spans="1:118" s="37" customFormat="1" ht="23.25" customHeight="1" thickTop="1" thickBot="1" x14ac:dyDescent="0.3">
      <c r="A132" s="10"/>
      <c r="B132" s="1"/>
      <c r="C132" s="44"/>
      <c r="D132" s="215" t="s">
        <v>150</v>
      </c>
      <c r="E132" s="68"/>
      <c r="F132" s="69"/>
      <c r="G132" s="234" t="str">
        <f ca="1">_xll.DBRA(Server&amp;$D$20,$D132,"French")</f>
        <v>Subvention OPCA Transport</v>
      </c>
      <c r="H132" s="234" t="str">
        <f ca="1">_xll.DBRA(Server&amp;$D$20,$D132,"French")</f>
        <v>Subvention OPCA Transport</v>
      </c>
      <c r="I132" s="234"/>
      <c r="J132" s="234"/>
      <c r="K132" s="154"/>
      <c r="L132" s="165">
        <f ca="1">_xll.DBRW(Server&amp;Cube1,$J$12,$L$13,$J$14,$L$1,$J$11,$J$15,$D132)</f>
        <v>0</v>
      </c>
      <c r="M132" s="165">
        <f ca="1">_xll.DBRW(Server&amp;Cube1,$J$12,$L$13,$J$14,$M$1,$J$11,$J$15,$D132)</f>
        <v>500000.00000000006</v>
      </c>
      <c r="N132" s="166">
        <f t="shared" ca="1" si="247"/>
        <v>-500000.00000000006</v>
      </c>
      <c r="O132" s="167" t="s">
        <v>167</v>
      </c>
      <c r="P132" s="132"/>
      <c r="Q132" s="165">
        <v>0</v>
      </c>
      <c r="R132" s="166">
        <v>0</v>
      </c>
      <c r="S132" s="167" t="s">
        <v>167</v>
      </c>
      <c r="T132" s="132"/>
      <c r="U132" s="165">
        <f ca="1">_xll.DBRW(Server&amp;Cube1,$J$12,$L$13,$J$14,$U$1,$U$2,$J$15,$D132)</f>
        <v>0</v>
      </c>
      <c r="V132" s="166">
        <f t="shared" ca="1" si="250"/>
        <v>0</v>
      </c>
      <c r="W132" s="167" t="str">
        <f t="shared" ca="1" si="251"/>
        <v>-</v>
      </c>
      <c r="X132" s="64"/>
      <c r="Y132" s="31"/>
      <c r="Z132" s="226"/>
      <c r="AA132" s="226"/>
      <c r="AB132" s="9"/>
      <c r="AC132" s="9"/>
      <c r="AD132" s="9"/>
      <c r="AE132" s="9"/>
      <c r="AF132" s="9"/>
      <c r="AG132" s="9"/>
      <c r="AH132" s="9"/>
      <c r="AI132" s="9"/>
      <c r="AJ132" s="9"/>
      <c r="AK132" s="9"/>
      <c r="AL132" s="9"/>
      <c r="AM132" s="9"/>
      <c r="AN132" s="9"/>
      <c r="AO132" s="9"/>
      <c r="AP132" s="9"/>
      <c r="AQ132" s="9"/>
      <c r="AR132" s="9"/>
      <c r="AS132" s="9"/>
      <c r="AT132" s="9"/>
      <c r="AU132" s="9"/>
      <c r="AV132" s="9"/>
      <c r="AW132" s="9"/>
      <c r="AX132" s="9"/>
      <c r="AY132" s="9"/>
      <c r="AZ132" s="9"/>
      <c r="BA132" s="9"/>
      <c r="BB132" s="9"/>
      <c r="BC132" s="9"/>
      <c r="BD132" s="9"/>
      <c r="BE132" s="9"/>
      <c r="BF132" s="9"/>
      <c r="BG132" s="9"/>
      <c r="BH132" s="9"/>
      <c r="BI132" s="9"/>
      <c r="BJ132" s="9"/>
      <c r="BK132" s="9"/>
      <c r="BL132" s="9"/>
      <c r="BM132" s="9"/>
      <c r="BN132" s="9"/>
      <c r="BO132" s="9"/>
      <c r="BP132" s="9"/>
      <c r="BQ132" s="9"/>
      <c r="BR132" s="9"/>
      <c r="BS132" s="9"/>
      <c r="BT132" s="9"/>
      <c r="BU132" s="9"/>
      <c r="BV132" s="9"/>
      <c r="BW132" s="9"/>
      <c r="BX132" s="9"/>
      <c r="BY132" s="9"/>
      <c r="BZ132" s="9"/>
      <c r="CA132" s="9"/>
      <c r="CB132" s="9"/>
      <c r="CC132" s="9"/>
      <c r="CD132" s="9"/>
      <c r="CE132" s="9"/>
      <c r="CF132" s="9"/>
      <c r="CG132" s="9"/>
      <c r="CH132" s="9"/>
      <c r="CI132" s="9"/>
      <c r="CJ132" s="9"/>
      <c r="CK132" s="9"/>
      <c r="CL132" s="9"/>
      <c r="CM132" s="9"/>
      <c r="CN132" s="9"/>
      <c r="CO132" s="9"/>
      <c r="CP132" s="9"/>
      <c r="CQ132" s="9"/>
      <c r="CR132" s="9"/>
      <c r="CS132" s="9"/>
      <c r="CT132" s="9"/>
      <c r="CU132" s="9"/>
      <c r="CV132" s="9"/>
      <c r="CW132" s="9"/>
      <c r="CX132" s="9"/>
      <c r="CY132" s="9"/>
      <c r="CZ132" s="9"/>
      <c r="DA132" s="9"/>
      <c r="DB132" s="9"/>
      <c r="DC132" s="9"/>
      <c r="DD132" s="9"/>
      <c r="DE132" s="9"/>
      <c r="DF132" s="9"/>
      <c r="DG132" s="9"/>
      <c r="DH132" s="9"/>
      <c r="DI132" s="9"/>
      <c r="DJ132" s="9"/>
      <c r="DK132" s="9"/>
      <c r="DL132" s="9"/>
      <c r="DM132" s="9"/>
      <c r="DN132" s="9"/>
    </row>
    <row r="133" spans="1:118" s="37" customFormat="1" ht="23.25" customHeight="1" thickTop="1" thickBot="1" x14ac:dyDescent="0.3">
      <c r="A133" s="10"/>
      <c r="B133" s="1"/>
      <c r="C133" s="44"/>
      <c r="D133" s="215" t="s">
        <v>161</v>
      </c>
      <c r="E133" s="68"/>
      <c r="F133" s="69"/>
      <c r="G133" s="234" t="str">
        <f ca="1">_xll.DBRA(Server&amp;$D$20,$D133,"French")</f>
        <v>Droit d'utilisation de produits pédagogiques</v>
      </c>
      <c r="H133" s="234" t="str">
        <f ca="1">_xll.DBRA(Server&amp;$D$20,$D133,"French")</f>
        <v>Droit d'utilisation de produits pédagogiques</v>
      </c>
      <c r="I133" s="234"/>
      <c r="J133" s="234"/>
      <c r="K133" s="154"/>
      <c r="L133" s="165">
        <f ca="1">_xll.DBRW(Server&amp;Cube1,$J$12,$L$13,$J$14,$L$1,$J$11,$J$15,$D133)</f>
        <v>0</v>
      </c>
      <c r="M133" s="165">
        <f ca="1">_xll.DBRW(Server&amp;Cube1,$J$12,$L$13,$J$14,$M$1,$J$11,$J$15,$D133)</f>
        <v>0</v>
      </c>
      <c r="N133" s="166">
        <f t="shared" ref="N133" ca="1" si="252">L133-M133</f>
        <v>0</v>
      </c>
      <c r="O133" s="167" t="s">
        <v>167</v>
      </c>
      <c r="P133" s="132"/>
      <c r="Q133" s="165">
        <v>0</v>
      </c>
      <c r="R133" s="166">
        <v>0</v>
      </c>
      <c r="S133" s="167" t="s">
        <v>167</v>
      </c>
      <c r="T133" s="132"/>
      <c r="U133" s="165">
        <f ca="1">_xll.DBRW(Server&amp;Cube1,$J$12,$L$13,$J$14,$U$1,$U$2,$J$15,$D133)</f>
        <v>0</v>
      </c>
      <c r="V133" s="166">
        <f t="shared" ref="V133" ca="1" si="253">L133-U133</f>
        <v>0</v>
      </c>
      <c r="W133" s="167" t="str">
        <f t="shared" ref="W133" ca="1" si="254">IF(ISERROR(V133/U133),"-",V133/U133)</f>
        <v>-</v>
      </c>
      <c r="X133" s="64"/>
      <c r="Y133" s="31"/>
      <c r="Z133" s="226"/>
      <c r="AA133" s="226"/>
      <c r="AB133" s="9"/>
      <c r="AC133" s="9"/>
      <c r="AD133" s="9"/>
      <c r="AE133" s="9"/>
      <c r="AF133" s="9"/>
      <c r="AG133" s="9"/>
      <c r="AH133" s="9"/>
      <c r="AI133" s="9"/>
      <c r="AJ133" s="9"/>
      <c r="AK133" s="9"/>
      <c r="AL133" s="9"/>
      <c r="AM133" s="9"/>
      <c r="AN133" s="9"/>
      <c r="AO133" s="9"/>
      <c r="AP133" s="9"/>
      <c r="AQ133" s="9"/>
      <c r="AR133" s="9"/>
      <c r="AS133" s="9"/>
      <c r="AT133" s="9"/>
      <c r="AU133" s="9"/>
      <c r="AV133" s="9"/>
      <c r="AW133" s="9"/>
      <c r="AX133" s="9"/>
      <c r="AY133" s="9"/>
      <c r="AZ133" s="9"/>
      <c r="BA133" s="9"/>
      <c r="BB133" s="9"/>
      <c r="BC133" s="9"/>
      <c r="BD133" s="9"/>
      <c r="BE133" s="9"/>
      <c r="BF133" s="9"/>
      <c r="BG133" s="9"/>
      <c r="BH133" s="9"/>
      <c r="BI133" s="9"/>
      <c r="BJ133" s="9"/>
      <c r="BK133" s="9"/>
      <c r="BL133" s="9"/>
      <c r="BM133" s="9"/>
      <c r="BN133" s="9"/>
      <c r="BO133" s="9"/>
      <c r="BP133" s="9"/>
      <c r="BQ133" s="9"/>
      <c r="BR133" s="9"/>
      <c r="BS133" s="9"/>
      <c r="BT133" s="9"/>
      <c r="BU133" s="9"/>
      <c r="BV133" s="9"/>
      <c r="BW133" s="9"/>
      <c r="BX133" s="9"/>
      <c r="BY133" s="9"/>
      <c r="BZ133" s="9"/>
      <c r="CA133" s="9"/>
      <c r="CB133" s="9"/>
      <c r="CC133" s="9"/>
      <c r="CD133" s="9"/>
      <c r="CE133" s="9"/>
      <c r="CF133" s="9"/>
      <c r="CG133" s="9"/>
      <c r="CH133" s="9"/>
      <c r="CI133" s="9"/>
      <c r="CJ133" s="9"/>
      <c r="CK133" s="9"/>
      <c r="CL133" s="9"/>
      <c r="CM133" s="9"/>
      <c r="CN133" s="9"/>
      <c r="CO133" s="9"/>
      <c r="CP133" s="9"/>
      <c r="CQ133" s="9"/>
      <c r="CR133" s="9"/>
      <c r="CS133" s="9"/>
      <c r="CT133" s="9"/>
      <c r="CU133" s="9"/>
      <c r="CV133" s="9"/>
      <c r="CW133" s="9"/>
      <c r="CX133" s="9"/>
      <c r="CY133" s="9"/>
      <c r="CZ133" s="9"/>
      <c r="DA133" s="9"/>
      <c r="DB133" s="9"/>
      <c r="DC133" s="9"/>
      <c r="DD133" s="9"/>
      <c r="DE133" s="9"/>
      <c r="DF133" s="9"/>
      <c r="DG133" s="9"/>
      <c r="DH133" s="9"/>
      <c r="DI133" s="9"/>
      <c r="DJ133" s="9"/>
      <c r="DK133" s="9"/>
      <c r="DL133" s="9"/>
      <c r="DM133" s="9"/>
      <c r="DN133" s="9"/>
    </row>
    <row r="134" spans="1:118" s="37" customFormat="1" ht="23.25" customHeight="1" thickTop="1" thickBot="1" x14ac:dyDescent="0.3">
      <c r="A134" s="10"/>
      <c r="B134" s="1"/>
      <c r="C134" s="44"/>
      <c r="D134" s="206" t="s">
        <v>120</v>
      </c>
      <c r="E134" s="68"/>
      <c r="F134" s="69"/>
      <c r="G134" s="234" t="str">
        <f ca="1">_xll.DBRA(Server&amp;$D$20,$D134,"French")</f>
        <v>Produits divers de gestion courante</v>
      </c>
      <c r="H134" s="234" t="str">
        <f ca="1">_xll.DBRA(Server&amp;$D$20,$D134,"French")</f>
        <v>Produits divers de gestion courante</v>
      </c>
      <c r="I134" s="234"/>
      <c r="J134" s="234"/>
      <c r="K134" s="154" t="s">
        <v>3</v>
      </c>
      <c r="L134" s="165">
        <f ca="1">_xll.DBRW(Server&amp;Cube1,$J$12,$L$13,$J$14,$L$1,$J$11,$J$15,$D134)</f>
        <v>500000</v>
      </c>
      <c r="M134" s="165">
        <f ca="1">_xll.DBRW(Server&amp;Cube1,$J$12,$L$13,$J$14,$M$1,$J$11,$J$15,$D134)</f>
        <v>0</v>
      </c>
      <c r="N134" s="166">
        <f t="shared" ca="1" si="247"/>
        <v>500000</v>
      </c>
      <c r="O134" s="167" t="str">
        <f ca="1">IF(ISERROR(N134/M134),"-",N134/M134)</f>
        <v>-</v>
      </c>
      <c r="P134" s="132"/>
      <c r="Q134" s="165">
        <f ca="1">_xll.DBRW(Server&amp;Cube1,$J$12,$L$13,$J$14,$Q$1,$J$11,$J$15,$D134)</f>
        <v>0</v>
      </c>
      <c r="R134" s="166">
        <f ca="1">L134-Q134</f>
        <v>500000</v>
      </c>
      <c r="S134" s="167" t="str">
        <f ca="1">IF(ISERROR(R134/Q134),"-",R134/Q134)</f>
        <v>-</v>
      </c>
      <c r="T134" s="132"/>
      <c r="U134" s="165">
        <f ca="1">_xll.DBRW(Server&amp;Cube1,$J$12,$L$13,$J$14,$U$1,$U$2,$J$15,$D134)</f>
        <v>500000.01</v>
      </c>
      <c r="V134" s="166">
        <f t="shared" ca="1" si="250"/>
        <v>-1.0000000009313226E-2</v>
      </c>
      <c r="W134" s="167">
        <f t="shared" ca="1" si="251"/>
        <v>-1.999999961862646E-8</v>
      </c>
      <c r="X134" s="64"/>
      <c r="Y134" s="31"/>
      <c r="Z134" s="226"/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9"/>
      <c r="AL134" s="9"/>
      <c r="AM134" s="9"/>
      <c r="AN134" s="9"/>
      <c r="AO134" s="9"/>
      <c r="AP134" s="9"/>
      <c r="AQ134" s="9"/>
      <c r="AR134" s="9"/>
      <c r="AS134" s="9"/>
      <c r="AT134" s="9"/>
      <c r="AU134" s="9"/>
      <c r="AV134" s="9"/>
      <c r="AW134" s="9"/>
      <c r="AX134" s="9"/>
      <c r="AY134" s="9"/>
      <c r="AZ134" s="9"/>
      <c r="BA134" s="9"/>
      <c r="BB134" s="9"/>
      <c r="BC134" s="9"/>
      <c r="BD134" s="9"/>
      <c r="BE134" s="9"/>
      <c r="BF134" s="9"/>
      <c r="BG134" s="9"/>
      <c r="BH134" s="9"/>
      <c r="BI134" s="9"/>
      <c r="BJ134" s="9"/>
      <c r="BK134" s="9"/>
      <c r="BL134" s="9"/>
      <c r="BM134" s="9"/>
      <c r="BN134" s="9"/>
      <c r="BO134" s="9"/>
      <c r="BP134" s="9"/>
      <c r="BQ134" s="9"/>
      <c r="BR134" s="9"/>
      <c r="BS134" s="9"/>
      <c r="BT134" s="9"/>
      <c r="BU134" s="9"/>
      <c r="BV134" s="9"/>
      <c r="BW134" s="9"/>
      <c r="BX134" s="9"/>
      <c r="BY134" s="9"/>
      <c r="BZ134" s="9"/>
      <c r="CA134" s="9"/>
      <c r="CB134" s="9"/>
      <c r="CC134" s="9"/>
      <c r="CD134" s="9"/>
      <c r="CE134" s="9"/>
      <c r="CF134" s="9"/>
      <c r="CG134" s="9"/>
      <c r="CH134" s="9"/>
      <c r="CI134" s="9"/>
      <c r="CJ134" s="9"/>
      <c r="CK134" s="9"/>
      <c r="CL134" s="9"/>
      <c r="CM134" s="9"/>
      <c r="CN134" s="9"/>
      <c r="CO134" s="9"/>
      <c r="CP134" s="9"/>
      <c r="CQ134" s="9"/>
      <c r="CR134" s="9"/>
      <c r="CS134" s="9"/>
      <c r="CT134" s="9"/>
      <c r="CU134" s="9"/>
      <c r="CV134" s="9"/>
      <c r="CW134" s="9"/>
      <c r="CX134" s="9"/>
      <c r="CY134" s="9"/>
      <c r="CZ134" s="9"/>
      <c r="DA134" s="9"/>
      <c r="DB134" s="9"/>
      <c r="DC134" s="9"/>
      <c r="DD134" s="9"/>
      <c r="DE134" s="9"/>
      <c r="DF134" s="9"/>
      <c r="DG134" s="9"/>
      <c r="DH134" s="9"/>
      <c r="DI134" s="9"/>
      <c r="DJ134" s="9"/>
      <c r="DK134" s="9"/>
      <c r="DL134" s="9"/>
      <c r="DM134" s="9"/>
      <c r="DN134" s="9"/>
    </row>
    <row r="135" spans="1:118" s="37" customFormat="1" ht="23.25" customHeight="1" thickTop="1" thickBot="1" x14ac:dyDescent="0.3">
      <c r="A135" s="10"/>
      <c r="B135" s="1"/>
      <c r="C135" s="44"/>
      <c r="D135" s="206" t="s">
        <v>121</v>
      </c>
      <c r="E135" s="68"/>
      <c r="F135" s="69"/>
      <c r="G135" s="234" t="str">
        <f ca="1">_xll.DBRA(Server&amp;$D$20,$D135,"French")</f>
        <v>Ports et frais accessoires facturés</v>
      </c>
      <c r="H135" s="234" t="str">
        <f ca="1">_xll.DBRA(Server&amp;$D$20,$D135,"French")</f>
        <v>Ports et frais accessoires facturés</v>
      </c>
      <c r="I135" s="234"/>
      <c r="J135" s="234"/>
      <c r="K135" s="154" t="s">
        <v>3</v>
      </c>
      <c r="L135" s="165">
        <f ca="1">_xll.DBRW(Server&amp;Cube1,$J$12,$L$13,$J$14,$L$1,$J$11,$J$15,$D135)</f>
        <v>0</v>
      </c>
      <c r="M135" s="165">
        <f ca="1">_xll.DBRW(Server&amp;Cube1,$J$12,$L$13,$J$14,$M$1,$J$11,$J$15,$D135)</f>
        <v>0</v>
      </c>
      <c r="N135" s="166">
        <f t="shared" ca="1" si="247"/>
        <v>0</v>
      </c>
      <c r="O135" s="167" t="str">
        <f ca="1">IF(ISERROR(N135/M135),"-",N135/M135)</f>
        <v>-</v>
      </c>
      <c r="P135" s="132"/>
      <c r="Q135" s="165">
        <f ca="1">_xll.DBRW(Server&amp;Cube1,$J$12,$L$13,$J$14,$Q$1,$J$11,$J$15,$D135)</f>
        <v>0</v>
      </c>
      <c r="R135" s="166">
        <f ca="1">L135-Q135</f>
        <v>0</v>
      </c>
      <c r="S135" s="167" t="str">
        <f ca="1">IF(ISERROR(R135/Q135),"-",R135/Q135)</f>
        <v>-</v>
      </c>
      <c r="T135" s="132"/>
      <c r="U135" s="165">
        <f ca="1">_xll.DBRW(Server&amp;Cube1,$J$12,$L$13,$J$14,$U$1,$U$2,$J$15,$D135)</f>
        <v>0</v>
      </c>
      <c r="V135" s="166">
        <f t="shared" ca="1" si="250"/>
        <v>0</v>
      </c>
      <c r="W135" s="167" t="str">
        <f t="shared" ca="1" si="251"/>
        <v>-</v>
      </c>
      <c r="X135" s="64"/>
      <c r="Y135" s="31"/>
      <c r="Z135" s="226"/>
      <c r="AA135" s="226"/>
      <c r="AB135" s="9"/>
      <c r="AC135" s="9"/>
      <c r="AD135" s="9"/>
      <c r="AE135" s="9"/>
      <c r="AF135" s="9"/>
      <c r="AG135" s="9"/>
      <c r="AH135" s="9"/>
      <c r="AI135" s="9"/>
      <c r="AJ135" s="9"/>
      <c r="AK135" s="9"/>
      <c r="AL135" s="9"/>
      <c r="AM135" s="9"/>
      <c r="AN135" s="9"/>
      <c r="AO135" s="9"/>
      <c r="AP135" s="9"/>
      <c r="AQ135" s="9"/>
      <c r="AR135" s="9"/>
      <c r="AS135" s="9"/>
      <c r="AT135" s="9"/>
      <c r="AU135" s="9"/>
      <c r="AV135" s="9"/>
      <c r="AW135" s="9"/>
      <c r="AX135" s="9"/>
      <c r="AY135" s="9"/>
      <c r="AZ135" s="9"/>
      <c r="BA135" s="9"/>
      <c r="BB135" s="9"/>
      <c r="BC135" s="9"/>
      <c r="BD135" s="9"/>
      <c r="BE135" s="9"/>
      <c r="BF135" s="9"/>
      <c r="BG135" s="9"/>
      <c r="BH135" s="9"/>
      <c r="BI135" s="9"/>
      <c r="BJ135" s="9"/>
      <c r="BK135" s="9"/>
      <c r="BL135" s="9"/>
      <c r="BM135" s="9"/>
      <c r="BN135" s="9"/>
      <c r="BO135" s="9"/>
      <c r="BP135" s="9"/>
      <c r="BQ135" s="9"/>
      <c r="BR135" s="9"/>
      <c r="BS135" s="9"/>
      <c r="BT135" s="9"/>
      <c r="BU135" s="9"/>
      <c r="BV135" s="9"/>
      <c r="BW135" s="9"/>
      <c r="BX135" s="9"/>
      <c r="BY135" s="9"/>
      <c r="BZ135" s="9"/>
      <c r="CA135" s="9"/>
      <c r="CB135" s="9"/>
      <c r="CC135" s="9"/>
      <c r="CD135" s="9"/>
      <c r="CE135" s="9"/>
      <c r="CF135" s="9"/>
      <c r="CG135" s="9"/>
      <c r="CH135" s="9"/>
      <c r="CI135" s="9"/>
      <c r="CJ135" s="9"/>
      <c r="CK135" s="9"/>
      <c r="CL135" s="9"/>
      <c r="CM135" s="9"/>
      <c r="CN135" s="9"/>
      <c r="CO135" s="9"/>
      <c r="CP135" s="9"/>
      <c r="CQ135" s="9"/>
      <c r="CR135" s="9"/>
      <c r="CS135" s="9"/>
      <c r="CT135" s="9"/>
      <c r="CU135" s="9"/>
      <c r="CV135" s="9"/>
      <c r="CW135" s="9"/>
      <c r="CX135" s="9"/>
      <c r="CY135" s="9"/>
      <c r="CZ135" s="9"/>
      <c r="DA135" s="9"/>
      <c r="DB135" s="9"/>
      <c r="DC135" s="9"/>
      <c r="DD135" s="9"/>
      <c r="DE135" s="9"/>
      <c r="DF135" s="9"/>
      <c r="DG135" s="9"/>
      <c r="DH135" s="9"/>
      <c r="DI135" s="9"/>
      <c r="DJ135" s="9"/>
      <c r="DK135" s="9"/>
      <c r="DL135" s="9"/>
      <c r="DM135" s="9"/>
      <c r="DN135" s="9"/>
    </row>
    <row r="136" spans="1:118" s="37" customFormat="1" ht="23.25" customHeight="1" thickTop="1" thickBot="1" x14ac:dyDescent="0.3">
      <c r="A136" s="10"/>
      <c r="B136" s="1"/>
      <c r="C136" s="44"/>
      <c r="D136" s="206" t="s">
        <v>122</v>
      </c>
      <c r="E136" s="68"/>
      <c r="F136" s="69"/>
      <c r="G136" s="234" t="str">
        <f ca="1">_xll.DBRA(Server&amp;$D$20,$D136,"French")</f>
        <v>Remise forfaitaire annuelle</v>
      </c>
      <c r="H136" s="234" t="str">
        <f ca="1">_xll.DBRA(Server&amp;$D$20,$D136,"French")</f>
        <v>Remise forfaitaire annuelle</v>
      </c>
      <c r="I136" s="234"/>
      <c r="J136" s="234"/>
      <c r="K136" s="154" t="s">
        <v>3</v>
      </c>
      <c r="L136" s="165">
        <f ca="1">_xll.DBRW(Server&amp;Cube1,$J$12,$L$13,$J$14,$L$1,$J$11,$J$15,$D136)</f>
        <v>36274.1</v>
      </c>
      <c r="M136" s="165">
        <f ca="1">_xll.DBRW(Server&amp;Cube1,$J$12,$L$13,$J$14,$M$1,$J$11,$J$15,$D136)</f>
        <v>40000</v>
      </c>
      <c r="N136" s="166">
        <f ca="1">L136-M136</f>
        <v>-3725.9000000000015</v>
      </c>
      <c r="O136" s="167">
        <f ca="1">IF(ISERROR(N136/M136),"-",N136/M136)</f>
        <v>-9.3147500000000036E-2</v>
      </c>
      <c r="P136" s="132"/>
      <c r="Q136" s="165">
        <f ca="1">_xll.DBRW(Server&amp;Cube1,$J$12,$L$13,$J$14,$Q$1,$J$11,$J$15,$D136)</f>
        <v>0</v>
      </c>
      <c r="R136" s="166">
        <f ca="1">L136-Q136</f>
        <v>36274.1</v>
      </c>
      <c r="S136" s="167" t="str">
        <f ca="1">IF(ISERROR(R136/Q136),"-",R136/Q136)</f>
        <v>-</v>
      </c>
      <c r="T136" s="132"/>
      <c r="U136" s="165">
        <f ca="1">_xll.DBRW(Server&amp;Cube1,$J$12,$L$13,$J$14,$U$1,$U$2,$J$15,$D136)</f>
        <v>41836.9</v>
      </c>
      <c r="V136" s="166">
        <f t="shared" ca="1" si="250"/>
        <v>-5562.8000000000029</v>
      </c>
      <c r="W136" s="167">
        <f t="shared" ca="1" si="251"/>
        <v>-0.13296396243507533</v>
      </c>
      <c r="X136" s="64"/>
      <c r="Y136" s="31"/>
      <c r="Z136" s="226"/>
      <c r="AA136" s="9"/>
      <c r="AB136" s="9"/>
      <c r="AC136" s="9"/>
      <c r="AD136" s="9"/>
      <c r="AE136" s="9"/>
      <c r="AF136" s="9"/>
      <c r="AG136" s="9"/>
      <c r="AH136" s="9"/>
      <c r="AI136" s="9"/>
      <c r="AJ136" s="9"/>
      <c r="AK136" s="9"/>
      <c r="AL136" s="9"/>
      <c r="AM136" s="9"/>
      <c r="AN136" s="9"/>
      <c r="AO136" s="9"/>
      <c r="AP136" s="9"/>
      <c r="AQ136" s="9"/>
      <c r="AR136" s="9"/>
      <c r="AS136" s="9"/>
      <c r="AT136" s="9"/>
      <c r="AU136" s="9"/>
      <c r="AV136" s="9"/>
      <c r="AW136" s="9"/>
      <c r="AX136" s="9"/>
      <c r="AY136" s="9"/>
      <c r="AZ136" s="9"/>
      <c r="BA136" s="9"/>
      <c r="BB136" s="9"/>
      <c r="BC136" s="9"/>
      <c r="BD136" s="9"/>
      <c r="BE136" s="9"/>
      <c r="BF136" s="9"/>
      <c r="BG136" s="9"/>
      <c r="BH136" s="9"/>
      <c r="BI136" s="9"/>
      <c r="BJ136" s="9"/>
      <c r="BK136" s="9"/>
      <c r="BL136" s="9"/>
      <c r="BM136" s="9"/>
      <c r="BN136" s="9"/>
      <c r="BO136" s="9"/>
      <c r="BP136" s="9"/>
      <c r="BQ136" s="9"/>
      <c r="BR136" s="9"/>
      <c r="BS136" s="9"/>
      <c r="BT136" s="9"/>
      <c r="BU136" s="9"/>
      <c r="BV136" s="9"/>
      <c r="BW136" s="9"/>
      <c r="BX136" s="9"/>
      <c r="BY136" s="9"/>
      <c r="BZ136" s="9"/>
      <c r="CA136" s="9"/>
      <c r="CB136" s="9"/>
      <c r="CC136" s="9"/>
      <c r="CD136" s="9"/>
      <c r="CE136" s="9"/>
      <c r="CF136" s="9"/>
      <c r="CG136" s="9"/>
      <c r="CH136" s="9"/>
      <c r="CI136" s="9"/>
      <c r="CJ136" s="9"/>
      <c r="CK136" s="9"/>
      <c r="CL136" s="9"/>
      <c r="CM136" s="9"/>
      <c r="CN136" s="9"/>
      <c r="CO136" s="9"/>
      <c r="CP136" s="9"/>
      <c r="CQ136" s="9"/>
      <c r="CR136" s="9"/>
      <c r="CS136" s="9"/>
      <c r="CT136" s="9"/>
      <c r="CU136" s="9"/>
      <c r="CV136" s="9"/>
      <c r="CW136" s="9"/>
      <c r="CX136" s="9"/>
      <c r="CY136" s="9"/>
      <c r="CZ136" s="9"/>
      <c r="DA136" s="9"/>
      <c r="DB136" s="9"/>
      <c r="DC136" s="9"/>
      <c r="DD136" s="9"/>
      <c r="DE136" s="9"/>
      <c r="DF136" s="9"/>
      <c r="DG136" s="9"/>
      <c r="DH136" s="9"/>
      <c r="DI136" s="9"/>
      <c r="DJ136" s="9"/>
      <c r="DK136" s="9"/>
      <c r="DL136" s="9"/>
      <c r="DM136" s="9"/>
      <c r="DN136" s="9"/>
    </row>
    <row r="137" spans="1:118" s="37" customFormat="1" ht="23.25" customHeight="1" thickTop="1" thickBot="1" x14ac:dyDescent="0.3">
      <c r="A137" s="10"/>
      <c r="B137" s="1"/>
      <c r="C137" s="44"/>
      <c r="D137" s="206" t="s">
        <v>153</v>
      </c>
      <c r="E137" s="68"/>
      <c r="F137" s="69"/>
      <c r="G137" s="234" t="str">
        <f ca="1">_xll.DBRA(Server&amp;$D$20,$D137,"French")</f>
        <v>Refacturation Personnel MAD</v>
      </c>
      <c r="H137" s="234" t="str">
        <f ca="1">_xll.DBRA(Server&amp;$D$20,$D137,"French")</f>
        <v>Refacturation Personnel MAD</v>
      </c>
      <c r="I137" s="234"/>
      <c r="J137" s="234"/>
      <c r="K137" s="154" t="s">
        <v>3</v>
      </c>
      <c r="L137" s="165">
        <f ca="1">_xll.DBRW(Server&amp;Cube1,$J$12,$L$13,$J$14,$L$1,$J$11,$J$15,$D137)</f>
        <v>137550.52000000002</v>
      </c>
      <c r="M137" s="165">
        <f ca="1">_xll.DBRW(Server&amp;Cube1,$J$12,$L$13,$J$14,$M$1,$J$11,$J$15,$D137)</f>
        <v>156955</v>
      </c>
      <c r="N137" s="166">
        <f t="shared" ca="1" si="247"/>
        <v>-19404.479999999981</v>
      </c>
      <c r="O137" s="167">
        <f ca="1">IF(ISERROR(N137/M137),"-",N137/M137)</f>
        <v>-0.12363084960657501</v>
      </c>
      <c r="P137" s="132"/>
      <c r="Q137" s="165">
        <f ca="1">_xll.DBRW(Server&amp;Cube1,$J$12,$L$13,$J$14,$Q$1,$J$11,$J$15,$D137)</f>
        <v>0</v>
      </c>
      <c r="R137" s="166">
        <f ca="1">L137-Q137</f>
        <v>137550.52000000002</v>
      </c>
      <c r="S137" s="167" t="str">
        <f ca="1">IF(ISERROR(R137/Q137),"-",R137/Q137)</f>
        <v>-</v>
      </c>
      <c r="T137" s="132"/>
      <c r="U137" s="165">
        <f ca="1">_xll.DBRW(Server&amp;Cube1,$J$12,$L$13,$J$14,$U$1,$U$2,$J$15,$D137)</f>
        <v>12781.27</v>
      </c>
      <c r="V137" s="166">
        <f t="shared" ca="1" si="250"/>
        <v>124769.25000000001</v>
      </c>
      <c r="W137" s="167">
        <f t="shared" ca="1" si="251"/>
        <v>9.7618820351968161</v>
      </c>
      <c r="X137" s="64"/>
      <c r="Y137" s="31"/>
      <c r="Z137" s="9"/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9"/>
      <c r="AL137" s="9"/>
      <c r="AM137" s="9"/>
      <c r="AN137" s="9"/>
      <c r="AO137" s="9"/>
      <c r="AP137" s="9"/>
      <c r="AQ137" s="9"/>
      <c r="AR137" s="9"/>
      <c r="AS137" s="9"/>
      <c r="AT137" s="9"/>
      <c r="AU137" s="9"/>
      <c r="AV137" s="9"/>
      <c r="AW137" s="9"/>
      <c r="AX137" s="9"/>
      <c r="AY137" s="9"/>
      <c r="AZ137" s="9"/>
      <c r="BA137" s="9"/>
      <c r="BB137" s="9"/>
      <c r="BC137" s="9"/>
      <c r="BD137" s="9"/>
      <c r="BE137" s="9"/>
      <c r="BF137" s="9"/>
      <c r="BG137" s="9"/>
      <c r="BH137" s="9"/>
      <c r="BI137" s="9"/>
      <c r="BJ137" s="9"/>
      <c r="BK137" s="9"/>
      <c r="BL137" s="9"/>
      <c r="BM137" s="9"/>
      <c r="BN137" s="9"/>
      <c r="BO137" s="9"/>
      <c r="BP137" s="9"/>
      <c r="BQ137" s="9"/>
      <c r="BR137" s="9"/>
      <c r="BS137" s="9"/>
      <c r="BT137" s="9"/>
      <c r="BU137" s="9"/>
      <c r="BV137" s="9"/>
      <c r="BW137" s="9"/>
      <c r="BX137" s="9"/>
      <c r="BY137" s="9"/>
      <c r="BZ137" s="9"/>
      <c r="CA137" s="9"/>
      <c r="CB137" s="9"/>
      <c r="CC137" s="9"/>
      <c r="CD137" s="9"/>
      <c r="CE137" s="9"/>
      <c r="CF137" s="9"/>
      <c r="CG137" s="9"/>
      <c r="CH137" s="9"/>
      <c r="CI137" s="9"/>
      <c r="CJ137" s="9"/>
      <c r="CK137" s="9"/>
      <c r="CL137" s="9"/>
      <c r="CM137" s="9"/>
      <c r="CN137" s="9"/>
      <c r="CO137" s="9"/>
      <c r="CP137" s="9"/>
      <c r="CQ137" s="9"/>
      <c r="CR137" s="9"/>
      <c r="CS137" s="9"/>
      <c r="CT137" s="9"/>
      <c r="CU137" s="9"/>
      <c r="CV137" s="9"/>
      <c r="CW137" s="9"/>
      <c r="CX137" s="9"/>
      <c r="CY137" s="9"/>
      <c r="CZ137" s="9"/>
      <c r="DA137" s="9"/>
      <c r="DB137" s="9"/>
      <c r="DC137" s="9"/>
      <c r="DD137" s="9"/>
      <c r="DE137" s="9"/>
      <c r="DF137" s="9"/>
      <c r="DG137" s="9"/>
      <c r="DH137" s="9"/>
      <c r="DI137" s="9"/>
      <c r="DJ137" s="9"/>
      <c r="DK137" s="9"/>
      <c r="DL137" s="9"/>
      <c r="DM137" s="9"/>
      <c r="DN137" s="9"/>
    </row>
    <row r="138" spans="1:118" s="37" customFormat="1" ht="23.25" customHeight="1" collapsed="1" thickTop="1" x14ac:dyDescent="0.25">
      <c r="A138" s="10"/>
      <c r="B138" s="1"/>
      <c r="C138" s="44"/>
      <c r="D138" s="206" t="s">
        <v>108</v>
      </c>
      <c r="E138" s="68"/>
      <c r="F138" s="69"/>
      <c r="G138" s="234" t="str">
        <f ca="1">_xll.DBRA(Server&amp;$D$20,$D138,"French")</f>
        <v>Reprise sur provision d'exploitation (Douteux)</v>
      </c>
      <c r="H138" s="234" t="str">
        <f ca="1">_xll.DBRA(Server&amp;$D$20,$D138,"French")</f>
        <v>Reprise sur provision d'exploitation (Douteux)</v>
      </c>
      <c r="I138" s="234"/>
      <c r="J138" s="234"/>
      <c r="K138" s="154" t="s">
        <v>3</v>
      </c>
      <c r="L138" s="165">
        <f ca="1">_xll.DBRW(Server&amp;Cube1,$J$12,$L$13,$J$14,$L$1,$J$11,$J$15,$D138)</f>
        <v>0</v>
      </c>
      <c r="M138" s="165">
        <f ca="1">_xll.DBRW(Server&amp;Cube1,$J$12,$L$13,$J$14,$M$1,$J$11,$J$15,$D138)</f>
        <v>0</v>
      </c>
      <c r="N138" s="166">
        <f t="shared" ca="1" si="247"/>
        <v>0</v>
      </c>
      <c r="O138" s="167" t="str">
        <f ca="1">IF(ISERROR(N138/M138),"-",N138/M138)</f>
        <v>-</v>
      </c>
      <c r="P138" s="132"/>
      <c r="Q138" s="165">
        <f ca="1">_xll.DBRW(Server&amp;Cube1,$J$12,$L$13,$J$14,$Q$1,$J$11,$J$15,$D138)</f>
        <v>0</v>
      </c>
      <c r="R138" s="166">
        <f t="shared" ref="R138" ca="1" si="255">L138-Q138</f>
        <v>0</v>
      </c>
      <c r="S138" s="167" t="str">
        <f t="shared" ref="S138" ca="1" si="256">IF(ISERROR(R138/Q138),"-",R138/Q138)</f>
        <v>-</v>
      </c>
      <c r="T138" s="132"/>
      <c r="U138" s="165">
        <f ca="1">_xll.DBRW(Server&amp;Cube1,$J$12,$L$13,$J$14,$U$1,$U$2,$J$15,$D138)</f>
        <v>13333.35</v>
      </c>
      <c r="V138" s="166">
        <f t="shared" ca="1" si="250"/>
        <v>-13333.35</v>
      </c>
      <c r="W138" s="167">
        <f t="shared" ca="1" si="251"/>
        <v>-1</v>
      </c>
      <c r="X138" s="64"/>
      <c r="Y138" s="31"/>
      <c r="Z138" s="9"/>
      <c r="AA138" s="9"/>
      <c r="AB138" s="9"/>
      <c r="AC138" s="9"/>
      <c r="AD138" s="9"/>
      <c r="AE138" s="9"/>
      <c r="AF138" s="9"/>
      <c r="AG138" s="9"/>
      <c r="AH138" s="9"/>
      <c r="AI138" s="9"/>
      <c r="AJ138" s="9"/>
      <c r="AK138" s="9"/>
      <c r="AL138" s="9"/>
      <c r="AM138" s="9"/>
      <c r="AN138" s="9"/>
      <c r="AO138" s="9"/>
      <c r="AP138" s="9"/>
      <c r="AQ138" s="9"/>
      <c r="AR138" s="9"/>
      <c r="AS138" s="9"/>
      <c r="AT138" s="9"/>
      <c r="AU138" s="9"/>
      <c r="AV138" s="9"/>
      <c r="AW138" s="9"/>
      <c r="AX138" s="9"/>
      <c r="AY138" s="9"/>
      <c r="AZ138" s="9"/>
      <c r="BA138" s="9"/>
      <c r="BB138" s="9"/>
      <c r="BC138" s="9"/>
      <c r="BD138" s="9"/>
      <c r="BE138" s="9"/>
      <c r="BF138" s="9"/>
      <c r="BG138" s="9"/>
      <c r="BH138" s="9"/>
      <c r="BI138" s="9"/>
      <c r="BJ138" s="9"/>
      <c r="BK138" s="9"/>
      <c r="BL138" s="9"/>
      <c r="BM138" s="9"/>
      <c r="BN138" s="9"/>
      <c r="BO138" s="9"/>
      <c r="BP138" s="9"/>
      <c r="BQ138" s="9"/>
      <c r="BR138" s="9"/>
      <c r="BS138" s="9"/>
      <c r="BT138" s="9"/>
      <c r="BU138" s="9"/>
      <c r="BV138" s="9"/>
      <c r="BW138" s="9"/>
      <c r="BX138" s="9"/>
      <c r="BY138" s="9"/>
      <c r="BZ138" s="9"/>
      <c r="CA138" s="9"/>
      <c r="CB138" s="9"/>
      <c r="CC138" s="9"/>
      <c r="CD138" s="9"/>
      <c r="CE138" s="9"/>
      <c r="CF138" s="9"/>
      <c r="CG138" s="9"/>
      <c r="CH138" s="9"/>
      <c r="CI138" s="9"/>
      <c r="CJ138" s="9"/>
      <c r="CK138" s="9"/>
      <c r="CL138" s="9"/>
      <c r="CM138" s="9"/>
      <c r="CN138" s="9"/>
      <c r="CO138" s="9"/>
      <c r="CP138" s="9"/>
      <c r="CQ138" s="9"/>
      <c r="CR138" s="9"/>
      <c r="CS138" s="9"/>
      <c r="CT138" s="9"/>
      <c r="CU138" s="9"/>
      <c r="CV138" s="9"/>
      <c r="CW138" s="9"/>
      <c r="CX138" s="9"/>
      <c r="CY138" s="9"/>
      <c r="CZ138" s="9"/>
      <c r="DA138" s="9"/>
      <c r="DB138" s="9"/>
      <c r="DC138" s="9"/>
      <c r="DD138" s="9"/>
      <c r="DE138" s="9"/>
      <c r="DF138" s="9"/>
      <c r="DG138" s="9"/>
      <c r="DH138" s="9"/>
      <c r="DI138" s="9"/>
      <c r="DJ138" s="9"/>
      <c r="DK138" s="9"/>
      <c r="DL138" s="9"/>
      <c r="DM138" s="9"/>
      <c r="DN138" s="9"/>
    </row>
    <row r="139" spans="1:118" ht="9" customHeight="1" x14ac:dyDescent="0.25">
      <c r="C139" s="44"/>
      <c r="D139" s="207"/>
      <c r="E139" s="68"/>
      <c r="F139" s="69"/>
      <c r="G139" s="70"/>
      <c r="H139" s="71"/>
      <c r="I139" s="72"/>
      <c r="J139" s="72"/>
      <c r="K139" s="73"/>
      <c r="L139" s="74"/>
      <c r="M139" s="74"/>
      <c r="N139" s="75"/>
      <c r="O139" s="76"/>
      <c r="P139" s="77"/>
      <c r="Q139" s="74"/>
      <c r="R139" s="75"/>
      <c r="S139" s="76"/>
      <c r="T139" s="77"/>
      <c r="U139" s="74"/>
      <c r="V139" s="75"/>
      <c r="W139" s="76"/>
      <c r="X139" s="65"/>
      <c r="Y139" s="31"/>
      <c r="Z139" s="78"/>
      <c r="AA139" s="9"/>
      <c r="AB139" s="9"/>
      <c r="AC139" s="9"/>
      <c r="AD139" s="9"/>
      <c r="AE139" s="9"/>
      <c r="AF139" s="9"/>
      <c r="AG139" s="9"/>
      <c r="AH139" s="9"/>
      <c r="AI139" s="9"/>
      <c r="AJ139" s="9"/>
      <c r="AK139" s="9"/>
      <c r="AL139" s="9"/>
      <c r="AM139" s="9"/>
      <c r="AN139" s="9"/>
      <c r="AO139" s="9"/>
      <c r="AP139" s="9"/>
      <c r="AQ139" s="9"/>
      <c r="AR139" s="9"/>
      <c r="AS139" s="9"/>
      <c r="AT139" s="9"/>
      <c r="AU139" s="9"/>
      <c r="AV139" s="9"/>
      <c r="AW139" s="9"/>
      <c r="AX139" s="9"/>
      <c r="AY139" s="9"/>
      <c r="AZ139" s="9"/>
      <c r="BA139" s="9"/>
      <c r="BB139" s="9"/>
      <c r="BC139" s="9"/>
      <c r="BD139" s="9"/>
      <c r="BE139" s="9"/>
      <c r="BF139" s="9"/>
      <c r="BG139" s="9"/>
      <c r="BH139" s="9"/>
      <c r="BI139" s="9"/>
      <c r="BJ139" s="9"/>
      <c r="BK139" s="9"/>
      <c r="BL139" s="9"/>
      <c r="BM139" s="9"/>
      <c r="BN139" s="9"/>
      <c r="BO139" s="9"/>
      <c r="BP139" s="9"/>
      <c r="BQ139" s="9"/>
      <c r="BR139" s="9"/>
      <c r="BS139" s="9"/>
      <c r="BT139" s="9"/>
      <c r="BU139" s="9"/>
      <c r="BV139" s="9"/>
      <c r="BW139" s="9"/>
      <c r="BX139" s="9"/>
      <c r="BY139" s="9"/>
      <c r="BZ139" s="9"/>
      <c r="CA139" s="9"/>
      <c r="CB139" s="9"/>
      <c r="CC139" s="9"/>
      <c r="CD139" s="9"/>
      <c r="CE139" s="9"/>
      <c r="CF139" s="9"/>
      <c r="CG139" s="9"/>
      <c r="CH139" s="9"/>
      <c r="CI139" s="9"/>
      <c r="CJ139" s="9"/>
      <c r="CK139" s="9"/>
      <c r="CL139" s="9"/>
      <c r="CM139" s="9"/>
      <c r="CN139" s="9"/>
      <c r="CO139" s="9"/>
      <c r="CP139" s="9"/>
      <c r="CQ139" s="9"/>
      <c r="CR139" s="9"/>
      <c r="CS139" s="9"/>
      <c r="CT139" s="9"/>
      <c r="CU139" s="9"/>
      <c r="CV139" s="9"/>
      <c r="CW139" s="9"/>
      <c r="CX139" s="9"/>
      <c r="CY139" s="9"/>
      <c r="CZ139" s="9"/>
      <c r="DA139" s="9"/>
      <c r="DB139" s="9"/>
      <c r="DC139" s="9"/>
      <c r="DD139" s="9"/>
      <c r="DE139" s="9"/>
      <c r="DF139" s="9"/>
      <c r="DG139" s="9"/>
      <c r="DH139" s="9"/>
      <c r="DI139" s="9"/>
      <c r="DJ139" s="9"/>
      <c r="DK139" s="9"/>
      <c r="DL139" s="9"/>
      <c r="DM139" s="9"/>
      <c r="DN139" s="9"/>
    </row>
    <row r="140" spans="1:118" s="139" customFormat="1" ht="22.5" customHeight="1" x14ac:dyDescent="0.25">
      <c r="B140" s="140"/>
      <c r="C140" s="44"/>
      <c r="D140" s="208" t="s">
        <v>123</v>
      </c>
      <c r="E140" s="141"/>
      <c r="F140" s="142"/>
      <c r="G140" s="235" t="str">
        <f ca="1">_xll.DBRA(Server&amp;$D$20,$D140,"French")</f>
        <v>Produits de structure</v>
      </c>
      <c r="H140" s="236"/>
      <c r="I140" s="236"/>
      <c r="J140" s="237"/>
      <c r="K140" s="143"/>
      <c r="L140" s="144">
        <f ca="1">+L131+L132+L134+L135+L136+L137+L138</f>
        <v>673889.42</v>
      </c>
      <c r="M140" s="144">
        <f ca="1">+M131+M132+M134+M135+M136+M137+M138</f>
        <v>696955</v>
      </c>
      <c r="N140" s="144">
        <f ca="1">+N131+N132+N134+N135+N136+N137+N138</f>
        <v>-23065.580000000053</v>
      </c>
      <c r="O140" s="161">
        <f ca="1">IF(ISERROR(N140/M140),"-",N140/M140)</f>
        <v>-3.3094790911895391E-2</v>
      </c>
      <c r="P140" s="132"/>
      <c r="Q140" s="145">
        <f ca="1">+Q131+Q132+Q134+Q135+Q136+Q137+Q138</f>
        <v>0</v>
      </c>
      <c r="R140" s="145">
        <f ca="1">+R131+R132+R134+R135+R136+R137+R138</f>
        <v>673889.42</v>
      </c>
      <c r="S140" s="161" t="str">
        <f t="shared" ref="S140" ca="1" si="257">IF(ISERROR(R140/Q140),"-",R140/Q140)</f>
        <v>-</v>
      </c>
      <c r="T140" s="132"/>
      <c r="U140" s="144">
        <f ca="1">+U131+U132+U134+U135+U136+U137+U138</f>
        <v>567973.13</v>
      </c>
      <c r="V140" s="144">
        <f ca="1">+V131+V132+V134+V135+V136+V137+V138</f>
        <v>105916.29</v>
      </c>
      <c r="W140" s="161">
        <f ca="1">IF(ISERROR(V140/U140),"-",V140/U140)</f>
        <v>0.18648116329024225</v>
      </c>
      <c r="X140" s="155"/>
      <c r="Y140" s="148"/>
      <c r="Z140" s="149"/>
      <c r="AA140" s="149"/>
      <c r="AB140" s="149"/>
      <c r="AC140" s="149"/>
      <c r="AD140" s="149"/>
      <c r="AE140" s="149"/>
      <c r="AF140" s="149"/>
      <c r="AG140" s="149"/>
      <c r="AH140" s="149"/>
      <c r="AI140" s="149"/>
      <c r="AJ140" s="149"/>
      <c r="AK140" s="149"/>
      <c r="AL140" s="149"/>
      <c r="AM140" s="149"/>
      <c r="AN140" s="149"/>
      <c r="AO140" s="149"/>
      <c r="AP140" s="149"/>
      <c r="AQ140" s="149"/>
      <c r="AR140" s="149"/>
      <c r="AS140" s="149"/>
      <c r="AT140" s="149"/>
      <c r="AU140" s="149"/>
      <c r="AV140" s="149"/>
      <c r="AW140" s="149"/>
      <c r="AX140" s="149"/>
      <c r="AY140" s="149"/>
      <c r="AZ140" s="149"/>
      <c r="BA140" s="149"/>
      <c r="BB140" s="149"/>
      <c r="BC140" s="149"/>
      <c r="BD140" s="149"/>
      <c r="BE140" s="149"/>
      <c r="BF140" s="149"/>
      <c r="BG140" s="149"/>
      <c r="BH140" s="149"/>
      <c r="BI140" s="149"/>
      <c r="BJ140" s="149"/>
      <c r="BK140" s="149"/>
      <c r="BL140" s="149"/>
      <c r="BM140" s="149"/>
      <c r="BN140" s="149"/>
      <c r="BO140" s="149"/>
      <c r="BP140" s="149"/>
      <c r="BQ140" s="149"/>
      <c r="BR140" s="149"/>
      <c r="BS140" s="149"/>
      <c r="BT140" s="149"/>
      <c r="BU140" s="149"/>
      <c r="BV140" s="149"/>
      <c r="BW140" s="149"/>
      <c r="BX140" s="149"/>
      <c r="BY140" s="149"/>
      <c r="BZ140" s="149"/>
      <c r="CA140" s="149"/>
      <c r="CB140" s="149"/>
      <c r="CC140" s="149"/>
      <c r="CD140" s="149"/>
      <c r="CE140" s="149"/>
      <c r="CF140" s="149"/>
      <c r="CG140" s="149"/>
      <c r="CH140" s="149"/>
      <c r="CI140" s="149"/>
      <c r="CJ140" s="149"/>
      <c r="CK140" s="149"/>
      <c r="CL140" s="149"/>
      <c r="CM140" s="149"/>
      <c r="CN140" s="149"/>
      <c r="CO140" s="149"/>
      <c r="CP140" s="149"/>
      <c r="CQ140" s="149"/>
      <c r="CR140" s="149"/>
      <c r="CS140" s="149"/>
      <c r="CT140" s="149"/>
      <c r="CU140" s="149"/>
      <c r="CV140" s="149"/>
      <c r="CW140" s="149"/>
      <c r="CX140" s="149"/>
      <c r="CY140" s="149"/>
      <c r="CZ140" s="149"/>
      <c r="DA140" s="149"/>
      <c r="DB140" s="149"/>
      <c r="DC140" s="149"/>
      <c r="DD140" s="149"/>
      <c r="DE140" s="149"/>
      <c r="DF140" s="149"/>
      <c r="DG140" s="149"/>
      <c r="DH140" s="149"/>
      <c r="DI140" s="149"/>
      <c r="DJ140" s="149"/>
      <c r="DK140" s="149"/>
      <c r="DL140" s="149"/>
      <c r="DM140" s="149"/>
      <c r="DN140" s="149"/>
    </row>
    <row r="141" spans="1:118" ht="8.25" customHeight="1" x14ac:dyDescent="0.25">
      <c r="C141" s="44"/>
      <c r="D141" s="206"/>
      <c r="E141" s="62"/>
      <c r="F141" s="63"/>
      <c r="G141" s="82"/>
      <c r="H141" s="82"/>
      <c r="I141" s="64"/>
      <c r="J141" s="64"/>
      <c r="K141" s="64"/>
      <c r="L141" s="83"/>
      <c r="M141" s="83"/>
      <c r="N141" s="83"/>
      <c r="O141" s="84"/>
      <c r="P141" s="83"/>
      <c r="Q141" s="83"/>
      <c r="R141" s="83"/>
      <c r="S141" s="84"/>
      <c r="T141" s="83"/>
      <c r="U141" s="83"/>
      <c r="V141" s="83"/>
      <c r="W141" s="84"/>
      <c r="X141" s="64"/>
      <c r="Y141" s="31"/>
      <c r="Z141" s="9"/>
      <c r="AA141" s="85"/>
      <c r="AB141" s="85"/>
      <c r="AC141" s="85"/>
      <c r="AD141" s="85"/>
      <c r="AE141" s="85"/>
      <c r="AF141" s="85"/>
      <c r="AG141" s="85"/>
      <c r="AH141" s="85"/>
      <c r="AI141" s="85"/>
      <c r="AJ141" s="85"/>
      <c r="AK141" s="85"/>
      <c r="AL141" s="85"/>
      <c r="AM141" s="85"/>
      <c r="AN141" s="85"/>
      <c r="AO141" s="85"/>
      <c r="AP141" s="85"/>
      <c r="AQ141" s="85"/>
      <c r="AR141" s="85"/>
      <c r="AS141" s="85"/>
      <c r="AT141" s="85"/>
      <c r="AU141" s="85"/>
      <c r="AV141" s="85"/>
      <c r="AW141" s="85"/>
      <c r="AX141" s="85"/>
      <c r="AY141" s="85"/>
      <c r="AZ141" s="85"/>
      <c r="BA141" s="85"/>
      <c r="BB141" s="85"/>
      <c r="BC141" s="85"/>
      <c r="BD141" s="85"/>
      <c r="BE141" s="85"/>
      <c r="BF141" s="85"/>
      <c r="BG141" s="85"/>
      <c r="BH141" s="85"/>
      <c r="BI141" s="85"/>
      <c r="BJ141" s="85"/>
      <c r="BK141" s="85"/>
      <c r="BL141" s="85"/>
      <c r="BM141" s="85"/>
      <c r="BN141" s="85"/>
      <c r="BO141" s="85"/>
      <c r="BP141" s="85"/>
      <c r="BQ141" s="85"/>
      <c r="BR141" s="85"/>
      <c r="BS141" s="85"/>
      <c r="BT141" s="85"/>
      <c r="BU141" s="85"/>
      <c r="BV141" s="85"/>
      <c r="BW141" s="85"/>
      <c r="BX141" s="85"/>
      <c r="BY141" s="85"/>
      <c r="BZ141" s="85"/>
      <c r="CA141" s="85"/>
      <c r="CB141" s="85"/>
      <c r="CC141" s="85"/>
      <c r="CD141" s="85"/>
      <c r="CE141" s="85"/>
      <c r="CF141" s="85"/>
      <c r="CG141" s="85"/>
      <c r="CH141" s="85"/>
      <c r="CI141" s="85"/>
      <c r="CJ141" s="85"/>
      <c r="CK141" s="85"/>
      <c r="CL141" s="85"/>
      <c r="CM141" s="85"/>
      <c r="CN141" s="85"/>
      <c r="CO141" s="85"/>
      <c r="CP141" s="85"/>
      <c r="CQ141" s="85"/>
      <c r="CR141" s="85"/>
      <c r="CS141" s="85"/>
      <c r="CT141" s="85"/>
      <c r="CU141" s="85"/>
      <c r="CV141" s="85"/>
      <c r="CW141" s="85"/>
      <c r="CX141" s="85"/>
      <c r="CY141" s="85"/>
      <c r="CZ141" s="85"/>
      <c r="DA141" s="85"/>
      <c r="DB141" s="85"/>
      <c r="DC141" s="85"/>
      <c r="DD141" s="85"/>
      <c r="DE141" s="85"/>
      <c r="DF141" s="85"/>
      <c r="DG141" s="85"/>
      <c r="DH141" s="85"/>
      <c r="DI141" s="85"/>
      <c r="DJ141" s="85"/>
      <c r="DK141" s="85"/>
      <c r="DL141" s="85"/>
      <c r="DM141" s="85"/>
      <c r="DN141" s="85"/>
    </row>
    <row r="142" spans="1:118" ht="8.25" customHeight="1" x14ac:dyDescent="0.25">
      <c r="C142" s="44"/>
      <c r="D142" s="206"/>
      <c r="E142" s="62"/>
      <c r="F142" s="63"/>
      <c r="G142" s="82"/>
      <c r="H142" s="82"/>
      <c r="I142" s="64"/>
      <c r="J142" s="64"/>
      <c r="K142" s="64"/>
      <c r="L142" s="83"/>
      <c r="M142" s="83"/>
      <c r="N142" s="83"/>
      <c r="O142" s="84"/>
      <c r="P142" s="83"/>
      <c r="Q142" s="83"/>
      <c r="R142" s="83"/>
      <c r="S142" s="84"/>
      <c r="T142" s="83"/>
      <c r="U142" s="83"/>
      <c r="V142" s="83"/>
      <c r="W142" s="84"/>
      <c r="X142" s="64"/>
      <c r="Y142" s="31"/>
      <c r="Z142" s="9"/>
      <c r="AA142" s="85"/>
      <c r="AB142" s="85"/>
      <c r="AC142" s="85"/>
      <c r="AD142" s="85"/>
      <c r="AE142" s="85"/>
      <c r="AF142" s="85"/>
      <c r="AG142" s="85"/>
      <c r="AH142" s="85"/>
      <c r="AI142" s="85"/>
      <c r="AJ142" s="85"/>
      <c r="AK142" s="85"/>
      <c r="AL142" s="85"/>
      <c r="AM142" s="85"/>
      <c r="AN142" s="85"/>
      <c r="AO142" s="85"/>
      <c r="AP142" s="85"/>
      <c r="AQ142" s="85"/>
      <c r="AR142" s="85"/>
      <c r="AS142" s="85"/>
      <c r="AT142" s="85"/>
      <c r="AU142" s="85"/>
      <c r="AV142" s="85"/>
      <c r="AW142" s="85"/>
      <c r="AX142" s="85"/>
      <c r="AY142" s="85"/>
      <c r="AZ142" s="85"/>
      <c r="BA142" s="85"/>
      <c r="BB142" s="85"/>
      <c r="BC142" s="85"/>
      <c r="BD142" s="85"/>
      <c r="BE142" s="85"/>
      <c r="BF142" s="85"/>
      <c r="BG142" s="85"/>
      <c r="BH142" s="85"/>
      <c r="BI142" s="85"/>
      <c r="BJ142" s="85"/>
      <c r="BK142" s="85"/>
      <c r="BL142" s="85"/>
      <c r="BM142" s="85"/>
      <c r="BN142" s="85"/>
      <c r="BO142" s="85"/>
      <c r="BP142" s="85"/>
      <c r="BQ142" s="85"/>
      <c r="BR142" s="85"/>
      <c r="BS142" s="85"/>
      <c r="BT142" s="85"/>
      <c r="BU142" s="85"/>
      <c r="BV142" s="85"/>
      <c r="BW142" s="85"/>
      <c r="BX142" s="85"/>
      <c r="BY142" s="85"/>
      <c r="BZ142" s="85"/>
      <c r="CA142" s="85"/>
      <c r="CB142" s="85"/>
      <c r="CC142" s="85"/>
      <c r="CD142" s="85"/>
      <c r="CE142" s="85"/>
      <c r="CF142" s="85"/>
      <c r="CG142" s="85"/>
      <c r="CH142" s="85"/>
      <c r="CI142" s="85"/>
      <c r="CJ142" s="85"/>
      <c r="CK142" s="85"/>
      <c r="CL142" s="85"/>
      <c r="CM142" s="85"/>
      <c r="CN142" s="85"/>
      <c r="CO142" s="85"/>
      <c r="CP142" s="85"/>
      <c r="CQ142" s="85"/>
      <c r="CR142" s="85"/>
      <c r="CS142" s="85"/>
      <c r="CT142" s="85"/>
      <c r="CU142" s="85"/>
      <c r="CV142" s="85"/>
      <c r="CW142" s="85"/>
      <c r="CX142" s="85"/>
      <c r="CY142" s="85"/>
      <c r="CZ142" s="85"/>
      <c r="DA142" s="85"/>
      <c r="DB142" s="85"/>
      <c r="DC142" s="85"/>
      <c r="DD142" s="85"/>
      <c r="DE142" s="85"/>
      <c r="DF142" s="85"/>
      <c r="DG142" s="85"/>
      <c r="DH142" s="85"/>
      <c r="DI142" s="85"/>
      <c r="DJ142" s="85"/>
      <c r="DK142" s="85"/>
      <c r="DL142" s="85"/>
      <c r="DM142" s="85"/>
      <c r="DN142" s="85"/>
    </row>
    <row r="143" spans="1:118" ht="8.25" customHeight="1" x14ac:dyDescent="0.25">
      <c r="C143" s="44"/>
      <c r="D143" s="206"/>
      <c r="E143" s="62"/>
      <c r="F143" s="63"/>
      <c r="G143" s="183"/>
      <c r="H143" s="184"/>
      <c r="I143" s="185"/>
      <c r="J143" s="185"/>
      <c r="K143" s="185"/>
      <c r="L143" s="186"/>
      <c r="M143" s="186"/>
      <c r="N143" s="186"/>
      <c r="O143" s="187"/>
      <c r="P143" s="186"/>
      <c r="Q143" s="186"/>
      <c r="R143" s="186"/>
      <c r="S143" s="187"/>
      <c r="T143" s="186"/>
      <c r="U143" s="186"/>
      <c r="V143" s="186"/>
      <c r="W143" s="187"/>
      <c r="X143" s="188"/>
      <c r="Y143" s="86"/>
      <c r="Z143" s="85"/>
      <c r="AA143" s="85"/>
      <c r="AB143" s="85"/>
      <c r="AC143" s="85"/>
      <c r="AD143" s="85"/>
      <c r="AE143" s="85"/>
      <c r="AF143" s="85"/>
      <c r="AG143" s="85"/>
      <c r="AH143" s="85"/>
      <c r="AI143" s="85"/>
      <c r="AJ143" s="85"/>
      <c r="AK143" s="85"/>
      <c r="AL143" s="85"/>
      <c r="AM143" s="85"/>
      <c r="AN143" s="85"/>
      <c r="AO143" s="85"/>
      <c r="AP143" s="85"/>
      <c r="AQ143" s="85"/>
      <c r="AR143" s="85"/>
      <c r="AS143" s="85"/>
      <c r="AT143" s="85"/>
      <c r="AU143" s="85"/>
      <c r="AV143" s="85"/>
      <c r="AW143" s="85"/>
      <c r="AX143" s="85"/>
      <c r="AY143" s="85"/>
      <c r="AZ143" s="85"/>
      <c r="BA143" s="85"/>
      <c r="BB143" s="85"/>
      <c r="BC143" s="85"/>
      <c r="BD143" s="85"/>
      <c r="BE143" s="85"/>
      <c r="BF143" s="85"/>
      <c r="BG143" s="85"/>
      <c r="BH143" s="85"/>
      <c r="BI143" s="85"/>
      <c r="BJ143" s="85"/>
      <c r="BK143" s="85"/>
      <c r="BL143" s="85"/>
      <c r="BM143" s="85"/>
      <c r="BN143" s="85"/>
      <c r="BO143" s="85"/>
      <c r="BP143" s="85"/>
      <c r="BQ143" s="85"/>
      <c r="BR143" s="85"/>
      <c r="BS143" s="85"/>
      <c r="BT143" s="85"/>
      <c r="BU143" s="85"/>
      <c r="BV143" s="85"/>
      <c r="BW143" s="85"/>
      <c r="BX143" s="85"/>
      <c r="BY143" s="85"/>
      <c r="BZ143" s="85"/>
      <c r="CA143" s="85"/>
      <c r="CB143" s="85"/>
      <c r="CC143" s="85"/>
      <c r="CD143" s="85"/>
      <c r="CE143" s="85"/>
      <c r="CF143" s="85"/>
      <c r="CG143" s="85"/>
      <c r="CH143" s="85"/>
      <c r="CI143" s="85"/>
      <c r="CJ143" s="85"/>
      <c r="CK143" s="85"/>
      <c r="CL143" s="85"/>
      <c r="CM143" s="85"/>
      <c r="CN143" s="85"/>
      <c r="CO143" s="85"/>
      <c r="CP143" s="85"/>
      <c r="CQ143" s="85"/>
      <c r="CR143" s="85"/>
      <c r="CS143" s="85"/>
      <c r="CT143" s="85"/>
      <c r="CU143" s="85"/>
      <c r="CV143" s="85"/>
      <c r="CW143" s="85"/>
      <c r="CX143" s="85"/>
      <c r="CY143" s="85"/>
      <c r="CZ143" s="85"/>
      <c r="DA143" s="85"/>
      <c r="DB143" s="85"/>
      <c r="DC143" s="85"/>
      <c r="DD143" s="85"/>
      <c r="DE143" s="85"/>
      <c r="DF143" s="85"/>
      <c r="DG143" s="85"/>
      <c r="DH143" s="85"/>
      <c r="DI143" s="85"/>
      <c r="DJ143" s="85"/>
      <c r="DK143" s="85"/>
      <c r="DL143" s="85"/>
      <c r="DM143" s="85"/>
      <c r="DN143" s="85"/>
    </row>
    <row r="144" spans="1:118" s="61" customFormat="1" ht="22.5" customHeight="1" x14ac:dyDescent="0.25">
      <c r="A144" s="222"/>
      <c r="B144" s="60"/>
      <c r="C144" s="44"/>
      <c r="D144" s="206" t="s">
        <v>79</v>
      </c>
      <c r="E144" s="79"/>
      <c r="F144" s="80"/>
      <c r="G144" s="199"/>
      <c r="H144" s="235" t="str">
        <f ca="1">_xll.DBRA(Server&amp;$D$20,$D144,"French")</f>
        <v>RESULTAT d'exploitation</v>
      </c>
      <c r="I144" s="236"/>
      <c r="J144" s="237"/>
      <c r="K144" s="200"/>
      <c r="L144" s="144">
        <f ca="1">SUM(L68,L129,L140)</f>
        <v>60973.4099999998</v>
      </c>
      <c r="M144" s="144">
        <f ca="1">SUM(M68,M129,M140)</f>
        <v>-162707</v>
      </c>
      <c r="N144" s="144">
        <f ca="1">SUM(N68,N129,N140)</f>
        <v>223680.40999999989</v>
      </c>
      <c r="O144" s="161">
        <f ca="1">IF(ISERROR(N144/M144),"-",N144/M144)</f>
        <v>-1.3747436188977726</v>
      </c>
      <c r="P144" s="201"/>
      <c r="Q144" s="145">
        <f ca="1">_xll.DBRW(Server&amp;Cube1,$J$12,$L$13,$J$14,$Q$1,$J$11,$J$15,$D144)</f>
        <v>0</v>
      </c>
      <c r="R144" s="146">
        <f ca="1">L144-Q144</f>
        <v>60973.4099999998</v>
      </c>
      <c r="S144" s="161" t="str">
        <f t="shared" ref="S144" ca="1" si="258">IF(ISERROR(R144/Q144),"-",R144/Q144)</f>
        <v>-</v>
      </c>
      <c r="T144" s="172"/>
      <c r="U144" s="144">
        <f ca="1">SUM(U68,U129,U140)</f>
        <v>-347852.59999999905</v>
      </c>
      <c r="V144" s="146">
        <f ca="1">L144-U144</f>
        <v>408826.00999999885</v>
      </c>
      <c r="W144" s="161">
        <f ca="1">IF(ISERROR(V144/U144),"-",V144/U144)</f>
        <v>-1.1752851926361911</v>
      </c>
      <c r="X144" s="189"/>
      <c r="Y144" s="87"/>
      <c r="Z144" s="66"/>
      <c r="AA144" s="66"/>
      <c r="AB144" s="66"/>
      <c r="AC144" s="66"/>
      <c r="AD144" s="66"/>
      <c r="AE144" s="66"/>
      <c r="AF144" s="66"/>
      <c r="AG144" s="66"/>
      <c r="AH144" s="66"/>
      <c r="AI144" s="66"/>
      <c r="AJ144" s="66"/>
      <c r="AK144" s="66"/>
      <c r="AL144" s="66"/>
      <c r="AM144" s="66"/>
      <c r="AN144" s="66"/>
      <c r="AO144" s="66"/>
      <c r="AP144" s="66"/>
      <c r="AQ144" s="66"/>
      <c r="AR144" s="66"/>
      <c r="AS144" s="66"/>
      <c r="AT144" s="66"/>
      <c r="AU144" s="66"/>
      <c r="AV144" s="66"/>
      <c r="AW144" s="66"/>
      <c r="AX144" s="66"/>
      <c r="AY144" s="66"/>
      <c r="AZ144" s="66"/>
      <c r="BA144" s="66"/>
      <c r="BB144" s="66"/>
      <c r="BC144" s="66"/>
      <c r="BD144" s="66"/>
      <c r="BE144" s="66"/>
      <c r="BF144" s="66"/>
      <c r="BG144" s="66"/>
      <c r="BH144" s="66"/>
      <c r="BI144" s="66"/>
      <c r="BJ144" s="66"/>
      <c r="BK144" s="66"/>
      <c r="BL144" s="66"/>
      <c r="BM144" s="66"/>
      <c r="BN144" s="66"/>
      <c r="BO144" s="66"/>
      <c r="BP144" s="66"/>
      <c r="BQ144" s="66"/>
      <c r="BR144" s="66"/>
      <c r="BS144" s="66"/>
      <c r="BT144" s="66"/>
      <c r="BU144" s="66"/>
      <c r="BV144" s="66"/>
      <c r="BW144" s="66"/>
      <c r="BX144" s="66"/>
      <c r="BY144" s="66"/>
      <c r="BZ144" s="66"/>
      <c r="CA144" s="66"/>
      <c r="CB144" s="66"/>
      <c r="CC144" s="66"/>
      <c r="CD144" s="66"/>
      <c r="CE144" s="66"/>
      <c r="CF144" s="66"/>
      <c r="CG144" s="66"/>
      <c r="CH144" s="66"/>
      <c r="CI144" s="66"/>
      <c r="CJ144" s="66"/>
      <c r="CK144" s="66"/>
      <c r="CL144" s="66"/>
      <c r="CM144" s="66"/>
      <c r="CN144" s="66"/>
      <c r="CO144" s="66"/>
      <c r="CP144" s="66"/>
      <c r="CQ144" s="66"/>
      <c r="CR144" s="66"/>
      <c r="CS144" s="66"/>
      <c r="CT144" s="66"/>
      <c r="CU144" s="66"/>
      <c r="CV144" s="66"/>
      <c r="CW144" s="66"/>
      <c r="CX144" s="66"/>
      <c r="CY144" s="66"/>
      <c r="CZ144" s="66"/>
      <c r="DA144" s="66"/>
      <c r="DB144" s="66"/>
      <c r="DC144" s="66"/>
      <c r="DD144" s="66"/>
      <c r="DE144" s="66"/>
      <c r="DF144" s="66"/>
      <c r="DG144" s="66"/>
      <c r="DH144" s="66"/>
      <c r="DI144" s="66"/>
      <c r="DJ144" s="66"/>
      <c r="DK144" s="66"/>
      <c r="DL144" s="66"/>
      <c r="DM144" s="66"/>
      <c r="DN144" s="66"/>
    </row>
    <row r="145" spans="1:118" s="94" customFormat="1" ht="22.5" customHeight="1" collapsed="1" x14ac:dyDescent="0.25">
      <c r="A145" s="88"/>
      <c r="B145" s="89"/>
      <c r="C145" s="44"/>
      <c r="D145" s="209" t="s">
        <v>30</v>
      </c>
      <c r="E145" s="90"/>
      <c r="F145" s="91"/>
      <c r="G145" s="191"/>
      <c r="H145" s="90"/>
      <c r="I145" s="90"/>
      <c r="J145" s="192" t="s">
        <v>98</v>
      </c>
      <c r="K145" s="193"/>
      <c r="L145" s="194">
        <f ca="1">IF(ISERROR(L144/L41),"-",L144/L41)</f>
        <v>1.4330380071496536E-2</v>
      </c>
      <c r="M145" s="194">
        <f ca="1">IF(ISERROR(M144/M41),"-",M144/M41)</f>
        <v>-5.0057808589882666E-2</v>
      </c>
      <c r="N145" s="233">
        <f ca="1">IF(ISERROR((L145-M145)*100),"-",(L145-M145)*100)</f>
        <v>6.43881886613792</v>
      </c>
      <c r="O145" s="233"/>
      <c r="P145" s="195"/>
      <c r="Q145" s="194">
        <f ca="1">IF(ISERROR(Q144/Q41),"-",Q144/Q41)</f>
        <v>0</v>
      </c>
      <c r="R145" s="249">
        <f ca="1">IF(ISERROR((P145-Q145)*100),"-",(P145-Q145)*100)</f>
        <v>0</v>
      </c>
      <c r="S145" s="249"/>
      <c r="T145" s="195"/>
      <c r="U145" s="194">
        <f ca="1">IF(ISERROR(U144/U41),"-",U144/U41)</f>
        <v>-0.10581477099281195</v>
      </c>
      <c r="V145" s="233">
        <f ca="1">IF(ISERROR((L145-U145)*100),"-",(L145-U145)*100)</f>
        <v>12.014515106430848</v>
      </c>
      <c r="W145" s="233"/>
      <c r="X145" s="190"/>
      <c r="Y145" s="92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  <c r="BI145" s="93"/>
      <c r="BJ145" s="93"/>
      <c r="BK145" s="93"/>
      <c r="BL145" s="93"/>
      <c r="BM145" s="93"/>
      <c r="BN145" s="93"/>
      <c r="BO145" s="93"/>
      <c r="BP145" s="93"/>
      <c r="BQ145" s="93"/>
      <c r="BR145" s="93"/>
      <c r="BS145" s="93"/>
      <c r="BT145" s="93"/>
      <c r="BU145" s="93"/>
      <c r="BV145" s="93"/>
      <c r="BW145" s="93"/>
      <c r="BX145" s="93"/>
      <c r="BY145" s="93"/>
      <c r="BZ145" s="93"/>
      <c r="CA145" s="93"/>
      <c r="CB145" s="93"/>
      <c r="CC145" s="93"/>
      <c r="CD145" s="93"/>
      <c r="CE145" s="93"/>
      <c r="CF145" s="93"/>
      <c r="CG145" s="93"/>
      <c r="CH145" s="93"/>
      <c r="CI145" s="93"/>
      <c r="CJ145" s="93"/>
      <c r="CK145" s="93"/>
      <c r="CL145" s="93"/>
      <c r="CM145" s="93"/>
      <c r="CN145" s="93"/>
      <c r="CO145" s="93"/>
      <c r="CP145" s="93"/>
      <c r="CQ145" s="93"/>
      <c r="CR145" s="93"/>
      <c r="CS145" s="93"/>
      <c r="CT145" s="93"/>
      <c r="CU145" s="93"/>
      <c r="CV145" s="93"/>
      <c r="CW145" s="93"/>
      <c r="CX145" s="93"/>
      <c r="CY145" s="93"/>
      <c r="CZ145" s="93"/>
      <c r="DA145" s="93"/>
      <c r="DB145" s="93"/>
      <c r="DC145" s="93"/>
      <c r="DD145" s="93"/>
      <c r="DE145" s="93"/>
      <c r="DF145" s="93"/>
      <c r="DG145" s="93"/>
      <c r="DH145" s="93"/>
      <c r="DI145" s="93"/>
      <c r="DJ145" s="93"/>
      <c r="DK145" s="93"/>
      <c r="DL145" s="93"/>
      <c r="DM145" s="93"/>
      <c r="DN145" s="93"/>
    </row>
    <row r="146" spans="1:118" s="37" customFormat="1" ht="5.25" customHeight="1" x14ac:dyDescent="0.25">
      <c r="A146" s="10"/>
      <c r="B146" s="1"/>
      <c r="C146" s="44"/>
      <c r="D146" s="207"/>
      <c r="E146" s="68"/>
      <c r="F146" s="69"/>
      <c r="G146" s="196"/>
      <c r="H146" s="197"/>
      <c r="I146" s="197"/>
      <c r="J146" s="197"/>
      <c r="K146" s="197"/>
      <c r="L146" s="197"/>
      <c r="M146" s="197"/>
      <c r="N146" s="197"/>
      <c r="O146" s="197"/>
      <c r="P146" s="197"/>
      <c r="Q146" s="197"/>
      <c r="R146" s="197"/>
      <c r="S146" s="197"/>
      <c r="T146" s="197"/>
      <c r="U146" s="197"/>
      <c r="V146" s="197"/>
      <c r="W146" s="197"/>
      <c r="X146" s="198"/>
      <c r="Y146" s="31"/>
      <c r="Z146" s="9"/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9"/>
      <c r="AL146" s="9"/>
      <c r="AM146" s="9"/>
      <c r="AN146" s="9"/>
      <c r="AO146" s="9"/>
      <c r="AP146" s="9"/>
      <c r="AQ146" s="9"/>
      <c r="AR146" s="9"/>
      <c r="AS146" s="9"/>
      <c r="AT146" s="9"/>
      <c r="AU146" s="9"/>
      <c r="AV146" s="9"/>
      <c r="AW146" s="9"/>
      <c r="AX146" s="9"/>
      <c r="AY146" s="9"/>
      <c r="AZ146" s="9"/>
      <c r="BA146" s="9"/>
      <c r="BB146" s="9"/>
      <c r="BC146" s="9"/>
      <c r="BD146" s="9"/>
      <c r="BE146" s="9"/>
      <c r="BF146" s="9"/>
      <c r="BG146" s="9"/>
      <c r="BH146" s="9"/>
      <c r="BI146" s="9"/>
      <c r="BJ146" s="9"/>
      <c r="BK146" s="9"/>
      <c r="BL146" s="9"/>
      <c r="BM146" s="9"/>
      <c r="BN146" s="9"/>
      <c r="BO146" s="9"/>
      <c r="BP146" s="9"/>
      <c r="BQ146" s="9"/>
      <c r="BR146" s="9"/>
      <c r="BS146" s="9"/>
      <c r="BT146" s="9"/>
      <c r="BU146" s="9"/>
      <c r="BV146" s="9"/>
      <c r="BW146" s="9"/>
      <c r="BX146" s="9"/>
      <c r="BY146" s="9"/>
      <c r="BZ146" s="9"/>
      <c r="CA146" s="9"/>
      <c r="CB146" s="9"/>
      <c r="CC146" s="9"/>
      <c r="CD146" s="9"/>
      <c r="CE146" s="9"/>
      <c r="CF146" s="9"/>
      <c r="CG146" s="9"/>
      <c r="CH146" s="9"/>
      <c r="CI146" s="9"/>
      <c r="CJ146" s="9"/>
      <c r="CK146" s="9"/>
      <c r="CL146" s="9"/>
      <c r="CM146" s="9"/>
      <c r="CN146" s="9"/>
      <c r="CO146" s="9"/>
      <c r="CP146" s="9"/>
      <c r="CQ146" s="9"/>
      <c r="CR146" s="9"/>
      <c r="CS146" s="9"/>
      <c r="CT146" s="9"/>
      <c r="CU146" s="9"/>
      <c r="CV146" s="9"/>
      <c r="CW146" s="9"/>
      <c r="CX146" s="9"/>
      <c r="CY146" s="9"/>
      <c r="CZ146" s="9"/>
      <c r="DA146" s="9"/>
      <c r="DB146" s="9"/>
      <c r="DC146" s="9"/>
      <c r="DD146" s="9"/>
      <c r="DE146" s="9"/>
      <c r="DF146" s="9"/>
      <c r="DG146" s="9"/>
      <c r="DH146" s="9"/>
      <c r="DI146" s="9"/>
      <c r="DJ146" s="9"/>
      <c r="DK146" s="9"/>
      <c r="DL146" s="9"/>
      <c r="DM146" s="9"/>
      <c r="DN146" s="9"/>
    </row>
    <row r="147" spans="1:118" s="37" customFormat="1" ht="10.5" customHeight="1" thickBot="1" x14ac:dyDescent="0.3">
      <c r="A147" s="10"/>
      <c r="B147" s="1"/>
      <c r="C147" s="44"/>
      <c r="D147" s="207"/>
      <c r="E147" s="68"/>
      <c r="F147" s="69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31"/>
      <c r="Z147" s="9"/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9"/>
      <c r="AL147" s="9"/>
      <c r="AM147" s="9"/>
      <c r="AN147" s="9"/>
      <c r="AO147" s="9"/>
      <c r="AP147" s="9"/>
      <c r="AQ147" s="9"/>
      <c r="AR147" s="9"/>
      <c r="AS147" s="9"/>
      <c r="AT147" s="9"/>
      <c r="AU147" s="9"/>
      <c r="AV147" s="9"/>
      <c r="AW147" s="9"/>
      <c r="AX147" s="9"/>
      <c r="AY147" s="9"/>
      <c r="AZ147" s="9"/>
      <c r="BA147" s="9"/>
      <c r="BB147" s="9"/>
      <c r="BC147" s="9"/>
      <c r="BD147" s="9"/>
      <c r="BE147" s="9"/>
      <c r="BF147" s="9"/>
      <c r="BG147" s="9"/>
      <c r="BH147" s="9"/>
      <c r="BI147" s="9"/>
      <c r="BJ147" s="9"/>
      <c r="BK147" s="9"/>
      <c r="BL147" s="9"/>
      <c r="BM147" s="9"/>
      <c r="BN147" s="9"/>
      <c r="BO147" s="9"/>
      <c r="BP147" s="9"/>
      <c r="BQ147" s="9"/>
      <c r="BR147" s="9"/>
      <c r="BS147" s="9"/>
      <c r="BT147" s="9"/>
      <c r="BU147" s="9"/>
      <c r="BV147" s="9"/>
      <c r="BW147" s="9"/>
      <c r="BX147" s="9"/>
      <c r="BY147" s="9"/>
      <c r="BZ147" s="9"/>
      <c r="CA147" s="9"/>
      <c r="CB147" s="9"/>
      <c r="CC147" s="9"/>
      <c r="CD147" s="9"/>
      <c r="CE147" s="9"/>
      <c r="CF147" s="9"/>
      <c r="CG147" s="9"/>
      <c r="CH147" s="9"/>
      <c r="CI147" s="9"/>
      <c r="CJ147" s="9"/>
      <c r="CK147" s="9"/>
      <c r="CL147" s="9"/>
      <c r="CM147" s="9"/>
      <c r="CN147" s="9"/>
      <c r="CO147" s="9"/>
      <c r="CP147" s="9"/>
      <c r="CQ147" s="9"/>
      <c r="CR147" s="9"/>
      <c r="CS147" s="9"/>
      <c r="CT147" s="9"/>
      <c r="CU147" s="9"/>
      <c r="CV147" s="9"/>
      <c r="CW147" s="9"/>
      <c r="CX147" s="9"/>
      <c r="CY147" s="9"/>
      <c r="CZ147" s="9"/>
      <c r="DA147" s="9"/>
      <c r="DB147" s="9"/>
      <c r="DC147" s="9"/>
      <c r="DD147" s="9"/>
      <c r="DE147" s="9"/>
      <c r="DF147" s="9"/>
      <c r="DG147" s="9"/>
      <c r="DH147" s="9"/>
      <c r="DI147" s="9"/>
      <c r="DJ147" s="9"/>
      <c r="DK147" s="9"/>
      <c r="DL147" s="9"/>
      <c r="DM147" s="9"/>
      <c r="DN147" s="9"/>
    </row>
    <row r="148" spans="1:118" s="37" customFormat="1" ht="23.25" customHeight="1" collapsed="1" thickTop="1" thickBot="1" x14ac:dyDescent="0.3">
      <c r="A148" s="10"/>
      <c r="B148" s="1"/>
      <c r="C148" s="44"/>
      <c r="D148" s="206" t="s">
        <v>84</v>
      </c>
      <c r="E148" s="68"/>
      <c r="F148" s="69"/>
      <c r="G148" s="234" t="str">
        <f ca="1">_xll.DBRA(Server&amp;$D$20,$D148,"French")</f>
        <v>Produits financiers</v>
      </c>
      <c r="H148" s="234" t="str">
        <f ca="1">_xll.DBRA(Server&amp;$D$20,$D148,"French")</f>
        <v>Produits financiers</v>
      </c>
      <c r="I148" s="234"/>
      <c r="J148" s="234"/>
      <c r="K148" s="154" t="s">
        <v>3</v>
      </c>
      <c r="L148" s="162">
        <f ca="1">_xll.DBRW(Server&amp;Cube1,$J$12,$L$13,$J$14,$L$1,$J$11,$J$15,$D148)</f>
        <v>0</v>
      </c>
      <c r="M148" s="162">
        <f ca="1">_xll.DBRW(Server&amp;Cube1,$J$12,$L$13,$J$14,$M$1,$J$11,$J$15,$D148)</f>
        <v>0</v>
      </c>
      <c r="N148" s="202">
        <f ca="1">L148-M148</f>
        <v>0</v>
      </c>
      <c r="O148" s="164" t="str">
        <f ca="1">IF(ISERROR(N148/M148),"-",N148/M148)</f>
        <v>-</v>
      </c>
      <c r="P148" s="132"/>
      <c r="Q148" s="162">
        <f ca="1">_xll.DBRW(Server&amp;Cube1,$J$12,$L$13,$J$14,$Q$1,$J$11,$J$15,$D148)</f>
        <v>0</v>
      </c>
      <c r="R148" s="163">
        <f ca="1">L148-Q148</f>
        <v>0</v>
      </c>
      <c r="S148" s="164" t="str">
        <f t="shared" ref="S148:S154" ca="1" si="259">IF(ISERROR(R148/Q148),"-",R148/Q148)</f>
        <v>-</v>
      </c>
      <c r="T148" s="132"/>
      <c r="U148" s="162">
        <f ca="1">_xll.DBRW(Server&amp;Cube1,$J$12,$L$13,$J$14,$U$1,$U$2,$J$15,$D148)</f>
        <v>0</v>
      </c>
      <c r="V148" s="163">
        <f t="shared" ref="V148:V154" ca="1" si="260">L148-U148</f>
        <v>0</v>
      </c>
      <c r="W148" s="164" t="str">
        <f t="shared" ref="W148:W154" ca="1" si="261">IF(ISERROR(V148/U148),"-",V148/U148)</f>
        <v>-</v>
      </c>
      <c r="X148" s="64"/>
      <c r="Y148" s="31"/>
      <c r="Z148" s="9"/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9"/>
      <c r="AL148" s="9"/>
      <c r="AM148" s="9"/>
      <c r="AN148" s="9"/>
      <c r="AO148" s="9"/>
      <c r="AP148" s="9"/>
      <c r="AQ148" s="9"/>
      <c r="AR148" s="9"/>
      <c r="AS148" s="9"/>
      <c r="AT148" s="9"/>
      <c r="AU148" s="9"/>
      <c r="AV148" s="9"/>
      <c r="AW148" s="9"/>
      <c r="AX148" s="9"/>
      <c r="AY148" s="9"/>
      <c r="AZ148" s="9"/>
      <c r="BA148" s="9"/>
      <c r="BB148" s="9"/>
      <c r="BC148" s="9"/>
      <c r="BD148" s="9"/>
      <c r="BE148" s="9"/>
      <c r="BF148" s="9"/>
      <c r="BG148" s="9"/>
      <c r="BH148" s="9"/>
      <c r="BI148" s="9"/>
      <c r="BJ148" s="9"/>
      <c r="BK148" s="9"/>
      <c r="BL148" s="9"/>
      <c r="BM148" s="9"/>
      <c r="BN148" s="9"/>
      <c r="BO148" s="9"/>
      <c r="BP148" s="9"/>
      <c r="BQ148" s="9"/>
      <c r="BR148" s="9"/>
      <c r="BS148" s="9"/>
      <c r="BT148" s="9"/>
      <c r="BU148" s="9"/>
      <c r="BV148" s="9"/>
      <c r="BW148" s="9"/>
      <c r="BX148" s="9"/>
      <c r="BY148" s="9"/>
      <c r="BZ148" s="9"/>
      <c r="CA148" s="9"/>
      <c r="CB148" s="9"/>
      <c r="CC148" s="9"/>
      <c r="CD148" s="9"/>
      <c r="CE148" s="9"/>
      <c r="CF148" s="9"/>
      <c r="CG148" s="9"/>
      <c r="CH148" s="9"/>
      <c r="CI148" s="9"/>
      <c r="CJ148" s="9"/>
      <c r="CK148" s="9"/>
      <c r="CL148" s="9"/>
      <c r="CM148" s="9"/>
      <c r="CN148" s="9"/>
      <c r="CO148" s="9"/>
      <c r="CP148" s="9"/>
      <c r="CQ148" s="9"/>
      <c r="CR148" s="9"/>
      <c r="CS148" s="9"/>
      <c r="CT148" s="9"/>
      <c r="CU148" s="9"/>
      <c r="CV148" s="9"/>
      <c r="CW148" s="9"/>
      <c r="CX148" s="9"/>
      <c r="CY148" s="9"/>
      <c r="CZ148" s="9"/>
      <c r="DA148" s="9"/>
      <c r="DB148" s="9"/>
      <c r="DC148" s="9"/>
      <c r="DD148" s="9"/>
      <c r="DE148" s="9"/>
      <c r="DF148" s="9"/>
      <c r="DG148" s="9"/>
      <c r="DH148" s="9"/>
      <c r="DI148" s="9"/>
      <c r="DJ148" s="9"/>
      <c r="DK148" s="9"/>
      <c r="DL148" s="9"/>
      <c r="DM148" s="9"/>
      <c r="DN148" s="9"/>
    </row>
    <row r="149" spans="1:118" ht="24.75" hidden="1" outlineLevel="1" thickTop="1" thickBot="1" x14ac:dyDescent="0.3">
      <c r="B149" s="60"/>
      <c r="C149" s="44"/>
      <c r="D149" s="203" t="s">
        <v>118</v>
      </c>
      <c r="E149" s="62"/>
      <c r="F149" s="63"/>
      <c r="G149" s="41"/>
      <c r="H149" s="232" t="str">
        <f ca="1">_xll.DBRA(Server&amp;$D$20,$D149,"French")</f>
        <v>Produits financiers divers</v>
      </c>
      <c r="I149" s="232"/>
      <c r="J149" s="232"/>
      <c r="K149" s="150"/>
      <c r="L149" s="168">
        <f ca="1">_xll.DBRW(Server&amp;Cube1,$J$12,$L$13,$J$14,$L$1,$J$11,$J$15,$D149)</f>
        <v>0</v>
      </c>
      <c r="M149" s="168">
        <f ca="1">_xll.DBRW(Server&amp;Cube1,$J$12,$L$13,$J$14,$M$1,$J$11,$J$15,$D149)</f>
        <v>0</v>
      </c>
      <c r="N149" s="169">
        <f t="shared" ref="N149:N154" ca="1" si="262">L149-M149</f>
        <v>0</v>
      </c>
      <c r="O149" s="170" t="str">
        <f t="shared" ref="O149:O154" ca="1" si="263">IF(ISERROR(N149/M149),"-",N149/M149)</f>
        <v>-</v>
      </c>
      <c r="P149" s="138"/>
      <c r="Q149" s="168">
        <f ca="1">_xll.DBRW(Server&amp;Cube1,$J$12,$L$13,$J$14,$Q$1,$J$11,$J$15,$D149)</f>
        <v>0</v>
      </c>
      <c r="R149" s="169">
        <f t="shared" ref="R149:R154" ca="1" si="264">L149-Q149</f>
        <v>0</v>
      </c>
      <c r="S149" s="170" t="str">
        <f t="shared" ca="1" si="259"/>
        <v>-</v>
      </c>
      <c r="T149" s="138"/>
      <c r="U149" s="168">
        <f ca="1">_xll.DBRW(Server&amp;Cube1,$J$12,$L$13,$J$14,$U$1,$U$2,$J$15,$D149)</f>
        <v>0</v>
      </c>
      <c r="V149" s="169">
        <f t="shared" ca="1" si="260"/>
        <v>0</v>
      </c>
      <c r="W149" s="170" t="str">
        <f t="shared" ca="1" si="261"/>
        <v>-</v>
      </c>
      <c r="X149" s="65"/>
      <c r="Y149" s="31"/>
      <c r="Z149" s="9"/>
      <c r="AA149" s="66"/>
      <c r="AB149" s="66"/>
      <c r="AC149" s="9"/>
      <c r="AD149" s="9"/>
      <c r="AE149" s="9"/>
      <c r="AF149" s="9"/>
      <c r="AG149" s="9"/>
      <c r="AH149" s="9"/>
      <c r="AI149" s="9"/>
      <c r="AJ149" s="9"/>
      <c r="AK149" s="9"/>
      <c r="AL149" s="9"/>
      <c r="AM149" s="9"/>
      <c r="AN149" s="9"/>
      <c r="AO149" s="9"/>
      <c r="AP149" s="9"/>
      <c r="AQ149" s="9"/>
      <c r="AR149" s="9"/>
      <c r="AS149" s="9"/>
      <c r="AT149" s="9"/>
      <c r="AU149" s="9"/>
      <c r="AV149" s="9"/>
      <c r="AW149" s="9"/>
      <c r="AX149" s="9"/>
      <c r="AY149" s="9"/>
      <c r="AZ149" s="9"/>
      <c r="BA149" s="9"/>
      <c r="BB149" s="9"/>
      <c r="BC149" s="9"/>
      <c r="BD149" s="9"/>
      <c r="BE149" s="9"/>
      <c r="BF149" s="9"/>
      <c r="BG149" s="9"/>
      <c r="BH149" s="9"/>
      <c r="BI149" s="9"/>
      <c r="BJ149" s="9"/>
      <c r="BK149" s="9"/>
      <c r="BL149" s="9"/>
      <c r="BM149" s="9"/>
      <c r="BN149" s="9"/>
      <c r="BO149" s="9"/>
      <c r="BP149" s="9"/>
      <c r="BQ149" s="9"/>
      <c r="BR149" s="9"/>
      <c r="BS149" s="9"/>
      <c r="BT149" s="9"/>
      <c r="BU149" s="9"/>
      <c r="BV149" s="9"/>
      <c r="BW149" s="9"/>
      <c r="BX149" s="9"/>
      <c r="BY149" s="9"/>
      <c r="BZ149" s="9"/>
      <c r="CA149" s="9"/>
      <c r="CB149" s="9"/>
      <c r="CC149" s="9"/>
      <c r="CD149" s="9"/>
      <c r="CE149" s="9"/>
      <c r="CF149" s="9"/>
      <c r="CG149" s="9"/>
      <c r="CH149" s="9"/>
      <c r="CI149" s="9"/>
      <c r="CJ149" s="9"/>
      <c r="CK149" s="9"/>
      <c r="CL149" s="9"/>
      <c r="CM149" s="9"/>
      <c r="CN149" s="9"/>
      <c r="CO149" s="9"/>
      <c r="CP149" s="9"/>
      <c r="CQ149" s="9"/>
      <c r="CR149" s="9"/>
      <c r="CS149" s="9"/>
      <c r="CT149" s="9"/>
      <c r="CU149" s="9"/>
      <c r="CV149" s="9"/>
      <c r="CW149" s="9"/>
      <c r="CX149" s="9"/>
      <c r="CY149" s="9"/>
      <c r="CZ149" s="9"/>
      <c r="DA149" s="9"/>
      <c r="DB149" s="9"/>
      <c r="DC149" s="9"/>
      <c r="DD149" s="9"/>
      <c r="DE149" s="9"/>
      <c r="DF149" s="9"/>
      <c r="DG149" s="9"/>
      <c r="DH149" s="9"/>
      <c r="DI149" s="9"/>
      <c r="DJ149" s="9"/>
      <c r="DK149" s="9"/>
      <c r="DL149" s="9"/>
      <c r="DM149" s="9"/>
      <c r="DN149" s="9"/>
    </row>
    <row r="150" spans="1:118" ht="24.75" hidden="1" outlineLevel="1" thickTop="1" thickBot="1" x14ac:dyDescent="0.3">
      <c r="B150" s="60"/>
      <c r="C150" s="44"/>
      <c r="D150" s="214" t="s">
        <v>179</v>
      </c>
      <c r="E150" s="62"/>
      <c r="F150" s="63"/>
      <c r="G150" s="41"/>
      <c r="H150" s="232" t="str">
        <f ca="1">_xll.DBRA(Server&amp;$D$20,$D150,"French")</f>
        <v>Gains de change</v>
      </c>
      <c r="I150" s="232"/>
      <c r="J150" s="232"/>
      <c r="K150" s="150"/>
      <c r="L150" s="168">
        <f ca="1">_xll.DBRW(Server&amp;Cube1,$J$12,$L$13,$J$14,$L$1,$J$11,$J$15,$D150)</f>
        <v>0</v>
      </c>
      <c r="M150" s="168">
        <f ca="1">_xll.DBRW(Server&amp;Cube1,$J$12,$L$13,$J$14,$M$1,$J$11,$J$15,$D150)</f>
        <v>0</v>
      </c>
      <c r="N150" s="169">
        <f ca="1">L150-M150</f>
        <v>0</v>
      </c>
      <c r="O150" s="170" t="str">
        <f t="shared" ref="O150" ca="1" si="265">IF(ISERROR(N150/M150),"-",N150/M150)</f>
        <v>-</v>
      </c>
      <c r="P150" s="138"/>
      <c r="Q150" s="168">
        <f ca="1">_xll.DBRW(Server&amp;Cube1,$J$12,$L$13,$J$14,$Q$1,$J$11,$J$15,$D150)</f>
        <v>0</v>
      </c>
      <c r="R150" s="169">
        <f ca="1">L150-Q150</f>
        <v>0</v>
      </c>
      <c r="S150" s="170" t="str">
        <f ca="1">IF(ISERROR(R150/Q150),"-",R150/Q150)</f>
        <v>-</v>
      </c>
      <c r="T150" s="138"/>
      <c r="U150" s="168">
        <f ca="1">_xll.DBRW(Server&amp;Cube1,$J$12,$L$13,$J$14,$U$1,$U$2,$J$15,$D150)</f>
        <v>0</v>
      </c>
      <c r="V150" s="169">
        <f ca="1">L150-U150</f>
        <v>0</v>
      </c>
      <c r="W150" s="170" t="str">
        <f ca="1">IF(ISERROR(V150/U150),"-",V150/U150)</f>
        <v>-</v>
      </c>
      <c r="X150" s="65"/>
      <c r="Y150" s="31"/>
      <c r="Z150" s="9"/>
      <c r="AA150" s="66"/>
      <c r="AB150" s="66"/>
      <c r="AC150" s="9"/>
      <c r="AD150" s="9"/>
      <c r="AE150" s="9"/>
      <c r="AF150" s="9"/>
      <c r="AG150" s="9"/>
      <c r="AH150" s="9"/>
      <c r="AI150" s="9"/>
      <c r="AJ150" s="9"/>
      <c r="AK150" s="9"/>
      <c r="AL150" s="9"/>
      <c r="AM150" s="9"/>
      <c r="AN150" s="9"/>
      <c r="AO150" s="9"/>
      <c r="AP150" s="9"/>
      <c r="AQ150" s="9"/>
      <c r="AR150" s="9"/>
      <c r="AS150" s="9"/>
      <c r="AT150" s="9"/>
      <c r="AU150" s="9"/>
      <c r="AV150" s="9"/>
      <c r="AW150" s="9"/>
      <c r="AX150" s="9"/>
      <c r="AY150" s="9"/>
      <c r="AZ150" s="9"/>
      <c r="BA150" s="9"/>
      <c r="BB150" s="9"/>
      <c r="BC150" s="9"/>
      <c r="BD150" s="9"/>
      <c r="BE150" s="9"/>
      <c r="BF150" s="9"/>
      <c r="BG150" s="9"/>
      <c r="BH150" s="9"/>
      <c r="BI150" s="9"/>
      <c r="BJ150" s="9"/>
      <c r="BK150" s="9"/>
      <c r="BL150" s="9"/>
      <c r="BM150" s="9"/>
      <c r="BN150" s="9"/>
      <c r="BO150" s="9"/>
      <c r="BP150" s="9"/>
      <c r="BQ150" s="9"/>
      <c r="BR150" s="9"/>
      <c r="BS150" s="9"/>
      <c r="BT150" s="9"/>
      <c r="BU150" s="9"/>
      <c r="BV150" s="9"/>
      <c r="BW150" s="9"/>
      <c r="BX150" s="9"/>
      <c r="BY150" s="9"/>
      <c r="BZ150" s="9"/>
      <c r="CA150" s="9"/>
      <c r="CB150" s="9"/>
      <c r="CC150" s="9"/>
      <c r="CD150" s="9"/>
      <c r="CE150" s="9"/>
      <c r="CF150" s="9"/>
      <c r="CG150" s="9"/>
      <c r="CH150" s="9"/>
      <c r="CI150" s="9"/>
      <c r="CJ150" s="9"/>
      <c r="CK150" s="9"/>
      <c r="CL150" s="9"/>
      <c r="CM150" s="9"/>
      <c r="CN150" s="9"/>
      <c r="CO150" s="9"/>
      <c r="CP150" s="9"/>
      <c r="CQ150" s="9"/>
      <c r="CR150" s="9"/>
      <c r="CS150" s="9"/>
      <c r="CT150" s="9"/>
      <c r="CU150" s="9"/>
      <c r="CV150" s="9"/>
      <c r="CW150" s="9"/>
      <c r="CX150" s="9"/>
      <c r="CY150" s="9"/>
      <c r="CZ150" s="9"/>
      <c r="DA150" s="9"/>
      <c r="DB150" s="9"/>
      <c r="DC150" s="9"/>
      <c r="DD150" s="9"/>
      <c r="DE150" s="9"/>
      <c r="DF150" s="9"/>
      <c r="DG150" s="9"/>
      <c r="DH150" s="9"/>
      <c r="DI150" s="9"/>
      <c r="DJ150" s="9"/>
      <c r="DK150" s="9"/>
      <c r="DL150" s="9"/>
      <c r="DM150" s="9"/>
      <c r="DN150" s="9"/>
    </row>
    <row r="151" spans="1:118" s="37" customFormat="1" ht="23.25" customHeight="1" collapsed="1" thickTop="1" x14ac:dyDescent="0.25">
      <c r="A151" s="10"/>
      <c r="B151" s="1"/>
      <c r="C151" s="44"/>
      <c r="D151" s="206" t="s">
        <v>80</v>
      </c>
      <c r="E151" s="68"/>
      <c r="F151" s="69"/>
      <c r="G151" s="234" t="str">
        <f ca="1">_xll.DBRA(Server&amp;$D$20,$D151,"French")</f>
        <v>Charges financières</v>
      </c>
      <c r="H151" s="234" t="str">
        <f ca="1">_xll.DBRA(Server&amp;$D$20,$D151,"French")</f>
        <v>Charges financières</v>
      </c>
      <c r="I151" s="234"/>
      <c r="J151" s="234"/>
      <c r="K151" s="154" t="s">
        <v>3</v>
      </c>
      <c r="L151" s="165">
        <f ca="1">_xll.DBRW(Server&amp;Cube1,$J$12,$L$13,$J$14,$L$1,$J$11,$J$15,$D151)</f>
        <v>-5704.0999999999995</v>
      </c>
      <c r="M151" s="165">
        <f ca="1">_xll.DBRW(Server&amp;Cube1,$J$12,$L$13,$J$14,$M$1,$J$11,$J$15,$D151)</f>
        <v>-8700</v>
      </c>
      <c r="N151" s="166">
        <f ca="1">L151-M151</f>
        <v>2995.9000000000005</v>
      </c>
      <c r="O151" s="167">
        <f t="shared" ca="1" si="263"/>
        <v>-0.34435632183908055</v>
      </c>
      <c r="P151" s="132"/>
      <c r="Q151" s="165">
        <f ca="1">_xll.DBRW(Server&amp;Cube1,$J$12,$L$13,$J$14,$Q$1,$J$11,$J$15,$D151)</f>
        <v>0</v>
      </c>
      <c r="R151" s="166">
        <f t="shared" ca="1" si="264"/>
        <v>-5704.0999999999995</v>
      </c>
      <c r="S151" s="167" t="str">
        <f t="shared" ca="1" si="259"/>
        <v>-</v>
      </c>
      <c r="T151" s="132"/>
      <c r="U151" s="165">
        <f ca="1">_xll.DBRW(Server&amp;Cube1,$J$12,$L$13,$J$14,$U$1,$U$2,$J$15,$D151)</f>
        <v>-7508.64</v>
      </c>
      <c r="V151" s="166">
        <f t="shared" ca="1" si="260"/>
        <v>1804.5400000000009</v>
      </c>
      <c r="W151" s="167">
        <f t="shared" ca="1" si="261"/>
        <v>-0.24032847493021384</v>
      </c>
      <c r="X151" s="64"/>
      <c r="Y151" s="31"/>
      <c r="Z151" s="9"/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9"/>
      <c r="AL151" s="9"/>
      <c r="AM151" s="9"/>
      <c r="AN151" s="9"/>
      <c r="AO151" s="9"/>
      <c r="AP151" s="9"/>
      <c r="AQ151" s="9"/>
      <c r="AR151" s="9"/>
      <c r="AS151" s="9"/>
      <c r="AT151" s="9"/>
      <c r="AU151" s="9"/>
      <c r="AV151" s="9"/>
      <c r="AW151" s="9"/>
      <c r="AX151" s="9"/>
      <c r="AY151" s="9"/>
      <c r="AZ151" s="9"/>
      <c r="BA151" s="9"/>
      <c r="BB151" s="9"/>
      <c r="BC151" s="9"/>
      <c r="BD151" s="9"/>
      <c r="BE151" s="9"/>
      <c r="BF151" s="9"/>
      <c r="BG151" s="9"/>
      <c r="BH151" s="9"/>
      <c r="BI151" s="9"/>
      <c r="BJ151" s="9"/>
      <c r="BK151" s="9"/>
      <c r="BL151" s="9"/>
      <c r="BM151" s="9"/>
      <c r="BN151" s="9"/>
      <c r="BO151" s="9"/>
      <c r="BP151" s="9"/>
      <c r="BQ151" s="9"/>
      <c r="BR151" s="9"/>
      <c r="BS151" s="9"/>
      <c r="BT151" s="9"/>
      <c r="BU151" s="9"/>
      <c r="BV151" s="9"/>
      <c r="BW151" s="9"/>
      <c r="BX151" s="9"/>
      <c r="BY151" s="9"/>
      <c r="BZ151" s="9"/>
      <c r="CA151" s="9"/>
      <c r="CB151" s="9"/>
      <c r="CC151" s="9"/>
      <c r="CD151" s="9"/>
      <c r="CE151" s="9"/>
      <c r="CF151" s="9"/>
      <c r="CG151" s="9"/>
      <c r="CH151" s="9"/>
      <c r="CI151" s="9"/>
      <c r="CJ151" s="9"/>
      <c r="CK151" s="9"/>
      <c r="CL151" s="9"/>
      <c r="CM151" s="9"/>
      <c r="CN151" s="9"/>
      <c r="CO151" s="9"/>
      <c r="CP151" s="9"/>
      <c r="CQ151" s="9"/>
      <c r="CR151" s="9"/>
      <c r="CS151" s="9"/>
      <c r="CT151" s="9"/>
      <c r="CU151" s="9"/>
      <c r="CV151" s="9"/>
      <c r="CW151" s="9"/>
      <c r="CX151" s="9"/>
      <c r="CY151" s="9"/>
      <c r="CZ151" s="9"/>
      <c r="DA151" s="9"/>
      <c r="DB151" s="9"/>
      <c r="DC151" s="9"/>
      <c r="DD151" s="9"/>
      <c r="DE151" s="9"/>
      <c r="DF151" s="9"/>
      <c r="DG151" s="9"/>
      <c r="DH151" s="9"/>
      <c r="DI151" s="9"/>
      <c r="DJ151" s="9"/>
      <c r="DK151" s="9"/>
      <c r="DL151" s="9"/>
      <c r="DM151" s="9"/>
      <c r="DN151" s="9"/>
    </row>
    <row r="152" spans="1:118" ht="24" hidden="1" outlineLevel="1" thickBot="1" x14ac:dyDescent="0.3">
      <c r="B152" s="60"/>
      <c r="C152" s="44"/>
      <c r="D152" s="203" t="s">
        <v>81</v>
      </c>
      <c r="E152" s="62"/>
      <c r="F152" s="63"/>
      <c r="G152" s="41"/>
      <c r="H152" s="250" t="str">
        <f ca="1">_xll.DBRA(Server&amp;$D$20,$D152,"French")</f>
        <v>Frais de tenue de compte</v>
      </c>
      <c r="I152" s="250"/>
      <c r="J152" s="250"/>
      <c r="K152" s="150"/>
      <c r="L152" s="168">
        <f ca="1">_xll.DBRW(Server&amp;Cube1,$J$12,$L$13,$J$14,$L$1,$J$11,$J$15,$D152)</f>
        <v>-189.46</v>
      </c>
      <c r="M152" s="168">
        <f ca="1">_xll.DBRW(Server&amp;Cube1,$J$12,$L$13,$J$14,$M$1,$J$11,$J$15,$D152)</f>
        <v>-700.00000000000011</v>
      </c>
      <c r="N152" s="169">
        <f ca="1">L152-M152</f>
        <v>510.54000000000008</v>
      </c>
      <c r="O152" s="170">
        <f ca="1">IF(ISERROR(N152/M152),"-",N152/M152)</f>
        <v>-0.72934285714285718</v>
      </c>
      <c r="P152" s="138"/>
      <c r="Q152" s="168">
        <f ca="1">_xll.DBRW(Server&amp;Cube1,$J$12,$L$13,$J$14,$Q$1,$J$11,$J$15,$D152)</f>
        <v>0</v>
      </c>
      <c r="R152" s="169">
        <f ca="1">L152-Q152</f>
        <v>-189.46</v>
      </c>
      <c r="S152" s="170" t="str">
        <f ca="1">IF(ISERROR(R152/Q152),"-",R152/Q152)</f>
        <v>-</v>
      </c>
      <c r="T152" s="138"/>
      <c r="U152" s="168">
        <f ca="1">_xll.DBRW(Server&amp;Cube1,$J$12,$L$13,$J$14,$U$1,$U$2,$J$15,$D152)</f>
        <v>-391.03999999999996</v>
      </c>
      <c r="V152" s="169">
        <f ca="1">L152-U152</f>
        <v>201.57999999999996</v>
      </c>
      <c r="W152" s="170">
        <f ca="1">IF(ISERROR(V152/U152),"-",V152/U152)</f>
        <v>-0.51549713584288048</v>
      </c>
      <c r="X152" s="65"/>
      <c r="Y152" s="31"/>
      <c r="Z152" s="9"/>
      <c r="AA152" s="66"/>
      <c r="AB152" s="66"/>
      <c r="AC152" s="9"/>
      <c r="AD152" s="9"/>
      <c r="AE152" s="9"/>
      <c r="AF152" s="9"/>
      <c r="AG152" s="9"/>
      <c r="AH152" s="9"/>
      <c r="AI152" s="9"/>
      <c r="AJ152" s="9"/>
      <c r="AK152" s="9"/>
      <c r="AL152" s="9"/>
      <c r="AM152" s="9"/>
      <c r="AN152" s="9"/>
      <c r="AO152" s="9"/>
      <c r="AP152" s="9"/>
      <c r="AQ152" s="9"/>
      <c r="AR152" s="9"/>
      <c r="AS152" s="9"/>
      <c r="AT152" s="9"/>
      <c r="AU152" s="9"/>
      <c r="AV152" s="9"/>
      <c r="AW152" s="9"/>
      <c r="AX152" s="9"/>
      <c r="AY152" s="9"/>
      <c r="AZ152" s="9"/>
      <c r="BA152" s="9"/>
      <c r="BB152" s="9"/>
      <c r="BC152" s="9"/>
      <c r="BD152" s="9"/>
      <c r="BE152" s="9"/>
      <c r="BF152" s="9"/>
      <c r="BG152" s="9"/>
      <c r="BH152" s="9"/>
      <c r="BI152" s="9"/>
      <c r="BJ152" s="9"/>
      <c r="BK152" s="9"/>
      <c r="BL152" s="9"/>
      <c r="BM152" s="9"/>
      <c r="BN152" s="9"/>
      <c r="BO152" s="9"/>
      <c r="BP152" s="9"/>
      <c r="BQ152" s="9"/>
      <c r="BR152" s="9"/>
      <c r="BS152" s="9"/>
      <c r="BT152" s="9"/>
      <c r="BU152" s="9"/>
      <c r="BV152" s="9"/>
      <c r="BW152" s="9"/>
      <c r="BX152" s="9"/>
      <c r="BY152" s="9"/>
      <c r="BZ152" s="9"/>
      <c r="CA152" s="9"/>
      <c r="CB152" s="9"/>
      <c r="CC152" s="9"/>
      <c r="CD152" s="9"/>
      <c r="CE152" s="9"/>
      <c r="CF152" s="9"/>
      <c r="CG152" s="9"/>
      <c r="CH152" s="9"/>
      <c r="CI152" s="9"/>
      <c r="CJ152" s="9"/>
      <c r="CK152" s="9"/>
      <c r="CL152" s="9"/>
      <c r="CM152" s="9"/>
      <c r="CN152" s="9"/>
      <c r="CO152" s="9"/>
      <c r="CP152" s="9"/>
      <c r="CQ152" s="9"/>
      <c r="CR152" s="9"/>
      <c r="CS152" s="9"/>
      <c r="CT152" s="9"/>
      <c r="CU152" s="9"/>
      <c r="CV152" s="9"/>
      <c r="CW152" s="9"/>
      <c r="CX152" s="9"/>
      <c r="CY152" s="9"/>
      <c r="CZ152" s="9"/>
      <c r="DA152" s="9"/>
      <c r="DB152" s="9"/>
      <c r="DC152" s="9"/>
      <c r="DD152" s="9"/>
      <c r="DE152" s="9"/>
      <c r="DF152" s="9"/>
      <c r="DG152" s="9"/>
      <c r="DH152" s="9"/>
      <c r="DI152" s="9"/>
      <c r="DJ152" s="9"/>
      <c r="DK152" s="9"/>
      <c r="DL152" s="9"/>
      <c r="DM152" s="9"/>
      <c r="DN152" s="9"/>
    </row>
    <row r="153" spans="1:118" ht="24" hidden="1" outlineLevel="1" thickTop="1" x14ac:dyDescent="0.25">
      <c r="B153" s="60"/>
      <c r="C153" s="44"/>
      <c r="D153" s="214" t="s">
        <v>183</v>
      </c>
      <c r="E153" s="62"/>
      <c r="F153" s="63"/>
      <c r="G153" s="41"/>
      <c r="H153" s="232" t="str">
        <f ca="1">_xll.DBRA(Server&amp;$D$20,$D153,"French")</f>
        <v>Int. des dettes rattach. à des part.</v>
      </c>
      <c r="I153" s="232"/>
      <c r="J153" s="232"/>
      <c r="K153" s="150"/>
      <c r="L153" s="151">
        <f ca="1">_xll.DBRW(Server&amp;Cube1,$J$12,$L$13,$J$14,$L$1,$J$11,$J$15,$D153)</f>
        <v>-5208.21</v>
      </c>
      <c r="M153" s="151">
        <f ca="1">_xll.DBRW(Server&amp;Cube1,$J$12,$L$13,$J$14,$M$1,$J$11,$J$15,$D153)</f>
        <v>0</v>
      </c>
      <c r="N153" s="152">
        <f t="shared" ref="N153" ca="1" si="266">L153-M153</f>
        <v>-5208.21</v>
      </c>
      <c r="O153" s="153" t="str">
        <f t="shared" ref="O153" ca="1" si="267">IF(ISERROR(N153/M153),"-",N153/M153)</f>
        <v>-</v>
      </c>
      <c r="P153" s="138"/>
      <c r="Q153" s="151">
        <f ca="1">_xll.DBRW(Server&amp;Cube1,$J$12,$L$13,$J$14,$Q$1,$J$11,$J$15,$D153)</f>
        <v>0</v>
      </c>
      <c r="R153" s="152">
        <f t="shared" ref="R153" ca="1" si="268">L153-Q153</f>
        <v>-5208.21</v>
      </c>
      <c r="S153" s="153" t="str">
        <f t="shared" ref="S153" ca="1" si="269">IF(ISERROR(R153/Q153),"-",R153/Q153)</f>
        <v>-</v>
      </c>
      <c r="T153" s="138"/>
      <c r="U153" s="151">
        <f ca="1">_xll.DBRW(Server&amp;Cube1,$J$12,$L$13,$J$14,$U$1,$U$2,$J$15,$D153)</f>
        <v>-7117.6</v>
      </c>
      <c r="V153" s="152">
        <f t="shared" ref="V153" ca="1" si="270">L153-U153</f>
        <v>1909.3900000000003</v>
      </c>
      <c r="W153" s="153">
        <f t="shared" ref="W153" ca="1" si="271">IF(ISERROR(V153/U153),"-",V153/U153)</f>
        <v>-0.26826317859952797</v>
      </c>
      <c r="X153" s="65"/>
      <c r="Y153" s="31"/>
      <c r="Z153" s="9"/>
      <c r="AA153" s="66"/>
      <c r="AB153" s="66"/>
      <c r="AC153" s="9"/>
      <c r="AD153" s="9"/>
      <c r="AE153" s="9"/>
      <c r="AF153" s="9"/>
      <c r="AG153" s="9"/>
      <c r="AH153" s="9"/>
      <c r="AI153" s="9"/>
      <c r="AJ153" s="9"/>
      <c r="AK153" s="9"/>
      <c r="AL153" s="9"/>
      <c r="AM153" s="9"/>
      <c r="AN153" s="9"/>
      <c r="AO153" s="9"/>
      <c r="AP153" s="9"/>
      <c r="AQ153" s="9"/>
      <c r="AR153" s="9"/>
      <c r="AS153" s="9"/>
      <c r="AT153" s="9"/>
      <c r="AU153" s="9"/>
      <c r="AV153" s="9"/>
      <c r="AW153" s="9"/>
      <c r="AX153" s="9"/>
      <c r="AY153" s="9"/>
      <c r="AZ153" s="9"/>
      <c r="BA153" s="9"/>
      <c r="BB153" s="9"/>
      <c r="BC153" s="9"/>
      <c r="BD153" s="9"/>
      <c r="BE153" s="9"/>
      <c r="BF153" s="9"/>
      <c r="BG153" s="9"/>
      <c r="BH153" s="9"/>
      <c r="BI153" s="9"/>
      <c r="BJ153" s="9"/>
      <c r="BK153" s="9"/>
      <c r="BL153" s="9"/>
      <c r="BM153" s="9"/>
      <c r="BN153" s="9"/>
      <c r="BO153" s="9"/>
      <c r="BP153" s="9"/>
      <c r="BQ153" s="9"/>
      <c r="BR153" s="9"/>
      <c r="BS153" s="9"/>
      <c r="BT153" s="9"/>
      <c r="BU153" s="9"/>
      <c r="BV153" s="9"/>
      <c r="BW153" s="9"/>
      <c r="BX153" s="9"/>
      <c r="BY153" s="9"/>
      <c r="BZ153" s="9"/>
      <c r="CA153" s="9"/>
      <c r="CB153" s="9"/>
      <c r="CC153" s="9"/>
      <c r="CD153" s="9"/>
      <c r="CE153" s="9"/>
      <c r="CF153" s="9"/>
      <c r="CG153" s="9"/>
      <c r="CH153" s="9"/>
      <c r="CI153" s="9"/>
      <c r="CJ153" s="9"/>
      <c r="CK153" s="9"/>
      <c r="CL153" s="9"/>
      <c r="CM153" s="9"/>
      <c r="CN153" s="9"/>
      <c r="CO153" s="9"/>
      <c r="CP153" s="9"/>
      <c r="CQ153" s="9"/>
      <c r="CR153" s="9"/>
      <c r="CS153" s="9"/>
      <c r="CT153" s="9"/>
      <c r="CU153" s="9"/>
      <c r="CV153" s="9"/>
      <c r="CW153" s="9"/>
      <c r="CX153" s="9"/>
      <c r="CY153" s="9"/>
      <c r="CZ153" s="9"/>
      <c r="DA153" s="9"/>
      <c r="DB153" s="9"/>
      <c r="DC153" s="9"/>
      <c r="DD153" s="9"/>
      <c r="DE153" s="9"/>
      <c r="DF153" s="9"/>
      <c r="DG153" s="9"/>
      <c r="DH153" s="9"/>
      <c r="DI153" s="9"/>
      <c r="DJ153" s="9"/>
      <c r="DK153" s="9"/>
      <c r="DL153" s="9"/>
      <c r="DM153" s="9"/>
      <c r="DN153" s="9"/>
    </row>
    <row r="154" spans="1:118" ht="23.25" hidden="1" outlineLevel="1" x14ac:dyDescent="0.25">
      <c r="B154" s="60"/>
      <c r="C154" s="44"/>
      <c r="D154" s="203" t="s">
        <v>119</v>
      </c>
      <c r="E154" s="62"/>
      <c r="F154" s="63"/>
      <c r="G154" s="41"/>
      <c r="H154" s="232" t="str">
        <f ca="1">_xll.DBRA(Server&amp;$D$20,$D154,"French")</f>
        <v>Autres charges financières</v>
      </c>
      <c r="I154" s="232"/>
      <c r="J154" s="232"/>
      <c r="K154" s="150"/>
      <c r="L154" s="151">
        <f ca="1">_xll.DBRW(Server&amp;Cube1,$J$12,$L$13,$J$14,$L$1,$J$11,$J$15,$D154)</f>
        <v>0</v>
      </c>
      <c r="M154" s="151">
        <f ca="1">_xll.DBRW(Server&amp;Cube1,$J$12,$L$13,$J$14,$M$1,$J$11,$J$15,$D154)</f>
        <v>-8000.0000000000009</v>
      </c>
      <c r="N154" s="152">
        <f t="shared" ca="1" si="262"/>
        <v>8000.0000000000009</v>
      </c>
      <c r="O154" s="153">
        <f t="shared" ca="1" si="263"/>
        <v>-1</v>
      </c>
      <c r="P154" s="138"/>
      <c r="Q154" s="151">
        <f ca="1">_xll.DBRW(Server&amp;Cube1,$J$12,$L$13,$J$14,$Q$1,$J$11,$J$15,$D154)</f>
        <v>0</v>
      </c>
      <c r="R154" s="152">
        <f t="shared" ca="1" si="264"/>
        <v>0</v>
      </c>
      <c r="S154" s="153" t="str">
        <f t="shared" ca="1" si="259"/>
        <v>-</v>
      </c>
      <c r="T154" s="138"/>
      <c r="U154" s="151">
        <f ca="1">_xll.DBRW(Server&amp;Cube1,$J$12,$L$13,$J$14,$U$1,$U$2,$J$15,$D154)</f>
        <v>0</v>
      </c>
      <c r="V154" s="152">
        <f t="shared" ca="1" si="260"/>
        <v>0</v>
      </c>
      <c r="W154" s="153" t="str">
        <f t="shared" ca="1" si="261"/>
        <v>-</v>
      </c>
      <c r="X154" s="65"/>
      <c r="Y154" s="31"/>
      <c r="Z154" s="9"/>
      <c r="AA154" s="66"/>
      <c r="AB154" s="66"/>
      <c r="AC154" s="9"/>
      <c r="AD154" s="9"/>
      <c r="AE154" s="9"/>
      <c r="AF154" s="9"/>
      <c r="AG154" s="9"/>
      <c r="AH154" s="9"/>
      <c r="AI154" s="9"/>
      <c r="AJ154" s="9"/>
      <c r="AK154" s="9"/>
      <c r="AL154" s="9"/>
      <c r="AM154" s="9"/>
      <c r="AN154" s="9"/>
      <c r="AO154" s="9"/>
      <c r="AP154" s="9"/>
      <c r="AQ154" s="9"/>
      <c r="AR154" s="9"/>
      <c r="AS154" s="9"/>
      <c r="AT154" s="9"/>
      <c r="AU154" s="9"/>
      <c r="AV154" s="9"/>
      <c r="AW154" s="9"/>
      <c r="AX154" s="9"/>
      <c r="AY154" s="9"/>
      <c r="AZ154" s="9"/>
      <c r="BA154" s="9"/>
      <c r="BB154" s="9"/>
      <c r="BC154" s="9"/>
      <c r="BD154" s="9"/>
      <c r="BE154" s="9"/>
      <c r="BF154" s="9"/>
      <c r="BG154" s="9"/>
      <c r="BH154" s="9"/>
      <c r="BI154" s="9"/>
      <c r="BJ154" s="9"/>
      <c r="BK154" s="9"/>
      <c r="BL154" s="9"/>
      <c r="BM154" s="9"/>
      <c r="BN154" s="9"/>
      <c r="BO154" s="9"/>
      <c r="BP154" s="9"/>
      <c r="BQ154" s="9"/>
      <c r="BR154" s="9"/>
      <c r="BS154" s="9"/>
      <c r="BT154" s="9"/>
      <c r="BU154" s="9"/>
      <c r="BV154" s="9"/>
      <c r="BW154" s="9"/>
      <c r="BX154" s="9"/>
      <c r="BY154" s="9"/>
      <c r="BZ154" s="9"/>
      <c r="CA154" s="9"/>
      <c r="CB154" s="9"/>
      <c r="CC154" s="9"/>
      <c r="CD154" s="9"/>
      <c r="CE154" s="9"/>
      <c r="CF154" s="9"/>
      <c r="CG154" s="9"/>
      <c r="CH154" s="9"/>
      <c r="CI154" s="9"/>
      <c r="CJ154" s="9"/>
      <c r="CK154" s="9"/>
      <c r="CL154" s="9"/>
      <c r="CM154" s="9"/>
      <c r="CN154" s="9"/>
      <c r="CO154" s="9"/>
      <c r="CP154" s="9"/>
      <c r="CQ154" s="9"/>
      <c r="CR154" s="9"/>
      <c r="CS154" s="9"/>
      <c r="CT154" s="9"/>
      <c r="CU154" s="9"/>
      <c r="CV154" s="9"/>
      <c r="CW154" s="9"/>
      <c r="CX154" s="9"/>
      <c r="CY154" s="9"/>
      <c r="CZ154" s="9"/>
      <c r="DA154" s="9"/>
      <c r="DB154" s="9"/>
      <c r="DC154" s="9"/>
      <c r="DD154" s="9"/>
      <c r="DE154" s="9"/>
      <c r="DF154" s="9"/>
      <c r="DG154" s="9"/>
      <c r="DH154" s="9"/>
      <c r="DI154" s="9"/>
      <c r="DJ154" s="9"/>
      <c r="DK154" s="9"/>
      <c r="DL154" s="9"/>
      <c r="DM154" s="9"/>
      <c r="DN154" s="9"/>
    </row>
    <row r="155" spans="1:118" ht="16.5" customHeight="1" collapsed="1" x14ac:dyDescent="0.25">
      <c r="C155" s="44"/>
      <c r="D155" s="207"/>
      <c r="E155" s="68"/>
      <c r="F155" s="69"/>
      <c r="G155" s="70"/>
      <c r="H155" s="71"/>
      <c r="I155" s="72"/>
      <c r="J155" s="72"/>
      <c r="K155" s="73"/>
      <c r="L155" s="74"/>
      <c r="M155" s="74"/>
      <c r="N155" s="75"/>
      <c r="O155" s="76"/>
      <c r="P155" s="77"/>
      <c r="Q155" s="74"/>
      <c r="R155" s="75"/>
      <c r="S155" s="76"/>
      <c r="T155" s="77"/>
      <c r="U155" s="74"/>
      <c r="V155" s="75"/>
      <c r="W155" s="76"/>
      <c r="X155" s="65"/>
      <c r="Y155" s="31"/>
      <c r="Z155" s="78"/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9"/>
      <c r="AL155" s="9"/>
      <c r="AM155" s="9"/>
      <c r="AN155" s="9"/>
      <c r="AO155" s="9"/>
      <c r="AP155" s="9"/>
      <c r="AQ155" s="9"/>
      <c r="AR155" s="9"/>
      <c r="AS155" s="9"/>
      <c r="AT155" s="9"/>
      <c r="AU155" s="9"/>
      <c r="AV155" s="9"/>
      <c r="AW155" s="9"/>
      <c r="AX155" s="9"/>
      <c r="AY155" s="9"/>
      <c r="AZ155" s="9"/>
      <c r="BA155" s="9"/>
      <c r="BB155" s="9"/>
      <c r="BC155" s="9"/>
      <c r="BD155" s="9"/>
      <c r="BE155" s="9"/>
      <c r="BF155" s="9"/>
      <c r="BG155" s="9"/>
      <c r="BH155" s="9"/>
      <c r="BI155" s="9"/>
      <c r="BJ155" s="9"/>
      <c r="BK155" s="9"/>
      <c r="BL155" s="9"/>
      <c r="BM155" s="9"/>
      <c r="BN155" s="9"/>
      <c r="BO155" s="9"/>
      <c r="BP155" s="9"/>
      <c r="BQ155" s="9"/>
      <c r="BR155" s="9"/>
      <c r="BS155" s="9"/>
      <c r="BT155" s="9"/>
      <c r="BU155" s="9"/>
      <c r="BV155" s="9"/>
      <c r="BW155" s="9"/>
      <c r="BX155" s="9"/>
      <c r="BY155" s="9"/>
      <c r="BZ155" s="9"/>
      <c r="CA155" s="9"/>
      <c r="CB155" s="9"/>
      <c r="CC155" s="9"/>
      <c r="CD155" s="9"/>
      <c r="CE155" s="9"/>
      <c r="CF155" s="9"/>
      <c r="CG155" s="9"/>
      <c r="CH155" s="9"/>
      <c r="CI155" s="9"/>
      <c r="CJ155" s="9"/>
      <c r="CK155" s="9"/>
      <c r="CL155" s="9"/>
      <c r="CM155" s="9"/>
      <c r="CN155" s="9"/>
      <c r="CO155" s="9"/>
      <c r="CP155" s="9"/>
      <c r="CQ155" s="9"/>
      <c r="CR155" s="9"/>
      <c r="CS155" s="9"/>
      <c r="CT155" s="9"/>
      <c r="CU155" s="9"/>
      <c r="CV155" s="9"/>
      <c r="CW155" s="9"/>
      <c r="CX155" s="9"/>
      <c r="CY155" s="9"/>
      <c r="CZ155" s="9"/>
      <c r="DA155" s="9"/>
      <c r="DB155" s="9"/>
      <c r="DC155" s="9"/>
      <c r="DD155" s="9"/>
      <c r="DE155" s="9"/>
      <c r="DF155" s="9"/>
      <c r="DG155" s="9"/>
      <c r="DH155" s="9"/>
      <c r="DI155" s="9"/>
      <c r="DJ155" s="9"/>
      <c r="DK155" s="9"/>
      <c r="DL155" s="9"/>
      <c r="DM155" s="9"/>
      <c r="DN155" s="9"/>
    </row>
    <row r="156" spans="1:118" s="139" customFormat="1" ht="22.5" customHeight="1" x14ac:dyDescent="0.25">
      <c r="B156" s="140"/>
      <c r="C156" s="44"/>
      <c r="D156" s="208" t="s">
        <v>82</v>
      </c>
      <c r="E156" s="141"/>
      <c r="F156" s="142"/>
      <c r="G156" s="235" t="str">
        <f ca="1">_xll.DBRA(Server&amp;$D$20,$D156,"French")</f>
        <v>RESULTAT financier</v>
      </c>
      <c r="H156" s="236"/>
      <c r="I156" s="236"/>
      <c r="J156" s="237"/>
      <c r="K156" s="143"/>
      <c r="L156" s="145">
        <f ca="1">_xll.DBRW(Server&amp;Cube1,$J$12,$L$13,$J$14,$L$1,$J$11,$J$15,$D156)</f>
        <v>-5704.0999999999995</v>
      </c>
      <c r="M156" s="145">
        <f ca="1">_xll.DBRW(Server&amp;Cube1,$J$12,$L$13,$J$14,$M$1,$J$11,$J$15,$D156)</f>
        <v>-8700</v>
      </c>
      <c r="N156" s="146">
        <f ca="1">L156-M156</f>
        <v>2995.9000000000005</v>
      </c>
      <c r="O156" s="161">
        <f ca="1">IF(ISERROR(N156/M156),"-",N156/M156)</f>
        <v>-0.34435632183908055</v>
      </c>
      <c r="P156" s="132"/>
      <c r="Q156" s="145">
        <f ca="1">_xll.DBRW(Server&amp;Cube1,$J$12,$L$13,$J$14,$Q$1,$J$11,$J$15,$D156)</f>
        <v>0</v>
      </c>
      <c r="R156" s="146">
        <f ca="1">L156-Q156</f>
        <v>-5704.0999999999995</v>
      </c>
      <c r="S156" s="161" t="str">
        <f t="shared" ref="S156" ca="1" si="272">IF(ISERROR(R156/Q156),"-",R156/Q156)</f>
        <v>-</v>
      </c>
      <c r="T156" s="132"/>
      <c r="U156" s="144">
        <f ca="1">_xll.DBRW(Server&amp;Cube1,$J$12,$L$13,$J$14,$U$1,$U$2,$J$15,$D156)</f>
        <v>-7508.64</v>
      </c>
      <c r="V156" s="146">
        <f ca="1">L156-U156</f>
        <v>1804.5400000000009</v>
      </c>
      <c r="W156" s="161">
        <f ca="1">IF(ISERROR(V156/U156),"-",V156/U156)</f>
        <v>-0.24032847493021384</v>
      </c>
      <c r="X156" s="155"/>
      <c r="Y156" s="148"/>
      <c r="Z156" s="149"/>
      <c r="AA156" s="149"/>
      <c r="AB156" s="149"/>
      <c r="AC156" s="149"/>
      <c r="AD156" s="149"/>
      <c r="AE156" s="149"/>
      <c r="AF156" s="149"/>
      <c r="AG156" s="149"/>
      <c r="AH156" s="149"/>
      <c r="AI156" s="149"/>
      <c r="AJ156" s="149"/>
      <c r="AK156" s="149"/>
      <c r="AL156" s="149"/>
      <c r="AM156" s="149"/>
      <c r="AN156" s="149"/>
      <c r="AO156" s="149"/>
      <c r="AP156" s="149"/>
      <c r="AQ156" s="149"/>
      <c r="AR156" s="149"/>
      <c r="AS156" s="149"/>
      <c r="AT156" s="149"/>
      <c r="AU156" s="149"/>
      <c r="AV156" s="149"/>
      <c r="AW156" s="149"/>
      <c r="AX156" s="149"/>
      <c r="AY156" s="149"/>
      <c r="AZ156" s="149"/>
      <c r="BA156" s="149"/>
      <c r="BB156" s="149"/>
      <c r="BC156" s="149"/>
      <c r="BD156" s="149"/>
      <c r="BE156" s="149"/>
      <c r="BF156" s="149"/>
      <c r="BG156" s="149"/>
      <c r="BH156" s="149"/>
      <c r="BI156" s="149"/>
      <c r="BJ156" s="149"/>
      <c r="BK156" s="149"/>
      <c r="BL156" s="149"/>
      <c r="BM156" s="149"/>
      <c r="BN156" s="149"/>
      <c r="BO156" s="149"/>
      <c r="BP156" s="149"/>
      <c r="BQ156" s="149"/>
      <c r="BR156" s="149"/>
      <c r="BS156" s="149"/>
      <c r="BT156" s="149"/>
      <c r="BU156" s="149"/>
      <c r="BV156" s="149"/>
      <c r="BW156" s="149"/>
      <c r="BX156" s="149"/>
      <c r="BY156" s="149"/>
      <c r="BZ156" s="149"/>
      <c r="CA156" s="149"/>
      <c r="CB156" s="149"/>
      <c r="CC156" s="149"/>
      <c r="CD156" s="149"/>
      <c r="CE156" s="149"/>
      <c r="CF156" s="149"/>
      <c r="CG156" s="149"/>
      <c r="CH156" s="149"/>
      <c r="CI156" s="149"/>
      <c r="CJ156" s="149"/>
      <c r="CK156" s="149"/>
      <c r="CL156" s="149"/>
      <c r="CM156" s="149"/>
      <c r="CN156" s="149"/>
      <c r="CO156" s="149"/>
      <c r="CP156" s="149"/>
      <c r="CQ156" s="149"/>
      <c r="CR156" s="149"/>
      <c r="CS156" s="149"/>
      <c r="CT156" s="149"/>
      <c r="CU156" s="149"/>
      <c r="CV156" s="149"/>
      <c r="CW156" s="149"/>
      <c r="CX156" s="149"/>
      <c r="CY156" s="149"/>
      <c r="CZ156" s="149"/>
      <c r="DA156" s="149"/>
      <c r="DB156" s="149"/>
      <c r="DC156" s="149"/>
      <c r="DD156" s="149"/>
      <c r="DE156" s="149"/>
      <c r="DF156" s="149"/>
      <c r="DG156" s="149"/>
      <c r="DH156" s="149"/>
      <c r="DI156" s="149"/>
      <c r="DJ156" s="149"/>
      <c r="DK156" s="149"/>
      <c r="DL156" s="149"/>
      <c r="DM156" s="149"/>
      <c r="DN156" s="149"/>
    </row>
    <row r="157" spans="1:118" s="37" customFormat="1" ht="9.75" customHeight="1" x14ac:dyDescent="0.25">
      <c r="A157" s="10"/>
      <c r="B157" s="1"/>
      <c r="C157" s="44"/>
      <c r="D157" s="207"/>
      <c r="E157" s="68"/>
      <c r="F157" s="69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31"/>
      <c r="Z157" s="9"/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9"/>
      <c r="AL157" s="9"/>
      <c r="AM157" s="9"/>
      <c r="AN157" s="9"/>
      <c r="AO157" s="9"/>
      <c r="AP157" s="9"/>
      <c r="AQ157" s="9"/>
      <c r="AR157" s="9"/>
      <c r="AS157" s="9"/>
      <c r="AT157" s="9"/>
      <c r="AU157" s="9"/>
      <c r="AV157" s="9"/>
      <c r="AW157" s="9"/>
      <c r="AX157" s="9"/>
      <c r="AY157" s="9"/>
      <c r="AZ157" s="9"/>
      <c r="BA157" s="9"/>
      <c r="BB157" s="9"/>
      <c r="BC157" s="9"/>
      <c r="BD157" s="9"/>
      <c r="BE157" s="9"/>
      <c r="BF157" s="9"/>
      <c r="BG157" s="9"/>
      <c r="BH157" s="9"/>
      <c r="BI157" s="9"/>
      <c r="BJ157" s="9"/>
      <c r="BK157" s="9"/>
      <c r="BL157" s="9"/>
      <c r="BM157" s="9"/>
      <c r="BN157" s="9"/>
      <c r="BO157" s="9"/>
      <c r="BP157" s="9"/>
      <c r="BQ157" s="9"/>
      <c r="BR157" s="9"/>
      <c r="BS157" s="9"/>
      <c r="BT157" s="9"/>
      <c r="BU157" s="9"/>
      <c r="BV157" s="9"/>
      <c r="BW157" s="9"/>
      <c r="BX157" s="9"/>
      <c r="BY157" s="9"/>
      <c r="BZ157" s="9"/>
      <c r="CA157" s="9"/>
      <c r="CB157" s="9"/>
      <c r="CC157" s="9"/>
      <c r="CD157" s="9"/>
      <c r="CE157" s="9"/>
      <c r="CF157" s="9"/>
      <c r="CG157" s="9"/>
      <c r="CH157" s="9"/>
      <c r="CI157" s="9"/>
      <c r="CJ157" s="9"/>
      <c r="CK157" s="9"/>
      <c r="CL157" s="9"/>
      <c r="CM157" s="9"/>
      <c r="CN157" s="9"/>
      <c r="CO157" s="9"/>
      <c r="CP157" s="9"/>
      <c r="CQ157" s="9"/>
      <c r="CR157" s="9"/>
      <c r="CS157" s="9"/>
      <c r="CT157" s="9"/>
      <c r="CU157" s="9"/>
      <c r="CV157" s="9"/>
      <c r="CW157" s="9"/>
      <c r="CX157" s="9"/>
      <c r="CY157" s="9"/>
      <c r="CZ157" s="9"/>
      <c r="DA157" s="9"/>
      <c r="DB157" s="9"/>
      <c r="DC157" s="9"/>
      <c r="DD157" s="9"/>
      <c r="DE157" s="9"/>
      <c r="DF157" s="9"/>
      <c r="DG157" s="9"/>
      <c r="DH157" s="9"/>
      <c r="DI157" s="9"/>
      <c r="DJ157" s="9"/>
      <c r="DK157" s="9"/>
      <c r="DL157" s="9"/>
      <c r="DM157" s="9"/>
      <c r="DN157" s="9"/>
    </row>
    <row r="158" spans="1:118" s="37" customFormat="1" ht="9.75" customHeight="1" thickBot="1" x14ac:dyDescent="0.3">
      <c r="A158" s="10"/>
      <c r="B158" s="1"/>
      <c r="C158" s="44"/>
      <c r="D158" s="207"/>
      <c r="E158" s="68"/>
      <c r="F158" s="69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31"/>
      <c r="Z158" s="9"/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9"/>
      <c r="AL158" s="9"/>
      <c r="AM158" s="9"/>
      <c r="AN158" s="9"/>
      <c r="AO158" s="9"/>
      <c r="AP158" s="9"/>
      <c r="AQ158" s="9"/>
      <c r="AR158" s="9"/>
      <c r="AS158" s="9"/>
      <c r="AT158" s="9"/>
      <c r="AU158" s="9"/>
      <c r="AV158" s="9"/>
      <c r="AW158" s="9"/>
      <c r="AX158" s="9"/>
      <c r="AY158" s="9"/>
      <c r="AZ158" s="9"/>
      <c r="BA158" s="9"/>
      <c r="BB158" s="9"/>
      <c r="BC158" s="9"/>
      <c r="BD158" s="9"/>
      <c r="BE158" s="9"/>
      <c r="BF158" s="9"/>
      <c r="BG158" s="9"/>
      <c r="BH158" s="9"/>
      <c r="BI158" s="9"/>
      <c r="BJ158" s="9"/>
      <c r="BK158" s="9"/>
      <c r="BL158" s="9"/>
      <c r="BM158" s="9"/>
      <c r="BN158" s="9"/>
      <c r="BO158" s="9"/>
      <c r="BP158" s="9"/>
      <c r="BQ158" s="9"/>
      <c r="BR158" s="9"/>
      <c r="BS158" s="9"/>
      <c r="BT158" s="9"/>
      <c r="BU158" s="9"/>
      <c r="BV158" s="9"/>
      <c r="BW158" s="9"/>
      <c r="BX158" s="9"/>
      <c r="BY158" s="9"/>
      <c r="BZ158" s="9"/>
      <c r="CA158" s="9"/>
      <c r="CB158" s="9"/>
      <c r="CC158" s="9"/>
      <c r="CD158" s="9"/>
      <c r="CE158" s="9"/>
      <c r="CF158" s="9"/>
      <c r="CG158" s="9"/>
      <c r="CH158" s="9"/>
      <c r="CI158" s="9"/>
      <c r="CJ158" s="9"/>
      <c r="CK158" s="9"/>
      <c r="CL158" s="9"/>
      <c r="CM158" s="9"/>
      <c r="CN158" s="9"/>
      <c r="CO158" s="9"/>
      <c r="CP158" s="9"/>
      <c r="CQ158" s="9"/>
      <c r="CR158" s="9"/>
      <c r="CS158" s="9"/>
      <c r="CT158" s="9"/>
      <c r="CU158" s="9"/>
      <c r="CV158" s="9"/>
      <c r="CW158" s="9"/>
      <c r="CX158" s="9"/>
      <c r="CY158" s="9"/>
      <c r="CZ158" s="9"/>
      <c r="DA158" s="9"/>
      <c r="DB158" s="9"/>
      <c r="DC158" s="9"/>
      <c r="DD158" s="9"/>
      <c r="DE158" s="9"/>
      <c r="DF158" s="9"/>
      <c r="DG158" s="9"/>
      <c r="DH158" s="9"/>
      <c r="DI158" s="9"/>
      <c r="DJ158" s="9"/>
      <c r="DK158" s="9"/>
      <c r="DL158" s="9"/>
      <c r="DM158" s="9"/>
      <c r="DN158" s="9"/>
    </row>
    <row r="159" spans="1:118" ht="24" hidden="1" customHeight="1" outlineLevel="1" thickTop="1" x14ac:dyDescent="0.25">
      <c r="A159" s="221"/>
      <c r="B159" s="60"/>
      <c r="C159" s="44"/>
      <c r="D159" s="206" t="s">
        <v>147</v>
      </c>
      <c r="E159" s="62"/>
      <c r="F159" s="63"/>
      <c r="G159" s="234" t="str">
        <f ca="1">_xll.DBRA(Server&amp;$D$20,$D159,"French")</f>
        <v>Produits exceptionnels</v>
      </c>
      <c r="H159" s="234" t="str">
        <f ca="1">_xll.DBRA(Server&amp;$D$20,$D159,"French")</f>
        <v>Produits exceptionnels</v>
      </c>
      <c r="I159" s="234"/>
      <c r="J159" s="234"/>
      <c r="K159" s="150"/>
      <c r="L159" s="165">
        <f ca="1">SUM(L160:L160)</f>
        <v>0</v>
      </c>
      <c r="M159" s="165">
        <f t="shared" ref="M159:N159" ca="1" si="273">SUM(M160:M160)</f>
        <v>0</v>
      </c>
      <c r="N159" s="165">
        <f t="shared" ca="1" si="273"/>
        <v>0</v>
      </c>
      <c r="O159" s="167" t="str">
        <f ca="1">IF(ISERROR(N159/M159),"-",N159/M159)</f>
        <v>-</v>
      </c>
      <c r="P159" s="132"/>
      <c r="Q159" s="165"/>
      <c r="R159" s="166"/>
      <c r="S159" s="167"/>
      <c r="T159" s="132"/>
      <c r="U159" s="165">
        <f ca="1">SUM(U160:U160)</f>
        <v>0</v>
      </c>
      <c r="V159" s="165">
        <f ca="1">SUM(V160:V160)</f>
        <v>0</v>
      </c>
      <c r="W159" s="167" t="str">
        <f t="shared" ref="W159:W160" ca="1" si="274">IF(ISERROR(V159/U159),"-",V159/U159)</f>
        <v>-</v>
      </c>
      <c r="X159" s="65"/>
      <c r="Y159" s="31"/>
      <c r="Z159" s="9"/>
      <c r="AA159" s="66"/>
      <c r="AB159" s="66"/>
      <c r="AC159" s="9"/>
      <c r="AD159" s="9"/>
      <c r="AE159" s="9"/>
      <c r="AF159" s="9"/>
      <c r="AG159" s="9"/>
      <c r="AH159" s="9"/>
      <c r="AI159" s="9"/>
      <c r="AJ159" s="9"/>
      <c r="AK159" s="9"/>
      <c r="AL159" s="9"/>
      <c r="AM159" s="9"/>
      <c r="AN159" s="9"/>
      <c r="AO159" s="9"/>
      <c r="AP159" s="9"/>
      <c r="AQ159" s="9"/>
      <c r="AR159" s="9"/>
      <c r="AS159" s="9"/>
      <c r="AT159" s="9"/>
      <c r="AU159" s="9"/>
      <c r="AV159" s="9"/>
      <c r="AW159" s="9"/>
      <c r="AX159" s="9"/>
      <c r="AY159" s="9"/>
      <c r="AZ159" s="9"/>
      <c r="BA159" s="9"/>
      <c r="BB159" s="9"/>
      <c r="BC159" s="9"/>
      <c r="BD159" s="9"/>
      <c r="BE159" s="9"/>
      <c r="BF159" s="9"/>
      <c r="BG159" s="9"/>
      <c r="BH159" s="9"/>
      <c r="BI159" s="9"/>
      <c r="BJ159" s="9"/>
      <c r="BK159" s="9"/>
      <c r="BL159" s="9"/>
      <c r="BM159" s="9"/>
      <c r="BN159" s="9"/>
      <c r="BO159" s="9"/>
      <c r="BP159" s="9"/>
      <c r="BQ159" s="9"/>
      <c r="BR159" s="9"/>
      <c r="BS159" s="9"/>
      <c r="BT159" s="9"/>
      <c r="BU159" s="9"/>
      <c r="BV159" s="9"/>
      <c r="BW159" s="9"/>
      <c r="BX159" s="9"/>
      <c r="BY159" s="9"/>
      <c r="BZ159" s="9"/>
      <c r="CA159" s="9"/>
      <c r="CB159" s="9"/>
      <c r="CC159" s="9"/>
      <c r="CD159" s="9"/>
      <c r="CE159" s="9"/>
      <c r="CF159" s="9"/>
      <c r="CG159" s="9"/>
      <c r="CH159" s="9"/>
      <c r="CI159" s="9"/>
      <c r="CJ159" s="9"/>
      <c r="CK159" s="9"/>
      <c r="CL159" s="9"/>
      <c r="CM159" s="9"/>
      <c r="CN159" s="9"/>
      <c r="CO159" s="9"/>
      <c r="CP159" s="9"/>
      <c r="CQ159" s="9"/>
      <c r="CR159" s="9"/>
      <c r="CS159" s="9"/>
      <c r="CT159" s="9"/>
      <c r="CU159" s="9"/>
      <c r="CV159" s="9"/>
      <c r="CW159" s="9"/>
      <c r="CX159" s="9"/>
      <c r="CY159" s="9"/>
      <c r="CZ159" s="9"/>
      <c r="DA159" s="9"/>
      <c r="DB159" s="9"/>
      <c r="DC159" s="9"/>
      <c r="DD159" s="9"/>
      <c r="DE159" s="9"/>
      <c r="DF159" s="9"/>
      <c r="DG159" s="9"/>
      <c r="DH159" s="9"/>
      <c r="DI159" s="9"/>
      <c r="DJ159" s="9"/>
      <c r="DK159" s="9"/>
      <c r="DL159" s="9"/>
      <c r="DM159" s="9"/>
      <c r="DN159" s="9"/>
    </row>
    <row r="160" spans="1:118" ht="24" hidden="1" outlineLevel="1" thickBot="1" x14ac:dyDescent="0.3">
      <c r="B160" s="60"/>
      <c r="C160" s="44"/>
      <c r="D160" s="206" t="s">
        <v>132</v>
      </c>
      <c r="E160" s="62"/>
      <c r="F160" s="63"/>
      <c r="G160" s="41"/>
      <c r="H160" s="232" t="str">
        <f ca="1">_xll.DBRA(Server&amp;$D$20,$D160,"French")</f>
        <v>Autres produits exceptionnels</v>
      </c>
      <c r="I160" s="232"/>
      <c r="J160" s="232"/>
      <c r="K160" s="150"/>
      <c r="L160" s="151">
        <f ca="1">_xll.DBRW(Server&amp;Cube1,$J$12,$L$13,$J$14,$L$1,$J$11,$J$15,$D160)</f>
        <v>0</v>
      </c>
      <c r="M160" s="151">
        <f ca="1">_xll.DBRW(Server&amp;Cube1,$J$12,$L$13,$J$14,$M$1,$J$11,$J$15,$D160)</f>
        <v>0</v>
      </c>
      <c r="N160" s="152">
        <f t="shared" ref="N160" ca="1" si="275">L160-M160</f>
        <v>0</v>
      </c>
      <c r="O160" s="153" t="str">
        <f t="shared" ref="O160" ca="1" si="276">IF(ISERROR(N160/M160),"-",N160/M160)</f>
        <v>-</v>
      </c>
      <c r="P160" s="138"/>
      <c r="Q160" s="151">
        <f ca="1">_xll.DBRW(Server&amp;Cube1,$J$12,$L$13,$J$14,$Q$1,$J$11,$J$15,$D160)</f>
        <v>0</v>
      </c>
      <c r="R160" s="152">
        <f t="shared" ref="R160" ca="1" si="277">L160-Q160</f>
        <v>0</v>
      </c>
      <c r="S160" s="153" t="str">
        <f t="shared" ref="S160" ca="1" si="278">IF(ISERROR(R160/Q160),"-",R160/Q160)</f>
        <v>-</v>
      </c>
      <c r="T160" s="138"/>
      <c r="U160" s="151">
        <f ca="1">_xll.DBRW(Server&amp;Cube1,$J$12,$L$13,$J$14,$U$1,$U$2,$J$15,$D160)</f>
        <v>0</v>
      </c>
      <c r="V160" s="152">
        <f t="shared" ref="V160" ca="1" si="279">L160-U160</f>
        <v>0</v>
      </c>
      <c r="W160" s="153" t="str">
        <f t="shared" ca="1" si="274"/>
        <v>-</v>
      </c>
      <c r="X160" s="65"/>
      <c r="Y160" s="31"/>
      <c r="Z160" s="9"/>
      <c r="AA160" s="66"/>
      <c r="AB160" s="66"/>
      <c r="AC160" s="9"/>
      <c r="AD160" s="9"/>
      <c r="AE160" s="9"/>
      <c r="AF160" s="9"/>
      <c r="AG160" s="9"/>
      <c r="AH160" s="9"/>
      <c r="AI160" s="9"/>
      <c r="AJ160" s="9"/>
      <c r="AK160" s="9"/>
      <c r="AL160" s="9"/>
      <c r="AM160" s="9"/>
      <c r="AN160" s="9"/>
      <c r="AO160" s="9"/>
      <c r="AP160" s="9"/>
      <c r="AQ160" s="9"/>
      <c r="AR160" s="9"/>
      <c r="AS160" s="9"/>
      <c r="AT160" s="9"/>
      <c r="AU160" s="9"/>
      <c r="AV160" s="9"/>
      <c r="AW160" s="9"/>
      <c r="AX160" s="9"/>
      <c r="AY160" s="9"/>
      <c r="AZ160" s="9"/>
      <c r="BA160" s="9"/>
      <c r="BB160" s="9"/>
      <c r="BC160" s="9"/>
      <c r="BD160" s="9"/>
      <c r="BE160" s="9"/>
      <c r="BF160" s="9"/>
      <c r="BG160" s="9"/>
      <c r="BH160" s="9"/>
      <c r="BI160" s="9"/>
      <c r="BJ160" s="9"/>
      <c r="BK160" s="9"/>
      <c r="BL160" s="9"/>
      <c r="BM160" s="9"/>
      <c r="BN160" s="9"/>
      <c r="BO160" s="9"/>
      <c r="BP160" s="9"/>
      <c r="BQ160" s="9"/>
      <c r="BR160" s="9"/>
      <c r="BS160" s="9"/>
      <c r="BT160" s="9"/>
      <c r="BU160" s="9"/>
      <c r="BV160" s="9"/>
      <c r="BW160" s="9"/>
      <c r="BX160" s="9"/>
      <c r="BY160" s="9"/>
      <c r="BZ160" s="9"/>
      <c r="CA160" s="9"/>
      <c r="CB160" s="9"/>
      <c r="CC160" s="9"/>
      <c r="CD160" s="9"/>
      <c r="CE160" s="9"/>
      <c r="CF160" s="9"/>
      <c r="CG160" s="9"/>
      <c r="CH160" s="9"/>
      <c r="CI160" s="9"/>
      <c r="CJ160" s="9"/>
      <c r="CK160" s="9"/>
      <c r="CL160" s="9"/>
      <c r="CM160" s="9"/>
      <c r="CN160" s="9"/>
      <c r="CO160" s="9"/>
      <c r="CP160" s="9"/>
      <c r="CQ160" s="9"/>
      <c r="CR160" s="9"/>
      <c r="CS160" s="9"/>
      <c r="CT160" s="9"/>
      <c r="CU160" s="9"/>
      <c r="CV160" s="9"/>
      <c r="CW160" s="9"/>
      <c r="CX160" s="9"/>
      <c r="CY160" s="9"/>
      <c r="CZ160" s="9"/>
      <c r="DA160" s="9"/>
      <c r="DB160" s="9"/>
      <c r="DC160" s="9"/>
      <c r="DD160" s="9"/>
      <c r="DE160" s="9"/>
      <c r="DF160" s="9"/>
      <c r="DG160" s="9"/>
      <c r="DH160" s="9"/>
      <c r="DI160" s="9"/>
      <c r="DJ160" s="9"/>
      <c r="DK160" s="9"/>
      <c r="DL160" s="9"/>
      <c r="DM160" s="9"/>
      <c r="DN160" s="9"/>
    </row>
    <row r="161" spans="1:118" s="37" customFormat="1" ht="23.25" customHeight="1" collapsed="1" thickTop="1" x14ac:dyDescent="0.25">
      <c r="A161" s="222"/>
      <c r="B161" s="1"/>
      <c r="C161" s="44"/>
      <c r="D161" s="206" t="s">
        <v>83</v>
      </c>
      <c r="E161" s="68"/>
      <c r="F161" s="69"/>
      <c r="G161" s="234" t="str">
        <f ca="1">_xll.DBRA(Server&amp;$D$20,$D161,"French")</f>
        <v>Charges exceptionnelles</v>
      </c>
      <c r="H161" s="234" t="str">
        <f ca="1">_xll.DBRA(Server&amp;$D$20,$D161,"French")</f>
        <v>Charges exceptionnelles</v>
      </c>
      <c r="I161" s="234"/>
      <c r="J161" s="234"/>
      <c r="K161" s="154" t="s">
        <v>3</v>
      </c>
      <c r="L161" s="165">
        <f ca="1">SUM(L162:L163)</f>
        <v>0</v>
      </c>
      <c r="M161" s="165">
        <f t="shared" ref="M161:N161" ca="1" si="280">SUM(M162:M163)</f>
        <v>0</v>
      </c>
      <c r="N161" s="165">
        <f t="shared" ca="1" si="280"/>
        <v>0</v>
      </c>
      <c r="O161" s="167" t="str">
        <f ca="1">IF(ISERROR(N161/M161),"-",N161/M161)</f>
        <v>-</v>
      </c>
      <c r="P161" s="132"/>
      <c r="Q161" s="165">
        <f ca="1">_xll.DBRW(Server&amp;Cube1,$J$12,$L$13,$J$14,$Q$1,$J$11,$J$15,$D161)</f>
        <v>0</v>
      </c>
      <c r="R161" s="166">
        <f ca="1">L161-Q161</f>
        <v>0</v>
      </c>
      <c r="S161" s="167" t="str">
        <f ca="1">IF(ISERROR(R161/Q161),"-",R161/Q161)</f>
        <v>-</v>
      </c>
      <c r="T161" s="132"/>
      <c r="U161" s="165">
        <f ca="1">SUM(U162:U163)</f>
        <v>0</v>
      </c>
      <c r="V161" s="165">
        <f ca="1">SUM(V162:V163)</f>
        <v>0</v>
      </c>
      <c r="W161" s="167" t="str">
        <f ca="1">IF(ISERROR(V161/U161),"-",V161/U161)</f>
        <v>-</v>
      </c>
      <c r="X161" s="64"/>
      <c r="Y161" s="31"/>
      <c r="Z161" s="9"/>
      <c r="AA161" s="9"/>
      <c r="AB161" s="9"/>
      <c r="AC161" s="9"/>
      <c r="AD161" s="9"/>
      <c r="AE161" s="9"/>
      <c r="AF161" s="9"/>
      <c r="AG161" s="9"/>
      <c r="AH161" s="9"/>
      <c r="AI161" s="9"/>
      <c r="AJ161" s="9"/>
      <c r="AK161" s="9"/>
      <c r="AL161" s="9"/>
      <c r="AM161" s="9"/>
      <c r="AN161" s="9"/>
      <c r="AO161" s="9"/>
      <c r="AP161" s="9"/>
      <c r="AQ161" s="9"/>
      <c r="AR161" s="9"/>
      <c r="AS161" s="9"/>
      <c r="AT161" s="9"/>
      <c r="AU161" s="9"/>
      <c r="AV161" s="9"/>
      <c r="AW161" s="9"/>
      <c r="AX161" s="9"/>
      <c r="AY161" s="9"/>
      <c r="AZ161" s="9"/>
      <c r="BA161" s="9"/>
      <c r="BB161" s="9"/>
      <c r="BC161" s="9"/>
      <c r="BD161" s="9"/>
      <c r="BE161" s="9"/>
      <c r="BF161" s="9"/>
      <c r="BG161" s="9"/>
      <c r="BH161" s="9"/>
      <c r="BI161" s="9"/>
      <c r="BJ161" s="9"/>
      <c r="BK161" s="9"/>
      <c r="BL161" s="9"/>
      <c r="BM161" s="9"/>
      <c r="BN161" s="9"/>
      <c r="BO161" s="9"/>
      <c r="BP161" s="9"/>
      <c r="BQ161" s="9"/>
      <c r="BR161" s="9"/>
      <c r="BS161" s="9"/>
      <c r="BT161" s="9"/>
      <c r="BU161" s="9"/>
      <c r="BV161" s="9"/>
      <c r="BW161" s="9"/>
      <c r="BX161" s="9"/>
      <c r="BY161" s="9"/>
      <c r="BZ161" s="9"/>
      <c r="CA161" s="9"/>
      <c r="CB161" s="9"/>
      <c r="CC161" s="9"/>
      <c r="CD161" s="9"/>
      <c r="CE161" s="9"/>
      <c r="CF161" s="9"/>
      <c r="CG161" s="9"/>
      <c r="CH161" s="9"/>
      <c r="CI161" s="9"/>
      <c r="CJ161" s="9"/>
      <c r="CK161" s="9"/>
      <c r="CL161" s="9"/>
      <c r="CM161" s="9"/>
      <c r="CN161" s="9"/>
      <c r="CO161" s="9"/>
      <c r="CP161" s="9"/>
      <c r="CQ161" s="9"/>
      <c r="CR161" s="9"/>
      <c r="CS161" s="9"/>
      <c r="CT161" s="9"/>
      <c r="CU161" s="9"/>
      <c r="CV161" s="9"/>
      <c r="CW161" s="9"/>
      <c r="CX161" s="9"/>
      <c r="CY161" s="9"/>
      <c r="CZ161" s="9"/>
      <c r="DA161" s="9"/>
      <c r="DB161" s="9"/>
      <c r="DC161" s="9"/>
      <c r="DD161" s="9"/>
      <c r="DE161" s="9"/>
      <c r="DF161" s="9"/>
      <c r="DG161" s="9"/>
      <c r="DH161" s="9"/>
      <c r="DI161" s="9"/>
      <c r="DJ161" s="9"/>
      <c r="DK161" s="9"/>
      <c r="DL161" s="9"/>
      <c r="DM161" s="9"/>
      <c r="DN161" s="9"/>
    </row>
    <row r="162" spans="1:118" ht="23.25" hidden="1" outlineLevel="1" x14ac:dyDescent="0.25">
      <c r="B162" s="60"/>
      <c r="C162" s="44"/>
      <c r="D162" s="206" t="s">
        <v>133</v>
      </c>
      <c r="E162" s="62"/>
      <c r="F162" s="63"/>
      <c r="G162" s="41"/>
      <c r="H162" s="232" t="str">
        <f ca="1">_xll.DBRA(Server&amp;$D$20,$D162,"French")</f>
        <v>Pénalités amendes fiscales et pénales</v>
      </c>
      <c r="I162" s="232"/>
      <c r="J162" s="232"/>
      <c r="K162" s="150"/>
      <c r="L162" s="151">
        <f ca="1">_xll.DBRW(Server&amp;Cube1,$J$12,$L$13,$J$14,$L$1,$J$11,$J$15,$D162)</f>
        <v>0</v>
      </c>
      <c r="M162" s="151">
        <f ca="1">_xll.DBRW(Server&amp;Cube1,$J$12,$L$13,$J$14,$M$1,$J$11,$J$15,$D162)</f>
        <v>0</v>
      </c>
      <c r="N162" s="152">
        <f t="shared" ref="N162:N163" ca="1" si="281">L162-M162</f>
        <v>0</v>
      </c>
      <c r="O162" s="153" t="str">
        <f t="shared" ref="O162:O163" ca="1" si="282">IF(ISERROR(N162/M162),"-",N162/M162)</f>
        <v>-</v>
      </c>
      <c r="P162" s="138"/>
      <c r="Q162" s="151">
        <f ca="1">_xll.DBRW(Server&amp;Cube1,$J$12,$L$13,$J$14,$Q$1,$J$11,$J$15,$D162)</f>
        <v>0</v>
      </c>
      <c r="R162" s="152">
        <f t="shared" ref="R162:R163" ca="1" si="283">L162-Q162</f>
        <v>0</v>
      </c>
      <c r="S162" s="153" t="str">
        <f t="shared" ref="S162:S163" ca="1" si="284">IF(ISERROR(R162/Q162),"-",R162/Q162)</f>
        <v>-</v>
      </c>
      <c r="T162" s="138"/>
      <c r="U162" s="151">
        <f ca="1">_xll.DBRW(Server&amp;Cube1,$J$12,$L$13,$J$14,$U$1,$U$2,$J$15,$D162)</f>
        <v>0</v>
      </c>
      <c r="V162" s="152">
        <f t="shared" ref="V162:V163" ca="1" si="285">L162-U162</f>
        <v>0</v>
      </c>
      <c r="W162" s="153" t="str">
        <f t="shared" ref="W162:W163" ca="1" si="286">IF(ISERROR(V162/U162),"-",V162/U162)</f>
        <v>-</v>
      </c>
      <c r="X162" s="65"/>
      <c r="Y162" s="31"/>
      <c r="Z162" s="9"/>
      <c r="AA162" s="66"/>
      <c r="AB162" s="66"/>
      <c r="AC162" s="9"/>
      <c r="AD162" s="9"/>
      <c r="AE162" s="9"/>
      <c r="AF162" s="9"/>
      <c r="AG162" s="9"/>
      <c r="AH162" s="9"/>
      <c r="AI162" s="9"/>
      <c r="AJ162" s="9"/>
      <c r="AK162" s="9"/>
      <c r="AL162" s="9"/>
      <c r="AM162" s="9"/>
      <c r="AN162" s="9"/>
      <c r="AO162" s="9"/>
      <c r="AP162" s="9"/>
      <c r="AQ162" s="9"/>
      <c r="AR162" s="9"/>
      <c r="AS162" s="9"/>
      <c r="AT162" s="9"/>
      <c r="AU162" s="9"/>
      <c r="AV162" s="9"/>
      <c r="AW162" s="9"/>
      <c r="AX162" s="9"/>
      <c r="AY162" s="9"/>
      <c r="AZ162" s="9"/>
      <c r="BA162" s="9"/>
      <c r="BB162" s="9"/>
      <c r="BC162" s="9"/>
      <c r="BD162" s="9"/>
      <c r="BE162" s="9"/>
      <c r="BF162" s="9"/>
      <c r="BG162" s="9"/>
      <c r="BH162" s="9"/>
      <c r="BI162" s="9"/>
      <c r="BJ162" s="9"/>
      <c r="BK162" s="9"/>
      <c r="BL162" s="9"/>
      <c r="BM162" s="9"/>
      <c r="BN162" s="9"/>
      <c r="BO162" s="9"/>
      <c r="BP162" s="9"/>
      <c r="BQ162" s="9"/>
      <c r="BR162" s="9"/>
      <c r="BS162" s="9"/>
      <c r="BT162" s="9"/>
      <c r="BU162" s="9"/>
      <c r="BV162" s="9"/>
      <c r="BW162" s="9"/>
      <c r="BX162" s="9"/>
      <c r="BY162" s="9"/>
      <c r="BZ162" s="9"/>
      <c r="CA162" s="9"/>
      <c r="CB162" s="9"/>
      <c r="CC162" s="9"/>
      <c r="CD162" s="9"/>
      <c r="CE162" s="9"/>
      <c r="CF162" s="9"/>
      <c r="CG162" s="9"/>
      <c r="CH162" s="9"/>
      <c r="CI162" s="9"/>
      <c r="CJ162" s="9"/>
      <c r="CK162" s="9"/>
      <c r="CL162" s="9"/>
      <c r="CM162" s="9"/>
      <c r="CN162" s="9"/>
      <c r="CO162" s="9"/>
      <c r="CP162" s="9"/>
      <c r="CQ162" s="9"/>
      <c r="CR162" s="9"/>
      <c r="CS162" s="9"/>
      <c r="CT162" s="9"/>
      <c r="CU162" s="9"/>
      <c r="CV162" s="9"/>
      <c r="CW162" s="9"/>
      <c r="CX162" s="9"/>
      <c r="CY162" s="9"/>
      <c r="CZ162" s="9"/>
      <c r="DA162" s="9"/>
      <c r="DB162" s="9"/>
      <c r="DC162" s="9"/>
      <c r="DD162" s="9"/>
      <c r="DE162" s="9"/>
      <c r="DF162" s="9"/>
      <c r="DG162" s="9"/>
      <c r="DH162" s="9"/>
      <c r="DI162" s="9"/>
      <c r="DJ162" s="9"/>
      <c r="DK162" s="9"/>
      <c r="DL162" s="9"/>
      <c r="DM162" s="9"/>
      <c r="DN162" s="9"/>
    </row>
    <row r="163" spans="1:118" ht="23.25" hidden="1" outlineLevel="1" x14ac:dyDescent="0.25">
      <c r="B163" s="60"/>
      <c r="C163" s="44"/>
      <c r="D163" s="206" t="s">
        <v>134</v>
      </c>
      <c r="E163" s="62"/>
      <c r="F163" s="63"/>
      <c r="G163" s="41"/>
      <c r="H163" s="232" t="str">
        <f ca="1">_xll.DBRA(Server&amp;$D$20,$D163,"French")</f>
        <v>Charges exceptionnelles sur exe. ant.</v>
      </c>
      <c r="I163" s="232"/>
      <c r="J163" s="232"/>
      <c r="K163" s="150"/>
      <c r="L163" s="151">
        <f ca="1">_xll.DBRW(Server&amp;Cube1,$J$12,$L$13,$J$14,$L$1,$J$11,$J$15,$D163)</f>
        <v>0</v>
      </c>
      <c r="M163" s="151">
        <f ca="1">_xll.DBRW(Server&amp;Cube1,$J$12,$L$13,$J$14,$M$1,$J$11,$J$15,$D163)</f>
        <v>0</v>
      </c>
      <c r="N163" s="152">
        <f t="shared" ca="1" si="281"/>
        <v>0</v>
      </c>
      <c r="O163" s="153" t="str">
        <f t="shared" ca="1" si="282"/>
        <v>-</v>
      </c>
      <c r="P163" s="138"/>
      <c r="Q163" s="151">
        <f ca="1">_xll.DBRW(Server&amp;Cube1,$J$12,$L$13,$J$14,$Q$1,$J$11,$J$15,$D163)</f>
        <v>0</v>
      </c>
      <c r="R163" s="152">
        <f t="shared" ca="1" si="283"/>
        <v>0</v>
      </c>
      <c r="S163" s="153" t="str">
        <f t="shared" ca="1" si="284"/>
        <v>-</v>
      </c>
      <c r="T163" s="138"/>
      <c r="U163" s="151">
        <f ca="1">_xll.DBRW(Server&amp;Cube1,$J$12,$L$13,$J$14,$U$1,$U$2,$J$15,$D163)</f>
        <v>0</v>
      </c>
      <c r="V163" s="152">
        <f t="shared" ca="1" si="285"/>
        <v>0</v>
      </c>
      <c r="W163" s="153" t="str">
        <f t="shared" ca="1" si="286"/>
        <v>-</v>
      </c>
      <c r="X163" s="65"/>
      <c r="Y163" s="31"/>
      <c r="Z163" s="9"/>
      <c r="AA163" s="66"/>
      <c r="AB163" s="66"/>
      <c r="AC163" s="9"/>
      <c r="AD163" s="9"/>
      <c r="AE163" s="9"/>
      <c r="AF163" s="9"/>
      <c r="AG163" s="9"/>
      <c r="AH163" s="9"/>
      <c r="AI163" s="9"/>
      <c r="AJ163" s="9"/>
      <c r="AK163" s="9"/>
      <c r="AL163" s="9"/>
      <c r="AM163" s="9"/>
      <c r="AN163" s="9"/>
      <c r="AO163" s="9"/>
      <c r="AP163" s="9"/>
      <c r="AQ163" s="9"/>
      <c r="AR163" s="9"/>
      <c r="AS163" s="9"/>
      <c r="AT163" s="9"/>
      <c r="AU163" s="9"/>
      <c r="AV163" s="9"/>
      <c r="AW163" s="9"/>
      <c r="AX163" s="9"/>
      <c r="AY163" s="9"/>
      <c r="AZ163" s="9"/>
      <c r="BA163" s="9"/>
      <c r="BB163" s="9"/>
      <c r="BC163" s="9"/>
      <c r="BD163" s="9"/>
      <c r="BE163" s="9"/>
      <c r="BF163" s="9"/>
      <c r="BG163" s="9"/>
      <c r="BH163" s="9"/>
      <c r="BI163" s="9"/>
      <c r="BJ163" s="9"/>
      <c r="BK163" s="9"/>
      <c r="BL163" s="9"/>
      <c r="BM163" s="9"/>
      <c r="BN163" s="9"/>
      <c r="BO163" s="9"/>
      <c r="BP163" s="9"/>
      <c r="BQ163" s="9"/>
      <c r="BR163" s="9"/>
      <c r="BS163" s="9"/>
      <c r="BT163" s="9"/>
      <c r="BU163" s="9"/>
      <c r="BV163" s="9"/>
      <c r="BW163" s="9"/>
      <c r="BX163" s="9"/>
      <c r="BY163" s="9"/>
      <c r="BZ163" s="9"/>
      <c r="CA163" s="9"/>
      <c r="CB163" s="9"/>
      <c r="CC163" s="9"/>
      <c r="CD163" s="9"/>
      <c r="CE163" s="9"/>
      <c r="CF163" s="9"/>
      <c r="CG163" s="9"/>
      <c r="CH163" s="9"/>
      <c r="CI163" s="9"/>
      <c r="CJ163" s="9"/>
      <c r="CK163" s="9"/>
      <c r="CL163" s="9"/>
      <c r="CM163" s="9"/>
      <c r="CN163" s="9"/>
      <c r="CO163" s="9"/>
      <c r="CP163" s="9"/>
      <c r="CQ163" s="9"/>
      <c r="CR163" s="9"/>
      <c r="CS163" s="9"/>
      <c r="CT163" s="9"/>
      <c r="CU163" s="9"/>
      <c r="CV163" s="9"/>
      <c r="CW163" s="9"/>
      <c r="CX163" s="9"/>
      <c r="CY163" s="9"/>
      <c r="CZ163" s="9"/>
      <c r="DA163" s="9"/>
      <c r="DB163" s="9"/>
      <c r="DC163" s="9"/>
      <c r="DD163" s="9"/>
      <c r="DE163" s="9"/>
      <c r="DF163" s="9"/>
      <c r="DG163" s="9"/>
      <c r="DH163" s="9"/>
      <c r="DI163" s="9"/>
      <c r="DJ163" s="9"/>
      <c r="DK163" s="9"/>
      <c r="DL163" s="9"/>
      <c r="DM163" s="9"/>
      <c r="DN163" s="9"/>
    </row>
    <row r="164" spans="1:118" ht="9" customHeight="1" collapsed="1" x14ac:dyDescent="0.25">
      <c r="C164" s="44"/>
      <c r="D164" s="207"/>
      <c r="E164" s="68"/>
      <c r="F164" s="69"/>
      <c r="G164" s="70"/>
      <c r="H164" s="71"/>
      <c r="I164" s="72"/>
      <c r="J164" s="72"/>
      <c r="K164" s="73"/>
      <c r="L164" s="74"/>
      <c r="M164" s="74"/>
      <c r="N164" s="75"/>
      <c r="O164" s="76"/>
      <c r="P164" s="77"/>
      <c r="Q164" s="74"/>
      <c r="R164" s="75"/>
      <c r="S164" s="76"/>
      <c r="T164" s="77"/>
      <c r="U164" s="74"/>
      <c r="V164" s="75"/>
      <c r="W164" s="76"/>
      <c r="X164" s="65"/>
      <c r="Y164" s="31"/>
      <c r="Z164" s="78"/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  <c r="BL164" s="9"/>
      <c r="BM164" s="9"/>
      <c r="BN164" s="9"/>
      <c r="BO164" s="9"/>
      <c r="BP164" s="9"/>
      <c r="BQ164" s="9"/>
      <c r="BR164" s="9"/>
      <c r="BS164" s="9"/>
      <c r="BT164" s="9"/>
      <c r="BU164" s="9"/>
      <c r="BV164" s="9"/>
      <c r="BW164" s="9"/>
      <c r="BX164" s="9"/>
      <c r="BY164" s="9"/>
      <c r="BZ164" s="9"/>
      <c r="CA164" s="9"/>
      <c r="CB164" s="9"/>
      <c r="CC164" s="9"/>
      <c r="CD164" s="9"/>
      <c r="CE164" s="9"/>
      <c r="CF164" s="9"/>
      <c r="CG164" s="9"/>
      <c r="CH164" s="9"/>
      <c r="CI164" s="9"/>
      <c r="CJ164" s="9"/>
      <c r="CK164" s="9"/>
      <c r="CL164" s="9"/>
      <c r="CM164" s="9"/>
      <c r="CN164" s="9"/>
      <c r="CO164" s="9"/>
      <c r="CP164" s="9"/>
      <c r="CQ164" s="9"/>
      <c r="CR164" s="9"/>
      <c r="CS164" s="9"/>
      <c r="CT164" s="9"/>
      <c r="CU164" s="9"/>
      <c r="CV164" s="9"/>
      <c r="CW164" s="9"/>
      <c r="CX164" s="9"/>
      <c r="CY164" s="9"/>
      <c r="CZ164" s="9"/>
      <c r="DA164" s="9"/>
      <c r="DB164" s="9"/>
      <c r="DC164" s="9"/>
      <c r="DD164" s="9"/>
      <c r="DE164" s="9"/>
      <c r="DF164" s="9"/>
      <c r="DG164" s="9"/>
      <c r="DH164" s="9"/>
      <c r="DI164" s="9"/>
      <c r="DJ164" s="9"/>
      <c r="DK164" s="9"/>
      <c r="DL164" s="9"/>
      <c r="DM164" s="9"/>
      <c r="DN164" s="9"/>
    </row>
    <row r="165" spans="1:118" s="139" customFormat="1" ht="22.5" customHeight="1" x14ac:dyDescent="0.25">
      <c r="B165" s="140"/>
      <c r="C165" s="44"/>
      <c r="D165" s="208" t="s">
        <v>85</v>
      </c>
      <c r="E165" s="141"/>
      <c r="F165" s="142"/>
      <c r="G165" s="235" t="str">
        <f ca="1">_xll.DBRA(Server&amp;$D$20,$D165,"French")</f>
        <v>RESULTAT exceptionnel</v>
      </c>
      <c r="H165" s="236"/>
      <c r="I165" s="236"/>
      <c r="J165" s="237"/>
      <c r="K165" s="143"/>
      <c r="L165" s="145">
        <f ca="1">_xll.DBRW(Server&amp;Cube1,$J$12,$L$13,$J$14,$L$1,$J$11,$J$15,$D165)</f>
        <v>0</v>
      </c>
      <c r="M165" s="145">
        <f ca="1">_xll.DBRW(Server&amp;Cube1,$J$12,$L$13,$J$14,$M$1,$J$11,$J$15,$D165)</f>
        <v>0</v>
      </c>
      <c r="N165" s="146">
        <f ca="1">L165-M165</f>
        <v>0</v>
      </c>
      <c r="O165" s="161" t="str">
        <f ca="1">IF(ISERROR(N165/M165),"-",N165/M165)</f>
        <v>-</v>
      </c>
      <c r="P165" s="132"/>
      <c r="Q165" s="145">
        <f ca="1">_xll.DBRW(Server&amp;Cube1,$J$12,$L$13,$J$14,$Q$1,$J$11,$J$15,$D165)</f>
        <v>0</v>
      </c>
      <c r="R165" s="146">
        <f t="shared" ref="R165" ca="1" si="287">L165-Q165</f>
        <v>0</v>
      </c>
      <c r="S165" s="161" t="str">
        <f t="shared" ref="S165" ca="1" si="288">IF(ISERROR(R165/Q165),"-",R165/Q165)</f>
        <v>-</v>
      </c>
      <c r="T165" s="132"/>
      <c r="U165" s="144">
        <f ca="1">_xll.DBRW(Server&amp;Cube1,$J$12,$L$13,$J$14,$U$1,$U$2,$J$15,$D165)</f>
        <v>0</v>
      </c>
      <c r="V165" s="146">
        <f ca="1">L165-U165</f>
        <v>0</v>
      </c>
      <c r="W165" s="161" t="str">
        <f ca="1">IF(ISERROR(V165/U165),"-",V165/U165)</f>
        <v>-</v>
      </c>
      <c r="X165" s="155"/>
      <c r="Y165" s="148"/>
      <c r="Z165" s="149"/>
      <c r="AA165" s="149"/>
      <c r="AB165" s="149"/>
      <c r="AC165" s="149"/>
      <c r="AD165" s="149"/>
      <c r="AE165" s="149"/>
      <c r="AF165" s="149"/>
      <c r="AG165" s="149"/>
      <c r="AH165" s="149"/>
      <c r="AI165" s="149"/>
      <c r="AJ165" s="149"/>
      <c r="AK165" s="149"/>
      <c r="AL165" s="149"/>
      <c r="AM165" s="149"/>
      <c r="AN165" s="149"/>
      <c r="AO165" s="149"/>
      <c r="AP165" s="149"/>
      <c r="AQ165" s="149"/>
      <c r="AR165" s="149"/>
      <c r="AS165" s="149"/>
      <c r="AT165" s="149"/>
      <c r="AU165" s="149"/>
      <c r="AV165" s="149"/>
      <c r="AW165" s="149"/>
      <c r="AX165" s="149"/>
      <c r="AY165" s="149"/>
      <c r="AZ165" s="149"/>
      <c r="BA165" s="149"/>
      <c r="BB165" s="149"/>
      <c r="BC165" s="149"/>
      <c r="BD165" s="149"/>
      <c r="BE165" s="149"/>
      <c r="BF165" s="149"/>
      <c r="BG165" s="149"/>
      <c r="BH165" s="149"/>
      <c r="BI165" s="149"/>
      <c r="BJ165" s="149"/>
      <c r="BK165" s="149"/>
      <c r="BL165" s="149"/>
      <c r="BM165" s="149"/>
      <c r="BN165" s="149"/>
      <c r="BO165" s="149"/>
      <c r="BP165" s="149"/>
      <c r="BQ165" s="149"/>
      <c r="BR165" s="149"/>
      <c r="BS165" s="149"/>
      <c r="BT165" s="149"/>
      <c r="BU165" s="149"/>
      <c r="BV165" s="149"/>
      <c r="BW165" s="149"/>
      <c r="BX165" s="149"/>
      <c r="BY165" s="149"/>
      <c r="BZ165" s="149"/>
      <c r="CA165" s="149"/>
      <c r="CB165" s="149"/>
      <c r="CC165" s="149"/>
      <c r="CD165" s="149"/>
      <c r="CE165" s="149"/>
      <c r="CF165" s="149"/>
      <c r="CG165" s="149"/>
      <c r="CH165" s="149"/>
      <c r="CI165" s="149"/>
      <c r="CJ165" s="149"/>
      <c r="CK165" s="149"/>
      <c r="CL165" s="149"/>
      <c r="CM165" s="149"/>
      <c r="CN165" s="149"/>
      <c r="CO165" s="149"/>
      <c r="CP165" s="149"/>
      <c r="CQ165" s="149"/>
      <c r="CR165" s="149"/>
      <c r="CS165" s="149"/>
      <c r="CT165" s="149"/>
      <c r="CU165" s="149"/>
      <c r="CV165" s="149"/>
      <c r="CW165" s="149"/>
      <c r="CX165" s="149"/>
      <c r="CY165" s="149"/>
      <c r="CZ165" s="149"/>
      <c r="DA165" s="149"/>
      <c r="DB165" s="149"/>
      <c r="DC165" s="149"/>
      <c r="DD165" s="149"/>
      <c r="DE165" s="149"/>
      <c r="DF165" s="149"/>
      <c r="DG165" s="149"/>
      <c r="DH165" s="149"/>
      <c r="DI165" s="149"/>
      <c r="DJ165" s="149"/>
      <c r="DK165" s="149"/>
      <c r="DL165" s="149"/>
      <c r="DM165" s="149"/>
      <c r="DN165" s="149"/>
    </row>
    <row r="166" spans="1:118" ht="8.25" customHeight="1" x14ac:dyDescent="0.25">
      <c r="C166" s="44"/>
      <c r="D166" s="206"/>
      <c r="E166" s="62"/>
      <c r="F166" s="63"/>
      <c r="G166" s="82"/>
      <c r="H166" s="82"/>
      <c r="I166" s="64"/>
      <c r="J166" s="64"/>
      <c r="K166" s="64"/>
      <c r="L166" s="83"/>
      <c r="M166" s="83"/>
      <c r="N166" s="83"/>
      <c r="O166" s="84"/>
      <c r="P166" s="83"/>
      <c r="Q166" s="83"/>
      <c r="R166" s="83"/>
      <c r="S166" s="84"/>
      <c r="T166" s="83"/>
      <c r="U166" s="83"/>
      <c r="V166" s="83"/>
      <c r="W166" s="130"/>
      <c r="X166" s="131"/>
      <c r="Y166" s="31"/>
      <c r="Z166" s="9"/>
      <c r="AA166" s="85"/>
      <c r="AB166" s="85"/>
      <c r="AC166" s="85"/>
      <c r="AD166" s="85"/>
      <c r="AE166" s="85"/>
      <c r="AF166" s="85"/>
      <c r="AG166" s="85"/>
      <c r="AH166" s="85"/>
      <c r="AI166" s="85"/>
      <c r="AJ166" s="85"/>
      <c r="AK166" s="85"/>
      <c r="AL166" s="85"/>
      <c r="AM166" s="85"/>
      <c r="AN166" s="85"/>
      <c r="AO166" s="85"/>
      <c r="AP166" s="85"/>
      <c r="AQ166" s="85"/>
      <c r="AR166" s="85"/>
      <c r="AS166" s="85"/>
      <c r="AT166" s="85"/>
      <c r="AU166" s="85"/>
      <c r="AV166" s="85"/>
      <c r="AW166" s="85"/>
      <c r="AX166" s="85"/>
      <c r="AY166" s="85"/>
      <c r="AZ166" s="85"/>
      <c r="BA166" s="85"/>
      <c r="BB166" s="85"/>
      <c r="BC166" s="85"/>
      <c r="BD166" s="85"/>
      <c r="BE166" s="85"/>
      <c r="BF166" s="85"/>
      <c r="BG166" s="85"/>
      <c r="BH166" s="85"/>
      <c r="BI166" s="85"/>
      <c r="BJ166" s="85"/>
      <c r="BK166" s="85"/>
      <c r="BL166" s="85"/>
      <c r="BM166" s="85"/>
      <c r="BN166" s="85"/>
      <c r="BO166" s="85"/>
      <c r="BP166" s="85"/>
      <c r="BQ166" s="85"/>
      <c r="BR166" s="85"/>
      <c r="BS166" s="85"/>
      <c r="BT166" s="85"/>
      <c r="BU166" s="85"/>
      <c r="BV166" s="85"/>
      <c r="BW166" s="85"/>
      <c r="BX166" s="85"/>
      <c r="BY166" s="85"/>
      <c r="BZ166" s="85"/>
      <c r="CA166" s="85"/>
      <c r="CB166" s="85"/>
      <c r="CC166" s="85"/>
      <c r="CD166" s="85"/>
      <c r="CE166" s="85"/>
      <c r="CF166" s="85"/>
      <c r="CG166" s="85"/>
      <c r="CH166" s="85"/>
      <c r="CI166" s="85"/>
      <c r="CJ166" s="85"/>
      <c r="CK166" s="85"/>
      <c r="CL166" s="85"/>
      <c r="CM166" s="85"/>
      <c r="CN166" s="85"/>
      <c r="CO166" s="85"/>
      <c r="CP166" s="85"/>
      <c r="CQ166" s="85"/>
      <c r="CR166" s="85"/>
      <c r="CS166" s="85"/>
      <c r="CT166" s="85"/>
      <c r="CU166" s="85"/>
      <c r="CV166" s="85"/>
      <c r="CW166" s="85"/>
      <c r="CX166" s="85"/>
      <c r="CY166" s="85"/>
      <c r="CZ166" s="85"/>
      <c r="DA166" s="85"/>
      <c r="DB166" s="85"/>
      <c r="DC166" s="85"/>
      <c r="DD166" s="85"/>
      <c r="DE166" s="85"/>
      <c r="DF166" s="85"/>
      <c r="DG166" s="85"/>
      <c r="DH166" s="85"/>
      <c r="DI166" s="85"/>
      <c r="DJ166" s="85"/>
      <c r="DK166" s="85"/>
      <c r="DL166" s="85"/>
      <c r="DM166" s="85"/>
      <c r="DN166" s="85"/>
    </row>
    <row r="167" spans="1:118" ht="8.25" customHeight="1" x14ac:dyDescent="0.25">
      <c r="C167" s="206"/>
      <c r="D167" s="206"/>
      <c r="E167" s="62"/>
      <c r="F167" s="63"/>
      <c r="G167" s="82"/>
      <c r="H167" s="82"/>
      <c r="I167" s="64"/>
      <c r="J167" s="64"/>
      <c r="K167" s="64"/>
      <c r="L167" s="83"/>
      <c r="M167" s="83"/>
      <c r="N167" s="83"/>
      <c r="O167" s="84"/>
      <c r="P167" s="83"/>
      <c r="Q167" s="83"/>
      <c r="R167" s="83"/>
      <c r="S167" s="84"/>
      <c r="T167" s="83"/>
      <c r="U167" s="83"/>
      <c r="V167" s="83"/>
      <c r="W167" s="84"/>
      <c r="X167" s="64"/>
      <c r="Y167" s="31"/>
      <c r="Z167" s="9"/>
      <c r="AA167" s="85"/>
      <c r="AB167" s="85"/>
      <c r="AC167" s="85"/>
      <c r="AD167" s="85"/>
      <c r="AE167" s="85"/>
      <c r="AF167" s="85"/>
      <c r="AG167" s="85"/>
      <c r="AH167" s="85"/>
      <c r="AI167" s="85"/>
      <c r="AJ167" s="85"/>
      <c r="AK167" s="85"/>
      <c r="AL167" s="85"/>
      <c r="AM167" s="85"/>
      <c r="AN167" s="85"/>
      <c r="AO167" s="85"/>
      <c r="AP167" s="85"/>
      <c r="AQ167" s="85"/>
      <c r="AR167" s="85"/>
      <c r="AS167" s="85"/>
      <c r="AT167" s="85"/>
      <c r="AU167" s="85"/>
      <c r="AV167" s="85"/>
      <c r="AW167" s="85"/>
      <c r="AX167" s="85"/>
      <c r="AY167" s="85"/>
      <c r="AZ167" s="85"/>
      <c r="BA167" s="85"/>
      <c r="BB167" s="85"/>
      <c r="BC167" s="85"/>
      <c r="BD167" s="85"/>
      <c r="BE167" s="85"/>
      <c r="BF167" s="85"/>
      <c r="BG167" s="85"/>
      <c r="BH167" s="85"/>
      <c r="BI167" s="85"/>
      <c r="BJ167" s="85"/>
      <c r="BK167" s="85"/>
      <c r="BL167" s="85"/>
      <c r="BM167" s="85"/>
      <c r="BN167" s="85"/>
      <c r="BO167" s="85"/>
      <c r="BP167" s="85"/>
      <c r="BQ167" s="85"/>
      <c r="BR167" s="85"/>
      <c r="BS167" s="85"/>
      <c r="BT167" s="85"/>
      <c r="BU167" s="85"/>
      <c r="BV167" s="85"/>
      <c r="BW167" s="85"/>
      <c r="BX167" s="85"/>
      <c r="BY167" s="85"/>
      <c r="BZ167" s="85"/>
      <c r="CA167" s="85"/>
      <c r="CB167" s="85"/>
      <c r="CC167" s="85"/>
      <c r="CD167" s="85"/>
      <c r="CE167" s="85"/>
      <c r="CF167" s="85"/>
      <c r="CG167" s="85"/>
      <c r="CH167" s="85"/>
      <c r="CI167" s="85"/>
      <c r="CJ167" s="85"/>
      <c r="CK167" s="85"/>
      <c r="CL167" s="85"/>
      <c r="CM167" s="85"/>
      <c r="CN167" s="85"/>
      <c r="CO167" s="85"/>
      <c r="CP167" s="85"/>
      <c r="CQ167" s="85"/>
      <c r="CR167" s="85"/>
      <c r="CS167" s="85"/>
      <c r="CT167" s="85"/>
      <c r="CU167" s="85"/>
      <c r="CV167" s="85"/>
      <c r="CW167" s="85"/>
      <c r="CX167" s="85"/>
      <c r="CY167" s="85"/>
      <c r="CZ167" s="85"/>
      <c r="DA167" s="85"/>
      <c r="DB167" s="85"/>
      <c r="DC167" s="85"/>
      <c r="DD167" s="85"/>
      <c r="DE167" s="85"/>
      <c r="DF167" s="85"/>
      <c r="DG167" s="85"/>
      <c r="DH167" s="85"/>
      <c r="DI167" s="85"/>
      <c r="DJ167" s="85"/>
      <c r="DK167" s="85"/>
      <c r="DL167" s="85"/>
      <c r="DM167" s="85"/>
      <c r="DN167" s="85"/>
    </row>
    <row r="168" spans="1:118" ht="8.25" customHeight="1" x14ac:dyDescent="0.25">
      <c r="C168" s="207"/>
      <c r="D168" s="206"/>
      <c r="E168" s="62"/>
      <c r="F168" s="63"/>
      <c r="G168" s="183"/>
      <c r="H168" s="184"/>
      <c r="I168" s="185"/>
      <c r="J168" s="185"/>
      <c r="K168" s="185"/>
      <c r="L168" s="186"/>
      <c r="M168" s="186"/>
      <c r="N168" s="186"/>
      <c r="O168" s="187"/>
      <c r="P168" s="186"/>
      <c r="Q168" s="186"/>
      <c r="R168" s="186"/>
      <c r="S168" s="187"/>
      <c r="T168" s="186"/>
      <c r="U168" s="186"/>
      <c r="V168" s="186"/>
      <c r="W168" s="187"/>
      <c r="X168" s="188"/>
      <c r="Y168" s="86"/>
      <c r="Z168" s="85"/>
      <c r="AA168" s="85"/>
      <c r="AB168" s="85"/>
      <c r="AC168" s="85"/>
      <c r="AD168" s="85"/>
      <c r="AE168" s="85"/>
      <c r="AF168" s="85"/>
      <c r="AG168" s="85"/>
      <c r="AH168" s="85"/>
      <c r="AI168" s="85"/>
      <c r="AJ168" s="85"/>
      <c r="AK168" s="85"/>
      <c r="AL168" s="85"/>
      <c r="AM168" s="85"/>
      <c r="AN168" s="85"/>
      <c r="AO168" s="85"/>
      <c r="AP168" s="85"/>
      <c r="AQ168" s="85"/>
      <c r="AR168" s="85"/>
      <c r="AS168" s="85"/>
      <c r="AT168" s="85"/>
      <c r="AU168" s="85"/>
      <c r="AV168" s="85"/>
      <c r="AW168" s="85"/>
      <c r="AX168" s="85"/>
      <c r="AY168" s="85"/>
      <c r="AZ168" s="85"/>
      <c r="BA168" s="85"/>
      <c r="BB168" s="85"/>
      <c r="BC168" s="85"/>
      <c r="BD168" s="85"/>
      <c r="BE168" s="85"/>
      <c r="BF168" s="85"/>
      <c r="BG168" s="85"/>
      <c r="BH168" s="85"/>
      <c r="BI168" s="85"/>
      <c r="BJ168" s="85"/>
      <c r="BK168" s="85"/>
      <c r="BL168" s="85"/>
      <c r="BM168" s="85"/>
      <c r="BN168" s="85"/>
      <c r="BO168" s="85"/>
      <c r="BP168" s="85"/>
      <c r="BQ168" s="85"/>
      <c r="BR168" s="85"/>
      <c r="BS168" s="85"/>
      <c r="BT168" s="85"/>
      <c r="BU168" s="85"/>
      <c r="BV168" s="85"/>
      <c r="BW168" s="85"/>
      <c r="BX168" s="85"/>
      <c r="BY168" s="85"/>
      <c r="BZ168" s="85"/>
      <c r="CA168" s="85"/>
      <c r="CB168" s="85"/>
      <c r="CC168" s="85"/>
      <c r="CD168" s="85"/>
      <c r="CE168" s="85"/>
      <c r="CF168" s="85"/>
      <c r="CG168" s="85"/>
      <c r="CH168" s="85"/>
      <c r="CI168" s="85"/>
      <c r="CJ168" s="85"/>
      <c r="CK168" s="85"/>
      <c r="CL168" s="85"/>
      <c r="CM168" s="85"/>
      <c r="CN168" s="85"/>
      <c r="CO168" s="85"/>
      <c r="CP168" s="85"/>
      <c r="CQ168" s="85"/>
      <c r="CR168" s="85"/>
      <c r="CS168" s="85"/>
      <c r="CT168" s="85"/>
      <c r="CU168" s="85"/>
      <c r="CV168" s="85"/>
      <c r="CW168" s="85"/>
      <c r="CX168" s="85"/>
      <c r="CY168" s="85"/>
      <c r="CZ168" s="85"/>
      <c r="DA168" s="85"/>
      <c r="DB168" s="85"/>
      <c r="DC168" s="85"/>
      <c r="DD168" s="85"/>
      <c r="DE168" s="85"/>
      <c r="DF168" s="85"/>
      <c r="DG168" s="85"/>
      <c r="DH168" s="85"/>
      <c r="DI168" s="85"/>
      <c r="DJ168" s="85"/>
      <c r="DK168" s="85"/>
      <c r="DL168" s="85"/>
      <c r="DM168" s="85"/>
      <c r="DN168" s="85"/>
    </row>
    <row r="169" spans="1:118" s="61" customFormat="1" ht="22.5" customHeight="1" x14ac:dyDescent="0.25">
      <c r="A169" s="222"/>
      <c r="B169" s="60"/>
      <c r="C169" s="206"/>
      <c r="D169" s="206" t="s">
        <v>86</v>
      </c>
      <c r="E169" s="79"/>
      <c r="F169" s="80"/>
      <c r="G169" s="199"/>
      <c r="H169" s="235" t="str">
        <f ca="1">_xll.DBRA(Server&amp;$D$20,$D169,"French")</f>
        <v>RESULTAT avant Impôts et Taxes</v>
      </c>
      <c r="I169" s="236"/>
      <c r="J169" s="237"/>
      <c r="K169" s="200"/>
      <c r="L169" s="144">
        <f ca="1">SUM(L144,L156,L165)</f>
        <v>55269.309999999801</v>
      </c>
      <c r="M169" s="144">
        <f ca="1">SUM(M144,M156,M165)</f>
        <v>-171407</v>
      </c>
      <c r="N169" s="144">
        <f ca="1">SUM(N144,N156,N165)</f>
        <v>226676.30999999988</v>
      </c>
      <c r="O169" s="161">
        <f ca="1">IF(ISERROR(N169/M169),"-",N169/M169)</f>
        <v>-1.3224448826477324</v>
      </c>
      <c r="P169" s="201"/>
      <c r="Q169" s="145">
        <f ca="1">_xll.DBRW(Server&amp;Cube1,$J$12,$L$13,$J$14,$Q$1,$J$11,$J$15,$D169)</f>
        <v>0</v>
      </c>
      <c r="R169" s="146">
        <f ca="1">L169-Q169</f>
        <v>55269.309999999801</v>
      </c>
      <c r="S169" s="161" t="str">
        <f t="shared" ref="S169" ca="1" si="289">IF(ISERROR(R169/Q169),"-",R169/Q169)</f>
        <v>-</v>
      </c>
      <c r="T169" s="172"/>
      <c r="U169" s="144">
        <f ca="1">SUM(U144,U156,U165)</f>
        <v>-355361.23999999906</v>
      </c>
      <c r="V169" s="146">
        <f ca="1">L169-U169</f>
        <v>410630.54999999888</v>
      </c>
      <c r="W169" s="161">
        <f ca="1">IF(ISERROR(V169/U169),"-",V169/U169)</f>
        <v>-1.1555299334277422</v>
      </c>
      <c r="X169" s="189"/>
      <c r="Y169" s="87"/>
      <c r="Z169" s="66"/>
      <c r="AA169" s="66"/>
      <c r="AB169" s="66"/>
      <c r="AC169" s="66"/>
      <c r="AD169" s="66"/>
      <c r="AE169" s="66"/>
      <c r="AF169" s="66"/>
      <c r="AG169" s="66"/>
      <c r="AH169" s="66"/>
      <c r="AI169" s="66"/>
      <c r="AJ169" s="66"/>
      <c r="AK169" s="66"/>
      <c r="AL169" s="66"/>
      <c r="AM169" s="66"/>
      <c r="AN169" s="66"/>
      <c r="AO169" s="66"/>
      <c r="AP169" s="66"/>
      <c r="AQ169" s="66"/>
      <c r="AR169" s="66"/>
      <c r="AS169" s="66"/>
      <c r="AT169" s="66"/>
      <c r="AU169" s="66"/>
      <c r="AV169" s="66"/>
      <c r="AW169" s="66"/>
      <c r="AX169" s="66"/>
      <c r="AY169" s="66"/>
      <c r="AZ169" s="66"/>
      <c r="BA169" s="66"/>
      <c r="BB169" s="66"/>
      <c r="BC169" s="66"/>
      <c r="BD169" s="66"/>
      <c r="BE169" s="66"/>
      <c r="BF169" s="66"/>
      <c r="BG169" s="66"/>
      <c r="BH169" s="66"/>
      <c r="BI169" s="66"/>
      <c r="BJ169" s="66"/>
      <c r="BK169" s="66"/>
      <c r="BL169" s="66"/>
      <c r="BM169" s="66"/>
      <c r="BN169" s="66"/>
      <c r="BO169" s="66"/>
      <c r="BP169" s="66"/>
      <c r="BQ169" s="66"/>
      <c r="BR169" s="66"/>
      <c r="BS169" s="66"/>
      <c r="BT169" s="66"/>
      <c r="BU169" s="66"/>
      <c r="BV169" s="66"/>
      <c r="BW169" s="66"/>
      <c r="BX169" s="66"/>
      <c r="BY169" s="66"/>
      <c r="BZ169" s="66"/>
      <c r="CA169" s="66"/>
      <c r="CB169" s="66"/>
      <c r="CC169" s="66"/>
      <c r="CD169" s="66"/>
      <c r="CE169" s="66"/>
      <c r="CF169" s="66"/>
      <c r="CG169" s="66"/>
      <c r="CH169" s="66"/>
      <c r="CI169" s="66"/>
      <c r="CJ169" s="66"/>
      <c r="CK169" s="66"/>
      <c r="CL169" s="66"/>
      <c r="CM169" s="66"/>
      <c r="CN169" s="66"/>
      <c r="CO169" s="66"/>
      <c r="CP169" s="66"/>
      <c r="CQ169" s="66"/>
      <c r="CR169" s="66"/>
      <c r="CS169" s="66"/>
      <c r="CT169" s="66"/>
      <c r="CU169" s="66"/>
      <c r="CV169" s="66"/>
      <c r="CW169" s="66"/>
      <c r="CX169" s="66"/>
      <c r="CY169" s="66"/>
      <c r="CZ169" s="66"/>
      <c r="DA169" s="66"/>
      <c r="DB169" s="66"/>
      <c r="DC169" s="66"/>
      <c r="DD169" s="66"/>
      <c r="DE169" s="66"/>
      <c r="DF169" s="66"/>
      <c r="DG169" s="66"/>
      <c r="DH169" s="66"/>
      <c r="DI169" s="66"/>
      <c r="DJ169" s="66"/>
      <c r="DK169" s="66"/>
      <c r="DL169" s="66"/>
      <c r="DM169" s="66"/>
      <c r="DN169" s="66"/>
    </row>
    <row r="170" spans="1:118" s="94" customFormat="1" ht="22.5" customHeight="1" collapsed="1" x14ac:dyDescent="0.2">
      <c r="A170" s="88"/>
      <c r="B170" s="89"/>
      <c r="C170" s="206"/>
      <c r="D170" s="209" t="s">
        <v>30</v>
      </c>
      <c r="E170" s="90"/>
      <c r="F170" s="91"/>
      <c r="G170" s="191"/>
      <c r="H170" s="90"/>
      <c r="I170" s="90"/>
      <c r="J170" s="192" t="s">
        <v>98</v>
      </c>
      <c r="K170" s="193"/>
      <c r="L170" s="194">
        <f ca="1">IF(ISERROR(L169/L41),"-",L169/L41)</f>
        <v>1.2989764203598979E-2</v>
      </c>
      <c r="M170" s="194">
        <f ca="1">IF(ISERROR(M169/M41),"-",M169/M41)</f>
        <v>-5.2734417062363745E-2</v>
      </c>
      <c r="N170" s="249">
        <f ca="1">IF(ISERROR((L170-M170)*100),"-",(L170-M170)*100)</f>
        <v>6.572418126596272</v>
      </c>
      <c r="O170" s="249"/>
      <c r="P170" s="195"/>
      <c r="Q170" s="194" t="str">
        <f ca="1">IF(ISERROR(Q169/Q141),"-",Q169/Q141)</f>
        <v>-</v>
      </c>
      <c r="R170" s="249" t="str">
        <f ca="1">IF(ISERROR((P170-Q170)*100),"-",(P170-Q170)*100)</f>
        <v>-</v>
      </c>
      <c r="S170" s="249"/>
      <c r="T170" s="195"/>
      <c r="U170" s="194">
        <f ca="1">IF(ISERROR(U169/U41),"-",U169/U41)</f>
        <v>-0.10809885632685133</v>
      </c>
      <c r="V170" s="254">
        <f ca="1">IF(ISERROR((L170-U170)*100),"-",(L170-U170)*100)</f>
        <v>12.10886205304503</v>
      </c>
      <c r="W170" s="254"/>
      <c r="X170" s="190"/>
      <c r="Y170" s="92"/>
      <c r="Z170" s="93"/>
      <c r="AA170" s="93"/>
      <c r="AB170" s="93"/>
      <c r="AC170" s="93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AN170" s="93"/>
      <c r="AO170" s="93"/>
      <c r="AP170" s="93"/>
      <c r="AQ170" s="93"/>
      <c r="AR170" s="93"/>
      <c r="AS170" s="93"/>
      <c r="AT170" s="93"/>
      <c r="AU170" s="93"/>
      <c r="AV170" s="93"/>
      <c r="AW170" s="93"/>
      <c r="AX170" s="93"/>
      <c r="AY170" s="93"/>
      <c r="AZ170" s="93"/>
      <c r="BA170" s="93"/>
      <c r="BB170" s="93"/>
      <c r="BC170" s="93"/>
      <c r="BD170" s="93"/>
      <c r="BE170" s="93"/>
      <c r="BF170" s="93"/>
      <c r="BG170" s="93"/>
      <c r="BH170" s="93"/>
      <c r="BI170" s="93"/>
      <c r="BJ170" s="93"/>
      <c r="BK170" s="93"/>
      <c r="BL170" s="93"/>
      <c r="BM170" s="93"/>
      <c r="BN170" s="93"/>
      <c r="BO170" s="93"/>
      <c r="BP170" s="93"/>
      <c r="BQ170" s="93"/>
      <c r="BR170" s="93"/>
      <c r="BS170" s="93"/>
      <c r="BT170" s="93"/>
      <c r="BU170" s="93"/>
      <c r="BV170" s="93"/>
      <c r="BW170" s="93"/>
      <c r="BX170" s="93"/>
      <c r="BY170" s="93"/>
      <c r="BZ170" s="93"/>
      <c r="CA170" s="93"/>
      <c r="CB170" s="93"/>
      <c r="CC170" s="93"/>
      <c r="CD170" s="93"/>
      <c r="CE170" s="93"/>
      <c r="CF170" s="93"/>
      <c r="CG170" s="93"/>
      <c r="CH170" s="93"/>
      <c r="CI170" s="93"/>
      <c r="CJ170" s="93"/>
      <c r="CK170" s="93"/>
      <c r="CL170" s="93"/>
      <c r="CM170" s="93"/>
      <c r="CN170" s="93"/>
      <c r="CO170" s="93"/>
      <c r="CP170" s="93"/>
      <c r="CQ170" s="93"/>
      <c r="CR170" s="93"/>
      <c r="CS170" s="93"/>
      <c r="CT170" s="93"/>
      <c r="CU170" s="93"/>
      <c r="CV170" s="93"/>
      <c r="CW170" s="93"/>
      <c r="CX170" s="93"/>
      <c r="CY170" s="93"/>
      <c r="CZ170" s="93"/>
      <c r="DA170" s="93"/>
      <c r="DB170" s="93"/>
      <c r="DC170" s="93"/>
      <c r="DD170" s="93"/>
      <c r="DE170" s="93"/>
      <c r="DF170" s="93"/>
      <c r="DG170" s="93"/>
      <c r="DH170" s="93"/>
      <c r="DI170" s="93"/>
      <c r="DJ170" s="93"/>
      <c r="DK170" s="93"/>
      <c r="DL170" s="93"/>
      <c r="DM170" s="93"/>
      <c r="DN170" s="93"/>
    </row>
    <row r="171" spans="1:118" s="37" customFormat="1" ht="5.25" customHeight="1" x14ac:dyDescent="0.25">
      <c r="A171" s="10"/>
      <c r="B171" s="1"/>
      <c r="C171" s="206"/>
      <c r="D171" s="207"/>
      <c r="E171" s="68"/>
      <c r="F171" s="69"/>
      <c r="G171" s="196"/>
      <c r="H171" s="197"/>
      <c r="I171" s="197"/>
      <c r="J171" s="197"/>
      <c r="K171" s="197"/>
      <c r="L171" s="197"/>
      <c r="M171" s="197"/>
      <c r="N171" s="197"/>
      <c r="O171" s="197"/>
      <c r="P171" s="197"/>
      <c r="Q171" s="197"/>
      <c r="R171" s="197"/>
      <c r="S171" s="197"/>
      <c r="T171" s="197"/>
      <c r="U171" s="197"/>
      <c r="V171" s="197"/>
      <c r="W171" s="197"/>
      <c r="X171" s="198"/>
      <c r="Y171" s="31"/>
      <c r="Z171" s="9"/>
      <c r="AA171" s="9"/>
      <c r="AB171" s="9"/>
      <c r="AC171" s="9"/>
      <c r="AD171" s="9"/>
      <c r="AE171" s="9"/>
      <c r="AF171" s="9"/>
      <c r="AG171" s="9"/>
      <c r="AH171" s="9"/>
      <c r="AI171" s="9"/>
      <c r="AJ171" s="9"/>
      <c r="AK171" s="9"/>
      <c r="AL171" s="9"/>
      <c r="AM171" s="9"/>
      <c r="AN171" s="9"/>
      <c r="AO171" s="9"/>
      <c r="AP171" s="9"/>
      <c r="AQ171" s="9"/>
      <c r="AR171" s="9"/>
      <c r="AS171" s="9"/>
      <c r="AT171" s="9"/>
      <c r="AU171" s="9"/>
      <c r="AV171" s="9"/>
      <c r="AW171" s="9"/>
      <c r="AX171" s="9"/>
      <c r="AY171" s="9"/>
      <c r="AZ171" s="9"/>
      <c r="BA171" s="9"/>
      <c r="BB171" s="9"/>
      <c r="BC171" s="9"/>
      <c r="BD171" s="9"/>
      <c r="BE171" s="9"/>
      <c r="BF171" s="9"/>
      <c r="BG171" s="9"/>
      <c r="BH171" s="9"/>
      <c r="BI171" s="9"/>
      <c r="BJ171" s="9"/>
      <c r="BK171" s="9"/>
      <c r="BL171" s="9"/>
      <c r="BM171" s="9"/>
      <c r="BN171" s="9"/>
      <c r="BO171" s="9"/>
      <c r="BP171" s="9"/>
      <c r="BQ171" s="9"/>
      <c r="BR171" s="9"/>
      <c r="BS171" s="9"/>
      <c r="BT171" s="9"/>
      <c r="BU171" s="9"/>
      <c r="BV171" s="9"/>
      <c r="BW171" s="9"/>
      <c r="BX171" s="9"/>
      <c r="BY171" s="9"/>
      <c r="BZ171" s="9"/>
      <c r="CA171" s="9"/>
      <c r="CB171" s="9"/>
      <c r="CC171" s="9"/>
      <c r="CD171" s="9"/>
      <c r="CE171" s="9"/>
      <c r="CF171" s="9"/>
      <c r="CG171" s="9"/>
      <c r="CH171" s="9"/>
      <c r="CI171" s="9"/>
      <c r="CJ171" s="9"/>
      <c r="CK171" s="9"/>
      <c r="CL171" s="9"/>
      <c r="CM171" s="9"/>
      <c r="CN171" s="9"/>
      <c r="CO171" s="9"/>
      <c r="CP171" s="9"/>
      <c r="CQ171" s="9"/>
      <c r="CR171" s="9"/>
      <c r="CS171" s="9"/>
      <c r="CT171" s="9"/>
      <c r="CU171" s="9"/>
      <c r="CV171" s="9"/>
      <c r="CW171" s="9"/>
      <c r="CX171" s="9"/>
      <c r="CY171" s="9"/>
      <c r="CZ171" s="9"/>
      <c r="DA171" s="9"/>
      <c r="DB171" s="9"/>
      <c r="DC171" s="9"/>
      <c r="DD171" s="9"/>
      <c r="DE171" s="9"/>
      <c r="DF171" s="9"/>
      <c r="DG171" s="9"/>
      <c r="DH171" s="9"/>
      <c r="DI171" s="9"/>
      <c r="DJ171" s="9"/>
      <c r="DK171" s="9"/>
      <c r="DL171" s="9"/>
      <c r="DM171" s="9"/>
      <c r="DN171" s="9"/>
    </row>
    <row r="172" spans="1:118" s="37" customFormat="1" ht="15" customHeight="1" thickBot="1" x14ac:dyDescent="0.3">
      <c r="A172" s="10"/>
      <c r="B172" s="1"/>
      <c r="C172" s="44"/>
      <c r="D172" s="207"/>
      <c r="E172" s="68"/>
      <c r="F172" s="69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31"/>
      <c r="Z172" s="9"/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9"/>
      <c r="AL172" s="9"/>
      <c r="AM172" s="9"/>
      <c r="AN172" s="9"/>
      <c r="AO172" s="9"/>
      <c r="AP172" s="9"/>
      <c r="AQ172" s="9"/>
      <c r="AR172" s="9"/>
      <c r="AS172" s="9"/>
      <c r="AT172" s="9"/>
      <c r="AU172" s="9"/>
      <c r="AV172" s="9"/>
      <c r="AW172" s="9"/>
      <c r="AX172" s="9"/>
      <c r="AY172" s="9"/>
      <c r="AZ172" s="9"/>
      <c r="BA172" s="9"/>
      <c r="BB172" s="9"/>
      <c r="BC172" s="9"/>
      <c r="BD172" s="9"/>
      <c r="BE172" s="9"/>
      <c r="BF172" s="9"/>
      <c r="BG172" s="9"/>
      <c r="BH172" s="9"/>
      <c r="BI172" s="9"/>
      <c r="BJ172" s="9"/>
      <c r="BK172" s="9"/>
      <c r="BL172" s="9"/>
      <c r="BM172" s="9"/>
      <c r="BN172" s="9"/>
      <c r="BO172" s="9"/>
      <c r="BP172" s="9"/>
      <c r="BQ172" s="9"/>
      <c r="BR172" s="9"/>
      <c r="BS172" s="9"/>
      <c r="BT172" s="9"/>
      <c r="BU172" s="9"/>
      <c r="BV172" s="9"/>
      <c r="BW172" s="9"/>
      <c r="BX172" s="9"/>
      <c r="BY172" s="9"/>
      <c r="BZ172" s="9"/>
      <c r="CA172" s="9"/>
      <c r="CB172" s="9"/>
      <c r="CC172" s="9"/>
      <c r="CD172" s="9"/>
      <c r="CE172" s="9"/>
      <c r="CF172" s="9"/>
      <c r="CG172" s="9"/>
      <c r="CH172" s="9"/>
      <c r="CI172" s="9"/>
      <c r="CJ172" s="9"/>
      <c r="CK172" s="9"/>
      <c r="CL172" s="9"/>
      <c r="CM172" s="9"/>
      <c r="CN172" s="9"/>
      <c r="CO172" s="9"/>
      <c r="CP172" s="9"/>
      <c r="CQ172" s="9"/>
      <c r="CR172" s="9"/>
      <c r="CS172" s="9"/>
      <c r="CT172" s="9"/>
      <c r="CU172" s="9"/>
      <c r="CV172" s="9"/>
      <c r="CW172" s="9"/>
      <c r="CX172" s="9"/>
      <c r="CY172" s="9"/>
      <c r="CZ172" s="9"/>
      <c r="DA172" s="9"/>
      <c r="DB172" s="9"/>
      <c r="DC172" s="9"/>
      <c r="DD172" s="9"/>
      <c r="DE172" s="9"/>
      <c r="DF172" s="9"/>
      <c r="DG172" s="9"/>
      <c r="DH172" s="9"/>
      <c r="DI172" s="9"/>
      <c r="DJ172" s="9"/>
      <c r="DK172" s="9"/>
      <c r="DL172" s="9"/>
      <c r="DM172" s="9"/>
      <c r="DN172" s="9"/>
    </row>
    <row r="173" spans="1:118" s="37" customFormat="1" ht="23.25" customHeight="1" thickTop="1" x14ac:dyDescent="0.25">
      <c r="A173" s="10"/>
      <c r="B173" s="1"/>
      <c r="C173" s="44"/>
      <c r="D173" s="206" t="s">
        <v>87</v>
      </c>
      <c r="E173" s="68"/>
      <c r="F173" s="69"/>
      <c r="G173" s="234" t="str">
        <f ca="1">_xll.DBRA(Server&amp;$D$20,$D173,"French")</f>
        <v>Impôts et Taxes</v>
      </c>
      <c r="H173" s="234" t="str">
        <f ca="1">_xll.DBRA(Server&amp;$D$20,$D173,"French")</f>
        <v>Impôts et Taxes</v>
      </c>
      <c r="I173" s="234"/>
      <c r="J173" s="234"/>
      <c r="K173" s="154" t="s">
        <v>3</v>
      </c>
      <c r="L173" s="165">
        <f ca="1">_xll.DBRW(Server&amp;Cube1,$J$12,$L$13,$J$14,$L$1,$J$11,$J$15,$D173)</f>
        <v>-22508.45</v>
      </c>
      <c r="M173" s="165">
        <f ca="1">_xll.DBRW(Server&amp;Cube1,$J$12,$L$13,$J$14,$M$1,$J$11,$J$15,$D173)</f>
        <v>-13666.000000000002</v>
      </c>
      <c r="N173" s="166">
        <f t="shared" ref="N173:N176" ca="1" si="290">L173-M173</f>
        <v>-8842.4499999999989</v>
      </c>
      <c r="O173" s="167">
        <f t="shared" ref="O173:O176" ca="1" si="291">IF(ISERROR(N173/M173),"-",N173/M173)</f>
        <v>0.64704009951704944</v>
      </c>
      <c r="P173" s="132"/>
      <c r="Q173" s="165">
        <f ca="1">_xll.DBRW(Server&amp;Cube1,$J$12,$L$13,$J$14,$Q$1,$J$11,$J$15,$D173)</f>
        <v>0</v>
      </c>
      <c r="R173" s="166">
        <f t="shared" ref="R173:R176" ca="1" si="292">L173-Q173</f>
        <v>-22508.45</v>
      </c>
      <c r="S173" s="167" t="str">
        <f t="shared" ref="S173:S176" ca="1" si="293">IF(ISERROR(R173/Q173),"-",R173/Q173)</f>
        <v>-</v>
      </c>
      <c r="T173" s="132"/>
      <c r="U173" s="165">
        <f ca="1">_xll.DBRW(Server&amp;Cube1,$J$12,$L$13,$J$14,$U$1,$U$2,$J$15,$D173)</f>
        <v>-12456.259999999998</v>
      </c>
      <c r="V173" s="166">
        <f t="shared" ref="V173:V176" ca="1" si="294">L173-U173</f>
        <v>-10052.190000000002</v>
      </c>
      <c r="W173" s="167">
        <f t="shared" ref="W173:W176" ca="1" si="295">IF(ISERROR(V173/U173),"-",V173/U173)</f>
        <v>0.80699905107953784</v>
      </c>
      <c r="X173" s="64"/>
      <c r="Y173" s="31"/>
      <c r="Z173" s="9"/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9"/>
      <c r="AL173" s="9"/>
      <c r="AM173" s="9"/>
      <c r="AN173" s="9"/>
      <c r="AO173" s="9"/>
      <c r="AP173" s="9"/>
      <c r="AQ173" s="9"/>
      <c r="AR173" s="9"/>
      <c r="AS173" s="9"/>
      <c r="AT173" s="9"/>
      <c r="AU173" s="9"/>
      <c r="AV173" s="9"/>
      <c r="AW173" s="9"/>
      <c r="AX173" s="9"/>
      <c r="AY173" s="9"/>
      <c r="AZ173" s="9"/>
      <c r="BA173" s="9"/>
      <c r="BB173" s="9"/>
      <c r="BC173" s="9"/>
      <c r="BD173" s="9"/>
      <c r="BE173" s="9"/>
      <c r="BF173" s="9"/>
      <c r="BG173" s="9"/>
      <c r="BH173" s="9"/>
      <c r="BI173" s="9"/>
      <c r="BJ173" s="9"/>
      <c r="BK173" s="9"/>
      <c r="BL173" s="9"/>
      <c r="BM173" s="9"/>
      <c r="BN173" s="9"/>
      <c r="BO173" s="9"/>
      <c r="BP173" s="9"/>
      <c r="BQ173" s="9"/>
      <c r="BR173" s="9"/>
      <c r="BS173" s="9"/>
      <c r="BT173" s="9"/>
      <c r="BU173" s="9"/>
      <c r="BV173" s="9"/>
      <c r="BW173" s="9"/>
      <c r="BX173" s="9"/>
      <c r="BY173" s="9"/>
      <c r="BZ173" s="9"/>
      <c r="CA173" s="9"/>
      <c r="CB173" s="9"/>
      <c r="CC173" s="9"/>
      <c r="CD173" s="9"/>
      <c r="CE173" s="9"/>
      <c r="CF173" s="9"/>
      <c r="CG173" s="9"/>
      <c r="CH173" s="9"/>
      <c r="CI173" s="9"/>
      <c r="CJ173" s="9"/>
      <c r="CK173" s="9"/>
      <c r="CL173" s="9"/>
      <c r="CM173" s="9"/>
      <c r="CN173" s="9"/>
      <c r="CO173" s="9"/>
      <c r="CP173" s="9"/>
      <c r="CQ173" s="9"/>
      <c r="CR173" s="9"/>
      <c r="CS173" s="9"/>
      <c r="CT173" s="9"/>
      <c r="CU173" s="9"/>
      <c r="CV173" s="9"/>
      <c r="CW173" s="9"/>
      <c r="CX173" s="9"/>
      <c r="CY173" s="9"/>
      <c r="CZ173" s="9"/>
      <c r="DA173" s="9"/>
      <c r="DB173" s="9"/>
      <c r="DC173" s="9"/>
      <c r="DD173" s="9"/>
      <c r="DE173" s="9"/>
      <c r="DF173" s="9"/>
      <c r="DG173" s="9"/>
      <c r="DH173" s="9"/>
      <c r="DI173" s="9"/>
      <c r="DJ173" s="9"/>
      <c r="DK173" s="9"/>
      <c r="DL173" s="9"/>
      <c r="DM173" s="9"/>
      <c r="DN173" s="9"/>
    </row>
    <row r="174" spans="1:118" ht="20.25" hidden="1" customHeight="1" outlineLevel="1" x14ac:dyDescent="0.25">
      <c r="B174" s="60"/>
      <c r="C174" s="44"/>
      <c r="D174" s="203" t="s">
        <v>88</v>
      </c>
      <c r="E174" s="62"/>
      <c r="F174" s="63"/>
      <c r="G174" s="41"/>
      <c r="H174" s="232" t="str">
        <f ca="1">_xll.DBRA(Server&amp;$D$20,$D174,"French")</f>
        <v>CVAE</v>
      </c>
      <c r="I174" s="232"/>
      <c r="J174" s="232"/>
      <c r="K174" s="150"/>
      <c r="L174" s="151">
        <f ca="1">_xll.DBRW(Server&amp;Cube1,$J$12,$L$13,$J$14,$L$1,$J$11,$J$15,$D174)</f>
        <v>-9748.9500000000007</v>
      </c>
      <c r="M174" s="151">
        <f ca="1">_xll.DBRW(Server&amp;Cube1,$J$12,$L$13,$J$14,$M$1,$J$11,$J$15,$D174)</f>
        <v>-9749</v>
      </c>
      <c r="N174" s="152">
        <f t="shared" ca="1" si="290"/>
        <v>4.9999999999272404E-2</v>
      </c>
      <c r="O174" s="153">
        <f t="shared" ca="1" si="291"/>
        <v>-5.1287311518383836E-6</v>
      </c>
      <c r="P174" s="138"/>
      <c r="Q174" s="151">
        <f ca="1">_xll.DBRW(Server&amp;Cube1,$J$12,$L$13,$J$14,$Q$1,$J$11,$J$15,$D174)</f>
        <v>0</v>
      </c>
      <c r="R174" s="152">
        <f t="shared" ca="1" si="292"/>
        <v>-9748.9500000000007</v>
      </c>
      <c r="S174" s="153" t="str">
        <f t="shared" ca="1" si="293"/>
        <v>-</v>
      </c>
      <c r="T174" s="138"/>
      <c r="U174" s="151">
        <f ca="1">_xll.DBRW(Server&amp;Cube1,$J$12,$L$13,$J$14,$U$1,$U$2,$J$15,$D174)</f>
        <v>-262</v>
      </c>
      <c r="V174" s="152">
        <f t="shared" ca="1" si="294"/>
        <v>-9486.9500000000007</v>
      </c>
      <c r="W174" s="153">
        <f t="shared" ca="1" si="295"/>
        <v>36.209732824427483</v>
      </c>
      <c r="X174" s="65"/>
      <c r="Y174" s="31"/>
      <c r="Z174" s="9"/>
      <c r="AA174" s="66"/>
      <c r="AB174" s="66"/>
      <c r="AC174" s="9"/>
      <c r="AD174" s="9"/>
      <c r="AE174" s="9"/>
      <c r="AF174" s="9"/>
      <c r="AG174" s="9"/>
      <c r="AH174" s="9"/>
      <c r="AI174" s="9"/>
      <c r="AJ174" s="9"/>
      <c r="AK174" s="9"/>
      <c r="AL174" s="9"/>
      <c r="AM174" s="9"/>
      <c r="AN174" s="9"/>
      <c r="AO174" s="9"/>
      <c r="AP174" s="9"/>
      <c r="AQ174" s="9"/>
      <c r="AR174" s="9"/>
      <c r="AS174" s="9"/>
      <c r="AT174" s="9"/>
      <c r="AU174" s="9"/>
      <c r="AV174" s="9"/>
      <c r="AW174" s="9"/>
      <c r="AX174" s="9"/>
      <c r="AY174" s="9"/>
      <c r="AZ174" s="9"/>
      <c r="BA174" s="9"/>
      <c r="BB174" s="9"/>
      <c r="BC174" s="9"/>
      <c r="BD174" s="9"/>
      <c r="BE174" s="9"/>
      <c r="BF174" s="9"/>
      <c r="BG174" s="9"/>
      <c r="BH174" s="9"/>
      <c r="BI174" s="9"/>
      <c r="BJ174" s="9"/>
      <c r="BK174" s="9"/>
      <c r="BL174" s="9"/>
      <c r="BM174" s="9"/>
      <c r="BN174" s="9"/>
      <c r="BO174" s="9"/>
      <c r="BP174" s="9"/>
      <c r="BQ174" s="9"/>
      <c r="BR174" s="9"/>
      <c r="BS174" s="9"/>
      <c r="BT174" s="9"/>
      <c r="BU174" s="9"/>
      <c r="BV174" s="9"/>
      <c r="BW174" s="9"/>
      <c r="BX174" s="9"/>
      <c r="BY174" s="9"/>
      <c r="BZ174" s="9"/>
      <c r="CA174" s="9"/>
      <c r="CB174" s="9"/>
      <c r="CC174" s="9"/>
      <c r="CD174" s="9"/>
      <c r="CE174" s="9"/>
      <c r="CF174" s="9"/>
      <c r="CG174" s="9"/>
      <c r="CH174" s="9"/>
      <c r="CI174" s="9"/>
      <c r="CJ174" s="9"/>
      <c r="CK174" s="9"/>
      <c r="CL174" s="9"/>
      <c r="CM174" s="9"/>
      <c r="CN174" s="9"/>
      <c r="CO174" s="9"/>
      <c r="CP174" s="9"/>
      <c r="CQ174" s="9"/>
      <c r="CR174" s="9"/>
      <c r="CS174" s="9"/>
      <c r="CT174" s="9"/>
      <c r="CU174" s="9"/>
      <c r="CV174" s="9"/>
      <c r="CW174" s="9"/>
      <c r="CX174" s="9"/>
      <c r="CY174" s="9"/>
      <c r="CZ174" s="9"/>
      <c r="DA174" s="9"/>
      <c r="DB174" s="9"/>
      <c r="DC174" s="9"/>
      <c r="DD174" s="9"/>
      <c r="DE174" s="9"/>
      <c r="DF174" s="9"/>
      <c r="DG174" s="9"/>
      <c r="DH174" s="9"/>
      <c r="DI174" s="9"/>
      <c r="DJ174" s="9"/>
      <c r="DK174" s="9"/>
      <c r="DL174" s="9"/>
      <c r="DM174" s="9"/>
      <c r="DN174" s="9"/>
    </row>
    <row r="175" spans="1:118" ht="18" hidden="1" customHeight="1" outlineLevel="1" thickBot="1" x14ac:dyDescent="0.3">
      <c r="B175" s="60"/>
      <c r="C175" s="44"/>
      <c r="D175" s="203" t="s">
        <v>90</v>
      </c>
      <c r="E175" s="62"/>
      <c r="F175" s="63"/>
      <c r="G175" s="41"/>
      <c r="H175" s="250" t="str">
        <f ca="1">_xll.DBRA(Server&amp;$D$20,$D175,"French")</f>
        <v>Taxe sur les véhicules de sociétés</v>
      </c>
      <c r="I175" s="250"/>
      <c r="J175" s="250"/>
      <c r="K175" s="150"/>
      <c r="L175" s="168">
        <f ca="1">_xll.DBRW(Server&amp;Cube1,$J$12,$L$13,$J$14,$L$1,$J$11,$J$15,$D175)</f>
        <v>-7257.5</v>
      </c>
      <c r="M175" s="168">
        <f ca="1">_xll.DBRW(Server&amp;Cube1,$J$12,$L$13,$J$14,$M$1,$J$11,$J$15,$D175)</f>
        <v>-3916.9999999999995</v>
      </c>
      <c r="N175" s="169">
        <f ca="1">L175-M175</f>
        <v>-3340.5000000000005</v>
      </c>
      <c r="O175" s="170">
        <f ca="1">IF(ISERROR(N175/M175),"-",N175/M175)</f>
        <v>0.85282103650753149</v>
      </c>
      <c r="P175" s="138"/>
      <c r="Q175" s="168">
        <f ca="1">_xll.DBRW(Server&amp;Cube1,$J$12,$L$13,$J$14,$Q$1,$J$11,$J$15,$D175)</f>
        <v>0</v>
      </c>
      <c r="R175" s="169">
        <f ca="1">L175-Q175</f>
        <v>-7257.5</v>
      </c>
      <c r="S175" s="170" t="str">
        <f ca="1">IF(ISERROR(R175/Q175),"-",R175/Q175)</f>
        <v>-</v>
      </c>
      <c r="T175" s="138"/>
      <c r="U175" s="168">
        <f ca="1">_xll.DBRW(Server&amp;Cube1,$J$12,$L$13,$J$14,$U$1,$U$2,$J$15,$D175)</f>
        <v>-5232.26</v>
      </c>
      <c r="V175" s="169">
        <f ca="1">L175-U175</f>
        <v>-2025.2399999999998</v>
      </c>
      <c r="W175" s="170">
        <f ca="1">IF(ISERROR(V175/U175),"-",V175/U175)</f>
        <v>0.38706792093665066</v>
      </c>
      <c r="X175" s="65"/>
      <c r="Y175" s="31"/>
      <c r="Z175" s="9"/>
      <c r="AA175" s="66"/>
      <c r="AB175" s="66"/>
      <c r="AC175" s="9"/>
      <c r="AD175" s="9"/>
      <c r="AE175" s="9"/>
      <c r="AF175" s="9"/>
      <c r="AG175" s="9"/>
      <c r="AH175" s="9"/>
      <c r="AI175" s="9"/>
      <c r="AJ175" s="9"/>
      <c r="AK175" s="9"/>
      <c r="AL175" s="9"/>
      <c r="AM175" s="9"/>
      <c r="AN175" s="9"/>
      <c r="AO175" s="9"/>
      <c r="AP175" s="9"/>
      <c r="AQ175" s="9"/>
      <c r="AR175" s="9"/>
      <c r="AS175" s="9"/>
      <c r="AT175" s="9"/>
      <c r="AU175" s="9"/>
      <c r="AV175" s="9"/>
      <c r="AW175" s="9"/>
      <c r="AX175" s="9"/>
      <c r="AY175" s="9"/>
      <c r="AZ175" s="9"/>
      <c r="BA175" s="9"/>
      <c r="BB175" s="9"/>
      <c r="BC175" s="9"/>
      <c r="BD175" s="9"/>
      <c r="BE175" s="9"/>
      <c r="BF175" s="9"/>
      <c r="BG175" s="9"/>
      <c r="BH175" s="9"/>
      <c r="BI175" s="9"/>
      <c r="BJ175" s="9"/>
      <c r="BK175" s="9"/>
      <c r="BL175" s="9"/>
      <c r="BM175" s="9"/>
      <c r="BN175" s="9"/>
      <c r="BO175" s="9"/>
      <c r="BP175" s="9"/>
      <c r="BQ175" s="9"/>
      <c r="BR175" s="9"/>
      <c r="BS175" s="9"/>
      <c r="BT175" s="9"/>
      <c r="BU175" s="9"/>
      <c r="BV175" s="9"/>
      <c r="BW175" s="9"/>
      <c r="BX175" s="9"/>
      <c r="BY175" s="9"/>
      <c r="BZ175" s="9"/>
      <c r="CA175" s="9"/>
      <c r="CB175" s="9"/>
      <c r="CC175" s="9"/>
      <c r="CD175" s="9"/>
      <c r="CE175" s="9"/>
      <c r="CF175" s="9"/>
      <c r="CG175" s="9"/>
      <c r="CH175" s="9"/>
      <c r="CI175" s="9"/>
      <c r="CJ175" s="9"/>
      <c r="CK175" s="9"/>
      <c r="CL175" s="9"/>
      <c r="CM175" s="9"/>
      <c r="CN175" s="9"/>
      <c r="CO175" s="9"/>
      <c r="CP175" s="9"/>
      <c r="CQ175" s="9"/>
      <c r="CR175" s="9"/>
      <c r="CS175" s="9"/>
      <c r="CT175" s="9"/>
      <c r="CU175" s="9"/>
      <c r="CV175" s="9"/>
      <c r="CW175" s="9"/>
      <c r="CX175" s="9"/>
      <c r="CY175" s="9"/>
      <c r="CZ175" s="9"/>
      <c r="DA175" s="9"/>
      <c r="DB175" s="9"/>
      <c r="DC175" s="9"/>
      <c r="DD175" s="9"/>
      <c r="DE175" s="9"/>
      <c r="DF175" s="9"/>
      <c r="DG175" s="9"/>
      <c r="DH175" s="9"/>
      <c r="DI175" s="9"/>
      <c r="DJ175" s="9"/>
      <c r="DK175" s="9"/>
      <c r="DL175" s="9"/>
      <c r="DM175" s="9"/>
      <c r="DN175" s="9"/>
    </row>
    <row r="176" spans="1:118" ht="18" hidden="1" customHeight="1" outlineLevel="1" thickTop="1" x14ac:dyDescent="0.25">
      <c r="B176" s="60"/>
      <c r="C176" s="44"/>
      <c r="D176" s="203" t="s">
        <v>89</v>
      </c>
      <c r="E176" s="62"/>
      <c r="F176" s="63"/>
      <c r="G176" s="41"/>
      <c r="H176" s="232" t="str">
        <f ca="1">_xll.DBRA(Server&amp;$D$20,$D176,"French")</f>
        <v>Organic</v>
      </c>
      <c r="I176" s="232"/>
      <c r="J176" s="232"/>
      <c r="K176" s="150"/>
      <c r="L176" s="151">
        <f ca="1">_xll.DBRW(Server&amp;Cube1,$J$12,$L$13,$J$14,$L$1,$J$11,$J$15,$D176)</f>
        <v>0</v>
      </c>
      <c r="M176" s="151">
        <f ca="1">_xll.DBRW(Server&amp;Cube1,$J$12,$L$13,$J$14,$M$1,$J$11,$J$15,$D176)</f>
        <v>0</v>
      </c>
      <c r="N176" s="152">
        <f t="shared" ca="1" si="290"/>
        <v>0</v>
      </c>
      <c r="O176" s="153" t="str">
        <f t="shared" ca="1" si="291"/>
        <v>-</v>
      </c>
      <c r="P176" s="138"/>
      <c r="Q176" s="151">
        <f ca="1">_xll.DBRW(Server&amp;Cube1,$J$12,$L$13,$J$14,$Q$1,$J$11,$J$15,$D176)</f>
        <v>0</v>
      </c>
      <c r="R176" s="152">
        <f t="shared" ca="1" si="292"/>
        <v>0</v>
      </c>
      <c r="S176" s="153" t="str">
        <f t="shared" ca="1" si="293"/>
        <v>-</v>
      </c>
      <c r="T176" s="138"/>
      <c r="U176" s="151">
        <f ca="1">_xll.DBRW(Server&amp;Cube1,$J$12,$L$13,$J$14,$U$1,$U$2,$J$15,$D176)</f>
        <v>0</v>
      </c>
      <c r="V176" s="152">
        <f t="shared" ca="1" si="294"/>
        <v>0</v>
      </c>
      <c r="W176" s="153" t="str">
        <f t="shared" ca="1" si="295"/>
        <v>-</v>
      </c>
      <c r="X176" s="65"/>
      <c r="Y176" s="31"/>
      <c r="Z176" s="9"/>
      <c r="AA176" s="66"/>
      <c r="AB176" s="66"/>
      <c r="AC176" s="9"/>
      <c r="AD176" s="9"/>
      <c r="AE176" s="9"/>
      <c r="AF176" s="9"/>
      <c r="AG176" s="9"/>
      <c r="AH176" s="9"/>
      <c r="AI176" s="9"/>
      <c r="AJ176" s="9"/>
      <c r="AK176" s="9"/>
      <c r="AL176" s="9"/>
      <c r="AM176" s="9"/>
      <c r="AN176" s="9"/>
      <c r="AO176" s="9"/>
      <c r="AP176" s="9"/>
      <c r="AQ176" s="9"/>
      <c r="AR176" s="9"/>
      <c r="AS176" s="9"/>
      <c r="AT176" s="9"/>
      <c r="AU176" s="9"/>
      <c r="AV176" s="9"/>
      <c r="AW176" s="9"/>
      <c r="AX176" s="9"/>
      <c r="AY176" s="9"/>
      <c r="AZ176" s="9"/>
      <c r="BA176" s="9"/>
      <c r="BB176" s="9"/>
      <c r="BC176" s="9"/>
      <c r="BD176" s="9"/>
      <c r="BE176" s="9"/>
      <c r="BF176" s="9"/>
      <c r="BG176" s="9"/>
      <c r="BH176" s="9"/>
      <c r="BI176" s="9"/>
      <c r="BJ176" s="9"/>
      <c r="BK176" s="9"/>
      <c r="BL176" s="9"/>
      <c r="BM176" s="9"/>
      <c r="BN176" s="9"/>
      <c r="BO176" s="9"/>
      <c r="BP176" s="9"/>
      <c r="BQ176" s="9"/>
      <c r="BR176" s="9"/>
      <c r="BS176" s="9"/>
      <c r="BT176" s="9"/>
      <c r="BU176" s="9"/>
      <c r="BV176" s="9"/>
      <c r="BW176" s="9"/>
      <c r="BX176" s="9"/>
      <c r="BY176" s="9"/>
      <c r="BZ176" s="9"/>
      <c r="CA176" s="9"/>
      <c r="CB176" s="9"/>
      <c r="CC176" s="9"/>
      <c r="CD176" s="9"/>
      <c r="CE176" s="9"/>
      <c r="CF176" s="9"/>
      <c r="CG176" s="9"/>
      <c r="CH176" s="9"/>
      <c r="CI176" s="9"/>
      <c r="CJ176" s="9"/>
      <c r="CK176" s="9"/>
      <c r="CL176" s="9"/>
      <c r="CM176" s="9"/>
      <c r="CN176" s="9"/>
      <c r="CO176" s="9"/>
      <c r="CP176" s="9"/>
      <c r="CQ176" s="9"/>
      <c r="CR176" s="9"/>
      <c r="CS176" s="9"/>
      <c r="CT176" s="9"/>
      <c r="CU176" s="9"/>
      <c r="CV176" s="9"/>
      <c r="CW176" s="9"/>
      <c r="CX176" s="9"/>
      <c r="CY176" s="9"/>
      <c r="CZ176" s="9"/>
      <c r="DA176" s="9"/>
      <c r="DB176" s="9"/>
      <c r="DC176" s="9"/>
      <c r="DD176" s="9"/>
      <c r="DE176" s="9"/>
      <c r="DF176" s="9"/>
      <c r="DG176" s="9"/>
      <c r="DH176" s="9"/>
      <c r="DI176" s="9"/>
      <c r="DJ176" s="9"/>
      <c r="DK176" s="9"/>
      <c r="DL176" s="9"/>
      <c r="DM176" s="9"/>
      <c r="DN176" s="9"/>
    </row>
    <row r="177" spans="1:118" ht="14.25" customHeight="1" collapsed="1" x14ac:dyDescent="0.25">
      <c r="C177" s="44"/>
      <c r="D177" s="206"/>
      <c r="E177" s="62"/>
      <c r="F177" s="63"/>
      <c r="G177" s="82"/>
      <c r="H177" s="82"/>
      <c r="I177" s="64"/>
      <c r="J177" s="64"/>
      <c r="K177" s="64"/>
      <c r="L177" s="83"/>
      <c r="M177" s="83"/>
      <c r="N177" s="83"/>
      <c r="O177" s="84"/>
      <c r="P177" s="83"/>
      <c r="Q177" s="83"/>
      <c r="R177" s="83"/>
      <c r="S177" s="84"/>
      <c r="T177" s="83"/>
      <c r="U177" s="83"/>
      <c r="V177" s="83"/>
      <c r="W177" s="130"/>
      <c r="X177" s="131"/>
      <c r="Y177" s="31"/>
      <c r="Z177" s="9"/>
      <c r="AA177" s="85"/>
      <c r="AB177" s="85"/>
      <c r="AC177" s="85"/>
      <c r="AD177" s="85"/>
      <c r="AE177" s="85"/>
      <c r="AF177" s="85"/>
      <c r="AG177" s="85"/>
      <c r="AH177" s="85"/>
      <c r="AI177" s="85"/>
      <c r="AJ177" s="85"/>
      <c r="AK177" s="85"/>
      <c r="AL177" s="85"/>
      <c r="AM177" s="85"/>
      <c r="AN177" s="85"/>
      <c r="AO177" s="85"/>
      <c r="AP177" s="85"/>
      <c r="AQ177" s="85"/>
      <c r="AR177" s="85"/>
      <c r="AS177" s="85"/>
      <c r="AT177" s="85"/>
      <c r="AU177" s="85"/>
      <c r="AV177" s="85"/>
      <c r="AW177" s="85"/>
      <c r="AX177" s="85"/>
      <c r="AY177" s="85"/>
      <c r="AZ177" s="85"/>
      <c r="BA177" s="85"/>
      <c r="BB177" s="85"/>
      <c r="BC177" s="85"/>
      <c r="BD177" s="85"/>
      <c r="BE177" s="85"/>
      <c r="BF177" s="85"/>
      <c r="BG177" s="85"/>
      <c r="BH177" s="85"/>
      <c r="BI177" s="85"/>
      <c r="BJ177" s="85"/>
      <c r="BK177" s="85"/>
      <c r="BL177" s="85"/>
      <c r="BM177" s="85"/>
      <c r="BN177" s="85"/>
      <c r="BO177" s="85"/>
      <c r="BP177" s="85"/>
      <c r="BQ177" s="85"/>
      <c r="BR177" s="85"/>
      <c r="BS177" s="85"/>
      <c r="BT177" s="85"/>
      <c r="BU177" s="85"/>
      <c r="BV177" s="85"/>
      <c r="BW177" s="85"/>
      <c r="BX177" s="85"/>
      <c r="BY177" s="85"/>
      <c r="BZ177" s="85"/>
      <c r="CA177" s="85"/>
      <c r="CB177" s="85"/>
      <c r="CC177" s="85"/>
      <c r="CD177" s="85"/>
      <c r="CE177" s="85"/>
      <c r="CF177" s="85"/>
      <c r="CG177" s="85"/>
      <c r="CH177" s="85"/>
      <c r="CI177" s="85"/>
      <c r="CJ177" s="85"/>
      <c r="CK177" s="85"/>
      <c r="CL177" s="85"/>
      <c r="CM177" s="85"/>
      <c r="CN177" s="85"/>
      <c r="CO177" s="85"/>
      <c r="CP177" s="85"/>
      <c r="CQ177" s="85"/>
      <c r="CR177" s="85"/>
      <c r="CS177" s="85"/>
      <c r="CT177" s="85"/>
      <c r="CU177" s="85"/>
      <c r="CV177" s="85"/>
      <c r="CW177" s="85"/>
      <c r="CX177" s="85"/>
      <c r="CY177" s="85"/>
      <c r="CZ177" s="85"/>
      <c r="DA177" s="85"/>
      <c r="DB177" s="85"/>
      <c r="DC177" s="85"/>
      <c r="DD177" s="85"/>
      <c r="DE177" s="85"/>
      <c r="DF177" s="85"/>
      <c r="DG177" s="85"/>
      <c r="DH177" s="85"/>
      <c r="DI177" s="85"/>
      <c r="DJ177" s="85"/>
      <c r="DK177" s="85"/>
      <c r="DL177" s="85"/>
      <c r="DM177" s="85"/>
      <c r="DN177" s="85"/>
    </row>
    <row r="178" spans="1:118" ht="8.25" customHeight="1" x14ac:dyDescent="0.25">
      <c r="C178" s="44"/>
      <c r="D178" s="206"/>
      <c r="E178" s="62"/>
      <c r="F178" s="63"/>
      <c r="G178" s="82"/>
      <c r="H178" s="82"/>
      <c r="I178" s="64"/>
      <c r="J178" s="64"/>
      <c r="K178" s="64"/>
      <c r="L178" s="83"/>
      <c r="M178" s="83"/>
      <c r="N178" s="83"/>
      <c r="O178" s="84"/>
      <c r="P178" s="83"/>
      <c r="Q178" s="83"/>
      <c r="R178" s="83"/>
      <c r="S178" s="84"/>
      <c r="T178" s="83"/>
      <c r="U178" s="83"/>
      <c r="V178" s="83"/>
      <c r="W178" s="84"/>
      <c r="X178" s="64"/>
      <c r="Y178" s="31"/>
      <c r="Z178" s="9"/>
      <c r="AA178" s="85"/>
      <c r="AB178" s="85"/>
      <c r="AC178" s="85"/>
      <c r="AD178" s="85"/>
      <c r="AE178" s="85"/>
      <c r="AF178" s="85"/>
      <c r="AG178" s="85"/>
      <c r="AH178" s="85"/>
      <c r="AI178" s="85"/>
      <c r="AJ178" s="85"/>
      <c r="AK178" s="85"/>
      <c r="AL178" s="85"/>
      <c r="AM178" s="85"/>
      <c r="AN178" s="85"/>
      <c r="AO178" s="85"/>
      <c r="AP178" s="85"/>
      <c r="AQ178" s="85"/>
      <c r="AR178" s="85"/>
      <c r="AS178" s="85"/>
      <c r="AT178" s="85"/>
      <c r="AU178" s="85"/>
      <c r="AV178" s="85"/>
      <c r="AW178" s="85"/>
      <c r="AX178" s="85"/>
      <c r="AY178" s="85"/>
      <c r="AZ178" s="85"/>
      <c r="BA178" s="85"/>
      <c r="BB178" s="85"/>
      <c r="BC178" s="85"/>
      <c r="BD178" s="85"/>
      <c r="BE178" s="85"/>
      <c r="BF178" s="85"/>
      <c r="BG178" s="85"/>
      <c r="BH178" s="85"/>
      <c r="BI178" s="85"/>
      <c r="BJ178" s="85"/>
      <c r="BK178" s="85"/>
      <c r="BL178" s="85"/>
      <c r="BM178" s="85"/>
      <c r="BN178" s="85"/>
      <c r="BO178" s="85"/>
      <c r="BP178" s="85"/>
      <c r="BQ178" s="85"/>
      <c r="BR178" s="85"/>
      <c r="BS178" s="85"/>
      <c r="BT178" s="85"/>
      <c r="BU178" s="85"/>
      <c r="BV178" s="85"/>
      <c r="BW178" s="85"/>
      <c r="BX178" s="85"/>
      <c r="BY178" s="85"/>
      <c r="BZ178" s="85"/>
      <c r="CA178" s="85"/>
      <c r="CB178" s="85"/>
      <c r="CC178" s="85"/>
      <c r="CD178" s="85"/>
      <c r="CE178" s="85"/>
      <c r="CF178" s="85"/>
      <c r="CG178" s="85"/>
      <c r="CH178" s="85"/>
      <c r="CI178" s="85"/>
      <c r="CJ178" s="85"/>
      <c r="CK178" s="85"/>
      <c r="CL178" s="85"/>
      <c r="CM178" s="85"/>
      <c r="CN178" s="85"/>
      <c r="CO178" s="85"/>
      <c r="CP178" s="85"/>
      <c r="CQ178" s="85"/>
      <c r="CR178" s="85"/>
      <c r="CS178" s="85"/>
      <c r="CT178" s="85"/>
      <c r="CU178" s="85"/>
      <c r="CV178" s="85"/>
      <c r="CW178" s="85"/>
      <c r="CX178" s="85"/>
      <c r="CY178" s="85"/>
      <c r="CZ178" s="85"/>
      <c r="DA178" s="85"/>
      <c r="DB178" s="85"/>
      <c r="DC178" s="85"/>
      <c r="DD178" s="85"/>
      <c r="DE178" s="85"/>
      <c r="DF178" s="85"/>
      <c r="DG178" s="85"/>
      <c r="DH178" s="85"/>
      <c r="DI178" s="85"/>
      <c r="DJ178" s="85"/>
      <c r="DK178" s="85"/>
      <c r="DL178" s="85"/>
      <c r="DM178" s="85"/>
      <c r="DN178" s="85"/>
    </row>
    <row r="179" spans="1:118" ht="8.25" customHeight="1" x14ac:dyDescent="0.25">
      <c r="C179" s="44"/>
      <c r="D179" s="206"/>
      <c r="E179" s="62"/>
      <c r="F179" s="63"/>
      <c r="G179" s="183"/>
      <c r="H179" s="184"/>
      <c r="I179" s="185"/>
      <c r="J179" s="185"/>
      <c r="K179" s="185"/>
      <c r="L179" s="186"/>
      <c r="M179" s="186"/>
      <c r="N179" s="186"/>
      <c r="O179" s="187"/>
      <c r="P179" s="186"/>
      <c r="Q179" s="186"/>
      <c r="R179" s="186"/>
      <c r="S179" s="187"/>
      <c r="T179" s="186"/>
      <c r="U179" s="186"/>
      <c r="V179" s="186"/>
      <c r="W179" s="187"/>
      <c r="X179" s="188"/>
      <c r="Y179" s="86"/>
      <c r="Z179" s="85"/>
      <c r="AA179" s="85"/>
      <c r="AB179" s="85"/>
      <c r="AC179" s="85"/>
      <c r="AD179" s="85"/>
      <c r="AE179" s="85"/>
      <c r="AF179" s="85"/>
      <c r="AG179" s="85"/>
      <c r="AH179" s="85"/>
      <c r="AI179" s="85"/>
      <c r="AJ179" s="85"/>
      <c r="AK179" s="85"/>
      <c r="AL179" s="85"/>
      <c r="AM179" s="85"/>
      <c r="AN179" s="85"/>
      <c r="AO179" s="85"/>
      <c r="AP179" s="85"/>
      <c r="AQ179" s="85"/>
      <c r="AR179" s="85"/>
      <c r="AS179" s="85"/>
      <c r="AT179" s="85"/>
      <c r="AU179" s="85"/>
      <c r="AV179" s="85"/>
      <c r="AW179" s="85"/>
      <c r="AX179" s="85"/>
      <c r="AY179" s="85"/>
      <c r="AZ179" s="85"/>
      <c r="BA179" s="85"/>
      <c r="BB179" s="85"/>
      <c r="BC179" s="85"/>
      <c r="BD179" s="85"/>
      <c r="BE179" s="85"/>
      <c r="BF179" s="85"/>
      <c r="BG179" s="85"/>
      <c r="BH179" s="85"/>
      <c r="BI179" s="85"/>
      <c r="BJ179" s="85"/>
      <c r="BK179" s="85"/>
      <c r="BL179" s="85"/>
      <c r="BM179" s="85"/>
      <c r="BN179" s="85"/>
      <c r="BO179" s="85"/>
      <c r="BP179" s="85"/>
      <c r="BQ179" s="85"/>
      <c r="BR179" s="85"/>
      <c r="BS179" s="85"/>
      <c r="BT179" s="85"/>
      <c r="BU179" s="85"/>
      <c r="BV179" s="85"/>
      <c r="BW179" s="85"/>
      <c r="BX179" s="85"/>
      <c r="BY179" s="85"/>
      <c r="BZ179" s="85"/>
      <c r="CA179" s="85"/>
      <c r="CB179" s="85"/>
      <c r="CC179" s="85"/>
      <c r="CD179" s="85"/>
      <c r="CE179" s="85"/>
      <c r="CF179" s="85"/>
      <c r="CG179" s="85"/>
      <c r="CH179" s="85"/>
      <c r="CI179" s="85"/>
      <c r="CJ179" s="85"/>
      <c r="CK179" s="85"/>
      <c r="CL179" s="85"/>
      <c r="CM179" s="85"/>
      <c r="CN179" s="85"/>
      <c r="CO179" s="85"/>
      <c r="CP179" s="85"/>
      <c r="CQ179" s="85"/>
      <c r="CR179" s="85"/>
      <c r="CS179" s="85"/>
      <c r="CT179" s="85"/>
      <c r="CU179" s="85"/>
      <c r="CV179" s="85"/>
      <c r="CW179" s="85"/>
      <c r="CX179" s="85"/>
      <c r="CY179" s="85"/>
      <c r="CZ179" s="85"/>
      <c r="DA179" s="85"/>
      <c r="DB179" s="85"/>
      <c r="DC179" s="85"/>
      <c r="DD179" s="85"/>
      <c r="DE179" s="85"/>
      <c r="DF179" s="85"/>
      <c r="DG179" s="85"/>
      <c r="DH179" s="85"/>
      <c r="DI179" s="85"/>
      <c r="DJ179" s="85"/>
      <c r="DK179" s="85"/>
      <c r="DL179" s="85"/>
      <c r="DM179" s="85"/>
      <c r="DN179" s="85"/>
    </row>
    <row r="180" spans="1:118" s="61" customFormat="1" ht="22.5" customHeight="1" x14ac:dyDescent="0.25">
      <c r="A180" s="222"/>
      <c r="B180" s="60"/>
      <c r="C180" s="44"/>
      <c r="D180" s="206" t="s">
        <v>91</v>
      </c>
      <c r="E180" s="79"/>
      <c r="F180" s="80"/>
      <c r="G180" s="199"/>
      <c r="H180" s="235" t="str">
        <f ca="1">_xll.DBRA(Server&amp;$D$20,$D180,"French")</f>
        <v>RESULTAT NET</v>
      </c>
      <c r="I180" s="236"/>
      <c r="J180" s="237"/>
      <c r="K180" s="200"/>
      <c r="L180" s="144">
        <f ca="1">SUM(L169,L173)</f>
        <v>32760.8599999998</v>
      </c>
      <c r="M180" s="144">
        <f ca="1">SUM(M169,M173)</f>
        <v>-185073</v>
      </c>
      <c r="N180" s="144">
        <f ca="1">SUM(N169,N173)</f>
        <v>217833.85999999987</v>
      </c>
      <c r="O180" s="161">
        <f ca="1">IF(ISERROR(N180/M180),"-",N180/M180)</f>
        <v>-1.1770158802202366</v>
      </c>
      <c r="P180" s="201"/>
      <c r="Q180" s="145">
        <f ca="1">_xll.DBRW(Server&amp;Cube1,$J$12,$L$13,$J$14,$Q$1,$J$11,$J$15,$D180)</f>
        <v>0</v>
      </c>
      <c r="R180" s="146">
        <f ca="1">L180-Q180</f>
        <v>32760.8599999998</v>
      </c>
      <c r="S180" s="161" t="str">
        <f t="shared" ref="S180" ca="1" si="296">IF(ISERROR(R180/Q180),"-",R180/Q180)</f>
        <v>-</v>
      </c>
      <c r="T180" s="172"/>
      <c r="U180" s="144">
        <f ca="1">SUM(U169,U173)</f>
        <v>-367817.49999999907</v>
      </c>
      <c r="V180" s="146">
        <f ca="1">L180-U180</f>
        <v>400578.35999999888</v>
      </c>
      <c r="W180" s="161">
        <f ca="1">IF(ISERROR(V180/U180),"-",V180/U180)</f>
        <v>-1.0890682471606161</v>
      </c>
      <c r="X180" s="189"/>
      <c r="Y180" s="87"/>
      <c r="Z180" s="66"/>
      <c r="AA180" s="66"/>
      <c r="AB180" s="66"/>
      <c r="AC180" s="66"/>
      <c r="AD180" s="66"/>
      <c r="AE180" s="66"/>
      <c r="AF180" s="66"/>
      <c r="AG180" s="66"/>
      <c r="AH180" s="66"/>
      <c r="AI180" s="66"/>
      <c r="AJ180" s="66"/>
      <c r="AK180" s="66"/>
      <c r="AL180" s="66"/>
      <c r="AM180" s="66"/>
      <c r="AN180" s="66"/>
      <c r="AO180" s="66"/>
      <c r="AP180" s="66"/>
      <c r="AQ180" s="66"/>
      <c r="AR180" s="66"/>
      <c r="AS180" s="66"/>
      <c r="AT180" s="66"/>
      <c r="AU180" s="66"/>
      <c r="AV180" s="66"/>
      <c r="AW180" s="66"/>
      <c r="AX180" s="66"/>
      <c r="AY180" s="66"/>
      <c r="AZ180" s="66"/>
      <c r="BA180" s="66"/>
      <c r="BB180" s="66"/>
      <c r="BC180" s="66"/>
      <c r="BD180" s="66"/>
      <c r="BE180" s="66"/>
      <c r="BF180" s="66"/>
      <c r="BG180" s="66"/>
      <c r="BH180" s="66"/>
      <c r="BI180" s="66"/>
      <c r="BJ180" s="66"/>
      <c r="BK180" s="66"/>
      <c r="BL180" s="66"/>
      <c r="BM180" s="66"/>
      <c r="BN180" s="66"/>
      <c r="BO180" s="66"/>
      <c r="BP180" s="66"/>
      <c r="BQ180" s="66"/>
      <c r="BR180" s="66"/>
      <c r="BS180" s="66"/>
      <c r="BT180" s="66"/>
      <c r="BU180" s="66"/>
      <c r="BV180" s="66"/>
      <c r="BW180" s="66"/>
      <c r="BX180" s="66"/>
      <c r="BY180" s="66"/>
      <c r="BZ180" s="66"/>
      <c r="CA180" s="66"/>
      <c r="CB180" s="66"/>
      <c r="CC180" s="66"/>
      <c r="CD180" s="66"/>
      <c r="CE180" s="66"/>
      <c r="CF180" s="66"/>
      <c r="CG180" s="66"/>
      <c r="CH180" s="66"/>
      <c r="CI180" s="66"/>
      <c r="CJ180" s="66"/>
      <c r="CK180" s="66"/>
      <c r="CL180" s="66"/>
      <c r="CM180" s="66"/>
      <c r="CN180" s="66"/>
      <c r="CO180" s="66"/>
      <c r="CP180" s="66"/>
      <c r="CQ180" s="66"/>
      <c r="CR180" s="66"/>
      <c r="CS180" s="66"/>
      <c r="CT180" s="66"/>
      <c r="CU180" s="66"/>
      <c r="CV180" s="66"/>
      <c r="CW180" s="66"/>
      <c r="CX180" s="66"/>
      <c r="CY180" s="66"/>
      <c r="CZ180" s="66"/>
      <c r="DA180" s="66"/>
      <c r="DB180" s="66"/>
      <c r="DC180" s="66"/>
      <c r="DD180" s="66"/>
      <c r="DE180" s="66"/>
      <c r="DF180" s="66"/>
      <c r="DG180" s="66"/>
      <c r="DH180" s="66"/>
      <c r="DI180" s="66"/>
      <c r="DJ180" s="66"/>
      <c r="DK180" s="66"/>
      <c r="DL180" s="66"/>
      <c r="DM180" s="66"/>
      <c r="DN180" s="66"/>
    </row>
    <row r="181" spans="1:118" s="94" customFormat="1" ht="22.5" customHeight="1" collapsed="1" x14ac:dyDescent="0.25">
      <c r="A181" s="88"/>
      <c r="B181" s="89"/>
      <c r="C181" s="44"/>
      <c r="D181" s="209" t="s">
        <v>30</v>
      </c>
      <c r="E181" s="90"/>
      <c r="F181" s="91"/>
      <c r="G181" s="191"/>
      <c r="H181" s="90"/>
      <c r="I181" s="90"/>
      <c r="J181" s="192" t="s">
        <v>98</v>
      </c>
      <c r="K181" s="193"/>
      <c r="L181" s="194">
        <f ca="1">IF(ISERROR(L180/L41),"-",L180/L41)</f>
        <v>7.6996772079679764E-3</v>
      </c>
      <c r="M181" s="194">
        <f ca="1">IF(ISERROR(M180/M41),"-",M180/M41)</f>
        <v>-5.6938845957182876E-2</v>
      </c>
      <c r="N181" s="233">
        <f ca="1">IF(ISERROR((L181-M181)*100),"-",(L181-M181)*100)</f>
        <v>6.4638523165150854</v>
      </c>
      <c r="O181" s="233"/>
      <c r="P181" s="195"/>
      <c r="Q181" s="194" t="str">
        <f ca="1">IF(ISERROR(Q180/Q152),"-",Q180/Q152)</f>
        <v>-</v>
      </c>
      <c r="R181" s="249" t="str">
        <f ca="1">IF(ISERROR((P181-Q181)*100),"-",(P181-Q181)*100)</f>
        <v>-</v>
      </c>
      <c r="S181" s="249"/>
      <c r="T181" s="195"/>
      <c r="U181" s="194">
        <f ca="1">IF(ISERROR(U180/U41),"-",U180/U41)</f>
        <v>-0.11188797936151293</v>
      </c>
      <c r="V181" s="233">
        <f ca="1">IF(ISERROR((L181-U181)*100),"-",(L181-U181)*100)</f>
        <v>11.95876565694809</v>
      </c>
      <c r="W181" s="233"/>
      <c r="X181" s="190"/>
      <c r="Y181" s="92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  <c r="BI181" s="93"/>
      <c r="BJ181" s="93"/>
      <c r="BK181" s="93"/>
      <c r="BL181" s="93"/>
      <c r="BM181" s="93"/>
      <c r="BN181" s="93"/>
      <c r="BO181" s="93"/>
      <c r="BP181" s="93"/>
      <c r="BQ181" s="93"/>
      <c r="BR181" s="93"/>
      <c r="BS181" s="93"/>
      <c r="BT181" s="93"/>
      <c r="BU181" s="93"/>
      <c r="BV181" s="93"/>
      <c r="BW181" s="93"/>
      <c r="BX181" s="93"/>
      <c r="BY181" s="93"/>
      <c r="BZ181" s="93"/>
      <c r="CA181" s="93"/>
      <c r="CB181" s="93"/>
      <c r="CC181" s="93"/>
      <c r="CD181" s="93"/>
      <c r="CE181" s="93"/>
      <c r="CF181" s="93"/>
      <c r="CG181" s="93"/>
      <c r="CH181" s="93"/>
      <c r="CI181" s="93"/>
      <c r="CJ181" s="93"/>
      <c r="CK181" s="93"/>
      <c r="CL181" s="93"/>
      <c r="CM181" s="93"/>
      <c r="CN181" s="93"/>
      <c r="CO181" s="93"/>
      <c r="CP181" s="93"/>
      <c r="CQ181" s="93"/>
      <c r="CR181" s="93"/>
      <c r="CS181" s="93"/>
      <c r="CT181" s="93"/>
      <c r="CU181" s="93"/>
      <c r="CV181" s="93"/>
      <c r="CW181" s="93"/>
      <c r="CX181" s="93"/>
      <c r="CY181" s="93"/>
      <c r="CZ181" s="93"/>
      <c r="DA181" s="93"/>
      <c r="DB181" s="93"/>
      <c r="DC181" s="93"/>
      <c r="DD181" s="93"/>
      <c r="DE181" s="93"/>
      <c r="DF181" s="93"/>
      <c r="DG181" s="93"/>
      <c r="DH181" s="93"/>
      <c r="DI181" s="93"/>
      <c r="DJ181" s="93"/>
      <c r="DK181" s="93"/>
      <c r="DL181" s="93"/>
      <c r="DM181" s="93"/>
      <c r="DN181" s="93"/>
    </row>
    <row r="182" spans="1:118" s="37" customFormat="1" ht="5.25" customHeight="1" x14ac:dyDescent="0.25">
      <c r="A182" s="10"/>
      <c r="B182" s="1"/>
      <c r="C182" s="44"/>
      <c r="D182" s="207"/>
      <c r="E182" s="68"/>
      <c r="F182" s="69"/>
      <c r="G182" s="196"/>
      <c r="H182" s="197"/>
      <c r="I182" s="197"/>
      <c r="J182" s="197"/>
      <c r="K182" s="197"/>
      <c r="L182" s="197"/>
      <c r="M182" s="197"/>
      <c r="N182" s="197"/>
      <c r="O182" s="197"/>
      <c r="P182" s="197"/>
      <c r="Q182" s="197"/>
      <c r="R182" s="197"/>
      <c r="S182" s="197"/>
      <c r="T182" s="197"/>
      <c r="U182" s="197"/>
      <c r="V182" s="197"/>
      <c r="W182" s="197"/>
      <c r="X182" s="198"/>
      <c r="Y182" s="31"/>
      <c r="Z182" s="9"/>
      <c r="AA182" s="9"/>
      <c r="AB182" s="9"/>
      <c r="AC182" s="9"/>
      <c r="AD182" s="9"/>
      <c r="AE182" s="9"/>
      <c r="AF182" s="9"/>
      <c r="AG182" s="9"/>
      <c r="AH182" s="9"/>
      <c r="AI182" s="9"/>
      <c r="AJ182" s="9"/>
      <c r="AK182" s="9"/>
      <c r="AL182" s="9"/>
      <c r="AM182" s="9"/>
      <c r="AN182" s="9"/>
      <c r="AO182" s="9"/>
      <c r="AP182" s="9"/>
      <c r="AQ182" s="9"/>
      <c r="AR182" s="9"/>
      <c r="AS182" s="9"/>
      <c r="AT182" s="9"/>
      <c r="AU182" s="9"/>
      <c r="AV182" s="9"/>
      <c r="AW182" s="9"/>
      <c r="AX182" s="9"/>
      <c r="AY182" s="9"/>
      <c r="AZ182" s="9"/>
      <c r="BA182" s="9"/>
      <c r="BB182" s="9"/>
      <c r="BC182" s="9"/>
      <c r="BD182" s="9"/>
      <c r="BE182" s="9"/>
      <c r="BF182" s="9"/>
      <c r="BG182" s="9"/>
      <c r="BH182" s="9"/>
      <c r="BI182" s="9"/>
      <c r="BJ182" s="9"/>
      <c r="BK182" s="9"/>
      <c r="BL182" s="9"/>
      <c r="BM182" s="9"/>
      <c r="BN182" s="9"/>
      <c r="BO182" s="9"/>
      <c r="BP182" s="9"/>
      <c r="BQ182" s="9"/>
      <c r="BR182" s="9"/>
      <c r="BS182" s="9"/>
      <c r="BT182" s="9"/>
      <c r="BU182" s="9"/>
      <c r="BV182" s="9"/>
      <c r="BW182" s="9"/>
      <c r="BX182" s="9"/>
      <c r="BY182" s="9"/>
      <c r="BZ182" s="9"/>
      <c r="CA182" s="9"/>
      <c r="CB182" s="9"/>
      <c r="CC182" s="9"/>
      <c r="CD182" s="9"/>
      <c r="CE182" s="9"/>
      <c r="CF182" s="9"/>
      <c r="CG182" s="9"/>
      <c r="CH182" s="9"/>
      <c r="CI182" s="9"/>
      <c r="CJ182" s="9"/>
      <c r="CK182" s="9"/>
      <c r="CL182" s="9"/>
      <c r="CM182" s="9"/>
      <c r="CN182" s="9"/>
      <c r="CO182" s="9"/>
      <c r="CP182" s="9"/>
      <c r="CQ182" s="9"/>
      <c r="CR182" s="9"/>
      <c r="CS182" s="9"/>
      <c r="CT182" s="9"/>
      <c r="CU182" s="9"/>
      <c r="CV182" s="9"/>
      <c r="CW182" s="9"/>
      <c r="CX182" s="9"/>
      <c r="CY182" s="9"/>
      <c r="CZ182" s="9"/>
      <c r="DA182" s="9"/>
      <c r="DB182" s="9"/>
      <c r="DC182" s="9"/>
      <c r="DD182" s="9"/>
      <c r="DE182" s="9"/>
      <c r="DF182" s="9"/>
      <c r="DG182" s="9"/>
      <c r="DH182" s="9"/>
      <c r="DI182" s="9"/>
      <c r="DJ182" s="9"/>
      <c r="DK182" s="9"/>
      <c r="DL182" s="9"/>
      <c r="DM182" s="9"/>
      <c r="DN182" s="9"/>
    </row>
    <row r="183" spans="1:118" s="37" customFormat="1" ht="15" customHeight="1" x14ac:dyDescent="0.25">
      <c r="A183" s="10"/>
      <c r="B183" s="1"/>
      <c r="C183" s="44"/>
      <c r="D183" s="207"/>
      <c r="E183" s="68"/>
      <c r="F183" s="69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31"/>
      <c r="Z183" s="9"/>
      <c r="AA183" s="9"/>
      <c r="AB183" s="9"/>
      <c r="AC183" s="9"/>
      <c r="AD183" s="9"/>
      <c r="AE183" s="9"/>
      <c r="AF183" s="9"/>
      <c r="AG183" s="9"/>
      <c r="AH183" s="9"/>
      <c r="AI183" s="9"/>
      <c r="AJ183" s="9"/>
      <c r="AK183" s="9"/>
      <c r="AL183" s="9"/>
      <c r="AM183" s="9"/>
      <c r="AN183" s="9"/>
      <c r="AO183" s="9"/>
      <c r="AP183" s="9"/>
      <c r="AQ183" s="9"/>
      <c r="AR183" s="9"/>
      <c r="AS183" s="9"/>
      <c r="AT183" s="9"/>
      <c r="AU183" s="9"/>
      <c r="AV183" s="9"/>
      <c r="AW183" s="9"/>
      <c r="AX183" s="9"/>
      <c r="AY183" s="9"/>
      <c r="AZ183" s="9"/>
      <c r="BA183" s="9"/>
      <c r="BB183" s="9"/>
      <c r="BC183" s="9"/>
      <c r="BD183" s="9"/>
      <c r="BE183" s="9"/>
      <c r="BF183" s="9"/>
      <c r="BG183" s="9"/>
      <c r="BH183" s="9"/>
      <c r="BI183" s="9"/>
      <c r="BJ183" s="9"/>
      <c r="BK183" s="9"/>
      <c r="BL183" s="9"/>
      <c r="BM183" s="9"/>
      <c r="BN183" s="9"/>
      <c r="BO183" s="9"/>
      <c r="BP183" s="9"/>
      <c r="BQ183" s="9"/>
      <c r="BR183" s="9"/>
      <c r="BS183" s="9"/>
      <c r="BT183" s="9"/>
      <c r="BU183" s="9"/>
      <c r="BV183" s="9"/>
      <c r="BW183" s="9"/>
      <c r="BX183" s="9"/>
      <c r="BY183" s="9"/>
      <c r="BZ183" s="9"/>
      <c r="CA183" s="9"/>
      <c r="CB183" s="9"/>
      <c r="CC183" s="9"/>
      <c r="CD183" s="9"/>
      <c r="CE183" s="9"/>
      <c r="CF183" s="9"/>
      <c r="CG183" s="9"/>
      <c r="CH183" s="9"/>
      <c r="CI183" s="9"/>
      <c r="CJ183" s="9"/>
      <c r="CK183" s="9"/>
      <c r="CL183" s="9"/>
      <c r="CM183" s="9"/>
      <c r="CN183" s="9"/>
      <c r="CO183" s="9"/>
      <c r="CP183" s="9"/>
      <c r="CQ183" s="9"/>
      <c r="CR183" s="9"/>
      <c r="CS183" s="9"/>
      <c r="CT183" s="9"/>
      <c r="CU183" s="9"/>
      <c r="CV183" s="9"/>
      <c r="CW183" s="9"/>
      <c r="CX183" s="9"/>
      <c r="CY183" s="9"/>
      <c r="CZ183" s="9"/>
      <c r="DA183" s="9"/>
      <c r="DB183" s="9"/>
      <c r="DC183" s="9"/>
      <c r="DD183" s="9"/>
      <c r="DE183" s="9"/>
      <c r="DF183" s="9"/>
      <c r="DG183" s="9"/>
      <c r="DH183" s="9"/>
      <c r="DI183" s="9"/>
      <c r="DJ183" s="9"/>
      <c r="DK183" s="9"/>
      <c r="DL183" s="9"/>
      <c r="DM183" s="9"/>
      <c r="DN183" s="9"/>
    </row>
    <row r="184" spans="1:118" s="37" customFormat="1" ht="15" customHeight="1" x14ac:dyDescent="0.25">
      <c r="A184" s="10"/>
      <c r="B184" s="1"/>
      <c r="C184" s="44"/>
      <c r="D184" s="207"/>
      <c r="E184" s="68"/>
      <c r="F184" s="69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31"/>
      <c r="Z184" s="9"/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9"/>
      <c r="AL184" s="9"/>
      <c r="AM184" s="9"/>
      <c r="AN184" s="9"/>
      <c r="AO184" s="9"/>
      <c r="AP184" s="9"/>
      <c r="AQ184" s="9"/>
      <c r="AR184" s="9"/>
      <c r="AS184" s="9"/>
      <c r="AT184" s="9"/>
      <c r="AU184" s="9"/>
      <c r="AV184" s="9"/>
      <c r="AW184" s="9"/>
      <c r="AX184" s="9"/>
      <c r="AY184" s="9"/>
      <c r="AZ184" s="9"/>
      <c r="BA184" s="9"/>
      <c r="BB184" s="9"/>
      <c r="BC184" s="9"/>
      <c r="BD184" s="9"/>
      <c r="BE184" s="9"/>
      <c r="BF184" s="9"/>
      <c r="BG184" s="9"/>
      <c r="BH184" s="9"/>
      <c r="BI184" s="9"/>
      <c r="BJ184" s="9"/>
      <c r="BK184" s="9"/>
      <c r="BL184" s="9"/>
      <c r="BM184" s="9"/>
      <c r="BN184" s="9"/>
      <c r="BO184" s="9"/>
      <c r="BP184" s="9"/>
      <c r="BQ184" s="9"/>
      <c r="BR184" s="9"/>
      <c r="BS184" s="9"/>
      <c r="BT184" s="9"/>
      <c r="BU184" s="9"/>
      <c r="BV184" s="9"/>
      <c r="BW184" s="9"/>
      <c r="BX184" s="9"/>
      <c r="BY184" s="9"/>
      <c r="BZ184" s="9"/>
      <c r="CA184" s="9"/>
      <c r="CB184" s="9"/>
      <c r="CC184" s="9"/>
      <c r="CD184" s="9"/>
      <c r="CE184" s="9"/>
      <c r="CF184" s="9"/>
      <c r="CG184" s="9"/>
      <c r="CH184" s="9"/>
      <c r="CI184" s="9"/>
      <c r="CJ184" s="9"/>
      <c r="CK184" s="9"/>
      <c r="CL184" s="9"/>
      <c r="CM184" s="9"/>
      <c r="CN184" s="9"/>
      <c r="CO184" s="9"/>
      <c r="CP184" s="9"/>
      <c r="CQ184" s="9"/>
      <c r="CR184" s="9"/>
      <c r="CS184" s="9"/>
      <c r="CT184" s="9"/>
      <c r="CU184" s="9"/>
      <c r="CV184" s="9"/>
      <c r="CW184" s="9"/>
      <c r="CX184" s="9"/>
      <c r="CY184" s="9"/>
      <c r="CZ184" s="9"/>
      <c r="DA184" s="9"/>
      <c r="DB184" s="9"/>
      <c r="DC184" s="9"/>
      <c r="DD184" s="9"/>
      <c r="DE184" s="9"/>
      <c r="DF184" s="9"/>
      <c r="DG184" s="9"/>
      <c r="DH184" s="9"/>
      <c r="DI184" s="9"/>
      <c r="DJ184" s="9"/>
      <c r="DK184" s="9"/>
      <c r="DL184" s="9"/>
      <c r="DM184" s="9"/>
      <c r="DN184" s="9"/>
    </row>
    <row r="185" spans="1:118" s="37" customFormat="1" ht="28.5" customHeight="1" x14ac:dyDescent="0.25">
      <c r="A185" s="10"/>
      <c r="B185" s="1"/>
      <c r="C185" s="44"/>
      <c r="D185" s="207"/>
      <c r="E185" s="68"/>
      <c r="F185" s="69"/>
      <c r="G185" s="171" t="s">
        <v>97</v>
      </c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31"/>
      <c r="Z185" s="9"/>
      <c r="AA185" s="9"/>
      <c r="AB185" s="9"/>
      <c r="AC185" s="9"/>
      <c r="AD185" s="9"/>
      <c r="AE185" s="9"/>
      <c r="AF185" s="9"/>
      <c r="AG185" s="9"/>
      <c r="AH185" s="9"/>
      <c r="AI185" s="9"/>
      <c r="AJ185" s="9"/>
      <c r="AK185" s="9"/>
      <c r="AL185" s="9"/>
      <c r="AM185" s="9"/>
      <c r="AN185" s="9"/>
      <c r="AO185" s="9"/>
      <c r="AP185" s="9"/>
      <c r="AQ185" s="9"/>
      <c r="AR185" s="9"/>
      <c r="AS185" s="9"/>
      <c r="AT185" s="9"/>
      <c r="AU185" s="9"/>
      <c r="AV185" s="9"/>
      <c r="AW185" s="9"/>
      <c r="AX185" s="9"/>
      <c r="AY185" s="9"/>
      <c r="AZ185" s="9"/>
      <c r="BA185" s="9"/>
      <c r="BB185" s="9"/>
      <c r="BC185" s="9"/>
      <c r="BD185" s="9"/>
      <c r="BE185" s="9"/>
      <c r="BF185" s="9"/>
      <c r="BG185" s="9"/>
      <c r="BH185" s="9"/>
      <c r="BI185" s="9"/>
      <c r="BJ185" s="9"/>
      <c r="BK185" s="9"/>
      <c r="BL185" s="9"/>
      <c r="BM185" s="9"/>
      <c r="BN185" s="9"/>
      <c r="BO185" s="9"/>
      <c r="BP185" s="9"/>
      <c r="BQ185" s="9"/>
      <c r="BR185" s="9"/>
      <c r="BS185" s="9"/>
      <c r="BT185" s="9"/>
      <c r="BU185" s="9"/>
      <c r="BV185" s="9"/>
      <c r="BW185" s="9"/>
      <c r="BX185" s="9"/>
      <c r="BY185" s="9"/>
      <c r="BZ185" s="9"/>
      <c r="CA185" s="9"/>
      <c r="CB185" s="9"/>
      <c r="CC185" s="9"/>
      <c r="CD185" s="9"/>
      <c r="CE185" s="9"/>
      <c r="CF185" s="9"/>
      <c r="CG185" s="9"/>
      <c r="CH185" s="9"/>
      <c r="CI185" s="9"/>
      <c r="CJ185" s="9"/>
      <c r="CK185" s="9"/>
      <c r="CL185" s="9"/>
      <c r="CM185" s="9"/>
      <c r="CN185" s="9"/>
      <c r="CO185" s="9"/>
      <c r="CP185" s="9"/>
      <c r="CQ185" s="9"/>
      <c r="CR185" s="9"/>
      <c r="CS185" s="9"/>
      <c r="CT185" s="9"/>
      <c r="CU185" s="9"/>
      <c r="CV185" s="9"/>
      <c r="CW185" s="9"/>
      <c r="CX185" s="9"/>
      <c r="CY185" s="9"/>
      <c r="CZ185" s="9"/>
      <c r="DA185" s="9"/>
      <c r="DB185" s="9"/>
      <c r="DC185" s="9"/>
      <c r="DD185" s="9"/>
      <c r="DE185" s="9"/>
      <c r="DF185" s="9"/>
      <c r="DG185" s="9"/>
      <c r="DH185" s="9"/>
      <c r="DI185" s="9"/>
      <c r="DJ185" s="9"/>
      <c r="DK185" s="9"/>
      <c r="DL185" s="9"/>
      <c r="DM185" s="9"/>
      <c r="DN185" s="9"/>
    </row>
    <row r="186" spans="1:118" ht="23.25" x14ac:dyDescent="0.25">
      <c r="B186" s="60"/>
      <c r="C186" s="44"/>
      <c r="D186" s="203" t="s">
        <v>92</v>
      </c>
      <c r="E186" s="62"/>
      <c r="F186" s="63"/>
      <c r="G186" s="41"/>
      <c r="H186" s="244" t="str">
        <f ca="1">_xll.DBRA(Server&amp;$D$20,$D186,"French")</f>
        <v>Nombre de stagiaires</v>
      </c>
      <c r="I186" s="245"/>
      <c r="J186" s="246"/>
      <c r="K186" s="150"/>
      <c r="L186" s="180">
        <f ca="1">_xll.DBRW(Server&amp;Cube1,$J$12,$L$13,$J$14,$L$1,$J$11,$J$15,$D186)</f>
        <v>0</v>
      </c>
      <c r="M186" s="173">
        <f ca="1">_xll.DBRW(Server&amp;Cube1,$J$12,$J$13,$J$14,$M$1,$J$11,$J$15,$D186)</f>
        <v>6500.0000000000009</v>
      </c>
      <c r="N186" s="174">
        <f t="shared" ref="N186:N190" ca="1" si="297">L186-M186</f>
        <v>-6500.0000000000009</v>
      </c>
      <c r="O186" s="177">
        <f t="shared" ref="O186:O190" ca="1" si="298">IF(ISERROR(N186/M186),"-",N186/M186)</f>
        <v>-1</v>
      </c>
      <c r="P186" s="138"/>
      <c r="Q186" s="180">
        <f ca="1">_xll.DBRW(Server&amp;Cube1,$J$12,$L$13,$J$14,$Q$1,$J$11,$J$15,$D186)</f>
        <v>0</v>
      </c>
      <c r="R186" s="174">
        <f t="shared" ref="R186:R190" ca="1" si="299">L186-Q186</f>
        <v>0</v>
      </c>
      <c r="S186" s="177" t="str">
        <f t="shared" ref="S186:S190" ca="1" si="300">IF(ISERROR(R186/Q186),"-",R186/Q186)</f>
        <v>-</v>
      </c>
      <c r="T186" s="138"/>
      <c r="U186" s="180">
        <f ca="1">_xll.DBRW(Server&amp;Cube1,$J$12,$L$13,$J$14,$U$1,$U$2,$J$15,$D186)</f>
        <v>0</v>
      </c>
      <c r="V186" s="174">
        <f t="shared" ref="V186:V190" ca="1" si="301">L186-U186</f>
        <v>0</v>
      </c>
      <c r="W186" s="177" t="str">
        <f t="shared" ref="W186:W190" ca="1" si="302">IF(ISERROR(V186/U186),"-",V186/U186)</f>
        <v>-</v>
      </c>
      <c r="X186" s="65"/>
      <c r="Y186" s="31"/>
      <c r="Z186" s="9"/>
      <c r="AA186" s="66"/>
      <c r="AB186" s="66"/>
      <c r="AC186" s="9"/>
      <c r="AD186" s="9"/>
      <c r="AE186" s="9"/>
      <c r="AF186" s="9"/>
      <c r="AG186" s="9"/>
      <c r="AH186" s="9"/>
      <c r="AI186" s="9"/>
      <c r="AJ186" s="9"/>
      <c r="AK186" s="9"/>
      <c r="AL186" s="9"/>
      <c r="AM186" s="9"/>
      <c r="AN186" s="9"/>
      <c r="AO186" s="9"/>
      <c r="AP186" s="9"/>
      <c r="AQ186" s="9"/>
      <c r="AR186" s="9"/>
      <c r="AS186" s="9"/>
      <c r="AT186" s="9"/>
      <c r="AU186" s="9"/>
      <c r="AV186" s="9"/>
      <c r="AW186" s="9"/>
      <c r="AX186" s="9"/>
      <c r="AY186" s="9"/>
      <c r="AZ186" s="9"/>
      <c r="BA186" s="9"/>
      <c r="BB186" s="9"/>
      <c r="BC186" s="9"/>
      <c r="BD186" s="9"/>
      <c r="BE186" s="9"/>
      <c r="BF186" s="9"/>
      <c r="BG186" s="9"/>
      <c r="BH186" s="9"/>
      <c r="BI186" s="9"/>
      <c r="BJ186" s="9"/>
      <c r="BK186" s="9"/>
      <c r="BL186" s="9"/>
      <c r="BM186" s="9"/>
      <c r="BN186" s="9"/>
      <c r="BO186" s="9"/>
      <c r="BP186" s="9"/>
      <c r="BQ186" s="9"/>
      <c r="BR186" s="9"/>
      <c r="BS186" s="9"/>
      <c r="BT186" s="9"/>
      <c r="BU186" s="9"/>
      <c r="BV186" s="9"/>
      <c r="BW186" s="9"/>
      <c r="BX186" s="9"/>
      <c r="BY186" s="9"/>
      <c r="BZ186" s="9"/>
      <c r="CA186" s="9"/>
      <c r="CB186" s="9"/>
      <c r="CC186" s="9"/>
      <c r="CD186" s="9"/>
      <c r="CE186" s="9"/>
      <c r="CF186" s="9"/>
      <c r="CG186" s="9"/>
      <c r="CH186" s="9"/>
      <c r="CI186" s="9"/>
      <c r="CJ186" s="9"/>
      <c r="CK186" s="9"/>
      <c r="CL186" s="9"/>
      <c r="CM186" s="9"/>
      <c r="CN186" s="9"/>
      <c r="CO186" s="9"/>
      <c r="CP186" s="9"/>
      <c r="CQ186" s="9"/>
      <c r="CR186" s="9"/>
      <c r="CS186" s="9"/>
      <c r="CT186" s="9"/>
      <c r="CU186" s="9"/>
      <c r="CV186" s="9"/>
      <c r="CW186" s="9"/>
      <c r="CX186" s="9"/>
      <c r="CY186" s="9"/>
      <c r="CZ186" s="9"/>
      <c r="DA186" s="9"/>
      <c r="DB186" s="9"/>
      <c r="DC186" s="9"/>
      <c r="DD186" s="9"/>
      <c r="DE186" s="9"/>
      <c r="DF186" s="9"/>
      <c r="DG186" s="9"/>
      <c r="DH186" s="9"/>
      <c r="DI186" s="9"/>
      <c r="DJ186" s="9"/>
      <c r="DK186" s="9"/>
      <c r="DL186" s="9"/>
      <c r="DM186" s="9"/>
      <c r="DN186" s="9"/>
    </row>
    <row r="187" spans="1:118" ht="23.25" x14ac:dyDescent="0.25">
      <c r="B187" s="60"/>
      <c r="C187" s="44"/>
      <c r="D187" s="203" t="s">
        <v>93</v>
      </c>
      <c r="E187" s="62"/>
      <c r="F187" s="63"/>
      <c r="G187" s="41"/>
      <c r="H187" s="238" t="str">
        <f ca="1">_xll.DBRA(Server&amp;$D$20,$D187,"French")</f>
        <v>Nombre de sessions</v>
      </c>
      <c r="I187" s="239"/>
      <c r="J187" s="240"/>
      <c r="K187" s="150"/>
      <c r="L187" s="181">
        <f ca="1">_xll.DBRW(Server&amp;Cube1,$J$12,$L$13,$J$14,$L$1,$J$11,$J$15,$D187)</f>
        <v>0</v>
      </c>
      <c r="M187" s="151">
        <f ca="1">_xll.DBRW(Server&amp;Cube1,$J$12,$J$13,$J$14,$M$1,$J$11,$J$15,$D187)</f>
        <v>1301.0000000000002</v>
      </c>
      <c r="N187" s="136">
        <f t="shared" ca="1" si="297"/>
        <v>-1301.0000000000002</v>
      </c>
      <c r="O187" s="178">
        <f t="shared" ca="1" si="298"/>
        <v>-1</v>
      </c>
      <c r="P187" s="138"/>
      <c r="Q187" s="181">
        <f ca="1">_xll.DBRW(Server&amp;Cube1,$J$12,$L$13,$J$14,$Q$1,$J$11,$J$15,$D187)</f>
        <v>0</v>
      </c>
      <c r="R187" s="136">
        <f t="shared" ca="1" si="299"/>
        <v>0</v>
      </c>
      <c r="S187" s="178" t="str">
        <f t="shared" ca="1" si="300"/>
        <v>-</v>
      </c>
      <c r="T187" s="138"/>
      <c r="U187" s="181">
        <f ca="1">_xll.DBRW(Server&amp;Cube1,$J$12,$L$13,$J$14,$U$1,$U$2,$J$15,$D187)</f>
        <v>0</v>
      </c>
      <c r="V187" s="136">
        <f t="shared" ca="1" si="301"/>
        <v>0</v>
      </c>
      <c r="W187" s="178" t="str">
        <f t="shared" ca="1" si="302"/>
        <v>-</v>
      </c>
      <c r="X187" s="65"/>
      <c r="Y187" s="31"/>
      <c r="Z187" s="9"/>
      <c r="AA187" s="66"/>
      <c r="AB187" s="66"/>
      <c r="AC187" s="9"/>
      <c r="AD187" s="9"/>
      <c r="AE187" s="9"/>
      <c r="AF187" s="9"/>
      <c r="AG187" s="9"/>
      <c r="AH187" s="9"/>
      <c r="AI187" s="9"/>
      <c r="AJ187" s="9"/>
      <c r="AK187" s="9"/>
      <c r="AL187" s="9"/>
      <c r="AM187" s="9"/>
      <c r="AN187" s="9"/>
      <c r="AO187" s="9"/>
      <c r="AP187" s="9"/>
      <c r="AQ187" s="9"/>
      <c r="AR187" s="9"/>
      <c r="AS187" s="9"/>
      <c r="AT187" s="9"/>
      <c r="AU187" s="9"/>
      <c r="AV187" s="9"/>
      <c r="AW187" s="9"/>
      <c r="AX187" s="9"/>
      <c r="AY187" s="9"/>
      <c r="AZ187" s="9"/>
      <c r="BA187" s="9"/>
      <c r="BB187" s="9"/>
      <c r="BC187" s="9"/>
      <c r="BD187" s="9"/>
      <c r="BE187" s="9"/>
      <c r="BF187" s="9"/>
      <c r="BG187" s="9"/>
      <c r="BH187" s="9"/>
      <c r="BI187" s="9"/>
      <c r="BJ187" s="9"/>
      <c r="BK187" s="9"/>
      <c r="BL187" s="9"/>
      <c r="BM187" s="9"/>
      <c r="BN187" s="9"/>
      <c r="BO187" s="9"/>
      <c r="BP187" s="9"/>
      <c r="BQ187" s="9"/>
      <c r="BR187" s="9"/>
      <c r="BS187" s="9"/>
      <c r="BT187" s="9"/>
      <c r="BU187" s="9"/>
      <c r="BV187" s="9"/>
      <c r="BW187" s="9"/>
      <c r="BX187" s="9"/>
      <c r="BY187" s="9"/>
      <c r="BZ187" s="9"/>
      <c r="CA187" s="9"/>
      <c r="CB187" s="9"/>
      <c r="CC187" s="9"/>
      <c r="CD187" s="9"/>
      <c r="CE187" s="9"/>
      <c r="CF187" s="9"/>
      <c r="CG187" s="9"/>
      <c r="CH187" s="9"/>
      <c r="CI187" s="9"/>
      <c r="CJ187" s="9"/>
      <c r="CK187" s="9"/>
      <c r="CL187" s="9"/>
      <c r="CM187" s="9"/>
      <c r="CN187" s="9"/>
      <c r="CO187" s="9"/>
      <c r="CP187" s="9"/>
      <c r="CQ187" s="9"/>
      <c r="CR187" s="9"/>
      <c r="CS187" s="9"/>
      <c r="CT187" s="9"/>
      <c r="CU187" s="9"/>
      <c r="CV187" s="9"/>
      <c r="CW187" s="9"/>
      <c r="CX187" s="9"/>
      <c r="CY187" s="9"/>
      <c r="CZ187" s="9"/>
      <c r="DA187" s="9"/>
      <c r="DB187" s="9"/>
      <c r="DC187" s="9"/>
      <c r="DD187" s="9"/>
      <c r="DE187" s="9"/>
      <c r="DF187" s="9"/>
      <c r="DG187" s="9"/>
      <c r="DH187" s="9"/>
      <c r="DI187" s="9"/>
      <c r="DJ187" s="9"/>
      <c r="DK187" s="9"/>
      <c r="DL187" s="9"/>
      <c r="DM187" s="9"/>
      <c r="DN187" s="9"/>
    </row>
    <row r="188" spans="1:118" ht="23.25" x14ac:dyDescent="0.25">
      <c r="B188" s="60"/>
      <c r="C188" s="44"/>
      <c r="D188" s="203" t="s">
        <v>94</v>
      </c>
      <c r="E188" s="62"/>
      <c r="F188" s="63"/>
      <c r="G188" s="41"/>
      <c r="H188" s="238" t="str">
        <f ca="1">_xll.DBRA(Server&amp;$D$20,$D188,"French")</f>
        <v>Heures de formation</v>
      </c>
      <c r="I188" s="239"/>
      <c r="J188" s="240"/>
      <c r="K188" s="150"/>
      <c r="L188" s="181">
        <f ca="1">_xll.DBRW(Server&amp;Cube1,$J$12,$L$13,$J$14,$L$1,$J$11,$J$15,$D188)</f>
        <v>0</v>
      </c>
      <c r="M188" s="151">
        <f ca="1">_xll.DBRW(Server&amp;Cube1,$J$12,$J$13,$J$14,$M$1,$J$11,$J$15,$D188)</f>
        <v>245079</v>
      </c>
      <c r="N188" s="136">
        <f t="shared" ca="1" si="297"/>
        <v>-245079</v>
      </c>
      <c r="O188" s="178">
        <f t="shared" ca="1" si="298"/>
        <v>-1</v>
      </c>
      <c r="P188" s="138"/>
      <c r="Q188" s="181">
        <f ca="1">_xll.DBRW(Server&amp;Cube1,$J$12,$L$13,$J$14,$Q$1,$J$11,$J$15,$D188)</f>
        <v>0</v>
      </c>
      <c r="R188" s="136">
        <f t="shared" ca="1" si="299"/>
        <v>0</v>
      </c>
      <c r="S188" s="178" t="str">
        <f t="shared" ca="1" si="300"/>
        <v>-</v>
      </c>
      <c r="T188" s="138"/>
      <c r="U188" s="181">
        <f ca="1">_xll.DBRW(Server&amp;Cube1,$J$12,$L$13,$J$14,$U$1,$U$2,$J$15,$D188)</f>
        <v>0</v>
      </c>
      <c r="V188" s="136">
        <f t="shared" ca="1" si="301"/>
        <v>0</v>
      </c>
      <c r="W188" s="178" t="str">
        <f t="shared" ca="1" si="302"/>
        <v>-</v>
      </c>
      <c r="X188" s="65"/>
      <c r="Y188" s="31"/>
      <c r="Z188" s="9"/>
      <c r="AA188" s="66"/>
      <c r="AB188" s="66"/>
      <c r="AC188" s="9"/>
      <c r="AD188" s="9"/>
      <c r="AE188" s="9"/>
      <c r="AF188" s="9"/>
      <c r="AG188" s="9"/>
      <c r="AH188" s="9"/>
      <c r="AI188" s="9"/>
      <c r="AJ188" s="9"/>
      <c r="AK188" s="9"/>
      <c r="AL188" s="9"/>
      <c r="AM188" s="9"/>
      <c r="AN188" s="9"/>
      <c r="AO188" s="9"/>
      <c r="AP188" s="9"/>
      <c r="AQ188" s="9"/>
      <c r="AR188" s="9"/>
      <c r="AS188" s="9"/>
      <c r="AT188" s="9"/>
      <c r="AU188" s="9"/>
      <c r="AV188" s="9"/>
      <c r="AW188" s="9"/>
      <c r="AX188" s="9"/>
      <c r="AY188" s="9"/>
      <c r="AZ188" s="9"/>
      <c r="BA188" s="9"/>
      <c r="BB188" s="9"/>
      <c r="BC188" s="9"/>
      <c r="BD188" s="9"/>
      <c r="BE188" s="9"/>
      <c r="BF188" s="9"/>
      <c r="BG188" s="9"/>
      <c r="BH188" s="9"/>
      <c r="BI188" s="9"/>
      <c r="BJ188" s="9"/>
      <c r="BK188" s="9"/>
      <c r="BL188" s="9"/>
      <c r="BM188" s="9"/>
      <c r="BN188" s="9"/>
      <c r="BO188" s="9"/>
      <c r="BP188" s="9"/>
      <c r="BQ188" s="9"/>
      <c r="BR188" s="9"/>
      <c r="BS188" s="9"/>
      <c r="BT188" s="9"/>
      <c r="BU188" s="9"/>
      <c r="BV188" s="9"/>
      <c r="BW188" s="9"/>
      <c r="BX188" s="9"/>
      <c r="BY188" s="9"/>
      <c r="BZ188" s="9"/>
      <c r="CA188" s="9"/>
      <c r="CB188" s="9"/>
      <c r="CC188" s="9"/>
      <c r="CD188" s="9"/>
      <c r="CE188" s="9"/>
      <c r="CF188" s="9"/>
      <c r="CG188" s="9"/>
      <c r="CH188" s="9"/>
      <c r="CI188" s="9"/>
      <c r="CJ188" s="9"/>
      <c r="CK188" s="9"/>
      <c r="CL188" s="9"/>
      <c r="CM188" s="9"/>
      <c r="CN188" s="9"/>
      <c r="CO188" s="9"/>
      <c r="CP188" s="9"/>
      <c r="CQ188" s="9"/>
      <c r="CR188" s="9"/>
      <c r="CS188" s="9"/>
      <c r="CT188" s="9"/>
      <c r="CU188" s="9"/>
      <c r="CV188" s="9"/>
      <c r="CW188" s="9"/>
      <c r="CX188" s="9"/>
      <c r="CY188" s="9"/>
      <c r="CZ188" s="9"/>
      <c r="DA188" s="9"/>
      <c r="DB188" s="9"/>
      <c r="DC188" s="9"/>
      <c r="DD188" s="9"/>
      <c r="DE188" s="9"/>
      <c r="DF188" s="9"/>
      <c r="DG188" s="9"/>
      <c r="DH188" s="9"/>
      <c r="DI188" s="9"/>
      <c r="DJ188" s="9"/>
      <c r="DK188" s="9"/>
      <c r="DL188" s="9"/>
      <c r="DM188" s="9"/>
      <c r="DN188" s="9"/>
    </row>
    <row r="189" spans="1:118" ht="23.25" x14ac:dyDescent="0.25">
      <c r="B189" s="60"/>
      <c r="C189" s="44"/>
      <c r="D189" s="203" t="s">
        <v>95</v>
      </c>
      <c r="E189" s="62"/>
      <c r="F189" s="63"/>
      <c r="G189" s="41"/>
      <c r="H189" s="238" t="str">
        <f ca="1">_xll.DBRA(Server&amp;$D$20,$D189,"French")</f>
        <v>Total journées formateurs  internes</v>
      </c>
      <c r="I189" s="239"/>
      <c r="J189" s="240"/>
      <c r="K189" s="150"/>
      <c r="L189" s="181">
        <f ca="1">_xll.DBRW(Server&amp;Cube1,$J$12,$L$13,$J$14,$L$1,$J$11,$J$15,$D189)</f>
        <v>0</v>
      </c>
      <c r="M189" s="151">
        <f ca="1">_xll.DBRW(Server&amp;Cube1,$J$12,$J$13,$J$14,$M$1,$J$11,$J$15,$D189)</f>
        <v>4910</v>
      </c>
      <c r="N189" s="136">
        <f t="shared" ca="1" si="297"/>
        <v>-4910</v>
      </c>
      <c r="O189" s="178">
        <f t="shared" ca="1" si="298"/>
        <v>-1</v>
      </c>
      <c r="P189" s="138"/>
      <c r="Q189" s="181">
        <f ca="1">_xll.DBRW(Server&amp;Cube1,$J$12,$L$13,$J$14,$Q$1,$J$11,$J$15,$D189)</f>
        <v>0</v>
      </c>
      <c r="R189" s="136">
        <f t="shared" ca="1" si="299"/>
        <v>0</v>
      </c>
      <c r="S189" s="178" t="str">
        <f t="shared" ca="1" si="300"/>
        <v>-</v>
      </c>
      <c r="T189" s="138"/>
      <c r="U189" s="181">
        <f ca="1">_xll.DBRW(Server&amp;Cube1,$J$12,$L$13,$J$14,$U$1,$U$2,$J$15,$D189)</f>
        <v>0</v>
      </c>
      <c r="V189" s="136">
        <f t="shared" ca="1" si="301"/>
        <v>0</v>
      </c>
      <c r="W189" s="178" t="str">
        <f t="shared" ca="1" si="302"/>
        <v>-</v>
      </c>
      <c r="X189" s="65"/>
      <c r="Y189" s="31"/>
      <c r="Z189" s="9"/>
      <c r="AA189" s="66"/>
      <c r="AB189" s="66"/>
      <c r="AC189" s="9"/>
      <c r="AD189" s="9"/>
      <c r="AE189" s="9"/>
      <c r="AF189" s="9"/>
      <c r="AG189" s="9"/>
      <c r="AH189" s="9"/>
      <c r="AI189" s="9"/>
      <c r="AJ189" s="9"/>
      <c r="AK189" s="9"/>
      <c r="AL189" s="9"/>
      <c r="AM189" s="9"/>
      <c r="AN189" s="9"/>
      <c r="AO189" s="9"/>
      <c r="AP189" s="9"/>
      <c r="AQ189" s="9"/>
      <c r="AR189" s="9"/>
      <c r="AS189" s="9"/>
      <c r="AT189" s="9"/>
      <c r="AU189" s="9"/>
      <c r="AV189" s="9"/>
      <c r="AW189" s="9"/>
      <c r="AX189" s="9"/>
      <c r="AY189" s="9"/>
      <c r="AZ189" s="9"/>
      <c r="BA189" s="9"/>
      <c r="BB189" s="9"/>
      <c r="BC189" s="9"/>
      <c r="BD189" s="9"/>
      <c r="BE189" s="9"/>
      <c r="BF189" s="9"/>
      <c r="BG189" s="9"/>
      <c r="BH189" s="9"/>
      <c r="BI189" s="9"/>
      <c r="BJ189" s="9"/>
      <c r="BK189" s="9"/>
      <c r="BL189" s="9"/>
      <c r="BM189" s="9"/>
      <c r="BN189" s="9"/>
      <c r="BO189" s="9"/>
      <c r="BP189" s="9"/>
      <c r="BQ189" s="9"/>
      <c r="BR189" s="9"/>
      <c r="BS189" s="9"/>
      <c r="BT189" s="9"/>
      <c r="BU189" s="9"/>
      <c r="BV189" s="9"/>
      <c r="BW189" s="9"/>
      <c r="BX189" s="9"/>
      <c r="BY189" s="9"/>
      <c r="BZ189" s="9"/>
      <c r="CA189" s="9"/>
      <c r="CB189" s="9"/>
      <c r="CC189" s="9"/>
      <c r="CD189" s="9"/>
      <c r="CE189" s="9"/>
      <c r="CF189" s="9"/>
      <c r="CG189" s="9"/>
      <c r="CH189" s="9"/>
      <c r="CI189" s="9"/>
      <c r="CJ189" s="9"/>
      <c r="CK189" s="9"/>
      <c r="CL189" s="9"/>
      <c r="CM189" s="9"/>
      <c r="CN189" s="9"/>
      <c r="CO189" s="9"/>
      <c r="CP189" s="9"/>
      <c r="CQ189" s="9"/>
      <c r="CR189" s="9"/>
      <c r="CS189" s="9"/>
      <c r="CT189" s="9"/>
      <c r="CU189" s="9"/>
      <c r="CV189" s="9"/>
      <c r="CW189" s="9"/>
      <c r="CX189" s="9"/>
      <c r="CY189" s="9"/>
      <c r="CZ189" s="9"/>
      <c r="DA189" s="9"/>
      <c r="DB189" s="9"/>
      <c r="DC189" s="9"/>
      <c r="DD189" s="9"/>
      <c r="DE189" s="9"/>
      <c r="DF189" s="9"/>
      <c r="DG189" s="9"/>
      <c r="DH189" s="9"/>
      <c r="DI189" s="9"/>
      <c r="DJ189" s="9"/>
      <c r="DK189" s="9"/>
      <c r="DL189" s="9"/>
      <c r="DM189" s="9"/>
      <c r="DN189" s="9"/>
    </row>
    <row r="190" spans="1:118" ht="23.25" x14ac:dyDescent="0.25">
      <c r="B190" s="60"/>
      <c r="C190" s="44"/>
      <c r="D190" s="203" t="s">
        <v>96</v>
      </c>
      <c r="E190" s="62"/>
      <c r="F190" s="63"/>
      <c r="G190" s="41"/>
      <c r="H190" s="241" t="str">
        <f ca="1">_xll.DBRA(Server&amp;$D$20,$D190,"French")</f>
        <v>Total journées formateurs externes</v>
      </c>
      <c r="I190" s="242"/>
      <c r="J190" s="243"/>
      <c r="K190" s="150"/>
      <c r="L190" s="182">
        <f ca="1">_xll.DBRW(Server&amp;Cube1,$J$12,$L$13,$J$14,$L$1,$J$11,$J$15,$D190)</f>
        <v>0</v>
      </c>
      <c r="M190" s="175">
        <f ca="1">_xll.DBRW(Server&amp;Cube1,$J$12,$J$13,$J$14,$M$1,$J$11,$J$15,$D190)</f>
        <v>1143</v>
      </c>
      <c r="N190" s="176">
        <f t="shared" ca="1" si="297"/>
        <v>-1143</v>
      </c>
      <c r="O190" s="179">
        <f t="shared" ca="1" si="298"/>
        <v>-1</v>
      </c>
      <c r="P190" s="138"/>
      <c r="Q190" s="182">
        <f ca="1">_xll.DBRW(Server&amp;Cube1,$J$12,$L$13,$J$14,$Q$1,$J$11,$J$15,$D190)</f>
        <v>0</v>
      </c>
      <c r="R190" s="176">
        <f t="shared" ca="1" si="299"/>
        <v>0</v>
      </c>
      <c r="S190" s="179" t="str">
        <f t="shared" ca="1" si="300"/>
        <v>-</v>
      </c>
      <c r="T190" s="138"/>
      <c r="U190" s="182">
        <f ca="1">_xll.DBRW(Server&amp;Cube1,$J$12,$L$13,$J$14,$U$1,$U$2,$J$15,$D190)</f>
        <v>0</v>
      </c>
      <c r="V190" s="176">
        <f t="shared" ca="1" si="301"/>
        <v>0</v>
      </c>
      <c r="W190" s="179" t="str">
        <f t="shared" ca="1" si="302"/>
        <v>-</v>
      </c>
      <c r="X190" s="65"/>
      <c r="Y190" s="31"/>
      <c r="Z190" s="9"/>
      <c r="AA190" s="66"/>
      <c r="AB190" s="66"/>
      <c r="AC190" s="9"/>
      <c r="AD190" s="9"/>
      <c r="AE190" s="9"/>
      <c r="AF190" s="9"/>
      <c r="AG190" s="9"/>
      <c r="AH190" s="9"/>
      <c r="AI190" s="9"/>
      <c r="AJ190" s="9"/>
      <c r="AK190" s="9"/>
      <c r="AL190" s="9"/>
      <c r="AM190" s="9"/>
      <c r="AN190" s="9"/>
      <c r="AO190" s="9"/>
      <c r="AP190" s="9"/>
      <c r="AQ190" s="9"/>
      <c r="AR190" s="9"/>
      <c r="AS190" s="9"/>
      <c r="AT190" s="9"/>
      <c r="AU190" s="9"/>
      <c r="AV190" s="9"/>
      <c r="AW190" s="9"/>
      <c r="AX190" s="9"/>
      <c r="AY190" s="9"/>
      <c r="AZ190" s="9"/>
      <c r="BA190" s="9"/>
      <c r="BB190" s="9"/>
      <c r="BC190" s="9"/>
      <c r="BD190" s="9"/>
      <c r="BE190" s="9"/>
      <c r="BF190" s="9"/>
      <c r="BG190" s="9"/>
      <c r="BH190" s="9"/>
      <c r="BI190" s="9"/>
      <c r="BJ190" s="9"/>
      <c r="BK190" s="9"/>
      <c r="BL190" s="9"/>
      <c r="BM190" s="9"/>
      <c r="BN190" s="9"/>
      <c r="BO190" s="9"/>
      <c r="BP190" s="9"/>
      <c r="BQ190" s="9"/>
      <c r="BR190" s="9"/>
      <c r="BS190" s="9"/>
      <c r="BT190" s="9"/>
      <c r="BU190" s="9"/>
      <c r="BV190" s="9"/>
      <c r="BW190" s="9"/>
      <c r="BX190" s="9"/>
      <c r="BY190" s="9"/>
      <c r="BZ190" s="9"/>
      <c r="CA190" s="9"/>
      <c r="CB190" s="9"/>
      <c r="CC190" s="9"/>
      <c r="CD190" s="9"/>
      <c r="CE190" s="9"/>
      <c r="CF190" s="9"/>
      <c r="CG190" s="9"/>
      <c r="CH190" s="9"/>
      <c r="CI190" s="9"/>
      <c r="CJ190" s="9"/>
      <c r="CK190" s="9"/>
      <c r="CL190" s="9"/>
      <c r="CM190" s="9"/>
      <c r="CN190" s="9"/>
      <c r="CO190" s="9"/>
      <c r="CP190" s="9"/>
      <c r="CQ190" s="9"/>
      <c r="CR190" s="9"/>
      <c r="CS190" s="9"/>
      <c r="CT190" s="9"/>
      <c r="CU190" s="9"/>
      <c r="CV190" s="9"/>
      <c r="CW190" s="9"/>
      <c r="CX190" s="9"/>
      <c r="CY190" s="9"/>
      <c r="CZ190" s="9"/>
      <c r="DA190" s="9"/>
      <c r="DB190" s="9"/>
      <c r="DC190" s="9"/>
      <c r="DD190" s="9"/>
      <c r="DE190" s="9"/>
      <c r="DF190" s="9"/>
      <c r="DG190" s="9"/>
      <c r="DH190" s="9"/>
      <c r="DI190" s="9"/>
      <c r="DJ190" s="9"/>
      <c r="DK190" s="9"/>
      <c r="DL190" s="9"/>
      <c r="DM190" s="9"/>
      <c r="DN190" s="9"/>
    </row>
    <row r="191" spans="1:118" s="37" customFormat="1" ht="15" customHeight="1" x14ac:dyDescent="0.25">
      <c r="A191" s="10"/>
      <c r="B191" s="1"/>
      <c r="C191" s="44"/>
      <c r="D191" s="207"/>
      <c r="E191" s="68"/>
      <c r="F191" s="69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31"/>
      <c r="Z191" s="9"/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9"/>
      <c r="AL191" s="9"/>
      <c r="AM191" s="9"/>
      <c r="AN191" s="9"/>
      <c r="AO191" s="9"/>
      <c r="AP191" s="9"/>
      <c r="AQ191" s="9"/>
      <c r="AR191" s="9"/>
      <c r="AS191" s="9"/>
      <c r="AT191" s="9"/>
      <c r="AU191" s="9"/>
      <c r="AV191" s="9"/>
      <c r="AW191" s="9"/>
      <c r="AX191" s="9"/>
      <c r="AY191" s="9"/>
      <c r="AZ191" s="9"/>
      <c r="BA191" s="9"/>
      <c r="BB191" s="9"/>
      <c r="BC191" s="9"/>
      <c r="BD191" s="9"/>
      <c r="BE191" s="9"/>
      <c r="BF191" s="9"/>
      <c r="BG191" s="9"/>
      <c r="BH191" s="9"/>
      <c r="BI191" s="9"/>
      <c r="BJ191" s="9"/>
      <c r="BK191" s="9"/>
      <c r="BL191" s="9"/>
      <c r="BM191" s="9"/>
      <c r="BN191" s="9"/>
      <c r="BO191" s="9"/>
      <c r="BP191" s="9"/>
      <c r="BQ191" s="9"/>
      <c r="BR191" s="9"/>
      <c r="BS191" s="9"/>
      <c r="BT191" s="9"/>
      <c r="BU191" s="9"/>
      <c r="BV191" s="9"/>
      <c r="BW191" s="9"/>
      <c r="BX191" s="9"/>
      <c r="BY191" s="9"/>
      <c r="BZ191" s="9"/>
      <c r="CA191" s="9"/>
      <c r="CB191" s="9"/>
      <c r="CC191" s="9"/>
      <c r="CD191" s="9"/>
      <c r="CE191" s="9"/>
      <c r="CF191" s="9"/>
      <c r="CG191" s="9"/>
      <c r="CH191" s="9"/>
      <c r="CI191" s="9"/>
      <c r="CJ191" s="9"/>
      <c r="CK191" s="9"/>
      <c r="CL191" s="9"/>
      <c r="CM191" s="9"/>
      <c r="CN191" s="9"/>
      <c r="CO191" s="9"/>
      <c r="CP191" s="9"/>
      <c r="CQ191" s="9"/>
      <c r="CR191" s="9"/>
      <c r="CS191" s="9"/>
      <c r="CT191" s="9"/>
      <c r="CU191" s="9"/>
      <c r="CV191" s="9"/>
      <c r="CW191" s="9"/>
      <c r="CX191" s="9"/>
      <c r="CY191" s="9"/>
      <c r="CZ191" s="9"/>
      <c r="DA191" s="9"/>
      <c r="DB191" s="9"/>
      <c r="DC191" s="9"/>
      <c r="DD191" s="9"/>
      <c r="DE191" s="9"/>
      <c r="DF191" s="9"/>
      <c r="DG191" s="9"/>
      <c r="DH191" s="9"/>
      <c r="DI191" s="9"/>
      <c r="DJ191" s="9"/>
      <c r="DK191" s="9"/>
      <c r="DL191" s="9"/>
      <c r="DM191" s="9"/>
      <c r="DN191" s="9"/>
    </row>
    <row r="192" spans="1:118" s="37" customFormat="1" ht="9.75" customHeight="1" x14ac:dyDescent="0.25">
      <c r="A192" s="10"/>
      <c r="B192" s="1"/>
      <c r="C192" s="67"/>
      <c r="D192" s="207"/>
      <c r="E192" s="68"/>
      <c r="F192" s="69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31"/>
      <c r="Z192" s="9"/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9"/>
      <c r="AL192" s="9"/>
      <c r="AM192" s="9"/>
      <c r="AN192" s="9"/>
      <c r="AO192" s="9"/>
      <c r="AP192" s="9"/>
      <c r="AQ192" s="9"/>
      <c r="AR192" s="9"/>
      <c r="AS192" s="9"/>
      <c r="AT192" s="9"/>
      <c r="AU192" s="9"/>
      <c r="AV192" s="9"/>
      <c r="AW192" s="9"/>
      <c r="AX192" s="9"/>
      <c r="AY192" s="9"/>
      <c r="AZ192" s="9"/>
      <c r="BA192" s="9"/>
      <c r="BB192" s="9"/>
      <c r="BC192" s="9"/>
      <c r="BD192" s="9"/>
      <c r="BE192" s="9"/>
      <c r="BF192" s="9"/>
      <c r="BG192" s="9"/>
      <c r="BH192" s="9"/>
      <c r="BI192" s="9"/>
      <c r="BJ192" s="9"/>
      <c r="BK192" s="9"/>
      <c r="BL192" s="9"/>
      <c r="BM192" s="9"/>
      <c r="BN192" s="9"/>
      <c r="BO192" s="9"/>
      <c r="BP192" s="9"/>
      <c r="BQ192" s="9"/>
      <c r="BR192" s="9"/>
      <c r="BS192" s="9"/>
      <c r="BT192" s="9"/>
      <c r="BU192" s="9"/>
      <c r="BV192" s="9"/>
      <c r="BW192" s="9"/>
      <c r="BX192" s="9"/>
      <c r="BY192" s="9"/>
      <c r="BZ192" s="9"/>
      <c r="CA192" s="9"/>
      <c r="CB192" s="9"/>
      <c r="CC192" s="9"/>
      <c r="CD192" s="9"/>
      <c r="CE192" s="9"/>
      <c r="CF192" s="9"/>
      <c r="CG192" s="9"/>
      <c r="CH192" s="9"/>
      <c r="CI192" s="9"/>
      <c r="CJ192" s="9"/>
      <c r="CK192" s="9"/>
      <c r="CL192" s="9"/>
      <c r="CM192" s="9"/>
      <c r="CN192" s="9"/>
      <c r="CO192" s="9"/>
      <c r="CP192" s="9"/>
      <c r="CQ192" s="9"/>
      <c r="CR192" s="9"/>
      <c r="CS192" s="9"/>
      <c r="CT192" s="9"/>
      <c r="CU192" s="9"/>
      <c r="CV192" s="9"/>
      <c r="CW192" s="9"/>
      <c r="CX192" s="9"/>
      <c r="CY192" s="9"/>
      <c r="CZ192" s="9"/>
      <c r="DA192" s="9"/>
      <c r="DB192" s="9"/>
      <c r="DC192" s="9"/>
      <c r="DD192" s="9"/>
      <c r="DE192" s="9"/>
      <c r="DF192" s="9"/>
      <c r="DG192" s="9"/>
      <c r="DH192" s="9"/>
      <c r="DI192" s="9"/>
      <c r="DJ192" s="9"/>
      <c r="DK192" s="9"/>
      <c r="DL192" s="9"/>
      <c r="DM192" s="9"/>
      <c r="DN192" s="9"/>
    </row>
    <row r="193" spans="2:118" s="37" customFormat="1" ht="9.75" customHeight="1" x14ac:dyDescent="0.25">
      <c r="B193" s="1"/>
      <c r="C193" s="1"/>
      <c r="D193" s="210"/>
      <c r="E193" s="96"/>
      <c r="F193" s="120"/>
      <c r="G193" s="121"/>
      <c r="H193" s="121"/>
      <c r="I193" s="122"/>
      <c r="J193" s="123"/>
      <c r="K193" s="124"/>
      <c r="L193" s="125"/>
      <c r="M193" s="125"/>
      <c r="N193" s="126"/>
      <c r="O193" s="127"/>
      <c r="P193" s="128"/>
      <c r="Q193" s="125"/>
      <c r="R193" s="126"/>
      <c r="S193" s="127"/>
      <c r="T193" s="128"/>
      <c r="U193" s="125"/>
      <c r="V193" s="126"/>
      <c r="W193" s="127"/>
      <c r="X193" s="129"/>
      <c r="Y193" s="97"/>
      <c r="Z193" s="9"/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9"/>
      <c r="AL193" s="9"/>
      <c r="AM193" s="9"/>
      <c r="AN193" s="9"/>
      <c r="AO193" s="9"/>
      <c r="AP193" s="9"/>
      <c r="AQ193" s="9"/>
      <c r="AR193" s="9"/>
      <c r="AS193" s="9"/>
      <c r="AT193" s="9"/>
      <c r="AU193" s="9"/>
      <c r="AV193" s="9"/>
      <c r="AW193" s="9"/>
      <c r="AX193" s="9"/>
      <c r="AY193" s="9"/>
      <c r="AZ193" s="9"/>
      <c r="BA193" s="9"/>
      <c r="BB193" s="9"/>
      <c r="BC193" s="9"/>
      <c r="BD193" s="9"/>
      <c r="BE193" s="9"/>
      <c r="BF193" s="9"/>
      <c r="BG193" s="9"/>
      <c r="BH193" s="9"/>
      <c r="BI193" s="9"/>
      <c r="BJ193" s="9"/>
      <c r="BK193" s="9"/>
      <c r="BL193" s="9"/>
      <c r="BM193" s="9"/>
      <c r="BN193" s="9"/>
      <c r="BO193" s="9"/>
      <c r="BP193" s="9"/>
      <c r="BQ193" s="9"/>
      <c r="BR193" s="9"/>
      <c r="BS193" s="9"/>
      <c r="BT193" s="9"/>
      <c r="BU193" s="9"/>
      <c r="BV193" s="9"/>
      <c r="BW193" s="9"/>
      <c r="BX193" s="9"/>
      <c r="BY193" s="9"/>
      <c r="BZ193" s="9"/>
      <c r="CA193" s="9"/>
      <c r="CB193" s="9"/>
      <c r="CC193" s="9"/>
      <c r="CD193" s="9"/>
      <c r="CE193" s="9"/>
      <c r="CF193" s="9"/>
      <c r="CG193" s="9"/>
      <c r="CH193" s="9"/>
      <c r="CI193" s="9"/>
      <c r="CJ193" s="9"/>
      <c r="CK193" s="9"/>
      <c r="CL193" s="9"/>
      <c r="CM193" s="9"/>
      <c r="CN193" s="9"/>
      <c r="CO193" s="9"/>
      <c r="CP193" s="9"/>
      <c r="CQ193" s="9"/>
      <c r="CR193" s="9"/>
      <c r="CS193" s="9"/>
      <c r="CT193" s="9"/>
      <c r="CU193" s="9"/>
      <c r="CV193" s="9"/>
      <c r="CW193" s="9"/>
      <c r="CX193" s="9"/>
      <c r="CY193" s="9"/>
      <c r="CZ193" s="9"/>
      <c r="DA193" s="9"/>
      <c r="DB193" s="9"/>
      <c r="DC193" s="9"/>
      <c r="DD193" s="9"/>
      <c r="DE193" s="9"/>
      <c r="DF193" s="9"/>
      <c r="DG193" s="9"/>
      <c r="DH193" s="9"/>
      <c r="DI193" s="9"/>
      <c r="DJ193" s="9"/>
      <c r="DK193" s="9"/>
      <c r="DL193" s="9"/>
      <c r="DM193" s="9"/>
      <c r="DN193" s="9"/>
    </row>
    <row r="194" spans="2:118" ht="18" customHeight="1" x14ac:dyDescent="0.25">
      <c r="D194" s="210"/>
      <c r="E194" s="2"/>
      <c r="F194" s="2"/>
      <c r="G194" s="2"/>
      <c r="H194" s="2"/>
      <c r="I194" s="11"/>
      <c r="J194" s="11"/>
      <c r="K194" s="5"/>
      <c r="L194" s="5"/>
      <c r="M194" s="5"/>
      <c r="N194" s="8"/>
      <c r="O194" s="8"/>
      <c r="P194" s="8"/>
      <c r="Q194" s="5"/>
      <c r="R194" s="8"/>
      <c r="S194" s="8"/>
      <c r="T194" s="8"/>
      <c r="U194" s="5"/>
      <c r="V194" s="8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9"/>
      <c r="AL194" s="9"/>
      <c r="AM194" s="9"/>
      <c r="AN194" s="9"/>
      <c r="AO194" s="9"/>
      <c r="AP194" s="9"/>
      <c r="AQ194" s="9"/>
      <c r="AR194" s="9"/>
      <c r="AS194" s="9"/>
      <c r="AT194" s="9"/>
      <c r="AU194" s="9"/>
      <c r="AV194" s="9"/>
      <c r="AW194" s="9"/>
      <c r="AX194" s="9"/>
      <c r="AY194" s="9"/>
      <c r="AZ194" s="9"/>
      <c r="BA194" s="9"/>
      <c r="BB194" s="9"/>
      <c r="BC194" s="9"/>
      <c r="BD194" s="9"/>
      <c r="BE194" s="9"/>
      <c r="BF194" s="9"/>
      <c r="BG194" s="9"/>
      <c r="BH194" s="9"/>
      <c r="BI194" s="9"/>
      <c r="BJ194" s="9"/>
      <c r="BK194" s="9"/>
      <c r="BL194" s="9"/>
      <c r="BM194" s="9"/>
      <c r="BN194" s="9"/>
      <c r="BO194" s="9"/>
      <c r="BP194" s="9"/>
      <c r="BQ194" s="9"/>
      <c r="BR194" s="9"/>
      <c r="BS194" s="9"/>
      <c r="BT194" s="9"/>
      <c r="BU194" s="9"/>
      <c r="BV194" s="9"/>
      <c r="BW194" s="9"/>
      <c r="BX194" s="9"/>
      <c r="BY194" s="9"/>
      <c r="BZ194" s="9"/>
      <c r="CA194" s="9"/>
      <c r="CB194" s="9"/>
      <c r="CC194" s="9"/>
      <c r="CD194" s="9"/>
      <c r="CE194" s="9"/>
      <c r="CF194" s="9"/>
      <c r="CG194" s="9"/>
      <c r="CH194" s="9"/>
      <c r="CI194" s="9"/>
      <c r="CJ194" s="9"/>
      <c r="CK194" s="9"/>
      <c r="CL194" s="9"/>
      <c r="CM194" s="9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</row>
    <row r="195" spans="2:118" ht="18" customHeight="1" x14ac:dyDescent="0.25">
      <c r="D195" s="210"/>
      <c r="E195" s="2"/>
      <c r="F195" s="2"/>
      <c r="G195" s="2"/>
      <c r="H195" s="2"/>
      <c r="I195" s="11"/>
      <c r="J195" s="11"/>
      <c r="K195" s="5"/>
      <c r="L195" s="5"/>
      <c r="M195" s="5"/>
      <c r="N195" s="8"/>
      <c r="O195" s="8"/>
      <c r="P195" s="8"/>
      <c r="Q195" s="5"/>
      <c r="R195" s="8"/>
      <c r="S195" s="8"/>
      <c r="T195" s="8"/>
      <c r="U195" s="5"/>
      <c r="V195" s="8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9"/>
      <c r="AL195" s="9"/>
      <c r="AM195" s="9"/>
      <c r="AN195" s="9"/>
      <c r="AO195" s="9"/>
      <c r="AP195" s="9"/>
      <c r="AQ195" s="9"/>
      <c r="AR195" s="9"/>
      <c r="AS195" s="9"/>
      <c r="AT195" s="9"/>
      <c r="AU195" s="9"/>
      <c r="AV195" s="9"/>
      <c r="AW195" s="9"/>
      <c r="AX195" s="9"/>
      <c r="AY195" s="9"/>
      <c r="AZ195" s="9"/>
      <c r="BA195" s="9"/>
      <c r="BB195" s="9"/>
      <c r="BC195" s="9"/>
      <c r="BD195" s="9"/>
      <c r="BE195" s="9"/>
      <c r="BF195" s="9"/>
      <c r="BG195" s="9"/>
      <c r="BH195" s="9"/>
      <c r="BI195" s="9"/>
      <c r="BJ195" s="9"/>
      <c r="BK195" s="9"/>
      <c r="BL195" s="9"/>
      <c r="BM195" s="9"/>
      <c r="BN195" s="9"/>
      <c r="BO195" s="9"/>
      <c r="BP195" s="9"/>
      <c r="BQ195" s="9"/>
      <c r="BR195" s="9"/>
      <c r="BS195" s="9"/>
      <c r="BT195" s="9"/>
      <c r="BU195" s="9"/>
      <c r="BV195" s="9"/>
      <c r="BW195" s="9"/>
      <c r="BX195" s="9"/>
      <c r="BY195" s="9"/>
      <c r="BZ195" s="9"/>
      <c r="CA195" s="9"/>
      <c r="CB195" s="9"/>
      <c r="CC195" s="9"/>
      <c r="CD195" s="9"/>
      <c r="CE195" s="9"/>
      <c r="CF195" s="9"/>
      <c r="CG195" s="9"/>
      <c r="CH195" s="9"/>
      <c r="CI195" s="9"/>
      <c r="CJ195" s="9"/>
      <c r="CK195" s="9"/>
      <c r="CL195" s="9"/>
      <c r="CM195" s="9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</row>
    <row r="196" spans="2:118" ht="18" customHeight="1" x14ac:dyDescent="0.25">
      <c r="D196" s="210"/>
      <c r="E196" s="2"/>
      <c r="F196" s="2"/>
      <c r="G196" s="2"/>
      <c r="H196" s="2"/>
      <c r="I196" s="11"/>
      <c r="J196" s="11"/>
      <c r="K196" s="5"/>
      <c r="L196" s="5"/>
      <c r="M196" s="5"/>
      <c r="N196" s="8"/>
      <c r="O196" s="8"/>
      <c r="P196" s="8"/>
      <c r="Q196" s="5"/>
      <c r="R196" s="8"/>
      <c r="S196" s="8"/>
      <c r="T196" s="8"/>
      <c r="U196" s="5"/>
      <c r="V196" s="8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9"/>
      <c r="AL196" s="9"/>
      <c r="AM196" s="9"/>
      <c r="AN196" s="9"/>
      <c r="AO196" s="9"/>
      <c r="AP196" s="9"/>
      <c r="AQ196" s="9"/>
      <c r="AR196" s="9"/>
      <c r="AS196" s="9"/>
      <c r="AT196" s="9"/>
      <c r="AU196" s="9"/>
      <c r="AV196" s="9"/>
      <c r="AW196" s="9"/>
      <c r="AX196" s="9"/>
      <c r="AY196" s="9"/>
      <c r="AZ196" s="9"/>
      <c r="BA196" s="9"/>
      <c r="BB196" s="9"/>
      <c r="BC196" s="9"/>
      <c r="BD196" s="9"/>
      <c r="BE196" s="9"/>
      <c r="BF196" s="9"/>
      <c r="BG196" s="9"/>
      <c r="BH196" s="9"/>
      <c r="BI196" s="9"/>
      <c r="BJ196" s="9"/>
      <c r="BK196" s="9"/>
      <c r="BL196" s="9"/>
      <c r="BM196" s="9"/>
      <c r="BN196" s="9"/>
      <c r="BO196" s="9"/>
      <c r="BP196" s="9"/>
      <c r="BQ196" s="9"/>
      <c r="BR196" s="9"/>
      <c r="BS196" s="9"/>
      <c r="BT196" s="9"/>
      <c r="BU196" s="9"/>
      <c r="BV196" s="9"/>
      <c r="BW196" s="9"/>
      <c r="BX196" s="9"/>
      <c r="BY196" s="9"/>
      <c r="BZ196" s="9"/>
      <c r="CA196" s="9"/>
      <c r="CB196" s="9"/>
      <c r="CC196" s="9"/>
      <c r="CD196" s="9"/>
      <c r="CE196" s="9"/>
      <c r="CF196" s="9"/>
      <c r="CG196" s="9"/>
      <c r="CH196" s="9"/>
      <c r="CI196" s="9"/>
      <c r="CJ196" s="9"/>
      <c r="CK196" s="9"/>
      <c r="CL196" s="9"/>
      <c r="CM196" s="9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</row>
    <row r="197" spans="2:118" ht="18" customHeight="1" x14ac:dyDescent="0.25">
      <c r="D197" s="210"/>
      <c r="E197" s="2"/>
      <c r="F197" s="2"/>
      <c r="G197" s="2"/>
      <c r="H197" s="2"/>
      <c r="I197" s="11"/>
      <c r="J197" s="11"/>
      <c r="K197" s="5"/>
      <c r="L197" s="5"/>
      <c r="M197" s="5"/>
      <c r="N197" s="8"/>
      <c r="O197" s="8"/>
      <c r="P197" s="8"/>
      <c r="Q197" s="5"/>
      <c r="R197" s="8"/>
      <c r="S197" s="8"/>
      <c r="T197" s="8"/>
      <c r="U197" s="5"/>
      <c r="V197" s="8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  <c r="AI197" s="9"/>
      <c r="AJ197" s="9"/>
      <c r="AK197" s="9"/>
      <c r="AL197" s="9"/>
      <c r="AM197" s="9"/>
      <c r="AN197" s="9"/>
      <c r="AO197" s="9"/>
      <c r="AP197" s="9"/>
      <c r="AQ197" s="9"/>
      <c r="AR197" s="9"/>
      <c r="AS197" s="9"/>
      <c r="AT197" s="9"/>
      <c r="AU197" s="9"/>
      <c r="AV197" s="9"/>
      <c r="AW197" s="9"/>
      <c r="AX197" s="9"/>
      <c r="AY197" s="9"/>
      <c r="AZ197" s="9"/>
      <c r="BA197" s="9"/>
      <c r="BB197" s="9"/>
      <c r="BC197" s="9"/>
      <c r="BD197" s="9"/>
      <c r="BE197" s="9"/>
      <c r="BF197" s="9"/>
      <c r="BG197" s="9"/>
      <c r="BH197" s="9"/>
      <c r="BI197" s="9"/>
      <c r="BJ197" s="9"/>
      <c r="BK197" s="9"/>
      <c r="BL197" s="9"/>
      <c r="BM197" s="9"/>
      <c r="BN197" s="9"/>
      <c r="BO197" s="9"/>
      <c r="BP197" s="9"/>
      <c r="BQ197" s="9"/>
      <c r="BR197" s="9"/>
      <c r="BS197" s="9"/>
      <c r="BT197" s="9"/>
      <c r="BU197" s="9"/>
      <c r="BV197" s="9"/>
      <c r="BW197" s="9"/>
      <c r="BX197" s="9"/>
      <c r="BY197" s="9"/>
      <c r="BZ197" s="9"/>
      <c r="CA197" s="9"/>
      <c r="CB197" s="9"/>
      <c r="CC197" s="9"/>
      <c r="CD197" s="9"/>
      <c r="CE197" s="9"/>
      <c r="CF197" s="9"/>
      <c r="CG197" s="9"/>
      <c r="CH197" s="9"/>
      <c r="CI197" s="9"/>
      <c r="CJ197" s="9"/>
      <c r="CK197" s="9"/>
      <c r="CL197" s="9"/>
      <c r="CM197" s="9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</row>
    <row r="198" spans="2:118" ht="18" customHeight="1" x14ac:dyDescent="0.25">
      <c r="D198" s="210"/>
      <c r="E198" s="2"/>
      <c r="F198" s="2"/>
      <c r="G198" s="2"/>
      <c r="H198" s="2"/>
      <c r="I198" s="11"/>
      <c r="J198" s="11"/>
      <c r="K198" s="5"/>
      <c r="L198" s="5"/>
      <c r="M198" s="5"/>
      <c r="N198" s="8"/>
      <c r="O198" s="8"/>
      <c r="P198" s="8"/>
      <c r="Q198" s="5"/>
      <c r="R198" s="8"/>
      <c r="S198" s="8"/>
      <c r="T198" s="8"/>
      <c r="U198" s="5"/>
      <c r="V198" s="8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  <c r="AI198" s="9"/>
      <c r="AJ198" s="9"/>
      <c r="AK198" s="9"/>
      <c r="AL198" s="9"/>
      <c r="AM198" s="9"/>
      <c r="AN198" s="9"/>
      <c r="AO198" s="9"/>
      <c r="AP198" s="9"/>
      <c r="AQ198" s="9"/>
      <c r="AR198" s="9"/>
      <c r="AS198" s="9"/>
      <c r="AT198" s="9"/>
      <c r="AU198" s="9"/>
      <c r="AV198" s="9"/>
      <c r="AW198" s="9"/>
      <c r="AX198" s="9"/>
      <c r="AY198" s="9"/>
      <c r="AZ198" s="9"/>
      <c r="BA198" s="9"/>
      <c r="BB198" s="9"/>
      <c r="BC198" s="9"/>
      <c r="BD198" s="9"/>
      <c r="BE198" s="9"/>
      <c r="BF198" s="9"/>
      <c r="BG198" s="9"/>
      <c r="BH198" s="9"/>
      <c r="BI198" s="9"/>
      <c r="BJ198" s="9"/>
      <c r="BK198" s="9"/>
      <c r="BL198" s="9"/>
      <c r="BM198" s="9"/>
      <c r="BN198" s="9"/>
      <c r="BO198" s="9"/>
      <c r="BP198" s="9"/>
      <c r="BQ198" s="9"/>
      <c r="BR198" s="9"/>
      <c r="BS198" s="9"/>
      <c r="BT198" s="9"/>
      <c r="BU198" s="9"/>
      <c r="BV198" s="9"/>
      <c r="BW198" s="9"/>
      <c r="BX198" s="9"/>
      <c r="BY198" s="9"/>
      <c r="BZ198" s="9"/>
      <c r="CA198" s="9"/>
      <c r="CB198" s="9"/>
      <c r="CC198" s="9"/>
      <c r="CD198" s="9"/>
      <c r="CE198" s="9"/>
      <c r="CF198" s="9"/>
      <c r="CG198" s="9"/>
      <c r="CH198" s="9"/>
      <c r="CI198" s="9"/>
      <c r="CJ198" s="9"/>
      <c r="CK198" s="9"/>
      <c r="CL198" s="9"/>
      <c r="CM198" s="9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</row>
    <row r="199" spans="2:118" ht="18" customHeight="1" x14ac:dyDescent="0.25">
      <c r="D199" s="210"/>
      <c r="E199" s="2"/>
      <c r="F199" s="2"/>
      <c r="G199" s="2"/>
      <c r="H199" s="2"/>
      <c r="I199" s="11"/>
      <c r="J199" s="11"/>
      <c r="K199" s="5"/>
      <c r="L199" s="5"/>
      <c r="M199" s="5"/>
      <c r="N199" s="8"/>
      <c r="O199" s="8"/>
      <c r="P199" s="8"/>
      <c r="Q199" s="5"/>
      <c r="R199" s="8"/>
      <c r="S199" s="8"/>
      <c r="T199" s="8"/>
      <c r="U199" s="5"/>
      <c r="V199" s="8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9"/>
      <c r="AL199" s="9"/>
      <c r="AM199" s="9"/>
      <c r="AN199" s="9"/>
      <c r="AO199" s="9"/>
      <c r="AP199" s="9"/>
      <c r="AQ199" s="9"/>
      <c r="AR199" s="9"/>
      <c r="AS199" s="9"/>
      <c r="AT199" s="9"/>
      <c r="AU199" s="9"/>
      <c r="AV199" s="9"/>
      <c r="AW199" s="9"/>
      <c r="AX199" s="9"/>
      <c r="AY199" s="9"/>
      <c r="AZ199" s="9"/>
      <c r="BA199" s="9"/>
      <c r="BB199" s="9"/>
      <c r="BC199" s="9"/>
      <c r="BD199" s="9"/>
      <c r="BE199" s="9"/>
      <c r="BF199" s="9"/>
      <c r="BG199" s="9"/>
      <c r="BH199" s="9"/>
      <c r="BI199" s="9"/>
      <c r="BJ199" s="9"/>
      <c r="BK199" s="9"/>
      <c r="BL199" s="9"/>
      <c r="BM199" s="9"/>
      <c r="BN199" s="9"/>
      <c r="BO199" s="9"/>
      <c r="BP199" s="9"/>
      <c r="BQ199" s="9"/>
      <c r="BR199" s="9"/>
      <c r="BS199" s="9"/>
      <c r="BT199" s="9"/>
      <c r="BU199" s="9"/>
      <c r="BV199" s="9"/>
      <c r="BW199" s="9"/>
      <c r="BX199" s="9"/>
      <c r="BY199" s="9"/>
      <c r="BZ199" s="9"/>
      <c r="CA199" s="9"/>
      <c r="CB199" s="9"/>
      <c r="CC199" s="9"/>
      <c r="CD199" s="9"/>
      <c r="CE199" s="9"/>
      <c r="CF199" s="9"/>
      <c r="CG199" s="9"/>
      <c r="CH199" s="9"/>
      <c r="CI199" s="9"/>
      <c r="CJ199" s="9"/>
      <c r="CK199" s="9"/>
      <c r="CL199" s="9"/>
      <c r="CM199" s="9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</row>
    <row r="200" spans="2:118" ht="18" customHeight="1" x14ac:dyDescent="0.25">
      <c r="D200" s="210"/>
      <c r="E200" s="2"/>
      <c r="F200" s="2"/>
      <c r="G200" s="2"/>
      <c r="H200" s="2"/>
      <c r="I200" s="11"/>
      <c r="J200" s="11"/>
      <c r="K200" s="5"/>
      <c r="L200" s="5"/>
      <c r="M200" s="5"/>
      <c r="N200" s="8"/>
      <c r="O200" s="8"/>
      <c r="P200" s="8"/>
      <c r="Q200" s="5"/>
      <c r="R200" s="8"/>
      <c r="S200" s="8"/>
      <c r="T200" s="8"/>
      <c r="U200" s="5"/>
      <c r="V200" s="8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9"/>
      <c r="AL200" s="9"/>
      <c r="AM200" s="9"/>
      <c r="AN200" s="9"/>
      <c r="AO200" s="9"/>
      <c r="AP200" s="9"/>
      <c r="AQ200" s="9"/>
      <c r="AR200" s="9"/>
      <c r="AS200" s="9"/>
      <c r="AT200" s="9"/>
      <c r="AU200" s="9"/>
      <c r="AV200" s="9"/>
      <c r="AW200" s="9"/>
      <c r="AX200" s="9"/>
      <c r="AY200" s="9"/>
      <c r="AZ200" s="9"/>
      <c r="BA200" s="9"/>
      <c r="BB200" s="9"/>
      <c r="BC200" s="9"/>
      <c r="BD200" s="9"/>
      <c r="BE200" s="9"/>
      <c r="BF200" s="9"/>
      <c r="BG200" s="9"/>
      <c r="BH200" s="9"/>
      <c r="BI200" s="9"/>
      <c r="BJ200" s="9"/>
      <c r="BK200" s="9"/>
      <c r="BL200" s="9"/>
      <c r="BM200" s="9"/>
      <c r="BN200" s="9"/>
      <c r="BO200" s="9"/>
      <c r="BP200" s="9"/>
      <c r="BQ200" s="9"/>
      <c r="BR200" s="9"/>
      <c r="BS200" s="9"/>
      <c r="BT200" s="9"/>
      <c r="BU200" s="9"/>
      <c r="BV200" s="9"/>
      <c r="BW200" s="9"/>
      <c r="BX200" s="9"/>
      <c r="BY200" s="9"/>
      <c r="BZ200" s="9"/>
      <c r="CA200" s="9"/>
      <c r="CB200" s="9"/>
      <c r="CC200" s="9"/>
      <c r="CD200" s="9"/>
      <c r="CE200" s="9"/>
      <c r="CF200" s="9"/>
      <c r="CG200" s="9"/>
      <c r="CH200" s="9"/>
      <c r="CI200" s="9"/>
      <c r="CJ200" s="9"/>
      <c r="CK200" s="9"/>
      <c r="CL200" s="9"/>
      <c r="CM200" s="9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</row>
    <row r="201" spans="2:118" ht="18" customHeight="1" x14ac:dyDescent="0.25">
      <c r="D201" s="210"/>
      <c r="E201" s="2"/>
      <c r="F201" s="2"/>
      <c r="G201" s="2"/>
      <c r="H201" s="2"/>
      <c r="I201" s="11"/>
      <c r="J201" s="11"/>
      <c r="K201" s="5"/>
      <c r="L201" s="5"/>
      <c r="M201" s="5"/>
      <c r="N201" s="8"/>
      <c r="O201" s="8"/>
      <c r="P201" s="8"/>
      <c r="Q201" s="5"/>
      <c r="R201" s="8"/>
      <c r="S201" s="8"/>
      <c r="T201" s="8"/>
      <c r="U201" s="5"/>
      <c r="V201" s="8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  <c r="AI201" s="9"/>
      <c r="AJ201" s="9"/>
      <c r="AK201" s="9"/>
      <c r="AL201" s="9"/>
      <c r="AM201" s="9"/>
      <c r="AN201" s="9"/>
      <c r="AO201" s="9"/>
      <c r="AP201" s="9"/>
      <c r="AQ201" s="9"/>
      <c r="AR201" s="9"/>
      <c r="AS201" s="9"/>
      <c r="AT201" s="9"/>
      <c r="AU201" s="9"/>
      <c r="AV201" s="9"/>
      <c r="AW201" s="9"/>
      <c r="AX201" s="9"/>
      <c r="AY201" s="9"/>
      <c r="AZ201" s="9"/>
      <c r="BA201" s="9"/>
      <c r="BB201" s="9"/>
      <c r="BC201" s="9"/>
      <c r="BD201" s="9"/>
      <c r="BE201" s="9"/>
      <c r="BF201" s="9"/>
      <c r="BG201" s="9"/>
      <c r="BH201" s="9"/>
      <c r="BI201" s="9"/>
      <c r="BJ201" s="9"/>
      <c r="BK201" s="9"/>
      <c r="BL201" s="9"/>
      <c r="BM201" s="9"/>
      <c r="BN201" s="9"/>
      <c r="BO201" s="9"/>
      <c r="BP201" s="9"/>
      <c r="BQ201" s="9"/>
      <c r="BR201" s="9"/>
      <c r="BS201" s="9"/>
      <c r="BT201" s="9"/>
      <c r="BU201" s="9"/>
      <c r="BV201" s="9"/>
      <c r="BW201" s="9"/>
      <c r="BX201" s="9"/>
      <c r="BY201" s="9"/>
      <c r="BZ201" s="9"/>
      <c r="CA201" s="9"/>
      <c r="CB201" s="9"/>
      <c r="CC201" s="9"/>
      <c r="CD201" s="9"/>
      <c r="CE201" s="9"/>
      <c r="CF201" s="9"/>
      <c r="CG201" s="9"/>
      <c r="CH201" s="9"/>
      <c r="CI201" s="9"/>
      <c r="CJ201" s="9"/>
      <c r="CK201" s="9"/>
      <c r="CL201" s="9"/>
      <c r="CM201" s="9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</row>
    <row r="202" spans="2:118" ht="18" customHeight="1" x14ac:dyDescent="0.25">
      <c r="D202" s="210"/>
      <c r="E202" s="2"/>
      <c r="F202" s="2"/>
      <c r="G202" s="2"/>
      <c r="H202" s="2"/>
      <c r="I202" s="11"/>
      <c r="J202" s="11"/>
      <c r="K202" s="5"/>
      <c r="L202" s="5"/>
      <c r="M202" s="5"/>
      <c r="N202" s="8"/>
      <c r="O202" s="8"/>
      <c r="P202" s="8"/>
      <c r="Q202" s="5"/>
      <c r="R202" s="8"/>
      <c r="S202" s="8"/>
      <c r="T202" s="8"/>
      <c r="U202" s="5"/>
      <c r="V202" s="8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9"/>
      <c r="AL202" s="9"/>
      <c r="AM202" s="9"/>
      <c r="AN202" s="9"/>
      <c r="AO202" s="9"/>
      <c r="AP202" s="9"/>
      <c r="AQ202" s="9"/>
      <c r="AR202" s="9"/>
      <c r="AS202" s="9"/>
      <c r="AT202" s="9"/>
      <c r="AU202" s="9"/>
      <c r="AV202" s="9"/>
      <c r="AW202" s="9"/>
      <c r="AX202" s="9"/>
      <c r="AY202" s="9"/>
      <c r="AZ202" s="9"/>
      <c r="BA202" s="9"/>
      <c r="BB202" s="9"/>
      <c r="BC202" s="9"/>
      <c r="BD202" s="9"/>
      <c r="BE202" s="9"/>
      <c r="BF202" s="9"/>
      <c r="BG202" s="9"/>
      <c r="BH202" s="9"/>
      <c r="BI202" s="9"/>
      <c r="BJ202" s="9"/>
      <c r="BK202" s="9"/>
      <c r="BL202" s="9"/>
      <c r="BM202" s="9"/>
      <c r="BN202" s="9"/>
      <c r="BO202" s="9"/>
      <c r="BP202" s="9"/>
      <c r="BQ202" s="9"/>
      <c r="BR202" s="9"/>
      <c r="BS202" s="9"/>
      <c r="BT202" s="9"/>
      <c r="BU202" s="9"/>
      <c r="BV202" s="9"/>
      <c r="BW202" s="9"/>
      <c r="BX202" s="9"/>
      <c r="BY202" s="9"/>
      <c r="BZ202" s="9"/>
      <c r="CA202" s="9"/>
      <c r="CB202" s="9"/>
      <c r="CC202" s="9"/>
      <c r="CD202" s="9"/>
      <c r="CE202" s="9"/>
      <c r="CF202" s="9"/>
      <c r="CG202" s="9"/>
      <c r="CH202" s="9"/>
      <c r="CI202" s="9"/>
      <c r="CJ202" s="9"/>
      <c r="CK202" s="9"/>
      <c r="CL202" s="9"/>
      <c r="CM202" s="9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</row>
    <row r="203" spans="2:118" ht="18" customHeight="1" x14ac:dyDescent="0.25">
      <c r="D203" s="210"/>
      <c r="E203" s="2"/>
      <c r="F203" s="2"/>
      <c r="G203" s="2"/>
      <c r="H203" s="2"/>
      <c r="I203" s="11"/>
      <c r="J203" s="11"/>
      <c r="K203" s="5"/>
      <c r="L203" s="5"/>
      <c r="M203" s="5"/>
      <c r="N203" s="8"/>
      <c r="O203" s="8"/>
      <c r="P203" s="8"/>
      <c r="Q203" s="5"/>
      <c r="R203" s="8"/>
      <c r="S203" s="8"/>
      <c r="T203" s="8"/>
      <c r="U203" s="5"/>
      <c r="V203" s="8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9"/>
      <c r="AL203" s="9"/>
      <c r="AM203" s="9"/>
      <c r="AN203" s="9"/>
      <c r="AO203" s="9"/>
      <c r="AP203" s="9"/>
      <c r="AQ203" s="9"/>
      <c r="AR203" s="9"/>
      <c r="AS203" s="9"/>
      <c r="AT203" s="9"/>
      <c r="AU203" s="9"/>
      <c r="AV203" s="9"/>
      <c r="AW203" s="9"/>
      <c r="AX203" s="9"/>
      <c r="AY203" s="9"/>
      <c r="AZ203" s="9"/>
      <c r="BA203" s="9"/>
      <c r="BB203" s="9"/>
      <c r="BC203" s="9"/>
      <c r="BD203" s="9"/>
      <c r="BE203" s="9"/>
      <c r="BF203" s="9"/>
      <c r="BG203" s="9"/>
      <c r="BH203" s="9"/>
      <c r="BI203" s="9"/>
      <c r="BJ203" s="9"/>
      <c r="BK203" s="9"/>
      <c r="BL203" s="9"/>
      <c r="BM203" s="9"/>
      <c r="BN203" s="9"/>
      <c r="BO203" s="9"/>
      <c r="BP203" s="9"/>
      <c r="BQ203" s="9"/>
      <c r="BR203" s="9"/>
      <c r="BS203" s="9"/>
      <c r="BT203" s="9"/>
      <c r="BU203" s="9"/>
      <c r="BV203" s="9"/>
      <c r="BW203" s="9"/>
      <c r="BX203" s="9"/>
      <c r="BY203" s="9"/>
      <c r="BZ203" s="9"/>
      <c r="CA203" s="9"/>
      <c r="CB203" s="9"/>
      <c r="CC203" s="9"/>
      <c r="CD203" s="9"/>
      <c r="CE203" s="9"/>
      <c r="CF203" s="9"/>
      <c r="CG203" s="9"/>
      <c r="CH203" s="9"/>
      <c r="CI203" s="9"/>
      <c r="CJ203" s="9"/>
      <c r="CK203" s="9"/>
      <c r="CL203" s="9"/>
      <c r="CM203" s="9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</row>
    <row r="204" spans="2:118" ht="18" customHeight="1" x14ac:dyDescent="0.25">
      <c r="D204" s="210"/>
      <c r="E204" s="2"/>
      <c r="F204" s="2"/>
      <c r="G204" s="2"/>
      <c r="H204" s="2"/>
      <c r="I204" s="11"/>
      <c r="J204" s="11"/>
      <c r="K204" s="5"/>
      <c r="L204" s="5"/>
      <c r="M204" s="5"/>
      <c r="N204" s="8"/>
      <c r="O204" s="8"/>
      <c r="P204" s="8"/>
      <c r="Q204" s="5"/>
      <c r="R204" s="8"/>
      <c r="S204" s="8"/>
      <c r="T204" s="8"/>
      <c r="U204" s="5"/>
      <c r="V204" s="8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  <c r="AI204" s="9"/>
      <c r="AJ204" s="9"/>
      <c r="AK204" s="9"/>
      <c r="AL204" s="9"/>
      <c r="AM204" s="9"/>
      <c r="AN204" s="9"/>
      <c r="AO204" s="9"/>
      <c r="AP204" s="9"/>
      <c r="AQ204" s="9"/>
      <c r="AR204" s="9"/>
      <c r="AS204" s="9"/>
      <c r="AT204" s="9"/>
      <c r="AU204" s="9"/>
      <c r="AV204" s="9"/>
      <c r="AW204" s="9"/>
      <c r="AX204" s="9"/>
      <c r="AY204" s="9"/>
      <c r="AZ204" s="9"/>
      <c r="BA204" s="9"/>
      <c r="BB204" s="9"/>
      <c r="BC204" s="9"/>
      <c r="BD204" s="9"/>
      <c r="BE204" s="9"/>
      <c r="BF204" s="9"/>
      <c r="BG204" s="9"/>
      <c r="BH204" s="9"/>
      <c r="BI204" s="9"/>
      <c r="BJ204" s="9"/>
      <c r="BK204" s="9"/>
      <c r="BL204" s="9"/>
      <c r="BM204" s="9"/>
      <c r="BN204" s="9"/>
      <c r="BO204" s="9"/>
      <c r="BP204" s="9"/>
      <c r="BQ204" s="9"/>
      <c r="BR204" s="9"/>
      <c r="BS204" s="9"/>
      <c r="BT204" s="9"/>
      <c r="BU204" s="9"/>
      <c r="BV204" s="9"/>
      <c r="BW204" s="9"/>
      <c r="BX204" s="9"/>
      <c r="BY204" s="9"/>
      <c r="BZ204" s="9"/>
      <c r="CA204" s="9"/>
      <c r="CB204" s="9"/>
      <c r="CC204" s="9"/>
      <c r="CD204" s="9"/>
      <c r="CE204" s="9"/>
      <c r="CF204" s="9"/>
      <c r="CG204" s="9"/>
      <c r="CH204" s="9"/>
      <c r="CI204" s="9"/>
      <c r="CJ204" s="9"/>
      <c r="CK204" s="9"/>
      <c r="CL204" s="9"/>
      <c r="CM204" s="9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</row>
    <row r="205" spans="2:118" ht="18" customHeight="1" x14ac:dyDescent="0.25">
      <c r="D205" s="210"/>
      <c r="E205" s="2"/>
      <c r="F205" s="2"/>
      <c r="G205" s="2"/>
      <c r="H205" s="2"/>
      <c r="I205" s="11"/>
      <c r="J205" s="11"/>
      <c r="K205" s="5"/>
      <c r="L205" s="5"/>
      <c r="M205" s="5"/>
      <c r="N205" s="8"/>
      <c r="O205" s="8"/>
      <c r="P205" s="8"/>
      <c r="Q205" s="5"/>
      <c r="R205" s="8"/>
      <c r="S205" s="8"/>
      <c r="T205" s="8"/>
      <c r="U205" s="5"/>
      <c r="V205" s="8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  <c r="AI205" s="9"/>
      <c r="AJ205" s="9"/>
      <c r="AK205" s="9"/>
      <c r="AL205" s="9"/>
      <c r="AM205" s="9"/>
      <c r="AN205" s="9"/>
      <c r="AO205" s="9"/>
      <c r="AP205" s="9"/>
      <c r="AQ205" s="9"/>
      <c r="AR205" s="9"/>
      <c r="AS205" s="9"/>
      <c r="AT205" s="9"/>
      <c r="AU205" s="9"/>
      <c r="AV205" s="9"/>
      <c r="AW205" s="9"/>
      <c r="AX205" s="9"/>
      <c r="AY205" s="9"/>
      <c r="AZ205" s="9"/>
      <c r="BA205" s="9"/>
      <c r="BB205" s="9"/>
      <c r="BC205" s="9"/>
      <c r="BD205" s="9"/>
      <c r="BE205" s="9"/>
      <c r="BF205" s="9"/>
      <c r="BG205" s="9"/>
      <c r="BH205" s="9"/>
      <c r="BI205" s="9"/>
      <c r="BJ205" s="9"/>
      <c r="BK205" s="9"/>
      <c r="BL205" s="9"/>
      <c r="BM205" s="9"/>
      <c r="BN205" s="9"/>
      <c r="BO205" s="9"/>
      <c r="BP205" s="9"/>
      <c r="BQ205" s="9"/>
      <c r="BR205" s="9"/>
      <c r="BS205" s="9"/>
      <c r="BT205" s="9"/>
      <c r="BU205" s="9"/>
      <c r="BV205" s="9"/>
      <c r="BW205" s="9"/>
      <c r="BX205" s="9"/>
      <c r="BY205" s="9"/>
      <c r="BZ205" s="9"/>
      <c r="CA205" s="9"/>
      <c r="CB205" s="9"/>
      <c r="CC205" s="9"/>
      <c r="CD205" s="9"/>
      <c r="CE205" s="9"/>
      <c r="CF205" s="9"/>
      <c r="CG205" s="9"/>
      <c r="CH205" s="9"/>
      <c r="CI205" s="9"/>
      <c r="CJ205" s="9"/>
      <c r="CK205" s="9"/>
      <c r="CL205" s="9"/>
      <c r="CM205" s="9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</row>
    <row r="206" spans="2:118" ht="18" customHeight="1" x14ac:dyDescent="0.25">
      <c r="D206" s="210"/>
      <c r="E206" s="2"/>
      <c r="F206" s="2"/>
      <c r="G206" s="2"/>
      <c r="H206" s="2"/>
      <c r="I206" s="11"/>
      <c r="J206" s="11"/>
      <c r="K206" s="5"/>
      <c r="L206" s="5"/>
      <c r="M206" s="5"/>
      <c r="N206" s="8"/>
      <c r="O206" s="8"/>
      <c r="P206" s="8"/>
      <c r="Q206" s="5"/>
      <c r="R206" s="8"/>
      <c r="S206" s="8"/>
      <c r="T206" s="8"/>
      <c r="U206" s="5"/>
      <c r="V206" s="8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9"/>
      <c r="AL206" s="9"/>
      <c r="AM206" s="9"/>
      <c r="AN206" s="9"/>
      <c r="AO206" s="9"/>
      <c r="AP206" s="9"/>
      <c r="AQ206" s="9"/>
      <c r="AR206" s="9"/>
      <c r="AS206" s="9"/>
      <c r="AT206" s="9"/>
      <c r="AU206" s="9"/>
      <c r="AV206" s="9"/>
      <c r="AW206" s="9"/>
      <c r="AX206" s="9"/>
      <c r="AY206" s="9"/>
      <c r="AZ206" s="9"/>
      <c r="BA206" s="9"/>
      <c r="BB206" s="9"/>
      <c r="BC206" s="9"/>
      <c r="BD206" s="9"/>
      <c r="BE206" s="9"/>
      <c r="BF206" s="9"/>
      <c r="BG206" s="9"/>
      <c r="BH206" s="9"/>
      <c r="BI206" s="9"/>
      <c r="BJ206" s="9"/>
      <c r="BK206" s="9"/>
      <c r="BL206" s="9"/>
      <c r="BM206" s="9"/>
      <c r="BN206" s="9"/>
      <c r="BO206" s="9"/>
      <c r="BP206" s="9"/>
      <c r="BQ206" s="9"/>
      <c r="BR206" s="9"/>
      <c r="BS206" s="9"/>
      <c r="BT206" s="9"/>
      <c r="BU206" s="9"/>
      <c r="BV206" s="9"/>
      <c r="BW206" s="9"/>
      <c r="BX206" s="9"/>
      <c r="BY206" s="9"/>
      <c r="BZ206" s="9"/>
      <c r="CA206" s="9"/>
      <c r="CB206" s="9"/>
      <c r="CC206" s="9"/>
      <c r="CD206" s="9"/>
      <c r="CE206" s="9"/>
      <c r="CF206" s="9"/>
      <c r="CG206" s="9"/>
      <c r="CH206" s="9"/>
      <c r="CI206" s="9"/>
      <c r="CJ206" s="9"/>
      <c r="CK206" s="9"/>
      <c r="CL206" s="9"/>
      <c r="CM206" s="9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</row>
    <row r="207" spans="2:118" ht="18" customHeight="1" x14ac:dyDescent="0.25">
      <c r="D207" s="210"/>
      <c r="E207" s="2"/>
      <c r="F207" s="2"/>
      <c r="G207" s="2"/>
      <c r="H207" s="2"/>
      <c r="I207" s="11"/>
      <c r="J207" s="11"/>
      <c r="K207" s="5"/>
      <c r="L207" s="5"/>
      <c r="M207" s="5"/>
      <c r="N207" s="8"/>
      <c r="O207" s="8"/>
      <c r="P207" s="8"/>
      <c r="Q207" s="5"/>
      <c r="R207" s="8"/>
      <c r="S207" s="8"/>
      <c r="T207" s="8"/>
      <c r="U207" s="5"/>
      <c r="V207" s="8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9"/>
      <c r="AL207" s="9"/>
      <c r="AM207" s="9"/>
      <c r="AN207" s="9"/>
      <c r="AO207" s="9"/>
      <c r="AP207" s="9"/>
      <c r="AQ207" s="9"/>
      <c r="AR207" s="9"/>
      <c r="AS207" s="9"/>
      <c r="AT207" s="9"/>
      <c r="AU207" s="9"/>
      <c r="AV207" s="9"/>
      <c r="AW207" s="9"/>
      <c r="AX207" s="9"/>
      <c r="AY207" s="9"/>
      <c r="AZ207" s="9"/>
      <c r="BA207" s="9"/>
      <c r="BB207" s="9"/>
      <c r="BC207" s="9"/>
      <c r="BD207" s="9"/>
      <c r="BE207" s="9"/>
      <c r="BF207" s="9"/>
      <c r="BG207" s="9"/>
      <c r="BH207" s="9"/>
      <c r="BI207" s="9"/>
      <c r="BJ207" s="9"/>
      <c r="BK207" s="9"/>
      <c r="BL207" s="9"/>
      <c r="BM207" s="9"/>
      <c r="BN207" s="9"/>
      <c r="BO207" s="9"/>
      <c r="BP207" s="9"/>
      <c r="BQ207" s="9"/>
      <c r="BR207" s="9"/>
      <c r="BS207" s="9"/>
      <c r="BT207" s="9"/>
      <c r="BU207" s="9"/>
      <c r="BV207" s="9"/>
      <c r="BW207" s="9"/>
      <c r="BX207" s="9"/>
      <c r="BY207" s="9"/>
      <c r="BZ207" s="9"/>
      <c r="CA207" s="9"/>
      <c r="CB207" s="9"/>
      <c r="CC207" s="9"/>
      <c r="CD207" s="9"/>
      <c r="CE207" s="9"/>
      <c r="CF207" s="9"/>
      <c r="CG207" s="9"/>
      <c r="CH207" s="9"/>
      <c r="CI207" s="9"/>
      <c r="CJ207" s="9"/>
      <c r="CK207" s="9"/>
      <c r="CL207" s="9"/>
      <c r="CM207" s="9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</row>
    <row r="208" spans="2:118" ht="18" customHeight="1" x14ac:dyDescent="0.25">
      <c r="D208" s="210"/>
      <c r="E208" s="2"/>
      <c r="F208" s="2"/>
      <c r="G208" s="2"/>
      <c r="H208" s="2"/>
      <c r="I208" s="11"/>
      <c r="J208" s="11"/>
      <c r="K208" s="5"/>
      <c r="L208" s="5"/>
      <c r="M208" s="5"/>
      <c r="N208" s="8"/>
      <c r="O208" s="8"/>
      <c r="P208" s="8"/>
      <c r="Q208" s="5"/>
      <c r="R208" s="8"/>
      <c r="S208" s="8"/>
      <c r="T208" s="8"/>
      <c r="U208" s="5"/>
      <c r="V208" s="8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9"/>
      <c r="AL208" s="9"/>
      <c r="AM208" s="9"/>
      <c r="AN208" s="9"/>
      <c r="AO208" s="9"/>
      <c r="AP208" s="9"/>
      <c r="AQ208" s="9"/>
      <c r="AR208" s="9"/>
      <c r="AS208" s="9"/>
      <c r="AT208" s="9"/>
      <c r="AU208" s="9"/>
      <c r="AV208" s="9"/>
      <c r="AW208" s="9"/>
      <c r="AX208" s="9"/>
      <c r="AY208" s="9"/>
      <c r="AZ208" s="9"/>
      <c r="BA208" s="9"/>
      <c r="BB208" s="9"/>
      <c r="BC208" s="9"/>
      <c r="BD208" s="9"/>
      <c r="BE208" s="9"/>
      <c r="BF208" s="9"/>
      <c r="BG208" s="9"/>
      <c r="BH208" s="9"/>
      <c r="BI208" s="9"/>
      <c r="BJ208" s="9"/>
      <c r="BK208" s="9"/>
      <c r="BL208" s="9"/>
      <c r="BM208" s="9"/>
      <c r="BN208" s="9"/>
      <c r="BO208" s="9"/>
      <c r="BP208" s="9"/>
      <c r="BQ208" s="9"/>
      <c r="BR208" s="9"/>
      <c r="BS208" s="9"/>
      <c r="BT208" s="9"/>
      <c r="BU208" s="9"/>
      <c r="BV208" s="9"/>
      <c r="BW208" s="9"/>
      <c r="BX208" s="9"/>
      <c r="BY208" s="9"/>
      <c r="BZ208" s="9"/>
      <c r="CA208" s="9"/>
      <c r="CB208" s="9"/>
      <c r="CC208" s="9"/>
      <c r="CD208" s="9"/>
      <c r="CE208" s="9"/>
      <c r="CF208" s="9"/>
      <c r="CG208" s="9"/>
      <c r="CH208" s="9"/>
      <c r="CI208" s="9"/>
      <c r="CJ208" s="9"/>
      <c r="CK208" s="9"/>
      <c r="CL208" s="9"/>
      <c r="CM208" s="9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</row>
    <row r="209" spans="4:118" ht="18" customHeight="1" x14ac:dyDescent="0.25">
      <c r="D209" s="210"/>
      <c r="E209" s="2"/>
      <c r="F209" s="2"/>
      <c r="G209" s="2"/>
      <c r="H209" s="2"/>
      <c r="I209" s="11"/>
      <c r="J209" s="11"/>
      <c r="K209" s="5"/>
      <c r="L209" s="5"/>
      <c r="M209" s="5"/>
      <c r="N209" s="8"/>
      <c r="O209" s="8"/>
      <c r="P209" s="8"/>
      <c r="Q209" s="5"/>
      <c r="R209" s="8"/>
      <c r="S209" s="8"/>
      <c r="T209" s="8"/>
      <c r="U209" s="5"/>
      <c r="V209" s="8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  <c r="AI209" s="9"/>
      <c r="AJ209" s="9"/>
      <c r="AK209" s="9"/>
      <c r="AL209" s="9"/>
      <c r="AM209" s="9"/>
      <c r="AN209" s="9"/>
      <c r="AO209" s="9"/>
      <c r="AP209" s="9"/>
      <c r="AQ209" s="9"/>
      <c r="AR209" s="9"/>
      <c r="AS209" s="9"/>
      <c r="AT209" s="9"/>
      <c r="AU209" s="9"/>
      <c r="AV209" s="9"/>
      <c r="AW209" s="9"/>
      <c r="AX209" s="9"/>
      <c r="AY209" s="9"/>
      <c r="AZ209" s="9"/>
      <c r="BA209" s="9"/>
      <c r="BB209" s="9"/>
      <c r="BC209" s="9"/>
      <c r="BD209" s="9"/>
      <c r="BE209" s="9"/>
      <c r="BF209" s="9"/>
      <c r="BG209" s="9"/>
      <c r="BH209" s="9"/>
      <c r="BI209" s="9"/>
      <c r="BJ209" s="9"/>
      <c r="BK209" s="9"/>
      <c r="BL209" s="9"/>
      <c r="BM209" s="9"/>
      <c r="BN209" s="9"/>
      <c r="BO209" s="9"/>
      <c r="BP209" s="9"/>
      <c r="BQ209" s="9"/>
      <c r="BR209" s="9"/>
      <c r="BS209" s="9"/>
      <c r="BT209" s="9"/>
      <c r="BU209" s="9"/>
      <c r="BV209" s="9"/>
      <c r="BW209" s="9"/>
      <c r="BX209" s="9"/>
      <c r="BY209" s="9"/>
      <c r="BZ209" s="9"/>
      <c r="CA209" s="9"/>
      <c r="CB209" s="9"/>
      <c r="CC209" s="9"/>
      <c r="CD209" s="9"/>
      <c r="CE209" s="9"/>
      <c r="CF209" s="9"/>
      <c r="CG209" s="9"/>
      <c r="CH209" s="9"/>
      <c r="CI209" s="9"/>
      <c r="CJ209" s="9"/>
      <c r="CK209" s="9"/>
      <c r="CL209" s="9"/>
      <c r="CM209" s="9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</row>
    <row r="210" spans="4:118" ht="18" customHeight="1" x14ac:dyDescent="0.25">
      <c r="D210" s="210"/>
      <c r="E210" s="2"/>
      <c r="F210" s="2"/>
      <c r="G210" s="2"/>
      <c r="H210" s="2"/>
      <c r="I210" s="11"/>
      <c r="J210" s="11"/>
      <c r="K210" s="5"/>
      <c r="L210" s="5"/>
      <c r="M210" s="5"/>
      <c r="N210" s="8"/>
      <c r="O210" s="8"/>
      <c r="P210" s="8"/>
      <c r="Q210" s="5"/>
      <c r="R210" s="8"/>
      <c r="S210" s="8"/>
      <c r="T210" s="8"/>
      <c r="U210" s="5"/>
      <c r="V210" s="8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  <c r="BF210" s="9"/>
      <c r="BG210" s="9"/>
      <c r="BH210" s="9"/>
      <c r="BI210" s="9"/>
      <c r="BJ210" s="9"/>
      <c r="BK210" s="9"/>
      <c r="BL210" s="9"/>
      <c r="BM210" s="9"/>
      <c r="BN210" s="9"/>
      <c r="BO210" s="9"/>
      <c r="BP210" s="9"/>
      <c r="BQ210" s="9"/>
      <c r="BR210" s="9"/>
      <c r="BS210" s="9"/>
      <c r="BT210" s="9"/>
      <c r="BU210" s="9"/>
      <c r="BV210" s="9"/>
      <c r="BW210" s="9"/>
      <c r="BX210" s="9"/>
      <c r="BY210" s="9"/>
      <c r="BZ210" s="9"/>
      <c r="CA210" s="9"/>
      <c r="CB210" s="9"/>
      <c r="CC210" s="9"/>
      <c r="CD210" s="9"/>
      <c r="CE210" s="9"/>
      <c r="CF210" s="9"/>
      <c r="CG210" s="9"/>
      <c r="CH210" s="9"/>
      <c r="CI210" s="9"/>
      <c r="CJ210" s="9"/>
      <c r="CK210" s="9"/>
      <c r="CL210" s="9"/>
      <c r="CM210" s="9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</row>
    <row r="211" spans="4:118" ht="18" customHeight="1" x14ac:dyDescent="0.25">
      <c r="D211" s="210"/>
      <c r="E211" s="2"/>
      <c r="F211" s="2"/>
      <c r="G211" s="2"/>
      <c r="H211" s="2"/>
      <c r="I211" s="11"/>
      <c r="J211" s="11"/>
      <c r="K211" s="5"/>
      <c r="L211" s="5"/>
      <c r="M211" s="5"/>
      <c r="N211" s="8"/>
      <c r="O211" s="8"/>
      <c r="P211" s="8"/>
      <c r="Q211" s="5"/>
      <c r="R211" s="8"/>
      <c r="S211" s="8"/>
      <c r="T211" s="8"/>
      <c r="U211" s="5"/>
      <c r="V211" s="8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9"/>
      <c r="AL211" s="9"/>
      <c r="AM211" s="9"/>
      <c r="AN211" s="9"/>
      <c r="AO211" s="9"/>
      <c r="AP211" s="9"/>
      <c r="AQ211" s="9"/>
      <c r="AR211" s="9"/>
      <c r="AS211" s="9"/>
      <c r="AT211" s="9"/>
      <c r="AU211" s="9"/>
      <c r="AV211" s="9"/>
      <c r="AW211" s="9"/>
      <c r="AX211" s="9"/>
      <c r="AY211" s="9"/>
      <c r="AZ211" s="9"/>
      <c r="BA211" s="9"/>
      <c r="BB211" s="9"/>
      <c r="BC211" s="9"/>
      <c r="BD211" s="9"/>
      <c r="BE211" s="9"/>
      <c r="BF211" s="9"/>
      <c r="BG211" s="9"/>
      <c r="BH211" s="9"/>
      <c r="BI211" s="9"/>
      <c r="BJ211" s="9"/>
      <c r="BK211" s="9"/>
      <c r="BL211" s="9"/>
      <c r="BM211" s="9"/>
      <c r="BN211" s="9"/>
      <c r="BO211" s="9"/>
      <c r="BP211" s="9"/>
      <c r="BQ211" s="9"/>
      <c r="BR211" s="9"/>
      <c r="BS211" s="9"/>
      <c r="BT211" s="9"/>
      <c r="BU211" s="9"/>
      <c r="BV211" s="9"/>
      <c r="BW211" s="9"/>
      <c r="BX211" s="9"/>
      <c r="BY211" s="9"/>
      <c r="BZ211" s="9"/>
      <c r="CA211" s="9"/>
      <c r="CB211" s="9"/>
      <c r="CC211" s="9"/>
      <c r="CD211" s="9"/>
      <c r="CE211" s="9"/>
      <c r="CF211" s="9"/>
      <c r="CG211" s="9"/>
      <c r="CH211" s="9"/>
      <c r="CI211" s="9"/>
      <c r="CJ211" s="9"/>
      <c r="CK211" s="9"/>
      <c r="CL211" s="9"/>
      <c r="CM211" s="9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</row>
    <row r="212" spans="4:118" ht="18" customHeight="1" x14ac:dyDescent="0.25">
      <c r="D212" s="210"/>
      <c r="E212" s="2"/>
      <c r="F212" s="2"/>
      <c r="G212" s="2"/>
      <c r="H212" s="2"/>
      <c r="I212" s="11"/>
      <c r="J212" s="11"/>
      <c r="K212" s="5"/>
      <c r="L212" s="5"/>
      <c r="M212" s="5"/>
      <c r="N212" s="8"/>
      <c r="O212" s="8"/>
      <c r="P212" s="8"/>
      <c r="Q212" s="5"/>
      <c r="R212" s="8"/>
      <c r="S212" s="8"/>
      <c r="T212" s="8"/>
      <c r="U212" s="5"/>
      <c r="V212" s="8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9"/>
      <c r="AL212" s="9"/>
      <c r="AM212" s="9"/>
      <c r="AN212" s="9"/>
      <c r="AO212" s="9"/>
      <c r="AP212" s="9"/>
      <c r="AQ212" s="9"/>
      <c r="AR212" s="9"/>
      <c r="AS212" s="9"/>
      <c r="AT212" s="9"/>
      <c r="AU212" s="9"/>
      <c r="AV212" s="9"/>
      <c r="AW212" s="9"/>
      <c r="AX212" s="9"/>
      <c r="AY212" s="9"/>
      <c r="AZ212" s="9"/>
      <c r="BA212" s="9"/>
      <c r="BB212" s="9"/>
      <c r="BC212" s="9"/>
      <c r="BD212" s="9"/>
      <c r="BE212" s="9"/>
      <c r="BF212" s="9"/>
      <c r="BG212" s="9"/>
      <c r="BH212" s="9"/>
      <c r="BI212" s="9"/>
      <c r="BJ212" s="9"/>
      <c r="BK212" s="9"/>
      <c r="BL212" s="9"/>
      <c r="BM212" s="9"/>
      <c r="BN212" s="9"/>
      <c r="BO212" s="9"/>
      <c r="BP212" s="9"/>
      <c r="BQ212" s="9"/>
      <c r="BR212" s="9"/>
      <c r="BS212" s="9"/>
      <c r="BT212" s="9"/>
      <c r="BU212" s="9"/>
      <c r="BV212" s="9"/>
      <c r="BW212" s="9"/>
      <c r="BX212" s="9"/>
      <c r="BY212" s="9"/>
      <c r="BZ212" s="9"/>
      <c r="CA212" s="9"/>
      <c r="CB212" s="9"/>
      <c r="CC212" s="9"/>
      <c r="CD212" s="9"/>
      <c r="CE212" s="9"/>
      <c r="CF212" s="9"/>
      <c r="CG212" s="9"/>
      <c r="CH212" s="9"/>
      <c r="CI212" s="9"/>
      <c r="CJ212" s="9"/>
      <c r="CK212" s="9"/>
      <c r="CL212" s="9"/>
      <c r="CM212" s="9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</row>
    <row r="213" spans="4:118" ht="18" customHeight="1" x14ac:dyDescent="0.25">
      <c r="D213" s="210"/>
      <c r="E213" s="2"/>
      <c r="F213" s="2"/>
      <c r="G213" s="2"/>
      <c r="H213" s="2"/>
      <c r="I213" s="11"/>
      <c r="J213" s="11"/>
      <c r="K213" s="5"/>
      <c r="L213" s="5"/>
      <c r="M213" s="5"/>
      <c r="N213" s="8"/>
      <c r="O213" s="8"/>
      <c r="P213" s="8"/>
      <c r="Q213" s="5"/>
      <c r="R213" s="8"/>
      <c r="S213" s="8"/>
      <c r="T213" s="8"/>
      <c r="U213" s="5"/>
      <c r="V213" s="8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  <c r="AI213" s="9"/>
      <c r="AJ213" s="9"/>
      <c r="AK213" s="9"/>
      <c r="AL213" s="9"/>
      <c r="AM213" s="9"/>
      <c r="AN213" s="9"/>
      <c r="AO213" s="9"/>
      <c r="AP213" s="9"/>
      <c r="AQ213" s="9"/>
      <c r="AR213" s="9"/>
      <c r="AS213" s="9"/>
      <c r="AT213" s="9"/>
      <c r="AU213" s="9"/>
      <c r="AV213" s="9"/>
      <c r="AW213" s="9"/>
      <c r="AX213" s="9"/>
      <c r="AY213" s="9"/>
      <c r="AZ213" s="9"/>
      <c r="BA213" s="9"/>
      <c r="BB213" s="9"/>
      <c r="BC213" s="9"/>
      <c r="BD213" s="9"/>
      <c r="BE213" s="9"/>
      <c r="BF213" s="9"/>
      <c r="BG213" s="9"/>
      <c r="BH213" s="9"/>
      <c r="BI213" s="9"/>
      <c r="BJ213" s="9"/>
      <c r="BK213" s="9"/>
      <c r="BL213" s="9"/>
      <c r="BM213" s="9"/>
      <c r="BN213" s="9"/>
      <c r="BO213" s="9"/>
      <c r="BP213" s="9"/>
      <c r="BQ213" s="9"/>
      <c r="BR213" s="9"/>
      <c r="BS213" s="9"/>
      <c r="BT213" s="9"/>
      <c r="BU213" s="9"/>
      <c r="BV213" s="9"/>
      <c r="BW213" s="9"/>
      <c r="BX213" s="9"/>
      <c r="BY213" s="9"/>
      <c r="BZ213" s="9"/>
      <c r="CA213" s="9"/>
      <c r="CB213" s="9"/>
      <c r="CC213" s="9"/>
      <c r="CD213" s="9"/>
      <c r="CE213" s="9"/>
      <c r="CF213" s="9"/>
      <c r="CG213" s="9"/>
      <c r="CH213" s="9"/>
      <c r="CI213" s="9"/>
      <c r="CJ213" s="9"/>
      <c r="CK213" s="9"/>
      <c r="CL213" s="9"/>
      <c r="CM213" s="9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</row>
    <row r="214" spans="4:118" ht="18" customHeight="1" x14ac:dyDescent="0.25">
      <c r="D214" s="210"/>
      <c r="E214" s="2"/>
      <c r="F214" s="2"/>
      <c r="G214" s="2"/>
      <c r="H214" s="2"/>
      <c r="I214" s="11"/>
      <c r="J214" s="11"/>
      <c r="K214" s="5"/>
      <c r="L214" s="5"/>
      <c r="M214" s="5"/>
      <c r="N214" s="8"/>
      <c r="O214" s="8"/>
      <c r="P214" s="8"/>
      <c r="Q214" s="5"/>
      <c r="R214" s="8"/>
      <c r="S214" s="8"/>
      <c r="T214" s="8"/>
      <c r="U214" s="5"/>
      <c r="V214" s="8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  <c r="AI214" s="9"/>
      <c r="AJ214" s="9"/>
      <c r="AK214" s="9"/>
      <c r="AL214" s="9"/>
      <c r="AM214" s="9"/>
      <c r="AN214" s="9"/>
      <c r="AO214" s="9"/>
      <c r="AP214" s="9"/>
      <c r="AQ214" s="9"/>
      <c r="AR214" s="9"/>
      <c r="AS214" s="9"/>
      <c r="AT214" s="9"/>
      <c r="AU214" s="9"/>
      <c r="AV214" s="9"/>
      <c r="AW214" s="9"/>
      <c r="AX214" s="9"/>
      <c r="AY214" s="9"/>
      <c r="AZ214" s="9"/>
      <c r="BA214" s="9"/>
      <c r="BB214" s="9"/>
      <c r="BC214" s="9"/>
      <c r="BD214" s="9"/>
      <c r="BE214" s="9"/>
      <c r="BF214" s="9"/>
      <c r="BG214" s="9"/>
      <c r="BH214" s="9"/>
      <c r="BI214" s="9"/>
      <c r="BJ214" s="9"/>
      <c r="BK214" s="9"/>
      <c r="BL214" s="9"/>
      <c r="BM214" s="9"/>
      <c r="BN214" s="9"/>
      <c r="BO214" s="9"/>
      <c r="BP214" s="9"/>
      <c r="BQ214" s="9"/>
      <c r="BR214" s="9"/>
      <c r="BS214" s="9"/>
      <c r="BT214" s="9"/>
      <c r="BU214" s="9"/>
      <c r="BV214" s="9"/>
      <c r="BW214" s="9"/>
      <c r="BX214" s="9"/>
      <c r="BY214" s="9"/>
      <c r="BZ214" s="9"/>
      <c r="CA214" s="9"/>
      <c r="CB214" s="9"/>
      <c r="CC214" s="9"/>
      <c r="CD214" s="9"/>
      <c r="CE214" s="9"/>
      <c r="CF214" s="9"/>
      <c r="CG214" s="9"/>
      <c r="CH214" s="9"/>
      <c r="CI214" s="9"/>
      <c r="CJ214" s="9"/>
      <c r="CK214" s="9"/>
      <c r="CL214" s="9"/>
      <c r="CM214" s="9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</row>
    <row r="215" spans="4:118" ht="18" customHeight="1" x14ac:dyDescent="0.25">
      <c r="D215" s="210"/>
      <c r="E215" s="2"/>
      <c r="F215" s="2"/>
      <c r="G215" s="2"/>
      <c r="H215" s="2"/>
      <c r="I215" s="11"/>
      <c r="J215" s="11"/>
      <c r="K215" s="5"/>
      <c r="L215" s="5"/>
      <c r="M215" s="5"/>
      <c r="N215" s="8"/>
      <c r="O215" s="8"/>
      <c r="P215" s="8"/>
      <c r="Q215" s="5"/>
      <c r="R215" s="8"/>
      <c r="S215" s="8"/>
      <c r="T215" s="8"/>
      <c r="U215" s="5"/>
      <c r="V215" s="8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  <c r="AI215" s="9"/>
      <c r="AJ215" s="9"/>
      <c r="AK215" s="9"/>
      <c r="AL215" s="9"/>
      <c r="AM215" s="9"/>
      <c r="AN215" s="9"/>
      <c r="AO215" s="9"/>
      <c r="AP215" s="9"/>
      <c r="AQ215" s="9"/>
      <c r="AR215" s="9"/>
      <c r="AS215" s="9"/>
      <c r="AT215" s="9"/>
      <c r="AU215" s="9"/>
      <c r="AV215" s="9"/>
      <c r="AW215" s="9"/>
      <c r="AX215" s="9"/>
      <c r="AY215" s="9"/>
      <c r="AZ215" s="9"/>
      <c r="BA215" s="9"/>
      <c r="BB215" s="9"/>
      <c r="BC215" s="9"/>
      <c r="BD215" s="9"/>
      <c r="BE215" s="9"/>
      <c r="BF215" s="9"/>
      <c r="BG215" s="9"/>
      <c r="BH215" s="9"/>
      <c r="BI215" s="9"/>
      <c r="BJ215" s="9"/>
      <c r="BK215" s="9"/>
      <c r="BL215" s="9"/>
      <c r="BM215" s="9"/>
      <c r="BN215" s="9"/>
      <c r="BO215" s="9"/>
      <c r="BP215" s="9"/>
      <c r="BQ215" s="9"/>
      <c r="BR215" s="9"/>
      <c r="BS215" s="9"/>
      <c r="BT215" s="9"/>
      <c r="BU215" s="9"/>
      <c r="BV215" s="9"/>
      <c r="BW215" s="9"/>
      <c r="BX215" s="9"/>
      <c r="BY215" s="9"/>
      <c r="BZ215" s="9"/>
      <c r="CA215" s="9"/>
      <c r="CB215" s="9"/>
      <c r="CC215" s="9"/>
      <c r="CD215" s="9"/>
      <c r="CE215" s="9"/>
      <c r="CF215" s="9"/>
      <c r="CG215" s="9"/>
      <c r="CH215" s="9"/>
      <c r="CI215" s="9"/>
      <c r="CJ215" s="9"/>
      <c r="CK215" s="9"/>
      <c r="CL215" s="9"/>
      <c r="CM215" s="9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</row>
    <row r="216" spans="4:118" ht="18" customHeight="1" x14ac:dyDescent="0.25">
      <c r="D216" s="210"/>
      <c r="E216" s="2"/>
      <c r="F216" s="2"/>
      <c r="G216" s="2"/>
      <c r="H216" s="2"/>
      <c r="I216" s="11"/>
      <c r="J216" s="11"/>
      <c r="K216" s="5"/>
      <c r="L216" s="5"/>
      <c r="M216" s="5"/>
      <c r="N216" s="8"/>
      <c r="O216" s="8"/>
      <c r="P216" s="8"/>
      <c r="Q216" s="5"/>
      <c r="R216" s="8"/>
      <c r="S216" s="8"/>
      <c r="T216" s="8"/>
      <c r="U216" s="5"/>
      <c r="V216" s="8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  <c r="AI216" s="9"/>
      <c r="AJ216" s="9"/>
      <c r="AK216" s="9"/>
      <c r="AL216" s="9"/>
      <c r="AM216" s="9"/>
      <c r="AN216" s="9"/>
      <c r="AO216" s="9"/>
      <c r="AP216" s="9"/>
      <c r="AQ216" s="9"/>
      <c r="AR216" s="9"/>
      <c r="AS216" s="9"/>
      <c r="AT216" s="9"/>
      <c r="AU216" s="9"/>
      <c r="AV216" s="9"/>
      <c r="AW216" s="9"/>
      <c r="AX216" s="9"/>
      <c r="AY216" s="9"/>
      <c r="AZ216" s="9"/>
      <c r="BA216" s="9"/>
      <c r="BB216" s="9"/>
      <c r="BC216" s="9"/>
      <c r="BD216" s="9"/>
      <c r="BE216" s="9"/>
      <c r="BF216" s="9"/>
      <c r="BG216" s="9"/>
      <c r="BH216" s="9"/>
      <c r="BI216" s="9"/>
      <c r="BJ216" s="9"/>
      <c r="BK216" s="9"/>
      <c r="BL216" s="9"/>
      <c r="BM216" s="9"/>
      <c r="BN216" s="9"/>
      <c r="BO216" s="9"/>
      <c r="BP216" s="9"/>
      <c r="BQ216" s="9"/>
      <c r="BR216" s="9"/>
      <c r="BS216" s="9"/>
      <c r="BT216" s="9"/>
      <c r="BU216" s="9"/>
      <c r="BV216" s="9"/>
      <c r="BW216" s="9"/>
      <c r="BX216" s="9"/>
      <c r="BY216" s="9"/>
      <c r="BZ216" s="9"/>
      <c r="CA216" s="9"/>
      <c r="CB216" s="9"/>
      <c r="CC216" s="9"/>
      <c r="CD216" s="9"/>
      <c r="CE216" s="9"/>
      <c r="CF216" s="9"/>
      <c r="CG216" s="9"/>
      <c r="CH216" s="9"/>
      <c r="CI216" s="9"/>
      <c r="CJ216" s="9"/>
      <c r="CK216" s="9"/>
      <c r="CL216" s="9"/>
      <c r="CM216" s="9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</row>
    <row r="217" spans="4:118" ht="18" customHeight="1" x14ac:dyDescent="0.25">
      <c r="D217" s="210"/>
      <c r="E217" s="2"/>
      <c r="F217" s="2"/>
      <c r="G217" s="2"/>
      <c r="H217" s="2"/>
      <c r="I217" s="11"/>
      <c r="J217" s="11"/>
      <c r="K217" s="5"/>
      <c r="L217" s="5"/>
      <c r="M217" s="5"/>
      <c r="N217" s="8"/>
      <c r="O217" s="8"/>
      <c r="P217" s="8"/>
      <c r="Q217" s="5"/>
      <c r="R217" s="8"/>
      <c r="S217" s="8"/>
      <c r="T217" s="8"/>
      <c r="U217" s="5"/>
      <c r="V217" s="8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  <c r="BL217" s="9"/>
      <c r="BM217" s="9"/>
      <c r="BN217" s="9"/>
      <c r="BO217" s="9"/>
      <c r="BP217" s="9"/>
      <c r="BQ217" s="9"/>
      <c r="BR217" s="9"/>
      <c r="BS217" s="9"/>
      <c r="BT217" s="9"/>
      <c r="BU217" s="9"/>
      <c r="BV217" s="9"/>
      <c r="BW217" s="9"/>
      <c r="BX217" s="9"/>
      <c r="BY217" s="9"/>
      <c r="BZ217" s="9"/>
      <c r="CA217" s="9"/>
      <c r="CB217" s="9"/>
      <c r="CC217" s="9"/>
      <c r="CD217" s="9"/>
      <c r="CE217" s="9"/>
      <c r="CF217" s="9"/>
      <c r="CG217" s="9"/>
      <c r="CH217" s="9"/>
      <c r="CI217" s="9"/>
      <c r="CJ217" s="9"/>
      <c r="CK217" s="9"/>
      <c r="CL217" s="9"/>
      <c r="CM217" s="9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</row>
    <row r="218" spans="4:118" ht="18" customHeight="1" x14ac:dyDescent="0.25">
      <c r="D218" s="210"/>
      <c r="E218" s="2"/>
      <c r="F218" s="2"/>
      <c r="G218" s="2"/>
      <c r="H218" s="2"/>
      <c r="I218" s="11"/>
      <c r="J218" s="11"/>
      <c r="K218" s="5"/>
      <c r="L218" s="5"/>
      <c r="M218" s="5"/>
      <c r="N218" s="8"/>
      <c r="O218" s="8"/>
      <c r="P218" s="8"/>
      <c r="Q218" s="5"/>
      <c r="R218" s="8"/>
      <c r="S218" s="8"/>
      <c r="T218" s="8"/>
      <c r="U218" s="5"/>
      <c r="V218" s="8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9"/>
      <c r="AL218" s="9"/>
      <c r="AM218" s="9"/>
      <c r="AN218" s="9"/>
      <c r="AO218" s="9"/>
      <c r="AP218" s="9"/>
      <c r="AQ218" s="9"/>
      <c r="AR218" s="9"/>
      <c r="AS218" s="9"/>
      <c r="AT218" s="9"/>
      <c r="AU218" s="9"/>
      <c r="AV218" s="9"/>
      <c r="AW218" s="9"/>
      <c r="AX218" s="9"/>
      <c r="AY218" s="9"/>
      <c r="AZ218" s="9"/>
      <c r="BA218" s="9"/>
      <c r="BB218" s="9"/>
      <c r="BC218" s="9"/>
      <c r="BD218" s="9"/>
      <c r="BE218" s="9"/>
      <c r="BF218" s="9"/>
      <c r="BG218" s="9"/>
      <c r="BH218" s="9"/>
      <c r="BI218" s="9"/>
      <c r="BJ218" s="9"/>
      <c r="BK218" s="9"/>
      <c r="BL218" s="9"/>
      <c r="BM218" s="9"/>
      <c r="BN218" s="9"/>
      <c r="BO218" s="9"/>
      <c r="BP218" s="9"/>
      <c r="BQ218" s="9"/>
      <c r="BR218" s="9"/>
      <c r="BS218" s="9"/>
      <c r="BT218" s="9"/>
      <c r="BU218" s="9"/>
      <c r="BV218" s="9"/>
      <c r="BW218" s="9"/>
      <c r="BX218" s="9"/>
      <c r="BY218" s="9"/>
      <c r="BZ218" s="9"/>
      <c r="CA218" s="9"/>
      <c r="CB218" s="9"/>
      <c r="CC218" s="9"/>
      <c r="CD218" s="9"/>
      <c r="CE218" s="9"/>
      <c r="CF218" s="9"/>
      <c r="CG218" s="9"/>
      <c r="CH218" s="9"/>
      <c r="CI218" s="9"/>
      <c r="CJ218" s="9"/>
      <c r="CK218" s="9"/>
      <c r="CL218" s="9"/>
      <c r="CM218" s="9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</row>
    <row r="219" spans="4:118" ht="18" customHeight="1" x14ac:dyDescent="0.25">
      <c r="D219" s="210"/>
      <c r="E219" s="2"/>
      <c r="F219" s="2"/>
      <c r="G219" s="2"/>
      <c r="H219" s="2"/>
      <c r="I219" s="11"/>
      <c r="J219" s="11"/>
      <c r="K219" s="5"/>
      <c r="L219" s="5"/>
      <c r="M219" s="5"/>
      <c r="N219" s="8"/>
      <c r="O219" s="8"/>
      <c r="P219" s="8"/>
      <c r="Q219" s="5"/>
      <c r="R219" s="8"/>
      <c r="S219" s="8"/>
      <c r="T219" s="8"/>
      <c r="U219" s="5"/>
      <c r="V219" s="8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9"/>
      <c r="AL219" s="9"/>
      <c r="AM219" s="9"/>
      <c r="AN219" s="9"/>
      <c r="AO219" s="9"/>
      <c r="AP219" s="9"/>
      <c r="AQ219" s="9"/>
      <c r="AR219" s="9"/>
      <c r="AS219" s="9"/>
      <c r="AT219" s="9"/>
      <c r="AU219" s="9"/>
      <c r="AV219" s="9"/>
      <c r="AW219" s="9"/>
      <c r="AX219" s="9"/>
      <c r="AY219" s="9"/>
      <c r="AZ219" s="9"/>
      <c r="BA219" s="9"/>
      <c r="BB219" s="9"/>
      <c r="BC219" s="9"/>
      <c r="BD219" s="9"/>
      <c r="BE219" s="9"/>
      <c r="BF219" s="9"/>
      <c r="BG219" s="9"/>
      <c r="BH219" s="9"/>
      <c r="BI219" s="9"/>
      <c r="BJ219" s="9"/>
      <c r="BK219" s="9"/>
      <c r="BL219" s="9"/>
      <c r="BM219" s="9"/>
      <c r="BN219" s="9"/>
      <c r="BO219" s="9"/>
      <c r="BP219" s="9"/>
      <c r="BQ219" s="9"/>
      <c r="BR219" s="9"/>
      <c r="BS219" s="9"/>
      <c r="BT219" s="9"/>
      <c r="BU219" s="9"/>
      <c r="BV219" s="9"/>
      <c r="BW219" s="9"/>
      <c r="BX219" s="9"/>
      <c r="BY219" s="9"/>
      <c r="BZ219" s="9"/>
      <c r="CA219" s="9"/>
      <c r="CB219" s="9"/>
      <c r="CC219" s="9"/>
      <c r="CD219" s="9"/>
      <c r="CE219" s="9"/>
      <c r="CF219" s="9"/>
      <c r="CG219" s="9"/>
      <c r="CH219" s="9"/>
      <c r="CI219" s="9"/>
      <c r="CJ219" s="9"/>
      <c r="CK219" s="9"/>
      <c r="CL219" s="9"/>
      <c r="CM219" s="9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</row>
    <row r="220" spans="4:118" ht="18" customHeight="1" x14ac:dyDescent="0.25">
      <c r="D220" s="210"/>
      <c r="E220" s="2"/>
      <c r="F220" s="2"/>
      <c r="G220" s="2"/>
      <c r="H220" s="2"/>
      <c r="I220" s="11"/>
      <c r="J220" s="11"/>
      <c r="K220" s="5"/>
      <c r="L220" s="5"/>
      <c r="M220" s="5"/>
      <c r="N220" s="8"/>
      <c r="O220" s="8"/>
      <c r="P220" s="8"/>
      <c r="Q220" s="5"/>
      <c r="R220" s="8"/>
      <c r="S220" s="8"/>
      <c r="T220" s="8"/>
      <c r="U220" s="5"/>
      <c r="V220" s="8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9"/>
      <c r="AL220" s="9"/>
      <c r="AM220" s="9"/>
      <c r="AN220" s="9"/>
      <c r="AO220" s="9"/>
      <c r="AP220" s="9"/>
      <c r="AQ220" s="9"/>
      <c r="AR220" s="9"/>
      <c r="AS220" s="9"/>
      <c r="AT220" s="9"/>
      <c r="AU220" s="9"/>
      <c r="AV220" s="9"/>
      <c r="AW220" s="9"/>
      <c r="AX220" s="9"/>
      <c r="AY220" s="9"/>
      <c r="AZ220" s="9"/>
      <c r="BA220" s="9"/>
      <c r="BB220" s="9"/>
      <c r="BC220" s="9"/>
      <c r="BD220" s="9"/>
      <c r="BE220" s="9"/>
      <c r="BF220" s="9"/>
      <c r="BG220" s="9"/>
      <c r="BH220" s="9"/>
      <c r="BI220" s="9"/>
      <c r="BJ220" s="9"/>
      <c r="BK220" s="9"/>
      <c r="BL220" s="9"/>
      <c r="BM220" s="9"/>
      <c r="BN220" s="9"/>
      <c r="BO220" s="9"/>
      <c r="BP220" s="9"/>
      <c r="BQ220" s="9"/>
      <c r="BR220" s="9"/>
      <c r="BS220" s="9"/>
      <c r="BT220" s="9"/>
      <c r="BU220" s="9"/>
      <c r="BV220" s="9"/>
      <c r="BW220" s="9"/>
      <c r="BX220" s="9"/>
      <c r="BY220" s="9"/>
      <c r="BZ220" s="9"/>
      <c r="CA220" s="9"/>
      <c r="CB220" s="9"/>
      <c r="CC220" s="9"/>
      <c r="CD220" s="9"/>
      <c r="CE220" s="9"/>
      <c r="CF220" s="9"/>
      <c r="CG220" s="9"/>
      <c r="CH220" s="9"/>
      <c r="CI220" s="9"/>
      <c r="CJ220" s="9"/>
      <c r="CK220" s="9"/>
      <c r="CL220" s="9"/>
      <c r="CM220" s="9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</row>
    <row r="221" spans="4:118" ht="18" customHeight="1" x14ac:dyDescent="0.25">
      <c r="D221" s="210"/>
      <c r="E221" s="2"/>
      <c r="F221" s="2"/>
      <c r="G221" s="2"/>
      <c r="H221" s="2"/>
      <c r="I221" s="11"/>
      <c r="J221" s="11"/>
      <c r="K221" s="5"/>
      <c r="L221" s="5"/>
      <c r="M221" s="5"/>
      <c r="N221" s="8"/>
      <c r="O221" s="8"/>
      <c r="P221" s="8"/>
      <c r="Q221" s="5"/>
      <c r="R221" s="8"/>
      <c r="S221" s="8"/>
      <c r="T221" s="8"/>
      <c r="U221" s="5"/>
      <c r="V221" s="8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9"/>
      <c r="AL221" s="9"/>
      <c r="AM221" s="9"/>
      <c r="AN221" s="9"/>
      <c r="AO221" s="9"/>
      <c r="AP221" s="9"/>
      <c r="AQ221" s="9"/>
      <c r="AR221" s="9"/>
      <c r="AS221" s="9"/>
      <c r="AT221" s="9"/>
      <c r="AU221" s="9"/>
      <c r="AV221" s="9"/>
      <c r="AW221" s="9"/>
      <c r="AX221" s="9"/>
      <c r="AY221" s="9"/>
      <c r="AZ221" s="9"/>
      <c r="BA221" s="9"/>
      <c r="BB221" s="9"/>
      <c r="BC221" s="9"/>
      <c r="BD221" s="9"/>
      <c r="BE221" s="9"/>
      <c r="BF221" s="9"/>
      <c r="BG221" s="9"/>
      <c r="BH221" s="9"/>
      <c r="BI221" s="9"/>
      <c r="BJ221" s="9"/>
      <c r="BK221" s="9"/>
      <c r="BL221" s="9"/>
      <c r="BM221" s="9"/>
      <c r="BN221" s="9"/>
      <c r="BO221" s="9"/>
      <c r="BP221" s="9"/>
      <c r="BQ221" s="9"/>
      <c r="BR221" s="9"/>
      <c r="BS221" s="9"/>
      <c r="BT221" s="9"/>
      <c r="BU221" s="9"/>
      <c r="BV221" s="9"/>
      <c r="BW221" s="9"/>
      <c r="BX221" s="9"/>
      <c r="BY221" s="9"/>
      <c r="BZ221" s="9"/>
      <c r="CA221" s="9"/>
      <c r="CB221" s="9"/>
      <c r="CC221" s="9"/>
      <c r="CD221" s="9"/>
      <c r="CE221" s="9"/>
      <c r="CF221" s="9"/>
      <c r="CG221" s="9"/>
      <c r="CH221" s="9"/>
      <c r="CI221" s="9"/>
      <c r="CJ221" s="9"/>
      <c r="CK221" s="9"/>
      <c r="CL221" s="9"/>
      <c r="CM221" s="9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</row>
    <row r="222" spans="4:118" ht="18" customHeight="1" x14ac:dyDescent="0.25">
      <c r="D222" s="210"/>
      <c r="E222" s="2"/>
      <c r="F222" s="2"/>
      <c r="G222" s="2"/>
      <c r="H222" s="2"/>
      <c r="I222" s="11"/>
      <c r="J222" s="11"/>
      <c r="K222" s="5"/>
      <c r="L222" s="5"/>
      <c r="M222" s="5"/>
      <c r="N222" s="8"/>
      <c r="O222" s="8"/>
      <c r="P222" s="8"/>
      <c r="Q222" s="5"/>
      <c r="R222" s="8"/>
      <c r="S222" s="8"/>
      <c r="T222" s="8"/>
      <c r="U222" s="5"/>
      <c r="V222" s="8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9"/>
      <c r="AL222" s="9"/>
      <c r="AM222" s="9"/>
      <c r="AN222" s="9"/>
      <c r="AO222" s="9"/>
      <c r="AP222" s="9"/>
      <c r="AQ222" s="9"/>
      <c r="AR222" s="9"/>
      <c r="AS222" s="9"/>
      <c r="AT222" s="9"/>
      <c r="AU222" s="9"/>
      <c r="AV222" s="9"/>
      <c r="AW222" s="9"/>
      <c r="AX222" s="9"/>
      <c r="AY222" s="9"/>
      <c r="AZ222" s="9"/>
      <c r="BA222" s="9"/>
      <c r="BB222" s="9"/>
      <c r="BC222" s="9"/>
      <c r="BD222" s="9"/>
      <c r="BE222" s="9"/>
      <c r="BF222" s="9"/>
      <c r="BG222" s="9"/>
      <c r="BH222" s="9"/>
      <c r="BI222" s="9"/>
      <c r="BJ222" s="9"/>
      <c r="BK222" s="9"/>
      <c r="BL222" s="9"/>
      <c r="BM222" s="9"/>
      <c r="BN222" s="9"/>
      <c r="BO222" s="9"/>
      <c r="BP222" s="9"/>
      <c r="BQ222" s="9"/>
      <c r="BR222" s="9"/>
      <c r="BS222" s="9"/>
      <c r="BT222" s="9"/>
      <c r="BU222" s="9"/>
      <c r="BV222" s="9"/>
      <c r="BW222" s="9"/>
      <c r="BX222" s="9"/>
      <c r="BY222" s="9"/>
      <c r="BZ222" s="9"/>
      <c r="CA222" s="9"/>
      <c r="CB222" s="9"/>
      <c r="CC222" s="9"/>
      <c r="CD222" s="9"/>
      <c r="CE222" s="9"/>
      <c r="CF222" s="9"/>
      <c r="CG222" s="9"/>
      <c r="CH222" s="9"/>
      <c r="CI222" s="9"/>
      <c r="CJ222" s="9"/>
      <c r="CK222" s="9"/>
      <c r="CL222" s="9"/>
      <c r="CM222" s="9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</row>
    <row r="223" spans="4:118" ht="18" customHeight="1" x14ac:dyDescent="0.25">
      <c r="D223" s="210"/>
      <c r="E223" s="2"/>
      <c r="F223" s="2"/>
      <c r="G223" s="2"/>
      <c r="H223" s="2"/>
      <c r="I223" s="11"/>
      <c r="J223" s="11"/>
      <c r="K223" s="5"/>
      <c r="L223" s="5"/>
      <c r="M223" s="5"/>
      <c r="N223" s="8"/>
      <c r="O223" s="8"/>
      <c r="P223" s="8"/>
      <c r="Q223" s="5"/>
      <c r="R223" s="8"/>
      <c r="S223" s="8"/>
      <c r="T223" s="8"/>
      <c r="U223" s="5"/>
      <c r="V223" s="8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9"/>
      <c r="AL223" s="9"/>
      <c r="AM223" s="9"/>
      <c r="AN223" s="9"/>
      <c r="AO223" s="9"/>
      <c r="AP223" s="9"/>
      <c r="AQ223" s="9"/>
      <c r="AR223" s="9"/>
      <c r="AS223" s="9"/>
      <c r="AT223" s="9"/>
      <c r="AU223" s="9"/>
      <c r="AV223" s="9"/>
      <c r="AW223" s="9"/>
      <c r="AX223" s="9"/>
      <c r="AY223" s="9"/>
      <c r="AZ223" s="9"/>
      <c r="BA223" s="9"/>
      <c r="BB223" s="9"/>
      <c r="BC223" s="9"/>
      <c r="BD223" s="9"/>
      <c r="BE223" s="9"/>
      <c r="BF223" s="9"/>
      <c r="BG223" s="9"/>
      <c r="BH223" s="9"/>
      <c r="BI223" s="9"/>
      <c r="BJ223" s="9"/>
      <c r="BK223" s="9"/>
      <c r="BL223" s="9"/>
      <c r="BM223" s="9"/>
      <c r="BN223" s="9"/>
      <c r="BO223" s="9"/>
      <c r="BP223" s="9"/>
      <c r="BQ223" s="9"/>
      <c r="BR223" s="9"/>
      <c r="BS223" s="9"/>
      <c r="BT223" s="9"/>
      <c r="BU223" s="9"/>
      <c r="BV223" s="9"/>
      <c r="BW223" s="9"/>
      <c r="BX223" s="9"/>
      <c r="BY223" s="9"/>
      <c r="BZ223" s="9"/>
      <c r="CA223" s="9"/>
      <c r="CB223" s="9"/>
      <c r="CC223" s="9"/>
      <c r="CD223" s="9"/>
      <c r="CE223" s="9"/>
      <c r="CF223" s="9"/>
      <c r="CG223" s="9"/>
      <c r="CH223" s="9"/>
      <c r="CI223" s="9"/>
      <c r="CJ223" s="9"/>
      <c r="CK223" s="9"/>
      <c r="CL223" s="9"/>
      <c r="CM223" s="9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</row>
    <row r="224" spans="4:118" ht="18" customHeight="1" x14ac:dyDescent="0.25">
      <c r="D224" s="210"/>
      <c r="E224" s="2"/>
      <c r="F224" s="2"/>
      <c r="G224" s="2"/>
      <c r="H224" s="2"/>
      <c r="I224" s="11"/>
      <c r="J224" s="11"/>
      <c r="K224" s="5"/>
      <c r="L224" s="5"/>
      <c r="M224" s="5"/>
      <c r="N224" s="8"/>
      <c r="O224" s="8"/>
      <c r="P224" s="8"/>
      <c r="Q224" s="5"/>
      <c r="R224" s="8"/>
      <c r="S224" s="8"/>
      <c r="T224" s="8"/>
      <c r="U224" s="5"/>
      <c r="V224" s="8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  <c r="AI224" s="9"/>
      <c r="AJ224" s="9"/>
      <c r="AK224" s="9"/>
      <c r="AL224" s="9"/>
      <c r="AM224" s="9"/>
      <c r="AN224" s="9"/>
      <c r="AO224" s="9"/>
      <c r="AP224" s="9"/>
      <c r="AQ224" s="9"/>
      <c r="AR224" s="9"/>
      <c r="AS224" s="9"/>
      <c r="AT224" s="9"/>
      <c r="AU224" s="9"/>
      <c r="AV224" s="9"/>
      <c r="AW224" s="9"/>
      <c r="AX224" s="9"/>
      <c r="AY224" s="9"/>
      <c r="AZ224" s="9"/>
      <c r="BA224" s="9"/>
      <c r="BB224" s="9"/>
      <c r="BC224" s="9"/>
      <c r="BD224" s="9"/>
      <c r="BE224" s="9"/>
      <c r="BF224" s="9"/>
      <c r="BG224" s="9"/>
      <c r="BH224" s="9"/>
      <c r="BI224" s="9"/>
      <c r="BJ224" s="9"/>
      <c r="BK224" s="9"/>
      <c r="BL224" s="9"/>
      <c r="BM224" s="9"/>
      <c r="BN224" s="9"/>
      <c r="BO224" s="9"/>
      <c r="BP224" s="9"/>
      <c r="BQ224" s="9"/>
      <c r="BR224" s="9"/>
      <c r="BS224" s="9"/>
      <c r="BT224" s="9"/>
      <c r="BU224" s="9"/>
      <c r="BV224" s="9"/>
      <c r="BW224" s="9"/>
      <c r="BX224" s="9"/>
      <c r="BY224" s="9"/>
      <c r="BZ224" s="9"/>
      <c r="CA224" s="9"/>
      <c r="CB224" s="9"/>
      <c r="CC224" s="9"/>
      <c r="CD224" s="9"/>
      <c r="CE224" s="9"/>
      <c r="CF224" s="9"/>
      <c r="CG224" s="9"/>
      <c r="CH224" s="9"/>
      <c r="CI224" s="9"/>
      <c r="CJ224" s="9"/>
      <c r="CK224" s="9"/>
      <c r="CL224" s="9"/>
      <c r="CM224" s="9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</row>
    <row r="225" spans="4:118" ht="18" customHeight="1" x14ac:dyDescent="0.25">
      <c r="D225" s="210"/>
      <c r="E225" s="2"/>
      <c r="F225" s="2"/>
      <c r="G225" s="2"/>
      <c r="H225" s="2"/>
      <c r="I225" s="11"/>
      <c r="J225" s="11"/>
      <c r="K225" s="5"/>
      <c r="L225" s="5"/>
      <c r="M225" s="5"/>
      <c r="N225" s="8"/>
      <c r="O225" s="8"/>
      <c r="P225" s="8"/>
      <c r="Q225" s="5"/>
      <c r="R225" s="8"/>
      <c r="S225" s="8"/>
      <c r="T225" s="8"/>
      <c r="U225" s="5"/>
      <c r="V225" s="8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  <c r="AI225" s="9"/>
      <c r="AJ225" s="9"/>
      <c r="AK225" s="9"/>
      <c r="AL225" s="9"/>
      <c r="AM225" s="9"/>
      <c r="AN225" s="9"/>
      <c r="AO225" s="9"/>
      <c r="AP225" s="9"/>
      <c r="AQ225" s="9"/>
      <c r="AR225" s="9"/>
      <c r="AS225" s="9"/>
      <c r="AT225" s="9"/>
      <c r="AU225" s="9"/>
      <c r="AV225" s="9"/>
      <c r="AW225" s="9"/>
      <c r="AX225" s="9"/>
      <c r="AY225" s="9"/>
      <c r="AZ225" s="9"/>
      <c r="BA225" s="9"/>
      <c r="BB225" s="9"/>
      <c r="BC225" s="9"/>
      <c r="BD225" s="9"/>
      <c r="BE225" s="9"/>
      <c r="BF225" s="9"/>
      <c r="BG225" s="9"/>
      <c r="BH225" s="9"/>
      <c r="BI225" s="9"/>
      <c r="BJ225" s="9"/>
      <c r="BK225" s="9"/>
      <c r="BL225" s="9"/>
      <c r="BM225" s="9"/>
      <c r="BN225" s="9"/>
      <c r="BO225" s="9"/>
      <c r="BP225" s="9"/>
      <c r="BQ225" s="9"/>
      <c r="BR225" s="9"/>
      <c r="BS225" s="9"/>
      <c r="BT225" s="9"/>
      <c r="BU225" s="9"/>
      <c r="BV225" s="9"/>
      <c r="BW225" s="9"/>
      <c r="BX225" s="9"/>
      <c r="BY225" s="9"/>
      <c r="BZ225" s="9"/>
      <c r="CA225" s="9"/>
      <c r="CB225" s="9"/>
      <c r="CC225" s="9"/>
      <c r="CD225" s="9"/>
      <c r="CE225" s="9"/>
      <c r="CF225" s="9"/>
      <c r="CG225" s="9"/>
      <c r="CH225" s="9"/>
      <c r="CI225" s="9"/>
      <c r="CJ225" s="9"/>
      <c r="CK225" s="9"/>
      <c r="CL225" s="9"/>
      <c r="CM225" s="9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</row>
    <row r="226" spans="4:118" ht="18" customHeight="1" x14ac:dyDescent="0.25">
      <c r="D226" s="210"/>
      <c r="E226" s="2"/>
      <c r="F226" s="2"/>
      <c r="G226" s="2"/>
      <c r="H226" s="2"/>
      <c r="I226" s="11"/>
      <c r="J226" s="11"/>
      <c r="K226" s="5"/>
      <c r="L226" s="5"/>
      <c r="M226" s="5"/>
      <c r="N226" s="8"/>
      <c r="O226" s="8"/>
      <c r="P226" s="8"/>
      <c r="Q226" s="5"/>
      <c r="R226" s="8"/>
      <c r="S226" s="8"/>
      <c r="T226" s="8"/>
      <c r="U226" s="5"/>
      <c r="V226" s="8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  <c r="AI226" s="9"/>
      <c r="AJ226" s="9"/>
      <c r="AK226" s="9"/>
      <c r="AL226" s="9"/>
      <c r="AM226" s="9"/>
      <c r="AN226" s="9"/>
      <c r="AO226" s="9"/>
      <c r="AP226" s="9"/>
      <c r="AQ226" s="9"/>
      <c r="AR226" s="9"/>
      <c r="AS226" s="9"/>
      <c r="AT226" s="9"/>
      <c r="AU226" s="9"/>
      <c r="AV226" s="9"/>
      <c r="AW226" s="9"/>
      <c r="AX226" s="9"/>
      <c r="AY226" s="9"/>
      <c r="AZ226" s="9"/>
      <c r="BA226" s="9"/>
      <c r="BB226" s="9"/>
      <c r="BC226" s="9"/>
      <c r="BD226" s="9"/>
      <c r="BE226" s="9"/>
      <c r="BF226" s="9"/>
      <c r="BG226" s="9"/>
      <c r="BH226" s="9"/>
      <c r="BI226" s="9"/>
      <c r="BJ226" s="9"/>
      <c r="BK226" s="9"/>
      <c r="BL226" s="9"/>
      <c r="BM226" s="9"/>
      <c r="BN226" s="9"/>
      <c r="BO226" s="9"/>
      <c r="BP226" s="9"/>
      <c r="BQ226" s="9"/>
      <c r="BR226" s="9"/>
      <c r="BS226" s="9"/>
      <c r="BT226" s="9"/>
      <c r="BU226" s="9"/>
      <c r="BV226" s="9"/>
      <c r="BW226" s="9"/>
      <c r="BX226" s="9"/>
      <c r="BY226" s="9"/>
      <c r="BZ226" s="9"/>
      <c r="CA226" s="9"/>
      <c r="CB226" s="9"/>
      <c r="CC226" s="9"/>
      <c r="CD226" s="9"/>
      <c r="CE226" s="9"/>
      <c r="CF226" s="9"/>
      <c r="CG226" s="9"/>
      <c r="CH226" s="9"/>
      <c r="CI226" s="9"/>
      <c r="CJ226" s="9"/>
      <c r="CK226" s="9"/>
      <c r="CL226" s="9"/>
      <c r="CM226" s="9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</row>
    <row r="227" spans="4:118" ht="18" customHeight="1" x14ac:dyDescent="0.25">
      <c r="D227" s="210"/>
      <c r="E227" s="2"/>
      <c r="F227" s="2"/>
      <c r="G227" s="2"/>
      <c r="H227" s="2"/>
      <c r="I227" s="11"/>
      <c r="J227" s="11"/>
      <c r="K227" s="5"/>
      <c r="L227" s="5"/>
      <c r="M227" s="5"/>
      <c r="N227" s="8"/>
      <c r="O227" s="8"/>
      <c r="P227" s="8"/>
      <c r="Q227" s="5"/>
      <c r="R227" s="8"/>
      <c r="S227" s="8"/>
      <c r="T227" s="8"/>
      <c r="U227" s="5"/>
      <c r="V227" s="8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  <c r="AI227" s="9"/>
      <c r="AJ227" s="9"/>
      <c r="AK227" s="9"/>
      <c r="AL227" s="9"/>
      <c r="AM227" s="9"/>
      <c r="AN227" s="9"/>
      <c r="AO227" s="9"/>
      <c r="AP227" s="9"/>
      <c r="AQ227" s="9"/>
      <c r="AR227" s="9"/>
      <c r="AS227" s="9"/>
      <c r="AT227" s="9"/>
      <c r="AU227" s="9"/>
      <c r="AV227" s="9"/>
      <c r="AW227" s="9"/>
      <c r="AX227" s="9"/>
      <c r="AY227" s="9"/>
      <c r="AZ227" s="9"/>
      <c r="BA227" s="9"/>
      <c r="BB227" s="9"/>
      <c r="BC227" s="9"/>
      <c r="BD227" s="9"/>
      <c r="BE227" s="9"/>
      <c r="BF227" s="9"/>
      <c r="BG227" s="9"/>
      <c r="BH227" s="9"/>
      <c r="BI227" s="9"/>
      <c r="BJ227" s="9"/>
      <c r="BK227" s="9"/>
      <c r="BL227" s="9"/>
      <c r="BM227" s="9"/>
      <c r="BN227" s="9"/>
      <c r="BO227" s="9"/>
      <c r="BP227" s="9"/>
      <c r="BQ227" s="9"/>
      <c r="BR227" s="9"/>
      <c r="BS227" s="9"/>
      <c r="BT227" s="9"/>
      <c r="BU227" s="9"/>
      <c r="BV227" s="9"/>
      <c r="BW227" s="9"/>
      <c r="BX227" s="9"/>
      <c r="BY227" s="9"/>
      <c r="BZ227" s="9"/>
      <c r="CA227" s="9"/>
      <c r="CB227" s="9"/>
      <c r="CC227" s="9"/>
      <c r="CD227" s="9"/>
      <c r="CE227" s="9"/>
      <c r="CF227" s="9"/>
      <c r="CG227" s="9"/>
      <c r="CH227" s="9"/>
      <c r="CI227" s="9"/>
      <c r="CJ227" s="9"/>
      <c r="CK227" s="9"/>
      <c r="CL227" s="9"/>
      <c r="CM227" s="9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</row>
    <row r="228" spans="4:118" ht="18" customHeight="1" x14ac:dyDescent="0.25">
      <c r="D228" s="210"/>
      <c r="E228" s="2"/>
      <c r="F228" s="2"/>
      <c r="G228" s="2"/>
      <c r="H228" s="2"/>
      <c r="I228" s="11"/>
      <c r="J228" s="11"/>
      <c r="K228" s="5"/>
      <c r="L228" s="5"/>
      <c r="M228" s="5"/>
      <c r="N228" s="8"/>
      <c r="O228" s="8"/>
      <c r="P228" s="8"/>
      <c r="Q228" s="5"/>
      <c r="R228" s="8"/>
      <c r="S228" s="8"/>
      <c r="T228" s="8"/>
      <c r="U228" s="5"/>
      <c r="V228" s="8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  <c r="AI228" s="9"/>
      <c r="AJ228" s="9"/>
      <c r="AK228" s="9"/>
      <c r="AL228" s="9"/>
      <c r="AM228" s="9"/>
      <c r="AN228" s="9"/>
      <c r="AO228" s="9"/>
      <c r="AP228" s="9"/>
      <c r="AQ228" s="9"/>
      <c r="AR228" s="9"/>
      <c r="AS228" s="9"/>
      <c r="AT228" s="9"/>
      <c r="AU228" s="9"/>
      <c r="AV228" s="9"/>
      <c r="AW228" s="9"/>
      <c r="AX228" s="9"/>
      <c r="AY228" s="9"/>
      <c r="AZ228" s="9"/>
      <c r="BA228" s="9"/>
      <c r="BB228" s="9"/>
      <c r="BC228" s="9"/>
      <c r="BD228" s="9"/>
      <c r="BE228" s="9"/>
      <c r="BF228" s="9"/>
      <c r="BG228" s="9"/>
      <c r="BH228" s="9"/>
      <c r="BI228" s="9"/>
      <c r="BJ228" s="9"/>
      <c r="BK228" s="9"/>
      <c r="BL228" s="9"/>
      <c r="BM228" s="9"/>
      <c r="BN228" s="9"/>
      <c r="BO228" s="9"/>
      <c r="BP228" s="9"/>
      <c r="BQ228" s="9"/>
      <c r="BR228" s="9"/>
      <c r="BS228" s="9"/>
      <c r="BT228" s="9"/>
      <c r="BU228" s="9"/>
      <c r="BV228" s="9"/>
      <c r="BW228" s="9"/>
      <c r="BX228" s="9"/>
      <c r="BY228" s="9"/>
      <c r="BZ228" s="9"/>
      <c r="CA228" s="9"/>
      <c r="CB228" s="9"/>
      <c r="CC228" s="9"/>
      <c r="CD228" s="9"/>
      <c r="CE228" s="9"/>
      <c r="CF228" s="9"/>
      <c r="CG228" s="9"/>
      <c r="CH228" s="9"/>
      <c r="CI228" s="9"/>
      <c r="CJ228" s="9"/>
      <c r="CK228" s="9"/>
      <c r="CL228" s="9"/>
      <c r="CM228" s="9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</row>
    <row r="229" spans="4:118" ht="18" customHeight="1" x14ac:dyDescent="0.25">
      <c r="D229" s="210"/>
      <c r="E229" s="2"/>
      <c r="F229" s="2"/>
      <c r="G229" s="2"/>
      <c r="H229" s="2"/>
      <c r="I229" s="11"/>
      <c r="J229" s="11"/>
      <c r="K229" s="5"/>
      <c r="L229" s="5"/>
      <c r="M229" s="5"/>
      <c r="N229" s="8"/>
      <c r="O229" s="8"/>
      <c r="P229" s="8"/>
      <c r="Q229" s="5"/>
      <c r="R229" s="8"/>
      <c r="S229" s="8"/>
      <c r="T229" s="8"/>
      <c r="U229" s="5"/>
      <c r="V229" s="8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  <c r="AI229" s="9"/>
      <c r="AJ229" s="9"/>
      <c r="AK229" s="9"/>
      <c r="AL229" s="9"/>
      <c r="AM229" s="9"/>
      <c r="AN229" s="9"/>
      <c r="AO229" s="9"/>
      <c r="AP229" s="9"/>
      <c r="AQ229" s="9"/>
      <c r="AR229" s="9"/>
      <c r="AS229" s="9"/>
      <c r="AT229" s="9"/>
      <c r="AU229" s="9"/>
      <c r="AV229" s="9"/>
      <c r="AW229" s="9"/>
      <c r="AX229" s="9"/>
      <c r="AY229" s="9"/>
      <c r="AZ229" s="9"/>
      <c r="BA229" s="9"/>
      <c r="BB229" s="9"/>
      <c r="BC229" s="9"/>
      <c r="BD229" s="9"/>
      <c r="BE229" s="9"/>
      <c r="BF229" s="9"/>
      <c r="BG229" s="9"/>
      <c r="BH229" s="9"/>
      <c r="BI229" s="9"/>
      <c r="BJ229" s="9"/>
      <c r="BK229" s="9"/>
      <c r="BL229" s="9"/>
      <c r="BM229" s="9"/>
      <c r="BN229" s="9"/>
      <c r="BO229" s="9"/>
      <c r="BP229" s="9"/>
      <c r="BQ229" s="9"/>
      <c r="BR229" s="9"/>
      <c r="BS229" s="9"/>
      <c r="BT229" s="9"/>
      <c r="BU229" s="9"/>
      <c r="BV229" s="9"/>
      <c r="BW229" s="9"/>
      <c r="BX229" s="9"/>
      <c r="BY229" s="9"/>
      <c r="BZ229" s="9"/>
      <c r="CA229" s="9"/>
      <c r="CB229" s="9"/>
      <c r="CC229" s="9"/>
      <c r="CD229" s="9"/>
      <c r="CE229" s="9"/>
      <c r="CF229" s="9"/>
      <c r="CG229" s="9"/>
      <c r="CH229" s="9"/>
      <c r="CI229" s="9"/>
      <c r="CJ229" s="9"/>
      <c r="CK229" s="9"/>
      <c r="CL229" s="9"/>
      <c r="CM229" s="9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</row>
    <row r="230" spans="4:118" ht="18" customHeight="1" x14ac:dyDescent="0.25">
      <c r="D230" s="210"/>
      <c r="E230" s="2"/>
      <c r="F230" s="2"/>
      <c r="G230" s="2"/>
      <c r="H230" s="2"/>
      <c r="I230" s="11"/>
      <c r="J230" s="11"/>
      <c r="K230" s="5"/>
      <c r="L230" s="5"/>
      <c r="M230" s="5"/>
      <c r="N230" s="8"/>
      <c r="O230" s="8"/>
      <c r="P230" s="8"/>
      <c r="Q230" s="5"/>
      <c r="R230" s="8"/>
      <c r="S230" s="8"/>
      <c r="T230" s="8"/>
      <c r="U230" s="5"/>
      <c r="V230" s="8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  <c r="AI230" s="9"/>
      <c r="AJ230" s="9"/>
      <c r="AK230" s="9"/>
      <c r="AL230" s="9"/>
      <c r="AM230" s="9"/>
      <c r="AN230" s="9"/>
      <c r="AO230" s="9"/>
      <c r="AP230" s="9"/>
      <c r="AQ230" s="9"/>
      <c r="AR230" s="9"/>
      <c r="AS230" s="9"/>
      <c r="AT230" s="9"/>
      <c r="AU230" s="9"/>
      <c r="AV230" s="9"/>
      <c r="AW230" s="9"/>
      <c r="AX230" s="9"/>
      <c r="AY230" s="9"/>
      <c r="AZ230" s="9"/>
      <c r="BA230" s="9"/>
      <c r="BB230" s="9"/>
      <c r="BC230" s="9"/>
      <c r="BD230" s="9"/>
      <c r="BE230" s="9"/>
      <c r="BF230" s="9"/>
      <c r="BG230" s="9"/>
      <c r="BH230" s="9"/>
      <c r="BI230" s="9"/>
      <c r="BJ230" s="9"/>
      <c r="BK230" s="9"/>
      <c r="BL230" s="9"/>
      <c r="BM230" s="9"/>
      <c r="BN230" s="9"/>
      <c r="BO230" s="9"/>
      <c r="BP230" s="9"/>
      <c r="BQ230" s="9"/>
      <c r="BR230" s="9"/>
      <c r="BS230" s="9"/>
      <c r="BT230" s="9"/>
      <c r="BU230" s="9"/>
      <c r="BV230" s="9"/>
      <c r="BW230" s="9"/>
      <c r="BX230" s="9"/>
      <c r="BY230" s="9"/>
      <c r="BZ230" s="9"/>
      <c r="CA230" s="9"/>
      <c r="CB230" s="9"/>
      <c r="CC230" s="9"/>
      <c r="CD230" s="9"/>
      <c r="CE230" s="9"/>
      <c r="CF230" s="9"/>
      <c r="CG230" s="9"/>
      <c r="CH230" s="9"/>
      <c r="CI230" s="9"/>
      <c r="CJ230" s="9"/>
      <c r="CK230" s="9"/>
      <c r="CL230" s="9"/>
      <c r="CM230" s="9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</row>
    <row r="231" spans="4:118" ht="18" customHeight="1" x14ac:dyDescent="0.25">
      <c r="D231" s="210"/>
      <c r="E231" s="2"/>
      <c r="F231" s="2"/>
      <c r="G231" s="2"/>
      <c r="H231" s="2"/>
      <c r="I231" s="11"/>
      <c r="J231" s="11"/>
      <c r="K231" s="5"/>
      <c r="L231" s="5"/>
      <c r="M231" s="5"/>
      <c r="N231" s="8"/>
      <c r="O231" s="8"/>
      <c r="P231" s="8"/>
      <c r="Q231" s="5"/>
      <c r="R231" s="8"/>
      <c r="S231" s="8"/>
      <c r="T231" s="8"/>
      <c r="U231" s="5"/>
      <c r="V231" s="8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  <c r="AI231" s="9"/>
      <c r="AJ231" s="9"/>
      <c r="AK231" s="9"/>
      <c r="AL231" s="9"/>
      <c r="AM231" s="9"/>
      <c r="AN231" s="9"/>
      <c r="AO231" s="9"/>
      <c r="AP231" s="9"/>
      <c r="AQ231" s="9"/>
      <c r="AR231" s="9"/>
      <c r="AS231" s="9"/>
      <c r="AT231" s="9"/>
      <c r="AU231" s="9"/>
      <c r="AV231" s="9"/>
      <c r="AW231" s="9"/>
      <c r="AX231" s="9"/>
      <c r="AY231" s="9"/>
      <c r="AZ231" s="9"/>
      <c r="BA231" s="9"/>
      <c r="BB231" s="9"/>
      <c r="BC231" s="9"/>
      <c r="BD231" s="9"/>
      <c r="BE231" s="9"/>
      <c r="BF231" s="9"/>
      <c r="BG231" s="9"/>
      <c r="BH231" s="9"/>
      <c r="BI231" s="9"/>
      <c r="BJ231" s="9"/>
      <c r="BK231" s="9"/>
      <c r="BL231" s="9"/>
      <c r="BM231" s="9"/>
      <c r="BN231" s="9"/>
      <c r="BO231" s="9"/>
      <c r="BP231" s="9"/>
      <c r="BQ231" s="9"/>
      <c r="BR231" s="9"/>
      <c r="BS231" s="9"/>
      <c r="BT231" s="9"/>
      <c r="BU231" s="9"/>
      <c r="BV231" s="9"/>
      <c r="BW231" s="9"/>
      <c r="BX231" s="9"/>
      <c r="BY231" s="9"/>
      <c r="BZ231" s="9"/>
      <c r="CA231" s="9"/>
      <c r="CB231" s="9"/>
      <c r="CC231" s="9"/>
      <c r="CD231" s="9"/>
      <c r="CE231" s="9"/>
      <c r="CF231" s="9"/>
      <c r="CG231" s="9"/>
      <c r="CH231" s="9"/>
      <c r="CI231" s="9"/>
      <c r="CJ231" s="9"/>
      <c r="CK231" s="9"/>
      <c r="CL231" s="9"/>
      <c r="CM231" s="9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</row>
    <row r="232" spans="4:118" ht="18" customHeight="1" x14ac:dyDescent="0.25">
      <c r="D232" s="210"/>
      <c r="E232" s="2"/>
      <c r="F232" s="2"/>
      <c r="G232" s="2"/>
      <c r="H232" s="2"/>
      <c r="I232" s="11"/>
      <c r="J232" s="11"/>
      <c r="K232" s="5"/>
      <c r="L232" s="5"/>
      <c r="M232" s="5"/>
      <c r="N232" s="8"/>
      <c r="O232" s="8"/>
      <c r="P232" s="8"/>
      <c r="Q232" s="5"/>
      <c r="R232" s="8"/>
      <c r="S232" s="8"/>
      <c r="T232" s="8"/>
      <c r="U232" s="5"/>
      <c r="V232" s="8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  <c r="AI232" s="9"/>
      <c r="AJ232" s="9"/>
      <c r="AK232" s="9"/>
      <c r="AL232" s="9"/>
      <c r="AM232" s="9"/>
      <c r="AN232" s="9"/>
      <c r="AO232" s="9"/>
      <c r="AP232" s="9"/>
      <c r="AQ232" s="9"/>
      <c r="AR232" s="9"/>
      <c r="AS232" s="9"/>
      <c r="AT232" s="9"/>
      <c r="AU232" s="9"/>
      <c r="AV232" s="9"/>
      <c r="AW232" s="9"/>
      <c r="AX232" s="9"/>
      <c r="AY232" s="9"/>
      <c r="AZ232" s="9"/>
      <c r="BA232" s="9"/>
      <c r="BB232" s="9"/>
      <c r="BC232" s="9"/>
      <c r="BD232" s="9"/>
      <c r="BE232" s="9"/>
      <c r="BF232" s="9"/>
      <c r="BG232" s="9"/>
      <c r="BH232" s="9"/>
      <c r="BI232" s="9"/>
      <c r="BJ232" s="9"/>
      <c r="BK232" s="9"/>
      <c r="BL232" s="9"/>
      <c r="BM232" s="9"/>
      <c r="BN232" s="9"/>
      <c r="BO232" s="9"/>
      <c r="BP232" s="9"/>
      <c r="BQ232" s="9"/>
      <c r="BR232" s="9"/>
      <c r="BS232" s="9"/>
      <c r="BT232" s="9"/>
      <c r="BU232" s="9"/>
      <c r="BV232" s="9"/>
      <c r="BW232" s="9"/>
      <c r="BX232" s="9"/>
      <c r="BY232" s="9"/>
      <c r="BZ232" s="9"/>
      <c r="CA232" s="9"/>
      <c r="CB232" s="9"/>
      <c r="CC232" s="9"/>
      <c r="CD232" s="9"/>
      <c r="CE232" s="9"/>
      <c r="CF232" s="9"/>
      <c r="CG232" s="9"/>
      <c r="CH232" s="9"/>
      <c r="CI232" s="9"/>
      <c r="CJ232" s="9"/>
      <c r="CK232" s="9"/>
      <c r="CL232" s="9"/>
      <c r="CM232" s="9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</row>
    <row r="233" spans="4:118" ht="18" customHeight="1" x14ac:dyDescent="0.25">
      <c r="D233" s="210"/>
      <c r="E233" s="2"/>
      <c r="F233" s="2"/>
      <c r="G233" s="2"/>
      <c r="H233" s="2"/>
      <c r="I233" s="11"/>
      <c r="J233" s="11"/>
      <c r="K233" s="5"/>
      <c r="L233" s="5"/>
      <c r="M233" s="5"/>
      <c r="N233" s="8"/>
      <c r="O233" s="8"/>
      <c r="P233" s="8"/>
      <c r="Q233" s="5"/>
      <c r="R233" s="8"/>
      <c r="S233" s="8"/>
      <c r="T233" s="8"/>
      <c r="U233" s="5"/>
      <c r="V233" s="8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  <c r="AI233" s="9"/>
      <c r="AJ233" s="9"/>
      <c r="AK233" s="9"/>
      <c r="AL233" s="9"/>
      <c r="AM233" s="9"/>
      <c r="AN233" s="9"/>
      <c r="AO233" s="9"/>
      <c r="AP233" s="9"/>
      <c r="AQ233" s="9"/>
      <c r="AR233" s="9"/>
      <c r="AS233" s="9"/>
      <c r="AT233" s="9"/>
      <c r="AU233" s="9"/>
      <c r="AV233" s="9"/>
      <c r="AW233" s="9"/>
      <c r="AX233" s="9"/>
      <c r="AY233" s="9"/>
      <c r="AZ233" s="9"/>
      <c r="BA233" s="9"/>
      <c r="BB233" s="9"/>
      <c r="BC233" s="9"/>
      <c r="BD233" s="9"/>
      <c r="BE233" s="9"/>
      <c r="BF233" s="9"/>
      <c r="BG233" s="9"/>
      <c r="BH233" s="9"/>
      <c r="BI233" s="9"/>
      <c r="BJ233" s="9"/>
      <c r="BK233" s="9"/>
      <c r="BL233" s="9"/>
      <c r="BM233" s="9"/>
      <c r="BN233" s="9"/>
      <c r="BO233" s="9"/>
      <c r="BP233" s="9"/>
      <c r="BQ233" s="9"/>
      <c r="BR233" s="9"/>
      <c r="BS233" s="9"/>
      <c r="BT233" s="9"/>
      <c r="BU233" s="9"/>
      <c r="BV233" s="9"/>
      <c r="BW233" s="9"/>
      <c r="BX233" s="9"/>
      <c r="BY233" s="9"/>
      <c r="BZ233" s="9"/>
      <c r="CA233" s="9"/>
      <c r="CB233" s="9"/>
      <c r="CC233" s="9"/>
      <c r="CD233" s="9"/>
      <c r="CE233" s="9"/>
      <c r="CF233" s="9"/>
      <c r="CG233" s="9"/>
      <c r="CH233" s="9"/>
      <c r="CI233" s="9"/>
      <c r="CJ233" s="9"/>
      <c r="CK233" s="9"/>
      <c r="CL233" s="9"/>
      <c r="CM233" s="9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</row>
    <row r="234" spans="4:118" ht="18" customHeight="1" x14ac:dyDescent="0.25">
      <c r="D234" s="210"/>
      <c r="E234" s="2"/>
      <c r="F234" s="2"/>
      <c r="G234" s="2"/>
      <c r="H234" s="2"/>
      <c r="I234" s="11"/>
      <c r="J234" s="11"/>
      <c r="K234" s="5"/>
      <c r="L234" s="5"/>
      <c r="M234" s="5"/>
      <c r="N234" s="8"/>
      <c r="O234" s="8"/>
      <c r="P234" s="8"/>
      <c r="Q234" s="5"/>
      <c r="R234" s="8"/>
      <c r="S234" s="8"/>
      <c r="T234" s="8"/>
      <c r="U234" s="5"/>
      <c r="V234" s="8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  <c r="AI234" s="9"/>
      <c r="AJ234" s="9"/>
      <c r="AK234" s="9"/>
      <c r="AL234" s="9"/>
      <c r="AM234" s="9"/>
      <c r="AN234" s="9"/>
      <c r="AO234" s="9"/>
      <c r="AP234" s="9"/>
      <c r="AQ234" s="9"/>
      <c r="AR234" s="9"/>
      <c r="AS234" s="9"/>
      <c r="AT234" s="9"/>
      <c r="AU234" s="9"/>
      <c r="AV234" s="9"/>
      <c r="AW234" s="9"/>
      <c r="AX234" s="9"/>
      <c r="AY234" s="9"/>
      <c r="AZ234" s="9"/>
      <c r="BA234" s="9"/>
      <c r="BB234" s="9"/>
      <c r="BC234" s="9"/>
      <c r="BD234" s="9"/>
      <c r="BE234" s="9"/>
      <c r="BF234" s="9"/>
      <c r="BG234" s="9"/>
      <c r="BH234" s="9"/>
      <c r="BI234" s="9"/>
      <c r="BJ234" s="9"/>
      <c r="BK234" s="9"/>
      <c r="BL234" s="9"/>
      <c r="BM234" s="9"/>
      <c r="BN234" s="9"/>
      <c r="BO234" s="9"/>
      <c r="BP234" s="9"/>
      <c r="BQ234" s="9"/>
      <c r="BR234" s="9"/>
      <c r="BS234" s="9"/>
      <c r="BT234" s="9"/>
      <c r="BU234" s="9"/>
      <c r="BV234" s="9"/>
      <c r="BW234" s="9"/>
      <c r="BX234" s="9"/>
      <c r="BY234" s="9"/>
      <c r="BZ234" s="9"/>
      <c r="CA234" s="9"/>
      <c r="CB234" s="9"/>
      <c r="CC234" s="9"/>
      <c r="CD234" s="9"/>
      <c r="CE234" s="9"/>
      <c r="CF234" s="9"/>
      <c r="CG234" s="9"/>
      <c r="CH234" s="9"/>
      <c r="CI234" s="9"/>
      <c r="CJ234" s="9"/>
      <c r="CK234" s="9"/>
      <c r="CL234" s="9"/>
      <c r="CM234" s="9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</row>
    <row r="235" spans="4:118" ht="18" customHeight="1" x14ac:dyDescent="0.25">
      <c r="D235" s="210"/>
      <c r="E235" s="2"/>
      <c r="F235" s="2"/>
      <c r="G235" s="2"/>
      <c r="H235" s="2"/>
      <c r="I235" s="11"/>
      <c r="J235" s="11"/>
      <c r="K235" s="5"/>
      <c r="L235" s="5"/>
      <c r="M235" s="5"/>
      <c r="N235" s="8"/>
      <c r="O235" s="8"/>
      <c r="P235" s="8"/>
      <c r="Q235" s="5"/>
      <c r="R235" s="8"/>
      <c r="S235" s="8"/>
      <c r="T235" s="8"/>
      <c r="U235" s="5"/>
      <c r="V235" s="8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  <c r="AI235" s="9"/>
      <c r="AJ235" s="9"/>
      <c r="AK235" s="9"/>
      <c r="AL235" s="9"/>
      <c r="AM235" s="9"/>
      <c r="AN235" s="9"/>
      <c r="AO235" s="9"/>
      <c r="AP235" s="9"/>
      <c r="AQ235" s="9"/>
      <c r="AR235" s="9"/>
      <c r="AS235" s="9"/>
      <c r="AT235" s="9"/>
      <c r="AU235" s="9"/>
      <c r="AV235" s="9"/>
      <c r="AW235" s="9"/>
      <c r="AX235" s="9"/>
      <c r="AY235" s="9"/>
      <c r="AZ235" s="9"/>
      <c r="BA235" s="9"/>
      <c r="BB235" s="9"/>
      <c r="BC235" s="9"/>
      <c r="BD235" s="9"/>
      <c r="BE235" s="9"/>
      <c r="BF235" s="9"/>
      <c r="BG235" s="9"/>
      <c r="BH235" s="9"/>
      <c r="BI235" s="9"/>
      <c r="BJ235" s="9"/>
      <c r="BK235" s="9"/>
      <c r="BL235" s="9"/>
      <c r="BM235" s="9"/>
      <c r="BN235" s="9"/>
      <c r="BO235" s="9"/>
      <c r="BP235" s="9"/>
      <c r="BQ235" s="9"/>
      <c r="BR235" s="9"/>
      <c r="BS235" s="9"/>
      <c r="BT235" s="9"/>
      <c r="BU235" s="9"/>
      <c r="BV235" s="9"/>
      <c r="BW235" s="9"/>
      <c r="BX235" s="9"/>
      <c r="BY235" s="9"/>
      <c r="BZ235" s="9"/>
      <c r="CA235" s="9"/>
      <c r="CB235" s="9"/>
      <c r="CC235" s="9"/>
      <c r="CD235" s="9"/>
      <c r="CE235" s="9"/>
      <c r="CF235" s="9"/>
      <c r="CG235" s="9"/>
      <c r="CH235" s="9"/>
      <c r="CI235" s="9"/>
      <c r="CJ235" s="9"/>
      <c r="CK235" s="9"/>
      <c r="CL235" s="9"/>
      <c r="CM235" s="9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</row>
    <row r="236" spans="4:118" ht="18" customHeight="1" x14ac:dyDescent="0.25">
      <c r="D236" s="210"/>
      <c r="E236" s="2"/>
      <c r="F236" s="2"/>
      <c r="G236" s="2"/>
      <c r="H236" s="2"/>
      <c r="I236" s="11"/>
      <c r="J236" s="11"/>
      <c r="K236" s="5"/>
      <c r="L236" s="5"/>
      <c r="M236" s="5"/>
      <c r="N236" s="8"/>
      <c r="O236" s="8"/>
      <c r="P236" s="8"/>
      <c r="Q236" s="5"/>
      <c r="R236" s="8"/>
      <c r="S236" s="8"/>
      <c r="T236" s="8"/>
      <c r="U236" s="5"/>
      <c r="V236" s="8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  <c r="AI236" s="9"/>
      <c r="AJ236" s="9"/>
      <c r="AK236" s="9"/>
      <c r="AL236" s="9"/>
      <c r="AM236" s="9"/>
      <c r="AN236" s="9"/>
      <c r="AO236" s="9"/>
      <c r="AP236" s="9"/>
      <c r="AQ236" s="9"/>
      <c r="AR236" s="9"/>
      <c r="AS236" s="9"/>
      <c r="AT236" s="9"/>
      <c r="AU236" s="9"/>
      <c r="AV236" s="9"/>
      <c r="AW236" s="9"/>
      <c r="AX236" s="9"/>
      <c r="AY236" s="9"/>
      <c r="AZ236" s="9"/>
      <c r="BA236" s="9"/>
      <c r="BB236" s="9"/>
      <c r="BC236" s="9"/>
      <c r="BD236" s="9"/>
      <c r="BE236" s="9"/>
      <c r="BF236" s="9"/>
      <c r="BG236" s="9"/>
      <c r="BH236" s="9"/>
      <c r="BI236" s="9"/>
      <c r="BJ236" s="9"/>
      <c r="BK236" s="9"/>
      <c r="BL236" s="9"/>
      <c r="BM236" s="9"/>
      <c r="BN236" s="9"/>
      <c r="BO236" s="9"/>
      <c r="BP236" s="9"/>
      <c r="BQ236" s="9"/>
      <c r="BR236" s="9"/>
      <c r="BS236" s="9"/>
      <c r="BT236" s="9"/>
      <c r="BU236" s="9"/>
      <c r="BV236" s="9"/>
      <c r="BW236" s="9"/>
      <c r="BX236" s="9"/>
      <c r="BY236" s="9"/>
      <c r="BZ236" s="9"/>
      <c r="CA236" s="9"/>
      <c r="CB236" s="9"/>
      <c r="CC236" s="9"/>
      <c r="CD236" s="9"/>
      <c r="CE236" s="9"/>
      <c r="CF236" s="9"/>
      <c r="CG236" s="9"/>
      <c r="CH236" s="9"/>
      <c r="CI236" s="9"/>
      <c r="CJ236" s="9"/>
      <c r="CK236" s="9"/>
      <c r="CL236" s="9"/>
      <c r="CM236" s="9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</row>
    <row r="237" spans="4:118" ht="18" customHeight="1" x14ac:dyDescent="0.25">
      <c r="D237" s="210"/>
      <c r="E237" s="2"/>
      <c r="F237" s="2"/>
      <c r="G237" s="2"/>
      <c r="H237" s="2"/>
      <c r="I237" s="11"/>
      <c r="J237" s="11"/>
      <c r="K237" s="5"/>
      <c r="L237" s="5"/>
      <c r="M237" s="5"/>
      <c r="N237" s="8"/>
      <c r="O237" s="8"/>
      <c r="P237" s="8"/>
      <c r="Q237" s="5"/>
      <c r="R237" s="8"/>
      <c r="S237" s="8"/>
      <c r="T237" s="8"/>
      <c r="U237" s="5"/>
      <c r="V237" s="8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  <c r="AI237" s="9"/>
      <c r="AJ237" s="9"/>
      <c r="AK237" s="9"/>
      <c r="AL237" s="9"/>
      <c r="AM237" s="9"/>
      <c r="AN237" s="9"/>
      <c r="AO237" s="9"/>
      <c r="AP237" s="9"/>
      <c r="AQ237" s="9"/>
      <c r="AR237" s="9"/>
      <c r="AS237" s="9"/>
      <c r="AT237" s="9"/>
      <c r="AU237" s="9"/>
      <c r="AV237" s="9"/>
      <c r="AW237" s="9"/>
      <c r="AX237" s="9"/>
      <c r="AY237" s="9"/>
      <c r="AZ237" s="9"/>
      <c r="BA237" s="9"/>
      <c r="BB237" s="9"/>
      <c r="BC237" s="9"/>
      <c r="BD237" s="9"/>
      <c r="BE237" s="9"/>
      <c r="BF237" s="9"/>
      <c r="BG237" s="9"/>
      <c r="BH237" s="9"/>
      <c r="BI237" s="9"/>
      <c r="BJ237" s="9"/>
      <c r="BK237" s="9"/>
      <c r="BL237" s="9"/>
      <c r="BM237" s="9"/>
      <c r="BN237" s="9"/>
      <c r="BO237" s="9"/>
      <c r="BP237" s="9"/>
      <c r="BQ237" s="9"/>
      <c r="BR237" s="9"/>
      <c r="BS237" s="9"/>
      <c r="BT237" s="9"/>
      <c r="BU237" s="9"/>
      <c r="BV237" s="9"/>
      <c r="BW237" s="9"/>
      <c r="BX237" s="9"/>
      <c r="BY237" s="9"/>
      <c r="BZ237" s="9"/>
      <c r="CA237" s="9"/>
      <c r="CB237" s="9"/>
      <c r="CC237" s="9"/>
      <c r="CD237" s="9"/>
      <c r="CE237" s="9"/>
      <c r="CF237" s="9"/>
      <c r="CG237" s="9"/>
      <c r="CH237" s="9"/>
      <c r="CI237" s="9"/>
      <c r="CJ237" s="9"/>
      <c r="CK237" s="9"/>
      <c r="CL237" s="9"/>
      <c r="CM237" s="9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</row>
    <row r="238" spans="4:118" ht="18" customHeight="1" x14ac:dyDescent="0.25">
      <c r="D238" s="210"/>
      <c r="E238" s="2"/>
      <c r="F238" s="2"/>
      <c r="G238" s="2"/>
      <c r="H238" s="2"/>
      <c r="I238" s="11"/>
      <c r="J238" s="11"/>
      <c r="K238" s="5"/>
      <c r="L238" s="5"/>
      <c r="M238" s="5"/>
      <c r="N238" s="8"/>
      <c r="O238" s="8"/>
      <c r="P238" s="8"/>
      <c r="Q238" s="5"/>
      <c r="R238" s="8"/>
      <c r="S238" s="8"/>
      <c r="T238" s="8"/>
      <c r="U238" s="5"/>
      <c r="V238" s="8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9"/>
      <c r="AL238" s="9"/>
      <c r="AM238" s="9"/>
      <c r="AN238" s="9"/>
      <c r="AO238" s="9"/>
      <c r="AP238" s="9"/>
      <c r="AQ238" s="9"/>
      <c r="AR238" s="9"/>
      <c r="AS238" s="9"/>
      <c r="AT238" s="9"/>
      <c r="AU238" s="9"/>
      <c r="AV238" s="9"/>
      <c r="AW238" s="9"/>
      <c r="AX238" s="9"/>
      <c r="AY238" s="9"/>
      <c r="AZ238" s="9"/>
      <c r="BA238" s="9"/>
      <c r="BB238" s="9"/>
      <c r="BC238" s="9"/>
      <c r="BD238" s="9"/>
      <c r="BE238" s="9"/>
      <c r="BF238" s="9"/>
      <c r="BG238" s="9"/>
      <c r="BH238" s="9"/>
      <c r="BI238" s="9"/>
      <c r="BJ238" s="9"/>
      <c r="BK238" s="9"/>
      <c r="BL238" s="9"/>
      <c r="BM238" s="9"/>
      <c r="BN238" s="9"/>
      <c r="BO238" s="9"/>
      <c r="BP238" s="9"/>
      <c r="BQ238" s="9"/>
      <c r="BR238" s="9"/>
      <c r="BS238" s="9"/>
      <c r="BT238" s="9"/>
      <c r="BU238" s="9"/>
      <c r="BV238" s="9"/>
      <c r="BW238" s="9"/>
      <c r="BX238" s="9"/>
      <c r="BY238" s="9"/>
      <c r="BZ238" s="9"/>
      <c r="CA238" s="9"/>
      <c r="CB238" s="9"/>
      <c r="CC238" s="9"/>
      <c r="CD238" s="9"/>
      <c r="CE238" s="9"/>
      <c r="CF238" s="9"/>
      <c r="CG238" s="9"/>
      <c r="CH238" s="9"/>
      <c r="CI238" s="9"/>
      <c r="CJ238" s="9"/>
      <c r="CK238" s="9"/>
      <c r="CL238" s="9"/>
      <c r="CM238" s="9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</row>
    <row r="239" spans="4:118" ht="18" customHeight="1" x14ac:dyDescent="0.25">
      <c r="D239" s="210"/>
      <c r="E239" s="2"/>
      <c r="F239" s="2"/>
      <c r="G239" s="2"/>
      <c r="H239" s="2"/>
      <c r="I239" s="11"/>
      <c r="J239" s="11"/>
      <c r="K239" s="5"/>
      <c r="L239" s="5"/>
      <c r="M239" s="5"/>
      <c r="N239" s="8"/>
      <c r="O239" s="8"/>
      <c r="P239" s="8"/>
      <c r="Q239" s="5"/>
      <c r="R239" s="8"/>
      <c r="S239" s="8"/>
      <c r="T239" s="8"/>
      <c r="U239" s="5"/>
      <c r="V239" s="8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  <c r="AI239" s="9"/>
      <c r="AJ239" s="9"/>
      <c r="AK239" s="9"/>
      <c r="AL239" s="9"/>
      <c r="AM239" s="9"/>
      <c r="AN239" s="9"/>
      <c r="AO239" s="9"/>
      <c r="AP239" s="9"/>
      <c r="AQ239" s="9"/>
      <c r="AR239" s="9"/>
      <c r="AS239" s="9"/>
      <c r="AT239" s="9"/>
      <c r="AU239" s="9"/>
      <c r="AV239" s="9"/>
      <c r="AW239" s="9"/>
      <c r="AX239" s="9"/>
      <c r="AY239" s="9"/>
      <c r="AZ239" s="9"/>
      <c r="BA239" s="9"/>
      <c r="BB239" s="9"/>
      <c r="BC239" s="9"/>
      <c r="BD239" s="9"/>
      <c r="BE239" s="9"/>
      <c r="BF239" s="9"/>
      <c r="BG239" s="9"/>
      <c r="BH239" s="9"/>
      <c r="BI239" s="9"/>
      <c r="BJ239" s="9"/>
      <c r="BK239" s="9"/>
      <c r="BL239" s="9"/>
      <c r="BM239" s="9"/>
      <c r="BN239" s="9"/>
      <c r="BO239" s="9"/>
      <c r="BP239" s="9"/>
      <c r="BQ239" s="9"/>
      <c r="BR239" s="9"/>
      <c r="BS239" s="9"/>
      <c r="BT239" s="9"/>
      <c r="BU239" s="9"/>
      <c r="BV239" s="9"/>
      <c r="BW239" s="9"/>
      <c r="BX239" s="9"/>
      <c r="BY239" s="9"/>
      <c r="BZ239" s="9"/>
      <c r="CA239" s="9"/>
      <c r="CB239" s="9"/>
      <c r="CC239" s="9"/>
      <c r="CD239" s="9"/>
      <c r="CE239" s="9"/>
      <c r="CF239" s="9"/>
      <c r="CG239" s="9"/>
      <c r="CH239" s="9"/>
      <c r="CI239" s="9"/>
      <c r="CJ239" s="9"/>
      <c r="CK239" s="9"/>
      <c r="CL239" s="9"/>
      <c r="CM239" s="9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</row>
    <row r="240" spans="4:118" ht="18" customHeight="1" x14ac:dyDescent="0.25">
      <c r="D240" s="210"/>
      <c r="E240" s="2"/>
      <c r="F240" s="2"/>
      <c r="G240" s="2"/>
      <c r="H240" s="2"/>
      <c r="I240" s="11"/>
      <c r="J240" s="11"/>
      <c r="K240" s="5"/>
      <c r="L240" s="5"/>
      <c r="M240" s="5"/>
      <c r="N240" s="8"/>
      <c r="O240" s="8"/>
      <c r="P240" s="8"/>
      <c r="Q240" s="5"/>
      <c r="R240" s="8"/>
      <c r="S240" s="8"/>
      <c r="T240" s="8"/>
      <c r="U240" s="5"/>
      <c r="V240" s="8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  <c r="AI240" s="9"/>
      <c r="AJ240" s="9"/>
      <c r="AK240" s="9"/>
      <c r="AL240" s="9"/>
      <c r="AM240" s="9"/>
      <c r="AN240" s="9"/>
      <c r="AO240" s="9"/>
      <c r="AP240" s="9"/>
      <c r="AQ240" s="9"/>
      <c r="AR240" s="9"/>
      <c r="AS240" s="9"/>
      <c r="AT240" s="9"/>
      <c r="AU240" s="9"/>
      <c r="AV240" s="9"/>
      <c r="AW240" s="9"/>
      <c r="AX240" s="9"/>
      <c r="AY240" s="9"/>
      <c r="AZ240" s="9"/>
      <c r="BA240" s="9"/>
      <c r="BB240" s="9"/>
      <c r="BC240" s="9"/>
      <c r="BD240" s="9"/>
      <c r="BE240" s="9"/>
      <c r="BF240" s="9"/>
      <c r="BG240" s="9"/>
      <c r="BH240" s="9"/>
      <c r="BI240" s="9"/>
      <c r="BJ240" s="9"/>
      <c r="BK240" s="9"/>
      <c r="BL240" s="9"/>
      <c r="BM240" s="9"/>
      <c r="BN240" s="9"/>
      <c r="BO240" s="9"/>
      <c r="BP240" s="9"/>
      <c r="BQ240" s="9"/>
      <c r="BR240" s="9"/>
      <c r="BS240" s="9"/>
      <c r="BT240" s="9"/>
      <c r="BU240" s="9"/>
      <c r="BV240" s="9"/>
      <c r="BW240" s="9"/>
      <c r="BX240" s="9"/>
      <c r="BY240" s="9"/>
      <c r="BZ240" s="9"/>
      <c r="CA240" s="9"/>
      <c r="CB240" s="9"/>
      <c r="CC240" s="9"/>
      <c r="CD240" s="9"/>
      <c r="CE240" s="9"/>
      <c r="CF240" s="9"/>
      <c r="CG240" s="9"/>
      <c r="CH240" s="9"/>
      <c r="CI240" s="9"/>
      <c r="CJ240" s="9"/>
      <c r="CK240" s="9"/>
      <c r="CL240" s="9"/>
      <c r="CM240" s="9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</row>
    <row r="241" spans="4:118" ht="18" customHeight="1" x14ac:dyDescent="0.25">
      <c r="D241" s="210"/>
      <c r="E241" s="2"/>
      <c r="F241" s="2"/>
      <c r="G241" s="2"/>
      <c r="H241" s="2"/>
      <c r="I241" s="11"/>
      <c r="J241" s="11"/>
      <c r="K241" s="5"/>
      <c r="L241" s="5"/>
      <c r="M241" s="5"/>
      <c r="N241" s="8"/>
      <c r="O241" s="8"/>
      <c r="P241" s="8"/>
      <c r="Q241" s="5"/>
      <c r="R241" s="8"/>
      <c r="S241" s="8"/>
      <c r="T241" s="8"/>
      <c r="U241" s="5"/>
      <c r="V241" s="8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  <c r="AI241" s="9"/>
      <c r="AJ241" s="9"/>
      <c r="AK241" s="9"/>
      <c r="AL241" s="9"/>
      <c r="AM241" s="9"/>
      <c r="AN241" s="9"/>
      <c r="AO241" s="9"/>
      <c r="AP241" s="9"/>
      <c r="AQ241" s="9"/>
      <c r="AR241" s="9"/>
      <c r="AS241" s="9"/>
      <c r="AT241" s="9"/>
      <c r="AU241" s="9"/>
      <c r="AV241" s="9"/>
      <c r="AW241" s="9"/>
      <c r="AX241" s="9"/>
      <c r="AY241" s="9"/>
      <c r="AZ241" s="9"/>
      <c r="BA241" s="9"/>
      <c r="BB241" s="9"/>
      <c r="BC241" s="9"/>
      <c r="BD241" s="9"/>
      <c r="BE241" s="9"/>
      <c r="BF241" s="9"/>
      <c r="BG241" s="9"/>
      <c r="BH241" s="9"/>
      <c r="BI241" s="9"/>
      <c r="BJ241" s="9"/>
      <c r="BK241" s="9"/>
      <c r="BL241" s="9"/>
      <c r="BM241" s="9"/>
      <c r="BN241" s="9"/>
      <c r="BO241" s="9"/>
      <c r="BP241" s="9"/>
      <c r="BQ241" s="9"/>
      <c r="BR241" s="9"/>
      <c r="BS241" s="9"/>
      <c r="BT241" s="9"/>
      <c r="BU241" s="9"/>
      <c r="BV241" s="9"/>
      <c r="BW241" s="9"/>
      <c r="BX241" s="9"/>
      <c r="BY241" s="9"/>
      <c r="BZ241" s="9"/>
      <c r="CA241" s="9"/>
      <c r="CB241" s="9"/>
      <c r="CC241" s="9"/>
      <c r="CD241" s="9"/>
      <c r="CE241" s="9"/>
      <c r="CF241" s="9"/>
      <c r="CG241" s="9"/>
      <c r="CH241" s="9"/>
      <c r="CI241" s="9"/>
      <c r="CJ241" s="9"/>
      <c r="CK241" s="9"/>
      <c r="CL241" s="9"/>
      <c r="CM241" s="9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</row>
    <row r="242" spans="4:118" ht="18" customHeight="1" x14ac:dyDescent="0.25">
      <c r="D242" s="210"/>
      <c r="E242" s="2"/>
      <c r="F242" s="2"/>
      <c r="G242" s="2"/>
      <c r="H242" s="2"/>
      <c r="I242" s="11"/>
      <c r="J242" s="11"/>
      <c r="K242" s="5"/>
      <c r="L242" s="5"/>
      <c r="M242" s="5"/>
      <c r="N242" s="8"/>
      <c r="O242" s="8"/>
      <c r="P242" s="8"/>
      <c r="Q242" s="5"/>
      <c r="R242" s="8"/>
      <c r="S242" s="8"/>
      <c r="T242" s="8"/>
      <c r="U242" s="5"/>
      <c r="V242" s="8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  <c r="AI242" s="9"/>
      <c r="AJ242" s="9"/>
      <c r="AK242" s="9"/>
      <c r="AL242" s="9"/>
      <c r="AM242" s="9"/>
      <c r="AN242" s="9"/>
      <c r="AO242" s="9"/>
      <c r="AP242" s="9"/>
      <c r="AQ242" s="9"/>
      <c r="AR242" s="9"/>
      <c r="AS242" s="9"/>
      <c r="AT242" s="9"/>
      <c r="AU242" s="9"/>
      <c r="AV242" s="9"/>
      <c r="AW242" s="9"/>
      <c r="AX242" s="9"/>
      <c r="AY242" s="9"/>
      <c r="AZ242" s="9"/>
      <c r="BA242" s="9"/>
      <c r="BB242" s="9"/>
      <c r="BC242" s="9"/>
      <c r="BD242" s="9"/>
      <c r="BE242" s="9"/>
      <c r="BF242" s="9"/>
      <c r="BG242" s="9"/>
      <c r="BH242" s="9"/>
      <c r="BI242" s="9"/>
      <c r="BJ242" s="9"/>
      <c r="BK242" s="9"/>
      <c r="BL242" s="9"/>
      <c r="BM242" s="9"/>
      <c r="BN242" s="9"/>
      <c r="BO242" s="9"/>
      <c r="BP242" s="9"/>
      <c r="BQ242" s="9"/>
      <c r="BR242" s="9"/>
      <c r="BS242" s="9"/>
      <c r="BT242" s="9"/>
      <c r="BU242" s="9"/>
      <c r="BV242" s="9"/>
      <c r="BW242" s="9"/>
      <c r="BX242" s="9"/>
      <c r="BY242" s="9"/>
      <c r="BZ242" s="9"/>
      <c r="CA242" s="9"/>
      <c r="CB242" s="9"/>
      <c r="CC242" s="9"/>
      <c r="CD242" s="9"/>
      <c r="CE242" s="9"/>
      <c r="CF242" s="9"/>
      <c r="CG242" s="9"/>
      <c r="CH242" s="9"/>
      <c r="CI242" s="9"/>
      <c r="CJ242" s="9"/>
      <c r="CK242" s="9"/>
      <c r="CL242" s="9"/>
      <c r="CM242" s="9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</row>
    <row r="243" spans="4:118" ht="18" customHeight="1" x14ac:dyDescent="0.25">
      <c r="D243" s="210"/>
      <c r="E243" s="2"/>
      <c r="F243" s="2"/>
      <c r="G243" s="2"/>
      <c r="H243" s="2"/>
      <c r="I243" s="11"/>
      <c r="J243" s="11"/>
      <c r="K243" s="5"/>
      <c r="L243" s="5"/>
      <c r="M243" s="5"/>
      <c r="N243" s="8"/>
      <c r="O243" s="8"/>
      <c r="P243" s="8"/>
      <c r="Q243" s="5"/>
      <c r="R243" s="8"/>
      <c r="S243" s="8"/>
      <c r="T243" s="8"/>
      <c r="U243" s="5"/>
      <c r="V243" s="8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  <c r="AI243" s="9"/>
      <c r="AJ243" s="9"/>
      <c r="AK243" s="9"/>
      <c r="AL243" s="9"/>
      <c r="AM243" s="9"/>
      <c r="AN243" s="9"/>
      <c r="AO243" s="9"/>
      <c r="AP243" s="9"/>
      <c r="AQ243" s="9"/>
      <c r="AR243" s="9"/>
      <c r="AS243" s="9"/>
      <c r="AT243" s="9"/>
      <c r="AU243" s="9"/>
      <c r="AV243" s="9"/>
      <c r="AW243" s="9"/>
      <c r="AX243" s="9"/>
      <c r="AY243" s="9"/>
      <c r="AZ243" s="9"/>
      <c r="BA243" s="9"/>
      <c r="BB243" s="9"/>
      <c r="BC243" s="9"/>
      <c r="BD243" s="9"/>
      <c r="BE243" s="9"/>
      <c r="BF243" s="9"/>
      <c r="BG243" s="9"/>
      <c r="BH243" s="9"/>
      <c r="BI243" s="9"/>
      <c r="BJ243" s="9"/>
      <c r="BK243" s="9"/>
      <c r="BL243" s="9"/>
      <c r="BM243" s="9"/>
      <c r="BN243" s="9"/>
      <c r="BO243" s="9"/>
      <c r="BP243" s="9"/>
      <c r="BQ243" s="9"/>
      <c r="BR243" s="9"/>
      <c r="BS243" s="9"/>
      <c r="BT243" s="9"/>
      <c r="BU243" s="9"/>
      <c r="BV243" s="9"/>
      <c r="BW243" s="9"/>
      <c r="BX243" s="9"/>
      <c r="BY243" s="9"/>
      <c r="BZ243" s="9"/>
      <c r="CA243" s="9"/>
      <c r="CB243" s="9"/>
      <c r="CC243" s="9"/>
      <c r="CD243" s="9"/>
      <c r="CE243" s="9"/>
      <c r="CF243" s="9"/>
      <c r="CG243" s="9"/>
      <c r="CH243" s="9"/>
      <c r="CI243" s="9"/>
      <c r="CJ243" s="9"/>
      <c r="CK243" s="9"/>
      <c r="CL243" s="9"/>
      <c r="CM243" s="9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</row>
    <row r="244" spans="4:118" ht="18" customHeight="1" x14ac:dyDescent="0.25">
      <c r="D244" s="210"/>
      <c r="E244" s="2"/>
      <c r="F244" s="2"/>
      <c r="G244" s="2"/>
      <c r="H244" s="2"/>
      <c r="I244" s="11"/>
      <c r="J244" s="11"/>
      <c r="K244" s="5"/>
      <c r="L244" s="5"/>
      <c r="M244" s="5"/>
      <c r="N244" s="8"/>
      <c r="O244" s="8"/>
      <c r="P244" s="8"/>
      <c r="Q244" s="5"/>
      <c r="R244" s="8"/>
      <c r="S244" s="8"/>
      <c r="T244" s="8"/>
      <c r="U244" s="5"/>
      <c r="V244" s="8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  <c r="AI244" s="9"/>
      <c r="AJ244" s="9"/>
      <c r="AK244" s="9"/>
      <c r="AL244" s="9"/>
      <c r="AM244" s="9"/>
      <c r="AN244" s="9"/>
      <c r="AO244" s="9"/>
      <c r="AP244" s="9"/>
      <c r="AQ244" s="9"/>
      <c r="AR244" s="9"/>
      <c r="AS244" s="9"/>
      <c r="AT244" s="9"/>
      <c r="AU244" s="9"/>
      <c r="AV244" s="9"/>
      <c r="AW244" s="9"/>
      <c r="AX244" s="9"/>
      <c r="AY244" s="9"/>
      <c r="AZ244" s="9"/>
      <c r="BA244" s="9"/>
      <c r="BB244" s="9"/>
      <c r="BC244" s="9"/>
      <c r="BD244" s="9"/>
      <c r="BE244" s="9"/>
      <c r="BF244" s="9"/>
      <c r="BG244" s="9"/>
      <c r="BH244" s="9"/>
      <c r="BI244" s="9"/>
      <c r="BJ244" s="9"/>
      <c r="BK244" s="9"/>
      <c r="BL244" s="9"/>
      <c r="BM244" s="9"/>
      <c r="BN244" s="9"/>
      <c r="BO244" s="9"/>
      <c r="BP244" s="9"/>
      <c r="BQ244" s="9"/>
      <c r="BR244" s="9"/>
      <c r="BS244" s="9"/>
      <c r="BT244" s="9"/>
      <c r="BU244" s="9"/>
      <c r="BV244" s="9"/>
      <c r="BW244" s="9"/>
      <c r="BX244" s="9"/>
      <c r="BY244" s="9"/>
      <c r="BZ244" s="9"/>
      <c r="CA244" s="9"/>
      <c r="CB244" s="9"/>
      <c r="CC244" s="9"/>
      <c r="CD244" s="9"/>
      <c r="CE244" s="9"/>
      <c r="CF244" s="9"/>
      <c r="CG244" s="9"/>
      <c r="CH244" s="9"/>
      <c r="CI244" s="9"/>
      <c r="CJ244" s="9"/>
      <c r="CK244" s="9"/>
      <c r="CL244" s="9"/>
      <c r="CM244" s="9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</row>
    <row r="245" spans="4:118" ht="18" customHeight="1" x14ac:dyDescent="0.25">
      <c r="D245" s="210"/>
      <c r="E245" s="2"/>
      <c r="F245" s="2"/>
      <c r="G245" s="2"/>
      <c r="H245" s="2"/>
      <c r="I245" s="11"/>
      <c r="J245" s="11"/>
      <c r="K245" s="5"/>
      <c r="L245" s="5"/>
      <c r="M245" s="5"/>
      <c r="N245" s="8"/>
      <c r="O245" s="8"/>
      <c r="P245" s="8"/>
      <c r="Q245" s="5"/>
      <c r="R245" s="8"/>
      <c r="S245" s="8"/>
      <c r="T245" s="8"/>
      <c r="U245" s="5"/>
      <c r="V245" s="8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  <c r="AI245" s="9"/>
      <c r="AJ245" s="9"/>
      <c r="AK245" s="9"/>
      <c r="AL245" s="9"/>
      <c r="AM245" s="9"/>
      <c r="AN245" s="9"/>
      <c r="AO245" s="9"/>
      <c r="AP245" s="9"/>
      <c r="AQ245" s="9"/>
      <c r="AR245" s="9"/>
      <c r="AS245" s="9"/>
      <c r="AT245" s="9"/>
      <c r="AU245" s="9"/>
      <c r="AV245" s="9"/>
      <c r="AW245" s="9"/>
      <c r="AX245" s="9"/>
      <c r="AY245" s="9"/>
      <c r="AZ245" s="9"/>
      <c r="BA245" s="9"/>
      <c r="BB245" s="9"/>
      <c r="BC245" s="9"/>
      <c r="BD245" s="9"/>
      <c r="BE245" s="9"/>
      <c r="BF245" s="9"/>
      <c r="BG245" s="9"/>
      <c r="BH245" s="9"/>
      <c r="BI245" s="9"/>
      <c r="BJ245" s="9"/>
      <c r="BK245" s="9"/>
      <c r="BL245" s="9"/>
      <c r="BM245" s="9"/>
      <c r="BN245" s="9"/>
      <c r="BO245" s="9"/>
      <c r="BP245" s="9"/>
      <c r="BQ245" s="9"/>
      <c r="BR245" s="9"/>
      <c r="BS245" s="9"/>
      <c r="BT245" s="9"/>
      <c r="BU245" s="9"/>
      <c r="BV245" s="9"/>
      <c r="BW245" s="9"/>
      <c r="BX245" s="9"/>
      <c r="BY245" s="9"/>
      <c r="BZ245" s="9"/>
      <c r="CA245" s="9"/>
      <c r="CB245" s="9"/>
      <c r="CC245" s="9"/>
      <c r="CD245" s="9"/>
      <c r="CE245" s="9"/>
      <c r="CF245" s="9"/>
      <c r="CG245" s="9"/>
      <c r="CH245" s="9"/>
      <c r="CI245" s="9"/>
      <c r="CJ245" s="9"/>
      <c r="CK245" s="9"/>
      <c r="CL245" s="9"/>
      <c r="CM245" s="9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</row>
    <row r="246" spans="4:118" ht="18" customHeight="1" x14ac:dyDescent="0.25">
      <c r="D246" s="210"/>
      <c r="E246" s="2"/>
      <c r="F246" s="2"/>
      <c r="G246" s="2"/>
      <c r="H246" s="2"/>
      <c r="I246" s="11"/>
      <c r="J246" s="11"/>
      <c r="K246" s="5"/>
      <c r="L246" s="5"/>
      <c r="M246" s="5"/>
      <c r="N246" s="8"/>
      <c r="O246" s="8"/>
      <c r="P246" s="8"/>
      <c r="Q246" s="5"/>
      <c r="R246" s="8"/>
      <c r="S246" s="8"/>
      <c r="T246" s="8"/>
      <c r="U246" s="5"/>
      <c r="V246" s="8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  <c r="AI246" s="9"/>
      <c r="AJ246" s="9"/>
      <c r="AK246" s="9"/>
      <c r="AL246" s="9"/>
      <c r="AM246" s="9"/>
      <c r="AN246" s="9"/>
      <c r="AO246" s="9"/>
      <c r="AP246" s="9"/>
      <c r="AQ246" s="9"/>
      <c r="AR246" s="9"/>
      <c r="AS246" s="9"/>
      <c r="AT246" s="9"/>
      <c r="AU246" s="9"/>
      <c r="AV246" s="9"/>
      <c r="AW246" s="9"/>
      <c r="AX246" s="9"/>
      <c r="AY246" s="9"/>
      <c r="AZ246" s="9"/>
      <c r="BA246" s="9"/>
      <c r="BB246" s="9"/>
      <c r="BC246" s="9"/>
      <c r="BD246" s="9"/>
      <c r="BE246" s="9"/>
      <c r="BF246" s="9"/>
      <c r="BG246" s="9"/>
      <c r="BH246" s="9"/>
      <c r="BI246" s="9"/>
      <c r="BJ246" s="9"/>
      <c r="BK246" s="9"/>
      <c r="BL246" s="9"/>
      <c r="BM246" s="9"/>
      <c r="BN246" s="9"/>
      <c r="BO246" s="9"/>
      <c r="BP246" s="9"/>
      <c r="BQ246" s="9"/>
      <c r="BR246" s="9"/>
      <c r="BS246" s="9"/>
      <c r="BT246" s="9"/>
      <c r="BU246" s="9"/>
      <c r="BV246" s="9"/>
      <c r="BW246" s="9"/>
      <c r="BX246" s="9"/>
      <c r="BY246" s="9"/>
      <c r="BZ246" s="9"/>
      <c r="CA246" s="9"/>
      <c r="CB246" s="9"/>
      <c r="CC246" s="9"/>
      <c r="CD246" s="9"/>
      <c r="CE246" s="9"/>
      <c r="CF246" s="9"/>
      <c r="CG246" s="9"/>
      <c r="CH246" s="9"/>
      <c r="CI246" s="9"/>
      <c r="CJ246" s="9"/>
      <c r="CK246" s="9"/>
      <c r="CL246" s="9"/>
      <c r="CM246" s="9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</row>
    <row r="247" spans="4:118" ht="18" customHeight="1" x14ac:dyDescent="0.25">
      <c r="D247" s="210"/>
      <c r="E247" s="2"/>
      <c r="F247" s="2"/>
      <c r="G247" s="2"/>
      <c r="H247" s="2"/>
      <c r="I247" s="11"/>
      <c r="J247" s="11"/>
      <c r="K247" s="5"/>
      <c r="L247" s="5"/>
      <c r="M247" s="5"/>
      <c r="N247" s="8"/>
      <c r="O247" s="8"/>
      <c r="P247" s="8"/>
      <c r="Q247" s="5"/>
      <c r="R247" s="8"/>
      <c r="S247" s="8"/>
      <c r="T247" s="8"/>
      <c r="U247" s="5"/>
      <c r="V247" s="8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  <c r="AI247" s="9"/>
      <c r="AJ247" s="9"/>
      <c r="AK247" s="9"/>
      <c r="AL247" s="9"/>
      <c r="AM247" s="9"/>
      <c r="AN247" s="9"/>
      <c r="AO247" s="9"/>
      <c r="AP247" s="9"/>
      <c r="AQ247" s="9"/>
      <c r="AR247" s="9"/>
      <c r="AS247" s="9"/>
      <c r="AT247" s="9"/>
      <c r="AU247" s="9"/>
      <c r="AV247" s="9"/>
      <c r="AW247" s="9"/>
      <c r="AX247" s="9"/>
      <c r="AY247" s="9"/>
      <c r="AZ247" s="9"/>
      <c r="BA247" s="9"/>
      <c r="BB247" s="9"/>
      <c r="BC247" s="9"/>
      <c r="BD247" s="9"/>
      <c r="BE247" s="9"/>
      <c r="BF247" s="9"/>
      <c r="BG247" s="9"/>
      <c r="BH247" s="9"/>
      <c r="BI247" s="9"/>
      <c r="BJ247" s="9"/>
      <c r="BK247" s="9"/>
      <c r="BL247" s="9"/>
      <c r="BM247" s="9"/>
      <c r="BN247" s="9"/>
      <c r="BO247" s="9"/>
      <c r="BP247" s="9"/>
      <c r="BQ247" s="9"/>
      <c r="BR247" s="9"/>
      <c r="BS247" s="9"/>
      <c r="BT247" s="9"/>
      <c r="BU247" s="9"/>
      <c r="BV247" s="9"/>
      <c r="BW247" s="9"/>
      <c r="BX247" s="9"/>
      <c r="BY247" s="9"/>
      <c r="BZ247" s="9"/>
      <c r="CA247" s="9"/>
      <c r="CB247" s="9"/>
      <c r="CC247" s="9"/>
      <c r="CD247" s="9"/>
      <c r="CE247" s="9"/>
      <c r="CF247" s="9"/>
      <c r="CG247" s="9"/>
      <c r="CH247" s="9"/>
      <c r="CI247" s="9"/>
      <c r="CJ247" s="9"/>
      <c r="CK247" s="9"/>
      <c r="CL247" s="9"/>
      <c r="CM247" s="9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</row>
    <row r="248" spans="4:118" ht="18" customHeight="1" x14ac:dyDescent="0.25">
      <c r="D248" s="210"/>
      <c r="E248" s="2"/>
      <c r="F248" s="2"/>
      <c r="G248" s="2"/>
      <c r="H248" s="2"/>
      <c r="I248" s="11"/>
      <c r="J248" s="11"/>
      <c r="K248" s="5"/>
      <c r="L248" s="5"/>
      <c r="M248" s="5"/>
      <c r="N248" s="8"/>
      <c r="O248" s="8"/>
      <c r="P248" s="8"/>
      <c r="Q248" s="5"/>
      <c r="R248" s="8"/>
      <c r="S248" s="8"/>
      <c r="T248" s="8"/>
      <c r="U248" s="5"/>
      <c r="V248" s="8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  <c r="AI248" s="9"/>
      <c r="AJ248" s="9"/>
      <c r="AK248" s="9"/>
      <c r="AL248" s="9"/>
      <c r="AM248" s="9"/>
      <c r="AN248" s="9"/>
      <c r="AO248" s="9"/>
      <c r="AP248" s="9"/>
      <c r="AQ248" s="9"/>
      <c r="AR248" s="9"/>
      <c r="AS248" s="9"/>
      <c r="AT248" s="9"/>
      <c r="AU248" s="9"/>
      <c r="AV248" s="9"/>
      <c r="AW248" s="9"/>
      <c r="AX248" s="9"/>
      <c r="AY248" s="9"/>
      <c r="AZ248" s="9"/>
      <c r="BA248" s="9"/>
      <c r="BB248" s="9"/>
      <c r="BC248" s="9"/>
      <c r="BD248" s="9"/>
      <c r="BE248" s="9"/>
      <c r="BF248" s="9"/>
      <c r="BG248" s="9"/>
      <c r="BH248" s="9"/>
      <c r="BI248" s="9"/>
      <c r="BJ248" s="9"/>
      <c r="BK248" s="9"/>
      <c r="BL248" s="9"/>
      <c r="BM248" s="9"/>
      <c r="BN248" s="9"/>
      <c r="BO248" s="9"/>
      <c r="BP248" s="9"/>
      <c r="BQ248" s="9"/>
      <c r="BR248" s="9"/>
      <c r="BS248" s="9"/>
      <c r="BT248" s="9"/>
      <c r="BU248" s="9"/>
      <c r="BV248" s="9"/>
      <c r="BW248" s="9"/>
      <c r="BX248" s="9"/>
      <c r="BY248" s="9"/>
      <c r="BZ248" s="9"/>
      <c r="CA248" s="9"/>
      <c r="CB248" s="9"/>
      <c r="CC248" s="9"/>
      <c r="CD248" s="9"/>
      <c r="CE248" s="9"/>
      <c r="CF248" s="9"/>
      <c r="CG248" s="9"/>
      <c r="CH248" s="9"/>
      <c r="CI248" s="9"/>
      <c r="CJ248" s="9"/>
      <c r="CK248" s="9"/>
      <c r="CL248" s="9"/>
      <c r="CM248" s="9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</row>
    <row r="249" spans="4:118" ht="18" customHeight="1" x14ac:dyDescent="0.25">
      <c r="D249" s="210"/>
      <c r="E249" s="2"/>
      <c r="F249" s="2"/>
      <c r="G249" s="2"/>
      <c r="H249" s="2"/>
      <c r="I249" s="11"/>
      <c r="J249" s="11"/>
      <c r="K249" s="5"/>
      <c r="L249" s="5"/>
      <c r="M249" s="5"/>
      <c r="N249" s="8"/>
      <c r="O249" s="8"/>
      <c r="P249" s="8"/>
      <c r="Q249" s="5"/>
      <c r="R249" s="8"/>
      <c r="S249" s="8"/>
      <c r="T249" s="8"/>
      <c r="U249" s="5"/>
      <c r="V249" s="8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  <c r="AI249" s="9"/>
      <c r="AJ249" s="9"/>
      <c r="AK249" s="9"/>
      <c r="AL249" s="9"/>
      <c r="AM249" s="9"/>
      <c r="AN249" s="9"/>
      <c r="AO249" s="9"/>
      <c r="AP249" s="9"/>
      <c r="AQ249" s="9"/>
      <c r="AR249" s="9"/>
      <c r="AS249" s="9"/>
      <c r="AT249" s="9"/>
      <c r="AU249" s="9"/>
      <c r="AV249" s="9"/>
      <c r="AW249" s="9"/>
      <c r="AX249" s="9"/>
      <c r="AY249" s="9"/>
      <c r="AZ249" s="9"/>
      <c r="BA249" s="9"/>
      <c r="BB249" s="9"/>
      <c r="BC249" s="9"/>
      <c r="BD249" s="9"/>
      <c r="BE249" s="9"/>
      <c r="BF249" s="9"/>
      <c r="BG249" s="9"/>
      <c r="BH249" s="9"/>
      <c r="BI249" s="9"/>
      <c r="BJ249" s="9"/>
      <c r="BK249" s="9"/>
      <c r="BL249" s="9"/>
      <c r="BM249" s="9"/>
      <c r="BN249" s="9"/>
      <c r="BO249" s="9"/>
      <c r="BP249" s="9"/>
      <c r="BQ249" s="9"/>
      <c r="BR249" s="9"/>
      <c r="BS249" s="9"/>
      <c r="BT249" s="9"/>
      <c r="BU249" s="9"/>
      <c r="BV249" s="9"/>
      <c r="BW249" s="9"/>
      <c r="BX249" s="9"/>
      <c r="BY249" s="9"/>
      <c r="BZ249" s="9"/>
      <c r="CA249" s="9"/>
      <c r="CB249" s="9"/>
      <c r="CC249" s="9"/>
      <c r="CD249" s="9"/>
      <c r="CE249" s="9"/>
      <c r="CF249" s="9"/>
      <c r="CG249" s="9"/>
      <c r="CH249" s="9"/>
      <c r="CI249" s="9"/>
      <c r="CJ249" s="9"/>
      <c r="CK249" s="9"/>
      <c r="CL249" s="9"/>
      <c r="CM249" s="9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</row>
    <row r="250" spans="4:118" ht="18" customHeight="1" x14ac:dyDescent="0.25">
      <c r="D250" s="210"/>
      <c r="E250" s="2"/>
      <c r="F250" s="2"/>
      <c r="G250" s="2"/>
      <c r="H250" s="2"/>
      <c r="I250" s="11"/>
      <c r="J250" s="11"/>
      <c r="K250" s="5"/>
      <c r="L250" s="5"/>
      <c r="M250" s="5"/>
      <c r="N250" s="8"/>
      <c r="O250" s="8"/>
      <c r="P250" s="8"/>
      <c r="Q250" s="5"/>
      <c r="R250" s="8"/>
      <c r="S250" s="8"/>
      <c r="T250" s="8"/>
      <c r="U250" s="5"/>
      <c r="V250" s="8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  <c r="AI250" s="9"/>
      <c r="AJ250" s="9"/>
      <c r="AK250" s="9"/>
      <c r="AL250" s="9"/>
      <c r="AM250" s="9"/>
      <c r="AN250" s="9"/>
      <c r="AO250" s="9"/>
      <c r="AP250" s="9"/>
      <c r="AQ250" s="9"/>
      <c r="AR250" s="9"/>
      <c r="AS250" s="9"/>
      <c r="AT250" s="9"/>
      <c r="AU250" s="9"/>
      <c r="AV250" s="9"/>
      <c r="AW250" s="9"/>
      <c r="AX250" s="9"/>
      <c r="AY250" s="9"/>
      <c r="AZ250" s="9"/>
      <c r="BA250" s="9"/>
      <c r="BB250" s="9"/>
      <c r="BC250" s="9"/>
      <c r="BD250" s="9"/>
      <c r="BE250" s="9"/>
      <c r="BF250" s="9"/>
      <c r="BG250" s="9"/>
      <c r="BH250" s="9"/>
      <c r="BI250" s="9"/>
      <c r="BJ250" s="9"/>
      <c r="BK250" s="9"/>
      <c r="BL250" s="9"/>
      <c r="BM250" s="9"/>
      <c r="BN250" s="9"/>
      <c r="BO250" s="9"/>
      <c r="BP250" s="9"/>
      <c r="BQ250" s="9"/>
      <c r="BR250" s="9"/>
      <c r="BS250" s="9"/>
      <c r="BT250" s="9"/>
      <c r="BU250" s="9"/>
      <c r="BV250" s="9"/>
      <c r="BW250" s="9"/>
      <c r="BX250" s="9"/>
      <c r="BY250" s="9"/>
      <c r="BZ250" s="9"/>
      <c r="CA250" s="9"/>
      <c r="CB250" s="9"/>
      <c r="CC250" s="9"/>
      <c r="CD250" s="9"/>
      <c r="CE250" s="9"/>
      <c r="CF250" s="9"/>
      <c r="CG250" s="9"/>
      <c r="CH250" s="9"/>
      <c r="CI250" s="9"/>
      <c r="CJ250" s="9"/>
      <c r="CK250" s="9"/>
      <c r="CL250" s="9"/>
      <c r="CM250" s="9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</row>
    <row r="251" spans="4:118" ht="18" customHeight="1" x14ac:dyDescent="0.25">
      <c r="D251" s="210"/>
      <c r="E251" s="2"/>
      <c r="F251" s="2"/>
      <c r="G251" s="2"/>
      <c r="H251" s="2"/>
      <c r="I251" s="11"/>
      <c r="J251" s="11"/>
      <c r="K251" s="5"/>
      <c r="L251" s="5"/>
      <c r="M251" s="5"/>
      <c r="N251" s="8"/>
      <c r="O251" s="8"/>
      <c r="P251" s="8"/>
      <c r="Q251" s="5"/>
      <c r="R251" s="8"/>
      <c r="S251" s="8"/>
      <c r="T251" s="8"/>
      <c r="U251" s="5"/>
      <c r="V251" s="8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  <c r="BF251" s="9"/>
      <c r="BG251" s="9"/>
      <c r="BH251" s="9"/>
      <c r="BI251" s="9"/>
      <c r="BJ251" s="9"/>
      <c r="BK251" s="9"/>
      <c r="BL251" s="9"/>
      <c r="BM251" s="9"/>
      <c r="BN251" s="9"/>
      <c r="BO251" s="9"/>
      <c r="BP251" s="9"/>
      <c r="BQ251" s="9"/>
      <c r="BR251" s="9"/>
      <c r="BS251" s="9"/>
      <c r="BT251" s="9"/>
      <c r="BU251" s="9"/>
      <c r="BV251" s="9"/>
      <c r="BW251" s="9"/>
      <c r="BX251" s="9"/>
      <c r="BY251" s="9"/>
      <c r="BZ251" s="9"/>
      <c r="CA251" s="9"/>
      <c r="CB251" s="9"/>
      <c r="CC251" s="9"/>
      <c r="CD251" s="9"/>
      <c r="CE251" s="9"/>
      <c r="CF251" s="9"/>
      <c r="CG251" s="9"/>
      <c r="CH251" s="9"/>
      <c r="CI251" s="9"/>
      <c r="CJ251" s="9"/>
      <c r="CK251" s="9"/>
      <c r="CL251" s="9"/>
      <c r="CM251" s="9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</row>
    <row r="252" spans="4:118" ht="18" customHeight="1" x14ac:dyDescent="0.25">
      <c r="D252" s="210"/>
      <c r="E252" s="2"/>
      <c r="F252" s="2"/>
      <c r="G252" s="2"/>
      <c r="H252" s="2"/>
      <c r="I252" s="11"/>
      <c r="J252" s="11"/>
      <c r="K252" s="5"/>
      <c r="L252" s="5"/>
      <c r="M252" s="5"/>
      <c r="N252" s="8"/>
      <c r="O252" s="8"/>
      <c r="P252" s="8"/>
      <c r="Q252" s="5"/>
      <c r="R252" s="8"/>
      <c r="S252" s="8"/>
      <c r="T252" s="8"/>
      <c r="U252" s="5"/>
      <c r="V252" s="8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  <c r="AI252" s="9"/>
      <c r="AJ252" s="9"/>
      <c r="AK252" s="9"/>
      <c r="AL252" s="9"/>
      <c r="AM252" s="9"/>
      <c r="AN252" s="9"/>
      <c r="AO252" s="9"/>
      <c r="AP252" s="9"/>
      <c r="AQ252" s="9"/>
      <c r="AR252" s="9"/>
      <c r="AS252" s="9"/>
      <c r="AT252" s="9"/>
      <c r="AU252" s="9"/>
      <c r="AV252" s="9"/>
      <c r="AW252" s="9"/>
      <c r="AX252" s="9"/>
      <c r="AY252" s="9"/>
      <c r="AZ252" s="9"/>
      <c r="BA252" s="9"/>
      <c r="BB252" s="9"/>
      <c r="BC252" s="9"/>
      <c r="BD252" s="9"/>
      <c r="BE252" s="9"/>
      <c r="BF252" s="9"/>
      <c r="BG252" s="9"/>
      <c r="BH252" s="9"/>
      <c r="BI252" s="9"/>
      <c r="BJ252" s="9"/>
      <c r="BK252" s="9"/>
      <c r="BL252" s="9"/>
      <c r="BM252" s="9"/>
      <c r="BN252" s="9"/>
      <c r="BO252" s="9"/>
      <c r="BP252" s="9"/>
      <c r="BQ252" s="9"/>
      <c r="BR252" s="9"/>
      <c r="BS252" s="9"/>
      <c r="BT252" s="9"/>
      <c r="BU252" s="9"/>
      <c r="BV252" s="9"/>
      <c r="BW252" s="9"/>
      <c r="BX252" s="9"/>
      <c r="BY252" s="9"/>
      <c r="BZ252" s="9"/>
      <c r="CA252" s="9"/>
      <c r="CB252" s="9"/>
      <c r="CC252" s="9"/>
      <c r="CD252" s="9"/>
      <c r="CE252" s="9"/>
      <c r="CF252" s="9"/>
      <c r="CG252" s="9"/>
      <c r="CH252" s="9"/>
      <c r="CI252" s="9"/>
      <c r="CJ252" s="9"/>
      <c r="CK252" s="9"/>
      <c r="CL252" s="9"/>
      <c r="CM252" s="9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</row>
    <row r="253" spans="4:118" ht="18" customHeight="1" x14ac:dyDescent="0.25">
      <c r="D253" s="210"/>
      <c r="E253" s="2"/>
      <c r="F253" s="2"/>
      <c r="G253" s="2"/>
      <c r="H253" s="2"/>
      <c r="I253" s="11"/>
      <c r="J253" s="11"/>
      <c r="K253" s="5"/>
      <c r="L253" s="5"/>
      <c r="M253" s="5"/>
      <c r="N253" s="8"/>
      <c r="O253" s="8"/>
      <c r="P253" s="8"/>
      <c r="Q253" s="5"/>
      <c r="R253" s="8"/>
      <c r="S253" s="8"/>
      <c r="T253" s="8"/>
      <c r="U253" s="5"/>
      <c r="V253" s="8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  <c r="AI253" s="9"/>
      <c r="AJ253" s="9"/>
      <c r="AK253" s="9"/>
      <c r="AL253" s="9"/>
      <c r="AM253" s="9"/>
      <c r="AN253" s="9"/>
      <c r="AO253" s="9"/>
      <c r="AP253" s="9"/>
      <c r="AQ253" s="9"/>
      <c r="AR253" s="9"/>
      <c r="AS253" s="9"/>
      <c r="AT253" s="9"/>
      <c r="AU253" s="9"/>
      <c r="AV253" s="9"/>
      <c r="AW253" s="9"/>
      <c r="AX253" s="9"/>
      <c r="AY253" s="9"/>
      <c r="AZ253" s="9"/>
      <c r="BA253" s="9"/>
      <c r="BB253" s="9"/>
      <c r="BC253" s="9"/>
      <c r="BD253" s="9"/>
      <c r="BE253" s="9"/>
      <c r="BF253" s="9"/>
      <c r="BG253" s="9"/>
      <c r="BH253" s="9"/>
      <c r="BI253" s="9"/>
      <c r="BJ253" s="9"/>
      <c r="BK253" s="9"/>
      <c r="BL253" s="9"/>
      <c r="BM253" s="9"/>
      <c r="BN253" s="9"/>
      <c r="BO253" s="9"/>
      <c r="BP253" s="9"/>
      <c r="BQ253" s="9"/>
      <c r="BR253" s="9"/>
      <c r="BS253" s="9"/>
      <c r="BT253" s="9"/>
      <c r="BU253" s="9"/>
      <c r="BV253" s="9"/>
      <c r="BW253" s="9"/>
      <c r="BX253" s="9"/>
      <c r="BY253" s="9"/>
      <c r="BZ253" s="9"/>
      <c r="CA253" s="9"/>
      <c r="CB253" s="9"/>
      <c r="CC253" s="9"/>
      <c r="CD253" s="9"/>
      <c r="CE253" s="9"/>
      <c r="CF253" s="9"/>
      <c r="CG253" s="9"/>
      <c r="CH253" s="9"/>
      <c r="CI253" s="9"/>
      <c r="CJ253" s="9"/>
      <c r="CK253" s="9"/>
      <c r="CL253" s="9"/>
      <c r="CM253" s="9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</row>
    <row r="254" spans="4:118" ht="18" customHeight="1" x14ac:dyDescent="0.25">
      <c r="D254" s="210"/>
      <c r="E254" s="2"/>
      <c r="F254" s="2"/>
      <c r="G254" s="2"/>
      <c r="H254" s="2"/>
      <c r="I254" s="11"/>
      <c r="J254" s="11"/>
      <c r="K254" s="5"/>
      <c r="L254" s="5"/>
      <c r="M254" s="5"/>
      <c r="N254" s="8"/>
      <c r="O254" s="8"/>
      <c r="P254" s="8"/>
      <c r="Q254" s="5"/>
      <c r="R254" s="8"/>
      <c r="S254" s="8"/>
      <c r="T254" s="8"/>
      <c r="U254" s="5"/>
      <c r="V254" s="8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  <c r="AI254" s="9"/>
      <c r="AJ254" s="9"/>
      <c r="AK254" s="9"/>
      <c r="AL254" s="9"/>
      <c r="AM254" s="9"/>
      <c r="AN254" s="9"/>
      <c r="AO254" s="9"/>
      <c r="AP254" s="9"/>
      <c r="AQ254" s="9"/>
      <c r="AR254" s="9"/>
      <c r="AS254" s="9"/>
      <c r="AT254" s="9"/>
      <c r="AU254" s="9"/>
      <c r="AV254" s="9"/>
      <c r="AW254" s="9"/>
      <c r="AX254" s="9"/>
      <c r="AY254" s="9"/>
      <c r="AZ254" s="9"/>
      <c r="BA254" s="9"/>
      <c r="BB254" s="9"/>
      <c r="BC254" s="9"/>
      <c r="BD254" s="9"/>
      <c r="BE254" s="9"/>
      <c r="BF254" s="9"/>
      <c r="BG254" s="9"/>
      <c r="BH254" s="9"/>
      <c r="BI254" s="9"/>
      <c r="BJ254" s="9"/>
      <c r="BK254" s="9"/>
      <c r="BL254" s="9"/>
      <c r="BM254" s="9"/>
      <c r="BN254" s="9"/>
      <c r="BO254" s="9"/>
      <c r="BP254" s="9"/>
      <c r="BQ254" s="9"/>
      <c r="BR254" s="9"/>
      <c r="BS254" s="9"/>
      <c r="BT254" s="9"/>
      <c r="BU254" s="9"/>
      <c r="BV254" s="9"/>
      <c r="BW254" s="9"/>
      <c r="BX254" s="9"/>
      <c r="BY254" s="9"/>
      <c r="BZ254" s="9"/>
      <c r="CA254" s="9"/>
      <c r="CB254" s="9"/>
      <c r="CC254" s="9"/>
      <c r="CD254" s="9"/>
      <c r="CE254" s="9"/>
      <c r="CF254" s="9"/>
      <c r="CG254" s="9"/>
      <c r="CH254" s="9"/>
      <c r="CI254" s="9"/>
      <c r="CJ254" s="9"/>
      <c r="CK254" s="9"/>
      <c r="CL254" s="9"/>
      <c r="CM254" s="9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</row>
    <row r="255" spans="4:118" ht="18" customHeight="1" x14ac:dyDescent="0.25">
      <c r="D255" s="210"/>
      <c r="E255" s="2"/>
      <c r="F255" s="2"/>
      <c r="G255" s="2"/>
      <c r="H255" s="2"/>
      <c r="I255" s="11"/>
      <c r="J255" s="11"/>
      <c r="K255" s="5"/>
      <c r="L255" s="5"/>
      <c r="M255" s="5"/>
      <c r="N255" s="8"/>
      <c r="O255" s="8"/>
      <c r="P255" s="8"/>
      <c r="Q255" s="5"/>
      <c r="R255" s="8"/>
      <c r="S255" s="8"/>
      <c r="T255" s="8"/>
      <c r="U255" s="5"/>
      <c r="V255" s="8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  <c r="AI255" s="9"/>
      <c r="AJ255" s="9"/>
      <c r="AK255" s="9"/>
      <c r="AL255" s="9"/>
      <c r="AM255" s="9"/>
      <c r="AN255" s="9"/>
      <c r="AO255" s="9"/>
      <c r="AP255" s="9"/>
      <c r="AQ255" s="9"/>
      <c r="AR255" s="9"/>
      <c r="AS255" s="9"/>
      <c r="AT255" s="9"/>
      <c r="AU255" s="9"/>
      <c r="AV255" s="9"/>
      <c r="AW255" s="9"/>
      <c r="AX255" s="9"/>
      <c r="AY255" s="9"/>
      <c r="AZ255" s="9"/>
      <c r="BA255" s="9"/>
      <c r="BB255" s="9"/>
      <c r="BC255" s="9"/>
      <c r="BD255" s="9"/>
      <c r="BE255" s="9"/>
      <c r="BF255" s="9"/>
      <c r="BG255" s="9"/>
      <c r="BH255" s="9"/>
      <c r="BI255" s="9"/>
      <c r="BJ255" s="9"/>
      <c r="BK255" s="9"/>
      <c r="BL255" s="9"/>
      <c r="BM255" s="9"/>
      <c r="BN255" s="9"/>
      <c r="BO255" s="9"/>
      <c r="BP255" s="9"/>
      <c r="BQ255" s="9"/>
      <c r="BR255" s="9"/>
      <c r="BS255" s="9"/>
      <c r="BT255" s="9"/>
      <c r="BU255" s="9"/>
      <c r="BV255" s="9"/>
      <c r="BW255" s="9"/>
      <c r="BX255" s="9"/>
      <c r="BY255" s="9"/>
      <c r="BZ255" s="9"/>
      <c r="CA255" s="9"/>
      <c r="CB255" s="9"/>
      <c r="CC255" s="9"/>
      <c r="CD255" s="9"/>
      <c r="CE255" s="9"/>
      <c r="CF255" s="9"/>
      <c r="CG255" s="9"/>
      <c r="CH255" s="9"/>
      <c r="CI255" s="9"/>
      <c r="CJ255" s="9"/>
      <c r="CK255" s="9"/>
      <c r="CL255" s="9"/>
      <c r="CM255" s="9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</row>
    <row r="256" spans="4:118" ht="18" customHeight="1" x14ac:dyDescent="0.25">
      <c r="D256" s="210"/>
      <c r="E256" s="2"/>
      <c r="F256" s="2"/>
      <c r="G256" s="2"/>
      <c r="H256" s="2"/>
      <c r="I256" s="11"/>
      <c r="J256" s="11"/>
      <c r="K256" s="5"/>
      <c r="L256" s="5"/>
      <c r="M256" s="5"/>
      <c r="N256" s="8"/>
      <c r="O256" s="8"/>
      <c r="P256" s="8"/>
      <c r="Q256" s="5"/>
      <c r="R256" s="8"/>
      <c r="S256" s="8"/>
      <c r="T256" s="8"/>
      <c r="U256" s="5"/>
      <c r="V256" s="8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  <c r="AI256" s="9"/>
      <c r="AJ256" s="9"/>
      <c r="AK256" s="9"/>
      <c r="AL256" s="9"/>
      <c r="AM256" s="9"/>
      <c r="AN256" s="9"/>
      <c r="AO256" s="9"/>
      <c r="AP256" s="9"/>
      <c r="AQ256" s="9"/>
      <c r="AR256" s="9"/>
      <c r="AS256" s="9"/>
      <c r="AT256" s="9"/>
      <c r="AU256" s="9"/>
      <c r="AV256" s="9"/>
      <c r="AW256" s="9"/>
      <c r="AX256" s="9"/>
      <c r="AY256" s="9"/>
      <c r="AZ256" s="9"/>
      <c r="BA256" s="9"/>
      <c r="BB256" s="9"/>
      <c r="BC256" s="9"/>
      <c r="BD256" s="9"/>
      <c r="BE256" s="9"/>
      <c r="BF256" s="9"/>
      <c r="BG256" s="9"/>
      <c r="BH256" s="9"/>
      <c r="BI256" s="9"/>
      <c r="BJ256" s="9"/>
      <c r="BK256" s="9"/>
      <c r="BL256" s="9"/>
      <c r="BM256" s="9"/>
      <c r="BN256" s="9"/>
      <c r="BO256" s="9"/>
      <c r="BP256" s="9"/>
      <c r="BQ256" s="9"/>
      <c r="BR256" s="9"/>
      <c r="BS256" s="9"/>
      <c r="BT256" s="9"/>
      <c r="BU256" s="9"/>
      <c r="BV256" s="9"/>
      <c r="BW256" s="9"/>
      <c r="BX256" s="9"/>
      <c r="BY256" s="9"/>
      <c r="BZ256" s="9"/>
      <c r="CA256" s="9"/>
      <c r="CB256" s="9"/>
      <c r="CC256" s="9"/>
      <c r="CD256" s="9"/>
      <c r="CE256" s="9"/>
      <c r="CF256" s="9"/>
      <c r="CG256" s="9"/>
      <c r="CH256" s="9"/>
      <c r="CI256" s="9"/>
      <c r="CJ256" s="9"/>
      <c r="CK256" s="9"/>
      <c r="CL256" s="9"/>
      <c r="CM256" s="9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</row>
    <row r="257" spans="4:118" ht="18" customHeight="1" x14ac:dyDescent="0.25">
      <c r="D257" s="210"/>
      <c r="E257" s="2"/>
      <c r="F257" s="2"/>
      <c r="G257" s="2"/>
      <c r="H257" s="2"/>
      <c r="I257" s="11"/>
      <c r="J257" s="11"/>
      <c r="K257" s="5"/>
      <c r="L257" s="5"/>
      <c r="M257" s="5"/>
      <c r="N257" s="8"/>
      <c r="O257" s="8"/>
      <c r="P257" s="8"/>
      <c r="Q257" s="5"/>
      <c r="R257" s="8"/>
      <c r="S257" s="8"/>
      <c r="T257" s="8"/>
      <c r="U257" s="5"/>
      <c r="V257" s="8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  <c r="AI257" s="9"/>
      <c r="AJ257" s="9"/>
      <c r="AK257" s="9"/>
      <c r="AL257" s="9"/>
      <c r="AM257" s="9"/>
      <c r="AN257" s="9"/>
      <c r="AO257" s="9"/>
      <c r="AP257" s="9"/>
      <c r="AQ257" s="9"/>
      <c r="AR257" s="9"/>
      <c r="AS257" s="9"/>
      <c r="AT257" s="9"/>
      <c r="AU257" s="9"/>
      <c r="AV257" s="9"/>
      <c r="AW257" s="9"/>
      <c r="AX257" s="9"/>
      <c r="AY257" s="9"/>
      <c r="AZ257" s="9"/>
      <c r="BA257" s="9"/>
      <c r="BB257" s="9"/>
      <c r="BC257" s="9"/>
      <c r="BD257" s="9"/>
      <c r="BE257" s="9"/>
      <c r="BF257" s="9"/>
      <c r="BG257" s="9"/>
      <c r="BH257" s="9"/>
      <c r="BI257" s="9"/>
      <c r="BJ257" s="9"/>
      <c r="BK257" s="9"/>
      <c r="BL257" s="9"/>
      <c r="BM257" s="9"/>
      <c r="BN257" s="9"/>
      <c r="BO257" s="9"/>
      <c r="BP257" s="9"/>
      <c r="BQ257" s="9"/>
      <c r="BR257" s="9"/>
      <c r="BS257" s="9"/>
      <c r="BT257" s="9"/>
      <c r="BU257" s="9"/>
      <c r="BV257" s="9"/>
      <c r="BW257" s="9"/>
      <c r="BX257" s="9"/>
      <c r="BY257" s="9"/>
      <c r="BZ257" s="9"/>
      <c r="CA257" s="9"/>
      <c r="CB257" s="9"/>
      <c r="CC257" s="9"/>
      <c r="CD257" s="9"/>
      <c r="CE257" s="9"/>
      <c r="CF257" s="9"/>
      <c r="CG257" s="9"/>
      <c r="CH257" s="9"/>
      <c r="CI257" s="9"/>
      <c r="CJ257" s="9"/>
      <c r="CK257" s="9"/>
      <c r="CL257" s="9"/>
      <c r="CM257" s="9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</row>
    <row r="258" spans="4:118" ht="18" customHeight="1" x14ac:dyDescent="0.25">
      <c r="D258" s="210"/>
      <c r="E258" s="2"/>
      <c r="F258" s="2"/>
      <c r="G258" s="2"/>
      <c r="H258" s="2"/>
      <c r="I258" s="11"/>
      <c r="J258" s="11"/>
      <c r="K258" s="5"/>
      <c r="L258" s="5"/>
      <c r="M258" s="5"/>
      <c r="N258" s="8"/>
      <c r="O258" s="8"/>
      <c r="P258" s="8"/>
      <c r="Q258" s="5"/>
      <c r="R258" s="8"/>
      <c r="S258" s="8"/>
      <c r="T258" s="8"/>
      <c r="U258" s="5"/>
      <c r="V258" s="8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  <c r="AI258" s="9"/>
      <c r="AJ258" s="9"/>
      <c r="AK258" s="9"/>
      <c r="AL258" s="9"/>
      <c r="AM258" s="9"/>
      <c r="AN258" s="9"/>
      <c r="AO258" s="9"/>
      <c r="AP258" s="9"/>
      <c r="AQ258" s="9"/>
      <c r="AR258" s="9"/>
      <c r="AS258" s="9"/>
      <c r="AT258" s="9"/>
      <c r="AU258" s="9"/>
      <c r="AV258" s="9"/>
      <c r="AW258" s="9"/>
      <c r="AX258" s="9"/>
      <c r="AY258" s="9"/>
      <c r="AZ258" s="9"/>
      <c r="BA258" s="9"/>
      <c r="BB258" s="9"/>
      <c r="BC258" s="9"/>
      <c r="BD258" s="9"/>
      <c r="BE258" s="9"/>
      <c r="BF258" s="9"/>
      <c r="BG258" s="9"/>
      <c r="BH258" s="9"/>
      <c r="BI258" s="9"/>
      <c r="BJ258" s="9"/>
      <c r="BK258" s="9"/>
      <c r="BL258" s="9"/>
      <c r="BM258" s="9"/>
      <c r="BN258" s="9"/>
      <c r="BO258" s="9"/>
      <c r="BP258" s="9"/>
      <c r="BQ258" s="9"/>
      <c r="BR258" s="9"/>
      <c r="BS258" s="9"/>
      <c r="BT258" s="9"/>
      <c r="BU258" s="9"/>
      <c r="BV258" s="9"/>
      <c r="BW258" s="9"/>
      <c r="BX258" s="9"/>
      <c r="BY258" s="9"/>
      <c r="BZ258" s="9"/>
      <c r="CA258" s="9"/>
      <c r="CB258" s="9"/>
      <c r="CC258" s="9"/>
      <c r="CD258" s="9"/>
      <c r="CE258" s="9"/>
      <c r="CF258" s="9"/>
      <c r="CG258" s="9"/>
      <c r="CH258" s="9"/>
      <c r="CI258" s="9"/>
      <c r="CJ258" s="9"/>
      <c r="CK258" s="9"/>
      <c r="CL258" s="9"/>
      <c r="CM258" s="9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</row>
    <row r="259" spans="4:118" ht="18" customHeight="1" x14ac:dyDescent="0.25">
      <c r="D259" s="210"/>
      <c r="E259" s="2"/>
      <c r="F259" s="2"/>
      <c r="G259" s="2"/>
      <c r="H259" s="2"/>
      <c r="I259" s="11"/>
      <c r="J259" s="11"/>
      <c r="K259" s="5"/>
      <c r="L259" s="5"/>
      <c r="M259" s="5"/>
      <c r="N259" s="8"/>
      <c r="O259" s="8"/>
      <c r="P259" s="8"/>
      <c r="Q259" s="5"/>
      <c r="R259" s="8"/>
      <c r="S259" s="8"/>
      <c r="T259" s="8"/>
      <c r="U259" s="5"/>
      <c r="V259" s="8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  <c r="AI259" s="9"/>
      <c r="AJ259" s="9"/>
      <c r="AK259" s="9"/>
      <c r="AL259" s="9"/>
      <c r="AM259" s="9"/>
      <c r="AN259" s="9"/>
      <c r="AO259" s="9"/>
      <c r="AP259" s="9"/>
      <c r="AQ259" s="9"/>
      <c r="AR259" s="9"/>
      <c r="AS259" s="9"/>
      <c r="AT259" s="9"/>
      <c r="AU259" s="9"/>
      <c r="AV259" s="9"/>
      <c r="AW259" s="9"/>
      <c r="AX259" s="9"/>
      <c r="AY259" s="9"/>
      <c r="AZ259" s="9"/>
      <c r="BA259" s="9"/>
      <c r="BB259" s="9"/>
      <c r="BC259" s="9"/>
      <c r="BD259" s="9"/>
      <c r="BE259" s="9"/>
      <c r="BF259" s="9"/>
      <c r="BG259" s="9"/>
      <c r="BH259" s="9"/>
      <c r="BI259" s="9"/>
      <c r="BJ259" s="9"/>
      <c r="BK259" s="9"/>
      <c r="BL259" s="9"/>
      <c r="BM259" s="9"/>
      <c r="BN259" s="9"/>
      <c r="BO259" s="9"/>
      <c r="BP259" s="9"/>
      <c r="BQ259" s="9"/>
      <c r="BR259" s="9"/>
      <c r="BS259" s="9"/>
      <c r="BT259" s="9"/>
      <c r="BU259" s="9"/>
      <c r="BV259" s="9"/>
      <c r="BW259" s="9"/>
      <c r="BX259" s="9"/>
      <c r="BY259" s="9"/>
      <c r="BZ259" s="9"/>
      <c r="CA259" s="9"/>
      <c r="CB259" s="9"/>
      <c r="CC259" s="9"/>
      <c r="CD259" s="9"/>
      <c r="CE259" s="9"/>
      <c r="CF259" s="9"/>
      <c r="CG259" s="9"/>
      <c r="CH259" s="9"/>
      <c r="CI259" s="9"/>
      <c r="CJ259" s="9"/>
      <c r="CK259" s="9"/>
      <c r="CL259" s="9"/>
      <c r="CM259" s="9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</row>
    <row r="260" spans="4:118" ht="18" customHeight="1" x14ac:dyDescent="0.25">
      <c r="D260" s="210"/>
      <c r="E260" s="2"/>
      <c r="F260" s="2"/>
      <c r="G260" s="2"/>
      <c r="H260" s="2"/>
      <c r="I260" s="11"/>
      <c r="J260" s="11"/>
      <c r="K260" s="5"/>
      <c r="L260" s="5"/>
      <c r="M260" s="5"/>
      <c r="N260" s="8"/>
      <c r="O260" s="8"/>
      <c r="P260" s="8"/>
      <c r="Q260" s="5"/>
      <c r="R260" s="8"/>
      <c r="S260" s="8"/>
      <c r="T260" s="8"/>
      <c r="U260" s="5"/>
      <c r="V260" s="8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  <c r="AI260" s="9"/>
      <c r="AJ260" s="9"/>
      <c r="AK260" s="9"/>
      <c r="AL260" s="9"/>
      <c r="AM260" s="9"/>
      <c r="AN260" s="9"/>
      <c r="AO260" s="9"/>
      <c r="AP260" s="9"/>
      <c r="AQ260" s="9"/>
      <c r="AR260" s="9"/>
      <c r="AS260" s="9"/>
      <c r="AT260" s="9"/>
      <c r="AU260" s="9"/>
      <c r="AV260" s="9"/>
      <c r="AW260" s="9"/>
      <c r="AX260" s="9"/>
      <c r="AY260" s="9"/>
      <c r="AZ260" s="9"/>
      <c r="BA260" s="9"/>
      <c r="BB260" s="9"/>
      <c r="BC260" s="9"/>
      <c r="BD260" s="9"/>
      <c r="BE260" s="9"/>
      <c r="BF260" s="9"/>
      <c r="BG260" s="9"/>
      <c r="BH260" s="9"/>
      <c r="BI260" s="9"/>
      <c r="BJ260" s="9"/>
      <c r="BK260" s="9"/>
      <c r="BL260" s="9"/>
      <c r="BM260" s="9"/>
      <c r="BN260" s="9"/>
      <c r="BO260" s="9"/>
      <c r="BP260" s="9"/>
      <c r="BQ260" s="9"/>
      <c r="BR260" s="9"/>
      <c r="BS260" s="9"/>
      <c r="BT260" s="9"/>
      <c r="BU260" s="9"/>
      <c r="BV260" s="9"/>
      <c r="BW260" s="9"/>
      <c r="BX260" s="9"/>
      <c r="BY260" s="9"/>
      <c r="BZ260" s="9"/>
      <c r="CA260" s="9"/>
      <c r="CB260" s="9"/>
      <c r="CC260" s="9"/>
      <c r="CD260" s="9"/>
      <c r="CE260" s="9"/>
      <c r="CF260" s="9"/>
      <c r="CG260" s="9"/>
      <c r="CH260" s="9"/>
      <c r="CI260" s="9"/>
      <c r="CJ260" s="9"/>
      <c r="CK260" s="9"/>
      <c r="CL260" s="9"/>
      <c r="CM260" s="9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</row>
    <row r="261" spans="4:118" ht="18" customHeight="1" x14ac:dyDescent="0.25">
      <c r="D261" s="210"/>
      <c r="E261" s="2"/>
      <c r="F261" s="2"/>
      <c r="G261" s="2"/>
      <c r="H261" s="2"/>
      <c r="I261" s="11"/>
      <c r="J261" s="11"/>
      <c r="K261" s="5"/>
      <c r="L261" s="5"/>
      <c r="M261" s="5"/>
      <c r="N261" s="8"/>
      <c r="O261" s="8"/>
      <c r="P261" s="8"/>
      <c r="Q261" s="5"/>
      <c r="R261" s="8"/>
      <c r="S261" s="8"/>
      <c r="T261" s="8"/>
      <c r="U261" s="5"/>
      <c r="V261" s="8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  <c r="AI261" s="9"/>
      <c r="AJ261" s="9"/>
      <c r="AK261" s="9"/>
      <c r="AL261" s="9"/>
      <c r="AM261" s="9"/>
      <c r="AN261" s="9"/>
      <c r="AO261" s="9"/>
      <c r="AP261" s="9"/>
      <c r="AQ261" s="9"/>
      <c r="AR261" s="9"/>
      <c r="AS261" s="9"/>
      <c r="AT261" s="9"/>
      <c r="AU261" s="9"/>
      <c r="AV261" s="9"/>
      <c r="AW261" s="9"/>
      <c r="AX261" s="9"/>
      <c r="AY261" s="9"/>
      <c r="AZ261" s="9"/>
      <c r="BA261" s="9"/>
      <c r="BB261" s="9"/>
      <c r="BC261" s="9"/>
      <c r="BD261" s="9"/>
      <c r="BE261" s="9"/>
      <c r="BF261" s="9"/>
      <c r="BG261" s="9"/>
      <c r="BH261" s="9"/>
      <c r="BI261" s="9"/>
      <c r="BJ261" s="9"/>
      <c r="BK261" s="9"/>
      <c r="BL261" s="9"/>
      <c r="BM261" s="9"/>
      <c r="BN261" s="9"/>
      <c r="BO261" s="9"/>
      <c r="BP261" s="9"/>
      <c r="BQ261" s="9"/>
      <c r="BR261" s="9"/>
      <c r="BS261" s="9"/>
      <c r="BT261" s="9"/>
      <c r="BU261" s="9"/>
      <c r="BV261" s="9"/>
      <c r="BW261" s="9"/>
      <c r="BX261" s="9"/>
      <c r="BY261" s="9"/>
      <c r="BZ261" s="9"/>
      <c r="CA261" s="9"/>
      <c r="CB261" s="9"/>
      <c r="CC261" s="9"/>
      <c r="CD261" s="9"/>
      <c r="CE261" s="9"/>
      <c r="CF261" s="9"/>
      <c r="CG261" s="9"/>
      <c r="CH261" s="9"/>
      <c r="CI261" s="9"/>
      <c r="CJ261" s="9"/>
      <c r="CK261" s="9"/>
      <c r="CL261" s="9"/>
      <c r="CM261" s="9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</row>
    <row r="262" spans="4:118" ht="18" customHeight="1" x14ac:dyDescent="0.25">
      <c r="D262" s="210"/>
      <c r="E262" s="2"/>
      <c r="F262" s="2"/>
      <c r="G262" s="2"/>
      <c r="H262" s="2"/>
      <c r="I262" s="11"/>
      <c r="J262" s="11"/>
      <c r="K262" s="5"/>
      <c r="L262" s="5"/>
      <c r="M262" s="5"/>
      <c r="N262" s="8"/>
      <c r="O262" s="8"/>
      <c r="P262" s="8"/>
      <c r="Q262" s="5"/>
      <c r="R262" s="8"/>
      <c r="S262" s="8"/>
      <c r="T262" s="8"/>
      <c r="U262" s="5"/>
      <c r="V262" s="8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  <c r="AI262" s="9"/>
      <c r="AJ262" s="9"/>
      <c r="AK262" s="9"/>
      <c r="AL262" s="9"/>
      <c r="AM262" s="9"/>
      <c r="AN262" s="9"/>
      <c r="AO262" s="9"/>
      <c r="AP262" s="9"/>
      <c r="AQ262" s="9"/>
      <c r="AR262" s="9"/>
      <c r="AS262" s="9"/>
      <c r="AT262" s="9"/>
      <c r="AU262" s="9"/>
      <c r="AV262" s="9"/>
      <c r="AW262" s="9"/>
      <c r="AX262" s="9"/>
      <c r="AY262" s="9"/>
      <c r="AZ262" s="9"/>
      <c r="BA262" s="9"/>
      <c r="BB262" s="9"/>
      <c r="BC262" s="9"/>
      <c r="BD262" s="9"/>
      <c r="BE262" s="9"/>
      <c r="BF262" s="9"/>
      <c r="BG262" s="9"/>
      <c r="BH262" s="9"/>
      <c r="BI262" s="9"/>
      <c r="BJ262" s="9"/>
      <c r="BK262" s="9"/>
      <c r="BL262" s="9"/>
      <c r="BM262" s="9"/>
      <c r="BN262" s="9"/>
      <c r="BO262" s="9"/>
      <c r="BP262" s="9"/>
      <c r="BQ262" s="9"/>
      <c r="BR262" s="9"/>
      <c r="BS262" s="9"/>
      <c r="BT262" s="9"/>
      <c r="BU262" s="9"/>
      <c r="BV262" s="9"/>
      <c r="BW262" s="9"/>
      <c r="BX262" s="9"/>
      <c r="BY262" s="9"/>
      <c r="BZ262" s="9"/>
      <c r="CA262" s="9"/>
      <c r="CB262" s="9"/>
      <c r="CC262" s="9"/>
      <c r="CD262" s="9"/>
      <c r="CE262" s="9"/>
      <c r="CF262" s="9"/>
      <c r="CG262" s="9"/>
      <c r="CH262" s="9"/>
      <c r="CI262" s="9"/>
      <c r="CJ262" s="9"/>
      <c r="CK262" s="9"/>
      <c r="CL262" s="9"/>
      <c r="CM262" s="9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</row>
    <row r="263" spans="4:118" ht="18" customHeight="1" x14ac:dyDescent="0.25">
      <c r="D263" s="210"/>
      <c r="E263" s="2"/>
      <c r="F263" s="2"/>
      <c r="G263" s="2"/>
      <c r="H263" s="2"/>
      <c r="I263" s="11"/>
      <c r="J263" s="11"/>
      <c r="K263" s="5"/>
      <c r="L263" s="5"/>
      <c r="M263" s="5"/>
      <c r="N263" s="8"/>
      <c r="O263" s="8"/>
      <c r="P263" s="8"/>
      <c r="Q263" s="5"/>
      <c r="R263" s="8"/>
      <c r="S263" s="8"/>
      <c r="T263" s="8"/>
      <c r="U263" s="5"/>
      <c r="V263" s="8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  <c r="AI263" s="9"/>
      <c r="AJ263" s="9"/>
      <c r="AK263" s="9"/>
      <c r="AL263" s="9"/>
      <c r="AM263" s="9"/>
      <c r="AN263" s="9"/>
      <c r="AO263" s="9"/>
      <c r="AP263" s="9"/>
      <c r="AQ263" s="9"/>
      <c r="AR263" s="9"/>
      <c r="AS263" s="9"/>
      <c r="AT263" s="9"/>
      <c r="AU263" s="9"/>
      <c r="AV263" s="9"/>
      <c r="AW263" s="9"/>
      <c r="AX263" s="9"/>
      <c r="AY263" s="9"/>
      <c r="AZ263" s="9"/>
      <c r="BA263" s="9"/>
      <c r="BB263" s="9"/>
      <c r="BC263" s="9"/>
      <c r="BD263" s="9"/>
      <c r="BE263" s="9"/>
      <c r="BF263" s="9"/>
      <c r="BG263" s="9"/>
      <c r="BH263" s="9"/>
      <c r="BI263" s="9"/>
      <c r="BJ263" s="9"/>
      <c r="BK263" s="9"/>
      <c r="BL263" s="9"/>
      <c r="BM263" s="9"/>
      <c r="BN263" s="9"/>
      <c r="BO263" s="9"/>
      <c r="BP263" s="9"/>
      <c r="BQ263" s="9"/>
      <c r="BR263" s="9"/>
      <c r="BS263" s="9"/>
      <c r="BT263" s="9"/>
      <c r="BU263" s="9"/>
      <c r="BV263" s="9"/>
      <c r="BW263" s="9"/>
      <c r="BX263" s="9"/>
      <c r="BY263" s="9"/>
      <c r="BZ263" s="9"/>
      <c r="CA263" s="9"/>
      <c r="CB263" s="9"/>
      <c r="CC263" s="9"/>
      <c r="CD263" s="9"/>
      <c r="CE263" s="9"/>
      <c r="CF263" s="9"/>
      <c r="CG263" s="9"/>
      <c r="CH263" s="9"/>
      <c r="CI263" s="9"/>
      <c r="CJ263" s="9"/>
      <c r="CK263" s="9"/>
      <c r="CL263" s="9"/>
      <c r="CM263" s="9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</row>
    <row r="264" spans="4:118" ht="18" customHeight="1" x14ac:dyDescent="0.25">
      <c r="D264" s="210"/>
      <c r="E264" s="2"/>
      <c r="F264" s="2"/>
      <c r="G264" s="2"/>
      <c r="H264" s="2"/>
      <c r="I264" s="11"/>
      <c r="J264" s="11"/>
      <c r="K264" s="5"/>
      <c r="L264" s="5"/>
      <c r="M264" s="5"/>
      <c r="N264" s="8"/>
      <c r="O264" s="8"/>
      <c r="P264" s="8"/>
      <c r="Q264" s="5"/>
      <c r="R264" s="8"/>
      <c r="S264" s="8"/>
      <c r="T264" s="8"/>
      <c r="U264" s="5"/>
      <c r="V264" s="8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  <c r="AI264" s="9"/>
      <c r="AJ264" s="9"/>
      <c r="AK264" s="9"/>
      <c r="AL264" s="9"/>
      <c r="AM264" s="9"/>
      <c r="AN264" s="9"/>
      <c r="AO264" s="9"/>
      <c r="AP264" s="9"/>
      <c r="AQ264" s="9"/>
      <c r="AR264" s="9"/>
      <c r="AS264" s="9"/>
      <c r="AT264" s="9"/>
      <c r="AU264" s="9"/>
      <c r="AV264" s="9"/>
      <c r="AW264" s="9"/>
      <c r="AX264" s="9"/>
      <c r="AY264" s="9"/>
      <c r="AZ264" s="9"/>
      <c r="BA264" s="9"/>
      <c r="BB264" s="9"/>
      <c r="BC264" s="9"/>
      <c r="BD264" s="9"/>
      <c r="BE264" s="9"/>
      <c r="BF264" s="9"/>
      <c r="BG264" s="9"/>
      <c r="BH264" s="9"/>
      <c r="BI264" s="9"/>
      <c r="BJ264" s="9"/>
      <c r="BK264" s="9"/>
      <c r="BL264" s="9"/>
      <c r="BM264" s="9"/>
      <c r="BN264" s="9"/>
      <c r="BO264" s="9"/>
      <c r="BP264" s="9"/>
      <c r="BQ264" s="9"/>
      <c r="BR264" s="9"/>
      <c r="BS264" s="9"/>
      <c r="BT264" s="9"/>
      <c r="BU264" s="9"/>
      <c r="BV264" s="9"/>
      <c r="BW264" s="9"/>
      <c r="BX264" s="9"/>
      <c r="BY264" s="9"/>
      <c r="BZ264" s="9"/>
      <c r="CA264" s="9"/>
      <c r="CB264" s="9"/>
      <c r="CC264" s="9"/>
      <c r="CD264" s="9"/>
      <c r="CE264" s="9"/>
      <c r="CF264" s="9"/>
      <c r="CG264" s="9"/>
      <c r="CH264" s="9"/>
      <c r="CI264" s="9"/>
      <c r="CJ264" s="9"/>
      <c r="CK264" s="9"/>
      <c r="CL264" s="9"/>
      <c r="CM264" s="9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</row>
    <row r="265" spans="4:118" ht="18" customHeight="1" x14ac:dyDescent="0.25">
      <c r="D265" s="210"/>
      <c r="E265" s="2"/>
      <c r="F265" s="2"/>
      <c r="G265" s="2"/>
      <c r="H265" s="2"/>
      <c r="I265" s="11"/>
      <c r="J265" s="11"/>
      <c r="K265" s="5"/>
      <c r="L265" s="5"/>
      <c r="M265" s="5"/>
      <c r="N265" s="8"/>
      <c r="O265" s="8"/>
      <c r="P265" s="8"/>
      <c r="Q265" s="5"/>
      <c r="R265" s="8"/>
      <c r="S265" s="8"/>
      <c r="T265" s="8"/>
      <c r="U265" s="5"/>
      <c r="V265" s="8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  <c r="AI265" s="9"/>
      <c r="AJ265" s="9"/>
      <c r="AK265" s="9"/>
      <c r="AL265" s="9"/>
      <c r="AM265" s="9"/>
      <c r="AN265" s="9"/>
      <c r="AO265" s="9"/>
      <c r="AP265" s="9"/>
      <c r="AQ265" s="9"/>
      <c r="AR265" s="9"/>
      <c r="AS265" s="9"/>
      <c r="AT265" s="9"/>
      <c r="AU265" s="9"/>
      <c r="AV265" s="9"/>
      <c r="AW265" s="9"/>
      <c r="AX265" s="9"/>
      <c r="AY265" s="9"/>
      <c r="AZ265" s="9"/>
      <c r="BA265" s="9"/>
      <c r="BB265" s="9"/>
      <c r="BC265" s="9"/>
      <c r="BD265" s="9"/>
      <c r="BE265" s="9"/>
      <c r="BF265" s="9"/>
      <c r="BG265" s="9"/>
      <c r="BH265" s="9"/>
      <c r="BI265" s="9"/>
      <c r="BJ265" s="9"/>
      <c r="BK265" s="9"/>
      <c r="BL265" s="9"/>
      <c r="BM265" s="9"/>
      <c r="BN265" s="9"/>
      <c r="BO265" s="9"/>
      <c r="BP265" s="9"/>
      <c r="BQ265" s="9"/>
      <c r="BR265" s="9"/>
      <c r="BS265" s="9"/>
      <c r="BT265" s="9"/>
      <c r="BU265" s="9"/>
      <c r="BV265" s="9"/>
      <c r="BW265" s="9"/>
      <c r="BX265" s="9"/>
      <c r="BY265" s="9"/>
      <c r="BZ265" s="9"/>
      <c r="CA265" s="9"/>
      <c r="CB265" s="9"/>
      <c r="CC265" s="9"/>
      <c r="CD265" s="9"/>
      <c r="CE265" s="9"/>
      <c r="CF265" s="9"/>
      <c r="CG265" s="9"/>
      <c r="CH265" s="9"/>
      <c r="CI265" s="9"/>
      <c r="CJ265" s="9"/>
      <c r="CK265" s="9"/>
      <c r="CL265" s="9"/>
      <c r="CM265" s="9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</row>
    <row r="266" spans="4:118" ht="18" customHeight="1" x14ac:dyDescent="0.25">
      <c r="D266" s="210"/>
      <c r="E266" s="2"/>
      <c r="F266" s="2"/>
      <c r="G266" s="2"/>
      <c r="H266" s="2"/>
      <c r="I266" s="11"/>
      <c r="J266" s="11"/>
      <c r="K266" s="5"/>
      <c r="L266" s="5"/>
      <c r="M266" s="5"/>
      <c r="N266" s="8"/>
      <c r="O266" s="8"/>
      <c r="P266" s="8"/>
      <c r="Q266" s="5"/>
      <c r="R266" s="8"/>
      <c r="S266" s="8"/>
      <c r="T266" s="8"/>
      <c r="U266" s="5"/>
      <c r="V266" s="8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  <c r="AI266" s="9"/>
      <c r="AJ266" s="9"/>
      <c r="AK266" s="9"/>
      <c r="AL266" s="9"/>
      <c r="AM266" s="9"/>
      <c r="AN266" s="9"/>
      <c r="AO266" s="9"/>
      <c r="AP266" s="9"/>
      <c r="AQ266" s="9"/>
      <c r="AR266" s="9"/>
      <c r="AS266" s="9"/>
      <c r="AT266" s="9"/>
      <c r="AU266" s="9"/>
      <c r="AV266" s="9"/>
      <c r="AW266" s="9"/>
      <c r="AX266" s="9"/>
      <c r="AY266" s="9"/>
      <c r="AZ266" s="9"/>
      <c r="BA266" s="9"/>
      <c r="BB266" s="9"/>
      <c r="BC266" s="9"/>
      <c r="BD266" s="9"/>
      <c r="BE266" s="9"/>
      <c r="BF266" s="9"/>
      <c r="BG266" s="9"/>
      <c r="BH266" s="9"/>
      <c r="BI266" s="9"/>
      <c r="BJ266" s="9"/>
      <c r="BK266" s="9"/>
      <c r="BL266" s="9"/>
      <c r="BM266" s="9"/>
      <c r="BN266" s="9"/>
      <c r="BO266" s="9"/>
      <c r="BP266" s="9"/>
      <c r="BQ266" s="9"/>
      <c r="BR266" s="9"/>
      <c r="BS266" s="9"/>
      <c r="BT266" s="9"/>
      <c r="BU266" s="9"/>
      <c r="BV266" s="9"/>
      <c r="BW266" s="9"/>
      <c r="BX266" s="9"/>
      <c r="BY266" s="9"/>
      <c r="BZ266" s="9"/>
      <c r="CA266" s="9"/>
      <c r="CB266" s="9"/>
      <c r="CC266" s="9"/>
      <c r="CD266" s="9"/>
      <c r="CE266" s="9"/>
      <c r="CF266" s="9"/>
      <c r="CG266" s="9"/>
      <c r="CH266" s="9"/>
      <c r="CI266" s="9"/>
      <c r="CJ266" s="9"/>
      <c r="CK266" s="9"/>
      <c r="CL266" s="9"/>
      <c r="CM266" s="9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</row>
    <row r="267" spans="4:118" ht="18" customHeight="1" x14ac:dyDescent="0.25">
      <c r="D267" s="210"/>
      <c r="E267" s="2"/>
      <c r="F267" s="2"/>
      <c r="G267" s="2"/>
      <c r="H267" s="2"/>
      <c r="I267" s="11"/>
      <c r="J267" s="11"/>
      <c r="K267" s="5"/>
      <c r="L267" s="5"/>
      <c r="M267" s="5"/>
      <c r="N267" s="8"/>
      <c r="O267" s="8"/>
      <c r="P267" s="8"/>
      <c r="Q267" s="5"/>
      <c r="R267" s="8"/>
      <c r="S267" s="8"/>
      <c r="T267" s="8"/>
      <c r="U267" s="5"/>
      <c r="V267" s="8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  <c r="AI267" s="9"/>
      <c r="AJ267" s="9"/>
      <c r="AK267" s="9"/>
      <c r="AL267" s="9"/>
      <c r="AM267" s="9"/>
      <c r="AN267" s="9"/>
      <c r="AO267" s="9"/>
      <c r="AP267" s="9"/>
      <c r="AQ267" s="9"/>
      <c r="AR267" s="9"/>
      <c r="AS267" s="9"/>
      <c r="AT267" s="9"/>
      <c r="AU267" s="9"/>
      <c r="AV267" s="9"/>
      <c r="AW267" s="9"/>
      <c r="AX267" s="9"/>
      <c r="AY267" s="9"/>
      <c r="AZ267" s="9"/>
      <c r="BA267" s="9"/>
      <c r="BB267" s="9"/>
      <c r="BC267" s="9"/>
      <c r="BD267" s="9"/>
      <c r="BE267" s="9"/>
      <c r="BF267" s="9"/>
      <c r="BG267" s="9"/>
      <c r="BH267" s="9"/>
      <c r="BI267" s="9"/>
      <c r="BJ267" s="9"/>
      <c r="BK267" s="9"/>
      <c r="BL267" s="9"/>
      <c r="BM267" s="9"/>
      <c r="BN267" s="9"/>
      <c r="BO267" s="9"/>
      <c r="BP267" s="9"/>
      <c r="BQ267" s="9"/>
      <c r="BR267" s="9"/>
      <c r="BS267" s="9"/>
      <c r="BT267" s="9"/>
      <c r="BU267" s="9"/>
      <c r="BV267" s="9"/>
      <c r="BW267" s="9"/>
      <c r="BX267" s="9"/>
      <c r="BY267" s="9"/>
      <c r="BZ267" s="9"/>
      <c r="CA267" s="9"/>
      <c r="CB267" s="9"/>
      <c r="CC267" s="9"/>
      <c r="CD267" s="9"/>
      <c r="CE267" s="9"/>
      <c r="CF267" s="9"/>
      <c r="CG267" s="9"/>
      <c r="CH267" s="9"/>
      <c r="CI267" s="9"/>
      <c r="CJ267" s="9"/>
      <c r="CK267" s="9"/>
      <c r="CL267" s="9"/>
      <c r="CM267" s="9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</row>
    <row r="268" spans="4:118" ht="18" customHeight="1" x14ac:dyDescent="0.25">
      <c r="D268" s="210"/>
      <c r="E268" s="2"/>
      <c r="F268" s="2"/>
      <c r="G268" s="2"/>
      <c r="H268" s="2"/>
      <c r="I268" s="11"/>
      <c r="J268" s="11"/>
      <c r="K268" s="5"/>
      <c r="L268" s="5"/>
      <c r="M268" s="5"/>
      <c r="N268" s="8"/>
      <c r="O268" s="8"/>
      <c r="P268" s="8"/>
      <c r="Q268" s="5"/>
      <c r="R268" s="8"/>
      <c r="S268" s="8"/>
      <c r="T268" s="8"/>
      <c r="U268" s="5"/>
      <c r="V268" s="8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  <c r="AI268" s="9"/>
      <c r="AJ268" s="9"/>
      <c r="AK268" s="9"/>
      <c r="AL268" s="9"/>
      <c r="AM268" s="9"/>
      <c r="AN268" s="9"/>
      <c r="AO268" s="9"/>
      <c r="AP268" s="9"/>
      <c r="AQ268" s="9"/>
      <c r="AR268" s="9"/>
      <c r="AS268" s="9"/>
      <c r="AT268" s="9"/>
      <c r="AU268" s="9"/>
      <c r="AV268" s="9"/>
      <c r="AW268" s="9"/>
      <c r="AX268" s="9"/>
      <c r="AY268" s="9"/>
      <c r="AZ268" s="9"/>
      <c r="BA268" s="9"/>
      <c r="BB268" s="9"/>
      <c r="BC268" s="9"/>
      <c r="BD268" s="9"/>
      <c r="BE268" s="9"/>
      <c r="BF268" s="9"/>
      <c r="BG268" s="9"/>
      <c r="BH268" s="9"/>
      <c r="BI268" s="9"/>
      <c r="BJ268" s="9"/>
      <c r="BK268" s="9"/>
      <c r="BL268" s="9"/>
      <c r="BM268" s="9"/>
      <c r="BN268" s="9"/>
      <c r="BO268" s="9"/>
      <c r="BP268" s="9"/>
      <c r="BQ268" s="9"/>
      <c r="BR268" s="9"/>
      <c r="BS268" s="9"/>
      <c r="BT268" s="9"/>
      <c r="BU268" s="9"/>
      <c r="BV268" s="9"/>
      <c r="BW268" s="9"/>
      <c r="BX268" s="9"/>
      <c r="BY268" s="9"/>
      <c r="BZ268" s="9"/>
      <c r="CA268" s="9"/>
      <c r="CB268" s="9"/>
      <c r="CC268" s="9"/>
      <c r="CD268" s="9"/>
      <c r="CE268" s="9"/>
      <c r="CF268" s="9"/>
      <c r="CG268" s="9"/>
      <c r="CH268" s="9"/>
      <c r="CI268" s="9"/>
      <c r="CJ268" s="9"/>
      <c r="CK268" s="9"/>
      <c r="CL268" s="9"/>
      <c r="CM268" s="9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</row>
    <row r="269" spans="4:118" ht="18" customHeight="1" x14ac:dyDescent="0.25">
      <c r="D269" s="210"/>
      <c r="E269" s="2"/>
      <c r="F269" s="2"/>
      <c r="G269" s="2"/>
      <c r="H269" s="2"/>
      <c r="I269" s="11"/>
      <c r="J269" s="11"/>
      <c r="K269" s="5"/>
      <c r="L269" s="5"/>
      <c r="M269" s="5"/>
      <c r="N269" s="8"/>
      <c r="O269" s="8"/>
      <c r="P269" s="8"/>
      <c r="Q269" s="5"/>
      <c r="R269" s="8"/>
      <c r="S269" s="8"/>
      <c r="T269" s="8"/>
      <c r="U269" s="5"/>
      <c r="V269" s="8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  <c r="AI269" s="9"/>
      <c r="AJ269" s="9"/>
      <c r="AK269" s="9"/>
      <c r="AL269" s="9"/>
      <c r="AM269" s="9"/>
      <c r="AN269" s="9"/>
      <c r="AO269" s="9"/>
      <c r="AP269" s="9"/>
      <c r="AQ269" s="9"/>
      <c r="AR269" s="9"/>
      <c r="AS269" s="9"/>
      <c r="AT269" s="9"/>
      <c r="AU269" s="9"/>
      <c r="AV269" s="9"/>
      <c r="AW269" s="9"/>
      <c r="AX269" s="9"/>
      <c r="AY269" s="9"/>
      <c r="AZ269" s="9"/>
      <c r="BA269" s="9"/>
      <c r="BB269" s="9"/>
      <c r="BC269" s="9"/>
      <c r="BD269" s="9"/>
      <c r="BE269" s="9"/>
      <c r="BF269" s="9"/>
      <c r="BG269" s="9"/>
      <c r="BH269" s="9"/>
      <c r="BI269" s="9"/>
      <c r="BJ269" s="9"/>
      <c r="BK269" s="9"/>
      <c r="BL269" s="9"/>
      <c r="BM269" s="9"/>
      <c r="BN269" s="9"/>
      <c r="BO269" s="9"/>
      <c r="BP269" s="9"/>
      <c r="BQ269" s="9"/>
      <c r="BR269" s="9"/>
      <c r="BS269" s="9"/>
      <c r="BT269" s="9"/>
      <c r="BU269" s="9"/>
      <c r="BV269" s="9"/>
      <c r="BW269" s="9"/>
      <c r="BX269" s="9"/>
      <c r="BY269" s="9"/>
      <c r="BZ269" s="9"/>
      <c r="CA269" s="9"/>
      <c r="CB269" s="9"/>
      <c r="CC269" s="9"/>
      <c r="CD269" s="9"/>
      <c r="CE269" s="9"/>
      <c r="CF269" s="9"/>
      <c r="CG269" s="9"/>
      <c r="CH269" s="9"/>
      <c r="CI269" s="9"/>
      <c r="CJ269" s="9"/>
      <c r="CK269" s="9"/>
      <c r="CL269" s="9"/>
      <c r="CM269" s="9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</row>
    <row r="270" spans="4:118" ht="18" customHeight="1" x14ac:dyDescent="0.25">
      <c r="D270" s="210"/>
      <c r="E270" s="2"/>
      <c r="F270" s="2"/>
      <c r="G270" s="2"/>
      <c r="H270" s="2"/>
      <c r="I270" s="11"/>
      <c r="J270" s="11"/>
      <c r="K270" s="5"/>
      <c r="L270" s="5"/>
      <c r="M270" s="5"/>
      <c r="N270" s="8"/>
      <c r="O270" s="8"/>
      <c r="P270" s="8"/>
      <c r="Q270" s="5"/>
      <c r="R270" s="8"/>
      <c r="S270" s="8"/>
      <c r="T270" s="8"/>
      <c r="U270" s="5"/>
      <c r="V270" s="8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  <c r="AI270" s="9"/>
      <c r="AJ270" s="9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  <c r="BL270" s="9"/>
      <c r="BM270" s="9"/>
      <c r="BN270" s="9"/>
      <c r="BO270" s="9"/>
      <c r="BP270" s="9"/>
      <c r="BQ270" s="9"/>
      <c r="BR270" s="9"/>
      <c r="BS270" s="9"/>
      <c r="BT270" s="9"/>
      <c r="BU270" s="9"/>
      <c r="BV270" s="9"/>
      <c r="BW270" s="9"/>
      <c r="BX270" s="9"/>
      <c r="BY270" s="9"/>
      <c r="BZ270" s="9"/>
      <c r="CA270" s="9"/>
      <c r="CB270" s="9"/>
      <c r="CC270" s="9"/>
      <c r="CD270" s="9"/>
      <c r="CE270" s="9"/>
      <c r="CF270" s="9"/>
      <c r="CG270" s="9"/>
      <c r="CH270" s="9"/>
      <c r="CI270" s="9"/>
      <c r="CJ270" s="9"/>
      <c r="CK270" s="9"/>
      <c r="CL270" s="9"/>
      <c r="CM270" s="9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</row>
    <row r="271" spans="4:118" ht="18" customHeight="1" x14ac:dyDescent="0.25">
      <c r="D271" s="210"/>
      <c r="E271" s="2"/>
      <c r="F271" s="2"/>
      <c r="G271" s="2"/>
      <c r="H271" s="2"/>
      <c r="I271" s="11"/>
      <c r="J271" s="11"/>
      <c r="K271" s="5"/>
      <c r="L271" s="5"/>
      <c r="M271" s="5"/>
      <c r="N271" s="8"/>
      <c r="O271" s="8"/>
      <c r="P271" s="8"/>
      <c r="Q271" s="5"/>
      <c r="R271" s="8"/>
      <c r="S271" s="8"/>
      <c r="T271" s="8"/>
      <c r="U271" s="5"/>
      <c r="V271" s="8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  <c r="AI271" s="9"/>
      <c r="AJ271" s="9"/>
      <c r="AK271" s="9"/>
      <c r="AL271" s="9"/>
      <c r="AM271" s="9"/>
      <c r="AN271" s="9"/>
      <c r="AO271" s="9"/>
      <c r="AP271" s="9"/>
      <c r="AQ271" s="9"/>
      <c r="AR271" s="9"/>
      <c r="AS271" s="9"/>
      <c r="AT271" s="9"/>
      <c r="AU271" s="9"/>
      <c r="AV271" s="9"/>
      <c r="AW271" s="9"/>
      <c r="AX271" s="9"/>
      <c r="AY271" s="9"/>
      <c r="AZ271" s="9"/>
      <c r="BA271" s="9"/>
      <c r="BB271" s="9"/>
      <c r="BC271" s="9"/>
      <c r="BD271" s="9"/>
      <c r="BE271" s="9"/>
      <c r="BF271" s="9"/>
      <c r="BG271" s="9"/>
      <c r="BH271" s="9"/>
      <c r="BI271" s="9"/>
      <c r="BJ271" s="9"/>
      <c r="BK271" s="9"/>
      <c r="BL271" s="9"/>
      <c r="BM271" s="9"/>
      <c r="BN271" s="9"/>
      <c r="BO271" s="9"/>
      <c r="BP271" s="9"/>
      <c r="BQ271" s="9"/>
      <c r="BR271" s="9"/>
      <c r="BS271" s="9"/>
      <c r="BT271" s="9"/>
      <c r="BU271" s="9"/>
      <c r="BV271" s="9"/>
      <c r="BW271" s="9"/>
      <c r="BX271" s="9"/>
      <c r="BY271" s="9"/>
      <c r="BZ271" s="9"/>
      <c r="CA271" s="9"/>
      <c r="CB271" s="9"/>
      <c r="CC271" s="9"/>
      <c r="CD271" s="9"/>
      <c r="CE271" s="9"/>
      <c r="CF271" s="9"/>
      <c r="CG271" s="9"/>
      <c r="CH271" s="9"/>
      <c r="CI271" s="9"/>
      <c r="CJ271" s="9"/>
      <c r="CK271" s="9"/>
      <c r="CL271" s="9"/>
      <c r="CM271" s="9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</row>
    <row r="272" spans="4:118" ht="18" customHeight="1" x14ac:dyDescent="0.25">
      <c r="D272" s="210"/>
      <c r="E272" s="2"/>
      <c r="F272" s="2"/>
      <c r="G272" s="2"/>
      <c r="H272" s="2"/>
      <c r="I272" s="11"/>
      <c r="J272" s="11"/>
      <c r="K272" s="5"/>
      <c r="L272" s="5"/>
      <c r="M272" s="5"/>
      <c r="N272" s="8"/>
      <c r="O272" s="8"/>
      <c r="P272" s="8"/>
      <c r="Q272" s="5"/>
      <c r="R272" s="8"/>
      <c r="S272" s="8"/>
      <c r="T272" s="8"/>
      <c r="U272" s="5"/>
      <c r="V272" s="8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  <c r="AI272" s="9"/>
      <c r="AJ272" s="9"/>
      <c r="AK272" s="9"/>
      <c r="AL272" s="9"/>
      <c r="AM272" s="9"/>
      <c r="AN272" s="9"/>
      <c r="AO272" s="9"/>
      <c r="AP272" s="9"/>
      <c r="AQ272" s="9"/>
      <c r="AR272" s="9"/>
      <c r="AS272" s="9"/>
      <c r="AT272" s="9"/>
      <c r="AU272" s="9"/>
      <c r="AV272" s="9"/>
      <c r="AW272" s="9"/>
      <c r="AX272" s="9"/>
      <c r="AY272" s="9"/>
      <c r="AZ272" s="9"/>
      <c r="BA272" s="9"/>
      <c r="BB272" s="9"/>
      <c r="BC272" s="9"/>
      <c r="BD272" s="9"/>
      <c r="BE272" s="9"/>
      <c r="BF272" s="9"/>
      <c r="BG272" s="9"/>
      <c r="BH272" s="9"/>
      <c r="BI272" s="9"/>
      <c r="BJ272" s="9"/>
      <c r="BK272" s="9"/>
      <c r="BL272" s="9"/>
      <c r="BM272" s="9"/>
      <c r="BN272" s="9"/>
      <c r="BO272" s="9"/>
      <c r="BP272" s="9"/>
      <c r="BQ272" s="9"/>
      <c r="BR272" s="9"/>
      <c r="BS272" s="9"/>
      <c r="BT272" s="9"/>
      <c r="BU272" s="9"/>
      <c r="BV272" s="9"/>
      <c r="BW272" s="9"/>
      <c r="BX272" s="9"/>
      <c r="BY272" s="9"/>
      <c r="BZ272" s="9"/>
      <c r="CA272" s="9"/>
      <c r="CB272" s="9"/>
      <c r="CC272" s="9"/>
      <c r="CD272" s="9"/>
      <c r="CE272" s="9"/>
      <c r="CF272" s="9"/>
      <c r="CG272" s="9"/>
      <c r="CH272" s="9"/>
      <c r="CI272" s="9"/>
      <c r="CJ272" s="9"/>
      <c r="CK272" s="9"/>
      <c r="CL272" s="9"/>
      <c r="CM272" s="9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</row>
    <row r="273" spans="4:118" ht="18" customHeight="1" x14ac:dyDescent="0.25">
      <c r="D273" s="210"/>
      <c r="E273" s="2"/>
      <c r="F273" s="2"/>
      <c r="G273" s="2"/>
      <c r="H273" s="2"/>
      <c r="I273" s="11"/>
      <c r="J273" s="11"/>
      <c r="K273" s="5"/>
      <c r="L273" s="5"/>
      <c r="M273" s="5"/>
      <c r="N273" s="8"/>
      <c r="O273" s="8"/>
      <c r="P273" s="8"/>
      <c r="Q273" s="5"/>
      <c r="R273" s="8"/>
      <c r="S273" s="8"/>
      <c r="T273" s="8"/>
      <c r="U273" s="5"/>
      <c r="V273" s="8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  <c r="AI273" s="9"/>
      <c r="AJ273" s="9"/>
      <c r="AK273" s="9"/>
      <c r="AL273" s="9"/>
      <c r="AM273" s="9"/>
      <c r="AN273" s="9"/>
      <c r="AO273" s="9"/>
      <c r="AP273" s="9"/>
      <c r="AQ273" s="9"/>
      <c r="AR273" s="9"/>
      <c r="AS273" s="9"/>
      <c r="AT273" s="9"/>
      <c r="AU273" s="9"/>
      <c r="AV273" s="9"/>
      <c r="AW273" s="9"/>
      <c r="AX273" s="9"/>
      <c r="AY273" s="9"/>
      <c r="AZ273" s="9"/>
      <c r="BA273" s="9"/>
      <c r="BB273" s="9"/>
      <c r="BC273" s="9"/>
      <c r="BD273" s="9"/>
      <c r="BE273" s="9"/>
      <c r="BF273" s="9"/>
      <c r="BG273" s="9"/>
      <c r="BH273" s="9"/>
      <c r="BI273" s="9"/>
      <c r="BJ273" s="9"/>
      <c r="BK273" s="9"/>
      <c r="BL273" s="9"/>
      <c r="BM273" s="9"/>
      <c r="BN273" s="9"/>
      <c r="BO273" s="9"/>
      <c r="BP273" s="9"/>
      <c r="BQ273" s="9"/>
      <c r="BR273" s="9"/>
      <c r="BS273" s="9"/>
      <c r="BT273" s="9"/>
      <c r="BU273" s="9"/>
      <c r="BV273" s="9"/>
      <c r="BW273" s="9"/>
      <c r="BX273" s="9"/>
      <c r="BY273" s="9"/>
      <c r="BZ273" s="9"/>
      <c r="CA273" s="9"/>
      <c r="CB273" s="9"/>
      <c r="CC273" s="9"/>
      <c r="CD273" s="9"/>
      <c r="CE273" s="9"/>
      <c r="CF273" s="9"/>
      <c r="CG273" s="9"/>
      <c r="CH273" s="9"/>
      <c r="CI273" s="9"/>
      <c r="CJ273" s="9"/>
      <c r="CK273" s="9"/>
      <c r="CL273" s="9"/>
      <c r="CM273" s="9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</row>
    <row r="274" spans="4:118" ht="18" customHeight="1" x14ac:dyDescent="0.25">
      <c r="D274" s="210"/>
      <c r="E274" s="2"/>
      <c r="F274" s="2"/>
      <c r="G274" s="2"/>
      <c r="H274" s="2"/>
      <c r="I274" s="11"/>
      <c r="J274" s="11"/>
      <c r="K274" s="5"/>
      <c r="L274" s="5"/>
      <c r="M274" s="5"/>
      <c r="N274" s="8"/>
      <c r="O274" s="8"/>
      <c r="P274" s="8"/>
      <c r="Q274" s="5"/>
      <c r="R274" s="8"/>
      <c r="S274" s="8"/>
      <c r="T274" s="8"/>
      <c r="U274" s="5"/>
      <c r="V274" s="8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  <c r="AI274" s="9"/>
      <c r="AJ274" s="9"/>
      <c r="AK274" s="9"/>
      <c r="AL274" s="9"/>
      <c r="AM274" s="9"/>
      <c r="AN274" s="9"/>
      <c r="AO274" s="9"/>
      <c r="AP274" s="9"/>
      <c r="AQ274" s="9"/>
      <c r="AR274" s="9"/>
      <c r="AS274" s="9"/>
      <c r="AT274" s="9"/>
      <c r="AU274" s="9"/>
      <c r="AV274" s="9"/>
      <c r="AW274" s="9"/>
      <c r="AX274" s="9"/>
      <c r="AY274" s="9"/>
      <c r="AZ274" s="9"/>
      <c r="BA274" s="9"/>
      <c r="BB274" s="9"/>
      <c r="BC274" s="9"/>
      <c r="BD274" s="9"/>
      <c r="BE274" s="9"/>
      <c r="BF274" s="9"/>
      <c r="BG274" s="9"/>
      <c r="BH274" s="9"/>
      <c r="BI274" s="9"/>
      <c r="BJ274" s="9"/>
      <c r="BK274" s="9"/>
      <c r="BL274" s="9"/>
      <c r="BM274" s="9"/>
      <c r="BN274" s="9"/>
      <c r="BO274" s="9"/>
      <c r="BP274" s="9"/>
      <c r="BQ274" s="9"/>
      <c r="BR274" s="9"/>
      <c r="BS274" s="9"/>
      <c r="BT274" s="9"/>
      <c r="BU274" s="9"/>
      <c r="BV274" s="9"/>
      <c r="BW274" s="9"/>
      <c r="BX274" s="9"/>
      <c r="BY274" s="9"/>
      <c r="BZ274" s="9"/>
      <c r="CA274" s="9"/>
      <c r="CB274" s="9"/>
      <c r="CC274" s="9"/>
      <c r="CD274" s="9"/>
      <c r="CE274" s="9"/>
      <c r="CF274" s="9"/>
      <c r="CG274" s="9"/>
      <c r="CH274" s="9"/>
      <c r="CI274" s="9"/>
      <c r="CJ274" s="9"/>
      <c r="CK274" s="9"/>
      <c r="CL274" s="9"/>
      <c r="CM274" s="9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</row>
    <row r="275" spans="4:118" ht="18" customHeight="1" x14ac:dyDescent="0.25">
      <c r="D275" s="210"/>
      <c r="E275" s="2"/>
      <c r="F275" s="2"/>
      <c r="G275" s="2"/>
      <c r="H275" s="2"/>
      <c r="I275" s="11"/>
      <c r="J275" s="11"/>
      <c r="K275" s="5"/>
      <c r="L275" s="5"/>
      <c r="M275" s="5"/>
      <c r="N275" s="8"/>
      <c r="O275" s="8"/>
      <c r="P275" s="8"/>
      <c r="Q275" s="5"/>
      <c r="R275" s="8"/>
      <c r="S275" s="8"/>
      <c r="T275" s="8"/>
      <c r="U275" s="5"/>
      <c r="V275" s="8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  <c r="AI275" s="9"/>
      <c r="AJ275" s="9"/>
      <c r="AK275" s="9"/>
      <c r="AL275" s="9"/>
      <c r="AM275" s="9"/>
      <c r="AN275" s="9"/>
      <c r="AO275" s="9"/>
      <c r="AP275" s="9"/>
      <c r="AQ275" s="9"/>
      <c r="AR275" s="9"/>
      <c r="AS275" s="9"/>
      <c r="AT275" s="9"/>
      <c r="AU275" s="9"/>
      <c r="AV275" s="9"/>
      <c r="AW275" s="9"/>
      <c r="AX275" s="9"/>
      <c r="AY275" s="9"/>
      <c r="AZ275" s="9"/>
      <c r="BA275" s="9"/>
      <c r="BB275" s="9"/>
      <c r="BC275" s="9"/>
      <c r="BD275" s="9"/>
      <c r="BE275" s="9"/>
      <c r="BF275" s="9"/>
      <c r="BG275" s="9"/>
      <c r="BH275" s="9"/>
      <c r="BI275" s="9"/>
      <c r="BJ275" s="9"/>
      <c r="BK275" s="9"/>
      <c r="BL275" s="9"/>
      <c r="BM275" s="9"/>
      <c r="BN275" s="9"/>
      <c r="BO275" s="9"/>
      <c r="BP275" s="9"/>
      <c r="BQ275" s="9"/>
      <c r="BR275" s="9"/>
      <c r="BS275" s="9"/>
      <c r="BT275" s="9"/>
      <c r="BU275" s="9"/>
      <c r="BV275" s="9"/>
      <c r="BW275" s="9"/>
      <c r="BX275" s="9"/>
      <c r="BY275" s="9"/>
      <c r="BZ275" s="9"/>
      <c r="CA275" s="9"/>
      <c r="CB275" s="9"/>
      <c r="CC275" s="9"/>
      <c r="CD275" s="9"/>
      <c r="CE275" s="9"/>
      <c r="CF275" s="9"/>
      <c r="CG275" s="9"/>
      <c r="CH275" s="9"/>
      <c r="CI275" s="9"/>
      <c r="CJ275" s="9"/>
      <c r="CK275" s="9"/>
      <c r="CL275" s="9"/>
      <c r="CM275" s="9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</row>
    <row r="276" spans="4:118" ht="18" customHeight="1" x14ac:dyDescent="0.25">
      <c r="D276" s="210"/>
      <c r="E276" s="2"/>
      <c r="F276" s="2"/>
      <c r="G276" s="2"/>
      <c r="H276" s="2"/>
      <c r="I276" s="11"/>
      <c r="J276" s="11"/>
      <c r="K276" s="5"/>
      <c r="L276" s="5"/>
      <c r="M276" s="5"/>
      <c r="N276" s="8"/>
      <c r="O276" s="8"/>
      <c r="P276" s="8"/>
      <c r="Q276" s="5"/>
      <c r="R276" s="8"/>
      <c r="S276" s="8"/>
      <c r="T276" s="8"/>
      <c r="U276" s="5"/>
      <c r="V276" s="8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  <c r="AI276" s="9"/>
      <c r="AJ276" s="9"/>
      <c r="AK276" s="9"/>
      <c r="AL276" s="9"/>
      <c r="AM276" s="9"/>
      <c r="AN276" s="9"/>
      <c r="AO276" s="9"/>
      <c r="AP276" s="9"/>
      <c r="AQ276" s="9"/>
      <c r="AR276" s="9"/>
      <c r="AS276" s="9"/>
      <c r="AT276" s="9"/>
      <c r="AU276" s="9"/>
      <c r="AV276" s="9"/>
      <c r="AW276" s="9"/>
      <c r="AX276" s="9"/>
      <c r="AY276" s="9"/>
      <c r="AZ276" s="9"/>
      <c r="BA276" s="9"/>
      <c r="BB276" s="9"/>
      <c r="BC276" s="9"/>
      <c r="BD276" s="9"/>
      <c r="BE276" s="9"/>
      <c r="BF276" s="9"/>
      <c r="BG276" s="9"/>
      <c r="BH276" s="9"/>
      <c r="BI276" s="9"/>
      <c r="BJ276" s="9"/>
      <c r="BK276" s="9"/>
      <c r="BL276" s="9"/>
      <c r="BM276" s="9"/>
      <c r="BN276" s="9"/>
      <c r="BO276" s="9"/>
      <c r="BP276" s="9"/>
      <c r="BQ276" s="9"/>
      <c r="BR276" s="9"/>
      <c r="BS276" s="9"/>
      <c r="BT276" s="9"/>
      <c r="BU276" s="9"/>
      <c r="BV276" s="9"/>
      <c r="BW276" s="9"/>
      <c r="BX276" s="9"/>
      <c r="BY276" s="9"/>
      <c r="BZ276" s="9"/>
      <c r="CA276" s="9"/>
      <c r="CB276" s="9"/>
      <c r="CC276" s="9"/>
      <c r="CD276" s="9"/>
      <c r="CE276" s="9"/>
      <c r="CF276" s="9"/>
      <c r="CG276" s="9"/>
      <c r="CH276" s="9"/>
      <c r="CI276" s="9"/>
      <c r="CJ276" s="9"/>
      <c r="CK276" s="9"/>
      <c r="CL276" s="9"/>
      <c r="CM276" s="9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</row>
    <row r="277" spans="4:118" ht="18" customHeight="1" x14ac:dyDescent="0.25">
      <c r="D277" s="210"/>
      <c r="E277" s="2"/>
      <c r="F277" s="2"/>
      <c r="G277" s="2"/>
      <c r="H277" s="2"/>
      <c r="I277" s="11"/>
      <c r="J277" s="11"/>
      <c r="K277" s="5"/>
      <c r="L277" s="5"/>
      <c r="M277" s="5"/>
      <c r="N277" s="8"/>
      <c r="O277" s="8"/>
      <c r="P277" s="8"/>
      <c r="Q277" s="5"/>
      <c r="R277" s="8"/>
      <c r="S277" s="8"/>
      <c r="T277" s="8"/>
      <c r="U277" s="5"/>
      <c r="V277" s="8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  <c r="AI277" s="9"/>
      <c r="AJ277" s="9"/>
      <c r="AK277" s="9"/>
      <c r="AL277" s="9"/>
      <c r="AM277" s="9"/>
      <c r="AN277" s="9"/>
      <c r="AO277" s="9"/>
      <c r="AP277" s="9"/>
      <c r="AQ277" s="9"/>
      <c r="AR277" s="9"/>
      <c r="AS277" s="9"/>
      <c r="AT277" s="9"/>
      <c r="AU277" s="9"/>
      <c r="AV277" s="9"/>
      <c r="AW277" s="9"/>
      <c r="AX277" s="9"/>
      <c r="AY277" s="9"/>
      <c r="AZ277" s="9"/>
      <c r="BA277" s="9"/>
      <c r="BB277" s="9"/>
      <c r="BC277" s="9"/>
      <c r="BD277" s="9"/>
      <c r="BE277" s="9"/>
      <c r="BF277" s="9"/>
      <c r="BG277" s="9"/>
      <c r="BH277" s="9"/>
      <c r="BI277" s="9"/>
      <c r="BJ277" s="9"/>
      <c r="BK277" s="9"/>
      <c r="BL277" s="9"/>
      <c r="BM277" s="9"/>
      <c r="BN277" s="9"/>
      <c r="BO277" s="9"/>
      <c r="BP277" s="9"/>
      <c r="BQ277" s="9"/>
      <c r="BR277" s="9"/>
      <c r="BS277" s="9"/>
      <c r="BT277" s="9"/>
      <c r="BU277" s="9"/>
      <c r="BV277" s="9"/>
      <c r="BW277" s="9"/>
      <c r="BX277" s="9"/>
      <c r="BY277" s="9"/>
      <c r="BZ277" s="9"/>
      <c r="CA277" s="9"/>
      <c r="CB277" s="9"/>
      <c r="CC277" s="9"/>
      <c r="CD277" s="9"/>
      <c r="CE277" s="9"/>
      <c r="CF277" s="9"/>
      <c r="CG277" s="9"/>
      <c r="CH277" s="9"/>
      <c r="CI277" s="9"/>
      <c r="CJ277" s="9"/>
      <c r="CK277" s="9"/>
      <c r="CL277" s="9"/>
      <c r="CM277" s="9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</row>
    <row r="278" spans="4:118" ht="18" customHeight="1" x14ac:dyDescent="0.25">
      <c r="D278" s="210"/>
      <c r="E278" s="2"/>
      <c r="F278" s="2"/>
      <c r="G278" s="2"/>
      <c r="H278" s="2"/>
      <c r="I278" s="11"/>
      <c r="J278" s="11"/>
      <c r="K278" s="5"/>
      <c r="L278" s="5"/>
      <c r="M278" s="5"/>
      <c r="N278" s="8"/>
      <c r="O278" s="8"/>
      <c r="P278" s="8"/>
      <c r="Q278" s="5"/>
      <c r="R278" s="8"/>
      <c r="S278" s="8"/>
      <c r="T278" s="8"/>
      <c r="U278" s="5"/>
      <c r="V278" s="8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  <c r="AI278" s="9"/>
      <c r="AJ278" s="9"/>
      <c r="AK278" s="9"/>
      <c r="AL278" s="9"/>
      <c r="AM278" s="9"/>
      <c r="AN278" s="9"/>
      <c r="AO278" s="9"/>
      <c r="AP278" s="9"/>
      <c r="AQ278" s="9"/>
      <c r="AR278" s="9"/>
      <c r="AS278" s="9"/>
      <c r="AT278" s="9"/>
      <c r="AU278" s="9"/>
      <c r="AV278" s="9"/>
      <c r="AW278" s="9"/>
      <c r="AX278" s="9"/>
      <c r="AY278" s="9"/>
      <c r="AZ278" s="9"/>
      <c r="BA278" s="9"/>
      <c r="BB278" s="9"/>
      <c r="BC278" s="9"/>
      <c r="BD278" s="9"/>
      <c r="BE278" s="9"/>
      <c r="BF278" s="9"/>
      <c r="BG278" s="9"/>
      <c r="BH278" s="9"/>
      <c r="BI278" s="9"/>
      <c r="BJ278" s="9"/>
      <c r="BK278" s="9"/>
      <c r="BL278" s="9"/>
      <c r="BM278" s="9"/>
      <c r="BN278" s="9"/>
      <c r="BO278" s="9"/>
      <c r="BP278" s="9"/>
      <c r="BQ278" s="9"/>
      <c r="BR278" s="9"/>
      <c r="BS278" s="9"/>
      <c r="BT278" s="9"/>
      <c r="BU278" s="9"/>
      <c r="BV278" s="9"/>
      <c r="BW278" s="9"/>
      <c r="BX278" s="9"/>
      <c r="BY278" s="9"/>
      <c r="BZ278" s="9"/>
      <c r="CA278" s="9"/>
      <c r="CB278" s="9"/>
      <c r="CC278" s="9"/>
      <c r="CD278" s="9"/>
      <c r="CE278" s="9"/>
      <c r="CF278" s="9"/>
      <c r="CG278" s="9"/>
      <c r="CH278" s="9"/>
      <c r="CI278" s="9"/>
      <c r="CJ278" s="9"/>
      <c r="CK278" s="9"/>
      <c r="CL278" s="9"/>
      <c r="CM278" s="9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</row>
    <row r="279" spans="4:118" ht="18" customHeight="1" x14ac:dyDescent="0.25">
      <c r="D279" s="210"/>
      <c r="E279" s="2"/>
      <c r="F279" s="2"/>
      <c r="G279" s="2"/>
      <c r="H279" s="2"/>
      <c r="I279" s="11"/>
      <c r="J279" s="11"/>
      <c r="K279" s="5"/>
      <c r="L279" s="5"/>
      <c r="M279" s="5"/>
      <c r="N279" s="8"/>
      <c r="O279" s="8"/>
      <c r="P279" s="8"/>
      <c r="Q279" s="5"/>
      <c r="R279" s="8"/>
      <c r="S279" s="8"/>
      <c r="T279" s="8"/>
      <c r="U279" s="5"/>
      <c r="V279" s="8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  <c r="AI279" s="9"/>
      <c r="AJ279" s="9"/>
      <c r="AK279" s="9"/>
      <c r="AL279" s="9"/>
      <c r="AM279" s="9"/>
      <c r="AN279" s="9"/>
      <c r="AO279" s="9"/>
      <c r="AP279" s="9"/>
      <c r="AQ279" s="9"/>
      <c r="AR279" s="9"/>
      <c r="AS279" s="9"/>
      <c r="AT279" s="9"/>
      <c r="AU279" s="9"/>
      <c r="AV279" s="9"/>
      <c r="AW279" s="9"/>
      <c r="AX279" s="9"/>
      <c r="AY279" s="9"/>
      <c r="AZ279" s="9"/>
      <c r="BA279" s="9"/>
      <c r="BB279" s="9"/>
      <c r="BC279" s="9"/>
      <c r="BD279" s="9"/>
      <c r="BE279" s="9"/>
      <c r="BF279" s="9"/>
      <c r="BG279" s="9"/>
      <c r="BH279" s="9"/>
      <c r="BI279" s="9"/>
      <c r="BJ279" s="9"/>
      <c r="BK279" s="9"/>
      <c r="BL279" s="9"/>
      <c r="BM279" s="9"/>
      <c r="BN279" s="9"/>
      <c r="BO279" s="9"/>
      <c r="BP279" s="9"/>
      <c r="BQ279" s="9"/>
      <c r="BR279" s="9"/>
      <c r="BS279" s="9"/>
      <c r="BT279" s="9"/>
      <c r="BU279" s="9"/>
      <c r="BV279" s="9"/>
      <c r="BW279" s="9"/>
      <c r="BX279" s="9"/>
      <c r="BY279" s="9"/>
      <c r="BZ279" s="9"/>
      <c r="CA279" s="9"/>
      <c r="CB279" s="9"/>
      <c r="CC279" s="9"/>
      <c r="CD279" s="9"/>
      <c r="CE279" s="9"/>
      <c r="CF279" s="9"/>
      <c r="CG279" s="9"/>
      <c r="CH279" s="9"/>
      <c r="CI279" s="9"/>
      <c r="CJ279" s="9"/>
      <c r="CK279" s="9"/>
      <c r="CL279" s="9"/>
      <c r="CM279" s="9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</row>
    <row r="280" spans="4:118" ht="18" customHeight="1" x14ac:dyDescent="0.25">
      <c r="D280" s="210"/>
      <c r="E280" s="2"/>
      <c r="F280" s="2"/>
      <c r="G280" s="2"/>
      <c r="H280" s="2"/>
      <c r="I280" s="11"/>
      <c r="J280" s="11"/>
      <c r="K280" s="5"/>
      <c r="L280" s="5"/>
      <c r="M280" s="5"/>
      <c r="N280" s="8"/>
      <c r="O280" s="8"/>
      <c r="P280" s="8"/>
      <c r="Q280" s="5"/>
      <c r="R280" s="8"/>
      <c r="S280" s="8"/>
      <c r="T280" s="8"/>
      <c r="U280" s="5"/>
      <c r="V280" s="8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  <c r="AI280" s="9"/>
      <c r="AJ280" s="9"/>
      <c r="AK280" s="9"/>
      <c r="AL280" s="9"/>
      <c r="AM280" s="9"/>
      <c r="AN280" s="9"/>
      <c r="AO280" s="9"/>
      <c r="AP280" s="9"/>
      <c r="AQ280" s="9"/>
      <c r="AR280" s="9"/>
      <c r="AS280" s="9"/>
      <c r="AT280" s="9"/>
      <c r="AU280" s="9"/>
      <c r="AV280" s="9"/>
      <c r="AW280" s="9"/>
      <c r="AX280" s="9"/>
      <c r="AY280" s="9"/>
      <c r="AZ280" s="9"/>
      <c r="BA280" s="9"/>
      <c r="BB280" s="9"/>
      <c r="BC280" s="9"/>
      <c r="BD280" s="9"/>
      <c r="BE280" s="9"/>
      <c r="BF280" s="9"/>
      <c r="BG280" s="9"/>
      <c r="BH280" s="9"/>
      <c r="BI280" s="9"/>
      <c r="BJ280" s="9"/>
      <c r="BK280" s="9"/>
      <c r="BL280" s="9"/>
      <c r="BM280" s="9"/>
      <c r="BN280" s="9"/>
      <c r="BO280" s="9"/>
      <c r="BP280" s="9"/>
      <c r="BQ280" s="9"/>
      <c r="BR280" s="9"/>
      <c r="BS280" s="9"/>
      <c r="BT280" s="9"/>
      <c r="BU280" s="9"/>
      <c r="BV280" s="9"/>
      <c r="BW280" s="9"/>
      <c r="BX280" s="9"/>
      <c r="BY280" s="9"/>
      <c r="BZ280" s="9"/>
      <c r="CA280" s="9"/>
      <c r="CB280" s="9"/>
      <c r="CC280" s="9"/>
      <c r="CD280" s="9"/>
      <c r="CE280" s="9"/>
      <c r="CF280" s="9"/>
      <c r="CG280" s="9"/>
      <c r="CH280" s="9"/>
      <c r="CI280" s="9"/>
      <c r="CJ280" s="9"/>
      <c r="CK280" s="9"/>
      <c r="CL280" s="9"/>
      <c r="CM280" s="9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</row>
    <row r="281" spans="4:118" ht="18" customHeight="1" x14ac:dyDescent="0.25">
      <c r="D281" s="210"/>
      <c r="E281" s="2"/>
      <c r="F281" s="2"/>
      <c r="G281" s="2"/>
      <c r="H281" s="2"/>
      <c r="I281" s="11"/>
      <c r="J281" s="11"/>
      <c r="K281" s="5"/>
      <c r="L281" s="5"/>
      <c r="M281" s="5"/>
      <c r="N281" s="8"/>
      <c r="O281" s="8"/>
      <c r="P281" s="8"/>
      <c r="Q281" s="5"/>
      <c r="R281" s="8"/>
      <c r="S281" s="8"/>
      <c r="T281" s="8"/>
      <c r="U281" s="5"/>
      <c r="V281" s="8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  <c r="AI281" s="9"/>
      <c r="AJ281" s="9"/>
      <c r="AK281" s="9"/>
      <c r="AL281" s="9"/>
      <c r="AM281" s="9"/>
      <c r="AN281" s="9"/>
      <c r="AO281" s="9"/>
      <c r="AP281" s="9"/>
      <c r="AQ281" s="9"/>
      <c r="AR281" s="9"/>
      <c r="AS281" s="9"/>
      <c r="AT281" s="9"/>
      <c r="AU281" s="9"/>
      <c r="AV281" s="9"/>
      <c r="AW281" s="9"/>
      <c r="AX281" s="9"/>
      <c r="AY281" s="9"/>
      <c r="AZ281" s="9"/>
      <c r="BA281" s="9"/>
      <c r="BB281" s="9"/>
      <c r="BC281" s="9"/>
      <c r="BD281" s="9"/>
      <c r="BE281" s="9"/>
      <c r="BF281" s="9"/>
      <c r="BG281" s="9"/>
      <c r="BH281" s="9"/>
      <c r="BI281" s="9"/>
      <c r="BJ281" s="9"/>
      <c r="BK281" s="9"/>
      <c r="BL281" s="9"/>
      <c r="BM281" s="9"/>
      <c r="BN281" s="9"/>
      <c r="BO281" s="9"/>
      <c r="BP281" s="9"/>
      <c r="BQ281" s="9"/>
      <c r="BR281" s="9"/>
      <c r="BS281" s="9"/>
      <c r="BT281" s="9"/>
      <c r="BU281" s="9"/>
      <c r="BV281" s="9"/>
      <c r="BW281" s="9"/>
      <c r="BX281" s="9"/>
      <c r="BY281" s="9"/>
      <c r="BZ281" s="9"/>
      <c r="CA281" s="9"/>
      <c r="CB281" s="9"/>
      <c r="CC281" s="9"/>
      <c r="CD281" s="9"/>
      <c r="CE281" s="9"/>
      <c r="CF281" s="9"/>
      <c r="CG281" s="9"/>
      <c r="CH281" s="9"/>
      <c r="CI281" s="9"/>
      <c r="CJ281" s="9"/>
      <c r="CK281" s="9"/>
      <c r="CL281" s="9"/>
      <c r="CM281" s="9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</row>
    <row r="282" spans="4:118" ht="18" customHeight="1" x14ac:dyDescent="0.25">
      <c r="D282" s="210"/>
      <c r="E282" s="2"/>
      <c r="F282" s="2"/>
      <c r="G282" s="2"/>
      <c r="H282" s="2"/>
      <c r="I282" s="11"/>
      <c r="J282" s="11"/>
      <c r="K282" s="5"/>
      <c r="L282" s="5"/>
      <c r="M282" s="5"/>
      <c r="N282" s="8"/>
      <c r="O282" s="8"/>
      <c r="P282" s="8"/>
      <c r="Q282" s="5"/>
      <c r="R282" s="8"/>
      <c r="S282" s="8"/>
      <c r="T282" s="8"/>
      <c r="U282" s="5"/>
      <c r="V282" s="8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  <c r="AI282" s="9"/>
      <c r="AJ282" s="9"/>
      <c r="AK282" s="9"/>
      <c r="AL282" s="9"/>
      <c r="AM282" s="9"/>
      <c r="AN282" s="9"/>
      <c r="AO282" s="9"/>
      <c r="AP282" s="9"/>
      <c r="AQ282" s="9"/>
      <c r="AR282" s="9"/>
      <c r="AS282" s="9"/>
      <c r="AT282" s="9"/>
      <c r="AU282" s="9"/>
      <c r="AV282" s="9"/>
      <c r="AW282" s="9"/>
      <c r="AX282" s="9"/>
      <c r="AY282" s="9"/>
      <c r="AZ282" s="9"/>
      <c r="BA282" s="9"/>
      <c r="BB282" s="9"/>
      <c r="BC282" s="9"/>
      <c r="BD282" s="9"/>
      <c r="BE282" s="9"/>
      <c r="BF282" s="9"/>
      <c r="BG282" s="9"/>
      <c r="BH282" s="9"/>
      <c r="BI282" s="9"/>
      <c r="BJ282" s="9"/>
      <c r="BK282" s="9"/>
      <c r="BL282" s="9"/>
      <c r="BM282" s="9"/>
      <c r="BN282" s="9"/>
      <c r="BO282" s="9"/>
      <c r="BP282" s="9"/>
      <c r="BQ282" s="9"/>
      <c r="BR282" s="9"/>
      <c r="BS282" s="9"/>
      <c r="BT282" s="9"/>
      <c r="BU282" s="9"/>
      <c r="BV282" s="9"/>
      <c r="BW282" s="9"/>
      <c r="BX282" s="9"/>
      <c r="BY282" s="9"/>
      <c r="BZ282" s="9"/>
      <c r="CA282" s="9"/>
      <c r="CB282" s="9"/>
      <c r="CC282" s="9"/>
      <c r="CD282" s="9"/>
      <c r="CE282" s="9"/>
      <c r="CF282" s="9"/>
      <c r="CG282" s="9"/>
      <c r="CH282" s="9"/>
      <c r="CI282" s="9"/>
      <c r="CJ282" s="9"/>
      <c r="CK282" s="9"/>
      <c r="CL282" s="9"/>
      <c r="CM282" s="9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</row>
    <row r="283" spans="4:118" ht="18" customHeight="1" x14ac:dyDescent="0.25">
      <c r="D283" s="210"/>
      <c r="E283" s="2"/>
      <c r="F283" s="2"/>
      <c r="G283" s="2"/>
      <c r="H283" s="2"/>
      <c r="I283" s="11"/>
      <c r="J283" s="11"/>
      <c r="K283" s="5"/>
      <c r="L283" s="5"/>
      <c r="M283" s="5"/>
      <c r="N283" s="8"/>
      <c r="O283" s="8"/>
      <c r="P283" s="8"/>
      <c r="Q283" s="5"/>
      <c r="R283" s="8"/>
      <c r="S283" s="8"/>
      <c r="T283" s="8"/>
      <c r="U283" s="5"/>
      <c r="V283" s="8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  <c r="AI283" s="9"/>
      <c r="AJ283" s="9"/>
      <c r="AK283" s="9"/>
      <c r="AL283" s="9"/>
      <c r="AM283" s="9"/>
      <c r="AN283" s="9"/>
      <c r="AO283" s="9"/>
      <c r="AP283" s="9"/>
      <c r="AQ283" s="9"/>
      <c r="AR283" s="9"/>
      <c r="AS283" s="9"/>
      <c r="AT283" s="9"/>
      <c r="AU283" s="9"/>
      <c r="AV283" s="9"/>
      <c r="AW283" s="9"/>
      <c r="AX283" s="9"/>
      <c r="AY283" s="9"/>
      <c r="AZ283" s="9"/>
      <c r="BA283" s="9"/>
      <c r="BB283" s="9"/>
      <c r="BC283" s="9"/>
      <c r="BD283" s="9"/>
      <c r="BE283" s="9"/>
      <c r="BF283" s="9"/>
      <c r="BG283" s="9"/>
      <c r="BH283" s="9"/>
      <c r="BI283" s="9"/>
      <c r="BJ283" s="9"/>
      <c r="BK283" s="9"/>
      <c r="BL283" s="9"/>
      <c r="BM283" s="9"/>
      <c r="BN283" s="9"/>
      <c r="BO283" s="9"/>
      <c r="BP283" s="9"/>
      <c r="BQ283" s="9"/>
      <c r="BR283" s="9"/>
      <c r="BS283" s="9"/>
      <c r="BT283" s="9"/>
      <c r="BU283" s="9"/>
      <c r="BV283" s="9"/>
      <c r="BW283" s="9"/>
      <c r="BX283" s="9"/>
      <c r="BY283" s="9"/>
      <c r="BZ283" s="9"/>
      <c r="CA283" s="9"/>
      <c r="CB283" s="9"/>
      <c r="CC283" s="9"/>
      <c r="CD283" s="9"/>
      <c r="CE283" s="9"/>
      <c r="CF283" s="9"/>
      <c r="CG283" s="9"/>
      <c r="CH283" s="9"/>
      <c r="CI283" s="9"/>
      <c r="CJ283" s="9"/>
      <c r="CK283" s="9"/>
      <c r="CL283" s="9"/>
      <c r="CM283" s="9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</row>
    <row r="284" spans="4:118" ht="18" customHeight="1" x14ac:dyDescent="0.25">
      <c r="D284" s="210"/>
      <c r="E284" s="2"/>
      <c r="F284" s="2"/>
      <c r="G284" s="2"/>
      <c r="H284" s="2"/>
      <c r="I284" s="11"/>
      <c r="J284" s="11"/>
      <c r="K284" s="5"/>
      <c r="L284" s="5"/>
      <c r="M284" s="5"/>
      <c r="N284" s="8"/>
      <c r="O284" s="8"/>
      <c r="P284" s="8"/>
      <c r="Q284" s="5"/>
      <c r="R284" s="8"/>
      <c r="S284" s="8"/>
      <c r="T284" s="8"/>
      <c r="U284" s="5"/>
      <c r="V284" s="8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  <c r="AI284" s="9"/>
      <c r="AJ284" s="9"/>
      <c r="AK284" s="9"/>
      <c r="AL284" s="9"/>
      <c r="AM284" s="9"/>
      <c r="AN284" s="9"/>
      <c r="AO284" s="9"/>
      <c r="AP284" s="9"/>
      <c r="AQ284" s="9"/>
      <c r="AR284" s="9"/>
      <c r="AS284" s="9"/>
      <c r="AT284" s="9"/>
      <c r="AU284" s="9"/>
      <c r="AV284" s="9"/>
      <c r="AW284" s="9"/>
      <c r="AX284" s="9"/>
      <c r="AY284" s="9"/>
      <c r="AZ284" s="9"/>
      <c r="BA284" s="9"/>
      <c r="BB284" s="9"/>
      <c r="BC284" s="9"/>
      <c r="BD284" s="9"/>
      <c r="BE284" s="9"/>
      <c r="BF284" s="9"/>
      <c r="BG284" s="9"/>
      <c r="BH284" s="9"/>
      <c r="BI284" s="9"/>
      <c r="BJ284" s="9"/>
      <c r="BK284" s="9"/>
      <c r="BL284" s="9"/>
      <c r="BM284" s="9"/>
      <c r="BN284" s="9"/>
      <c r="BO284" s="9"/>
      <c r="BP284" s="9"/>
      <c r="BQ284" s="9"/>
      <c r="BR284" s="9"/>
      <c r="BS284" s="9"/>
      <c r="BT284" s="9"/>
      <c r="BU284" s="9"/>
      <c r="BV284" s="9"/>
      <c r="BW284" s="9"/>
      <c r="BX284" s="9"/>
      <c r="BY284" s="9"/>
      <c r="BZ284" s="9"/>
      <c r="CA284" s="9"/>
      <c r="CB284" s="9"/>
      <c r="CC284" s="9"/>
      <c r="CD284" s="9"/>
      <c r="CE284" s="9"/>
      <c r="CF284" s="9"/>
      <c r="CG284" s="9"/>
      <c r="CH284" s="9"/>
      <c r="CI284" s="9"/>
      <c r="CJ284" s="9"/>
      <c r="CK284" s="9"/>
      <c r="CL284" s="9"/>
      <c r="CM284" s="9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</row>
    <row r="285" spans="4:118" ht="18" customHeight="1" x14ac:dyDescent="0.25">
      <c r="D285" s="210"/>
      <c r="E285" s="2"/>
      <c r="F285" s="2"/>
      <c r="G285" s="2"/>
      <c r="H285" s="2"/>
      <c r="I285" s="11"/>
      <c r="J285" s="11"/>
      <c r="K285" s="5"/>
      <c r="L285" s="5"/>
      <c r="M285" s="5"/>
      <c r="N285" s="8"/>
      <c r="O285" s="8"/>
      <c r="P285" s="8"/>
      <c r="Q285" s="5"/>
      <c r="R285" s="8"/>
      <c r="S285" s="8"/>
      <c r="T285" s="8"/>
      <c r="U285" s="5"/>
      <c r="V285" s="8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  <c r="AI285" s="9"/>
      <c r="AJ285" s="9"/>
      <c r="AK285" s="9"/>
      <c r="AL285" s="9"/>
      <c r="AM285" s="9"/>
      <c r="AN285" s="9"/>
      <c r="AO285" s="9"/>
      <c r="AP285" s="9"/>
      <c r="AQ285" s="9"/>
      <c r="AR285" s="9"/>
      <c r="AS285" s="9"/>
      <c r="AT285" s="9"/>
      <c r="AU285" s="9"/>
      <c r="AV285" s="9"/>
      <c r="AW285" s="9"/>
      <c r="AX285" s="9"/>
      <c r="AY285" s="9"/>
      <c r="AZ285" s="9"/>
      <c r="BA285" s="9"/>
      <c r="BB285" s="9"/>
      <c r="BC285" s="9"/>
      <c r="BD285" s="9"/>
      <c r="BE285" s="9"/>
      <c r="BF285" s="9"/>
      <c r="BG285" s="9"/>
      <c r="BH285" s="9"/>
      <c r="BI285" s="9"/>
      <c r="BJ285" s="9"/>
      <c r="BK285" s="9"/>
      <c r="BL285" s="9"/>
      <c r="BM285" s="9"/>
      <c r="BN285" s="9"/>
      <c r="BO285" s="9"/>
      <c r="BP285" s="9"/>
      <c r="BQ285" s="9"/>
      <c r="BR285" s="9"/>
      <c r="BS285" s="9"/>
      <c r="BT285" s="9"/>
      <c r="BU285" s="9"/>
      <c r="BV285" s="9"/>
      <c r="BW285" s="9"/>
      <c r="BX285" s="9"/>
      <c r="BY285" s="9"/>
      <c r="BZ285" s="9"/>
      <c r="CA285" s="9"/>
      <c r="CB285" s="9"/>
      <c r="CC285" s="9"/>
      <c r="CD285" s="9"/>
      <c r="CE285" s="9"/>
      <c r="CF285" s="9"/>
      <c r="CG285" s="9"/>
      <c r="CH285" s="9"/>
      <c r="CI285" s="9"/>
      <c r="CJ285" s="9"/>
      <c r="CK285" s="9"/>
      <c r="CL285" s="9"/>
      <c r="CM285" s="9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</row>
    <row r="286" spans="4:118" ht="18" customHeight="1" x14ac:dyDescent="0.25">
      <c r="D286" s="210"/>
      <c r="E286" s="2"/>
      <c r="F286" s="2"/>
      <c r="G286" s="2"/>
      <c r="H286" s="2"/>
      <c r="I286" s="11"/>
      <c r="J286" s="11"/>
      <c r="K286" s="5"/>
      <c r="L286" s="5"/>
      <c r="M286" s="5"/>
      <c r="N286" s="8"/>
      <c r="O286" s="8"/>
      <c r="P286" s="8"/>
      <c r="Q286" s="5"/>
      <c r="R286" s="8"/>
      <c r="S286" s="8"/>
      <c r="T286" s="8"/>
      <c r="U286" s="5"/>
      <c r="V286" s="8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  <c r="AI286" s="9"/>
      <c r="AJ286" s="9"/>
      <c r="AK286" s="9"/>
      <c r="AL286" s="9"/>
      <c r="AM286" s="9"/>
      <c r="AN286" s="9"/>
      <c r="AO286" s="9"/>
      <c r="AP286" s="9"/>
      <c r="AQ286" s="9"/>
      <c r="AR286" s="9"/>
      <c r="AS286" s="9"/>
      <c r="AT286" s="9"/>
      <c r="AU286" s="9"/>
      <c r="AV286" s="9"/>
      <c r="AW286" s="9"/>
      <c r="AX286" s="9"/>
      <c r="AY286" s="9"/>
      <c r="AZ286" s="9"/>
      <c r="BA286" s="9"/>
      <c r="BB286" s="9"/>
      <c r="BC286" s="9"/>
      <c r="BD286" s="9"/>
      <c r="BE286" s="9"/>
      <c r="BF286" s="9"/>
      <c r="BG286" s="9"/>
      <c r="BH286" s="9"/>
      <c r="BI286" s="9"/>
      <c r="BJ286" s="9"/>
      <c r="BK286" s="9"/>
      <c r="BL286" s="9"/>
      <c r="BM286" s="9"/>
      <c r="BN286" s="9"/>
      <c r="BO286" s="9"/>
      <c r="BP286" s="9"/>
      <c r="BQ286" s="9"/>
      <c r="BR286" s="9"/>
      <c r="BS286" s="9"/>
      <c r="BT286" s="9"/>
      <c r="BU286" s="9"/>
      <c r="BV286" s="9"/>
      <c r="BW286" s="9"/>
      <c r="BX286" s="9"/>
      <c r="BY286" s="9"/>
      <c r="BZ286" s="9"/>
      <c r="CA286" s="9"/>
      <c r="CB286" s="9"/>
      <c r="CC286" s="9"/>
      <c r="CD286" s="9"/>
      <c r="CE286" s="9"/>
      <c r="CF286" s="9"/>
      <c r="CG286" s="9"/>
      <c r="CH286" s="9"/>
      <c r="CI286" s="9"/>
      <c r="CJ286" s="9"/>
      <c r="CK286" s="9"/>
      <c r="CL286" s="9"/>
      <c r="CM286" s="9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</row>
    <row r="287" spans="4:118" ht="18" customHeight="1" x14ac:dyDescent="0.25">
      <c r="D287" s="210"/>
      <c r="E287" s="2"/>
      <c r="F287" s="2"/>
      <c r="G287" s="2"/>
      <c r="H287" s="2"/>
      <c r="I287" s="11"/>
      <c r="J287" s="11"/>
      <c r="K287" s="5"/>
      <c r="L287" s="5"/>
      <c r="M287" s="5"/>
      <c r="N287" s="8"/>
      <c r="O287" s="8"/>
      <c r="P287" s="8"/>
      <c r="Q287" s="5"/>
      <c r="R287" s="8"/>
      <c r="S287" s="8"/>
      <c r="T287" s="8"/>
      <c r="U287" s="5"/>
      <c r="V287" s="8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  <c r="AI287" s="9"/>
      <c r="AJ287" s="9"/>
      <c r="AK287" s="9"/>
      <c r="AL287" s="9"/>
      <c r="AM287" s="9"/>
      <c r="AN287" s="9"/>
      <c r="AO287" s="9"/>
      <c r="AP287" s="9"/>
      <c r="AQ287" s="9"/>
      <c r="AR287" s="9"/>
      <c r="AS287" s="9"/>
      <c r="AT287" s="9"/>
      <c r="AU287" s="9"/>
      <c r="AV287" s="9"/>
      <c r="AW287" s="9"/>
      <c r="AX287" s="9"/>
      <c r="AY287" s="9"/>
      <c r="AZ287" s="9"/>
      <c r="BA287" s="9"/>
      <c r="BB287" s="9"/>
      <c r="BC287" s="9"/>
      <c r="BD287" s="9"/>
      <c r="BE287" s="9"/>
      <c r="BF287" s="9"/>
      <c r="BG287" s="9"/>
      <c r="BH287" s="9"/>
      <c r="BI287" s="9"/>
      <c r="BJ287" s="9"/>
      <c r="BK287" s="9"/>
      <c r="BL287" s="9"/>
      <c r="BM287" s="9"/>
      <c r="BN287" s="9"/>
      <c r="BO287" s="9"/>
      <c r="BP287" s="9"/>
      <c r="BQ287" s="9"/>
      <c r="BR287" s="9"/>
      <c r="BS287" s="9"/>
      <c r="BT287" s="9"/>
      <c r="BU287" s="9"/>
      <c r="BV287" s="9"/>
      <c r="BW287" s="9"/>
      <c r="BX287" s="9"/>
      <c r="BY287" s="9"/>
      <c r="BZ287" s="9"/>
      <c r="CA287" s="9"/>
      <c r="CB287" s="9"/>
      <c r="CC287" s="9"/>
      <c r="CD287" s="9"/>
      <c r="CE287" s="9"/>
      <c r="CF287" s="9"/>
      <c r="CG287" s="9"/>
      <c r="CH287" s="9"/>
      <c r="CI287" s="9"/>
      <c r="CJ287" s="9"/>
      <c r="CK287" s="9"/>
      <c r="CL287" s="9"/>
      <c r="CM287" s="9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</row>
    <row r="288" spans="4:118" ht="18" customHeight="1" x14ac:dyDescent="0.25">
      <c r="D288" s="210"/>
      <c r="E288" s="2"/>
      <c r="F288" s="2"/>
      <c r="G288" s="2"/>
      <c r="H288" s="2"/>
      <c r="I288" s="11"/>
      <c r="J288" s="11"/>
      <c r="K288" s="5"/>
      <c r="L288" s="5"/>
      <c r="M288" s="5"/>
      <c r="N288" s="8"/>
      <c r="O288" s="8"/>
      <c r="P288" s="8"/>
      <c r="Q288" s="5"/>
      <c r="R288" s="8"/>
      <c r="S288" s="8"/>
      <c r="T288" s="8"/>
      <c r="U288" s="5"/>
      <c r="V288" s="8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  <c r="AI288" s="9"/>
      <c r="AJ288" s="9"/>
      <c r="AK288" s="9"/>
      <c r="AL288" s="9"/>
      <c r="AM288" s="9"/>
      <c r="AN288" s="9"/>
      <c r="AO288" s="9"/>
      <c r="AP288" s="9"/>
      <c r="AQ288" s="9"/>
      <c r="AR288" s="9"/>
      <c r="AS288" s="9"/>
      <c r="AT288" s="9"/>
      <c r="AU288" s="9"/>
      <c r="AV288" s="9"/>
      <c r="AW288" s="9"/>
      <c r="AX288" s="9"/>
      <c r="AY288" s="9"/>
      <c r="AZ288" s="9"/>
      <c r="BA288" s="9"/>
      <c r="BB288" s="9"/>
      <c r="BC288" s="9"/>
      <c r="BD288" s="9"/>
      <c r="BE288" s="9"/>
      <c r="BF288" s="9"/>
      <c r="BG288" s="9"/>
      <c r="BH288" s="9"/>
      <c r="BI288" s="9"/>
      <c r="BJ288" s="9"/>
      <c r="BK288" s="9"/>
      <c r="BL288" s="9"/>
      <c r="BM288" s="9"/>
      <c r="BN288" s="9"/>
      <c r="BO288" s="9"/>
      <c r="BP288" s="9"/>
      <c r="BQ288" s="9"/>
      <c r="BR288" s="9"/>
      <c r="BS288" s="9"/>
      <c r="BT288" s="9"/>
      <c r="BU288" s="9"/>
      <c r="BV288" s="9"/>
      <c r="BW288" s="9"/>
      <c r="BX288" s="9"/>
      <c r="BY288" s="9"/>
      <c r="BZ288" s="9"/>
      <c r="CA288" s="9"/>
      <c r="CB288" s="9"/>
      <c r="CC288" s="9"/>
      <c r="CD288" s="9"/>
      <c r="CE288" s="9"/>
      <c r="CF288" s="9"/>
      <c r="CG288" s="9"/>
      <c r="CH288" s="9"/>
      <c r="CI288" s="9"/>
      <c r="CJ288" s="9"/>
      <c r="CK288" s="9"/>
      <c r="CL288" s="9"/>
      <c r="CM288" s="9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</row>
    <row r="289" spans="1:118" ht="18" customHeight="1" x14ac:dyDescent="0.25">
      <c r="A289" s="5"/>
      <c r="B289" s="2"/>
      <c r="C289" s="2"/>
      <c r="D289" s="203"/>
      <c r="E289" s="2"/>
      <c r="F289" s="2"/>
      <c r="G289" s="2"/>
      <c r="H289" s="2"/>
      <c r="I289" s="11"/>
      <c r="J289" s="11"/>
      <c r="K289" s="5"/>
      <c r="L289" s="5"/>
      <c r="M289" s="5"/>
      <c r="N289" s="8"/>
      <c r="O289" s="8"/>
      <c r="P289" s="8"/>
      <c r="Q289" s="5"/>
      <c r="R289" s="8"/>
      <c r="S289" s="8"/>
      <c r="T289" s="8"/>
      <c r="U289" s="5"/>
      <c r="V289" s="8"/>
      <c r="W289" s="9"/>
      <c r="X289" s="9"/>
      <c r="Y289" s="9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9"/>
      <c r="BH289" s="9"/>
      <c r="BI289" s="9"/>
      <c r="BJ289" s="9"/>
      <c r="BK289" s="9"/>
      <c r="BL289" s="9"/>
      <c r="BM289" s="9"/>
      <c r="BN289" s="9"/>
      <c r="BO289" s="9"/>
      <c r="BP289" s="9"/>
      <c r="BQ289" s="9"/>
      <c r="BR289" s="9"/>
      <c r="BS289" s="9"/>
      <c r="BT289" s="9"/>
      <c r="BU289" s="9"/>
      <c r="BV289" s="9"/>
      <c r="BW289" s="9"/>
      <c r="BX289" s="9"/>
      <c r="BY289" s="9"/>
      <c r="BZ289" s="9"/>
      <c r="CA289" s="9"/>
      <c r="CB289" s="9"/>
      <c r="CC289" s="9"/>
      <c r="CD289" s="9"/>
      <c r="CE289" s="9"/>
      <c r="CF289" s="9"/>
      <c r="CG289" s="9"/>
      <c r="CH289" s="9"/>
      <c r="CI289" s="9"/>
      <c r="CJ289" s="9"/>
      <c r="CK289" s="9"/>
      <c r="CL289" s="9"/>
      <c r="CM289" s="9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</row>
    <row r="290" spans="1:118" ht="18" customHeight="1" x14ac:dyDescent="0.25">
      <c r="A290" s="5"/>
      <c r="B290" s="2"/>
      <c r="C290" s="2"/>
      <c r="D290" s="203"/>
      <c r="E290" s="2"/>
      <c r="F290" s="2"/>
      <c r="G290" s="2"/>
      <c r="H290" s="2"/>
      <c r="I290" s="11"/>
      <c r="J290" s="11"/>
      <c r="K290" s="5"/>
      <c r="L290" s="5"/>
      <c r="M290" s="5"/>
      <c r="N290" s="8"/>
      <c r="O290" s="8"/>
      <c r="P290" s="8"/>
      <c r="Q290" s="5"/>
      <c r="R290" s="8"/>
      <c r="S290" s="8"/>
      <c r="T290" s="8"/>
      <c r="U290" s="5"/>
      <c r="V290" s="8"/>
      <c r="W290" s="9"/>
      <c r="X290" s="9"/>
      <c r="Y290" s="9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9"/>
      <c r="BH290" s="9"/>
      <c r="BI290" s="9"/>
      <c r="BJ290" s="9"/>
      <c r="BK290" s="9"/>
      <c r="BL290" s="9"/>
      <c r="BM290" s="9"/>
      <c r="BN290" s="9"/>
      <c r="BO290" s="9"/>
      <c r="BP290" s="9"/>
      <c r="BQ290" s="9"/>
      <c r="BR290" s="9"/>
      <c r="BS290" s="9"/>
      <c r="BT290" s="9"/>
      <c r="BU290" s="9"/>
      <c r="BV290" s="9"/>
      <c r="BW290" s="9"/>
      <c r="BX290" s="9"/>
      <c r="BY290" s="9"/>
      <c r="BZ290" s="9"/>
      <c r="CA290" s="9"/>
      <c r="CB290" s="9"/>
      <c r="CC290" s="9"/>
      <c r="CD290" s="9"/>
      <c r="CE290" s="9"/>
      <c r="CF290" s="9"/>
      <c r="CG290" s="9"/>
      <c r="CH290" s="9"/>
      <c r="CI290" s="9"/>
      <c r="CJ290" s="9"/>
      <c r="CK290" s="9"/>
      <c r="CL290" s="9"/>
      <c r="CM290" s="9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</row>
    <row r="291" spans="1:118" ht="18" customHeight="1" x14ac:dyDescent="0.25">
      <c r="A291" s="5"/>
      <c r="B291" s="2"/>
      <c r="C291" s="2"/>
      <c r="D291" s="203"/>
      <c r="E291" s="2"/>
      <c r="F291" s="2"/>
      <c r="G291" s="2"/>
      <c r="H291" s="2"/>
      <c r="I291" s="11"/>
      <c r="J291" s="11"/>
      <c r="K291" s="5"/>
      <c r="L291" s="5"/>
      <c r="M291" s="5"/>
      <c r="N291" s="8"/>
      <c r="O291" s="8"/>
      <c r="P291" s="8"/>
      <c r="Q291" s="5"/>
      <c r="R291" s="8"/>
      <c r="S291" s="8"/>
      <c r="T291" s="8"/>
      <c r="U291" s="5"/>
      <c r="V291" s="8"/>
      <c r="W291" s="9"/>
      <c r="X291" s="9"/>
      <c r="Y291" s="9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9"/>
      <c r="BH291" s="9"/>
      <c r="BI291" s="9"/>
      <c r="BJ291" s="9"/>
      <c r="BK291" s="9"/>
      <c r="BL291" s="9"/>
      <c r="BM291" s="9"/>
      <c r="BN291" s="9"/>
      <c r="BO291" s="9"/>
      <c r="BP291" s="9"/>
      <c r="BQ291" s="9"/>
      <c r="BR291" s="9"/>
      <c r="BS291" s="9"/>
      <c r="BT291" s="9"/>
      <c r="BU291" s="9"/>
      <c r="BV291" s="9"/>
      <c r="BW291" s="9"/>
      <c r="BX291" s="9"/>
      <c r="BY291" s="9"/>
      <c r="BZ291" s="9"/>
      <c r="CA291" s="9"/>
      <c r="CB291" s="9"/>
      <c r="CC291" s="9"/>
      <c r="CD291" s="9"/>
      <c r="CE291" s="9"/>
      <c r="CF291" s="9"/>
      <c r="CG291" s="9"/>
      <c r="CH291" s="9"/>
      <c r="CI291" s="9"/>
      <c r="CJ291" s="9"/>
      <c r="CK291" s="9"/>
      <c r="CL291" s="9"/>
      <c r="CM291" s="9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</row>
    <row r="292" spans="1:118" ht="18" customHeight="1" x14ac:dyDescent="0.25">
      <c r="A292" s="5"/>
      <c r="B292" s="2"/>
      <c r="C292" s="2"/>
      <c r="D292" s="203"/>
      <c r="E292" s="2"/>
      <c r="F292" s="2"/>
      <c r="G292" s="2"/>
      <c r="H292" s="2"/>
      <c r="I292" s="11"/>
      <c r="J292" s="11"/>
      <c r="K292" s="5"/>
      <c r="L292" s="5"/>
      <c r="M292" s="5"/>
      <c r="N292" s="8"/>
      <c r="O292" s="8"/>
      <c r="P292" s="8"/>
      <c r="Q292" s="5"/>
      <c r="R292" s="8"/>
      <c r="S292" s="8"/>
      <c r="T292" s="8"/>
      <c r="U292" s="5"/>
      <c r="V292" s="8"/>
      <c r="W292" s="9"/>
      <c r="X292" s="9"/>
      <c r="Y292" s="9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9"/>
      <c r="BH292" s="9"/>
      <c r="BI292" s="9"/>
      <c r="BJ292" s="9"/>
      <c r="BK292" s="9"/>
      <c r="BL292" s="9"/>
      <c r="BM292" s="9"/>
      <c r="BN292" s="9"/>
      <c r="BO292" s="9"/>
      <c r="BP292" s="9"/>
      <c r="BQ292" s="9"/>
      <c r="BR292" s="9"/>
      <c r="BS292" s="9"/>
      <c r="BT292" s="9"/>
      <c r="BU292" s="9"/>
      <c r="BV292" s="9"/>
      <c r="BW292" s="9"/>
      <c r="BX292" s="9"/>
      <c r="BY292" s="9"/>
      <c r="BZ292" s="9"/>
      <c r="CA292" s="9"/>
      <c r="CB292" s="9"/>
      <c r="CC292" s="9"/>
      <c r="CD292" s="9"/>
      <c r="CE292" s="9"/>
      <c r="CF292" s="9"/>
      <c r="CG292" s="9"/>
      <c r="CH292" s="9"/>
      <c r="CI292" s="9"/>
      <c r="CJ292" s="9"/>
      <c r="CK292" s="9"/>
      <c r="CL292" s="9"/>
      <c r="CM292" s="9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</row>
    <row r="293" spans="1:118" ht="18" customHeight="1" x14ac:dyDescent="0.25">
      <c r="A293" s="5"/>
      <c r="B293" s="2"/>
      <c r="C293" s="2"/>
      <c r="D293" s="203"/>
      <c r="E293" s="2"/>
      <c r="F293" s="2"/>
      <c r="G293" s="2"/>
      <c r="H293" s="2"/>
      <c r="I293" s="11"/>
      <c r="J293" s="11"/>
      <c r="K293" s="5"/>
      <c r="L293" s="5"/>
      <c r="M293" s="5"/>
      <c r="N293" s="8"/>
      <c r="O293" s="8"/>
      <c r="P293" s="8"/>
      <c r="Q293" s="5"/>
      <c r="R293" s="8"/>
      <c r="S293" s="8"/>
      <c r="T293" s="8"/>
      <c r="U293" s="5"/>
      <c r="V293" s="8"/>
      <c r="W293" s="9"/>
      <c r="X293" s="9"/>
      <c r="Y293" s="9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9"/>
      <c r="BH293" s="9"/>
      <c r="BI293" s="9"/>
      <c r="BJ293" s="9"/>
      <c r="BK293" s="9"/>
      <c r="BL293" s="9"/>
      <c r="BM293" s="9"/>
      <c r="BN293" s="9"/>
      <c r="BO293" s="9"/>
      <c r="BP293" s="9"/>
      <c r="BQ293" s="9"/>
      <c r="BR293" s="9"/>
      <c r="BS293" s="9"/>
      <c r="BT293" s="9"/>
      <c r="BU293" s="9"/>
      <c r="BV293" s="9"/>
      <c r="BW293" s="9"/>
      <c r="BX293" s="9"/>
      <c r="BY293" s="9"/>
      <c r="BZ293" s="9"/>
      <c r="CA293" s="9"/>
      <c r="CB293" s="9"/>
      <c r="CC293" s="9"/>
      <c r="CD293" s="9"/>
      <c r="CE293" s="9"/>
      <c r="CF293" s="9"/>
      <c r="CG293" s="9"/>
      <c r="CH293" s="9"/>
      <c r="CI293" s="9"/>
      <c r="CJ293" s="9"/>
      <c r="CK293" s="9"/>
      <c r="CL293" s="9"/>
      <c r="CM293" s="9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</row>
    <row r="294" spans="1:118" ht="18" customHeight="1" x14ac:dyDescent="0.25">
      <c r="A294" s="5"/>
      <c r="B294" s="2"/>
      <c r="C294" s="2"/>
      <c r="D294" s="203"/>
      <c r="E294" s="2"/>
      <c r="F294" s="2"/>
      <c r="G294" s="2"/>
      <c r="H294" s="2"/>
      <c r="I294" s="11"/>
      <c r="J294" s="11"/>
      <c r="K294" s="5"/>
      <c r="L294" s="5"/>
      <c r="M294" s="5"/>
      <c r="N294" s="8"/>
      <c r="O294" s="8"/>
      <c r="P294" s="8"/>
      <c r="Q294" s="5"/>
      <c r="R294" s="8"/>
      <c r="S294" s="8"/>
      <c r="T294" s="8"/>
      <c r="U294" s="5"/>
      <c r="V294" s="8"/>
      <c r="W294" s="9"/>
      <c r="X294" s="9"/>
      <c r="Y294" s="9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9"/>
      <c r="BH294" s="9"/>
      <c r="BI294" s="9"/>
      <c r="BJ294" s="9"/>
      <c r="BK294" s="9"/>
      <c r="BL294" s="9"/>
      <c r="BM294" s="9"/>
      <c r="BN294" s="9"/>
      <c r="BO294" s="9"/>
      <c r="BP294" s="9"/>
      <c r="BQ294" s="9"/>
      <c r="BR294" s="9"/>
      <c r="BS294" s="9"/>
      <c r="BT294" s="9"/>
      <c r="BU294" s="9"/>
      <c r="BV294" s="9"/>
      <c r="BW294" s="9"/>
      <c r="BX294" s="9"/>
      <c r="BY294" s="9"/>
      <c r="BZ294" s="9"/>
      <c r="CA294" s="9"/>
      <c r="CB294" s="9"/>
      <c r="CC294" s="9"/>
      <c r="CD294" s="9"/>
      <c r="CE294" s="9"/>
      <c r="CF294" s="9"/>
      <c r="CG294" s="9"/>
      <c r="CH294" s="9"/>
      <c r="CI294" s="9"/>
      <c r="CJ294" s="9"/>
      <c r="CK294" s="9"/>
      <c r="CL294" s="9"/>
      <c r="CM294" s="9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</row>
    <row r="295" spans="1:118" ht="18" customHeight="1" x14ac:dyDescent="0.25">
      <c r="A295" s="5"/>
      <c r="B295" s="2"/>
      <c r="C295" s="2"/>
      <c r="D295" s="203"/>
      <c r="E295" s="2"/>
      <c r="F295" s="2"/>
      <c r="G295" s="2"/>
      <c r="H295" s="2"/>
      <c r="I295" s="11"/>
      <c r="J295" s="11"/>
      <c r="K295" s="5"/>
      <c r="L295" s="5"/>
      <c r="M295" s="5"/>
      <c r="N295" s="8"/>
      <c r="O295" s="8"/>
      <c r="P295" s="8"/>
      <c r="Q295" s="5"/>
      <c r="R295" s="8"/>
      <c r="S295" s="8"/>
      <c r="T295" s="8"/>
      <c r="U295" s="5"/>
      <c r="V295" s="8"/>
      <c r="W295" s="9"/>
      <c r="X295" s="9"/>
      <c r="Y295" s="9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9"/>
      <c r="BH295" s="9"/>
      <c r="BI295" s="9"/>
      <c r="BJ295" s="9"/>
      <c r="BK295" s="9"/>
      <c r="BL295" s="9"/>
      <c r="BM295" s="9"/>
      <c r="BN295" s="9"/>
      <c r="BO295" s="9"/>
      <c r="BP295" s="9"/>
      <c r="BQ295" s="9"/>
      <c r="BR295" s="9"/>
      <c r="BS295" s="9"/>
      <c r="BT295" s="9"/>
      <c r="BU295" s="9"/>
      <c r="BV295" s="9"/>
      <c r="BW295" s="9"/>
      <c r="BX295" s="9"/>
      <c r="BY295" s="9"/>
      <c r="BZ295" s="9"/>
      <c r="CA295" s="9"/>
      <c r="CB295" s="9"/>
      <c r="CC295" s="9"/>
      <c r="CD295" s="9"/>
      <c r="CE295" s="9"/>
      <c r="CF295" s="9"/>
      <c r="CG295" s="9"/>
      <c r="CH295" s="9"/>
      <c r="CI295" s="9"/>
      <c r="CJ295" s="9"/>
      <c r="CK295" s="9"/>
      <c r="CL295" s="9"/>
      <c r="CM295" s="9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</row>
    <row r="296" spans="1:118" ht="18" customHeight="1" x14ac:dyDescent="0.25">
      <c r="A296" s="5"/>
      <c r="B296" s="2"/>
      <c r="C296" s="2"/>
      <c r="D296" s="203"/>
      <c r="E296" s="2"/>
      <c r="F296" s="2"/>
      <c r="G296" s="2"/>
      <c r="H296" s="2"/>
      <c r="I296" s="11"/>
      <c r="J296" s="11"/>
      <c r="K296" s="5"/>
      <c r="L296" s="5"/>
      <c r="M296" s="5"/>
      <c r="N296" s="8"/>
      <c r="O296" s="8"/>
      <c r="P296" s="8"/>
      <c r="Q296" s="5"/>
      <c r="R296" s="8"/>
      <c r="S296" s="8"/>
      <c r="T296" s="8"/>
      <c r="U296" s="5"/>
      <c r="V296" s="8"/>
      <c r="W296" s="9"/>
      <c r="X296" s="9"/>
      <c r="Y296" s="9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9"/>
      <c r="BH296" s="9"/>
      <c r="BI296" s="9"/>
      <c r="BJ296" s="9"/>
      <c r="BK296" s="9"/>
      <c r="BL296" s="9"/>
      <c r="BM296" s="9"/>
      <c r="BN296" s="9"/>
      <c r="BO296" s="9"/>
      <c r="BP296" s="9"/>
      <c r="BQ296" s="9"/>
      <c r="BR296" s="9"/>
      <c r="BS296" s="9"/>
      <c r="BT296" s="9"/>
      <c r="BU296" s="9"/>
      <c r="BV296" s="9"/>
      <c r="BW296" s="9"/>
      <c r="BX296" s="9"/>
      <c r="BY296" s="9"/>
      <c r="BZ296" s="9"/>
      <c r="CA296" s="9"/>
      <c r="CB296" s="9"/>
      <c r="CC296" s="9"/>
      <c r="CD296" s="9"/>
      <c r="CE296" s="9"/>
      <c r="CF296" s="9"/>
      <c r="CG296" s="9"/>
      <c r="CH296" s="9"/>
      <c r="CI296" s="9"/>
      <c r="CJ296" s="9"/>
      <c r="CK296" s="9"/>
      <c r="CL296" s="9"/>
      <c r="CM296" s="9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</row>
    <row r="297" spans="1:118" ht="18" customHeight="1" x14ac:dyDescent="0.25">
      <c r="A297" s="5"/>
      <c r="B297" s="2"/>
      <c r="C297" s="2"/>
      <c r="D297" s="203"/>
      <c r="E297" s="2"/>
      <c r="F297" s="2"/>
      <c r="G297" s="2"/>
      <c r="H297" s="2"/>
      <c r="I297" s="11"/>
      <c r="J297" s="11"/>
      <c r="K297" s="5"/>
      <c r="L297" s="5"/>
      <c r="M297" s="5"/>
      <c r="N297" s="8"/>
      <c r="O297" s="8"/>
      <c r="P297" s="8"/>
      <c r="Q297" s="5"/>
      <c r="R297" s="8"/>
      <c r="S297" s="8"/>
      <c r="T297" s="8"/>
      <c r="U297" s="5"/>
      <c r="V297" s="8"/>
      <c r="W297" s="9"/>
      <c r="X297" s="9"/>
      <c r="Y297" s="9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9"/>
      <c r="BH297" s="9"/>
      <c r="BI297" s="9"/>
      <c r="BJ297" s="9"/>
      <c r="BK297" s="9"/>
      <c r="BL297" s="9"/>
      <c r="BM297" s="9"/>
      <c r="BN297" s="9"/>
      <c r="BO297" s="9"/>
      <c r="BP297" s="9"/>
      <c r="BQ297" s="9"/>
      <c r="BR297" s="9"/>
      <c r="BS297" s="9"/>
      <c r="BT297" s="9"/>
      <c r="BU297" s="9"/>
      <c r="BV297" s="9"/>
      <c r="BW297" s="9"/>
      <c r="BX297" s="9"/>
      <c r="BY297" s="9"/>
      <c r="BZ297" s="9"/>
      <c r="CA297" s="9"/>
      <c r="CB297" s="9"/>
      <c r="CC297" s="9"/>
      <c r="CD297" s="9"/>
      <c r="CE297" s="9"/>
      <c r="CF297" s="9"/>
      <c r="CG297" s="9"/>
      <c r="CH297" s="9"/>
      <c r="CI297" s="9"/>
      <c r="CJ297" s="9"/>
      <c r="CK297" s="9"/>
      <c r="CL297" s="9"/>
      <c r="CM297" s="9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</row>
    <row r="298" spans="1:118" ht="18" customHeight="1" x14ac:dyDescent="0.25">
      <c r="A298" s="5"/>
      <c r="B298" s="2"/>
      <c r="C298" s="2"/>
      <c r="D298" s="203"/>
      <c r="E298" s="2"/>
      <c r="F298" s="2"/>
      <c r="G298" s="2"/>
      <c r="H298" s="2"/>
      <c r="I298" s="11"/>
      <c r="J298" s="11"/>
      <c r="K298" s="5"/>
      <c r="L298" s="5"/>
      <c r="M298" s="5"/>
      <c r="N298" s="8"/>
      <c r="O298" s="8"/>
      <c r="P298" s="8"/>
      <c r="Q298" s="5"/>
      <c r="R298" s="8"/>
      <c r="S298" s="8"/>
      <c r="T298" s="8"/>
      <c r="U298" s="5"/>
      <c r="V298" s="8"/>
      <c r="W298" s="9"/>
      <c r="X298" s="9"/>
      <c r="Y298" s="9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9"/>
      <c r="BH298" s="9"/>
      <c r="BI298" s="9"/>
      <c r="BJ298" s="9"/>
      <c r="BK298" s="9"/>
      <c r="BL298" s="9"/>
      <c r="BM298" s="9"/>
      <c r="BN298" s="9"/>
      <c r="BO298" s="9"/>
      <c r="BP298" s="9"/>
      <c r="BQ298" s="9"/>
      <c r="BR298" s="9"/>
      <c r="BS298" s="9"/>
      <c r="BT298" s="9"/>
      <c r="BU298" s="9"/>
      <c r="BV298" s="9"/>
      <c r="BW298" s="9"/>
      <c r="BX298" s="9"/>
      <c r="BY298" s="9"/>
      <c r="BZ298" s="9"/>
      <c r="CA298" s="9"/>
      <c r="CB298" s="9"/>
      <c r="CC298" s="9"/>
      <c r="CD298" s="9"/>
      <c r="CE298" s="9"/>
      <c r="CF298" s="9"/>
      <c r="CG298" s="9"/>
      <c r="CH298" s="9"/>
      <c r="CI298" s="9"/>
      <c r="CJ298" s="9"/>
      <c r="CK298" s="9"/>
      <c r="CL298" s="9"/>
      <c r="CM298" s="9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</row>
    <row r="299" spans="1:118" ht="18" customHeight="1" x14ac:dyDescent="0.25">
      <c r="A299" s="5"/>
      <c r="B299" s="2"/>
      <c r="C299" s="2"/>
      <c r="D299" s="203"/>
      <c r="E299" s="2"/>
      <c r="F299" s="2"/>
      <c r="G299" s="2"/>
      <c r="H299" s="2"/>
      <c r="I299" s="11"/>
      <c r="J299" s="11"/>
      <c r="K299" s="5"/>
      <c r="L299" s="5"/>
      <c r="M299" s="5"/>
      <c r="N299" s="8"/>
      <c r="O299" s="8"/>
      <c r="P299" s="8"/>
      <c r="Q299" s="5"/>
      <c r="R299" s="8"/>
      <c r="S299" s="8"/>
      <c r="T299" s="8"/>
      <c r="U299" s="5"/>
      <c r="V299" s="8"/>
      <c r="W299" s="9"/>
      <c r="X299" s="9"/>
      <c r="Y299" s="9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9"/>
      <c r="BH299" s="9"/>
      <c r="BI299" s="9"/>
      <c r="BJ299" s="9"/>
      <c r="BK299" s="9"/>
      <c r="BL299" s="9"/>
      <c r="BM299" s="9"/>
      <c r="BN299" s="9"/>
      <c r="BO299" s="9"/>
      <c r="BP299" s="9"/>
      <c r="BQ299" s="9"/>
      <c r="BR299" s="9"/>
      <c r="BS299" s="9"/>
      <c r="BT299" s="9"/>
      <c r="BU299" s="9"/>
      <c r="BV299" s="9"/>
      <c r="BW299" s="9"/>
      <c r="BX299" s="9"/>
      <c r="BY299" s="9"/>
      <c r="BZ299" s="9"/>
      <c r="CA299" s="9"/>
      <c r="CB299" s="9"/>
      <c r="CC299" s="9"/>
      <c r="CD299" s="9"/>
      <c r="CE299" s="9"/>
      <c r="CF299" s="9"/>
      <c r="CG299" s="9"/>
      <c r="CH299" s="9"/>
      <c r="CI299" s="9"/>
      <c r="CJ299" s="9"/>
      <c r="CK299" s="9"/>
      <c r="CL299" s="9"/>
      <c r="CM299" s="9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</row>
    <row r="300" spans="1:118" ht="18" customHeight="1" x14ac:dyDescent="0.25">
      <c r="A300" s="5"/>
      <c r="B300" s="2"/>
      <c r="C300" s="2"/>
      <c r="D300" s="203"/>
      <c r="E300" s="2"/>
      <c r="F300" s="2"/>
      <c r="G300" s="2"/>
      <c r="H300" s="2"/>
      <c r="I300" s="11"/>
      <c r="J300" s="11"/>
      <c r="K300" s="5"/>
      <c r="L300" s="5"/>
      <c r="M300" s="5"/>
      <c r="N300" s="8"/>
      <c r="O300" s="8"/>
      <c r="P300" s="8"/>
      <c r="Q300" s="5"/>
      <c r="R300" s="8"/>
      <c r="S300" s="8"/>
      <c r="T300" s="8"/>
      <c r="U300" s="5"/>
      <c r="V300" s="8"/>
      <c r="W300" s="9"/>
      <c r="X300" s="9"/>
      <c r="Y300" s="9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9"/>
      <c r="BH300" s="9"/>
      <c r="BI300" s="9"/>
      <c r="BJ300" s="9"/>
      <c r="BK300" s="9"/>
      <c r="BL300" s="9"/>
      <c r="BM300" s="9"/>
      <c r="BN300" s="9"/>
      <c r="BO300" s="9"/>
      <c r="BP300" s="9"/>
      <c r="BQ300" s="9"/>
      <c r="BR300" s="9"/>
      <c r="BS300" s="9"/>
      <c r="BT300" s="9"/>
      <c r="BU300" s="9"/>
      <c r="BV300" s="9"/>
      <c r="BW300" s="9"/>
      <c r="BX300" s="9"/>
      <c r="BY300" s="9"/>
      <c r="BZ300" s="9"/>
      <c r="CA300" s="9"/>
      <c r="CB300" s="9"/>
      <c r="CC300" s="9"/>
      <c r="CD300" s="9"/>
      <c r="CE300" s="9"/>
      <c r="CF300" s="9"/>
      <c r="CG300" s="9"/>
      <c r="CH300" s="9"/>
      <c r="CI300" s="9"/>
      <c r="CJ300" s="9"/>
      <c r="CK300" s="9"/>
      <c r="CL300" s="9"/>
      <c r="CM300" s="9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</row>
    <row r="301" spans="1:118" ht="18" customHeight="1" x14ac:dyDescent="0.25">
      <c r="A301" s="5"/>
      <c r="B301" s="2"/>
      <c r="C301" s="2"/>
      <c r="D301" s="203"/>
      <c r="E301" s="2"/>
      <c r="F301" s="2"/>
      <c r="G301" s="2"/>
      <c r="H301" s="2"/>
      <c r="I301" s="11"/>
      <c r="J301" s="11"/>
      <c r="K301" s="5"/>
      <c r="L301" s="5"/>
      <c r="M301" s="5"/>
      <c r="N301" s="8"/>
      <c r="O301" s="8"/>
      <c r="P301" s="8"/>
      <c r="Q301" s="5"/>
      <c r="R301" s="8"/>
      <c r="S301" s="8"/>
      <c r="T301" s="8"/>
      <c r="U301" s="5"/>
      <c r="V301" s="8"/>
      <c r="W301" s="9"/>
      <c r="X301" s="9"/>
      <c r="Y301" s="9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9"/>
      <c r="BH301" s="9"/>
      <c r="BI301" s="9"/>
      <c r="BJ301" s="9"/>
      <c r="BK301" s="9"/>
      <c r="BL301" s="9"/>
      <c r="BM301" s="9"/>
      <c r="BN301" s="9"/>
      <c r="BO301" s="9"/>
      <c r="BP301" s="9"/>
      <c r="BQ301" s="9"/>
      <c r="BR301" s="9"/>
      <c r="BS301" s="9"/>
      <c r="BT301" s="9"/>
      <c r="BU301" s="9"/>
      <c r="BV301" s="9"/>
      <c r="BW301" s="9"/>
      <c r="BX301" s="9"/>
      <c r="BY301" s="9"/>
      <c r="BZ301" s="9"/>
      <c r="CA301" s="9"/>
      <c r="CB301" s="9"/>
      <c r="CC301" s="9"/>
      <c r="CD301" s="9"/>
      <c r="CE301" s="9"/>
      <c r="CF301" s="9"/>
      <c r="CG301" s="9"/>
      <c r="CH301" s="9"/>
      <c r="CI301" s="9"/>
      <c r="CJ301" s="9"/>
      <c r="CK301" s="9"/>
      <c r="CL301" s="9"/>
      <c r="CM301" s="9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</row>
    <row r="302" spans="1:118" ht="18" customHeight="1" x14ac:dyDescent="0.25">
      <c r="A302" s="5"/>
      <c r="B302" s="2"/>
      <c r="C302" s="2"/>
      <c r="D302" s="203"/>
      <c r="E302" s="2"/>
      <c r="F302" s="2"/>
      <c r="G302" s="2"/>
      <c r="H302" s="2"/>
      <c r="I302" s="11"/>
      <c r="J302" s="11"/>
      <c r="K302" s="5"/>
      <c r="L302" s="5"/>
      <c r="M302" s="5"/>
      <c r="N302" s="8"/>
      <c r="O302" s="8"/>
      <c r="P302" s="8"/>
      <c r="Q302" s="5"/>
      <c r="R302" s="8"/>
      <c r="S302" s="8"/>
      <c r="T302" s="8"/>
      <c r="U302" s="5"/>
      <c r="V302" s="8"/>
      <c r="W302" s="9"/>
      <c r="X302" s="9"/>
      <c r="Y302" s="9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9"/>
      <c r="BH302" s="9"/>
      <c r="BI302" s="9"/>
      <c r="BJ302" s="9"/>
      <c r="BK302" s="9"/>
      <c r="BL302" s="9"/>
      <c r="BM302" s="9"/>
      <c r="BN302" s="9"/>
      <c r="BO302" s="9"/>
      <c r="BP302" s="9"/>
      <c r="BQ302" s="9"/>
      <c r="BR302" s="9"/>
      <c r="BS302" s="9"/>
      <c r="BT302" s="9"/>
      <c r="BU302" s="9"/>
      <c r="BV302" s="9"/>
      <c r="BW302" s="9"/>
      <c r="BX302" s="9"/>
      <c r="BY302" s="9"/>
      <c r="BZ302" s="9"/>
      <c r="CA302" s="9"/>
      <c r="CB302" s="9"/>
      <c r="CC302" s="9"/>
      <c r="CD302" s="9"/>
      <c r="CE302" s="9"/>
      <c r="CF302" s="9"/>
      <c r="CG302" s="9"/>
      <c r="CH302" s="9"/>
      <c r="CI302" s="9"/>
      <c r="CJ302" s="9"/>
      <c r="CK302" s="9"/>
      <c r="CL302" s="9"/>
      <c r="CM302" s="9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</row>
    <row r="303" spans="1:118" ht="18" customHeight="1" x14ac:dyDescent="0.25">
      <c r="A303" s="5"/>
      <c r="B303" s="2"/>
      <c r="C303" s="2"/>
      <c r="D303" s="203"/>
      <c r="E303" s="2"/>
      <c r="F303" s="2"/>
      <c r="G303" s="2"/>
      <c r="H303" s="2"/>
      <c r="I303" s="11"/>
      <c r="J303" s="11"/>
      <c r="K303" s="5"/>
      <c r="L303" s="5"/>
      <c r="M303" s="5"/>
      <c r="N303" s="8"/>
      <c r="O303" s="8"/>
      <c r="P303" s="8"/>
      <c r="Q303" s="5"/>
      <c r="R303" s="8"/>
      <c r="S303" s="8"/>
      <c r="T303" s="8"/>
      <c r="U303" s="5"/>
      <c r="V303" s="8"/>
      <c r="W303" s="9"/>
      <c r="X303" s="9"/>
      <c r="Y303" s="9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9"/>
      <c r="BH303" s="9"/>
      <c r="BI303" s="9"/>
      <c r="BJ303" s="9"/>
      <c r="BK303" s="9"/>
      <c r="BL303" s="9"/>
      <c r="BM303" s="9"/>
      <c r="BN303" s="9"/>
      <c r="BO303" s="9"/>
      <c r="BP303" s="9"/>
      <c r="BQ303" s="9"/>
      <c r="BR303" s="9"/>
      <c r="BS303" s="9"/>
      <c r="BT303" s="9"/>
      <c r="BU303" s="9"/>
      <c r="BV303" s="9"/>
      <c r="BW303" s="9"/>
      <c r="BX303" s="9"/>
      <c r="BY303" s="9"/>
      <c r="BZ303" s="9"/>
      <c r="CA303" s="9"/>
      <c r="CB303" s="9"/>
      <c r="CC303" s="9"/>
      <c r="CD303" s="9"/>
      <c r="CE303" s="9"/>
      <c r="CF303" s="9"/>
      <c r="CG303" s="9"/>
      <c r="CH303" s="9"/>
      <c r="CI303" s="9"/>
      <c r="CJ303" s="9"/>
      <c r="CK303" s="9"/>
      <c r="CL303" s="9"/>
      <c r="CM303" s="9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</row>
    <row r="304" spans="1:118" ht="18" customHeight="1" x14ac:dyDescent="0.25">
      <c r="A304" s="5"/>
      <c r="B304" s="2"/>
      <c r="C304" s="2"/>
      <c r="D304" s="203"/>
      <c r="E304" s="2"/>
      <c r="F304" s="2"/>
      <c r="G304" s="2"/>
      <c r="H304" s="2"/>
      <c r="I304" s="11"/>
      <c r="J304" s="11"/>
      <c r="K304" s="5"/>
      <c r="L304" s="5"/>
      <c r="M304" s="5"/>
      <c r="N304" s="8"/>
      <c r="O304" s="8"/>
      <c r="P304" s="8"/>
      <c r="Q304" s="5"/>
      <c r="R304" s="8"/>
      <c r="S304" s="8"/>
      <c r="T304" s="8"/>
      <c r="U304" s="5"/>
      <c r="V304" s="8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  <c r="AI304" s="9"/>
      <c r="AJ304" s="9"/>
      <c r="AK304" s="9"/>
      <c r="AL304" s="9"/>
      <c r="AM304" s="9"/>
      <c r="AN304" s="9"/>
      <c r="AO304" s="9"/>
      <c r="AP304" s="9"/>
      <c r="AQ304" s="9"/>
      <c r="AR304" s="9"/>
      <c r="AS304" s="9"/>
      <c r="AT304" s="9"/>
      <c r="AU304" s="9"/>
      <c r="AV304" s="9"/>
      <c r="AW304" s="9"/>
      <c r="AX304" s="9"/>
      <c r="AY304" s="9"/>
      <c r="AZ304" s="9"/>
      <c r="BA304" s="9"/>
      <c r="BB304" s="9"/>
      <c r="BC304" s="9"/>
      <c r="BD304" s="9"/>
      <c r="BE304" s="9"/>
      <c r="BF304" s="9"/>
      <c r="BG304" s="9"/>
      <c r="BH304" s="9"/>
      <c r="BI304" s="9"/>
      <c r="BJ304" s="9"/>
      <c r="BK304" s="9"/>
      <c r="BL304" s="9"/>
      <c r="BM304" s="9"/>
      <c r="BN304" s="9"/>
      <c r="BO304" s="9"/>
      <c r="BP304" s="9"/>
      <c r="BQ304" s="9"/>
      <c r="BR304" s="9"/>
      <c r="BS304" s="9"/>
      <c r="BT304" s="9"/>
      <c r="BU304" s="9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</row>
    <row r="305" spans="1:118" ht="18" customHeight="1" x14ac:dyDescent="0.25">
      <c r="A305" s="5"/>
      <c r="B305" s="2"/>
      <c r="C305" s="2"/>
      <c r="D305" s="203"/>
      <c r="E305" s="2"/>
      <c r="F305" s="2"/>
      <c r="G305" s="2"/>
      <c r="H305" s="2"/>
      <c r="I305" s="11"/>
      <c r="J305" s="11"/>
      <c r="K305" s="5"/>
      <c r="L305" s="5"/>
      <c r="M305" s="5"/>
      <c r="N305" s="8"/>
      <c r="O305" s="8"/>
      <c r="P305" s="8"/>
      <c r="Q305" s="5"/>
      <c r="R305" s="8"/>
      <c r="S305" s="8"/>
      <c r="T305" s="8"/>
      <c r="U305" s="5"/>
      <c r="V305" s="8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  <c r="AI305" s="9"/>
      <c r="AJ305" s="9"/>
      <c r="AK305" s="9"/>
      <c r="AL305" s="9"/>
      <c r="AM305" s="9"/>
      <c r="AN305" s="9"/>
      <c r="AO305" s="9"/>
      <c r="AP305" s="9"/>
      <c r="AQ305" s="9"/>
      <c r="AR305" s="9"/>
      <c r="AS305" s="9"/>
      <c r="AT305" s="9"/>
      <c r="AU305" s="9"/>
      <c r="AV305" s="9"/>
      <c r="AW305" s="9"/>
      <c r="AX305" s="9"/>
      <c r="AY305" s="9"/>
      <c r="AZ305" s="9"/>
      <c r="BA305" s="9"/>
      <c r="BB305" s="9"/>
      <c r="BC305" s="9"/>
      <c r="BD305" s="9"/>
      <c r="BE305" s="9"/>
      <c r="BF305" s="9"/>
      <c r="BG305" s="9"/>
      <c r="BH305" s="9"/>
      <c r="BI305" s="9"/>
      <c r="BJ305" s="9"/>
      <c r="BK305" s="9"/>
      <c r="BL305" s="9"/>
      <c r="BM305" s="9"/>
      <c r="BN305" s="9"/>
      <c r="BO305" s="9"/>
      <c r="BP305" s="9"/>
      <c r="BQ305" s="9"/>
      <c r="BR305" s="9"/>
      <c r="BS305" s="9"/>
      <c r="BT305" s="9"/>
      <c r="BU305" s="9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</row>
    <row r="306" spans="1:118" ht="18" customHeight="1" x14ac:dyDescent="0.25">
      <c r="A306" s="5"/>
      <c r="B306" s="2"/>
      <c r="C306" s="2"/>
      <c r="D306" s="203"/>
      <c r="E306" s="2"/>
      <c r="F306" s="2"/>
      <c r="G306" s="2"/>
      <c r="H306" s="2"/>
      <c r="I306" s="11"/>
      <c r="J306" s="11"/>
      <c r="K306" s="5"/>
      <c r="L306" s="5"/>
      <c r="M306" s="5"/>
      <c r="N306" s="8"/>
      <c r="O306" s="8"/>
      <c r="P306" s="8"/>
      <c r="Q306" s="5"/>
      <c r="R306" s="8"/>
      <c r="S306" s="8"/>
      <c r="T306" s="8"/>
      <c r="U306" s="5"/>
      <c r="V306" s="8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  <c r="AI306" s="9"/>
      <c r="AJ306" s="9"/>
      <c r="AK306" s="9"/>
      <c r="AL306" s="9"/>
      <c r="AM306" s="9"/>
      <c r="AN306" s="9"/>
      <c r="AO306" s="9"/>
      <c r="AP306" s="9"/>
      <c r="AQ306" s="9"/>
      <c r="AR306" s="9"/>
      <c r="AS306" s="9"/>
      <c r="AT306" s="9"/>
      <c r="AU306" s="9"/>
      <c r="AV306" s="9"/>
      <c r="AW306" s="9"/>
      <c r="AX306" s="9"/>
      <c r="AY306" s="9"/>
      <c r="AZ306" s="9"/>
      <c r="BA306" s="9"/>
      <c r="BB306" s="9"/>
      <c r="BC306" s="9"/>
      <c r="BD306" s="9"/>
      <c r="BE306" s="9"/>
      <c r="BF306" s="9"/>
      <c r="BG306" s="9"/>
      <c r="BH306" s="9"/>
      <c r="BI306" s="9"/>
      <c r="BJ306" s="9"/>
      <c r="BK306" s="9"/>
      <c r="BL306" s="9"/>
      <c r="BM306" s="9"/>
      <c r="BN306" s="9"/>
      <c r="BO306" s="9"/>
      <c r="BP306" s="9"/>
      <c r="BQ306" s="9"/>
      <c r="BR306" s="9"/>
      <c r="BS306" s="9"/>
      <c r="BT306" s="9"/>
      <c r="BU306" s="9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</row>
    <row r="307" spans="1:118" ht="18" customHeight="1" x14ac:dyDescent="0.25">
      <c r="A307" s="5"/>
      <c r="B307" s="2"/>
      <c r="C307" s="2"/>
      <c r="D307" s="203"/>
      <c r="E307" s="2"/>
      <c r="F307" s="2"/>
      <c r="G307" s="2"/>
      <c r="H307" s="2"/>
      <c r="I307" s="11"/>
      <c r="J307" s="11"/>
      <c r="K307" s="5"/>
      <c r="L307" s="5"/>
      <c r="M307" s="5"/>
      <c r="N307" s="8"/>
      <c r="O307" s="8"/>
      <c r="P307" s="8"/>
      <c r="Q307" s="5"/>
      <c r="R307" s="8"/>
      <c r="S307" s="8"/>
      <c r="T307" s="8"/>
      <c r="U307" s="5"/>
      <c r="V307" s="8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  <c r="AI307" s="9"/>
      <c r="AJ307" s="9"/>
      <c r="AK307" s="9"/>
      <c r="AL307" s="9"/>
      <c r="AM307" s="9"/>
      <c r="AN307" s="9"/>
      <c r="AO307" s="9"/>
      <c r="AP307" s="9"/>
      <c r="AQ307" s="9"/>
      <c r="AR307" s="9"/>
      <c r="AS307" s="9"/>
      <c r="AT307" s="9"/>
      <c r="AU307" s="9"/>
      <c r="AV307" s="9"/>
      <c r="AW307" s="9"/>
      <c r="AX307" s="9"/>
      <c r="AY307" s="9"/>
      <c r="AZ307" s="9"/>
      <c r="BA307" s="9"/>
      <c r="BB307" s="9"/>
      <c r="BC307" s="9"/>
      <c r="BD307" s="9"/>
      <c r="BE307" s="9"/>
      <c r="BF307" s="9"/>
      <c r="BG307" s="9"/>
      <c r="BH307" s="9"/>
      <c r="BI307" s="9"/>
      <c r="BJ307" s="9"/>
      <c r="BK307" s="9"/>
      <c r="BL307" s="9"/>
      <c r="BM307" s="9"/>
      <c r="BN307" s="9"/>
      <c r="BO307" s="9"/>
      <c r="BP307" s="9"/>
      <c r="BQ307" s="9"/>
      <c r="BR307" s="9"/>
      <c r="BS307" s="9"/>
      <c r="BT307" s="9"/>
      <c r="BU307" s="9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</row>
    <row r="308" spans="1:118" ht="18" customHeight="1" x14ac:dyDescent="0.25">
      <c r="A308" s="5"/>
      <c r="B308" s="2"/>
      <c r="C308" s="2"/>
      <c r="D308" s="203"/>
      <c r="E308" s="2"/>
      <c r="F308" s="2"/>
      <c r="G308" s="2"/>
      <c r="H308" s="2"/>
      <c r="I308" s="11"/>
      <c r="J308" s="11"/>
      <c r="K308" s="5"/>
      <c r="L308" s="5"/>
      <c r="M308" s="5"/>
      <c r="N308" s="8"/>
      <c r="O308" s="8"/>
      <c r="P308" s="8"/>
      <c r="Q308" s="5"/>
      <c r="R308" s="8"/>
      <c r="S308" s="8"/>
      <c r="T308" s="8"/>
      <c r="U308" s="5"/>
      <c r="V308" s="8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  <c r="AI308" s="9"/>
      <c r="AJ308" s="9"/>
      <c r="AK308" s="9"/>
      <c r="AL308" s="9"/>
      <c r="AM308" s="9"/>
      <c r="AN308" s="9"/>
      <c r="AO308" s="9"/>
      <c r="AP308" s="9"/>
      <c r="AQ308" s="9"/>
      <c r="AR308" s="9"/>
      <c r="AS308" s="9"/>
      <c r="AT308" s="9"/>
      <c r="AU308" s="9"/>
      <c r="AV308" s="9"/>
      <c r="AW308" s="9"/>
      <c r="AX308" s="9"/>
      <c r="AY308" s="9"/>
      <c r="AZ308" s="9"/>
      <c r="BA308" s="9"/>
      <c r="BB308" s="9"/>
      <c r="BC308" s="9"/>
      <c r="BD308" s="9"/>
      <c r="BE308" s="9"/>
      <c r="BF308" s="9"/>
      <c r="BG308" s="9"/>
      <c r="BH308" s="9"/>
      <c r="BI308" s="9"/>
      <c r="BJ308" s="9"/>
      <c r="BK308" s="9"/>
      <c r="BL308" s="9"/>
      <c r="BM308" s="9"/>
      <c r="BN308" s="9"/>
      <c r="BO308" s="9"/>
      <c r="BP308" s="9"/>
      <c r="BQ308" s="9"/>
      <c r="BR308" s="9"/>
      <c r="BS308" s="9"/>
      <c r="BT308" s="9"/>
      <c r="BU308" s="9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</row>
    <row r="309" spans="1:118" ht="18" customHeight="1" x14ac:dyDescent="0.25">
      <c r="A309" s="5"/>
      <c r="B309" s="2"/>
      <c r="C309" s="2"/>
      <c r="D309" s="203"/>
      <c r="E309" s="2"/>
      <c r="F309" s="2"/>
      <c r="G309" s="2"/>
      <c r="H309" s="2"/>
      <c r="I309" s="11"/>
      <c r="J309" s="11"/>
      <c r="K309" s="5"/>
      <c r="L309" s="5"/>
      <c r="M309" s="5"/>
      <c r="N309" s="8"/>
      <c r="O309" s="8"/>
      <c r="P309" s="8"/>
      <c r="Q309" s="5"/>
      <c r="R309" s="8"/>
      <c r="S309" s="8"/>
      <c r="T309" s="8"/>
      <c r="U309" s="5"/>
      <c r="V309" s="8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  <c r="AI309" s="9"/>
      <c r="AJ309" s="9"/>
      <c r="AK309" s="9"/>
      <c r="AL309" s="9"/>
      <c r="AM309" s="9"/>
      <c r="AN309" s="9"/>
      <c r="AO309" s="9"/>
      <c r="AP309" s="9"/>
      <c r="AQ309" s="9"/>
      <c r="AR309" s="9"/>
      <c r="AS309" s="9"/>
      <c r="AT309" s="9"/>
      <c r="AU309" s="9"/>
      <c r="AV309" s="9"/>
      <c r="AW309" s="9"/>
      <c r="AX309" s="9"/>
      <c r="AY309" s="9"/>
      <c r="AZ309" s="9"/>
      <c r="BA309" s="9"/>
      <c r="BB309" s="9"/>
      <c r="BC309" s="9"/>
      <c r="BD309" s="9"/>
      <c r="BE309" s="9"/>
      <c r="BF309" s="9"/>
      <c r="BG309" s="9"/>
      <c r="BH309" s="9"/>
      <c r="BI309" s="9"/>
      <c r="BJ309" s="9"/>
      <c r="BK309" s="9"/>
      <c r="BL309" s="9"/>
      <c r="BM309" s="9"/>
      <c r="BN309" s="9"/>
      <c r="BO309" s="9"/>
      <c r="BP309" s="9"/>
      <c r="BQ309" s="9"/>
      <c r="BR309" s="9"/>
      <c r="BS309" s="9"/>
      <c r="BT309" s="9"/>
      <c r="BU309" s="9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</row>
    <row r="310" spans="1:118" ht="18" customHeight="1" x14ac:dyDescent="0.25">
      <c r="A310" s="5"/>
      <c r="B310" s="2"/>
      <c r="C310" s="2"/>
      <c r="D310" s="203"/>
      <c r="E310" s="2"/>
      <c r="F310" s="2"/>
      <c r="G310" s="2"/>
      <c r="H310" s="2"/>
      <c r="I310" s="11"/>
      <c r="J310" s="11"/>
      <c r="K310" s="5"/>
      <c r="L310" s="5"/>
      <c r="M310" s="5"/>
      <c r="N310" s="8"/>
      <c r="O310" s="8"/>
      <c r="P310" s="8"/>
      <c r="Q310" s="5"/>
      <c r="R310" s="8"/>
      <c r="S310" s="8"/>
      <c r="T310" s="8"/>
      <c r="U310" s="5"/>
      <c r="V310" s="8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  <c r="AI310" s="9"/>
      <c r="AJ310" s="9"/>
      <c r="AK310" s="9"/>
      <c r="AL310" s="9"/>
      <c r="AM310" s="9"/>
      <c r="AN310" s="9"/>
      <c r="AO310" s="9"/>
      <c r="AP310" s="9"/>
      <c r="AQ310" s="9"/>
      <c r="AR310" s="9"/>
      <c r="AS310" s="9"/>
      <c r="AT310" s="9"/>
      <c r="AU310" s="9"/>
      <c r="AV310" s="9"/>
      <c r="AW310" s="9"/>
      <c r="AX310" s="9"/>
      <c r="AY310" s="9"/>
      <c r="AZ310" s="9"/>
      <c r="BA310" s="9"/>
      <c r="BB310" s="9"/>
      <c r="BC310" s="9"/>
      <c r="BD310" s="9"/>
      <c r="BE310" s="9"/>
      <c r="BF310" s="9"/>
      <c r="BG310" s="9"/>
      <c r="BH310" s="9"/>
      <c r="BI310" s="9"/>
      <c r="BJ310" s="9"/>
      <c r="BK310" s="9"/>
      <c r="BL310" s="9"/>
      <c r="BM310" s="9"/>
      <c r="BN310" s="9"/>
      <c r="BO310" s="9"/>
      <c r="BP310" s="9"/>
      <c r="BQ310" s="9"/>
      <c r="BR310" s="9"/>
      <c r="BS310" s="9"/>
      <c r="BT310" s="9"/>
      <c r="BU310" s="9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</row>
    <row r="311" spans="1:118" ht="18" customHeight="1" x14ac:dyDescent="0.25">
      <c r="A311" s="5"/>
      <c r="B311" s="2"/>
      <c r="C311" s="2"/>
      <c r="D311" s="203"/>
      <c r="E311" s="2"/>
      <c r="F311" s="2"/>
      <c r="G311" s="2"/>
      <c r="H311" s="2"/>
      <c r="I311" s="11"/>
      <c r="J311" s="11"/>
      <c r="K311" s="5"/>
      <c r="L311" s="5"/>
      <c r="M311" s="5"/>
      <c r="N311" s="8"/>
      <c r="O311" s="8"/>
      <c r="P311" s="8"/>
      <c r="Q311" s="5"/>
      <c r="R311" s="8"/>
      <c r="S311" s="8"/>
      <c r="T311" s="8"/>
      <c r="U311" s="5"/>
      <c r="V311" s="8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  <c r="AI311" s="9"/>
      <c r="AJ311" s="9"/>
      <c r="AK311" s="9"/>
      <c r="AL311" s="9"/>
      <c r="AM311" s="9"/>
      <c r="AN311" s="9"/>
      <c r="AO311" s="9"/>
      <c r="AP311" s="9"/>
      <c r="AQ311" s="9"/>
      <c r="AR311" s="9"/>
      <c r="AS311" s="9"/>
      <c r="AT311" s="9"/>
      <c r="AU311" s="9"/>
      <c r="AV311" s="9"/>
      <c r="AW311" s="9"/>
      <c r="AX311" s="9"/>
      <c r="AY311" s="9"/>
      <c r="AZ311" s="9"/>
      <c r="BA311" s="9"/>
      <c r="BB311" s="9"/>
      <c r="BC311" s="9"/>
      <c r="BD311" s="9"/>
      <c r="BE311" s="9"/>
      <c r="BF311" s="9"/>
      <c r="BG311" s="9"/>
      <c r="BH311" s="9"/>
      <c r="BI311" s="9"/>
      <c r="BJ311" s="9"/>
      <c r="BK311" s="9"/>
      <c r="BL311" s="9"/>
      <c r="BM311" s="9"/>
      <c r="BN311" s="9"/>
      <c r="BO311" s="9"/>
      <c r="BP311" s="9"/>
      <c r="BQ311" s="9"/>
      <c r="BR311" s="9"/>
      <c r="BS311" s="9"/>
      <c r="BT311" s="9"/>
      <c r="BU311" s="9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</row>
    <row r="312" spans="1:118" ht="18" customHeight="1" x14ac:dyDescent="0.25">
      <c r="A312" s="5"/>
      <c r="B312" s="2"/>
      <c r="C312" s="2"/>
      <c r="D312" s="203"/>
      <c r="E312" s="2"/>
      <c r="F312" s="2"/>
      <c r="G312" s="2"/>
      <c r="H312" s="2"/>
      <c r="I312" s="11"/>
      <c r="J312" s="11"/>
      <c r="K312" s="5"/>
      <c r="L312" s="5"/>
      <c r="M312" s="5"/>
      <c r="N312" s="8"/>
      <c r="O312" s="8"/>
      <c r="P312" s="8"/>
      <c r="Q312" s="5"/>
      <c r="R312" s="8"/>
      <c r="S312" s="8"/>
      <c r="T312" s="8"/>
      <c r="U312" s="5"/>
      <c r="V312" s="8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  <c r="AI312" s="9"/>
      <c r="AJ312" s="9"/>
      <c r="AK312" s="9"/>
      <c r="AL312" s="9"/>
      <c r="AM312" s="9"/>
      <c r="AN312" s="9"/>
      <c r="AO312" s="9"/>
      <c r="AP312" s="9"/>
      <c r="AQ312" s="9"/>
      <c r="AR312" s="9"/>
      <c r="AS312" s="9"/>
      <c r="AT312" s="9"/>
      <c r="AU312" s="9"/>
      <c r="AV312" s="9"/>
      <c r="AW312" s="9"/>
      <c r="AX312" s="9"/>
      <c r="AY312" s="9"/>
      <c r="AZ312" s="9"/>
      <c r="BA312" s="9"/>
      <c r="BB312" s="9"/>
      <c r="BC312" s="9"/>
      <c r="BD312" s="9"/>
      <c r="BE312" s="9"/>
      <c r="BF312" s="9"/>
      <c r="BG312" s="9"/>
      <c r="BH312" s="9"/>
      <c r="BI312" s="9"/>
      <c r="BJ312" s="9"/>
      <c r="BK312" s="9"/>
      <c r="BL312" s="9"/>
      <c r="BM312" s="9"/>
      <c r="BN312" s="9"/>
      <c r="BO312" s="9"/>
      <c r="BP312" s="9"/>
      <c r="BQ312" s="9"/>
      <c r="BR312" s="9"/>
      <c r="BS312" s="9"/>
      <c r="BT312" s="9"/>
      <c r="BU312" s="9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</row>
    <row r="313" spans="1:118" ht="18" customHeight="1" x14ac:dyDescent="0.25">
      <c r="A313" s="5"/>
      <c r="B313" s="2"/>
      <c r="C313" s="2"/>
      <c r="D313" s="203"/>
      <c r="E313" s="2"/>
      <c r="F313" s="2"/>
      <c r="G313" s="2"/>
      <c r="H313" s="2"/>
      <c r="I313" s="11"/>
      <c r="J313" s="11"/>
      <c r="K313" s="5"/>
      <c r="L313" s="5"/>
      <c r="M313" s="5"/>
      <c r="N313" s="8"/>
      <c r="O313" s="8"/>
      <c r="P313" s="8"/>
      <c r="Q313" s="5"/>
      <c r="R313" s="8"/>
      <c r="S313" s="8"/>
      <c r="T313" s="8"/>
      <c r="U313" s="5"/>
      <c r="V313" s="8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  <c r="AI313" s="9"/>
      <c r="AJ313" s="9"/>
      <c r="AK313" s="9"/>
      <c r="AL313" s="9"/>
      <c r="AM313" s="9"/>
      <c r="AN313" s="9"/>
      <c r="AO313" s="9"/>
      <c r="AP313" s="9"/>
      <c r="AQ313" s="9"/>
      <c r="AR313" s="9"/>
      <c r="AS313" s="9"/>
      <c r="AT313" s="9"/>
      <c r="AU313" s="9"/>
      <c r="AV313" s="9"/>
      <c r="AW313" s="9"/>
      <c r="AX313" s="9"/>
      <c r="AY313" s="9"/>
      <c r="AZ313" s="9"/>
      <c r="BA313" s="9"/>
      <c r="BB313" s="9"/>
      <c r="BC313" s="9"/>
      <c r="BD313" s="9"/>
      <c r="BE313" s="9"/>
      <c r="BF313" s="9"/>
      <c r="BG313" s="9"/>
      <c r="BH313" s="9"/>
      <c r="BI313" s="9"/>
      <c r="BJ313" s="9"/>
      <c r="BK313" s="9"/>
      <c r="BL313" s="9"/>
      <c r="BM313" s="9"/>
      <c r="BN313" s="9"/>
      <c r="BO313" s="9"/>
      <c r="BP313" s="9"/>
      <c r="BQ313" s="9"/>
      <c r="BR313" s="9"/>
      <c r="BS313" s="9"/>
      <c r="BT313" s="9"/>
      <c r="BU313" s="9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</row>
    <row r="314" spans="1:118" ht="18" customHeight="1" x14ac:dyDescent="0.25">
      <c r="A314" s="5"/>
      <c r="B314" s="2"/>
      <c r="C314" s="2"/>
      <c r="D314" s="203"/>
      <c r="E314" s="2"/>
      <c r="F314" s="2"/>
      <c r="G314" s="2"/>
      <c r="H314" s="2"/>
      <c r="I314" s="11"/>
      <c r="J314" s="11"/>
      <c r="K314" s="5"/>
      <c r="L314" s="5"/>
      <c r="M314" s="5"/>
      <c r="N314" s="8"/>
      <c r="O314" s="8"/>
      <c r="P314" s="8"/>
      <c r="Q314" s="5"/>
      <c r="R314" s="8"/>
      <c r="S314" s="8"/>
      <c r="T314" s="8"/>
      <c r="U314" s="5"/>
      <c r="V314" s="8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  <c r="AI314" s="9"/>
      <c r="AJ314" s="9"/>
      <c r="AK314" s="9"/>
      <c r="AL314" s="9"/>
      <c r="AM314" s="9"/>
      <c r="AN314" s="9"/>
      <c r="AO314" s="9"/>
      <c r="AP314" s="9"/>
      <c r="AQ314" s="9"/>
      <c r="AR314" s="9"/>
      <c r="AS314" s="9"/>
      <c r="AT314" s="9"/>
      <c r="AU314" s="9"/>
      <c r="AV314" s="9"/>
      <c r="AW314" s="9"/>
      <c r="AX314" s="9"/>
      <c r="AY314" s="9"/>
      <c r="AZ314" s="9"/>
      <c r="BA314" s="9"/>
      <c r="BB314" s="9"/>
      <c r="BC314" s="9"/>
      <c r="BD314" s="9"/>
      <c r="BE314" s="9"/>
      <c r="BF314" s="9"/>
      <c r="BG314" s="9"/>
      <c r="BH314" s="9"/>
      <c r="BI314" s="9"/>
      <c r="BJ314" s="9"/>
      <c r="BK314" s="9"/>
      <c r="BL314" s="9"/>
      <c r="BM314" s="9"/>
      <c r="BN314" s="9"/>
      <c r="BO314" s="9"/>
      <c r="BP314" s="9"/>
      <c r="BQ314" s="9"/>
      <c r="BR314" s="9"/>
      <c r="BS314" s="9"/>
      <c r="BT314" s="9"/>
      <c r="BU314" s="9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</row>
    <row r="315" spans="1:118" ht="18" customHeight="1" x14ac:dyDescent="0.25">
      <c r="A315" s="5"/>
      <c r="B315" s="2"/>
      <c r="C315" s="2"/>
      <c r="D315" s="203"/>
      <c r="E315" s="2"/>
      <c r="F315" s="2"/>
      <c r="G315" s="2"/>
      <c r="H315" s="2"/>
      <c r="I315" s="11"/>
      <c r="J315" s="11"/>
      <c r="K315" s="5"/>
      <c r="L315" s="5"/>
      <c r="M315" s="5"/>
      <c r="N315" s="8"/>
      <c r="O315" s="8"/>
      <c r="P315" s="8"/>
      <c r="Q315" s="5"/>
      <c r="R315" s="8"/>
      <c r="S315" s="8"/>
      <c r="T315" s="8"/>
      <c r="U315" s="5"/>
      <c r="V315" s="8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  <c r="AI315" s="9"/>
      <c r="AJ315" s="9"/>
      <c r="AK315" s="9"/>
      <c r="AL315" s="9"/>
      <c r="AM315" s="9"/>
      <c r="AN315" s="9"/>
      <c r="AO315" s="9"/>
      <c r="AP315" s="9"/>
      <c r="AQ315" s="9"/>
      <c r="AR315" s="9"/>
      <c r="AS315" s="9"/>
      <c r="AT315" s="9"/>
      <c r="AU315" s="9"/>
      <c r="AV315" s="9"/>
      <c r="AW315" s="9"/>
      <c r="AX315" s="9"/>
      <c r="AY315" s="9"/>
      <c r="AZ315" s="9"/>
      <c r="BA315" s="9"/>
      <c r="BB315" s="9"/>
      <c r="BC315" s="9"/>
      <c r="BD315" s="9"/>
      <c r="BE315" s="9"/>
      <c r="BF315" s="9"/>
      <c r="BG315" s="9"/>
      <c r="BH315" s="9"/>
      <c r="BI315" s="9"/>
      <c r="BJ315" s="9"/>
      <c r="BK315" s="9"/>
      <c r="BL315" s="9"/>
      <c r="BM315" s="9"/>
      <c r="BN315" s="9"/>
      <c r="BO315" s="9"/>
      <c r="BP315" s="9"/>
      <c r="BQ315" s="9"/>
      <c r="BR315" s="9"/>
      <c r="BS315" s="9"/>
      <c r="BT315" s="9"/>
      <c r="BU315" s="9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</row>
    <row r="316" spans="1:118" ht="18" customHeight="1" x14ac:dyDescent="0.25">
      <c r="A316" s="5"/>
      <c r="B316" s="2"/>
      <c r="C316" s="2"/>
      <c r="D316" s="203"/>
      <c r="E316" s="2"/>
      <c r="F316" s="2"/>
      <c r="G316" s="2"/>
      <c r="H316" s="2"/>
      <c r="I316" s="11"/>
      <c r="J316" s="11"/>
      <c r="K316" s="5"/>
      <c r="L316" s="5"/>
      <c r="M316" s="5"/>
      <c r="N316" s="8"/>
      <c r="O316" s="8"/>
      <c r="P316" s="8"/>
      <c r="Q316" s="5"/>
      <c r="R316" s="8"/>
      <c r="S316" s="8"/>
      <c r="T316" s="8"/>
      <c r="U316" s="5"/>
      <c r="V316" s="8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  <c r="AI316" s="9"/>
      <c r="AJ316" s="9"/>
      <c r="AK316" s="9"/>
      <c r="AL316" s="9"/>
      <c r="AM316" s="9"/>
      <c r="AN316" s="9"/>
      <c r="AO316" s="9"/>
      <c r="AP316" s="9"/>
      <c r="AQ316" s="9"/>
      <c r="AR316" s="9"/>
      <c r="AS316" s="9"/>
      <c r="AT316" s="9"/>
      <c r="AU316" s="9"/>
      <c r="AV316" s="9"/>
      <c r="AW316" s="9"/>
      <c r="AX316" s="9"/>
      <c r="AY316" s="9"/>
      <c r="AZ316" s="9"/>
      <c r="BA316" s="9"/>
      <c r="BB316" s="9"/>
      <c r="BC316" s="9"/>
      <c r="BD316" s="9"/>
      <c r="BE316" s="9"/>
      <c r="BF316" s="9"/>
      <c r="BG316" s="9"/>
      <c r="BH316" s="9"/>
      <c r="BI316" s="9"/>
      <c r="BJ316" s="9"/>
      <c r="BK316" s="9"/>
      <c r="BL316" s="9"/>
      <c r="BM316" s="9"/>
      <c r="BN316" s="9"/>
      <c r="BO316" s="9"/>
      <c r="BP316" s="9"/>
      <c r="BQ316" s="9"/>
      <c r="BR316" s="9"/>
      <c r="BS316" s="9"/>
      <c r="BT316" s="9"/>
      <c r="BU316" s="9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</row>
    <row r="317" spans="1:118" ht="18" customHeight="1" x14ac:dyDescent="0.25">
      <c r="A317" s="5"/>
      <c r="B317" s="2"/>
      <c r="C317" s="2"/>
      <c r="D317" s="203"/>
      <c r="E317" s="2"/>
      <c r="F317" s="2"/>
      <c r="G317" s="2"/>
      <c r="H317" s="2"/>
      <c r="I317" s="11"/>
      <c r="J317" s="11"/>
      <c r="K317" s="5"/>
      <c r="L317" s="5"/>
      <c r="M317" s="5"/>
      <c r="N317" s="8"/>
      <c r="O317" s="8"/>
      <c r="P317" s="8"/>
      <c r="Q317" s="5"/>
      <c r="R317" s="8"/>
      <c r="S317" s="8"/>
      <c r="T317" s="8"/>
      <c r="U317" s="5"/>
      <c r="V317" s="8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  <c r="AI317" s="9"/>
      <c r="AJ317" s="9"/>
      <c r="AK317" s="9"/>
      <c r="AL317" s="9"/>
      <c r="AM317" s="9"/>
      <c r="AN317" s="9"/>
      <c r="AO317" s="9"/>
      <c r="AP317" s="9"/>
      <c r="AQ317" s="9"/>
      <c r="AR317" s="9"/>
      <c r="AS317" s="9"/>
      <c r="AT317" s="9"/>
      <c r="AU317" s="9"/>
      <c r="AV317" s="9"/>
      <c r="AW317" s="9"/>
      <c r="AX317" s="9"/>
      <c r="AY317" s="9"/>
      <c r="AZ317" s="9"/>
      <c r="BA317" s="9"/>
      <c r="BB317" s="9"/>
      <c r="BC317" s="9"/>
      <c r="BD317" s="9"/>
      <c r="BE317" s="9"/>
      <c r="BF317" s="9"/>
      <c r="BG317" s="9"/>
      <c r="BH317" s="9"/>
      <c r="BI317" s="9"/>
      <c r="BJ317" s="9"/>
      <c r="BK317" s="9"/>
      <c r="BL317" s="9"/>
      <c r="BM317" s="9"/>
      <c r="BN317" s="9"/>
      <c r="BO317" s="9"/>
      <c r="BP317" s="9"/>
      <c r="BQ317" s="9"/>
      <c r="BR317" s="9"/>
      <c r="BS317" s="9"/>
      <c r="BT317" s="9"/>
      <c r="BU317" s="9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</row>
    <row r="318" spans="1:118" ht="18" customHeight="1" x14ac:dyDescent="0.25">
      <c r="A318" s="5"/>
      <c r="B318" s="2"/>
      <c r="C318" s="2"/>
      <c r="D318" s="203"/>
      <c r="E318" s="2"/>
      <c r="F318" s="2"/>
      <c r="G318" s="2"/>
      <c r="H318" s="2"/>
      <c r="I318" s="11"/>
      <c r="J318" s="11"/>
      <c r="K318" s="5"/>
      <c r="L318" s="5"/>
      <c r="M318" s="5"/>
      <c r="N318" s="8"/>
      <c r="O318" s="8"/>
      <c r="P318" s="8"/>
      <c r="Q318" s="5"/>
      <c r="R318" s="8"/>
      <c r="S318" s="8"/>
      <c r="T318" s="8"/>
      <c r="U318" s="5"/>
      <c r="V318" s="8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  <c r="AI318" s="9"/>
      <c r="AJ318" s="9"/>
      <c r="AK318" s="9"/>
      <c r="AL318" s="9"/>
      <c r="AM318" s="9"/>
      <c r="AN318" s="9"/>
      <c r="AO318" s="9"/>
      <c r="AP318" s="9"/>
      <c r="AQ318" s="9"/>
      <c r="AR318" s="9"/>
      <c r="AS318" s="9"/>
      <c r="AT318" s="9"/>
      <c r="AU318" s="9"/>
      <c r="AV318" s="9"/>
      <c r="AW318" s="9"/>
      <c r="AX318" s="9"/>
      <c r="AY318" s="9"/>
      <c r="AZ318" s="9"/>
      <c r="BA318" s="9"/>
      <c r="BB318" s="9"/>
      <c r="BC318" s="9"/>
      <c r="BD318" s="9"/>
      <c r="BE318" s="9"/>
      <c r="BF318" s="9"/>
      <c r="BG318" s="9"/>
      <c r="BH318" s="9"/>
      <c r="BI318" s="9"/>
      <c r="BJ318" s="9"/>
      <c r="BK318" s="9"/>
      <c r="BL318" s="9"/>
      <c r="BM318" s="9"/>
      <c r="BN318" s="9"/>
      <c r="BO318" s="9"/>
      <c r="BP318" s="9"/>
      <c r="BQ318" s="9"/>
      <c r="BR318" s="9"/>
      <c r="BS318" s="9"/>
      <c r="BT318" s="9"/>
      <c r="BU318" s="9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</row>
    <row r="319" spans="1:118" ht="18" customHeight="1" x14ac:dyDescent="0.25">
      <c r="A319" s="5"/>
      <c r="B319" s="2"/>
      <c r="C319" s="2"/>
      <c r="D319" s="203"/>
      <c r="E319" s="2"/>
      <c r="F319" s="2"/>
      <c r="G319" s="2"/>
      <c r="H319" s="2"/>
      <c r="I319" s="11"/>
      <c r="J319" s="11"/>
      <c r="K319" s="5"/>
      <c r="L319" s="5"/>
      <c r="M319" s="5"/>
      <c r="N319" s="8"/>
      <c r="O319" s="8"/>
      <c r="P319" s="8"/>
      <c r="Q319" s="5"/>
      <c r="R319" s="8"/>
      <c r="S319" s="8"/>
      <c r="T319" s="8"/>
      <c r="U319" s="5"/>
      <c r="V319" s="8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  <c r="AI319" s="9"/>
      <c r="AJ319" s="9"/>
      <c r="AK319" s="9"/>
      <c r="AL319" s="9"/>
      <c r="AM319" s="9"/>
      <c r="AN319" s="9"/>
      <c r="AO319" s="9"/>
      <c r="AP319" s="9"/>
      <c r="AQ319" s="9"/>
      <c r="AR319" s="9"/>
      <c r="AS319" s="9"/>
      <c r="AT319" s="9"/>
      <c r="AU319" s="9"/>
      <c r="AV319" s="9"/>
      <c r="AW319" s="9"/>
      <c r="AX319" s="9"/>
      <c r="AY319" s="9"/>
      <c r="AZ319" s="9"/>
      <c r="BA319" s="9"/>
      <c r="BB319" s="9"/>
      <c r="BC319" s="9"/>
      <c r="BD319" s="9"/>
      <c r="BE319" s="9"/>
      <c r="BF319" s="9"/>
      <c r="BG319" s="9"/>
      <c r="BH319" s="9"/>
      <c r="BI319" s="9"/>
      <c r="BJ319" s="9"/>
      <c r="BK319" s="9"/>
      <c r="BL319" s="9"/>
      <c r="BM319" s="9"/>
      <c r="BN319" s="9"/>
      <c r="BO319" s="9"/>
      <c r="BP319" s="9"/>
      <c r="BQ319" s="9"/>
      <c r="BR319" s="9"/>
      <c r="BS319" s="9"/>
      <c r="BT319" s="9"/>
      <c r="BU319" s="9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</row>
    <row r="320" spans="1:118" ht="18" customHeight="1" x14ac:dyDescent="0.25">
      <c r="A320" s="5"/>
      <c r="B320" s="2"/>
      <c r="C320" s="2"/>
      <c r="D320" s="203"/>
      <c r="E320" s="2"/>
      <c r="F320" s="2"/>
      <c r="G320" s="2"/>
      <c r="H320" s="2"/>
      <c r="I320" s="11"/>
      <c r="J320" s="11"/>
      <c r="K320" s="5"/>
      <c r="L320" s="5"/>
      <c r="M320" s="5"/>
      <c r="N320" s="8"/>
      <c r="O320" s="8"/>
      <c r="P320" s="8"/>
      <c r="Q320" s="5"/>
      <c r="R320" s="8"/>
      <c r="S320" s="8"/>
      <c r="T320" s="8"/>
      <c r="U320" s="5"/>
      <c r="V320" s="8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  <c r="AI320" s="9"/>
      <c r="AJ320" s="9"/>
      <c r="AK320" s="9"/>
      <c r="AL320" s="9"/>
      <c r="AM320" s="9"/>
      <c r="AN320" s="9"/>
      <c r="AO320" s="9"/>
      <c r="AP320" s="9"/>
      <c r="AQ320" s="9"/>
      <c r="AR320" s="9"/>
      <c r="AS320" s="9"/>
      <c r="AT320" s="9"/>
      <c r="AU320" s="9"/>
      <c r="AV320" s="9"/>
      <c r="AW320" s="9"/>
      <c r="AX320" s="9"/>
      <c r="AY320" s="9"/>
      <c r="AZ320" s="9"/>
      <c r="BA320" s="9"/>
      <c r="BB320" s="9"/>
      <c r="BC320" s="9"/>
      <c r="BD320" s="9"/>
      <c r="BE320" s="9"/>
      <c r="BF320" s="9"/>
      <c r="BG320" s="9"/>
      <c r="BH320" s="9"/>
      <c r="BI320" s="9"/>
      <c r="BJ320" s="9"/>
      <c r="BK320" s="9"/>
      <c r="BL320" s="9"/>
      <c r="BM320" s="9"/>
      <c r="BN320" s="9"/>
      <c r="BO320" s="9"/>
      <c r="BP320" s="9"/>
      <c r="BQ320" s="9"/>
      <c r="BR320" s="9"/>
      <c r="BS320" s="9"/>
      <c r="BT320" s="9"/>
      <c r="BU320" s="9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</row>
    <row r="321" spans="1:118" ht="18" customHeight="1" x14ac:dyDescent="0.25">
      <c r="A321" s="5"/>
      <c r="B321" s="2"/>
      <c r="C321" s="2"/>
      <c r="D321" s="203"/>
      <c r="E321" s="2"/>
      <c r="F321" s="2"/>
      <c r="G321" s="2"/>
      <c r="H321" s="2"/>
      <c r="I321" s="11"/>
      <c r="J321" s="11"/>
      <c r="K321" s="5"/>
      <c r="L321" s="5"/>
      <c r="M321" s="5"/>
      <c r="N321" s="8"/>
      <c r="O321" s="8"/>
      <c r="P321" s="8"/>
      <c r="Q321" s="5"/>
      <c r="R321" s="8"/>
      <c r="S321" s="8"/>
      <c r="T321" s="8"/>
      <c r="U321" s="5"/>
      <c r="V321" s="8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  <c r="AI321" s="9"/>
      <c r="AJ321" s="9"/>
      <c r="AK321" s="9"/>
      <c r="AL321" s="9"/>
      <c r="AM321" s="9"/>
      <c r="AN321" s="9"/>
      <c r="AO321" s="9"/>
      <c r="AP321" s="9"/>
      <c r="AQ321" s="9"/>
      <c r="AR321" s="9"/>
      <c r="AS321" s="9"/>
      <c r="AT321" s="9"/>
      <c r="AU321" s="9"/>
      <c r="AV321" s="9"/>
      <c r="AW321" s="9"/>
      <c r="AX321" s="9"/>
      <c r="AY321" s="9"/>
      <c r="AZ321" s="9"/>
      <c r="BA321" s="9"/>
      <c r="BB321" s="9"/>
      <c r="BC321" s="9"/>
      <c r="BD321" s="9"/>
      <c r="BE321" s="9"/>
      <c r="BF321" s="9"/>
      <c r="BG321" s="9"/>
      <c r="BH321" s="9"/>
      <c r="BI321" s="9"/>
      <c r="BJ321" s="9"/>
      <c r="BK321" s="9"/>
      <c r="BL321" s="9"/>
      <c r="BM321" s="9"/>
      <c r="BN321" s="9"/>
      <c r="BO321" s="9"/>
      <c r="BP321" s="9"/>
      <c r="BQ321" s="9"/>
      <c r="BR321" s="9"/>
      <c r="BS321" s="9"/>
      <c r="BT321" s="9"/>
      <c r="BU321" s="9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</row>
    <row r="322" spans="1:118" ht="18" customHeight="1" x14ac:dyDescent="0.25">
      <c r="A322" s="5"/>
      <c r="B322" s="2"/>
      <c r="C322" s="2"/>
      <c r="D322" s="203"/>
      <c r="E322" s="2"/>
      <c r="F322" s="2"/>
      <c r="G322" s="2"/>
      <c r="H322" s="2"/>
      <c r="I322" s="11"/>
      <c r="J322" s="11"/>
      <c r="K322" s="5"/>
      <c r="L322" s="5"/>
      <c r="M322" s="5"/>
      <c r="N322" s="8"/>
      <c r="O322" s="8"/>
      <c r="P322" s="8"/>
      <c r="Q322" s="5"/>
      <c r="R322" s="8"/>
      <c r="S322" s="8"/>
      <c r="T322" s="8"/>
      <c r="U322" s="5"/>
      <c r="V322" s="8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  <c r="AI322" s="9"/>
      <c r="AJ322" s="9"/>
      <c r="AK322" s="9"/>
      <c r="AL322" s="9"/>
      <c r="AM322" s="9"/>
      <c r="AN322" s="9"/>
      <c r="AO322" s="9"/>
      <c r="AP322" s="9"/>
      <c r="AQ322" s="9"/>
      <c r="AR322" s="9"/>
      <c r="AS322" s="9"/>
      <c r="AT322" s="9"/>
      <c r="AU322" s="9"/>
      <c r="AV322" s="9"/>
      <c r="AW322" s="9"/>
      <c r="AX322" s="9"/>
      <c r="AY322" s="9"/>
      <c r="AZ322" s="9"/>
      <c r="BA322" s="9"/>
      <c r="BB322" s="9"/>
      <c r="BC322" s="9"/>
      <c r="BD322" s="9"/>
      <c r="BE322" s="9"/>
      <c r="BF322" s="9"/>
      <c r="BG322" s="9"/>
      <c r="BH322" s="9"/>
      <c r="BI322" s="9"/>
      <c r="BJ322" s="9"/>
      <c r="BK322" s="9"/>
      <c r="BL322" s="9"/>
      <c r="BM322" s="9"/>
      <c r="BN322" s="9"/>
      <c r="BO322" s="9"/>
      <c r="BP322" s="9"/>
      <c r="BQ322" s="9"/>
      <c r="BR322" s="9"/>
      <c r="BS322" s="9"/>
      <c r="BT322" s="9"/>
      <c r="BU322" s="9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</row>
    <row r="323" spans="1:118" ht="18" customHeight="1" x14ac:dyDescent="0.25">
      <c r="A323" s="5"/>
      <c r="B323" s="2"/>
      <c r="C323" s="2"/>
      <c r="D323" s="203"/>
      <c r="E323" s="2"/>
      <c r="F323" s="2"/>
      <c r="G323" s="2"/>
      <c r="H323" s="2"/>
      <c r="I323" s="11"/>
      <c r="J323" s="11"/>
      <c r="K323" s="5"/>
      <c r="L323" s="5"/>
      <c r="M323" s="5"/>
      <c r="N323" s="8"/>
      <c r="O323" s="8"/>
      <c r="P323" s="8"/>
      <c r="Q323" s="5"/>
      <c r="R323" s="8"/>
      <c r="S323" s="8"/>
      <c r="T323" s="8"/>
      <c r="U323" s="5"/>
      <c r="V323" s="8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  <c r="AI323" s="9"/>
      <c r="AJ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  <c r="BL323" s="9"/>
      <c r="BM323" s="9"/>
      <c r="BN323" s="9"/>
      <c r="BO323" s="9"/>
      <c r="BP323" s="9"/>
      <c r="BQ323" s="9"/>
      <c r="BR323" s="9"/>
      <c r="BS323" s="9"/>
      <c r="BT323" s="9"/>
      <c r="BU323" s="9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</row>
    <row r="324" spans="1:118" ht="18" customHeight="1" x14ac:dyDescent="0.25">
      <c r="A324" s="5"/>
      <c r="B324" s="2"/>
      <c r="C324" s="2"/>
      <c r="D324" s="203"/>
      <c r="E324" s="2"/>
      <c r="F324" s="2"/>
      <c r="G324" s="2"/>
      <c r="H324" s="2"/>
      <c r="I324" s="11"/>
      <c r="J324" s="11"/>
      <c r="K324" s="5"/>
      <c r="L324" s="5"/>
      <c r="M324" s="5"/>
      <c r="N324" s="8"/>
      <c r="O324" s="8"/>
      <c r="P324" s="8"/>
      <c r="Q324" s="5"/>
      <c r="R324" s="8"/>
      <c r="S324" s="8"/>
      <c r="T324" s="8"/>
      <c r="U324" s="5"/>
      <c r="V324" s="8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  <c r="AI324" s="9"/>
      <c r="AJ324" s="9"/>
      <c r="AK324" s="9"/>
      <c r="AL324" s="9"/>
      <c r="AM324" s="9"/>
      <c r="AN324" s="9"/>
      <c r="AO324" s="9"/>
      <c r="AP324" s="9"/>
      <c r="AQ324" s="9"/>
      <c r="AR324" s="9"/>
      <c r="AS324" s="9"/>
      <c r="AT324" s="9"/>
      <c r="AU324" s="9"/>
      <c r="AV324" s="9"/>
      <c r="AW324" s="9"/>
      <c r="AX324" s="9"/>
      <c r="AY324" s="9"/>
      <c r="AZ324" s="9"/>
      <c r="BA324" s="9"/>
      <c r="BB324" s="9"/>
      <c r="BC324" s="9"/>
      <c r="BD324" s="9"/>
      <c r="BE324" s="9"/>
      <c r="BF324" s="9"/>
      <c r="BG324" s="9"/>
      <c r="BH324" s="9"/>
      <c r="BI324" s="9"/>
      <c r="BJ324" s="9"/>
      <c r="BK324" s="9"/>
      <c r="BL324" s="9"/>
      <c r="BM324" s="9"/>
      <c r="BN324" s="9"/>
      <c r="BO324" s="9"/>
      <c r="BP324" s="9"/>
      <c r="BQ324" s="9"/>
      <c r="BR324" s="9"/>
      <c r="BS324" s="9"/>
      <c r="BT324" s="9"/>
      <c r="BU324" s="9"/>
      <c r="BV324" s="9"/>
      <c r="BW324" s="9"/>
      <c r="BX324" s="9"/>
      <c r="BY324" s="9"/>
      <c r="BZ324" s="9"/>
      <c r="CA324" s="9"/>
      <c r="CB324" s="9"/>
      <c r="CC324" s="9"/>
      <c r="CD324" s="9"/>
      <c r="CE324" s="9"/>
      <c r="CF324" s="9"/>
      <c r="CG324" s="9"/>
      <c r="CH324" s="9"/>
      <c r="CI324" s="9"/>
      <c r="CJ324" s="9"/>
      <c r="CK324" s="9"/>
      <c r="CL324" s="9"/>
      <c r="CM324" s="9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</row>
    <row r="325" spans="1:118" ht="18" customHeight="1" x14ac:dyDescent="0.25">
      <c r="A325" s="5"/>
      <c r="B325" s="2"/>
      <c r="C325" s="2"/>
      <c r="D325" s="203"/>
      <c r="E325" s="2"/>
      <c r="F325" s="2"/>
      <c r="G325" s="2"/>
      <c r="H325" s="2"/>
      <c r="I325" s="11"/>
      <c r="J325" s="11"/>
      <c r="K325" s="5"/>
      <c r="L325" s="5"/>
      <c r="M325" s="5"/>
      <c r="N325" s="8"/>
      <c r="O325" s="8"/>
      <c r="P325" s="8"/>
      <c r="Q325" s="5"/>
      <c r="R325" s="8"/>
      <c r="S325" s="8"/>
      <c r="T325" s="8"/>
      <c r="U325" s="5"/>
      <c r="V325" s="8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  <c r="AI325" s="9"/>
      <c r="AJ325" s="9"/>
      <c r="AK325" s="9"/>
      <c r="AL325" s="9"/>
      <c r="AM325" s="9"/>
      <c r="AN325" s="9"/>
      <c r="AO325" s="9"/>
      <c r="AP325" s="9"/>
      <c r="AQ325" s="9"/>
      <c r="AR325" s="9"/>
      <c r="AS325" s="9"/>
      <c r="AT325" s="9"/>
      <c r="AU325" s="9"/>
      <c r="AV325" s="9"/>
      <c r="AW325" s="9"/>
      <c r="AX325" s="9"/>
      <c r="AY325" s="9"/>
      <c r="AZ325" s="9"/>
      <c r="BA325" s="9"/>
      <c r="BB325" s="9"/>
      <c r="BC325" s="9"/>
      <c r="BD325" s="9"/>
      <c r="BE325" s="9"/>
      <c r="BF325" s="9"/>
      <c r="BG325" s="9"/>
      <c r="BH325" s="9"/>
      <c r="BI325" s="9"/>
      <c r="BJ325" s="9"/>
      <c r="BK325" s="9"/>
      <c r="BL325" s="9"/>
      <c r="BM325" s="9"/>
      <c r="BN325" s="9"/>
      <c r="BO325" s="9"/>
      <c r="BP325" s="9"/>
      <c r="BQ325" s="9"/>
      <c r="BR325" s="9"/>
      <c r="BS325" s="9"/>
      <c r="BT325" s="9"/>
      <c r="BU325" s="9"/>
      <c r="BV325" s="9"/>
      <c r="BW325" s="9"/>
      <c r="BX325" s="9"/>
      <c r="BY325" s="9"/>
      <c r="BZ325" s="9"/>
      <c r="CA325" s="9"/>
      <c r="CB325" s="9"/>
      <c r="CC325" s="9"/>
      <c r="CD325" s="9"/>
      <c r="CE325" s="9"/>
      <c r="CF325" s="9"/>
      <c r="CG325" s="9"/>
      <c r="CH325" s="9"/>
      <c r="CI325" s="9"/>
      <c r="CJ325" s="9"/>
      <c r="CK325" s="9"/>
      <c r="CL325" s="9"/>
      <c r="CM325" s="9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</row>
    <row r="326" spans="1:118" ht="18" customHeight="1" x14ac:dyDescent="0.25">
      <c r="A326" s="5"/>
      <c r="B326" s="2"/>
      <c r="C326" s="2"/>
      <c r="D326" s="203"/>
      <c r="E326" s="2"/>
      <c r="F326" s="2"/>
      <c r="G326" s="2"/>
      <c r="H326" s="2"/>
      <c r="I326" s="11"/>
      <c r="J326" s="11"/>
      <c r="K326" s="5"/>
      <c r="L326" s="5"/>
      <c r="M326" s="5"/>
      <c r="N326" s="8"/>
      <c r="O326" s="8"/>
      <c r="P326" s="8"/>
      <c r="Q326" s="5"/>
      <c r="R326" s="8"/>
      <c r="S326" s="8"/>
      <c r="T326" s="8"/>
      <c r="U326" s="5"/>
      <c r="V326" s="8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  <c r="AI326" s="9"/>
      <c r="AJ326" s="9"/>
      <c r="AK326" s="9"/>
      <c r="AL326" s="9"/>
      <c r="AM326" s="9"/>
      <c r="AN326" s="9"/>
      <c r="AO326" s="9"/>
      <c r="AP326" s="9"/>
      <c r="AQ326" s="9"/>
      <c r="AR326" s="9"/>
      <c r="AS326" s="9"/>
      <c r="AT326" s="9"/>
      <c r="AU326" s="9"/>
      <c r="AV326" s="9"/>
      <c r="AW326" s="9"/>
      <c r="AX326" s="9"/>
      <c r="AY326" s="9"/>
      <c r="AZ326" s="9"/>
      <c r="BA326" s="9"/>
      <c r="BB326" s="9"/>
      <c r="BC326" s="9"/>
      <c r="BD326" s="9"/>
      <c r="BE326" s="9"/>
      <c r="BF326" s="9"/>
      <c r="BG326" s="9"/>
      <c r="BH326" s="9"/>
      <c r="BI326" s="9"/>
      <c r="BJ326" s="9"/>
      <c r="BK326" s="9"/>
      <c r="BL326" s="9"/>
      <c r="BM326" s="9"/>
      <c r="BN326" s="9"/>
      <c r="BO326" s="9"/>
      <c r="BP326" s="9"/>
      <c r="BQ326" s="9"/>
      <c r="BR326" s="9"/>
      <c r="BS326" s="9"/>
      <c r="BT326" s="9"/>
      <c r="BU326" s="9"/>
      <c r="BV326" s="9"/>
      <c r="BW326" s="9"/>
      <c r="BX326" s="9"/>
      <c r="BY326" s="9"/>
      <c r="BZ326" s="9"/>
      <c r="CA326" s="9"/>
      <c r="CB326" s="9"/>
      <c r="CC326" s="9"/>
      <c r="CD326" s="9"/>
      <c r="CE326" s="9"/>
      <c r="CF326" s="9"/>
      <c r="CG326" s="9"/>
      <c r="CH326" s="9"/>
      <c r="CI326" s="9"/>
      <c r="CJ326" s="9"/>
      <c r="CK326" s="9"/>
      <c r="CL326" s="9"/>
      <c r="CM326" s="9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</row>
    <row r="327" spans="1:118" ht="18" customHeight="1" x14ac:dyDescent="0.25">
      <c r="A327" s="5"/>
      <c r="B327" s="2"/>
      <c r="C327" s="2"/>
      <c r="D327" s="203"/>
      <c r="E327" s="2"/>
      <c r="F327" s="2"/>
      <c r="G327" s="2"/>
      <c r="H327" s="2"/>
      <c r="I327" s="11"/>
      <c r="J327" s="11"/>
      <c r="K327" s="5"/>
      <c r="L327" s="5"/>
      <c r="M327" s="5"/>
      <c r="N327" s="8"/>
      <c r="O327" s="8"/>
      <c r="P327" s="8"/>
      <c r="Q327" s="5"/>
      <c r="R327" s="8"/>
      <c r="S327" s="8"/>
      <c r="T327" s="8"/>
      <c r="U327" s="5"/>
      <c r="V327" s="8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  <c r="AI327" s="9"/>
      <c r="AJ327" s="9"/>
      <c r="AK327" s="9"/>
      <c r="AL327" s="9"/>
      <c r="AM327" s="9"/>
      <c r="AN327" s="9"/>
      <c r="AO327" s="9"/>
      <c r="AP327" s="9"/>
      <c r="AQ327" s="9"/>
      <c r="AR327" s="9"/>
      <c r="AS327" s="9"/>
      <c r="AT327" s="9"/>
      <c r="AU327" s="9"/>
      <c r="AV327" s="9"/>
      <c r="AW327" s="9"/>
      <c r="AX327" s="9"/>
      <c r="AY327" s="9"/>
      <c r="AZ327" s="9"/>
      <c r="BA327" s="9"/>
      <c r="BB327" s="9"/>
      <c r="BC327" s="9"/>
      <c r="BD327" s="9"/>
      <c r="BE327" s="9"/>
      <c r="BF327" s="9"/>
      <c r="BG327" s="9"/>
      <c r="BH327" s="9"/>
      <c r="BI327" s="9"/>
      <c r="BJ327" s="9"/>
      <c r="BK327" s="9"/>
      <c r="BL327" s="9"/>
      <c r="BM327" s="9"/>
      <c r="BN327" s="9"/>
      <c r="BO327" s="9"/>
      <c r="BP327" s="9"/>
      <c r="BQ327" s="9"/>
      <c r="BR327" s="9"/>
      <c r="BS327" s="9"/>
      <c r="BT327" s="9"/>
      <c r="BU327" s="9"/>
      <c r="BV327" s="9"/>
      <c r="BW327" s="9"/>
      <c r="BX327" s="9"/>
      <c r="BY327" s="9"/>
      <c r="BZ327" s="9"/>
      <c r="CA327" s="9"/>
      <c r="CB327" s="9"/>
      <c r="CC327" s="9"/>
      <c r="CD327" s="9"/>
      <c r="CE327" s="9"/>
      <c r="CF327" s="9"/>
      <c r="CG327" s="9"/>
      <c r="CH327" s="9"/>
      <c r="CI327" s="9"/>
      <c r="CJ327" s="9"/>
      <c r="CK327" s="9"/>
      <c r="CL327" s="9"/>
      <c r="CM327" s="9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</row>
    <row r="328" spans="1:118" ht="18" customHeight="1" x14ac:dyDescent="0.25">
      <c r="A328" s="5"/>
      <c r="B328" s="2"/>
      <c r="C328" s="2"/>
      <c r="D328" s="203"/>
      <c r="E328" s="2"/>
      <c r="F328" s="2"/>
      <c r="G328" s="2"/>
      <c r="H328" s="2"/>
      <c r="I328" s="11"/>
      <c r="J328" s="11"/>
      <c r="K328" s="5"/>
      <c r="L328" s="5"/>
      <c r="M328" s="5"/>
      <c r="N328" s="8"/>
      <c r="O328" s="8"/>
      <c r="P328" s="8"/>
      <c r="Q328" s="5"/>
      <c r="R328" s="8"/>
      <c r="S328" s="8"/>
      <c r="T328" s="8"/>
      <c r="U328" s="5"/>
      <c r="V328" s="8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  <c r="AI328" s="9"/>
      <c r="AJ328" s="9"/>
      <c r="AK328" s="9"/>
      <c r="AL328" s="9"/>
      <c r="AM328" s="9"/>
      <c r="AN328" s="9"/>
      <c r="AO328" s="9"/>
      <c r="AP328" s="9"/>
      <c r="AQ328" s="9"/>
      <c r="AR328" s="9"/>
      <c r="AS328" s="9"/>
      <c r="AT328" s="9"/>
      <c r="AU328" s="9"/>
      <c r="AV328" s="9"/>
      <c r="AW328" s="9"/>
      <c r="AX328" s="9"/>
      <c r="AY328" s="9"/>
      <c r="AZ328" s="9"/>
      <c r="BA328" s="9"/>
      <c r="BB328" s="9"/>
      <c r="BC328" s="9"/>
      <c r="BD328" s="9"/>
      <c r="BE328" s="9"/>
      <c r="BF328" s="9"/>
      <c r="BG328" s="9"/>
      <c r="BH328" s="9"/>
      <c r="BI328" s="9"/>
      <c r="BJ328" s="9"/>
      <c r="BK328" s="9"/>
      <c r="BL328" s="9"/>
      <c r="BM328" s="9"/>
      <c r="BN328" s="9"/>
      <c r="BO328" s="9"/>
      <c r="BP328" s="9"/>
      <c r="BQ328" s="9"/>
      <c r="BR328" s="9"/>
      <c r="BS328" s="9"/>
      <c r="BT328" s="9"/>
      <c r="BU328" s="9"/>
      <c r="BV328" s="9"/>
      <c r="BW328" s="9"/>
      <c r="BX328" s="9"/>
      <c r="BY328" s="9"/>
      <c r="BZ328" s="9"/>
      <c r="CA328" s="9"/>
      <c r="CB328" s="9"/>
      <c r="CC328" s="9"/>
      <c r="CD328" s="9"/>
      <c r="CE328" s="9"/>
      <c r="CF328" s="9"/>
      <c r="CG328" s="9"/>
      <c r="CH328" s="9"/>
      <c r="CI328" s="9"/>
      <c r="CJ328" s="9"/>
      <c r="CK328" s="9"/>
      <c r="CL328" s="9"/>
      <c r="CM328" s="9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</row>
    <row r="329" spans="1:118" ht="18" customHeight="1" x14ac:dyDescent="0.25">
      <c r="A329" s="5"/>
      <c r="B329" s="2"/>
      <c r="C329" s="2"/>
      <c r="D329" s="203"/>
      <c r="E329" s="2"/>
      <c r="F329" s="2"/>
      <c r="G329" s="2"/>
      <c r="H329" s="2"/>
      <c r="I329" s="11"/>
      <c r="J329" s="11"/>
      <c r="K329" s="5"/>
      <c r="L329" s="5"/>
      <c r="M329" s="5"/>
      <c r="N329" s="8"/>
      <c r="O329" s="8"/>
      <c r="P329" s="8"/>
      <c r="Q329" s="5"/>
      <c r="R329" s="8"/>
      <c r="S329" s="8"/>
      <c r="T329" s="8"/>
      <c r="U329" s="5"/>
      <c r="V329" s="8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  <c r="AI329" s="9"/>
      <c r="AJ329" s="9"/>
      <c r="AK329" s="9"/>
      <c r="AL329" s="9"/>
      <c r="AM329" s="9"/>
      <c r="AN329" s="9"/>
      <c r="AO329" s="9"/>
      <c r="AP329" s="9"/>
      <c r="AQ329" s="9"/>
      <c r="AR329" s="9"/>
      <c r="AS329" s="9"/>
      <c r="AT329" s="9"/>
      <c r="AU329" s="9"/>
      <c r="AV329" s="9"/>
      <c r="AW329" s="9"/>
      <c r="AX329" s="9"/>
      <c r="AY329" s="9"/>
      <c r="AZ329" s="9"/>
      <c r="BA329" s="9"/>
      <c r="BB329" s="9"/>
      <c r="BC329" s="9"/>
      <c r="BD329" s="9"/>
      <c r="BE329" s="9"/>
      <c r="BF329" s="9"/>
      <c r="BG329" s="9"/>
      <c r="BH329" s="9"/>
      <c r="BI329" s="9"/>
      <c r="BJ329" s="9"/>
      <c r="BK329" s="9"/>
      <c r="BL329" s="9"/>
      <c r="BM329" s="9"/>
      <c r="BN329" s="9"/>
      <c r="BO329" s="9"/>
      <c r="BP329" s="9"/>
      <c r="BQ329" s="9"/>
      <c r="BR329" s="9"/>
      <c r="BS329" s="9"/>
      <c r="BT329" s="9"/>
      <c r="BU329" s="9"/>
      <c r="BV329" s="9"/>
      <c r="BW329" s="9"/>
      <c r="BX329" s="9"/>
      <c r="BY329" s="9"/>
      <c r="BZ329" s="9"/>
      <c r="CA329" s="9"/>
      <c r="CB329" s="9"/>
      <c r="CC329" s="9"/>
      <c r="CD329" s="9"/>
      <c r="CE329" s="9"/>
      <c r="CF329" s="9"/>
      <c r="CG329" s="9"/>
      <c r="CH329" s="9"/>
      <c r="CI329" s="9"/>
      <c r="CJ329" s="9"/>
      <c r="CK329" s="9"/>
      <c r="CL329" s="9"/>
      <c r="CM329" s="9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</row>
    <row r="330" spans="1:118" ht="18" customHeight="1" x14ac:dyDescent="0.25">
      <c r="A330" s="5"/>
      <c r="B330" s="2"/>
      <c r="C330" s="2"/>
      <c r="D330" s="203"/>
      <c r="E330" s="2"/>
      <c r="F330" s="2"/>
      <c r="G330" s="2"/>
      <c r="H330" s="2"/>
      <c r="I330" s="11"/>
      <c r="J330" s="11"/>
      <c r="K330" s="5"/>
      <c r="L330" s="5"/>
      <c r="M330" s="5"/>
      <c r="N330" s="8"/>
      <c r="O330" s="8"/>
      <c r="P330" s="8"/>
      <c r="Q330" s="5"/>
      <c r="R330" s="8"/>
      <c r="S330" s="8"/>
      <c r="T330" s="8"/>
      <c r="U330" s="5"/>
      <c r="V330" s="8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  <c r="AI330" s="9"/>
      <c r="AJ330" s="9"/>
      <c r="AK330" s="9"/>
      <c r="AL330" s="9"/>
      <c r="AM330" s="9"/>
      <c r="AN330" s="9"/>
      <c r="AO330" s="9"/>
      <c r="AP330" s="9"/>
      <c r="AQ330" s="9"/>
      <c r="AR330" s="9"/>
      <c r="AS330" s="9"/>
      <c r="AT330" s="9"/>
      <c r="AU330" s="9"/>
      <c r="AV330" s="9"/>
      <c r="AW330" s="9"/>
      <c r="AX330" s="9"/>
      <c r="AY330" s="9"/>
      <c r="AZ330" s="9"/>
      <c r="BA330" s="9"/>
      <c r="BB330" s="9"/>
      <c r="BC330" s="9"/>
      <c r="BD330" s="9"/>
      <c r="BE330" s="9"/>
      <c r="BF330" s="9"/>
      <c r="BG330" s="9"/>
      <c r="BH330" s="9"/>
      <c r="BI330" s="9"/>
      <c r="BJ330" s="9"/>
      <c r="BK330" s="9"/>
      <c r="BL330" s="9"/>
      <c r="BM330" s="9"/>
      <c r="BN330" s="9"/>
      <c r="BO330" s="9"/>
      <c r="BP330" s="9"/>
      <c r="BQ330" s="9"/>
      <c r="BR330" s="9"/>
      <c r="BS330" s="9"/>
      <c r="BT330" s="9"/>
      <c r="BU330" s="9"/>
      <c r="BV330" s="9"/>
      <c r="BW330" s="9"/>
      <c r="BX330" s="9"/>
      <c r="BY330" s="9"/>
      <c r="BZ330" s="9"/>
      <c r="CA330" s="9"/>
      <c r="CB330" s="9"/>
      <c r="CC330" s="9"/>
      <c r="CD330" s="9"/>
      <c r="CE330" s="9"/>
      <c r="CF330" s="9"/>
      <c r="CG330" s="9"/>
      <c r="CH330" s="9"/>
      <c r="CI330" s="9"/>
      <c r="CJ330" s="9"/>
      <c r="CK330" s="9"/>
      <c r="CL330" s="9"/>
      <c r="CM330" s="9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</row>
    <row r="331" spans="1:118" ht="18" customHeight="1" x14ac:dyDescent="0.25">
      <c r="A331" s="5"/>
      <c r="B331" s="2"/>
      <c r="C331" s="2"/>
      <c r="D331" s="203"/>
      <c r="E331" s="2"/>
      <c r="F331" s="2"/>
      <c r="G331" s="2"/>
      <c r="H331" s="2"/>
      <c r="I331" s="11"/>
      <c r="J331" s="11"/>
      <c r="K331" s="5"/>
      <c r="L331" s="5"/>
      <c r="M331" s="5"/>
      <c r="N331" s="8"/>
      <c r="O331" s="8"/>
      <c r="P331" s="8"/>
      <c r="Q331" s="5"/>
      <c r="R331" s="8"/>
      <c r="S331" s="8"/>
      <c r="T331" s="8"/>
      <c r="U331" s="5"/>
      <c r="V331" s="8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  <c r="AI331" s="9"/>
      <c r="AJ331" s="9"/>
      <c r="AK331" s="9"/>
      <c r="AL331" s="9"/>
      <c r="AM331" s="9"/>
      <c r="AN331" s="9"/>
      <c r="AO331" s="9"/>
      <c r="AP331" s="9"/>
      <c r="AQ331" s="9"/>
      <c r="AR331" s="9"/>
      <c r="AS331" s="9"/>
      <c r="AT331" s="9"/>
      <c r="AU331" s="9"/>
      <c r="AV331" s="9"/>
      <c r="AW331" s="9"/>
      <c r="AX331" s="9"/>
      <c r="AY331" s="9"/>
      <c r="AZ331" s="9"/>
      <c r="BA331" s="9"/>
      <c r="BB331" s="9"/>
      <c r="BC331" s="9"/>
      <c r="BD331" s="9"/>
      <c r="BE331" s="9"/>
      <c r="BF331" s="9"/>
      <c r="BG331" s="9"/>
      <c r="BH331" s="9"/>
      <c r="BI331" s="9"/>
      <c r="BJ331" s="9"/>
      <c r="BK331" s="9"/>
      <c r="BL331" s="9"/>
      <c r="BM331" s="9"/>
      <c r="BN331" s="9"/>
      <c r="BO331" s="9"/>
      <c r="BP331" s="9"/>
      <c r="BQ331" s="9"/>
      <c r="BR331" s="9"/>
      <c r="BS331" s="9"/>
      <c r="BT331" s="9"/>
      <c r="BU331" s="9"/>
      <c r="BV331" s="9"/>
      <c r="BW331" s="9"/>
      <c r="BX331" s="9"/>
      <c r="BY331" s="9"/>
      <c r="BZ331" s="9"/>
      <c r="CA331" s="9"/>
      <c r="CB331" s="9"/>
      <c r="CC331" s="9"/>
      <c r="CD331" s="9"/>
      <c r="CE331" s="9"/>
      <c r="CF331" s="9"/>
      <c r="CG331" s="9"/>
      <c r="CH331" s="9"/>
      <c r="CI331" s="9"/>
      <c r="CJ331" s="9"/>
      <c r="CK331" s="9"/>
      <c r="CL331" s="9"/>
      <c r="CM331" s="9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</row>
    <row r="332" spans="1:118" ht="18" customHeight="1" x14ac:dyDescent="0.25">
      <c r="A332" s="5"/>
      <c r="B332" s="2"/>
      <c r="C332" s="2"/>
      <c r="D332" s="203"/>
      <c r="E332" s="2"/>
      <c r="F332" s="2"/>
      <c r="G332" s="2"/>
      <c r="H332" s="2"/>
      <c r="I332" s="11"/>
      <c r="J332" s="11"/>
      <c r="K332" s="5"/>
      <c r="L332" s="5"/>
      <c r="M332" s="5"/>
      <c r="N332" s="8"/>
      <c r="O332" s="8"/>
      <c r="P332" s="8"/>
      <c r="Q332" s="5"/>
      <c r="R332" s="8"/>
      <c r="S332" s="8"/>
      <c r="T332" s="8"/>
      <c r="U332" s="5"/>
      <c r="V332" s="8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  <c r="AI332" s="9"/>
      <c r="AJ332" s="9"/>
      <c r="AK332" s="9"/>
      <c r="AL332" s="9"/>
      <c r="AM332" s="9"/>
      <c r="AN332" s="9"/>
      <c r="AO332" s="9"/>
      <c r="AP332" s="9"/>
      <c r="AQ332" s="9"/>
      <c r="AR332" s="9"/>
      <c r="AS332" s="9"/>
      <c r="AT332" s="9"/>
      <c r="AU332" s="9"/>
      <c r="AV332" s="9"/>
      <c r="AW332" s="9"/>
      <c r="AX332" s="9"/>
      <c r="AY332" s="9"/>
      <c r="AZ332" s="9"/>
      <c r="BA332" s="9"/>
      <c r="BB332" s="9"/>
      <c r="BC332" s="9"/>
      <c r="BD332" s="9"/>
      <c r="BE332" s="9"/>
      <c r="BF332" s="9"/>
      <c r="BG332" s="9"/>
      <c r="BH332" s="9"/>
      <c r="BI332" s="9"/>
      <c r="BJ332" s="9"/>
      <c r="BK332" s="9"/>
      <c r="BL332" s="9"/>
      <c r="BM332" s="9"/>
      <c r="BN332" s="9"/>
      <c r="BO332" s="9"/>
      <c r="BP332" s="9"/>
      <c r="BQ332" s="9"/>
      <c r="BR332" s="9"/>
      <c r="BS332" s="9"/>
      <c r="BT332" s="9"/>
      <c r="BU332" s="9"/>
      <c r="BV332" s="9"/>
      <c r="BW332" s="9"/>
      <c r="BX332" s="9"/>
      <c r="BY332" s="9"/>
      <c r="BZ332" s="9"/>
      <c r="CA332" s="9"/>
      <c r="CB332" s="9"/>
      <c r="CC332" s="9"/>
      <c r="CD332" s="9"/>
      <c r="CE332" s="9"/>
      <c r="CF332" s="9"/>
      <c r="CG332" s="9"/>
      <c r="CH332" s="9"/>
      <c r="CI332" s="9"/>
      <c r="CJ332" s="9"/>
      <c r="CK332" s="9"/>
      <c r="CL332" s="9"/>
      <c r="CM332" s="9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</row>
    <row r="333" spans="1:118" ht="18" customHeight="1" x14ac:dyDescent="0.25">
      <c r="A333" s="5"/>
      <c r="B333" s="2"/>
      <c r="C333" s="2"/>
      <c r="D333" s="203"/>
      <c r="E333" s="2"/>
      <c r="F333" s="2"/>
      <c r="G333" s="2"/>
      <c r="H333" s="2"/>
      <c r="I333" s="11"/>
      <c r="J333" s="11"/>
      <c r="K333" s="5"/>
      <c r="L333" s="5"/>
      <c r="M333" s="5"/>
      <c r="N333" s="8"/>
      <c r="O333" s="8"/>
      <c r="P333" s="8"/>
      <c r="Q333" s="5"/>
      <c r="R333" s="8"/>
      <c r="S333" s="8"/>
      <c r="T333" s="8"/>
      <c r="U333" s="5"/>
      <c r="V333" s="8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  <c r="BF333" s="9"/>
      <c r="BG333" s="9"/>
      <c r="BH333" s="9"/>
      <c r="BI333" s="9"/>
      <c r="BJ333" s="9"/>
      <c r="BK333" s="9"/>
      <c r="BL333" s="9"/>
      <c r="BM333" s="9"/>
      <c r="BN333" s="9"/>
      <c r="BO333" s="9"/>
      <c r="BP333" s="9"/>
      <c r="BQ333" s="9"/>
      <c r="BR333" s="9"/>
      <c r="BS333" s="9"/>
      <c r="BT333" s="9"/>
      <c r="BU333" s="9"/>
      <c r="BV333" s="9"/>
      <c r="BW333" s="9"/>
      <c r="BX333" s="9"/>
      <c r="BY333" s="9"/>
      <c r="BZ333" s="9"/>
      <c r="CA333" s="9"/>
      <c r="CB333" s="9"/>
      <c r="CC333" s="9"/>
      <c r="CD333" s="9"/>
      <c r="CE333" s="9"/>
      <c r="CF333" s="9"/>
      <c r="CG333" s="9"/>
      <c r="CH333" s="9"/>
      <c r="CI333" s="9"/>
      <c r="CJ333" s="9"/>
      <c r="CK333" s="9"/>
      <c r="CL333" s="9"/>
      <c r="CM333" s="9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</row>
    <row r="334" spans="1:118" ht="18" customHeight="1" x14ac:dyDescent="0.25">
      <c r="A334" s="5"/>
      <c r="B334" s="2"/>
      <c r="C334" s="2"/>
      <c r="D334" s="203"/>
      <c r="E334" s="2"/>
      <c r="F334" s="2"/>
      <c r="G334" s="2"/>
      <c r="H334" s="2"/>
      <c r="I334" s="11"/>
      <c r="J334" s="11"/>
      <c r="K334" s="5"/>
      <c r="L334" s="5"/>
      <c r="M334" s="5"/>
      <c r="N334" s="8"/>
      <c r="O334" s="8"/>
      <c r="P334" s="8"/>
      <c r="Q334" s="5"/>
      <c r="R334" s="8"/>
      <c r="S334" s="8"/>
      <c r="T334" s="8"/>
      <c r="U334" s="5"/>
      <c r="V334" s="8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  <c r="AI334" s="9"/>
      <c r="AJ334" s="9"/>
      <c r="AK334" s="9"/>
      <c r="AL334" s="9"/>
      <c r="AM334" s="9"/>
      <c r="AN334" s="9"/>
      <c r="AO334" s="9"/>
      <c r="AP334" s="9"/>
      <c r="AQ334" s="9"/>
      <c r="AR334" s="9"/>
      <c r="AS334" s="9"/>
      <c r="AT334" s="9"/>
      <c r="AU334" s="9"/>
      <c r="AV334" s="9"/>
      <c r="AW334" s="9"/>
      <c r="AX334" s="9"/>
      <c r="AY334" s="9"/>
      <c r="AZ334" s="9"/>
      <c r="BA334" s="9"/>
      <c r="BB334" s="9"/>
      <c r="BC334" s="9"/>
      <c r="BD334" s="9"/>
      <c r="BE334" s="9"/>
      <c r="BF334" s="9"/>
      <c r="BG334" s="9"/>
      <c r="BH334" s="9"/>
      <c r="BI334" s="9"/>
      <c r="BJ334" s="9"/>
      <c r="BK334" s="9"/>
      <c r="BL334" s="9"/>
      <c r="BM334" s="9"/>
      <c r="BN334" s="9"/>
      <c r="BO334" s="9"/>
      <c r="BP334" s="9"/>
      <c r="BQ334" s="9"/>
      <c r="BR334" s="9"/>
      <c r="BS334" s="9"/>
      <c r="BT334" s="9"/>
      <c r="BU334" s="9"/>
      <c r="BV334" s="9"/>
      <c r="BW334" s="9"/>
      <c r="BX334" s="9"/>
      <c r="BY334" s="9"/>
      <c r="BZ334" s="9"/>
      <c r="CA334" s="9"/>
      <c r="CB334" s="9"/>
      <c r="CC334" s="9"/>
      <c r="CD334" s="9"/>
      <c r="CE334" s="9"/>
      <c r="CF334" s="9"/>
      <c r="CG334" s="9"/>
      <c r="CH334" s="9"/>
      <c r="CI334" s="9"/>
      <c r="CJ334" s="9"/>
      <c r="CK334" s="9"/>
      <c r="CL334" s="9"/>
      <c r="CM334" s="9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</row>
    <row r="335" spans="1:118" ht="18" customHeight="1" x14ac:dyDescent="0.25">
      <c r="A335" s="5"/>
      <c r="B335" s="2"/>
      <c r="C335" s="2"/>
      <c r="D335" s="203"/>
      <c r="E335" s="2"/>
      <c r="F335" s="2"/>
      <c r="G335" s="2"/>
      <c r="H335" s="2"/>
      <c r="I335" s="11"/>
      <c r="J335" s="11"/>
      <c r="K335" s="5"/>
      <c r="L335" s="5"/>
      <c r="M335" s="5"/>
      <c r="N335" s="8"/>
      <c r="O335" s="8"/>
      <c r="P335" s="8"/>
      <c r="Q335" s="5"/>
      <c r="R335" s="8"/>
      <c r="S335" s="8"/>
      <c r="T335" s="8"/>
      <c r="U335" s="5"/>
      <c r="V335" s="8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  <c r="AI335" s="9"/>
      <c r="AJ335" s="9"/>
      <c r="AK335" s="9"/>
      <c r="AL335" s="9"/>
      <c r="AM335" s="9"/>
      <c r="AN335" s="9"/>
      <c r="AO335" s="9"/>
      <c r="AP335" s="9"/>
      <c r="AQ335" s="9"/>
      <c r="AR335" s="9"/>
      <c r="AS335" s="9"/>
      <c r="AT335" s="9"/>
      <c r="AU335" s="9"/>
      <c r="AV335" s="9"/>
      <c r="AW335" s="9"/>
      <c r="AX335" s="9"/>
      <c r="AY335" s="9"/>
      <c r="AZ335" s="9"/>
      <c r="BA335" s="9"/>
      <c r="BB335" s="9"/>
      <c r="BC335" s="9"/>
      <c r="BD335" s="9"/>
      <c r="BE335" s="9"/>
      <c r="BF335" s="9"/>
      <c r="BG335" s="9"/>
      <c r="BH335" s="9"/>
      <c r="BI335" s="9"/>
      <c r="BJ335" s="9"/>
      <c r="BK335" s="9"/>
      <c r="BL335" s="9"/>
      <c r="BM335" s="9"/>
      <c r="BN335" s="9"/>
      <c r="BO335" s="9"/>
      <c r="BP335" s="9"/>
      <c r="BQ335" s="9"/>
      <c r="BR335" s="9"/>
      <c r="BS335" s="9"/>
      <c r="BT335" s="9"/>
      <c r="BU335" s="9"/>
      <c r="BV335" s="9"/>
      <c r="BW335" s="9"/>
      <c r="BX335" s="9"/>
      <c r="BY335" s="9"/>
      <c r="BZ335" s="9"/>
      <c r="CA335" s="9"/>
      <c r="CB335" s="9"/>
      <c r="CC335" s="9"/>
      <c r="CD335" s="9"/>
      <c r="CE335" s="9"/>
      <c r="CF335" s="9"/>
      <c r="CG335" s="9"/>
      <c r="CH335" s="9"/>
      <c r="CI335" s="9"/>
      <c r="CJ335" s="9"/>
      <c r="CK335" s="9"/>
      <c r="CL335" s="9"/>
      <c r="CM335" s="9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</row>
    <row r="336" spans="1:118" ht="18" customHeight="1" x14ac:dyDescent="0.25">
      <c r="A336" s="5"/>
      <c r="B336" s="2"/>
      <c r="C336" s="2"/>
      <c r="D336" s="203"/>
      <c r="E336" s="2"/>
      <c r="F336" s="2"/>
      <c r="G336" s="2"/>
      <c r="H336" s="2"/>
      <c r="I336" s="11"/>
      <c r="J336" s="11"/>
      <c r="K336" s="5"/>
      <c r="L336" s="5"/>
      <c r="M336" s="5"/>
      <c r="N336" s="8"/>
      <c r="O336" s="8"/>
      <c r="P336" s="8"/>
      <c r="Q336" s="5"/>
      <c r="R336" s="8"/>
      <c r="S336" s="8"/>
      <c r="T336" s="8"/>
      <c r="U336" s="5"/>
      <c r="V336" s="8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  <c r="AI336" s="9"/>
      <c r="AJ336" s="9"/>
      <c r="AK336" s="9"/>
      <c r="AL336" s="9"/>
      <c r="AM336" s="9"/>
      <c r="AN336" s="9"/>
      <c r="AO336" s="9"/>
      <c r="AP336" s="9"/>
      <c r="AQ336" s="9"/>
      <c r="AR336" s="9"/>
      <c r="AS336" s="9"/>
      <c r="AT336" s="9"/>
      <c r="AU336" s="9"/>
      <c r="AV336" s="9"/>
      <c r="AW336" s="9"/>
      <c r="AX336" s="9"/>
      <c r="AY336" s="9"/>
      <c r="AZ336" s="9"/>
      <c r="BA336" s="9"/>
      <c r="BB336" s="9"/>
      <c r="BC336" s="9"/>
      <c r="BD336" s="9"/>
      <c r="BE336" s="9"/>
      <c r="BF336" s="9"/>
      <c r="BG336" s="9"/>
      <c r="BH336" s="9"/>
      <c r="BI336" s="9"/>
      <c r="BJ336" s="9"/>
      <c r="BK336" s="9"/>
      <c r="BL336" s="9"/>
      <c r="BM336" s="9"/>
      <c r="BN336" s="9"/>
      <c r="BO336" s="9"/>
      <c r="BP336" s="9"/>
      <c r="BQ336" s="9"/>
      <c r="BR336" s="9"/>
      <c r="BS336" s="9"/>
      <c r="BT336" s="9"/>
      <c r="BU336" s="9"/>
      <c r="BV336" s="9"/>
      <c r="BW336" s="9"/>
      <c r="BX336" s="9"/>
      <c r="BY336" s="9"/>
      <c r="BZ336" s="9"/>
      <c r="CA336" s="9"/>
      <c r="CB336" s="9"/>
      <c r="CC336" s="9"/>
      <c r="CD336" s="9"/>
      <c r="CE336" s="9"/>
      <c r="CF336" s="9"/>
      <c r="CG336" s="9"/>
      <c r="CH336" s="9"/>
      <c r="CI336" s="9"/>
      <c r="CJ336" s="9"/>
      <c r="CK336" s="9"/>
      <c r="CL336" s="9"/>
      <c r="CM336" s="9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</row>
    <row r="337" spans="1:118" ht="18" customHeight="1" x14ac:dyDescent="0.25">
      <c r="A337" s="5"/>
      <c r="B337" s="2"/>
      <c r="C337" s="2"/>
      <c r="D337" s="203"/>
      <c r="E337" s="2"/>
      <c r="F337" s="2"/>
      <c r="G337" s="2"/>
      <c r="H337" s="2"/>
      <c r="I337" s="11"/>
      <c r="J337" s="11"/>
      <c r="K337" s="5"/>
      <c r="L337" s="5"/>
      <c r="M337" s="5"/>
      <c r="N337" s="8"/>
      <c r="O337" s="8"/>
      <c r="P337" s="8"/>
      <c r="Q337" s="5"/>
      <c r="R337" s="8"/>
      <c r="S337" s="8"/>
      <c r="T337" s="8"/>
      <c r="U337" s="5"/>
      <c r="V337" s="8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  <c r="AI337" s="9"/>
      <c r="AJ337" s="9"/>
      <c r="AK337" s="9"/>
      <c r="AL337" s="9"/>
      <c r="AM337" s="9"/>
      <c r="AN337" s="9"/>
      <c r="AO337" s="9"/>
      <c r="AP337" s="9"/>
      <c r="AQ337" s="9"/>
      <c r="AR337" s="9"/>
      <c r="AS337" s="9"/>
      <c r="AT337" s="9"/>
      <c r="AU337" s="9"/>
      <c r="AV337" s="9"/>
      <c r="AW337" s="9"/>
      <c r="AX337" s="9"/>
      <c r="AY337" s="9"/>
      <c r="AZ337" s="9"/>
      <c r="BA337" s="9"/>
      <c r="BB337" s="9"/>
      <c r="BC337" s="9"/>
      <c r="BD337" s="9"/>
      <c r="BE337" s="9"/>
      <c r="BF337" s="9"/>
      <c r="BG337" s="9"/>
      <c r="BH337" s="9"/>
      <c r="BI337" s="9"/>
      <c r="BJ337" s="9"/>
      <c r="BK337" s="9"/>
      <c r="BL337" s="9"/>
      <c r="BM337" s="9"/>
      <c r="BN337" s="9"/>
      <c r="BO337" s="9"/>
      <c r="BP337" s="9"/>
      <c r="BQ337" s="9"/>
      <c r="BR337" s="9"/>
      <c r="BS337" s="9"/>
      <c r="BT337" s="9"/>
      <c r="BU337" s="9"/>
      <c r="BV337" s="9"/>
      <c r="BW337" s="9"/>
      <c r="BX337" s="9"/>
      <c r="BY337" s="9"/>
      <c r="BZ337" s="9"/>
      <c r="CA337" s="9"/>
      <c r="CB337" s="9"/>
      <c r="CC337" s="9"/>
      <c r="CD337" s="9"/>
      <c r="CE337" s="9"/>
      <c r="CF337" s="9"/>
      <c r="CG337" s="9"/>
      <c r="CH337" s="9"/>
      <c r="CI337" s="9"/>
      <c r="CJ337" s="9"/>
      <c r="CK337" s="9"/>
      <c r="CL337" s="9"/>
      <c r="CM337" s="9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</row>
    <row r="338" spans="1:118" ht="18" customHeight="1" x14ac:dyDescent="0.25">
      <c r="A338" s="5"/>
      <c r="B338" s="2"/>
      <c r="C338" s="2"/>
      <c r="D338" s="203"/>
      <c r="E338" s="2"/>
      <c r="F338" s="2"/>
      <c r="G338" s="2"/>
      <c r="H338" s="2"/>
      <c r="I338" s="11"/>
      <c r="J338" s="11"/>
      <c r="K338" s="5"/>
      <c r="L338" s="5"/>
      <c r="M338" s="5"/>
      <c r="N338" s="8"/>
      <c r="O338" s="8"/>
      <c r="P338" s="8"/>
      <c r="Q338" s="5"/>
      <c r="R338" s="8"/>
      <c r="S338" s="8"/>
      <c r="T338" s="8"/>
      <c r="U338" s="5"/>
      <c r="V338" s="8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  <c r="AI338" s="9"/>
      <c r="AJ338" s="9"/>
      <c r="AK338" s="9"/>
      <c r="AL338" s="9"/>
      <c r="AM338" s="9"/>
      <c r="AN338" s="9"/>
      <c r="AO338" s="9"/>
      <c r="AP338" s="9"/>
      <c r="AQ338" s="9"/>
      <c r="AR338" s="9"/>
      <c r="AS338" s="9"/>
      <c r="AT338" s="9"/>
      <c r="AU338" s="9"/>
      <c r="AV338" s="9"/>
      <c r="AW338" s="9"/>
      <c r="AX338" s="9"/>
      <c r="AY338" s="9"/>
      <c r="AZ338" s="9"/>
      <c r="BA338" s="9"/>
      <c r="BB338" s="9"/>
      <c r="BC338" s="9"/>
      <c r="BD338" s="9"/>
      <c r="BE338" s="9"/>
      <c r="BF338" s="9"/>
      <c r="BG338" s="9"/>
      <c r="BH338" s="9"/>
      <c r="BI338" s="9"/>
      <c r="BJ338" s="9"/>
      <c r="BK338" s="9"/>
      <c r="BL338" s="9"/>
      <c r="BM338" s="9"/>
      <c r="BN338" s="9"/>
      <c r="BO338" s="9"/>
      <c r="BP338" s="9"/>
      <c r="BQ338" s="9"/>
      <c r="BR338" s="9"/>
      <c r="BS338" s="9"/>
      <c r="BT338" s="9"/>
      <c r="BU338" s="9"/>
      <c r="BV338" s="9"/>
      <c r="BW338" s="9"/>
      <c r="BX338" s="9"/>
      <c r="BY338" s="9"/>
      <c r="BZ338" s="9"/>
      <c r="CA338" s="9"/>
      <c r="CB338" s="9"/>
      <c r="CC338" s="9"/>
      <c r="CD338" s="9"/>
      <c r="CE338" s="9"/>
      <c r="CF338" s="9"/>
      <c r="CG338" s="9"/>
      <c r="CH338" s="9"/>
      <c r="CI338" s="9"/>
      <c r="CJ338" s="9"/>
      <c r="CK338" s="9"/>
      <c r="CL338" s="9"/>
      <c r="CM338" s="9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</row>
    <row r="339" spans="1:118" ht="18" customHeight="1" x14ac:dyDescent="0.25">
      <c r="A339" s="5"/>
      <c r="B339" s="2"/>
      <c r="C339" s="2"/>
      <c r="D339" s="203"/>
      <c r="E339" s="2"/>
      <c r="F339" s="2"/>
      <c r="G339" s="2"/>
      <c r="H339" s="2"/>
      <c r="I339" s="11"/>
      <c r="J339" s="11"/>
      <c r="K339" s="5"/>
      <c r="L339" s="5"/>
      <c r="M339" s="5"/>
      <c r="N339" s="8"/>
      <c r="O339" s="8"/>
      <c r="P339" s="8"/>
      <c r="Q339" s="5"/>
      <c r="R339" s="8"/>
      <c r="S339" s="8"/>
      <c r="T339" s="8"/>
      <c r="U339" s="5"/>
      <c r="V339" s="8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  <c r="AI339" s="9"/>
      <c r="AJ339" s="9"/>
      <c r="AK339" s="9"/>
      <c r="AL339" s="9"/>
      <c r="AM339" s="9"/>
      <c r="AN339" s="9"/>
      <c r="AO339" s="9"/>
      <c r="AP339" s="9"/>
      <c r="AQ339" s="9"/>
      <c r="AR339" s="9"/>
      <c r="AS339" s="9"/>
      <c r="AT339" s="9"/>
      <c r="AU339" s="9"/>
      <c r="AV339" s="9"/>
      <c r="AW339" s="9"/>
      <c r="AX339" s="9"/>
      <c r="AY339" s="9"/>
      <c r="AZ339" s="9"/>
      <c r="BA339" s="9"/>
      <c r="BB339" s="9"/>
      <c r="BC339" s="9"/>
      <c r="BD339" s="9"/>
      <c r="BE339" s="9"/>
      <c r="BF339" s="9"/>
      <c r="BG339" s="9"/>
      <c r="BH339" s="9"/>
      <c r="BI339" s="9"/>
      <c r="BJ339" s="9"/>
      <c r="BK339" s="9"/>
      <c r="BL339" s="9"/>
      <c r="BM339" s="9"/>
      <c r="BN339" s="9"/>
      <c r="BO339" s="9"/>
      <c r="BP339" s="9"/>
      <c r="BQ339" s="9"/>
      <c r="BR339" s="9"/>
      <c r="BS339" s="9"/>
      <c r="BT339" s="9"/>
      <c r="BU339" s="9"/>
      <c r="BV339" s="9"/>
      <c r="BW339" s="9"/>
      <c r="BX339" s="9"/>
      <c r="BY339" s="9"/>
      <c r="BZ339" s="9"/>
      <c r="CA339" s="9"/>
      <c r="CB339" s="9"/>
      <c r="CC339" s="9"/>
      <c r="CD339" s="9"/>
      <c r="CE339" s="9"/>
      <c r="CF339" s="9"/>
      <c r="CG339" s="9"/>
      <c r="CH339" s="9"/>
      <c r="CI339" s="9"/>
      <c r="CJ339" s="9"/>
      <c r="CK339" s="9"/>
      <c r="CL339" s="9"/>
      <c r="CM339" s="9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</row>
    <row r="340" spans="1:118" ht="18" customHeight="1" x14ac:dyDescent="0.25">
      <c r="A340" s="5"/>
      <c r="B340" s="2"/>
      <c r="C340" s="2"/>
      <c r="D340" s="203"/>
      <c r="E340" s="2"/>
      <c r="F340" s="2"/>
      <c r="G340" s="2"/>
      <c r="H340" s="2"/>
      <c r="I340" s="11"/>
      <c r="J340" s="11"/>
      <c r="K340" s="5"/>
      <c r="L340" s="5"/>
      <c r="M340" s="5"/>
      <c r="N340" s="8"/>
      <c r="O340" s="8"/>
      <c r="P340" s="8"/>
      <c r="Q340" s="5"/>
      <c r="R340" s="8"/>
      <c r="S340" s="8"/>
      <c r="T340" s="8"/>
      <c r="U340" s="5"/>
      <c r="V340" s="8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  <c r="AI340" s="9"/>
      <c r="AJ340" s="9"/>
      <c r="AK340" s="9"/>
      <c r="AL340" s="9"/>
      <c r="AM340" s="9"/>
      <c r="AN340" s="9"/>
      <c r="AO340" s="9"/>
      <c r="AP340" s="9"/>
      <c r="AQ340" s="9"/>
      <c r="AR340" s="9"/>
      <c r="AS340" s="9"/>
      <c r="AT340" s="9"/>
      <c r="AU340" s="9"/>
      <c r="AV340" s="9"/>
      <c r="AW340" s="9"/>
      <c r="AX340" s="9"/>
      <c r="AY340" s="9"/>
      <c r="AZ340" s="9"/>
      <c r="BA340" s="9"/>
      <c r="BB340" s="9"/>
      <c r="BC340" s="9"/>
      <c r="BD340" s="9"/>
      <c r="BE340" s="9"/>
      <c r="BF340" s="9"/>
      <c r="BG340" s="9"/>
      <c r="BH340" s="9"/>
      <c r="BI340" s="9"/>
      <c r="BJ340" s="9"/>
      <c r="BK340" s="9"/>
      <c r="BL340" s="9"/>
      <c r="BM340" s="9"/>
      <c r="BN340" s="9"/>
      <c r="BO340" s="9"/>
      <c r="BP340" s="9"/>
      <c r="BQ340" s="9"/>
      <c r="BR340" s="9"/>
      <c r="BS340" s="9"/>
      <c r="BT340" s="9"/>
      <c r="BU340" s="9"/>
      <c r="BV340" s="9"/>
      <c r="BW340" s="9"/>
      <c r="BX340" s="9"/>
      <c r="BY340" s="9"/>
      <c r="BZ340" s="9"/>
      <c r="CA340" s="9"/>
      <c r="CB340" s="9"/>
      <c r="CC340" s="9"/>
      <c r="CD340" s="9"/>
      <c r="CE340" s="9"/>
      <c r="CF340" s="9"/>
      <c r="CG340" s="9"/>
      <c r="CH340" s="9"/>
      <c r="CI340" s="9"/>
      <c r="CJ340" s="9"/>
      <c r="CK340" s="9"/>
      <c r="CL340" s="9"/>
      <c r="CM340" s="9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</row>
    <row r="341" spans="1:118" ht="18" customHeight="1" x14ac:dyDescent="0.25">
      <c r="A341" s="5"/>
      <c r="B341" s="2"/>
      <c r="C341" s="2"/>
      <c r="D341" s="203"/>
      <c r="E341" s="2"/>
      <c r="F341" s="2"/>
      <c r="G341" s="2"/>
      <c r="H341" s="2"/>
      <c r="I341" s="11"/>
      <c r="J341" s="11"/>
      <c r="K341" s="5"/>
      <c r="L341" s="5"/>
      <c r="M341" s="5"/>
      <c r="N341" s="8"/>
      <c r="O341" s="8"/>
      <c r="P341" s="8"/>
      <c r="Q341" s="5"/>
      <c r="R341" s="8"/>
      <c r="S341" s="8"/>
      <c r="T341" s="8"/>
      <c r="U341" s="5"/>
      <c r="V341" s="8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  <c r="AI341" s="9"/>
      <c r="AJ341" s="9"/>
      <c r="AK341" s="9"/>
      <c r="AL341" s="9"/>
      <c r="AM341" s="9"/>
      <c r="AN341" s="9"/>
      <c r="AO341" s="9"/>
      <c r="AP341" s="9"/>
      <c r="AQ341" s="9"/>
      <c r="AR341" s="9"/>
      <c r="AS341" s="9"/>
      <c r="AT341" s="9"/>
      <c r="AU341" s="9"/>
      <c r="AV341" s="9"/>
      <c r="AW341" s="9"/>
      <c r="AX341" s="9"/>
      <c r="AY341" s="9"/>
      <c r="AZ341" s="9"/>
      <c r="BA341" s="9"/>
      <c r="BB341" s="9"/>
      <c r="BC341" s="9"/>
      <c r="BD341" s="9"/>
      <c r="BE341" s="9"/>
      <c r="BF341" s="9"/>
      <c r="BG341" s="9"/>
      <c r="BH341" s="9"/>
      <c r="BI341" s="9"/>
      <c r="BJ341" s="9"/>
      <c r="BK341" s="9"/>
      <c r="BL341" s="9"/>
      <c r="BM341" s="9"/>
      <c r="BN341" s="9"/>
      <c r="BO341" s="9"/>
      <c r="BP341" s="9"/>
      <c r="BQ341" s="9"/>
      <c r="BR341" s="9"/>
      <c r="BS341" s="9"/>
      <c r="BT341" s="9"/>
      <c r="BU341" s="9"/>
      <c r="BV341" s="9"/>
      <c r="BW341" s="9"/>
      <c r="BX341" s="9"/>
      <c r="BY341" s="9"/>
      <c r="BZ341" s="9"/>
      <c r="CA341" s="9"/>
      <c r="CB341" s="9"/>
      <c r="CC341" s="9"/>
      <c r="CD341" s="9"/>
      <c r="CE341" s="9"/>
      <c r="CF341" s="9"/>
      <c r="CG341" s="9"/>
      <c r="CH341" s="9"/>
      <c r="CI341" s="9"/>
      <c r="CJ341" s="9"/>
      <c r="CK341" s="9"/>
      <c r="CL341" s="9"/>
      <c r="CM341" s="9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</row>
    <row r="342" spans="1:118" ht="18" customHeight="1" x14ac:dyDescent="0.25">
      <c r="A342" s="5"/>
      <c r="B342" s="2"/>
      <c r="C342" s="2"/>
      <c r="D342" s="203"/>
      <c r="E342" s="2"/>
      <c r="F342" s="2"/>
      <c r="G342" s="2"/>
      <c r="H342" s="2"/>
      <c r="I342" s="11"/>
      <c r="J342" s="11"/>
      <c r="K342" s="5"/>
      <c r="L342" s="5"/>
      <c r="M342" s="5"/>
      <c r="N342" s="8"/>
      <c r="O342" s="8"/>
      <c r="P342" s="8"/>
      <c r="Q342" s="5"/>
      <c r="R342" s="8"/>
      <c r="S342" s="8"/>
      <c r="T342" s="8"/>
      <c r="U342" s="5"/>
      <c r="V342" s="8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  <c r="AI342" s="9"/>
      <c r="AJ342" s="9"/>
      <c r="AK342" s="9"/>
      <c r="AL342" s="9"/>
      <c r="AM342" s="9"/>
      <c r="AN342" s="9"/>
      <c r="AO342" s="9"/>
      <c r="AP342" s="9"/>
      <c r="AQ342" s="9"/>
      <c r="AR342" s="9"/>
      <c r="AS342" s="9"/>
      <c r="AT342" s="9"/>
      <c r="AU342" s="9"/>
      <c r="AV342" s="9"/>
      <c r="AW342" s="9"/>
      <c r="AX342" s="9"/>
      <c r="AY342" s="9"/>
      <c r="AZ342" s="9"/>
      <c r="BA342" s="9"/>
      <c r="BB342" s="9"/>
      <c r="BC342" s="9"/>
      <c r="BD342" s="9"/>
      <c r="BE342" s="9"/>
      <c r="BF342" s="9"/>
      <c r="BG342" s="9"/>
      <c r="BH342" s="9"/>
      <c r="BI342" s="9"/>
      <c r="BJ342" s="9"/>
      <c r="BK342" s="9"/>
      <c r="BL342" s="9"/>
      <c r="BM342" s="9"/>
      <c r="BN342" s="9"/>
      <c r="BO342" s="9"/>
      <c r="BP342" s="9"/>
      <c r="BQ342" s="9"/>
      <c r="BR342" s="9"/>
      <c r="BS342" s="9"/>
      <c r="BT342" s="9"/>
      <c r="BU342" s="9"/>
      <c r="BV342" s="9"/>
      <c r="BW342" s="9"/>
      <c r="BX342" s="9"/>
      <c r="BY342" s="9"/>
      <c r="BZ342" s="9"/>
      <c r="CA342" s="9"/>
      <c r="CB342" s="9"/>
      <c r="CC342" s="9"/>
      <c r="CD342" s="9"/>
      <c r="CE342" s="9"/>
      <c r="CF342" s="9"/>
      <c r="CG342" s="9"/>
      <c r="CH342" s="9"/>
      <c r="CI342" s="9"/>
      <c r="CJ342" s="9"/>
      <c r="CK342" s="9"/>
      <c r="CL342" s="9"/>
      <c r="CM342" s="9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</row>
    <row r="343" spans="1:118" ht="18" customHeight="1" x14ac:dyDescent="0.25">
      <c r="A343" s="5"/>
      <c r="B343" s="2"/>
      <c r="C343" s="2"/>
      <c r="D343" s="203"/>
      <c r="E343" s="2"/>
      <c r="F343" s="2"/>
      <c r="G343" s="2"/>
      <c r="H343" s="2"/>
      <c r="I343" s="11"/>
      <c r="J343" s="11"/>
      <c r="K343" s="5"/>
      <c r="L343" s="5"/>
      <c r="M343" s="5"/>
      <c r="N343" s="8"/>
      <c r="O343" s="8"/>
      <c r="P343" s="8"/>
      <c r="Q343" s="5"/>
      <c r="R343" s="8"/>
      <c r="S343" s="8"/>
      <c r="T343" s="8"/>
      <c r="U343" s="5"/>
      <c r="V343" s="8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  <c r="AI343" s="9"/>
      <c r="AJ343" s="9"/>
      <c r="AK343" s="9"/>
      <c r="AL343" s="9"/>
      <c r="AM343" s="9"/>
      <c r="AN343" s="9"/>
      <c r="AO343" s="9"/>
      <c r="AP343" s="9"/>
      <c r="AQ343" s="9"/>
      <c r="AR343" s="9"/>
      <c r="AS343" s="9"/>
      <c r="AT343" s="9"/>
      <c r="AU343" s="9"/>
      <c r="AV343" s="9"/>
      <c r="AW343" s="9"/>
      <c r="AX343" s="9"/>
      <c r="AY343" s="9"/>
      <c r="AZ343" s="9"/>
      <c r="BA343" s="9"/>
      <c r="BB343" s="9"/>
      <c r="BC343" s="9"/>
      <c r="BD343" s="9"/>
      <c r="BE343" s="9"/>
      <c r="BF343" s="9"/>
      <c r="BG343" s="9"/>
      <c r="BH343" s="9"/>
      <c r="BI343" s="9"/>
      <c r="BJ343" s="9"/>
      <c r="BK343" s="9"/>
      <c r="BL343" s="9"/>
      <c r="BM343" s="9"/>
      <c r="BN343" s="9"/>
      <c r="BO343" s="9"/>
      <c r="BP343" s="9"/>
      <c r="BQ343" s="9"/>
      <c r="BR343" s="9"/>
      <c r="BS343" s="9"/>
      <c r="BT343" s="9"/>
      <c r="BU343" s="9"/>
      <c r="BV343" s="9"/>
      <c r="BW343" s="9"/>
      <c r="BX343" s="9"/>
      <c r="BY343" s="9"/>
      <c r="BZ343" s="9"/>
      <c r="CA343" s="9"/>
      <c r="CB343" s="9"/>
      <c r="CC343" s="9"/>
      <c r="CD343" s="9"/>
      <c r="CE343" s="9"/>
      <c r="CF343" s="9"/>
      <c r="CG343" s="9"/>
      <c r="CH343" s="9"/>
      <c r="CI343" s="9"/>
      <c r="CJ343" s="9"/>
      <c r="CK343" s="9"/>
      <c r="CL343" s="9"/>
      <c r="CM343" s="9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</row>
    <row r="344" spans="1:118" ht="18" customHeight="1" x14ac:dyDescent="0.25">
      <c r="A344" s="5"/>
      <c r="B344" s="2"/>
      <c r="C344" s="2"/>
      <c r="D344" s="203"/>
      <c r="E344" s="2"/>
      <c r="F344" s="2"/>
      <c r="G344" s="2"/>
      <c r="H344" s="2"/>
      <c r="I344" s="11"/>
      <c r="J344" s="11"/>
      <c r="K344" s="5"/>
      <c r="L344" s="5"/>
      <c r="M344" s="5"/>
      <c r="N344" s="8"/>
      <c r="O344" s="8"/>
      <c r="P344" s="8"/>
      <c r="Q344" s="5"/>
      <c r="R344" s="8"/>
      <c r="S344" s="8"/>
      <c r="T344" s="8"/>
      <c r="U344" s="5"/>
      <c r="V344" s="8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  <c r="AI344" s="9"/>
      <c r="AJ344" s="9"/>
      <c r="AK344" s="9"/>
      <c r="AL344" s="9"/>
      <c r="AM344" s="9"/>
      <c r="AN344" s="9"/>
      <c r="AO344" s="9"/>
      <c r="AP344" s="9"/>
      <c r="AQ344" s="9"/>
      <c r="AR344" s="9"/>
      <c r="AS344" s="9"/>
      <c r="AT344" s="9"/>
      <c r="AU344" s="9"/>
      <c r="AV344" s="9"/>
      <c r="AW344" s="9"/>
      <c r="AX344" s="9"/>
      <c r="AY344" s="9"/>
      <c r="AZ344" s="9"/>
      <c r="BA344" s="9"/>
      <c r="BB344" s="9"/>
      <c r="BC344" s="9"/>
      <c r="BD344" s="9"/>
      <c r="BE344" s="9"/>
      <c r="BF344" s="9"/>
      <c r="BG344" s="9"/>
      <c r="BH344" s="9"/>
      <c r="BI344" s="9"/>
      <c r="BJ344" s="9"/>
      <c r="BK344" s="9"/>
      <c r="BL344" s="9"/>
      <c r="BM344" s="9"/>
      <c r="BN344" s="9"/>
      <c r="BO344" s="9"/>
      <c r="BP344" s="9"/>
      <c r="BQ344" s="9"/>
      <c r="BR344" s="9"/>
      <c r="BS344" s="9"/>
      <c r="BT344" s="9"/>
      <c r="BU344" s="9"/>
      <c r="BV344" s="9"/>
      <c r="BW344" s="9"/>
      <c r="BX344" s="9"/>
      <c r="BY344" s="9"/>
      <c r="BZ344" s="9"/>
      <c r="CA344" s="9"/>
      <c r="CB344" s="9"/>
      <c r="CC344" s="9"/>
      <c r="CD344" s="9"/>
      <c r="CE344" s="9"/>
      <c r="CF344" s="9"/>
      <c r="CG344" s="9"/>
      <c r="CH344" s="9"/>
      <c r="CI344" s="9"/>
      <c r="CJ344" s="9"/>
      <c r="CK344" s="9"/>
      <c r="CL344" s="9"/>
      <c r="CM344" s="9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</row>
    <row r="345" spans="1:118" ht="18" customHeight="1" x14ac:dyDescent="0.25">
      <c r="A345" s="5"/>
      <c r="B345" s="2"/>
      <c r="C345" s="2"/>
      <c r="D345" s="203"/>
      <c r="E345" s="2"/>
      <c r="F345" s="2"/>
      <c r="G345" s="2"/>
      <c r="H345" s="2"/>
      <c r="I345" s="11"/>
      <c r="J345" s="11"/>
      <c r="K345" s="5"/>
      <c r="L345" s="5"/>
      <c r="M345" s="5"/>
      <c r="N345" s="8"/>
      <c r="O345" s="8"/>
      <c r="P345" s="8"/>
      <c r="Q345" s="5"/>
      <c r="R345" s="8"/>
      <c r="S345" s="8"/>
      <c r="T345" s="8"/>
      <c r="U345" s="5"/>
      <c r="V345" s="8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  <c r="AI345" s="9"/>
      <c r="AJ345" s="9"/>
      <c r="AK345" s="9"/>
      <c r="AL345" s="9"/>
      <c r="AM345" s="9"/>
      <c r="AN345" s="9"/>
      <c r="AO345" s="9"/>
      <c r="AP345" s="9"/>
      <c r="AQ345" s="9"/>
      <c r="AR345" s="9"/>
      <c r="AS345" s="9"/>
      <c r="AT345" s="9"/>
      <c r="AU345" s="9"/>
      <c r="AV345" s="9"/>
      <c r="AW345" s="9"/>
      <c r="AX345" s="9"/>
      <c r="AY345" s="9"/>
      <c r="AZ345" s="9"/>
      <c r="BA345" s="9"/>
      <c r="BB345" s="9"/>
      <c r="BC345" s="9"/>
      <c r="BD345" s="9"/>
      <c r="BE345" s="9"/>
      <c r="BF345" s="9"/>
      <c r="BG345" s="9"/>
      <c r="BH345" s="9"/>
      <c r="BI345" s="9"/>
      <c r="BJ345" s="9"/>
      <c r="BK345" s="9"/>
      <c r="BL345" s="9"/>
      <c r="BM345" s="9"/>
      <c r="BN345" s="9"/>
      <c r="BO345" s="9"/>
      <c r="BP345" s="9"/>
      <c r="BQ345" s="9"/>
      <c r="BR345" s="9"/>
      <c r="BS345" s="9"/>
      <c r="BT345" s="9"/>
      <c r="BU345" s="9"/>
      <c r="BV345" s="9"/>
      <c r="BW345" s="9"/>
      <c r="BX345" s="9"/>
      <c r="BY345" s="9"/>
      <c r="BZ345" s="9"/>
      <c r="CA345" s="9"/>
      <c r="CB345" s="9"/>
      <c r="CC345" s="9"/>
      <c r="CD345" s="9"/>
      <c r="CE345" s="9"/>
      <c r="CF345" s="9"/>
      <c r="CG345" s="9"/>
      <c r="CH345" s="9"/>
      <c r="CI345" s="9"/>
      <c r="CJ345" s="9"/>
      <c r="CK345" s="9"/>
      <c r="CL345" s="9"/>
      <c r="CM345" s="9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</row>
    <row r="346" spans="1:118" ht="18" customHeight="1" x14ac:dyDescent="0.25">
      <c r="A346" s="5"/>
      <c r="B346" s="2"/>
      <c r="C346" s="2"/>
      <c r="D346" s="203"/>
      <c r="E346" s="2"/>
      <c r="F346" s="2"/>
      <c r="G346" s="2"/>
      <c r="H346" s="2"/>
      <c r="I346" s="11"/>
      <c r="J346" s="11"/>
      <c r="K346" s="5"/>
      <c r="L346" s="5"/>
      <c r="M346" s="5"/>
      <c r="N346" s="8"/>
      <c r="O346" s="8"/>
      <c r="P346" s="8"/>
      <c r="Q346" s="5"/>
      <c r="R346" s="8"/>
      <c r="S346" s="8"/>
      <c r="T346" s="8"/>
      <c r="U346" s="5"/>
      <c r="V346" s="8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  <c r="AI346" s="9"/>
      <c r="AJ346" s="9"/>
      <c r="AK346" s="9"/>
      <c r="AL346" s="9"/>
      <c r="AM346" s="9"/>
      <c r="AN346" s="9"/>
      <c r="AO346" s="9"/>
      <c r="AP346" s="9"/>
      <c r="AQ346" s="9"/>
      <c r="AR346" s="9"/>
      <c r="AS346" s="9"/>
      <c r="AT346" s="9"/>
      <c r="AU346" s="9"/>
      <c r="AV346" s="9"/>
      <c r="AW346" s="9"/>
      <c r="AX346" s="9"/>
      <c r="AY346" s="9"/>
      <c r="AZ346" s="9"/>
      <c r="BA346" s="9"/>
      <c r="BB346" s="9"/>
      <c r="BC346" s="9"/>
      <c r="BD346" s="9"/>
      <c r="BE346" s="9"/>
      <c r="BF346" s="9"/>
      <c r="BG346" s="9"/>
      <c r="BH346" s="9"/>
      <c r="BI346" s="9"/>
      <c r="BJ346" s="9"/>
      <c r="BK346" s="9"/>
      <c r="BL346" s="9"/>
      <c r="BM346" s="9"/>
      <c r="BN346" s="9"/>
      <c r="BO346" s="9"/>
      <c r="BP346" s="9"/>
      <c r="BQ346" s="9"/>
      <c r="BR346" s="9"/>
      <c r="BS346" s="9"/>
      <c r="BT346" s="9"/>
      <c r="BU346" s="9"/>
      <c r="BV346" s="9"/>
      <c r="BW346" s="9"/>
      <c r="BX346" s="9"/>
      <c r="BY346" s="9"/>
      <c r="BZ346" s="9"/>
      <c r="CA346" s="9"/>
      <c r="CB346" s="9"/>
      <c r="CC346" s="9"/>
      <c r="CD346" s="9"/>
      <c r="CE346" s="9"/>
      <c r="CF346" s="9"/>
      <c r="CG346" s="9"/>
      <c r="CH346" s="9"/>
      <c r="CI346" s="9"/>
      <c r="CJ346" s="9"/>
      <c r="CK346" s="9"/>
      <c r="CL346" s="9"/>
      <c r="CM346" s="9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</row>
    <row r="347" spans="1:118" ht="18" customHeight="1" x14ac:dyDescent="0.25">
      <c r="A347" s="5"/>
      <c r="B347" s="2"/>
      <c r="C347" s="2"/>
      <c r="D347" s="203"/>
      <c r="E347" s="2"/>
      <c r="F347" s="2"/>
      <c r="G347" s="2"/>
      <c r="H347" s="2"/>
      <c r="I347" s="11"/>
      <c r="J347" s="11"/>
      <c r="K347" s="5"/>
      <c r="L347" s="5"/>
      <c r="M347" s="5"/>
      <c r="N347" s="8"/>
      <c r="O347" s="8"/>
      <c r="P347" s="8"/>
      <c r="Q347" s="5"/>
      <c r="R347" s="8"/>
      <c r="S347" s="8"/>
      <c r="T347" s="8"/>
      <c r="U347" s="5"/>
      <c r="V347" s="8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  <c r="AI347" s="9"/>
      <c r="AJ347" s="9"/>
      <c r="AK347" s="9"/>
      <c r="AL347" s="9"/>
      <c r="AM347" s="9"/>
      <c r="AN347" s="9"/>
      <c r="AO347" s="9"/>
      <c r="AP347" s="9"/>
      <c r="AQ347" s="9"/>
      <c r="AR347" s="9"/>
      <c r="AS347" s="9"/>
      <c r="AT347" s="9"/>
      <c r="AU347" s="9"/>
      <c r="AV347" s="9"/>
      <c r="AW347" s="9"/>
      <c r="AX347" s="9"/>
      <c r="AY347" s="9"/>
      <c r="AZ347" s="9"/>
      <c r="BA347" s="9"/>
      <c r="BB347" s="9"/>
      <c r="BC347" s="9"/>
      <c r="BD347" s="9"/>
      <c r="BE347" s="9"/>
      <c r="BF347" s="9"/>
      <c r="BG347" s="9"/>
      <c r="BH347" s="9"/>
      <c r="BI347" s="9"/>
      <c r="BJ347" s="9"/>
      <c r="BK347" s="9"/>
      <c r="BL347" s="9"/>
      <c r="BM347" s="9"/>
      <c r="BN347" s="9"/>
      <c r="BO347" s="9"/>
      <c r="BP347" s="9"/>
      <c r="BQ347" s="9"/>
      <c r="BR347" s="9"/>
      <c r="BS347" s="9"/>
      <c r="BT347" s="9"/>
      <c r="BU347" s="9"/>
      <c r="BV347" s="9"/>
      <c r="BW347" s="9"/>
      <c r="BX347" s="9"/>
      <c r="BY347" s="9"/>
      <c r="BZ347" s="9"/>
      <c r="CA347" s="9"/>
      <c r="CB347" s="9"/>
      <c r="CC347" s="9"/>
      <c r="CD347" s="9"/>
      <c r="CE347" s="9"/>
      <c r="CF347" s="9"/>
      <c r="CG347" s="9"/>
      <c r="CH347" s="9"/>
      <c r="CI347" s="9"/>
      <c r="CJ347" s="9"/>
      <c r="CK347" s="9"/>
      <c r="CL347" s="9"/>
      <c r="CM347" s="9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</row>
    <row r="348" spans="1:118" ht="18" customHeight="1" x14ac:dyDescent="0.25">
      <c r="A348" s="5"/>
      <c r="B348" s="2"/>
      <c r="C348" s="2"/>
      <c r="D348" s="203"/>
      <c r="E348" s="2"/>
      <c r="F348" s="2"/>
      <c r="G348" s="2"/>
      <c r="H348" s="2"/>
      <c r="I348" s="11"/>
      <c r="J348" s="11"/>
      <c r="K348" s="5"/>
      <c r="L348" s="5"/>
      <c r="M348" s="5"/>
      <c r="N348" s="8"/>
      <c r="O348" s="8"/>
      <c r="P348" s="8"/>
      <c r="Q348" s="5"/>
      <c r="R348" s="8"/>
      <c r="S348" s="8"/>
      <c r="T348" s="8"/>
      <c r="U348" s="5"/>
      <c r="V348" s="8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  <c r="AI348" s="9"/>
      <c r="AJ348" s="9"/>
      <c r="AK348" s="9"/>
      <c r="AL348" s="9"/>
      <c r="AM348" s="9"/>
      <c r="AN348" s="9"/>
      <c r="AO348" s="9"/>
      <c r="AP348" s="9"/>
      <c r="AQ348" s="9"/>
      <c r="AR348" s="9"/>
      <c r="AS348" s="9"/>
      <c r="AT348" s="9"/>
      <c r="AU348" s="9"/>
      <c r="AV348" s="9"/>
      <c r="AW348" s="9"/>
      <c r="AX348" s="9"/>
      <c r="AY348" s="9"/>
      <c r="AZ348" s="9"/>
      <c r="BA348" s="9"/>
      <c r="BB348" s="9"/>
      <c r="BC348" s="9"/>
      <c r="BD348" s="9"/>
      <c r="BE348" s="9"/>
      <c r="BF348" s="9"/>
      <c r="BG348" s="9"/>
      <c r="BH348" s="9"/>
      <c r="BI348" s="9"/>
      <c r="BJ348" s="9"/>
      <c r="BK348" s="9"/>
      <c r="BL348" s="9"/>
      <c r="BM348" s="9"/>
      <c r="BN348" s="9"/>
      <c r="BO348" s="9"/>
      <c r="BP348" s="9"/>
      <c r="BQ348" s="9"/>
      <c r="BR348" s="9"/>
      <c r="BS348" s="9"/>
      <c r="BT348" s="9"/>
      <c r="BU348" s="9"/>
      <c r="BV348" s="9"/>
      <c r="BW348" s="9"/>
      <c r="BX348" s="9"/>
      <c r="BY348" s="9"/>
      <c r="BZ348" s="9"/>
      <c r="CA348" s="9"/>
      <c r="CB348" s="9"/>
      <c r="CC348" s="9"/>
      <c r="CD348" s="9"/>
      <c r="CE348" s="9"/>
      <c r="CF348" s="9"/>
      <c r="CG348" s="9"/>
      <c r="CH348" s="9"/>
      <c r="CI348" s="9"/>
      <c r="CJ348" s="9"/>
      <c r="CK348" s="9"/>
      <c r="CL348" s="9"/>
      <c r="CM348" s="9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</row>
    <row r="349" spans="1:118" ht="18" customHeight="1" x14ac:dyDescent="0.25">
      <c r="A349" s="5"/>
      <c r="B349" s="2"/>
      <c r="C349" s="2"/>
      <c r="D349" s="203"/>
      <c r="E349" s="2"/>
      <c r="F349" s="2"/>
      <c r="G349" s="2"/>
      <c r="H349" s="2"/>
      <c r="I349" s="11"/>
      <c r="J349" s="11"/>
      <c r="K349" s="5"/>
      <c r="L349" s="5"/>
      <c r="M349" s="5"/>
      <c r="N349" s="8"/>
      <c r="O349" s="8"/>
      <c r="P349" s="8"/>
      <c r="Q349" s="5"/>
      <c r="R349" s="8"/>
      <c r="S349" s="8"/>
      <c r="T349" s="8"/>
      <c r="U349" s="5"/>
      <c r="V349" s="8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  <c r="AI349" s="9"/>
      <c r="AJ349" s="9"/>
      <c r="AK349" s="9"/>
      <c r="AL349" s="9"/>
      <c r="AM349" s="9"/>
      <c r="AN349" s="9"/>
      <c r="AO349" s="9"/>
      <c r="AP349" s="9"/>
      <c r="AQ349" s="9"/>
      <c r="AR349" s="9"/>
      <c r="AS349" s="9"/>
      <c r="AT349" s="9"/>
      <c r="AU349" s="9"/>
      <c r="AV349" s="9"/>
      <c r="AW349" s="9"/>
      <c r="AX349" s="9"/>
      <c r="AY349" s="9"/>
      <c r="AZ349" s="9"/>
      <c r="BA349" s="9"/>
      <c r="BB349" s="9"/>
      <c r="BC349" s="9"/>
      <c r="BD349" s="9"/>
      <c r="BE349" s="9"/>
      <c r="BF349" s="9"/>
      <c r="BG349" s="9"/>
      <c r="BH349" s="9"/>
      <c r="BI349" s="9"/>
      <c r="BJ349" s="9"/>
      <c r="BK349" s="9"/>
      <c r="BL349" s="9"/>
      <c r="BM349" s="9"/>
      <c r="BN349" s="9"/>
      <c r="BO349" s="9"/>
      <c r="BP349" s="9"/>
      <c r="BQ349" s="9"/>
      <c r="BR349" s="9"/>
      <c r="BS349" s="9"/>
      <c r="BT349" s="9"/>
      <c r="BU349" s="9"/>
      <c r="BV349" s="9"/>
      <c r="BW349" s="9"/>
      <c r="BX349" s="9"/>
      <c r="BY349" s="9"/>
      <c r="BZ349" s="9"/>
      <c r="CA349" s="9"/>
      <c r="CB349" s="9"/>
      <c r="CC349" s="9"/>
      <c r="CD349" s="9"/>
      <c r="CE349" s="9"/>
      <c r="CF349" s="9"/>
      <c r="CG349" s="9"/>
      <c r="CH349" s="9"/>
      <c r="CI349" s="9"/>
      <c r="CJ349" s="9"/>
      <c r="CK349" s="9"/>
      <c r="CL349" s="9"/>
      <c r="CM349" s="9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</row>
    <row r="350" spans="1:118" ht="18" customHeight="1" x14ac:dyDescent="0.25">
      <c r="A350" s="5"/>
      <c r="B350" s="2"/>
      <c r="C350" s="2"/>
      <c r="D350" s="203"/>
      <c r="E350" s="2"/>
      <c r="F350" s="2"/>
      <c r="G350" s="2"/>
      <c r="H350" s="2"/>
      <c r="I350" s="11"/>
      <c r="J350" s="11"/>
      <c r="K350" s="5"/>
      <c r="L350" s="5"/>
      <c r="M350" s="5"/>
      <c r="N350" s="8"/>
      <c r="O350" s="8"/>
      <c r="P350" s="8"/>
      <c r="Q350" s="5"/>
      <c r="R350" s="8"/>
      <c r="S350" s="8"/>
      <c r="T350" s="8"/>
      <c r="U350" s="5"/>
      <c r="V350" s="8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  <c r="AI350" s="9"/>
      <c r="AJ350" s="9"/>
      <c r="AK350" s="9"/>
      <c r="AL350" s="9"/>
      <c r="AM350" s="9"/>
      <c r="AN350" s="9"/>
      <c r="AO350" s="9"/>
      <c r="AP350" s="9"/>
      <c r="AQ350" s="9"/>
      <c r="AR350" s="9"/>
      <c r="AS350" s="9"/>
      <c r="AT350" s="9"/>
      <c r="AU350" s="9"/>
      <c r="AV350" s="9"/>
      <c r="AW350" s="9"/>
      <c r="AX350" s="9"/>
      <c r="AY350" s="9"/>
      <c r="AZ350" s="9"/>
      <c r="BA350" s="9"/>
      <c r="BB350" s="9"/>
      <c r="BC350" s="9"/>
      <c r="BD350" s="9"/>
      <c r="BE350" s="9"/>
      <c r="BF350" s="9"/>
      <c r="BG350" s="9"/>
      <c r="BH350" s="9"/>
      <c r="BI350" s="9"/>
      <c r="BJ350" s="9"/>
      <c r="BK350" s="9"/>
      <c r="BL350" s="9"/>
      <c r="BM350" s="9"/>
      <c r="BN350" s="9"/>
      <c r="BO350" s="9"/>
      <c r="BP350" s="9"/>
      <c r="BQ350" s="9"/>
      <c r="BR350" s="9"/>
      <c r="BS350" s="9"/>
      <c r="BT350" s="9"/>
      <c r="BU350" s="9"/>
      <c r="BV350" s="9"/>
      <c r="BW350" s="9"/>
      <c r="BX350" s="9"/>
      <c r="BY350" s="9"/>
      <c r="BZ350" s="9"/>
      <c r="CA350" s="9"/>
      <c r="CB350" s="9"/>
      <c r="CC350" s="9"/>
      <c r="CD350" s="9"/>
      <c r="CE350" s="9"/>
      <c r="CF350" s="9"/>
      <c r="CG350" s="9"/>
      <c r="CH350" s="9"/>
      <c r="CI350" s="9"/>
      <c r="CJ350" s="9"/>
      <c r="CK350" s="9"/>
      <c r="CL350" s="9"/>
      <c r="CM350" s="9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</row>
    <row r="351" spans="1:118" ht="18" customHeight="1" x14ac:dyDescent="0.25">
      <c r="A351" s="5"/>
      <c r="B351" s="2"/>
      <c r="C351" s="2"/>
      <c r="D351" s="203"/>
      <c r="E351" s="2"/>
      <c r="F351" s="2"/>
      <c r="G351" s="2"/>
      <c r="H351" s="2"/>
      <c r="I351" s="11"/>
      <c r="J351" s="11"/>
      <c r="K351" s="5"/>
      <c r="L351" s="5"/>
      <c r="M351" s="5"/>
      <c r="N351" s="8"/>
      <c r="O351" s="8"/>
      <c r="P351" s="8"/>
      <c r="Q351" s="5"/>
      <c r="R351" s="8"/>
      <c r="S351" s="8"/>
      <c r="T351" s="8"/>
      <c r="U351" s="5"/>
      <c r="V351" s="8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  <c r="AI351" s="9"/>
      <c r="AJ351" s="9"/>
      <c r="AK351" s="9"/>
      <c r="AL351" s="9"/>
      <c r="AM351" s="9"/>
      <c r="AN351" s="9"/>
      <c r="AO351" s="9"/>
      <c r="AP351" s="9"/>
      <c r="AQ351" s="9"/>
      <c r="AR351" s="9"/>
      <c r="AS351" s="9"/>
      <c r="AT351" s="9"/>
      <c r="AU351" s="9"/>
      <c r="AV351" s="9"/>
      <c r="AW351" s="9"/>
      <c r="AX351" s="9"/>
      <c r="AY351" s="9"/>
      <c r="AZ351" s="9"/>
      <c r="BA351" s="9"/>
      <c r="BB351" s="9"/>
      <c r="BC351" s="9"/>
      <c r="BD351" s="9"/>
      <c r="BE351" s="9"/>
      <c r="BF351" s="9"/>
      <c r="BG351" s="9"/>
      <c r="BH351" s="9"/>
      <c r="BI351" s="9"/>
      <c r="BJ351" s="9"/>
      <c r="BK351" s="9"/>
      <c r="BL351" s="9"/>
      <c r="BM351" s="9"/>
      <c r="BN351" s="9"/>
      <c r="BO351" s="9"/>
      <c r="BP351" s="9"/>
      <c r="BQ351" s="9"/>
      <c r="BR351" s="9"/>
      <c r="BS351" s="9"/>
      <c r="BT351" s="9"/>
      <c r="BU351" s="9"/>
      <c r="BV351" s="9"/>
      <c r="BW351" s="9"/>
      <c r="BX351" s="9"/>
      <c r="BY351" s="9"/>
      <c r="BZ351" s="9"/>
      <c r="CA351" s="9"/>
      <c r="CB351" s="9"/>
      <c r="CC351" s="9"/>
      <c r="CD351" s="9"/>
      <c r="CE351" s="9"/>
      <c r="CF351" s="9"/>
      <c r="CG351" s="9"/>
      <c r="CH351" s="9"/>
      <c r="CI351" s="9"/>
      <c r="CJ351" s="9"/>
      <c r="CK351" s="9"/>
      <c r="CL351" s="9"/>
      <c r="CM351" s="9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</row>
    <row r="352" spans="1:118" ht="18" customHeight="1" x14ac:dyDescent="0.25">
      <c r="A352" s="5"/>
      <c r="B352" s="2"/>
      <c r="C352" s="2"/>
      <c r="D352" s="203"/>
      <c r="E352" s="2"/>
      <c r="F352" s="2"/>
      <c r="G352" s="2"/>
      <c r="H352" s="2"/>
      <c r="I352" s="11"/>
      <c r="J352" s="11"/>
      <c r="K352" s="5"/>
      <c r="L352" s="5"/>
      <c r="M352" s="5"/>
      <c r="N352" s="8"/>
      <c r="O352" s="8"/>
      <c r="P352" s="8"/>
      <c r="Q352" s="5"/>
      <c r="R352" s="8"/>
      <c r="S352" s="8"/>
      <c r="T352" s="8"/>
      <c r="U352" s="5"/>
      <c r="V352" s="8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  <c r="AI352" s="9"/>
      <c r="AJ352" s="9"/>
      <c r="AK352" s="9"/>
      <c r="AL352" s="9"/>
      <c r="AM352" s="9"/>
      <c r="AN352" s="9"/>
      <c r="AO352" s="9"/>
      <c r="AP352" s="9"/>
      <c r="AQ352" s="9"/>
      <c r="AR352" s="9"/>
      <c r="AS352" s="9"/>
      <c r="AT352" s="9"/>
      <c r="AU352" s="9"/>
      <c r="AV352" s="9"/>
      <c r="AW352" s="9"/>
      <c r="AX352" s="9"/>
      <c r="AY352" s="9"/>
      <c r="AZ352" s="9"/>
      <c r="BA352" s="9"/>
      <c r="BB352" s="9"/>
      <c r="BC352" s="9"/>
      <c r="BD352" s="9"/>
      <c r="BE352" s="9"/>
      <c r="BF352" s="9"/>
      <c r="BG352" s="9"/>
      <c r="BH352" s="9"/>
      <c r="BI352" s="9"/>
      <c r="BJ352" s="9"/>
      <c r="BK352" s="9"/>
      <c r="BL352" s="9"/>
      <c r="BM352" s="9"/>
      <c r="BN352" s="9"/>
      <c r="BO352" s="9"/>
      <c r="BP352" s="9"/>
      <c r="BQ352" s="9"/>
      <c r="BR352" s="9"/>
      <c r="BS352" s="9"/>
      <c r="BT352" s="9"/>
      <c r="BU352" s="9"/>
      <c r="BV352" s="9"/>
      <c r="BW352" s="9"/>
      <c r="BX352" s="9"/>
      <c r="BY352" s="9"/>
      <c r="BZ352" s="9"/>
      <c r="CA352" s="9"/>
      <c r="CB352" s="9"/>
      <c r="CC352" s="9"/>
      <c r="CD352" s="9"/>
      <c r="CE352" s="9"/>
      <c r="CF352" s="9"/>
      <c r="CG352" s="9"/>
      <c r="CH352" s="9"/>
      <c r="CI352" s="9"/>
      <c r="CJ352" s="9"/>
      <c r="CK352" s="9"/>
      <c r="CL352" s="9"/>
      <c r="CM352" s="9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</row>
    <row r="353" spans="1:118" ht="18" customHeight="1" x14ac:dyDescent="0.25">
      <c r="A353" s="5"/>
      <c r="B353" s="2"/>
      <c r="C353" s="2"/>
      <c r="D353" s="203"/>
      <c r="E353" s="2"/>
      <c r="F353" s="2"/>
      <c r="G353" s="2"/>
      <c r="H353" s="2"/>
      <c r="I353" s="11"/>
      <c r="J353" s="11"/>
      <c r="K353" s="5"/>
      <c r="L353" s="5"/>
      <c r="M353" s="5"/>
      <c r="N353" s="8"/>
      <c r="O353" s="8"/>
      <c r="P353" s="8"/>
      <c r="Q353" s="5"/>
      <c r="R353" s="8"/>
      <c r="S353" s="8"/>
      <c r="T353" s="8"/>
      <c r="U353" s="5"/>
      <c r="V353" s="8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  <c r="AI353" s="9"/>
      <c r="AJ353" s="9"/>
      <c r="AK353" s="9"/>
      <c r="AL353" s="9"/>
      <c r="AM353" s="9"/>
      <c r="AN353" s="9"/>
      <c r="AO353" s="9"/>
      <c r="AP353" s="9"/>
      <c r="AQ353" s="9"/>
      <c r="AR353" s="9"/>
      <c r="AS353" s="9"/>
      <c r="AT353" s="9"/>
      <c r="AU353" s="9"/>
      <c r="AV353" s="9"/>
      <c r="AW353" s="9"/>
      <c r="AX353" s="9"/>
      <c r="AY353" s="9"/>
      <c r="AZ353" s="9"/>
      <c r="BA353" s="9"/>
      <c r="BB353" s="9"/>
      <c r="BC353" s="9"/>
      <c r="BD353" s="9"/>
      <c r="BE353" s="9"/>
      <c r="BF353" s="9"/>
      <c r="BG353" s="9"/>
      <c r="BH353" s="9"/>
      <c r="BI353" s="9"/>
      <c r="BJ353" s="9"/>
      <c r="BK353" s="9"/>
      <c r="BL353" s="9"/>
      <c r="BM353" s="9"/>
      <c r="BN353" s="9"/>
      <c r="BO353" s="9"/>
      <c r="BP353" s="9"/>
      <c r="BQ353" s="9"/>
      <c r="BR353" s="9"/>
      <c r="BS353" s="9"/>
      <c r="BT353" s="9"/>
      <c r="BU353" s="9"/>
      <c r="BV353" s="9"/>
      <c r="BW353" s="9"/>
      <c r="BX353" s="9"/>
      <c r="BY353" s="9"/>
      <c r="BZ353" s="9"/>
      <c r="CA353" s="9"/>
      <c r="CB353" s="9"/>
      <c r="CC353" s="9"/>
      <c r="CD353" s="9"/>
      <c r="CE353" s="9"/>
      <c r="CF353" s="9"/>
      <c r="CG353" s="9"/>
      <c r="CH353" s="9"/>
      <c r="CI353" s="9"/>
      <c r="CJ353" s="9"/>
      <c r="CK353" s="9"/>
      <c r="CL353" s="9"/>
      <c r="CM353" s="9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</row>
    <row r="354" spans="1:118" ht="18" customHeight="1" x14ac:dyDescent="0.25">
      <c r="A354" s="5"/>
      <c r="B354" s="2"/>
      <c r="C354" s="2"/>
      <c r="D354" s="203"/>
      <c r="E354" s="2"/>
      <c r="F354" s="2"/>
      <c r="G354" s="2"/>
      <c r="H354" s="2"/>
      <c r="I354" s="11"/>
      <c r="J354" s="11"/>
      <c r="K354" s="5"/>
      <c r="L354" s="5"/>
      <c r="M354" s="5"/>
      <c r="N354" s="8"/>
      <c r="O354" s="8"/>
      <c r="P354" s="8"/>
      <c r="Q354" s="5"/>
      <c r="R354" s="8"/>
      <c r="S354" s="8"/>
      <c r="T354" s="8"/>
      <c r="U354" s="5"/>
      <c r="V354" s="8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  <c r="AI354" s="9"/>
      <c r="AJ354" s="9"/>
      <c r="AK354" s="9"/>
      <c r="AL354" s="9"/>
      <c r="AM354" s="9"/>
      <c r="AN354" s="9"/>
      <c r="AO354" s="9"/>
      <c r="AP354" s="9"/>
      <c r="AQ354" s="9"/>
      <c r="AR354" s="9"/>
      <c r="AS354" s="9"/>
      <c r="AT354" s="9"/>
      <c r="AU354" s="9"/>
      <c r="AV354" s="9"/>
      <c r="AW354" s="9"/>
      <c r="AX354" s="9"/>
      <c r="AY354" s="9"/>
      <c r="AZ354" s="9"/>
      <c r="BA354" s="9"/>
      <c r="BB354" s="9"/>
      <c r="BC354" s="9"/>
      <c r="BD354" s="9"/>
      <c r="BE354" s="9"/>
      <c r="BF354" s="9"/>
      <c r="BG354" s="9"/>
      <c r="BH354" s="9"/>
      <c r="BI354" s="9"/>
      <c r="BJ354" s="9"/>
      <c r="BK354" s="9"/>
      <c r="BL354" s="9"/>
      <c r="BM354" s="9"/>
      <c r="BN354" s="9"/>
      <c r="BO354" s="9"/>
      <c r="BP354" s="9"/>
      <c r="BQ354" s="9"/>
      <c r="BR354" s="9"/>
      <c r="BS354" s="9"/>
      <c r="BT354" s="9"/>
      <c r="BU354" s="9"/>
      <c r="BV354" s="9"/>
      <c r="BW354" s="9"/>
      <c r="BX354" s="9"/>
      <c r="BY354" s="9"/>
      <c r="BZ354" s="9"/>
      <c r="CA354" s="9"/>
      <c r="CB354" s="9"/>
      <c r="CC354" s="9"/>
      <c r="CD354" s="9"/>
      <c r="CE354" s="9"/>
      <c r="CF354" s="9"/>
      <c r="CG354" s="9"/>
      <c r="CH354" s="9"/>
      <c r="CI354" s="9"/>
      <c r="CJ354" s="9"/>
      <c r="CK354" s="9"/>
      <c r="CL354" s="9"/>
      <c r="CM354" s="9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</row>
    <row r="355" spans="1:118" ht="18" customHeight="1" x14ac:dyDescent="0.25">
      <c r="A355" s="5"/>
      <c r="B355" s="2"/>
      <c r="C355" s="2"/>
      <c r="D355" s="203"/>
      <c r="E355" s="2"/>
      <c r="F355" s="2"/>
      <c r="G355" s="2"/>
      <c r="H355" s="2"/>
      <c r="I355" s="11"/>
      <c r="J355" s="11"/>
      <c r="K355" s="5"/>
      <c r="L355" s="5"/>
      <c r="M355" s="5"/>
      <c r="N355" s="8"/>
      <c r="O355" s="8"/>
      <c r="P355" s="8"/>
      <c r="Q355" s="5"/>
      <c r="R355" s="8"/>
      <c r="S355" s="8"/>
      <c r="T355" s="8"/>
      <c r="U355" s="5"/>
      <c r="V355" s="8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  <c r="AI355" s="9"/>
      <c r="AJ355" s="9"/>
      <c r="AK355" s="9"/>
      <c r="AL355" s="9"/>
      <c r="AM355" s="9"/>
      <c r="AN355" s="9"/>
      <c r="AO355" s="9"/>
      <c r="AP355" s="9"/>
      <c r="AQ355" s="9"/>
      <c r="AR355" s="9"/>
      <c r="AS355" s="9"/>
      <c r="AT355" s="9"/>
      <c r="AU355" s="9"/>
      <c r="AV355" s="9"/>
      <c r="AW355" s="9"/>
      <c r="AX355" s="9"/>
      <c r="AY355" s="9"/>
      <c r="AZ355" s="9"/>
      <c r="BA355" s="9"/>
      <c r="BB355" s="9"/>
      <c r="BC355" s="9"/>
      <c r="BD355" s="9"/>
      <c r="BE355" s="9"/>
      <c r="BF355" s="9"/>
      <c r="BG355" s="9"/>
      <c r="BH355" s="9"/>
      <c r="BI355" s="9"/>
      <c r="BJ355" s="9"/>
      <c r="BK355" s="9"/>
      <c r="BL355" s="9"/>
      <c r="BM355" s="9"/>
      <c r="BN355" s="9"/>
      <c r="BO355" s="9"/>
      <c r="BP355" s="9"/>
      <c r="BQ355" s="9"/>
      <c r="BR355" s="9"/>
      <c r="BS355" s="9"/>
      <c r="BT355" s="9"/>
      <c r="BU355" s="9"/>
      <c r="BV355" s="9"/>
      <c r="BW355" s="9"/>
      <c r="BX355" s="9"/>
      <c r="BY355" s="9"/>
      <c r="BZ355" s="9"/>
      <c r="CA355" s="9"/>
      <c r="CB355" s="9"/>
      <c r="CC355" s="9"/>
      <c r="CD355" s="9"/>
      <c r="CE355" s="9"/>
      <c r="CF355" s="9"/>
      <c r="CG355" s="9"/>
      <c r="CH355" s="9"/>
      <c r="CI355" s="9"/>
      <c r="CJ355" s="9"/>
      <c r="CK355" s="9"/>
      <c r="CL355" s="9"/>
      <c r="CM355" s="9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</row>
    <row r="356" spans="1:118" ht="18" customHeight="1" x14ac:dyDescent="0.25">
      <c r="A356" s="5"/>
      <c r="B356" s="2"/>
      <c r="C356" s="2"/>
      <c r="D356" s="203"/>
      <c r="E356" s="2"/>
      <c r="F356" s="2"/>
      <c r="G356" s="2"/>
      <c r="H356" s="2"/>
      <c r="I356" s="11"/>
      <c r="J356" s="11"/>
      <c r="K356" s="5"/>
      <c r="L356" s="5"/>
      <c r="M356" s="5"/>
      <c r="N356" s="8"/>
      <c r="O356" s="8"/>
      <c r="P356" s="8"/>
      <c r="Q356" s="5"/>
      <c r="R356" s="8"/>
      <c r="S356" s="8"/>
      <c r="T356" s="8"/>
      <c r="U356" s="5"/>
      <c r="V356" s="8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  <c r="AI356" s="9"/>
      <c r="AJ356" s="9"/>
      <c r="AK356" s="9"/>
      <c r="AL356" s="9"/>
      <c r="AM356" s="9"/>
      <c r="AN356" s="9"/>
      <c r="AO356" s="9"/>
      <c r="AP356" s="9"/>
      <c r="AQ356" s="9"/>
      <c r="AR356" s="9"/>
      <c r="AS356" s="9"/>
      <c r="AT356" s="9"/>
      <c r="AU356" s="9"/>
      <c r="AV356" s="9"/>
      <c r="AW356" s="9"/>
      <c r="AX356" s="9"/>
      <c r="AY356" s="9"/>
      <c r="AZ356" s="9"/>
      <c r="BA356" s="9"/>
      <c r="BB356" s="9"/>
      <c r="BC356" s="9"/>
      <c r="BD356" s="9"/>
      <c r="BE356" s="9"/>
      <c r="BF356" s="9"/>
      <c r="BG356" s="9"/>
      <c r="BH356" s="9"/>
      <c r="BI356" s="9"/>
      <c r="BJ356" s="9"/>
      <c r="BK356" s="9"/>
      <c r="BL356" s="9"/>
      <c r="BM356" s="9"/>
      <c r="BN356" s="9"/>
      <c r="BO356" s="9"/>
      <c r="BP356" s="9"/>
      <c r="BQ356" s="9"/>
      <c r="BR356" s="9"/>
      <c r="BS356" s="9"/>
      <c r="BT356" s="9"/>
      <c r="BU356" s="9"/>
      <c r="BV356" s="9"/>
      <c r="BW356" s="9"/>
      <c r="BX356" s="9"/>
      <c r="BY356" s="9"/>
      <c r="BZ356" s="9"/>
      <c r="CA356" s="9"/>
      <c r="CB356" s="9"/>
      <c r="CC356" s="9"/>
      <c r="CD356" s="9"/>
      <c r="CE356" s="9"/>
      <c r="CF356" s="9"/>
      <c r="CG356" s="9"/>
      <c r="CH356" s="9"/>
      <c r="CI356" s="9"/>
      <c r="CJ356" s="9"/>
      <c r="CK356" s="9"/>
      <c r="CL356" s="9"/>
      <c r="CM356" s="9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</row>
    <row r="357" spans="1:118" ht="18" customHeight="1" x14ac:dyDescent="0.25">
      <c r="A357" s="5"/>
      <c r="B357" s="2"/>
      <c r="C357" s="2"/>
      <c r="D357" s="203"/>
      <c r="E357" s="2"/>
      <c r="F357" s="2"/>
      <c r="G357" s="2"/>
      <c r="H357" s="2"/>
      <c r="I357" s="11"/>
      <c r="J357" s="11"/>
      <c r="K357" s="5"/>
      <c r="L357" s="5"/>
      <c r="M357" s="5"/>
      <c r="N357" s="8"/>
      <c r="O357" s="8"/>
      <c r="P357" s="8"/>
      <c r="Q357" s="5"/>
      <c r="R357" s="8"/>
      <c r="S357" s="8"/>
      <c r="T357" s="8"/>
      <c r="U357" s="5"/>
      <c r="V357" s="8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  <c r="AI357" s="9"/>
      <c r="AJ357" s="9"/>
      <c r="AK357" s="9"/>
      <c r="AL357" s="9"/>
      <c r="AM357" s="9"/>
      <c r="AN357" s="9"/>
      <c r="AO357" s="9"/>
      <c r="AP357" s="9"/>
      <c r="AQ357" s="9"/>
      <c r="AR357" s="9"/>
      <c r="AS357" s="9"/>
      <c r="AT357" s="9"/>
      <c r="AU357" s="9"/>
      <c r="AV357" s="9"/>
      <c r="AW357" s="9"/>
      <c r="AX357" s="9"/>
      <c r="AY357" s="9"/>
      <c r="AZ357" s="9"/>
      <c r="BA357" s="9"/>
      <c r="BB357" s="9"/>
      <c r="BC357" s="9"/>
      <c r="BD357" s="9"/>
      <c r="BE357" s="9"/>
      <c r="BF357" s="9"/>
      <c r="BG357" s="9"/>
      <c r="BH357" s="9"/>
      <c r="BI357" s="9"/>
      <c r="BJ357" s="9"/>
      <c r="BK357" s="9"/>
      <c r="BL357" s="9"/>
      <c r="BM357" s="9"/>
      <c r="BN357" s="9"/>
      <c r="BO357" s="9"/>
      <c r="BP357" s="9"/>
      <c r="BQ357" s="9"/>
      <c r="BR357" s="9"/>
      <c r="BS357" s="9"/>
      <c r="BT357" s="9"/>
      <c r="BU357" s="9"/>
      <c r="BV357" s="9"/>
      <c r="BW357" s="9"/>
      <c r="BX357" s="9"/>
      <c r="BY357" s="9"/>
      <c r="BZ357" s="9"/>
      <c r="CA357" s="9"/>
      <c r="CB357" s="9"/>
      <c r="CC357" s="9"/>
      <c r="CD357" s="9"/>
      <c r="CE357" s="9"/>
      <c r="CF357" s="9"/>
      <c r="CG357" s="9"/>
      <c r="CH357" s="9"/>
      <c r="CI357" s="9"/>
      <c r="CJ357" s="9"/>
      <c r="CK357" s="9"/>
      <c r="CL357" s="9"/>
      <c r="CM357" s="9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</row>
    <row r="358" spans="1:118" ht="18" customHeight="1" x14ac:dyDescent="0.25">
      <c r="A358" s="5"/>
      <c r="B358" s="2"/>
      <c r="C358" s="2"/>
      <c r="D358" s="203"/>
      <c r="E358" s="2"/>
      <c r="F358" s="2"/>
      <c r="G358" s="2"/>
      <c r="H358" s="2"/>
      <c r="I358" s="11"/>
      <c r="J358" s="11"/>
      <c r="K358" s="5"/>
      <c r="L358" s="5"/>
      <c r="M358" s="5"/>
      <c r="N358" s="8"/>
      <c r="O358" s="8"/>
      <c r="P358" s="8"/>
      <c r="Q358" s="5"/>
      <c r="R358" s="8"/>
      <c r="S358" s="8"/>
      <c r="T358" s="8"/>
      <c r="U358" s="5"/>
      <c r="V358" s="8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  <c r="AI358" s="9"/>
      <c r="AJ358" s="9"/>
      <c r="AK358" s="9"/>
      <c r="AL358" s="9"/>
      <c r="AM358" s="9"/>
      <c r="AN358" s="9"/>
      <c r="AO358" s="9"/>
      <c r="AP358" s="9"/>
      <c r="AQ358" s="9"/>
      <c r="AR358" s="9"/>
      <c r="AS358" s="9"/>
      <c r="AT358" s="9"/>
      <c r="AU358" s="9"/>
      <c r="AV358" s="9"/>
      <c r="AW358" s="9"/>
      <c r="AX358" s="9"/>
      <c r="AY358" s="9"/>
      <c r="AZ358" s="9"/>
      <c r="BA358" s="9"/>
      <c r="BB358" s="9"/>
      <c r="BC358" s="9"/>
      <c r="BD358" s="9"/>
      <c r="BE358" s="9"/>
      <c r="BF358" s="9"/>
      <c r="BG358" s="9"/>
      <c r="BH358" s="9"/>
      <c r="BI358" s="9"/>
      <c r="BJ358" s="9"/>
      <c r="BK358" s="9"/>
      <c r="BL358" s="9"/>
      <c r="BM358" s="9"/>
      <c r="BN358" s="9"/>
      <c r="BO358" s="9"/>
      <c r="BP358" s="9"/>
      <c r="BQ358" s="9"/>
      <c r="BR358" s="9"/>
      <c r="BS358" s="9"/>
      <c r="BT358" s="9"/>
      <c r="BU358" s="9"/>
      <c r="BV358" s="9"/>
      <c r="BW358" s="9"/>
      <c r="BX358" s="9"/>
      <c r="BY358" s="9"/>
      <c r="BZ358" s="9"/>
      <c r="CA358" s="9"/>
      <c r="CB358" s="9"/>
      <c r="CC358" s="9"/>
      <c r="CD358" s="9"/>
      <c r="CE358" s="9"/>
      <c r="CF358" s="9"/>
      <c r="CG358" s="9"/>
      <c r="CH358" s="9"/>
      <c r="CI358" s="9"/>
      <c r="CJ358" s="9"/>
      <c r="CK358" s="9"/>
      <c r="CL358" s="9"/>
      <c r="CM358" s="9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</row>
    <row r="359" spans="1:118" ht="18" customHeight="1" x14ac:dyDescent="0.25">
      <c r="A359" s="5"/>
      <c r="B359" s="2"/>
      <c r="C359" s="2"/>
      <c r="D359" s="203"/>
      <c r="E359" s="2"/>
      <c r="F359" s="2"/>
      <c r="G359" s="2"/>
      <c r="H359" s="2"/>
      <c r="I359" s="11"/>
      <c r="J359" s="11"/>
      <c r="K359" s="5"/>
      <c r="L359" s="5"/>
      <c r="M359" s="5"/>
      <c r="N359" s="8"/>
      <c r="O359" s="8"/>
      <c r="P359" s="8"/>
      <c r="Q359" s="5"/>
      <c r="R359" s="8"/>
      <c r="S359" s="8"/>
      <c r="T359" s="8"/>
      <c r="U359" s="5"/>
      <c r="V359" s="8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  <c r="AI359" s="9"/>
      <c r="AJ359" s="9"/>
      <c r="AK359" s="9"/>
      <c r="AL359" s="9"/>
      <c r="AM359" s="9"/>
      <c r="AN359" s="9"/>
      <c r="AO359" s="9"/>
      <c r="AP359" s="9"/>
      <c r="AQ359" s="9"/>
      <c r="AR359" s="9"/>
      <c r="AS359" s="9"/>
      <c r="AT359" s="9"/>
      <c r="AU359" s="9"/>
      <c r="AV359" s="9"/>
      <c r="AW359" s="9"/>
      <c r="AX359" s="9"/>
      <c r="AY359" s="9"/>
      <c r="AZ359" s="9"/>
      <c r="BA359" s="9"/>
      <c r="BB359" s="9"/>
      <c r="BC359" s="9"/>
      <c r="BD359" s="9"/>
      <c r="BE359" s="9"/>
      <c r="BF359" s="9"/>
      <c r="BG359" s="9"/>
      <c r="BH359" s="9"/>
      <c r="BI359" s="9"/>
      <c r="BJ359" s="9"/>
      <c r="BK359" s="9"/>
      <c r="BL359" s="9"/>
      <c r="BM359" s="9"/>
      <c r="BN359" s="9"/>
      <c r="BO359" s="9"/>
      <c r="BP359" s="9"/>
      <c r="BQ359" s="9"/>
      <c r="BR359" s="9"/>
      <c r="BS359" s="9"/>
      <c r="BT359" s="9"/>
      <c r="BU359" s="9"/>
      <c r="BV359" s="9"/>
      <c r="BW359" s="9"/>
      <c r="BX359" s="9"/>
      <c r="BY359" s="9"/>
      <c r="BZ359" s="9"/>
      <c r="CA359" s="9"/>
      <c r="CB359" s="9"/>
      <c r="CC359" s="9"/>
      <c r="CD359" s="9"/>
      <c r="CE359" s="9"/>
      <c r="CF359" s="9"/>
      <c r="CG359" s="9"/>
      <c r="CH359" s="9"/>
      <c r="CI359" s="9"/>
      <c r="CJ359" s="9"/>
      <c r="CK359" s="9"/>
      <c r="CL359" s="9"/>
      <c r="CM359" s="9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</row>
    <row r="360" spans="1:118" ht="18" customHeight="1" x14ac:dyDescent="0.25">
      <c r="A360" s="5"/>
      <c r="B360" s="2"/>
      <c r="C360" s="2"/>
      <c r="D360" s="203"/>
      <c r="E360" s="2"/>
      <c r="F360" s="2"/>
      <c r="G360" s="2"/>
      <c r="H360" s="2"/>
      <c r="I360" s="11"/>
      <c r="J360" s="11"/>
      <c r="K360" s="5"/>
      <c r="L360" s="5"/>
      <c r="M360" s="5"/>
      <c r="N360" s="8"/>
      <c r="O360" s="8"/>
      <c r="P360" s="8"/>
      <c r="Q360" s="5"/>
      <c r="R360" s="8"/>
      <c r="S360" s="8"/>
      <c r="T360" s="8"/>
      <c r="U360" s="5"/>
      <c r="V360" s="8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  <c r="AI360" s="9"/>
      <c r="AJ360" s="9"/>
      <c r="AK360" s="9"/>
      <c r="AL360" s="9"/>
      <c r="AM360" s="9"/>
      <c r="AN360" s="9"/>
      <c r="AO360" s="9"/>
      <c r="AP360" s="9"/>
      <c r="AQ360" s="9"/>
      <c r="AR360" s="9"/>
      <c r="AS360" s="9"/>
      <c r="AT360" s="9"/>
      <c r="AU360" s="9"/>
      <c r="AV360" s="9"/>
      <c r="AW360" s="9"/>
      <c r="AX360" s="9"/>
      <c r="AY360" s="9"/>
      <c r="AZ360" s="9"/>
      <c r="BA360" s="9"/>
      <c r="BB360" s="9"/>
      <c r="BC360" s="9"/>
      <c r="BD360" s="9"/>
      <c r="BE360" s="9"/>
      <c r="BF360" s="9"/>
      <c r="BG360" s="9"/>
      <c r="BH360" s="9"/>
      <c r="BI360" s="9"/>
      <c r="BJ360" s="9"/>
      <c r="BK360" s="9"/>
      <c r="BL360" s="9"/>
      <c r="BM360" s="9"/>
      <c r="BN360" s="9"/>
      <c r="BO360" s="9"/>
      <c r="BP360" s="9"/>
      <c r="BQ360" s="9"/>
      <c r="BR360" s="9"/>
      <c r="BS360" s="9"/>
      <c r="BT360" s="9"/>
      <c r="BU360" s="9"/>
      <c r="BV360" s="9"/>
      <c r="BW360" s="9"/>
      <c r="BX360" s="9"/>
      <c r="BY360" s="9"/>
      <c r="BZ360" s="9"/>
      <c r="CA360" s="9"/>
      <c r="CB360" s="9"/>
      <c r="CC360" s="9"/>
      <c r="CD360" s="9"/>
      <c r="CE360" s="9"/>
      <c r="CF360" s="9"/>
      <c r="CG360" s="9"/>
      <c r="CH360" s="9"/>
      <c r="CI360" s="9"/>
      <c r="CJ360" s="9"/>
      <c r="CK360" s="9"/>
      <c r="CL360" s="9"/>
      <c r="CM360" s="9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</row>
    <row r="361" spans="1:118" ht="18" customHeight="1" x14ac:dyDescent="0.25">
      <c r="A361" s="5"/>
      <c r="B361" s="2"/>
      <c r="C361" s="2"/>
      <c r="D361" s="203"/>
      <c r="E361" s="2"/>
      <c r="F361" s="2"/>
      <c r="G361" s="2"/>
      <c r="H361" s="2"/>
      <c r="I361" s="11"/>
      <c r="J361" s="11"/>
      <c r="K361" s="5"/>
      <c r="L361" s="5"/>
      <c r="M361" s="5"/>
      <c r="N361" s="8"/>
      <c r="O361" s="8"/>
      <c r="P361" s="8"/>
      <c r="Q361" s="5"/>
      <c r="R361" s="8"/>
      <c r="S361" s="8"/>
      <c r="T361" s="8"/>
      <c r="U361" s="5"/>
      <c r="V361" s="8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  <c r="AI361" s="9"/>
      <c r="AJ361" s="9"/>
      <c r="AK361" s="9"/>
      <c r="AL361" s="9"/>
      <c r="AM361" s="9"/>
      <c r="AN361" s="9"/>
      <c r="AO361" s="9"/>
      <c r="AP361" s="9"/>
      <c r="AQ361" s="9"/>
      <c r="AR361" s="9"/>
      <c r="AS361" s="9"/>
      <c r="AT361" s="9"/>
      <c r="AU361" s="9"/>
      <c r="AV361" s="9"/>
      <c r="AW361" s="9"/>
      <c r="AX361" s="9"/>
      <c r="AY361" s="9"/>
      <c r="AZ361" s="9"/>
      <c r="BA361" s="9"/>
      <c r="BB361" s="9"/>
      <c r="BC361" s="9"/>
      <c r="BD361" s="9"/>
      <c r="BE361" s="9"/>
      <c r="BF361" s="9"/>
      <c r="BG361" s="9"/>
      <c r="BH361" s="9"/>
      <c r="BI361" s="9"/>
      <c r="BJ361" s="9"/>
      <c r="BK361" s="9"/>
      <c r="BL361" s="9"/>
      <c r="BM361" s="9"/>
      <c r="BN361" s="9"/>
      <c r="BO361" s="9"/>
      <c r="BP361" s="9"/>
      <c r="BQ361" s="9"/>
      <c r="BR361" s="9"/>
      <c r="BS361" s="9"/>
      <c r="BT361" s="9"/>
      <c r="BU361" s="9"/>
      <c r="BV361" s="9"/>
      <c r="BW361" s="9"/>
      <c r="BX361" s="9"/>
      <c r="BY361" s="9"/>
      <c r="BZ361" s="9"/>
      <c r="CA361" s="9"/>
      <c r="CB361" s="9"/>
      <c r="CC361" s="9"/>
      <c r="CD361" s="9"/>
      <c r="CE361" s="9"/>
      <c r="CF361" s="9"/>
      <c r="CG361" s="9"/>
      <c r="CH361" s="9"/>
      <c r="CI361" s="9"/>
      <c r="CJ361" s="9"/>
      <c r="CK361" s="9"/>
      <c r="CL361" s="9"/>
      <c r="CM361" s="9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</row>
    <row r="362" spans="1:118" ht="18" customHeight="1" x14ac:dyDescent="0.25">
      <c r="A362" s="5"/>
      <c r="B362" s="2"/>
      <c r="C362" s="2"/>
      <c r="D362" s="203"/>
      <c r="E362" s="2"/>
      <c r="F362" s="2"/>
      <c r="G362" s="2"/>
      <c r="H362" s="2"/>
      <c r="I362" s="11"/>
      <c r="J362" s="11"/>
      <c r="K362" s="5"/>
      <c r="L362" s="5"/>
      <c r="M362" s="5"/>
      <c r="N362" s="8"/>
      <c r="O362" s="8"/>
      <c r="P362" s="8"/>
      <c r="Q362" s="5"/>
      <c r="R362" s="8"/>
      <c r="S362" s="8"/>
      <c r="T362" s="8"/>
      <c r="U362" s="5"/>
      <c r="V362" s="8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  <c r="AI362" s="9"/>
      <c r="AJ362" s="9"/>
      <c r="AK362" s="9"/>
      <c r="AL362" s="9"/>
      <c r="AM362" s="9"/>
      <c r="AN362" s="9"/>
      <c r="AO362" s="9"/>
      <c r="AP362" s="9"/>
      <c r="AQ362" s="9"/>
      <c r="AR362" s="9"/>
      <c r="AS362" s="9"/>
      <c r="AT362" s="9"/>
      <c r="AU362" s="9"/>
      <c r="AV362" s="9"/>
      <c r="AW362" s="9"/>
      <c r="AX362" s="9"/>
      <c r="AY362" s="9"/>
      <c r="AZ362" s="9"/>
      <c r="BA362" s="9"/>
      <c r="BB362" s="9"/>
      <c r="BC362" s="9"/>
      <c r="BD362" s="9"/>
      <c r="BE362" s="9"/>
      <c r="BF362" s="9"/>
      <c r="BG362" s="9"/>
      <c r="BH362" s="9"/>
      <c r="BI362" s="9"/>
      <c r="BJ362" s="9"/>
      <c r="BK362" s="9"/>
      <c r="BL362" s="9"/>
      <c r="BM362" s="9"/>
      <c r="BN362" s="9"/>
      <c r="BO362" s="9"/>
      <c r="BP362" s="9"/>
      <c r="BQ362" s="9"/>
      <c r="BR362" s="9"/>
      <c r="BS362" s="9"/>
      <c r="BT362" s="9"/>
      <c r="BU362" s="9"/>
      <c r="BV362" s="9"/>
      <c r="BW362" s="9"/>
      <c r="BX362" s="9"/>
      <c r="BY362" s="9"/>
      <c r="BZ362" s="9"/>
      <c r="CA362" s="9"/>
      <c r="CB362" s="9"/>
      <c r="CC362" s="9"/>
      <c r="CD362" s="9"/>
      <c r="CE362" s="9"/>
      <c r="CF362" s="9"/>
      <c r="CG362" s="9"/>
      <c r="CH362" s="9"/>
      <c r="CI362" s="9"/>
      <c r="CJ362" s="9"/>
      <c r="CK362" s="9"/>
      <c r="CL362" s="9"/>
      <c r="CM362" s="9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</row>
    <row r="363" spans="1:118" ht="18" customHeight="1" x14ac:dyDescent="0.25">
      <c r="A363" s="5"/>
      <c r="B363" s="2"/>
      <c r="C363" s="2"/>
      <c r="D363" s="203"/>
      <c r="E363" s="2"/>
      <c r="F363" s="2"/>
      <c r="G363" s="2"/>
      <c r="H363" s="2"/>
      <c r="I363" s="11"/>
      <c r="J363" s="11"/>
      <c r="K363" s="5"/>
      <c r="L363" s="5"/>
      <c r="M363" s="5"/>
      <c r="N363" s="8"/>
      <c r="O363" s="8"/>
      <c r="P363" s="8"/>
      <c r="Q363" s="5"/>
      <c r="R363" s="8"/>
      <c r="S363" s="8"/>
      <c r="T363" s="8"/>
      <c r="U363" s="5"/>
      <c r="V363" s="8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  <c r="AI363" s="9"/>
      <c r="AJ363" s="9"/>
      <c r="AK363" s="9"/>
      <c r="AL363" s="9"/>
      <c r="AM363" s="9"/>
      <c r="AN363" s="9"/>
      <c r="AO363" s="9"/>
      <c r="AP363" s="9"/>
      <c r="AQ363" s="9"/>
      <c r="AR363" s="9"/>
      <c r="AS363" s="9"/>
      <c r="AT363" s="9"/>
      <c r="AU363" s="9"/>
      <c r="AV363" s="9"/>
      <c r="AW363" s="9"/>
      <c r="AX363" s="9"/>
      <c r="AY363" s="9"/>
      <c r="AZ363" s="9"/>
      <c r="BA363" s="9"/>
      <c r="BB363" s="9"/>
      <c r="BC363" s="9"/>
      <c r="BD363" s="9"/>
      <c r="BE363" s="9"/>
      <c r="BF363" s="9"/>
      <c r="BG363" s="9"/>
      <c r="BH363" s="9"/>
      <c r="BI363" s="9"/>
      <c r="BJ363" s="9"/>
      <c r="BK363" s="9"/>
      <c r="BL363" s="9"/>
      <c r="BM363" s="9"/>
      <c r="BN363" s="9"/>
      <c r="BO363" s="9"/>
      <c r="BP363" s="9"/>
      <c r="BQ363" s="9"/>
      <c r="BR363" s="9"/>
      <c r="BS363" s="9"/>
      <c r="BT363" s="9"/>
      <c r="BU363" s="9"/>
      <c r="BV363" s="9"/>
      <c r="BW363" s="9"/>
      <c r="BX363" s="9"/>
      <c r="BY363" s="9"/>
      <c r="BZ363" s="9"/>
      <c r="CA363" s="9"/>
      <c r="CB363" s="9"/>
      <c r="CC363" s="9"/>
      <c r="CD363" s="9"/>
      <c r="CE363" s="9"/>
      <c r="CF363" s="9"/>
      <c r="CG363" s="9"/>
      <c r="CH363" s="9"/>
      <c r="CI363" s="9"/>
      <c r="CJ363" s="9"/>
      <c r="CK363" s="9"/>
      <c r="CL363" s="9"/>
      <c r="CM363" s="9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</row>
    <row r="364" spans="1:118" ht="18" customHeight="1" x14ac:dyDescent="0.25">
      <c r="A364" s="5"/>
      <c r="B364" s="2"/>
      <c r="C364" s="2"/>
      <c r="D364" s="203"/>
      <c r="E364" s="2"/>
      <c r="F364" s="2"/>
      <c r="G364" s="2"/>
      <c r="H364" s="2"/>
      <c r="I364" s="11"/>
      <c r="J364" s="11"/>
      <c r="K364" s="5"/>
      <c r="L364" s="5"/>
      <c r="M364" s="5"/>
      <c r="N364" s="8"/>
      <c r="O364" s="8"/>
      <c r="P364" s="8"/>
      <c r="Q364" s="5"/>
      <c r="R364" s="8"/>
      <c r="S364" s="8"/>
      <c r="T364" s="8"/>
      <c r="U364" s="5"/>
      <c r="V364" s="8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  <c r="AI364" s="9"/>
      <c r="AJ364" s="9"/>
      <c r="AK364" s="9"/>
      <c r="AL364" s="9"/>
      <c r="AM364" s="9"/>
      <c r="AN364" s="9"/>
      <c r="AO364" s="9"/>
      <c r="AP364" s="9"/>
      <c r="AQ364" s="9"/>
      <c r="AR364" s="9"/>
      <c r="AS364" s="9"/>
      <c r="AT364" s="9"/>
      <c r="AU364" s="9"/>
      <c r="AV364" s="9"/>
      <c r="AW364" s="9"/>
      <c r="AX364" s="9"/>
      <c r="AY364" s="9"/>
      <c r="AZ364" s="9"/>
      <c r="BA364" s="9"/>
      <c r="BB364" s="9"/>
      <c r="BC364" s="9"/>
      <c r="BD364" s="9"/>
      <c r="BE364" s="9"/>
      <c r="BF364" s="9"/>
      <c r="BG364" s="9"/>
      <c r="BH364" s="9"/>
      <c r="BI364" s="9"/>
      <c r="BJ364" s="9"/>
      <c r="BK364" s="9"/>
      <c r="BL364" s="9"/>
      <c r="BM364" s="9"/>
      <c r="BN364" s="9"/>
      <c r="BO364" s="9"/>
      <c r="BP364" s="9"/>
      <c r="BQ364" s="9"/>
      <c r="BR364" s="9"/>
      <c r="BS364" s="9"/>
      <c r="BT364" s="9"/>
      <c r="BU364" s="9"/>
      <c r="BV364" s="9"/>
      <c r="BW364" s="9"/>
      <c r="BX364" s="9"/>
      <c r="BY364" s="9"/>
      <c r="BZ364" s="9"/>
      <c r="CA364" s="9"/>
      <c r="CB364" s="9"/>
      <c r="CC364" s="9"/>
      <c r="CD364" s="9"/>
      <c r="CE364" s="9"/>
      <c r="CF364" s="9"/>
      <c r="CG364" s="9"/>
      <c r="CH364" s="9"/>
      <c r="CI364" s="9"/>
      <c r="CJ364" s="9"/>
      <c r="CK364" s="9"/>
      <c r="CL364" s="9"/>
      <c r="CM364" s="9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</row>
    <row r="365" spans="1:118" ht="18" customHeight="1" x14ac:dyDescent="0.25">
      <c r="A365" s="5"/>
      <c r="B365" s="2"/>
      <c r="C365" s="2"/>
      <c r="D365" s="203"/>
      <c r="E365" s="2"/>
      <c r="F365" s="2"/>
      <c r="G365" s="2"/>
      <c r="H365" s="2"/>
      <c r="I365" s="11"/>
      <c r="J365" s="11"/>
      <c r="K365" s="5"/>
      <c r="L365" s="5"/>
      <c r="M365" s="5"/>
      <c r="N365" s="8"/>
      <c r="O365" s="8"/>
      <c r="P365" s="8"/>
      <c r="Q365" s="5"/>
      <c r="R365" s="8"/>
      <c r="S365" s="8"/>
      <c r="T365" s="8"/>
      <c r="U365" s="5"/>
      <c r="V365" s="8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  <c r="AI365" s="9"/>
      <c r="AJ365" s="9"/>
      <c r="AK365" s="9"/>
      <c r="AL365" s="9"/>
      <c r="AM365" s="9"/>
      <c r="AN365" s="9"/>
      <c r="AO365" s="9"/>
      <c r="AP365" s="9"/>
      <c r="AQ365" s="9"/>
      <c r="AR365" s="9"/>
      <c r="AS365" s="9"/>
      <c r="AT365" s="9"/>
      <c r="AU365" s="9"/>
      <c r="AV365" s="9"/>
      <c r="AW365" s="9"/>
      <c r="AX365" s="9"/>
      <c r="AY365" s="9"/>
      <c r="AZ365" s="9"/>
      <c r="BA365" s="9"/>
      <c r="BB365" s="9"/>
      <c r="BC365" s="9"/>
      <c r="BD365" s="9"/>
      <c r="BE365" s="9"/>
      <c r="BF365" s="9"/>
      <c r="BG365" s="9"/>
      <c r="BH365" s="9"/>
      <c r="BI365" s="9"/>
      <c r="BJ365" s="9"/>
      <c r="BK365" s="9"/>
      <c r="BL365" s="9"/>
      <c r="BM365" s="9"/>
      <c r="BN365" s="9"/>
      <c r="BO365" s="9"/>
      <c r="BP365" s="9"/>
      <c r="BQ365" s="9"/>
      <c r="BR365" s="9"/>
      <c r="BS365" s="9"/>
      <c r="BT365" s="9"/>
      <c r="BU365" s="9"/>
      <c r="BV365" s="9"/>
      <c r="BW365" s="9"/>
      <c r="BX365" s="9"/>
      <c r="BY365" s="9"/>
      <c r="BZ365" s="9"/>
      <c r="CA365" s="9"/>
      <c r="CB365" s="9"/>
      <c r="CC365" s="9"/>
      <c r="CD365" s="9"/>
      <c r="CE365" s="9"/>
      <c r="CF365" s="9"/>
      <c r="CG365" s="9"/>
      <c r="CH365" s="9"/>
      <c r="CI365" s="9"/>
      <c r="CJ365" s="9"/>
      <c r="CK365" s="9"/>
      <c r="CL365" s="9"/>
      <c r="CM365" s="9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</row>
    <row r="366" spans="1:118" ht="18" customHeight="1" x14ac:dyDescent="0.25">
      <c r="A366" s="5"/>
      <c r="B366" s="2"/>
      <c r="C366" s="2"/>
      <c r="D366" s="203"/>
      <c r="E366" s="2"/>
      <c r="F366" s="2"/>
      <c r="G366" s="2"/>
      <c r="H366" s="2"/>
      <c r="I366" s="11"/>
      <c r="J366" s="11"/>
      <c r="K366" s="5"/>
      <c r="L366" s="5"/>
      <c r="M366" s="5"/>
      <c r="N366" s="8"/>
      <c r="O366" s="8"/>
      <c r="P366" s="8"/>
      <c r="Q366" s="5"/>
      <c r="R366" s="8"/>
      <c r="S366" s="8"/>
      <c r="T366" s="8"/>
      <c r="U366" s="5"/>
      <c r="V366" s="8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  <c r="AI366" s="9"/>
      <c r="AJ366" s="9"/>
      <c r="AK366" s="9"/>
      <c r="AL366" s="9"/>
      <c r="AM366" s="9"/>
      <c r="AN366" s="9"/>
      <c r="AO366" s="9"/>
      <c r="AP366" s="9"/>
      <c r="AQ366" s="9"/>
      <c r="AR366" s="9"/>
      <c r="AS366" s="9"/>
      <c r="AT366" s="9"/>
      <c r="AU366" s="9"/>
      <c r="AV366" s="9"/>
      <c r="AW366" s="9"/>
      <c r="AX366" s="9"/>
      <c r="AY366" s="9"/>
      <c r="AZ366" s="9"/>
      <c r="BA366" s="9"/>
      <c r="BB366" s="9"/>
      <c r="BC366" s="9"/>
      <c r="BD366" s="9"/>
      <c r="BE366" s="9"/>
      <c r="BF366" s="9"/>
      <c r="BG366" s="9"/>
      <c r="BH366" s="9"/>
      <c r="BI366" s="9"/>
      <c r="BJ366" s="9"/>
      <c r="BK366" s="9"/>
      <c r="BL366" s="9"/>
      <c r="BM366" s="9"/>
      <c r="BN366" s="9"/>
      <c r="BO366" s="9"/>
      <c r="BP366" s="9"/>
      <c r="BQ366" s="9"/>
      <c r="BR366" s="9"/>
      <c r="BS366" s="9"/>
      <c r="BT366" s="9"/>
      <c r="BU366" s="9"/>
      <c r="BV366" s="9"/>
      <c r="BW366" s="9"/>
      <c r="BX366" s="9"/>
      <c r="BY366" s="9"/>
      <c r="BZ366" s="9"/>
      <c r="CA366" s="9"/>
      <c r="CB366" s="9"/>
      <c r="CC366" s="9"/>
      <c r="CD366" s="9"/>
      <c r="CE366" s="9"/>
      <c r="CF366" s="9"/>
      <c r="CG366" s="9"/>
      <c r="CH366" s="9"/>
      <c r="CI366" s="9"/>
      <c r="CJ366" s="9"/>
      <c r="CK366" s="9"/>
      <c r="CL366" s="9"/>
      <c r="CM366" s="9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</row>
    <row r="367" spans="1:118" ht="18" customHeight="1" x14ac:dyDescent="0.25">
      <c r="A367" s="5"/>
      <c r="B367" s="2"/>
      <c r="C367" s="2"/>
      <c r="D367" s="203"/>
      <c r="E367" s="2"/>
      <c r="F367" s="2"/>
      <c r="G367" s="2"/>
      <c r="H367" s="2"/>
      <c r="I367" s="11"/>
      <c r="J367" s="11"/>
      <c r="K367" s="5"/>
      <c r="L367" s="5"/>
      <c r="M367" s="5"/>
      <c r="N367" s="8"/>
      <c r="O367" s="8"/>
      <c r="P367" s="8"/>
      <c r="Q367" s="5"/>
      <c r="R367" s="8"/>
      <c r="S367" s="8"/>
      <c r="T367" s="8"/>
      <c r="U367" s="5"/>
      <c r="V367" s="8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  <c r="AI367" s="9"/>
      <c r="AJ367" s="9"/>
      <c r="AK367" s="9"/>
      <c r="AL367" s="9"/>
      <c r="AM367" s="9"/>
      <c r="AN367" s="9"/>
      <c r="AO367" s="9"/>
      <c r="AP367" s="9"/>
      <c r="AQ367" s="9"/>
      <c r="AR367" s="9"/>
      <c r="AS367" s="9"/>
      <c r="AT367" s="9"/>
      <c r="AU367" s="9"/>
      <c r="AV367" s="9"/>
      <c r="AW367" s="9"/>
      <c r="AX367" s="9"/>
      <c r="AY367" s="9"/>
      <c r="AZ367" s="9"/>
      <c r="BA367" s="9"/>
      <c r="BB367" s="9"/>
      <c r="BC367" s="9"/>
      <c r="BD367" s="9"/>
      <c r="BE367" s="9"/>
      <c r="BF367" s="9"/>
      <c r="BG367" s="9"/>
      <c r="BH367" s="9"/>
      <c r="BI367" s="9"/>
      <c r="BJ367" s="9"/>
      <c r="BK367" s="9"/>
      <c r="BL367" s="9"/>
      <c r="BM367" s="9"/>
      <c r="BN367" s="9"/>
      <c r="BO367" s="9"/>
      <c r="BP367" s="9"/>
      <c r="BQ367" s="9"/>
      <c r="BR367" s="9"/>
      <c r="BS367" s="9"/>
      <c r="BT367" s="9"/>
      <c r="BU367" s="9"/>
      <c r="BV367" s="9"/>
      <c r="BW367" s="9"/>
      <c r="BX367" s="9"/>
      <c r="BY367" s="9"/>
      <c r="BZ367" s="9"/>
      <c r="CA367" s="9"/>
      <c r="CB367" s="9"/>
      <c r="CC367" s="9"/>
      <c r="CD367" s="9"/>
      <c r="CE367" s="9"/>
      <c r="CF367" s="9"/>
      <c r="CG367" s="9"/>
      <c r="CH367" s="9"/>
      <c r="CI367" s="9"/>
      <c r="CJ367" s="9"/>
      <c r="CK367" s="9"/>
      <c r="CL367" s="9"/>
      <c r="CM367" s="9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</row>
    <row r="368" spans="1:118" ht="18" customHeight="1" x14ac:dyDescent="0.25">
      <c r="A368" s="5"/>
      <c r="B368" s="2"/>
      <c r="C368" s="2"/>
      <c r="D368" s="203"/>
      <c r="E368" s="2"/>
      <c r="F368" s="2"/>
      <c r="G368" s="2"/>
      <c r="H368" s="2"/>
      <c r="I368" s="11"/>
      <c r="J368" s="11"/>
      <c r="K368" s="5"/>
      <c r="L368" s="5"/>
      <c r="M368" s="5"/>
      <c r="N368" s="8"/>
      <c r="O368" s="8"/>
      <c r="P368" s="8"/>
      <c r="Q368" s="5"/>
      <c r="R368" s="8"/>
      <c r="S368" s="8"/>
      <c r="T368" s="8"/>
      <c r="U368" s="5"/>
      <c r="V368" s="8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  <c r="AI368" s="9"/>
      <c r="AJ368" s="9"/>
      <c r="AK368" s="9"/>
      <c r="AL368" s="9"/>
      <c r="AM368" s="9"/>
      <c r="AN368" s="9"/>
      <c r="AO368" s="9"/>
      <c r="AP368" s="9"/>
      <c r="AQ368" s="9"/>
      <c r="AR368" s="9"/>
      <c r="AS368" s="9"/>
      <c r="AT368" s="9"/>
      <c r="AU368" s="9"/>
      <c r="AV368" s="9"/>
      <c r="AW368" s="9"/>
      <c r="AX368" s="9"/>
      <c r="AY368" s="9"/>
      <c r="AZ368" s="9"/>
      <c r="BA368" s="9"/>
      <c r="BB368" s="9"/>
      <c r="BC368" s="9"/>
      <c r="BD368" s="9"/>
      <c r="BE368" s="9"/>
      <c r="BF368" s="9"/>
      <c r="BG368" s="9"/>
      <c r="BH368" s="9"/>
      <c r="BI368" s="9"/>
      <c r="BJ368" s="9"/>
      <c r="BK368" s="9"/>
      <c r="BL368" s="9"/>
      <c r="BM368" s="9"/>
      <c r="BN368" s="9"/>
      <c r="BO368" s="9"/>
      <c r="BP368" s="9"/>
      <c r="BQ368" s="9"/>
      <c r="BR368" s="9"/>
      <c r="BS368" s="9"/>
      <c r="BT368" s="9"/>
      <c r="BU368" s="9"/>
      <c r="BV368" s="9"/>
      <c r="BW368" s="9"/>
      <c r="BX368" s="9"/>
      <c r="BY368" s="9"/>
      <c r="BZ368" s="9"/>
      <c r="CA368" s="9"/>
      <c r="CB368" s="9"/>
      <c r="CC368" s="9"/>
      <c r="CD368" s="9"/>
      <c r="CE368" s="9"/>
      <c r="CF368" s="9"/>
      <c r="CG368" s="9"/>
      <c r="CH368" s="9"/>
      <c r="CI368" s="9"/>
      <c r="CJ368" s="9"/>
      <c r="CK368" s="9"/>
      <c r="CL368" s="9"/>
      <c r="CM368" s="9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</row>
    <row r="369" spans="1:118" ht="18" customHeight="1" x14ac:dyDescent="0.25">
      <c r="A369" s="5"/>
      <c r="B369" s="2"/>
      <c r="C369" s="2"/>
      <c r="D369" s="203"/>
      <c r="E369" s="2"/>
      <c r="F369" s="2"/>
      <c r="G369" s="2"/>
      <c r="H369" s="2"/>
      <c r="I369" s="11"/>
      <c r="J369" s="11"/>
      <c r="K369" s="5"/>
      <c r="L369" s="5"/>
      <c r="M369" s="5"/>
      <c r="N369" s="8"/>
      <c r="O369" s="8"/>
      <c r="P369" s="8"/>
      <c r="Q369" s="5"/>
      <c r="R369" s="8"/>
      <c r="S369" s="8"/>
      <c r="T369" s="8"/>
      <c r="U369" s="5"/>
      <c r="V369" s="8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  <c r="AI369" s="9"/>
      <c r="AJ369" s="9"/>
      <c r="AK369" s="9"/>
      <c r="AL369" s="9"/>
      <c r="AM369" s="9"/>
      <c r="AN369" s="9"/>
      <c r="AO369" s="9"/>
      <c r="AP369" s="9"/>
      <c r="AQ369" s="9"/>
      <c r="AR369" s="9"/>
      <c r="AS369" s="9"/>
      <c r="AT369" s="9"/>
      <c r="AU369" s="9"/>
      <c r="AV369" s="9"/>
      <c r="AW369" s="9"/>
      <c r="AX369" s="9"/>
      <c r="AY369" s="9"/>
      <c r="AZ369" s="9"/>
      <c r="BA369" s="9"/>
      <c r="BB369" s="9"/>
      <c r="BC369" s="9"/>
      <c r="BD369" s="9"/>
      <c r="BE369" s="9"/>
      <c r="BF369" s="9"/>
      <c r="BG369" s="9"/>
      <c r="BH369" s="9"/>
      <c r="BI369" s="9"/>
      <c r="BJ369" s="9"/>
      <c r="BK369" s="9"/>
      <c r="BL369" s="9"/>
      <c r="BM369" s="9"/>
      <c r="BN369" s="9"/>
      <c r="BO369" s="9"/>
      <c r="BP369" s="9"/>
      <c r="BQ369" s="9"/>
      <c r="BR369" s="9"/>
      <c r="BS369" s="9"/>
      <c r="BT369" s="9"/>
      <c r="BU369" s="9"/>
      <c r="BV369" s="9"/>
      <c r="BW369" s="9"/>
      <c r="BX369" s="9"/>
      <c r="BY369" s="9"/>
      <c r="BZ369" s="9"/>
      <c r="CA369" s="9"/>
      <c r="CB369" s="9"/>
      <c r="CC369" s="9"/>
      <c r="CD369" s="9"/>
      <c r="CE369" s="9"/>
      <c r="CF369" s="9"/>
      <c r="CG369" s="9"/>
      <c r="CH369" s="9"/>
      <c r="CI369" s="9"/>
      <c r="CJ369" s="9"/>
      <c r="CK369" s="9"/>
      <c r="CL369" s="9"/>
      <c r="CM369" s="9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</row>
    <row r="370" spans="1:118" ht="18" customHeight="1" x14ac:dyDescent="0.25">
      <c r="A370" s="5"/>
      <c r="B370" s="2"/>
      <c r="C370" s="2"/>
      <c r="D370" s="203"/>
      <c r="E370" s="2"/>
      <c r="F370" s="2"/>
      <c r="G370" s="2"/>
      <c r="H370" s="2"/>
      <c r="I370" s="11"/>
      <c r="J370" s="11"/>
      <c r="K370" s="5"/>
      <c r="L370" s="5"/>
      <c r="M370" s="5"/>
      <c r="N370" s="8"/>
      <c r="O370" s="8"/>
      <c r="P370" s="8"/>
      <c r="Q370" s="5"/>
      <c r="R370" s="8"/>
      <c r="S370" s="8"/>
      <c r="T370" s="8"/>
      <c r="U370" s="5"/>
      <c r="V370" s="8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  <c r="AI370" s="9"/>
      <c r="AJ370" s="9"/>
      <c r="AK370" s="9"/>
      <c r="AL370" s="9"/>
      <c r="AM370" s="9"/>
      <c r="AN370" s="9"/>
      <c r="AO370" s="9"/>
      <c r="AP370" s="9"/>
      <c r="AQ370" s="9"/>
      <c r="AR370" s="9"/>
      <c r="AS370" s="9"/>
      <c r="AT370" s="9"/>
      <c r="AU370" s="9"/>
      <c r="AV370" s="9"/>
      <c r="AW370" s="9"/>
      <c r="AX370" s="9"/>
      <c r="AY370" s="9"/>
      <c r="AZ370" s="9"/>
      <c r="BA370" s="9"/>
      <c r="BB370" s="9"/>
      <c r="BC370" s="9"/>
      <c r="BD370" s="9"/>
      <c r="BE370" s="9"/>
      <c r="BF370" s="9"/>
      <c r="BG370" s="9"/>
      <c r="BH370" s="9"/>
      <c r="BI370" s="9"/>
      <c r="BJ370" s="9"/>
      <c r="BK370" s="9"/>
      <c r="BL370" s="9"/>
      <c r="BM370" s="9"/>
      <c r="BN370" s="9"/>
      <c r="BO370" s="9"/>
      <c r="BP370" s="9"/>
      <c r="BQ370" s="9"/>
      <c r="BR370" s="9"/>
      <c r="BS370" s="9"/>
      <c r="BT370" s="9"/>
      <c r="BU370" s="9"/>
      <c r="BV370" s="9"/>
      <c r="BW370" s="9"/>
      <c r="BX370" s="9"/>
      <c r="BY370" s="9"/>
      <c r="BZ370" s="9"/>
      <c r="CA370" s="9"/>
      <c r="CB370" s="9"/>
      <c r="CC370" s="9"/>
      <c r="CD370" s="9"/>
      <c r="CE370" s="9"/>
      <c r="CF370" s="9"/>
      <c r="CG370" s="9"/>
      <c r="CH370" s="9"/>
      <c r="CI370" s="9"/>
      <c r="CJ370" s="9"/>
      <c r="CK370" s="9"/>
      <c r="CL370" s="9"/>
      <c r="CM370" s="9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</row>
    <row r="371" spans="1:118" ht="18" customHeight="1" x14ac:dyDescent="0.25">
      <c r="A371" s="5"/>
      <c r="B371" s="2"/>
      <c r="C371" s="2"/>
      <c r="D371" s="203"/>
      <c r="E371" s="2"/>
      <c r="F371" s="2"/>
      <c r="G371" s="2"/>
      <c r="H371" s="2"/>
      <c r="I371" s="11"/>
      <c r="J371" s="11"/>
      <c r="K371" s="5"/>
      <c r="L371" s="5"/>
      <c r="M371" s="5"/>
      <c r="N371" s="8"/>
      <c r="O371" s="8"/>
      <c r="P371" s="8"/>
      <c r="Q371" s="5"/>
      <c r="R371" s="8"/>
      <c r="S371" s="8"/>
      <c r="T371" s="8"/>
      <c r="U371" s="5"/>
      <c r="V371" s="8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  <c r="AI371" s="9"/>
      <c r="AJ371" s="9"/>
      <c r="AK371" s="9"/>
      <c r="AL371" s="9"/>
      <c r="AM371" s="9"/>
      <c r="AN371" s="9"/>
      <c r="AO371" s="9"/>
      <c r="AP371" s="9"/>
      <c r="AQ371" s="9"/>
      <c r="AR371" s="9"/>
      <c r="AS371" s="9"/>
      <c r="AT371" s="9"/>
      <c r="AU371" s="9"/>
      <c r="AV371" s="9"/>
      <c r="AW371" s="9"/>
      <c r="AX371" s="9"/>
      <c r="AY371" s="9"/>
      <c r="AZ371" s="9"/>
      <c r="BA371" s="9"/>
      <c r="BB371" s="9"/>
      <c r="BC371" s="9"/>
      <c r="BD371" s="9"/>
      <c r="BE371" s="9"/>
      <c r="BF371" s="9"/>
      <c r="BG371" s="9"/>
      <c r="BH371" s="9"/>
      <c r="BI371" s="9"/>
      <c r="BJ371" s="9"/>
      <c r="BK371" s="9"/>
      <c r="BL371" s="9"/>
      <c r="BM371" s="9"/>
      <c r="BN371" s="9"/>
      <c r="BO371" s="9"/>
      <c r="BP371" s="9"/>
      <c r="BQ371" s="9"/>
      <c r="BR371" s="9"/>
      <c r="BS371" s="9"/>
      <c r="BT371" s="9"/>
      <c r="BU371" s="9"/>
      <c r="BV371" s="9"/>
      <c r="BW371" s="9"/>
      <c r="BX371" s="9"/>
      <c r="BY371" s="9"/>
      <c r="BZ371" s="9"/>
      <c r="CA371" s="9"/>
      <c r="CB371" s="9"/>
      <c r="CC371" s="9"/>
      <c r="CD371" s="9"/>
      <c r="CE371" s="9"/>
      <c r="CF371" s="9"/>
      <c r="CG371" s="9"/>
      <c r="CH371" s="9"/>
      <c r="CI371" s="9"/>
      <c r="CJ371" s="9"/>
      <c r="CK371" s="9"/>
      <c r="CL371" s="9"/>
      <c r="CM371" s="9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</row>
    <row r="372" spans="1:118" ht="18" customHeight="1" x14ac:dyDescent="0.25">
      <c r="A372" s="5"/>
      <c r="B372" s="2"/>
      <c r="C372" s="2"/>
      <c r="D372" s="203"/>
      <c r="E372" s="2"/>
      <c r="F372" s="2"/>
      <c r="G372" s="2"/>
      <c r="H372" s="2"/>
      <c r="I372" s="11"/>
      <c r="J372" s="11"/>
      <c r="K372" s="5"/>
      <c r="L372" s="5"/>
      <c r="M372" s="5"/>
      <c r="N372" s="8"/>
      <c r="O372" s="8"/>
      <c r="P372" s="8"/>
      <c r="Q372" s="5"/>
      <c r="R372" s="8"/>
      <c r="S372" s="8"/>
      <c r="T372" s="8"/>
      <c r="U372" s="5"/>
      <c r="V372" s="8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  <c r="AI372" s="9"/>
      <c r="AJ372" s="9"/>
      <c r="AK372" s="9"/>
      <c r="AL372" s="9"/>
      <c r="AM372" s="9"/>
      <c r="AN372" s="9"/>
      <c r="AO372" s="9"/>
      <c r="AP372" s="9"/>
      <c r="AQ372" s="9"/>
      <c r="AR372" s="9"/>
      <c r="AS372" s="9"/>
      <c r="AT372" s="9"/>
      <c r="AU372" s="9"/>
      <c r="AV372" s="9"/>
      <c r="AW372" s="9"/>
      <c r="AX372" s="9"/>
      <c r="AY372" s="9"/>
      <c r="AZ372" s="9"/>
      <c r="BA372" s="9"/>
      <c r="BB372" s="9"/>
      <c r="BC372" s="9"/>
      <c r="BD372" s="9"/>
      <c r="BE372" s="9"/>
      <c r="BF372" s="9"/>
      <c r="BG372" s="9"/>
      <c r="BH372" s="9"/>
      <c r="BI372" s="9"/>
      <c r="BJ372" s="9"/>
      <c r="BK372" s="9"/>
      <c r="BL372" s="9"/>
      <c r="BM372" s="9"/>
      <c r="BN372" s="9"/>
      <c r="BO372" s="9"/>
      <c r="BP372" s="9"/>
      <c r="BQ372" s="9"/>
      <c r="BR372" s="9"/>
      <c r="BS372" s="9"/>
      <c r="BT372" s="9"/>
      <c r="BU372" s="9"/>
      <c r="BV372" s="9"/>
      <c r="BW372" s="9"/>
      <c r="BX372" s="9"/>
      <c r="BY372" s="9"/>
      <c r="BZ372" s="9"/>
      <c r="CA372" s="9"/>
      <c r="CB372" s="9"/>
      <c r="CC372" s="9"/>
      <c r="CD372" s="9"/>
      <c r="CE372" s="9"/>
      <c r="CF372" s="9"/>
      <c r="CG372" s="9"/>
      <c r="CH372" s="9"/>
      <c r="CI372" s="9"/>
      <c r="CJ372" s="9"/>
      <c r="CK372" s="9"/>
      <c r="CL372" s="9"/>
      <c r="CM372" s="9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</row>
    <row r="373" spans="1:118" ht="18" customHeight="1" x14ac:dyDescent="0.25">
      <c r="A373" s="5"/>
      <c r="B373" s="2"/>
      <c r="C373" s="2"/>
      <c r="D373" s="203"/>
      <c r="E373" s="2"/>
      <c r="F373" s="2"/>
      <c r="G373" s="2"/>
      <c r="H373" s="2"/>
      <c r="I373" s="11"/>
      <c r="J373" s="11"/>
      <c r="K373" s="5"/>
      <c r="L373" s="5"/>
      <c r="M373" s="5"/>
      <c r="N373" s="8"/>
      <c r="O373" s="8"/>
      <c r="P373" s="8"/>
      <c r="Q373" s="5"/>
      <c r="R373" s="8"/>
      <c r="S373" s="8"/>
      <c r="T373" s="8"/>
      <c r="U373" s="5"/>
      <c r="V373" s="8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  <c r="AI373" s="9"/>
      <c r="AJ373" s="9"/>
      <c r="AK373" s="9"/>
      <c r="AL373" s="9"/>
      <c r="AM373" s="9"/>
      <c r="AN373" s="9"/>
      <c r="AO373" s="9"/>
      <c r="AP373" s="9"/>
      <c r="AQ373" s="9"/>
      <c r="AR373" s="9"/>
      <c r="AS373" s="9"/>
      <c r="AT373" s="9"/>
      <c r="AU373" s="9"/>
      <c r="AV373" s="9"/>
      <c r="AW373" s="9"/>
      <c r="AX373" s="9"/>
      <c r="AY373" s="9"/>
      <c r="AZ373" s="9"/>
      <c r="BA373" s="9"/>
      <c r="BB373" s="9"/>
      <c r="BC373" s="9"/>
      <c r="BD373" s="9"/>
      <c r="BE373" s="9"/>
      <c r="BF373" s="9"/>
      <c r="BG373" s="9"/>
      <c r="BH373" s="9"/>
      <c r="BI373" s="9"/>
      <c r="BJ373" s="9"/>
      <c r="BK373" s="9"/>
      <c r="BL373" s="9"/>
      <c r="BM373" s="9"/>
      <c r="BN373" s="9"/>
      <c r="BO373" s="9"/>
      <c r="BP373" s="9"/>
      <c r="BQ373" s="9"/>
      <c r="BR373" s="9"/>
      <c r="BS373" s="9"/>
      <c r="BT373" s="9"/>
      <c r="BU373" s="9"/>
      <c r="BV373" s="9"/>
      <c r="BW373" s="9"/>
      <c r="BX373" s="9"/>
      <c r="BY373" s="9"/>
      <c r="BZ373" s="9"/>
      <c r="CA373" s="9"/>
      <c r="CB373" s="9"/>
      <c r="CC373" s="9"/>
      <c r="CD373" s="9"/>
      <c r="CE373" s="9"/>
      <c r="CF373" s="9"/>
      <c r="CG373" s="9"/>
      <c r="CH373" s="9"/>
      <c r="CI373" s="9"/>
      <c r="CJ373" s="9"/>
      <c r="CK373" s="9"/>
      <c r="CL373" s="9"/>
      <c r="CM373" s="9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</row>
    <row r="374" spans="1:118" ht="18" customHeight="1" x14ac:dyDescent="0.25">
      <c r="A374" s="5"/>
      <c r="B374" s="2"/>
      <c r="C374" s="2"/>
      <c r="D374" s="203"/>
      <c r="E374" s="2"/>
      <c r="F374" s="2"/>
      <c r="G374" s="2"/>
      <c r="H374" s="2"/>
      <c r="I374" s="11"/>
      <c r="J374" s="11"/>
      <c r="K374" s="5"/>
      <c r="L374" s="5"/>
      <c r="M374" s="5"/>
      <c r="N374" s="8"/>
      <c r="O374" s="8"/>
      <c r="P374" s="8"/>
      <c r="Q374" s="5"/>
      <c r="R374" s="8"/>
      <c r="S374" s="8"/>
      <c r="T374" s="8"/>
      <c r="U374" s="5"/>
      <c r="V374" s="8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  <c r="BF374" s="9"/>
      <c r="BG374" s="9"/>
      <c r="BH374" s="9"/>
      <c r="BI374" s="9"/>
      <c r="BJ374" s="9"/>
      <c r="BK374" s="9"/>
      <c r="BL374" s="9"/>
      <c r="BM374" s="9"/>
      <c r="BN374" s="9"/>
      <c r="BO374" s="9"/>
      <c r="BP374" s="9"/>
      <c r="BQ374" s="9"/>
      <c r="BR374" s="9"/>
      <c r="BS374" s="9"/>
      <c r="BT374" s="9"/>
      <c r="BU374" s="9"/>
      <c r="BV374" s="9"/>
      <c r="BW374" s="9"/>
      <c r="BX374" s="9"/>
      <c r="BY374" s="9"/>
      <c r="BZ374" s="9"/>
      <c r="CA374" s="9"/>
      <c r="CB374" s="9"/>
      <c r="CC374" s="9"/>
      <c r="CD374" s="9"/>
      <c r="CE374" s="9"/>
      <c r="CF374" s="9"/>
      <c r="CG374" s="9"/>
      <c r="CH374" s="9"/>
      <c r="CI374" s="9"/>
      <c r="CJ374" s="9"/>
      <c r="CK374" s="9"/>
      <c r="CL374" s="9"/>
      <c r="CM374" s="9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</row>
    <row r="375" spans="1:118" ht="18" customHeight="1" x14ac:dyDescent="0.25">
      <c r="A375" s="5"/>
      <c r="B375" s="2"/>
      <c r="C375" s="2"/>
      <c r="D375" s="203"/>
      <c r="E375" s="2"/>
      <c r="F375" s="2"/>
      <c r="G375" s="2"/>
      <c r="H375" s="2"/>
      <c r="I375" s="11"/>
      <c r="J375" s="11"/>
      <c r="K375" s="5"/>
      <c r="L375" s="5"/>
      <c r="M375" s="5"/>
      <c r="N375" s="8"/>
      <c r="O375" s="8"/>
      <c r="P375" s="8"/>
      <c r="Q375" s="5"/>
      <c r="R375" s="8"/>
      <c r="S375" s="8"/>
      <c r="T375" s="8"/>
      <c r="U375" s="5"/>
      <c r="V375" s="8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  <c r="AI375" s="9"/>
      <c r="AJ375" s="9"/>
      <c r="AK375" s="9"/>
      <c r="AL375" s="9"/>
      <c r="AM375" s="9"/>
      <c r="AN375" s="9"/>
      <c r="AO375" s="9"/>
      <c r="AP375" s="9"/>
      <c r="AQ375" s="9"/>
      <c r="AR375" s="9"/>
      <c r="AS375" s="9"/>
      <c r="AT375" s="9"/>
      <c r="AU375" s="9"/>
      <c r="AV375" s="9"/>
      <c r="AW375" s="9"/>
      <c r="AX375" s="9"/>
      <c r="AY375" s="9"/>
      <c r="AZ375" s="9"/>
      <c r="BA375" s="9"/>
      <c r="BB375" s="9"/>
      <c r="BC375" s="9"/>
      <c r="BD375" s="9"/>
      <c r="BE375" s="9"/>
      <c r="BF375" s="9"/>
      <c r="BG375" s="9"/>
      <c r="BH375" s="9"/>
      <c r="BI375" s="9"/>
      <c r="BJ375" s="9"/>
      <c r="BK375" s="9"/>
      <c r="BL375" s="9"/>
      <c r="BM375" s="9"/>
      <c r="BN375" s="9"/>
      <c r="BO375" s="9"/>
      <c r="BP375" s="9"/>
      <c r="BQ375" s="9"/>
      <c r="BR375" s="9"/>
      <c r="BS375" s="9"/>
      <c r="BT375" s="9"/>
      <c r="BU375" s="9"/>
      <c r="BV375" s="9"/>
      <c r="BW375" s="9"/>
      <c r="BX375" s="9"/>
      <c r="BY375" s="9"/>
      <c r="BZ375" s="9"/>
      <c r="CA375" s="9"/>
      <c r="CB375" s="9"/>
      <c r="CC375" s="9"/>
      <c r="CD375" s="9"/>
      <c r="CE375" s="9"/>
      <c r="CF375" s="9"/>
      <c r="CG375" s="9"/>
      <c r="CH375" s="9"/>
      <c r="CI375" s="9"/>
      <c r="CJ375" s="9"/>
      <c r="CK375" s="9"/>
      <c r="CL375" s="9"/>
      <c r="CM375" s="9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</row>
    <row r="376" spans="1:118" ht="18" customHeight="1" x14ac:dyDescent="0.25">
      <c r="A376" s="5"/>
      <c r="B376" s="2"/>
      <c r="C376" s="2"/>
      <c r="D376" s="203"/>
      <c r="E376" s="2"/>
      <c r="F376" s="2"/>
      <c r="G376" s="2"/>
      <c r="H376" s="2"/>
      <c r="I376" s="11"/>
      <c r="J376" s="11"/>
      <c r="K376" s="5"/>
      <c r="L376" s="5"/>
      <c r="M376" s="5"/>
      <c r="N376" s="8"/>
      <c r="O376" s="8"/>
      <c r="P376" s="8"/>
      <c r="Q376" s="5"/>
      <c r="R376" s="8"/>
      <c r="S376" s="8"/>
      <c r="T376" s="8"/>
      <c r="U376" s="5"/>
      <c r="V376" s="8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  <c r="AI376" s="9"/>
      <c r="AJ376" s="9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  <c r="BL376" s="9"/>
      <c r="BM376" s="9"/>
      <c r="BN376" s="9"/>
      <c r="BO376" s="9"/>
      <c r="BP376" s="9"/>
      <c r="BQ376" s="9"/>
      <c r="BR376" s="9"/>
      <c r="BS376" s="9"/>
      <c r="BT376" s="9"/>
      <c r="BU376" s="9"/>
      <c r="BV376" s="9"/>
      <c r="BW376" s="9"/>
      <c r="BX376" s="9"/>
      <c r="BY376" s="9"/>
      <c r="BZ376" s="9"/>
      <c r="CA376" s="9"/>
      <c r="CB376" s="9"/>
      <c r="CC376" s="9"/>
      <c r="CD376" s="9"/>
      <c r="CE376" s="9"/>
      <c r="CF376" s="9"/>
      <c r="CG376" s="9"/>
      <c r="CH376" s="9"/>
      <c r="CI376" s="9"/>
      <c r="CJ376" s="9"/>
      <c r="CK376" s="9"/>
      <c r="CL376" s="9"/>
      <c r="CM376" s="9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</row>
    <row r="377" spans="1:118" ht="18" customHeight="1" x14ac:dyDescent="0.25">
      <c r="A377" s="5"/>
      <c r="B377" s="2"/>
      <c r="C377" s="2"/>
      <c r="D377" s="203"/>
      <c r="E377" s="2"/>
      <c r="F377" s="2"/>
      <c r="G377" s="2"/>
      <c r="H377" s="2"/>
      <c r="I377" s="11"/>
      <c r="J377" s="11"/>
      <c r="K377" s="5"/>
      <c r="L377" s="5"/>
      <c r="M377" s="5"/>
      <c r="N377" s="8"/>
      <c r="O377" s="8"/>
      <c r="P377" s="8"/>
      <c r="Q377" s="5"/>
      <c r="R377" s="8"/>
      <c r="S377" s="8"/>
      <c r="T377" s="8"/>
      <c r="U377" s="5"/>
      <c r="V377" s="8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  <c r="AI377" s="9"/>
      <c r="AJ377" s="9"/>
      <c r="AK377" s="9"/>
      <c r="AL377" s="9"/>
      <c r="AM377" s="9"/>
      <c r="AN377" s="9"/>
      <c r="AO377" s="9"/>
      <c r="AP377" s="9"/>
      <c r="AQ377" s="9"/>
      <c r="AR377" s="9"/>
      <c r="AS377" s="9"/>
      <c r="AT377" s="9"/>
      <c r="AU377" s="9"/>
      <c r="AV377" s="9"/>
      <c r="AW377" s="9"/>
      <c r="AX377" s="9"/>
      <c r="AY377" s="9"/>
      <c r="AZ377" s="9"/>
      <c r="BA377" s="9"/>
      <c r="BB377" s="9"/>
      <c r="BC377" s="9"/>
      <c r="BD377" s="9"/>
      <c r="BE377" s="9"/>
      <c r="BF377" s="9"/>
      <c r="BG377" s="9"/>
      <c r="BH377" s="9"/>
      <c r="BI377" s="9"/>
      <c r="BJ377" s="9"/>
      <c r="BK377" s="9"/>
      <c r="BL377" s="9"/>
      <c r="BM377" s="9"/>
      <c r="BN377" s="9"/>
      <c r="BO377" s="9"/>
      <c r="BP377" s="9"/>
      <c r="BQ377" s="9"/>
      <c r="BR377" s="9"/>
      <c r="BS377" s="9"/>
      <c r="BT377" s="9"/>
      <c r="BU377" s="9"/>
      <c r="BV377" s="9"/>
      <c r="BW377" s="9"/>
      <c r="BX377" s="9"/>
      <c r="BY377" s="9"/>
      <c r="BZ377" s="9"/>
      <c r="CA377" s="9"/>
      <c r="CB377" s="9"/>
      <c r="CC377" s="9"/>
      <c r="CD377" s="9"/>
      <c r="CE377" s="9"/>
      <c r="CF377" s="9"/>
      <c r="CG377" s="9"/>
      <c r="CH377" s="9"/>
      <c r="CI377" s="9"/>
      <c r="CJ377" s="9"/>
      <c r="CK377" s="9"/>
      <c r="CL377" s="9"/>
      <c r="CM377" s="9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</row>
  </sheetData>
  <sheetProtection formatColumns="0" formatRows="0"/>
  <mergeCells count="144">
    <mergeCell ref="H94:J94"/>
    <mergeCell ref="H126:J126"/>
    <mergeCell ref="H153:J153"/>
    <mergeCell ref="H35:J35"/>
    <mergeCell ref="G7:X7"/>
    <mergeCell ref="G8:X8"/>
    <mergeCell ref="G41:J41"/>
    <mergeCell ref="G47:J47"/>
    <mergeCell ref="L17:W18"/>
    <mergeCell ref="N20:O20"/>
    <mergeCell ref="V20:W20"/>
    <mergeCell ref="H38:J38"/>
    <mergeCell ref="H39:J39"/>
    <mergeCell ref="G23:J23"/>
    <mergeCell ref="G33:J33"/>
    <mergeCell ref="G43:J43"/>
    <mergeCell ref="G31:J31"/>
    <mergeCell ref="H34:J34"/>
    <mergeCell ref="G37:J37"/>
    <mergeCell ref="H45:J45"/>
    <mergeCell ref="G27:I27"/>
    <mergeCell ref="G25:I25"/>
    <mergeCell ref="G26:I26"/>
    <mergeCell ref="H44:J44"/>
    <mergeCell ref="H36:J36"/>
    <mergeCell ref="G28:I28"/>
    <mergeCell ref="H46:J46"/>
    <mergeCell ref="V69:W69"/>
    <mergeCell ref="G48:J48"/>
    <mergeCell ref="H96:J96"/>
    <mergeCell ref="G53:J53"/>
    <mergeCell ref="H49:J49"/>
    <mergeCell ref="H75:J75"/>
    <mergeCell ref="H51:J51"/>
    <mergeCell ref="H62:J62"/>
    <mergeCell ref="G73:J73"/>
    <mergeCell ref="G77:J77"/>
    <mergeCell ref="H79:J79"/>
    <mergeCell ref="H81:J81"/>
    <mergeCell ref="H74:J74"/>
    <mergeCell ref="H59:J59"/>
    <mergeCell ref="H52:J52"/>
    <mergeCell ref="H78:J78"/>
    <mergeCell ref="H57:J57"/>
    <mergeCell ref="G64:J64"/>
    <mergeCell ref="H76:J76"/>
    <mergeCell ref="H56:J56"/>
    <mergeCell ref="H54:J54"/>
    <mergeCell ref="H82:J82"/>
    <mergeCell ref="H61:J61"/>
    <mergeCell ref="V181:W181"/>
    <mergeCell ref="N170:O170"/>
    <mergeCell ref="V170:W170"/>
    <mergeCell ref="H152:J152"/>
    <mergeCell ref="G156:J156"/>
    <mergeCell ref="G80:J80"/>
    <mergeCell ref="H124:J124"/>
    <mergeCell ref="H122:J122"/>
    <mergeCell ref="H83:J83"/>
    <mergeCell ref="H108:J108"/>
    <mergeCell ref="H106:J106"/>
    <mergeCell ref="H109:J109"/>
    <mergeCell ref="H120:J120"/>
    <mergeCell ref="G92:J92"/>
    <mergeCell ref="H144:J144"/>
    <mergeCell ref="H117:J117"/>
    <mergeCell ref="H118:J118"/>
    <mergeCell ref="H86:J86"/>
    <mergeCell ref="H169:J169"/>
    <mergeCell ref="G165:J165"/>
    <mergeCell ref="V145:W145"/>
    <mergeCell ref="H162:J162"/>
    <mergeCell ref="H113:J113"/>
    <mergeCell ref="H114:J114"/>
    <mergeCell ref="R20:S20"/>
    <mergeCell ref="R69:S69"/>
    <mergeCell ref="R145:S145"/>
    <mergeCell ref="R170:S170"/>
    <mergeCell ref="R181:S181"/>
    <mergeCell ref="G173:J173"/>
    <mergeCell ref="H174:J174"/>
    <mergeCell ref="H175:J175"/>
    <mergeCell ref="H176:J176"/>
    <mergeCell ref="H180:J180"/>
    <mergeCell ref="N181:O181"/>
    <mergeCell ref="G148:J148"/>
    <mergeCell ref="H149:J149"/>
    <mergeCell ref="G32:J32"/>
    <mergeCell ref="H88:J88"/>
    <mergeCell ref="G24:I24"/>
    <mergeCell ref="G29:I29"/>
    <mergeCell ref="H50:J50"/>
    <mergeCell ref="H58:J58"/>
    <mergeCell ref="H68:J68"/>
    <mergeCell ref="H60:J60"/>
    <mergeCell ref="H98:J98"/>
    <mergeCell ref="N69:O69"/>
    <mergeCell ref="G159:J159"/>
    <mergeCell ref="H101:J101"/>
    <mergeCell ref="H102:J102"/>
    <mergeCell ref="H107:J107"/>
    <mergeCell ref="H115:J115"/>
    <mergeCell ref="H127:J127"/>
    <mergeCell ref="H189:J189"/>
    <mergeCell ref="H190:J190"/>
    <mergeCell ref="H186:J186"/>
    <mergeCell ref="H187:J187"/>
    <mergeCell ref="H163:J163"/>
    <mergeCell ref="G151:J151"/>
    <mergeCell ref="H154:J154"/>
    <mergeCell ref="H123:J123"/>
    <mergeCell ref="H110:J110"/>
    <mergeCell ref="H188:J188"/>
    <mergeCell ref="G138:J138"/>
    <mergeCell ref="G137:J137"/>
    <mergeCell ref="G132:J132"/>
    <mergeCell ref="H150:J150"/>
    <mergeCell ref="G133:J133"/>
    <mergeCell ref="H119:J119"/>
    <mergeCell ref="H104:J104"/>
    <mergeCell ref="H55:J55"/>
    <mergeCell ref="N145:O145"/>
    <mergeCell ref="H125:J125"/>
    <mergeCell ref="H99:J99"/>
    <mergeCell ref="H97:J97"/>
    <mergeCell ref="G87:J87"/>
    <mergeCell ref="H160:J160"/>
    <mergeCell ref="G161:J161"/>
    <mergeCell ref="G131:J131"/>
    <mergeCell ref="G134:J134"/>
    <mergeCell ref="G135:J135"/>
    <mergeCell ref="G136:J136"/>
    <mergeCell ref="H91:J91"/>
    <mergeCell ref="G129:J129"/>
    <mergeCell ref="H100:J100"/>
    <mergeCell ref="H111:J111"/>
    <mergeCell ref="H116:J116"/>
    <mergeCell ref="G140:J140"/>
    <mergeCell ref="H103:J103"/>
    <mergeCell ref="H105:J105"/>
    <mergeCell ref="H112:J112"/>
    <mergeCell ref="H121:J121"/>
    <mergeCell ref="H93:J93"/>
    <mergeCell ref="H95:J95"/>
  </mergeCells>
  <conditionalFormatting sqref="O40">
    <cfRule type="expression" dxfId="589" priority="2899">
      <formula>O40="ì"</formula>
    </cfRule>
    <cfRule type="expression" dxfId="588" priority="2900">
      <formula>O40="î"</formula>
    </cfRule>
    <cfRule type="expression" dxfId="587" priority="2901">
      <formula>O40="è"</formula>
    </cfRule>
  </conditionalFormatting>
  <conditionalFormatting sqref="W40">
    <cfRule type="expression" dxfId="586" priority="2902">
      <formula>W40="ì"</formula>
    </cfRule>
    <cfRule type="expression" dxfId="585" priority="2903">
      <formula>W40="î"</formula>
    </cfRule>
    <cfRule type="expression" dxfId="584" priority="2904">
      <formula>W40="è"</formula>
    </cfRule>
  </conditionalFormatting>
  <conditionalFormatting sqref="O41">
    <cfRule type="expression" dxfId="583" priority="2152">
      <formula>O41&gt;0</formula>
    </cfRule>
    <cfRule type="expression" dxfId="582" priority="2155">
      <formula>O41&lt;0</formula>
    </cfRule>
  </conditionalFormatting>
  <conditionalFormatting sqref="N69 V69 O38:O39 S38:S39 W38:W39">
    <cfRule type="expression" dxfId="581" priority="2125">
      <formula>N38&lt;0</formula>
    </cfRule>
    <cfRule type="expression" dxfId="580" priority="2126">
      <formula>N38&gt;0</formula>
    </cfRule>
  </conditionalFormatting>
  <conditionalFormatting sqref="O64">
    <cfRule type="expression" dxfId="579" priority="1686">
      <formula>O64&lt;0</formula>
    </cfRule>
    <cfRule type="expression" dxfId="578" priority="1687">
      <formula>O64&gt;0</formula>
    </cfRule>
  </conditionalFormatting>
  <conditionalFormatting sqref="O68">
    <cfRule type="expression" dxfId="577" priority="1257">
      <formula>O68&gt;0</formula>
    </cfRule>
    <cfRule type="expression" dxfId="576" priority="1258">
      <formula>O68&lt;0</formula>
    </cfRule>
  </conditionalFormatting>
  <conditionalFormatting sqref="O34 O36">
    <cfRule type="expression" dxfId="575" priority="1189">
      <formula>O34&lt;0</formula>
    </cfRule>
    <cfRule type="expression" dxfId="574" priority="1190">
      <formula>O34&gt;0</formula>
    </cfRule>
  </conditionalFormatting>
  <conditionalFormatting sqref="O23">
    <cfRule type="expression" dxfId="573" priority="1187">
      <formula>O23&gt;0</formula>
    </cfRule>
    <cfRule type="expression" dxfId="572" priority="1188">
      <formula>O23&lt;0</formula>
    </cfRule>
  </conditionalFormatting>
  <conditionalFormatting sqref="O44 S160 O160 W160 O62 O56 S62 S56 W62 W56 W97:W100 S97:S100 O97:O100 W113:W114 O113:O114 S113:S114 W116 O116:O118 S116:S118 S108:S111 O108:O111 W109:W111">
    <cfRule type="expression" dxfId="571" priority="1175">
      <formula>O44&gt;0</formula>
    </cfRule>
    <cfRule type="expression" dxfId="570" priority="1176">
      <formula>O44&lt;0</formula>
    </cfRule>
  </conditionalFormatting>
  <conditionalFormatting sqref="O43">
    <cfRule type="expression" dxfId="569" priority="1173">
      <formula>O43&lt;0</formula>
    </cfRule>
    <cfRule type="expression" dxfId="568" priority="1174">
      <formula>O43&gt;0</formula>
    </cfRule>
  </conditionalFormatting>
  <conditionalFormatting sqref="O45:O46">
    <cfRule type="expression" dxfId="567" priority="1169">
      <formula>O45&gt;0</formula>
    </cfRule>
    <cfRule type="expression" dxfId="566" priority="1170">
      <formula>O45&lt;0</formula>
    </cfRule>
  </conditionalFormatting>
  <conditionalFormatting sqref="O58:O59">
    <cfRule type="expression" dxfId="565" priority="1159">
      <formula>O58&gt;0</formula>
    </cfRule>
    <cfRule type="expression" dxfId="564" priority="1160">
      <formula>O58&lt;0</formula>
    </cfRule>
  </conditionalFormatting>
  <conditionalFormatting sqref="O63">
    <cfRule type="expression" dxfId="563" priority="1141">
      <formula>O63="ì"</formula>
    </cfRule>
    <cfRule type="expression" dxfId="562" priority="1142">
      <formula>O63="î"</formula>
    </cfRule>
    <cfRule type="expression" dxfId="561" priority="1143">
      <formula>O63="è"</formula>
    </cfRule>
  </conditionalFormatting>
  <conditionalFormatting sqref="W63">
    <cfRule type="expression" dxfId="560" priority="1144">
      <formula>W63="ì"</formula>
    </cfRule>
    <cfRule type="expression" dxfId="559" priority="1145">
      <formula>W63="î"</formula>
    </cfRule>
    <cfRule type="expression" dxfId="558" priority="1146">
      <formula>W63="è"</formula>
    </cfRule>
  </conditionalFormatting>
  <conditionalFormatting sqref="O129">
    <cfRule type="expression" dxfId="557" priority="1099">
      <formula>O129&lt;0</formula>
    </cfRule>
    <cfRule type="expression" dxfId="556" priority="1100">
      <formula>O129&gt;0</formula>
    </cfRule>
  </conditionalFormatting>
  <conditionalFormatting sqref="O128">
    <cfRule type="expression" dxfId="555" priority="1091">
      <formula>O128="ì"</formula>
    </cfRule>
    <cfRule type="expression" dxfId="554" priority="1092">
      <formula>O128="î"</formula>
    </cfRule>
    <cfRule type="expression" dxfId="553" priority="1093">
      <formula>O128="è"</formula>
    </cfRule>
  </conditionalFormatting>
  <conditionalFormatting sqref="W128">
    <cfRule type="expression" dxfId="552" priority="1094">
      <formula>W128="ì"</formula>
    </cfRule>
    <cfRule type="expression" dxfId="551" priority="1095">
      <formula>W128="î"</formula>
    </cfRule>
    <cfRule type="expression" dxfId="550" priority="1096">
      <formula>W128="è"</formula>
    </cfRule>
  </conditionalFormatting>
  <conditionalFormatting sqref="O154">
    <cfRule type="expression" dxfId="549" priority="1083">
      <formula>O154&gt;0</formula>
    </cfRule>
    <cfRule type="expression" dxfId="548" priority="1084">
      <formula>O154&lt;0</formula>
    </cfRule>
  </conditionalFormatting>
  <conditionalFormatting sqref="O151">
    <cfRule type="expression" dxfId="547" priority="1081">
      <formula>O151&lt;0</formula>
    </cfRule>
    <cfRule type="expression" dxfId="546" priority="1082">
      <formula>O151&gt;0</formula>
    </cfRule>
  </conditionalFormatting>
  <conditionalFormatting sqref="O152">
    <cfRule type="expression" dxfId="545" priority="1077">
      <formula>O152&gt;0</formula>
    </cfRule>
    <cfRule type="expression" dxfId="544" priority="1078">
      <formula>O152&lt;0</formula>
    </cfRule>
  </conditionalFormatting>
  <conditionalFormatting sqref="O156">
    <cfRule type="expression" dxfId="543" priority="1075">
      <formula>O156&gt;0</formula>
    </cfRule>
    <cfRule type="expression" dxfId="542" priority="1076">
      <formula>O156&lt;0</formula>
    </cfRule>
  </conditionalFormatting>
  <conditionalFormatting sqref="O155">
    <cfRule type="expression" dxfId="541" priority="1067">
      <formula>O155="ì"</formula>
    </cfRule>
    <cfRule type="expression" dxfId="540" priority="1068">
      <formula>O155="î"</formula>
    </cfRule>
    <cfRule type="expression" dxfId="539" priority="1069">
      <formula>O155="è"</formula>
    </cfRule>
  </conditionalFormatting>
  <conditionalFormatting sqref="O149:O150">
    <cfRule type="expression" dxfId="538" priority="1055">
      <formula>O149&lt;0</formula>
    </cfRule>
    <cfRule type="expression" dxfId="537" priority="1056">
      <formula>O149&gt;0</formula>
    </cfRule>
  </conditionalFormatting>
  <conditionalFormatting sqref="O165">
    <cfRule type="expression" dxfId="536" priority="1053">
      <formula>O165&gt;0</formula>
    </cfRule>
    <cfRule type="expression" dxfId="535" priority="1054">
      <formula>O165&lt;0</formula>
    </cfRule>
  </conditionalFormatting>
  <conditionalFormatting sqref="O164">
    <cfRule type="expression" dxfId="534" priority="1045">
      <formula>O164="ì"</formula>
    </cfRule>
    <cfRule type="expression" dxfId="533" priority="1046">
      <formula>O164="î"</formula>
    </cfRule>
    <cfRule type="expression" dxfId="532" priority="1047">
      <formula>O164="è"</formula>
    </cfRule>
  </conditionalFormatting>
  <conditionalFormatting sqref="O174 O176">
    <cfRule type="expression" dxfId="531" priority="1037">
      <formula>O174&lt;0</formula>
    </cfRule>
    <cfRule type="expression" dxfId="530" priority="1038">
      <formula>O174&gt;0</formula>
    </cfRule>
  </conditionalFormatting>
  <conditionalFormatting sqref="O175">
    <cfRule type="expression" dxfId="529" priority="1031">
      <formula>O175&lt;0</formula>
    </cfRule>
    <cfRule type="expression" dxfId="528" priority="1032">
      <formula>O175&gt;0</formula>
    </cfRule>
  </conditionalFormatting>
  <conditionalFormatting sqref="S40">
    <cfRule type="expression" dxfId="527" priority="1016">
      <formula>S40="ì"</formula>
    </cfRule>
    <cfRule type="expression" dxfId="526" priority="1017">
      <formula>S40="î"</formula>
    </cfRule>
    <cfRule type="expression" dxfId="525" priority="1018">
      <formula>S40="è"</formula>
    </cfRule>
  </conditionalFormatting>
  <conditionalFormatting sqref="R69">
    <cfRule type="expression" dxfId="524" priority="1012">
      <formula>R69&lt;0</formula>
    </cfRule>
    <cfRule type="expression" dxfId="523" priority="1013">
      <formula>R69&gt;0</formula>
    </cfRule>
  </conditionalFormatting>
  <conditionalFormatting sqref="S63">
    <cfRule type="expression" dxfId="522" priority="981">
      <formula>S63="ì"</formula>
    </cfRule>
    <cfRule type="expression" dxfId="521" priority="982">
      <formula>S63="î"</formula>
    </cfRule>
    <cfRule type="expression" dxfId="520" priority="983">
      <formula>S63="è"</formula>
    </cfRule>
  </conditionalFormatting>
  <conditionalFormatting sqref="S128">
    <cfRule type="expression" dxfId="519" priority="948">
      <formula>S128="ì"</formula>
    </cfRule>
    <cfRule type="expression" dxfId="518" priority="949">
      <formula>S128="î"</formula>
    </cfRule>
    <cfRule type="expression" dxfId="517" priority="950">
      <formula>S128="è"</formula>
    </cfRule>
  </conditionalFormatting>
  <conditionalFormatting sqref="S155">
    <cfRule type="expression" dxfId="516" priority="933">
      <formula>S155="ì"</formula>
    </cfRule>
    <cfRule type="expression" dxfId="515" priority="934">
      <formula>S155="î"</formula>
    </cfRule>
    <cfRule type="expression" dxfId="514" priority="935">
      <formula>S155="è"</formula>
    </cfRule>
  </conditionalFormatting>
  <conditionalFormatting sqref="S164">
    <cfRule type="expression" dxfId="513" priority="922">
      <formula>S164="ì"</formula>
    </cfRule>
    <cfRule type="expression" dxfId="512" priority="923">
      <formula>S164="î"</formula>
    </cfRule>
    <cfRule type="expression" dxfId="511" priority="924">
      <formula>S164="è"</formula>
    </cfRule>
  </conditionalFormatting>
  <conditionalFormatting sqref="S186:S190">
    <cfRule type="expression" dxfId="510" priority="906">
      <formula>S186&lt;0</formula>
    </cfRule>
    <cfRule type="expression" dxfId="509" priority="907">
      <formula>S186&gt;0</formula>
    </cfRule>
  </conditionalFormatting>
  <conditionalFormatting sqref="N170 V170">
    <cfRule type="expression" dxfId="508" priority="886">
      <formula>N170&lt;0</formula>
    </cfRule>
    <cfRule type="expression" dxfId="507" priority="887">
      <formula>N170&gt;0</formula>
    </cfRule>
  </conditionalFormatting>
  <conditionalFormatting sqref="O169">
    <cfRule type="expression" dxfId="506" priority="884">
      <formula>O169&gt;0</formula>
    </cfRule>
    <cfRule type="expression" dxfId="505" priority="885">
      <formula>O169&lt;0</formula>
    </cfRule>
  </conditionalFormatting>
  <conditionalFormatting sqref="R170">
    <cfRule type="expression" dxfId="504" priority="882">
      <formula>R170&lt;0</formula>
    </cfRule>
    <cfRule type="expression" dxfId="503" priority="883">
      <formula>R170&gt;0</formula>
    </cfRule>
  </conditionalFormatting>
  <conditionalFormatting sqref="N181 V181">
    <cfRule type="expression" dxfId="502" priority="876">
      <formula>N181&lt;0</formula>
    </cfRule>
    <cfRule type="expression" dxfId="501" priority="877">
      <formula>N181&gt;0</formula>
    </cfRule>
  </conditionalFormatting>
  <conditionalFormatting sqref="O180">
    <cfRule type="expression" dxfId="500" priority="874">
      <formula>O180&gt;0</formula>
    </cfRule>
    <cfRule type="expression" dxfId="499" priority="875">
      <formula>O180&lt;0</formula>
    </cfRule>
  </conditionalFormatting>
  <conditionalFormatting sqref="R181">
    <cfRule type="expression" dxfId="498" priority="872">
      <formula>R181&lt;0</formula>
    </cfRule>
    <cfRule type="expression" dxfId="497" priority="873">
      <formula>R181&gt;0</formula>
    </cfRule>
  </conditionalFormatting>
  <conditionalFormatting sqref="N145 V145">
    <cfRule type="expression" dxfId="496" priority="866">
      <formula>N145&lt;0</formula>
    </cfRule>
    <cfRule type="expression" dxfId="495" priority="867">
      <formula>N145&gt;0</formula>
    </cfRule>
  </conditionalFormatting>
  <conditionalFormatting sqref="O144">
    <cfRule type="expression" dxfId="494" priority="864">
      <formula>O144&gt;0</formula>
    </cfRule>
    <cfRule type="expression" dxfId="493" priority="865">
      <formula>O144&lt;0</formula>
    </cfRule>
  </conditionalFormatting>
  <conditionalFormatting sqref="R145">
    <cfRule type="expression" dxfId="492" priority="862">
      <formula>R145&lt;0</formula>
    </cfRule>
    <cfRule type="expression" dxfId="491" priority="863">
      <formula>R145&gt;0</formula>
    </cfRule>
  </conditionalFormatting>
  <conditionalFormatting sqref="O33">
    <cfRule type="expression" dxfId="490" priority="856">
      <formula>O33&gt;0</formula>
    </cfRule>
    <cfRule type="expression" dxfId="489" priority="857">
      <formula>O33&lt;0</formula>
    </cfRule>
  </conditionalFormatting>
  <conditionalFormatting sqref="O37">
    <cfRule type="expression" dxfId="488" priority="854">
      <formula>O37&gt;0</formula>
    </cfRule>
    <cfRule type="expression" dxfId="487" priority="855">
      <formula>O37&lt;0</formula>
    </cfRule>
  </conditionalFormatting>
  <conditionalFormatting sqref="O47">
    <cfRule type="expression" dxfId="486" priority="852">
      <formula>O47&lt;0</formula>
    </cfRule>
    <cfRule type="expression" dxfId="485" priority="853">
      <formula>O47&gt;0</formula>
    </cfRule>
  </conditionalFormatting>
  <conditionalFormatting sqref="O48">
    <cfRule type="expression" dxfId="484" priority="850">
      <formula>O48&lt;0</formula>
    </cfRule>
    <cfRule type="expression" dxfId="483" priority="851">
      <formula>O48&gt;0</formula>
    </cfRule>
  </conditionalFormatting>
  <conditionalFormatting sqref="O53">
    <cfRule type="expression" dxfId="482" priority="848">
      <formula>O53&lt;0</formula>
    </cfRule>
    <cfRule type="expression" dxfId="481" priority="849">
      <formula>O53&gt;0</formula>
    </cfRule>
  </conditionalFormatting>
  <conditionalFormatting sqref="O73">
    <cfRule type="expression" dxfId="480" priority="846">
      <formula>O73&lt;0</formula>
    </cfRule>
    <cfRule type="expression" dxfId="479" priority="847">
      <formula>O73&gt;0</formula>
    </cfRule>
  </conditionalFormatting>
  <conditionalFormatting sqref="O77">
    <cfRule type="expression" dxfId="478" priority="844">
      <formula>O77&lt;0</formula>
    </cfRule>
    <cfRule type="expression" dxfId="477" priority="845">
      <formula>O77&gt;0</formula>
    </cfRule>
  </conditionalFormatting>
  <conditionalFormatting sqref="O80">
    <cfRule type="expression" dxfId="476" priority="842">
      <formula>O80&lt;0</formula>
    </cfRule>
    <cfRule type="expression" dxfId="475" priority="843">
      <formula>O80&gt;0</formula>
    </cfRule>
  </conditionalFormatting>
  <conditionalFormatting sqref="O87">
    <cfRule type="expression" dxfId="474" priority="840">
      <formula>O87&lt;0</formula>
    </cfRule>
    <cfRule type="expression" dxfId="473" priority="841">
      <formula>O87&gt;0</formula>
    </cfRule>
  </conditionalFormatting>
  <conditionalFormatting sqref="O92">
    <cfRule type="expression" dxfId="472" priority="838">
      <formula>O92&lt;0</formula>
    </cfRule>
    <cfRule type="expression" dxfId="471" priority="839">
      <formula>O92&gt;0</formula>
    </cfRule>
  </conditionalFormatting>
  <conditionalFormatting sqref="O49:O50">
    <cfRule type="expression" dxfId="470" priority="836">
      <formula>O49&gt;0</formula>
    </cfRule>
    <cfRule type="expression" dxfId="469" priority="837">
      <formula>O49&lt;0</formula>
    </cfRule>
  </conditionalFormatting>
  <conditionalFormatting sqref="O74:O75">
    <cfRule type="expression" dxfId="468" priority="830">
      <formula>O74&gt;0</formula>
    </cfRule>
    <cfRule type="expression" dxfId="467" priority="831">
      <formula>O74&lt;0</formula>
    </cfRule>
  </conditionalFormatting>
  <conditionalFormatting sqref="O78:O79">
    <cfRule type="expression" dxfId="466" priority="828">
      <formula>O78&gt;0</formula>
    </cfRule>
    <cfRule type="expression" dxfId="465" priority="829">
      <formula>O78&lt;0</formula>
    </cfRule>
  </conditionalFormatting>
  <conditionalFormatting sqref="O81 O86">
    <cfRule type="expression" dxfId="464" priority="826">
      <formula>O81&gt;0</formula>
    </cfRule>
    <cfRule type="expression" dxfId="463" priority="827">
      <formula>O81&lt;0</formula>
    </cfRule>
  </conditionalFormatting>
  <conditionalFormatting sqref="O88 O91">
    <cfRule type="expression" dxfId="462" priority="824">
      <formula>O88&gt;0</formula>
    </cfRule>
    <cfRule type="expression" dxfId="461" priority="825">
      <formula>O88&lt;0</formula>
    </cfRule>
  </conditionalFormatting>
  <conditionalFormatting sqref="O125">
    <cfRule type="expression" dxfId="460" priority="822">
      <formula>O125&gt;0</formula>
    </cfRule>
    <cfRule type="expression" dxfId="459" priority="823">
      <formula>O125&lt;0</formula>
    </cfRule>
  </conditionalFormatting>
  <conditionalFormatting sqref="W155">
    <cfRule type="expression" dxfId="458" priority="737">
      <formula>W155="ì"</formula>
    </cfRule>
    <cfRule type="expression" dxfId="457" priority="738">
      <formula>W155="î"</formula>
    </cfRule>
    <cfRule type="expression" dxfId="456" priority="739">
      <formula>W155="è"</formula>
    </cfRule>
  </conditionalFormatting>
  <conditionalFormatting sqref="W164">
    <cfRule type="expression" dxfId="455" priority="726">
      <formula>W164="ì"</formula>
    </cfRule>
    <cfRule type="expression" dxfId="454" priority="727">
      <formula>W164="î"</formula>
    </cfRule>
    <cfRule type="expression" dxfId="453" priority="728">
      <formula>W164="è"</formula>
    </cfRule>
  </conditionalFormatting>
  <conditionalFormatting sqref="S34 S36">
    <cfRule type="expression" dxfId="452" priority="684">
      <formula>S34&lt;0</formula>
    </cfRule>
    <cfRule type="expression" dxfId="451" priority="685">
      <formula>S34&gt;0</formula>
    </cfRule>
  </conditionalFormatting>
  <conditionalFormatting sqref="S23">
    <cfRule type="expression" dxfId="450" priority="682">
      <formula>S23&gt;0</formula>
    </cfRule>
    <cfRule type="expression" dxfId="449" priority="683">
      <formula>S23&lt;0</formula>
    </cfRule>
  </conditionalFormatting>
  <conditionalFormatting sqref="S33">
    <cfRule type="expression" dxfId="448" priority="680">
      <formula>S33&gt;0</formula>
    </cfRule>
    <cfRule type="expression" dxfId="447" priority="681">
      <formula>S33&lt;0</formula>
    </cfRule>
  </conditionalFormatting>
  <conditionalFormatting sqref="S37">
    <cfRule type="expression" dxfId="446" priority="678">
      <formula>S37&gt;0</formula>
    </cfRule>
    <cfRule type="expression" dxfId="445" priority="679">
      <formula>S37&lt;0</formula>
    </cfRule>
  </conditionalFormatting>
  <conditionalFormatting sqref="S41">
    <cfRule type="expression" dxfId="444" priority="676">
      <formula>S41&gt;0</formula>
    </cfRule>
    <cfRule type="expression" dxfId="443" priority="677">
      <formula>S41&lt;0</formula>
    </cfRule>
  </conditionalFormatting>
  <conditionalFormatting sqref="S44">
    <cfRule type="expression" dxfId="442" priority="674">
      <formula>S44&gt;0</formula>
    </cfRule>
    <cfRule type="expression" dxfId="441" priority="675">
      <formula>S44&lt;0</formula>
    </cfRule>
  </conditionalFormatting>
  <conditionalFormatting sqref="S43">
    <cfRule type="expression" dxfId="440" priority="672">
      <formula>S43&lt;0</formula>
    </cfRule>
    <cfRule type="expression" dxfId="439" priority="673">
      <formula>S43&gt;0</formula>
    </cfRule>
  </conditionalFormatting>
  <conditionalFormatting sqref="S45">
    <cfRule type="expression" dxfId="438" priority="670">
      <formula>S45&gt;0</formula>
    </cfRule>
    <cfRule type="expression" dxfId="437" priority="671">
      <formula>S45&lt;0</formula>
    </cfRule>
  </conditionalFormatting>
  <conditionalFormatting sqref="S58:S59">
    <cfRule type="expression" dxfId="436" priority="668">
      <formula>S58&gt;0</formula>
    </cfRule>
    <cfRule type="expression" dxfId="435" priority="669">
      <formula>S58&lt;0</formula>
    </cfRule>
  </conditionalFormatting>
  <conditionalFormatting sqref="S47">
    <cfRule type="expression" dxfId="434" priority="666">
      <formula>S47&lt;0</formula>
    </cfRule>
    <cfRule type="expression" dxfId="433" priority="667">
      <formula>S47&gt;0</formula>
    </cfRule>
  </conditionalFormatting>
  <conditionalFormatting sqref="S48">
    <cfRule type="expression" dxfId="432" priority="664">
      <formula>S48&lt;0</formula>
    </cfRule>
    <cfRule type="expression" dxfId="431" priority="665">
      <formula>S48&gt;0</formula>
    </cfRule>
  </conditionalFormatting>
  <conditionalFormatting sqref="S53">
    <cfRule type="expression" dxfId="430" priority="662">
      <formula>S53&lt;0</formula>
    </cfRule>
    <cfRule type="expression" dxfId="429" priority="663">
      <formula>S53&gt;0</formula>
    </cfRule>
  </conditionalFormatting>
  <conditionalFormatting sqref="S49:S50">
    <cfRule type="expression" dxfId="428" priority="660">
      <formula>S49&gt;0</formula>
    </cfRule>
    <cfRule type="expression" dxfId="427" priority="661">
      <formula>S49&lt;0</formula>
    </cfRule>
  </conditionalFormatting>
  <conditionalFormatting sqref="S64">
    <cfRule type="expression" dxfId="426" priority="652">
      <formula>S64&lt;0</formula>
    </cfRule>
    <cfRule type="expression" dxfId="425" priority="653">
      <formula>S64&gt;0</formula>
    </cfRule>
  </conditionalFormatting>
  <conditionalFormatting sqref="S68">
    <cfRule type="expression" dxfId="424" priority="650">
      <formula>S68&gt;0</formula>
    </cfRule>
    <cfRule type="expression" dxfId="423" priority="651">
      <formula>S68&lt;0</formula>
    </cfRule>
  </conditionalFormatting>
  <conditionalFormatting sqref="S73">
    <cfRule type="expression" dxfId="422" priority="648">
      <formula>S73&lt;0</formula>
    </cfRule>
    <cfRule type="expression" dxfId="421" priority="649">
      <formula>S73&gt;0</formula>
    </cfRule>
  </conditionalFormatting>
  <conditionalFormatting sqref="S77">
    <cfRule type="expression" dxfId="420" priority="646">
      <formula>S77&lt;0</formula>
    </cfRule>
    <cfRule type="expression" dxfId="419" priority="647">
      <formula>S77&gt;0</formula>
    </cfRule>
  </conditionalFormatting>
  <conditionalFormatting sqref="S80">
    <cfRule type="expression" dxfId="418" priority="644">
      <formula>S80&lt;0</formula>
    </cfRule>
    <cfRule type="expression" dxfId="417" priority="645">
      <formula>S80&gt;0</formula>
    </cfRule>
  </conditionalFormatting>
  <conditionalFormatting sqref="S87">
    <cfRule type="expression" dxfId="416" priority="642">
      <formula>S87&lt;0</formula>
    </cfRule>
    <cfRule type="expression" dxfId="415" priority="643">
      <formula>S87&gt;0</formula>
    </cfRule>
  </conditionalFormatting>
  <conditionalFormatting sqref="S92">
    <cfRule type="expression" dxfId="414" priority="640">
      <formula>S92&lt;0</formula>
    </cfRule>
    <cfRule type="expression" dxfId="413" priority="641">
      <formula>S92&gt;0</formula>
    </cfRule>
  </conditionalFormatting>
  <conditionalFormatting sqref="S74:S75">
    <cfRule type="expression" dxfId="412" priority="638">
      <formula>S74&gt;0</formula>
    </cfRule>
    <cfRule type="expression" dxfId="411" priority="639">
      <formula>S74&lt;0</formula>
    </cfRule>
  </conditionalFormatting>
  <conditionalFormatting sqref="S78:S79">
    <cfRule type="expression" dxfId="410" priority="636">
      <formula>S78&gt;0</formula>
    </cfRule>
    <cfRule type="expression" dxfId="409" priority="637">
      <formula>S78&lt;0</formula>
    </cfRule>
  </conditionalFormatting>
  <conditionalFormatting sqref="S81 S86">
    <cfRule type="expression" dxfId="408" priority="634">
      <formula>S81&gt;0</formula>
    </cfRule>
    <cfRule type="expression" dxfId="407" priority="635">
      <formula>S81&lt;0</formula>
    </cfRule>
  </conditionalFormatting>
  <conditionalFormatting sqref="S88 S91">
    <cfRule type="expression" dxfId="406" priority="632">
      <formula>S88&gt;0</formula>
    </cfRule>
    <cfRule type="expression" dxfId="405" priority="633">
      <formula>S88&lt;0</formula>
    </cfRule>
  </conditionalFormatting>
  <conditionalFormatting sqref="S125">
    <cfRule type="expression" dxfId="404" priority="630">
      <formula>S125&gt;0</formula>
    </cfRule>
    <cfRule type="expression" dxfId="403" priority="631">
      <formula>S125&lt;0</formula>
    </cfRule>
  </conditionalFormatting>
  <conditionalFormatting sqref="S129">
    <cfRule type="expression" dxfId="402" priority="628">
      <formula>S129&lt;0</formula>
    </cfRule>
    <cfRule type="expression" dxfId="401" priority="629">
      <formula>S129&gt;0</formula>
    </cfRule>
  </conditionalFormatting>
  <conditionalFormatting sqref="S144">
    <cfRule type="expression" dxfId="400" priority="626">
      <formula>S144&gt;0</formula>
    </cfRule>
    <cfRule type="expression" dxfId="399" priority="627">
      <formula>S144&lt;0</formula>
    </cfRule>
  </conditionalFormatting>
  <conditionalFormatting sqref="S154">
    <cfRule type="expression" dxfId="398" priority="624">
      <formula>S154&gt;0</formula>
    </cfRule>
    <cfRule type="expression" dxfId="397" priority="625">
      <formula>S154&lt;0</formula>
    </cfRule>
  </conditionalFormatting>
  <conditionalFormatting sqref="S151">
    <cfRule type="expression" dxfId="396" priority="622">
      <formula>S151&lt;0</formula>
    </cfRule>
    <cfRule type="expression" dxfId="395" priority="623">
      <formula>S151&gt;0</formula>
    </cfRule>
  </conditionalFormatting>
  <conditionalFormatting sqref="S152">
    <cfRule type="expression" dxfId="394" priority="620">
      <formula>S152&gt;0</formula>
    </cfRule>
    <cfRule type="expression" dxfId="393" priority="621">
      <formula>S152&lt;0</formula>
    </cfRule>
  </conditionalFormatting>
  <conditionalFormatting sqref="S149:S150">
    <cfRule type="expression" dxfId="392" priority="616">
      <formula>S149&lt;0</formula>
    </cfRule>
    <cfRule type="expression" dxfId="391" priority="617">
      <formula>S149&gt;0</formula>
    </cfRule>
  </conditionalFormatting>
  <conditionalFormatting sqref="S156">
    <cfRule type="expression" dxfId="390" priority="614">
      <formula>S156&gt;0</formula>
    </cfRule>
    <cfRule type="expression" dxfId="389" priority="615">
      <formula>S156&lt;0</formula>
    </cfRule>
  </conditionalFormatting>
  <conditionalFormatting sqref="S165">
    <cfRule type="expression" dxfId="388" priority="610">
      <formula>S165&gt;0</formula>
    </cfRule>
    <cfRule type="expression" dxfId="387" priority="611">
      <formula>S165&lt;0</formula>
    </cfRule>
  </conditionalFormatting>
  <conditionalFormatting sqref="S169">
    <cfRule type="expression" dxfId="386" priority="608">
      <formula>S169&gt;0</formula>
    </cfRule>
    <cfRule type="expression" dxfId="385" priority="609">
      <formula>S169&lt;0</formula>
    </cfRule>
  </conditionalFormatting>
  <conditionalFormatting sqref="S174 S176">
    <cfRule type="expression" dxfId="384" priority="606">
      <formula>S174&lt;0</formula>
    </cfRule>
    <cfRule type="expression" dxfId="383" priority="607">
      <formula>S174&gt;0</formula>
    </cfRule>
  </conditionalFormatting>
  <conditionalFormatting sqref="S173">
    <cfRule type="expression" dxfId="382" priority="604">
      <formula>S173&gt;0</formula>
    </cfRule>
    <cfRule type="expression" dxfId="381" priority="605">
      <formula>S173&lt;0</formula>
    </cfRule>
  </conditionalFormatting>
  <conditionalFormatting sqref="S175">
    <cfRule type="expression" dxfId="380" priority="602">
      <formula>S175&lt;0</formula>
    </cfRule>
    <cfRule type="expression" dxfId="379" priority="603">
      <formula>S175&gt;0</formula>
    </cfRule>
  </conditionalFormatting>
  <conditionalFormatting sqref="S180">
    <cfRule type="expression" dxfId="378" priority="600">
      <formula>S180&gt;0</formula>
    </cfRule>
    <cfRule type="expression" dxfId="377" priority="601">
      <formula>S180&lt;0</formula>
    </cfRule>
  </conditionalFormatting>
  <conditionalFormatting sqref="W34 W36">
    <cfRule type="expression" dxfId="376" priority="596">
      <formula>W34&lt;0</formula>
    </cfRule>
    <cfRule type="expression" dxfId="375" priority="597">
      <formula>W34&gt;0</formula>
    </cfRule>
  </conditionalFormatting>
  <conditionalFormatting sqref="W23">
    <cfRule type="expression" dxfId="374" priority="594">
      <formula>W23&gt;0</formula>
    </cfRule>
    <cfRule type="expression" dxfId="373" priority="595">
      <formula>W23&lt;0</formula>
    </cfRule>
  </conditionalFormatting>
  <conditionalFormatting sqref="W33">
    <cfRule type="expression" dxfId="372" priority="592">
      <formula>W33&gt;0</formula>
    </cfRule>
    <cfRule type="expression" dxfId="371" priority="593">
      <formula>W33&lt;0</formula>
    </cfRule>
  </conditionalFormatting>
  <conditionalFormatting sqref="W37">
    <cfRule type="expression" dxfId="370" priority="590">
      <formula>W37&gt;0</formula>
    </cfRule>
    <cfRule type="expression" dxfId="369" priority="591">
      <formula>W37&lt;0</formula>
    </cfRule>
  </conditionalFormatting>
  <conditionalFormatting sqref="W41">
    <cfRule type="expression" dxfId="368" priority="588">
      <formula>W41&gt;0</formula>
    </cfRule>
    <cfRule type="expression" dxfId="367" priority="589">
      <formula>W41&lt;0</formula>
    </cfRule>
  </conditionalFormatting>
  <conditionalFormatting sqref="W44">
    <cfRule type="expression" dxfId="366" priority="586">
      <formula>W44&gt;0</formula>
    </cfRule>
    <cfRule type="expression" dxfId="365" priority="587">
      <formula>W44&lt;0</formula>
    </cfRule>
  </conditionalFormatting>
  <conditionalFormatting sqref="W43">
    <cfRule type="expression" dxfId="364" priority="584">
      <formula>W43&lt;0</formula>
    </cfRule>
    <cfRule type="expression" dxfId="363" priority="585">
      <formula>W43&gt;0</formula>
    </cfRule>
  </conditionalFormatting>
  <conditionalFormatting sqref="W45:W46">
    <cfRule type="expression" dxfId="362" priority="582">
      <formula>W45&gt;0</formula>
    </cfRule>
    <cfRule type="expression" dxfId="361" priority="583">
      <formula>W45&lt;0</formula>
    </cfRule>
  </conditionalFormatting>
  <conditionalFormatting sqref="W58:W59">
    <cfRule type="expression" dxfId="360" priority="580">
      <formula>W58&gt;0</formula>
    </cfRule>
    <cfRule type="expression" dxfId="359" priority="581">
      <formula>W58&lt;0</formula>
    </cfRule>
  </conditionalFormatting>
  <conditionalFormatting sqref="W47">
    <cfRule type="expression" dxfId="358" priority="578">
      <formula>W47&lt;0</formula>
    </cfRule>
    <cfRule type="expression" dxfId="357" priority="579">
      <formula>W47&gt;0</formula>
    </cfRule>
  </conditionalFormatting>
  <conditionalFormatting sqref="W48">
    <cfRule type="expression" dxfId="356" priority="576">
      <formula>W48&lt;0</formula>
    </cfRule>
    <cfRule type="expression" dxfId="355" priority="577">
      <formula>W48&gt;0</formula>
    </cfRule>
  </conditionalFormatting>
  <conditionalFormatting sqref="W53">
    <cfRule type="expression" dxfId="354" priority="574">
      <formula>W53&lt;0</formula>
    </cfRule>
    <cfRule type="expression" dxfId="353" priority="575">
      <formula>W53&gt;0</formula>
    </cfRule>
  </conditionalFormatting>
  <conditionalFormatting sqref="W49:W50">
    <cfRule type="expression" dxfId="352" priority="572">
      <formula>W49&gt;0</formula>
    </cfRule>
    <cfRule type="expression" dxfId="351" priority="573">
      <formula>W49&lt;0</formula>
    </cfRule>
  </conditionalFormatting>
  <conditionalFormatting sqref="W64">
    <cfRule type="expression" dxfId="350" priority="564">
      <formula>W64&lt;0</formula>
    </cfRule>
    <cfRule type="expression" dxfId="349" priority="565">
      <formula>W64&gt;0</formula>
    </cfRule>
  </conditionalFormatting>
  <conditionalFormatting sqref="W68">
    <cfRule type="expression" dxfId="348" priority="562">
      <formula>W68&gt;0</formula>
    </cfRule>
    <cfRule type="expression" dxfId="347" priority="563">
      <formula>W68&lt;0</formula>
    </cfRule>
  </conditionalFormatting>
  <conditionalFormatting sqref="W73">
    <cfRule type="expression" dxfId="346" priority="560">
      <formula>W73&lt;0</formula>
    </cfRule>
    <cfRule type="expression" dxfId="345" priority="561">
      <formula>W73&gt;0</formula>
    </cfRule>
  </conditionalFormatting>
  <conditionalFormatting sqref="W77">
    <cfRule type="expression" dxfId="344" priority="558">
      <formula>W77&lt;0</formula>
    </cfRule>
    <cfRule type="expression" dxfId="343" priority="559">
      <formula>W77&gt;0</formula>
    </cfRule>
  </conditionalFormatting>
  <conditionalFormatting sqref="W80">
    <cfRule type="expression" dxfId="342" priority="556">
      <formula>W80&lt;0</formula>
    </cfRule>
    <cfRule type="expression" dxfId="341" priority="557">
      <formula>W80&gt;0</formula>
    </cfRule>
  </conditionalFormatting>
  <conditionalFormatting sqref="W87">
    <cfRule type="expression" dxfId="340" priority="554">
      <formula>W87&lt;0</formula>
    </cfRule>
    <cfRule type="expression" dxfId="339" priority="555">
      <formula>W87&gt;0</formula>
    </cfRule>
  </conditionalFormatting>
  <conditionalFormatting sqref="W92">
    <cfRule type="expression" dxfId="338" priority="552">
      <formula>W92&lt;0</formula>
    </cfRule>
    <cfRule type="expression" dxfId="337" priority="553">
      <formula>W92&gt;0</formula>
    </cfRule>
  </conditionalFormatting>
  <conditionalFormatting sqref="W74:W75">
    <cfRule type="expression" dxfId="336" priority="550">
      <formula>W74&gt;0</formula>
    </cfRule>
    <cfRule type="expression" dxfId="335" priority="551">
      <formula>W74&lt;0</formula>
    </cfRule>
  </conditionalFormatting>
  <conditionalFormatting sqref="W78:W79">
    <cfRule type="expression" dxfId="334" priority="548">
      <formula>W78&gt;0</formula>
    </cfRule>
    <cfRule type="expression" dxfId="333" priority="549">
      <formula>W78&lt;0</formula>
    </cfRule>
  </conditionalFormatting>
  <conditionalFormatting sqref="W81 W86">
    <cfRule type="expression" dxfId="332" priority="546">
      <formula>W81&gt;0</formula>
    </cfRule>
    <cfRule type="expression" dxfId="331" priority="547">
      <formula>W81&lt;0</formula>
    </cfRule>
  </conditionalFormatting>
  <conditionalFormatting sqref="W88 W91">
    <cfRule type="expression" dxfId="330" priority="544">
      <formula>W88&gt;0</formula>
    </cfRule>
    <cfRule type="expression" dxfId="329" priority="545">
      <formula>W88&lt;0</formula>
    </cfRule>
  </conditionalFormatting>
  <conditionalFormatting sqref="W125">
    <cfRule type="expression" dxfId="328" priority="542">
      <formula>W125&gt;0</formula>
    </cfRule>
    <cfRule type="expression" dxfId="327" priority="543">
      <formula>W125&lt;0</formula>
    </cfRule>
  </conditionalFormatting>
  <conditionalFormatting sqref="W129">
    <cfRule type="expression" dxfId="326" priority="540">
      <formula>W129&lt;0</formula>
    </cfRule>
    <cfRule type="expression" dxfId="325" priority="541">
      <formula>W129&gt;0</formula>
    </cfRule>
  </conditionalFormatting>
  <conditionalFormatting sqref="W144">
    <cfRule type="expression" dxfId="324" priority="538">
      <formula>W144&gt;0</formula>
    </cfRule>
    <cfRule type="expression" dxfId="323" priority="539">
      <formula>W144&lt;0</formula>
    </cfRule>
  </conditionalFormatting>
  <conditionalFormatting sqref="W154">
    <cfRule type="expression" dxfId="322" priority="536">
      <formula>W154&gt;0</formula>
    </cfRule>
    <cfRule type="expression" dxfId="321" priority="537">
      <formula>W154&lt;0</formula>
    </cfRule>
  </conditionalFormatting>
  <conditionalFormatting sqref="W151">
    <cfRule type="expression" dxfId="320" priority="534">
      <formula>W151&lt;0</formula>
    </cfRule>
    <cfRule type="expression" dxfId="319" priority="535">
      <formula>W151&gt;0</formula>
    </cfRule>
  </conditionalFormatting>
  <conditionalFormatting sqref="W152">
    <cfRule type="expression" dxfId="318" priority="532">
      <formula>W152&gt;0</formula>
    </cfRule>
    <cfRule type="expression" dxfId="317" priority="533">
      <formula>W152&lt;0</formula>
    </cfRule>
  </conditionalFormatting>
  <conditionalFormatting sqref="W149:W150">
    <cfRule type="expression" dxfId="316" priority="528">
      <formula>W149&lt;0</formula>
    </cfRule>
    <cfRule type="expression" dxfId="315" priority="529">
      <formula>W149&gt;0</formula>
    </cfRule>
  </conditionalFormatting>
  <conditionalFormatting sqref="W156">
    <cfRule type="expression" dxfId="314" priority="526">
      <formula>W156&gt;0</formula>
    </cfRule>
    <cfRule type="expression" dxfId="313" priority="527">
      <formula>W156&lt;0</formula>
    </cfRule>
  </conditionalFormatting>
  <conditionalFormatting sqref="W165">
    <cfRule type="expression" dxfId="312" priority="522">
      <formula>W165&gt;0</formula>
    </cfRule>
    <cfRule type="expression" dxfId="311" priority="523">
      <formula>W165&lt;0</formula>
    </cfRule>
  </conditionalFormatting>
  <conditionalFormatting sqref="W169">
    <cfRule type="expression" dxfId="310" priority="520">
      <formula>W169&gt;0</formula>
    </cfRule>
    <cfRule type="expression" dxfId="309" priority="521">
      <formula>W169&lt;0</formula>
    </cfRule>
  </conditionalFormatting>
  <conditionalFormatting sqref="W174 W176">
    <cfRule type="expression" dxfId="308" priority="518">
      <formula>W174&lt;0</formula>
    </cfRule>
    <cfRule type="expression" dxfId="307" priority="519">
      <formula>W174&gt;0</formula>
    </cfRule>
  </conditionalFormatting>
  <conditionalFormatting sqref="W173">
    <cfRule type="expression" dxfId="306" priority="516">
      <formula>W173&gt;0</formula>
    </cfRule>
    <cfRule type="expression" dxfId="305" priority="517">
      <formula>W173&lt;0</formula>
    </cfRule>
  </conditionalFormatting>
  <conditionalFormatting sqref="W175">
    <cfRule type="expression" dxfId="304" priority="514">
      <formula>W175&lt;0</formula>
    </cfRule>
    <cfRule type="expression" dxfId="303" priority="515">
      <formula>W175&gt;0</formula>
    </cfRule>
  </conditionalFormatting>
  <conditionalFormatting sqref="W180">
    <cfRule type="expression" dxfId="302" priority="512">
      <formula>W180&gt;0</formula>
    </cfRule>
    <cfRule type="expression" dxfId="301" priority="513">
      <formula>W180&lt;0</formula>
    </cfRule>
  </conditionalFormatting>
  <conditionalFormatting sqref="O57">
    <cfRule type="expression" dxfId="300" priority="510">
      <formula>O57&gt;0</formula>
    </cfRule>
    <cfRule type="expression" dxfId="299" priority="511">
      <formula>O57&lt;0</formula>
    </cfRule>
  </conditionalFormatting>
  <conditionalFormatting sqref="S57">
    <cfRule type="expression" dxfId="298" priority="508">
      <formula>S57&gt;0</formula>
    </cfRule>
    <cfRule type="expression" dxfId="297" priority="509">
      <formula>S57&lt;0</formula>
    </cfRule>
  </conditionalFormatting>
  <conditionalFormatting sqref="W57">
    <cfRule type="expression" dxfId="296" priority="506">
      <formula>W57&gt;0</formula>
    </cfRule>
    <cfRule type="expression" dxfId="295" priority="507">
      <formula>W57&lt;0</formula>
    </cfRule>
  </conditionalFormatting>
  <conditionalFormatting sqref="O31:O32">
    <cfRule type="expression" dxfId="294" priority="504">
      <formula>O31&gt;0</formula>
    </cfRule>
    <cfRule type="expression" dxfId="293" priority="505">
      <formula>O31&lt;0</formula>
    </cfRule>
  </conditionalFormatting>
  <conditionalFormatting sqref="S31">
    <cfRule type="expression" dxfId="292" priority="502">
      <formula>S31&gt;0</formula>
    </cfRule>
    <cfRule type="expression" dxfId="291" priority="503">
      <formula>S31&lt;0</formula>
    </cfRule>
  </conditionalFormatting>
  <conditionalFormatting sqref="W31:W32">
    <cfRule type="expression" dxfId="290" priority="500">
      <formula>W31&gt;0</formula>
    </cfRule>
    <cfRule type="expression" dxfId="289" priority="501">
      <formula>W31&lt;0</formula>
    </cfRule>
  </conditionalFormatting>
  <conditionalFormatting sqref="O89">
    <cfRule type="expression" dxfId="288" priority="498">
      <formula>O89&gt;0</formula>
    </cfRule>
    <cfRule type="expression" dxfId="287" priority="499">
      <formula>O89&lt;0</formula>
    </cfRule>
  </conditionalFormatting>
  <conditionalFormatting sqref="S89">
    <cfRule type="expression" dxfId="286" priority="496">
      <formula>S89&gt;0</formula>
    </cfRule>
    <cfRule type="expression" dxfId="285" priority="497">
      <formula>S89&lt;0</formula>
    </cfRule>
  </conditionalFormatting>
  <conditionalFormatting sqref="W89">
    <cfRule type="expression" dxfId="284" priority="494">
      <formula>W89&gt;0</formula>
    </cfRule>
    <cfRule type="expression" dxfId="283" priority="495">
      <formula>W89&lt;0</formula>
    </cfRule>
  </conditionalFormatting>
  <conditionalFormatting sqref="O148">
    <cfRule type="expression" dxfId="282" priority="478">
      <formula>O148&gt;0</formula>
    </cfRule>
    <cfRule type="expression" dxfId="281" priority="479">
      <formula>O148&lt;0</formula>
    </cfRule>
  </conditionalFormatting>
  <conditionalFormatting sqref="W148">
    <cfRule type="expression" dxfId="280" priority="476">
      <formula>W148&gt;0</formula>
    </cfRule>
    <cfRule type="expression" dxfId="279" priority="477">
      <formula>W148&lt;0</formula>
    </cfRule>
  </conditionalFormatting>
  <conditionalFormatting sqref="S148">
    <cfRule type="expression" dxfId="278" priority="474">
      <formula>S148&gt;0</formula>
    </cfRule>
    <cfRule type="expression" dxfId="277" priority="475">
      <formula>S148&lt;0</formula>
    </cfRule>
  </conditionalFormatting>
  <conditionalFormatting sqref="O51">
    <cfRule type="expression" dxfId="276" priority="466">
      <formula>O51&gt;0</formula>
    </cfRule>
    <cfRule type="expression" dxfId="275" priority="467">
      <formula>O51&lt;0</formula>
    </cfRule>
  </conditionalFormatting>
  <conditionalFormatting sqref="S51">
    <cfRule type="expression" dxfId="274" priority="464">
      <formula>S51&gt;0</formula>
    </cfRule>
    <cfRule type="expression" dxfId="273" priority="465">
      <formula>S51&lt;0</formula>
    </cfRule>
  </conditionalFormatting>
  <conditionalFormatting sqref="W51">
    <cfRule type="expression" dxfId="272" priority="462">
      <formula>W51&gt;0</formula>
    </cfRule>
    <cfRule type="expression" dxfId="271" priority="463">
      <formula>W51&lt;0</formula>
    </cfRule>
  </conditionalFormatting>
  <conditionalFormatting sqref="O83">
    <cfRule type="expression" dxfId="270" priority="460">
      <formula>O83&gt;0</formula>
    </cfRule>
    <cfRule type="expression" dxfId="269" priority="461">
      <formula>O83&lt;0</formula>
    </cfRule>
  </conditionalFormatting>
  <conditionalFormatting sqref="S83">
    <cfRule type="expression" dxfId="268" priority="458">
      <formula>S83&gt;0</formula>
    </cfRule>
    <cfRule type="expression" dxfId="267" priority="459">
      <formula>S83&lt;0</formula>
    </cfRule>
  </conditionalFormatting>
  <conditionalFormatting sqref="W83">
    <cfRule type="expression" dxfId="266" priority="456">
      <formula>W83&gt;0</formula>
    </cfRule>
    <cfRule type="expression" dxfId="265" priority="457">
      <formula>W83&lt;0</formula>
    </cfRule>
  </conditionalFormatting>
  <conditionalFormatting sqref="O106">
    <cfRule type="expression" dxfId="264" priority="442">
      <formula>O106&gt;0</formula>
    </cfRule>
    <cfRule type="expression" dxfId="263" priority="443">
      <formula>O106&lt;0</formula>
    </cfRule>
  </conditionalFormatting>
  <conditionalFormatting sqref="S106">
    <cfRule type="expression" dxfId="262" priority="440">
      <formula>S106&gt;0</formula>
    </cfRule>
    <cfRule type="expression" dxfId="261" priority="441">
      <formula>S106&lt;0</formula>
    </cfRule>
  </conditionalFormatting>
  <conditionalFormatting sqref="W106">
    <cfRule type="expression" dxfId="260" priority="438">
      <formula>W106&gt;0</formula>
    </cfRule>
    <cfRule type="expression" dxfId="259" priority="439">
      <formula>W106&lt;0</formula>
    </cfRule>
  </conditionalFormatting>
  <conditionalFormatting sqref="O120">
    <cfRule type="expression" dxfId="258" priority="430">
      <formula>O120&gt;0</formula>
    </cfRule>
    <cfRule type="expression" dxfId="257" priority="431">
      <formula>O120&lt;0</formula>
    </cfRule>
  </conditionalFormatting>
  <conditionalFormatting sqref="S120">
    <cfRule type="expression" dxfId="256" priority="428">
      <formula>S120&gt;0</formula>
    </cfRule>
    <cfRule type="expression" dxfId="255" priority="429">
      <formula>S120&lt;0</formula>
    </cfRule>
  </conditionalFormatting>
  <conditionalFormatting sqref="W120">
    <cfRule type="expression" dxfId="254" priority="426">
      <formula>W120&gt;0</formula>
    </cfRule>
    <cfRule type="expression" dxfId="253" priority="427">
      <formula>W120&lt;0</formula>
    </cfRule>
  </conditionalFormatting>
  <conditionalFormatting sqref="O124">
    <cfRule type="expression" dxfId="252" priority="424">
      <formula>O124&gt;0</formula>
    </cfRule>
    <cfRule type="expression" dxfId="251" priority="425">
      <formula>O124&lt;0</formula>
    </cfRule>
  </conditionalFormatting>
  <conditionalFormatting sqref="S124">
    <cfRule type="expression" dxfId="250" priority="422">
      <formula>S124&gt;0</formula>
    </cfRule>
    <cfRule type="expression" dxfId="249" priority="423">
      <formula>S124&lt;0</formula>
    </cfRule>
  </conditionalFormatting>
  <conditionalFormatting sqref="W124">
    <cfRule type="expression" dxfId="248" priority="420">
      <formula>W124&gt;0</formula>
    </cfRule>
    <cfRule type="expression" dxfId="247" priority="421">
      <formula>W124&lt;0</formula>
    </cfRule>
  </conditionalFormatting>
  <conditionalFormatting sqref="O122:O123">
    <cfRule type="expression" dxfId="246" priority="418">
      <formula>O122&gt;0</formula>
    </cfRule>
    <cfRule type="expression" dxfId="245" priority="419">
      <formula>O122&lt;0</formula>
    </cfRule>
  </conditionalFormatting>
  <conditionalFormatting sqref="S122:S123">
    <cfRule type="expression" dxfId="244" priority="416">
      <formula>S122&gt;0</formula>
    </cfRule>
    <cfRule type="expression" dxfId="243" priority="417">
      <formula>S122&lt;0</formula>
    </cfRule>
  </conditionalFormatting>
  <conditionalFormatting sqref="W122:W123">
    <cfRule type="expression" dxfId="242" priority="414">
      <formula>W122&gt;0</formula>
    </cfRule>
    <cfRule type="expression" dxfId="241" priority="415">
      <formula>W122&lt;0</formula>
    </cfRule>
  </conditionalFormatting>
  <conditionalFormatting sqref="O140">
    <cfRule type="expression" dxfId="240" priority="410">
      <formula>O140&lt;0</formula>
    </cfRule>
    <cfRule type="expression" dxfId="239" priority="411">
      <formula>O140&gt;0</formula>
    </cfRule>
  </conditionalFormatting>
  <conditionalFormatting sqref="O139">
    <cfRule type="expression" dxfId="238" priority="404">
      <formula>O139="ì"</formula>
    </cfRule>
    <cfRule type="expression" dxfId="237" priority="405">
      <formula>O139="î"</formula>
    </cfRule>
    <cfRule type="expression" dxfId="236" priority="406">
      <formula>O139="è"</formula>
    </cfRule>
  </conditionalFormatting>
  <conditionalFormatting sqref="W139">
    <cfRule type="expression" dxfId="235" priority="407">
      <formula>W139="ì"</formula>
    </cfRule>
    <cfRule type="expression" dxfId="234" priority="408">
      <formula>W139="î"</formula>
    </cfRule>
    <cfRule type="expression" dxfId="233" priority="409">
      <formula>W139="è"</formula>
    </cfRule>
  </conditionalFormatting>
  <conditionalFormatting sqref="S139">
    <cfRule type="expression" dxfId="232" priority="401">
      <formula>S139="ì"</formula>
    </cfRule>
    <cfRule type="expression" dxfId="231" priority="402">
      <formula>S139="î"</formula>
    </cfRule>
    <cfRule type="expression" dxfId="230" priority="403">
      <formula>S139="è"</formula>
    </cfRule>
  </conditionalFormatting>
  <conditionalFormatting sqref="O131:O133">
    <cfRule type="expression" dxfId="229" priority="399">
      <formula>O131&lt;0</formula>
    </cfRule>
    <cfRule type="expression" dxfId="228" priority="400">
      <formula>O131&gt;0</formula>
    </cfRule>
  </conditionalFormatting>
  <conditionalFormatting sqref="O134">
    <cfRule type="expression" dxfId="227" priority="397">
      <formula>O134&lt;0</formula>
    </cfRule>
    <cfRule type="expression" dxfId="226" priority="398">
      <formula>O134&gt;0</formula>
    </cfRule>
  </conditionalFormatting>
  <conditionalFormatting sqref="O135">
    <cfRule type="expression" dxfId="225" priority="395">
      <formula>O135&lt;0</formula>
    </cfRule>
    <cfRule type="expression" dxfId="224" priority="396">
      <formula>O135&gt;0</formula>
    </cfRule>
  </conditionalFormatting>
  <conditionalFormatting sqref="O136">
    <cfRule type="expression" dxfId="223" priority="393">
      <formula>O136&lt;0</formula>
    </cfRule>
    <cfRule type="expression" dxfId="222" priority="394">
      <formula>O136&gt;0</formula>
    </cfRule>
  </conditionalFormatting>
  <conditionalFormatting sqref="S131:S133">
    <cfRule type="expression" dxfId="221" priority="379">
      <formula>S131&lt;0</formula>
    </cfRule>
    <cfRule type="expression" dxfId="220" priority="380">
      <formula>S131&gt;0</formula>
    </cfRule>
  </conditionalFormatting>
  <conditionalFormatting sqref="S134">
    <cfRule type="expression" dxfId="219" priority="377">
      <formula>S134&lt;0</formula>
    </cfRule>
    <cfRule type="expression" dxfId="218" priority="378">
      <formula>S134&gt;0</formula>
    </cfRule>
  </conditionalFormatting>
  <conditionalFormatting sqref="S135">
    <cfRule type="expression" dxfId="217" priority="375">
      <formula>S135&lt;0</formula>
    </cfRule>
    <cfRule type="expression" dxfId="216" priority="376">
      <formula>S135&gt;0</formula>
    </cfRule>
  </conditionalFormatting>
  <conditionalFormatting sqref="S136">
    <cfRule type="expression" dxfId="215" priority="373">
      <formula>S136&lt;0</formula>
    </cfRule>
    <cfRule type="expression" dxfId="214" priority="374">
      <formula>S136&gt;0</formula>
    </cfRule>
  </conditionalFormatting>
  <conditionalFormatting sqref="S140">
    <cfRule type="expression" dxfId="213" priority="359">
      <formula>S140&lt;0</formula>
    </cfRule>
    <cfRule type="expression" dxfId="212" priority="360">
      <formula>S140&gt;0</formula>
    </cfRule>
  </conditionalFormatting>
  <conditionalFormatting sqref="W131:W133">
    <cfRule type="expression" dxfId="211" priority="357">
      <formula>W131&lt;0</formula>
    </cfRule>
    <cfRule type="expression" dxfId="210" priority="358">
      <formula>W131&gt;0</formula>
    </cfRule>
  </conditionalFormatting>
  <conditionalFormatting sqref="W134">
    <cfRule type="expression" dxfId="209" priority="355">
      <formula>W134&lt;0</formula>
    </cfRule>
    <cfRule type="expression" dxfId="208" priority="356">
      <formula>W134&gt;0</formula>
    </cfRule>
  </conditionalFormatting>
  <conditionalFormatting sqref="W135">
    <cfRule type="expression" dxfId="207" priority="353">
      <formula>W135&lt;0</formula>
    </cfRule>
    <cfRule type="expression" dxfId="206" priority="354">
      <formula>W135&gt;0</formula>
    </cfRule>
  </conditionalFormatting>
  <conditionalFormatting sqref="W136">
    <cfRule type="expression" dxfId="205" priority="351">
      <formula>W136&lt;0</formula>
    </cfRule>
    <cfRule type="expression" dxfId="204" priority="352">
      <formula>W136&gt;0</formula>
    </cfRule>
  </conditionalFormatting>
  <conditionalFormatting sqref="W140">
    <cfRule type="expression" dxfId="203" priority="337">
      <formula>W140&lt;0</formula>
    </cfRule>
    <cfRule type="expression" dxfId="202" priority="338">
      <formula>W140&gt;0</formula>
    </cfRule>
  </conditionalFormatting>
  <conditionalFormatting sqref="O162">
    <cfRule type="expression" dxfId="201" priority="251">
      <formula>O162&gt;0</formula>
    </cfRule>
    <cfRule type="expression" dxfId="200" priority="252">
      <formula>O162&lt;0</formula>
    </cfRule>
  </conditionalFormatting>
  <conditionalFormatting sqref="S162">
    <cfRule type="expression" dxfId="199" priority="249">
      <formula>S162&gt;0</formula>
    </cfRule>
    <cfRule type="expression" dxfId="198" priority="250">
      <formula>S162&lt;0</formula>
    </cfRule>
  </conditionalFormatting>
  <conditionalFormatting sqref="W162">
    <cfRule type="expression" dxfId="197" priority="247">
      <formula>W162&gt;0</formula>
    </cfRule>
    <cfRule type="expression" dxfId="196" priority="248">
      <formula>W162&lt;0</formula>
    </cfRule>
  </conditionalFormatting>
  <conditionalFormatting sqref="O163">
    <cfRule type="expression" dxfId="195" priority="245">
      <formula>O163&gt;0</formula>
    </cfRule>
    <cfRule type="expression" dxfId="194" priority="246">
      <formula>O163&lt;0</formula>
    </cfRule>
  </conditionalFormatting>
  <conditionalFormatting sqref="S163">
    <cfRule type="expression" dxfId="193" priority="243">
      <formula>S163&gt;0</formula>
    </cfRule>
    <cfRule type="expression" dxfId="192" priority="244">
      <formula>S163&lt;0</formula>
    </cfRule>
  </conditionalFormatting>
  <conditionalFormatting sqref="W163">
    <cfRule type="expression" dxfId="191" priority="241">
      <formula>W163&gt;0</formula>
    </cfRule>
    <cfRule type="expression" dxfId="190" priority="242">
      <formula>W163&lt;0</formula>
    </cfRule>
  </conditionalFormatting>
  <conditionalFormatting sqref="O161">
    <cfRule type="expression" dxfId="189" priority="233">
      <formula>O161&lt;0</formula>
    </cfRule>
    <cfRule type="expression" dxfId="188" priority="234">
      <formula>O161&gt;0</formula>
    </cfRule>
  </conditionalFormatting>
  <conditionalFormatting sqref="S161">
    <cfRule type="expression" dxfId="187" priority="231">
      <formula>S161&lt;0</formula>
    </cfRule>
    <cfRule type="expression" dxfId="186" priority="232">
      <formula>S161&gt;0</formula>
    </cfRule>
  </conditionalFormatting>
  <conditionalFormatting sqref="W161">
    <cfRule type="expression" dxfId="185" priority="229">
      <formula>W161&lt;0</formula>
    </cfRule>
    <cfRule type="expression" dxfId="184" priority="230">
      <formula>W161&gt;0</formula>
    </cfRule>
  </conditionalFormatting>
  <conditionalFormatting sqref="O24:O26">
    <cfRule type="expression" dxfId="183" priority="227">
      <formula>O24&lt;0</formula>
    </cfRule>
    <cfRule type="expression" dxfId="182" priority="228">
      <formula>O24&gt;0</formula>
    </cfRule>
  </conditionalFormatting>
  <conditionalFormatting sqref="S24:S26">
    <cfRule type="expression" dxfId="181" priority="225">
      <formula>S24&lt;0</formula>
    </cfRule>
    <cfRule type="expression" dxfId="180" priority="226">
      <formula>S24&gt;0</formula>
    </cfRule>
  </conditionalFormatting>
  <conditionalFormatting sqref="W24:W26">
    <cfRule type="expression" dxfId="179" priority="223">
      <formula>W24&lt;0</formula>
    </cfRule>
    <cfRule type="expression" dxfId="178" priority="224">
      <formula>W24&gt;0</formula>
    </cfRule>
  </conditionalFormatting>
  <conditionalFormatting sqref="O28:O29">
    <cfRule type="expression" dxfId="177" priority="221">
      <formula>O28&lt;0</formula>
    </cfRule>
    <cfRule type="expression" dxfId="176" priority="222">
      <formula>O28&gt;0</formula>
    </cfRule>
  </conditionalFormatting>
  <conditionalFormatting sqref="S28:S29">
    <cfRule type="expression" dxfId="175" priority="219">
      <formula>S28&lt;0</formula>
    </cfRule>
    <cfRule type="expression" dxfId="174" priority="220">
      <formula>S28&gt;0</formula>
    </cfRule>
  </conditionalFormatting>
  <conditionalFormatting sqref="W28:W29">
    <cfRule type="expression" dxfId="173" priority="217">
      <formula>W28&lt;0</formula>
    </cfRule>
    <cfRule type="expression" dxfId="172" priority="218">
      <formula>W28&gt;0</formula>
    </cfRule>
  </conditionalFormatting>
  <conditionalFormatting sqref="O52">
    <cfRule type="expression" dxfId="171" priority="215">
      <formula>O52&gt;0</formula>
    </cfRule>
    <cfRule type="expression" dxfId="170" priority="216">
      <formula>O52&lt;0</formula>
    </cfRule>
  </conditionalFormatting>
  <conditionalFormatting sqref="S52">
    <cfRule type="expression" dxfId="169" priority="213">
      <formula>S52&gt;0</formula>
    </cfRule>
    <cfRule type="expression" dxfId="168" priority="214">
      <formula>S52&lt;0</formula>
    </cfRule>
  </conditionalFormatting>
  <conditionalFormatting sqref="W52">
    <cfRule type="expression" dxfId="167" priority="211">
      <formula>W52&gt;0</formula>
    </cfRule>
    <cfRule type="expression" dxfId="166" priority="212">
      <formula>W52&lt;0</formula>
    </cfRule>
  </conditionalFormatting>
  <conditionalFormatting sqref="O103 S103 W103">
    <cfRule type="expression" dxfId="165" priority="209">
      <formula>O103&gt;0</formula>
    </cfRule>
    <cfRule type="expression" dxfId="164" priority="210">
      <formula>O103&lt;0</formula>
    </cfRule>
  </conditionalFormatting>
  <conditionalFormatting sqref="O84">
    <cfRule type="expression" dxfId="163" priority="195">
      <formula>O84&gt;0</formula>
    </cfRule>
    <cfRule type="expression" dxfId="162" priority="196">
      <formula>O84&lt;0</formula>
    </cfRule>
  </conditionalFormatting>
  <conditionalFormatting sqref="S84">
    <cfRule type="expression" dxfId="161" priority="193">
      <formula>S84&gt;0</formula>
    </cfRule>
    <cfRule type="expression" dxfId="160" priority="194">
      <formula>S84&lt;0</formula>
    </cfRule>
  </conditionalFormatting>
  <conditionalFormatting sqref="W84">
    <cfRule type="expression" dxfId="159" priority="191">
      <formula>W84&gt;0</formula>
    </cfRule>
    <cfRule type="expression" dxfId="158" priority="192">
      <formula>W84&lt;0</formula>
    </cfRule>
  </conditionalFormatting>
  <conditionalFormatting sqref="O85">
    <cfRule type="expression" dxfId="157" priority="189">
      <formula>O85&gt;0</formula>
    </cfRule>
    <cfRule type="expression" dxfId="156" priority="190">
      <formula>O85&lt;0</formula>
    </cfRule>
  </conditionalFormatting>
  <conditionalFormatting sqref="S85">
    <cfRule type="expression" dxfId="155" priority="187">
      <formula>S85&gt;0</formula>
    </cfRule>
    <cfRule type="expression" dxfId="154" priority="188">
      <formula>S85&lt;0</formula>
    </cfRule>
  </conditionalFormatting>
  <conditionalFormatting sqref="W85">
    <cfRule type="expression" dxfId="153" priority="185">
      <formula>W85&gt;0</formula>
    </cfRule>
    <cfRule type="expression" dxfId="152" priority="186">
      <formula>W85&lt;0</formula>
    </cfRule>
  </conditionalFormatting>
  <conditionalFormatting sqref="O115">
    <cfRule type="expression" dxfId="151" priority="177">
      <formula>O115&gt;0</formula>
    </cfRule>
    <cfRule type="expression" dxfId="150" priority="178">
      <formula>O115&lt;0</formula>
    </cfRule>
  </conditionalFormatting>
  <conditionalFormatting sqref="S115">
    <cfRule type="expression" dxfId="149" priority="175">
      <formula>S115&gt;0</formula>
    </cfRule>
    <cfRule type="expression" dxfId="148" priority="176">
      <formula>S115&lt;0</formula>
    </cfRule>
  </conditionalFormatting>
  <conditionalFormatting sqref="W115">
    <cfRule type="expression" dxfId="147" priority="173">
      <formula>W115&gt;0</formula>
    </cfRule>
    <cfRule type="expression" dxfId="146" priority="174">
      <formula>W115&lt;0</formula>
    </cfRule>
  </conditionalFormatting>
  <conditionalFormatting sqref="O127">
    <cfRule type="expression" dxfId="145" priority="171">
      <formula>O127&gt;0</formula>
    </cfRule>
    <cfRule type="expression" dxfId="144" priority="172">
      <formula>O127&lt;0</formula>
    </cfRule>
  </conditionalFormatting>
  <conditionalFormatting sqref="S127">
    <cfRule type="expression" dxfId="143" priority="169">
      <formula>S127&gt;0</formula>
    </cfRule>
    <cfRule type="expression" dxfId="142" priority="170">
      <formula>S127&lt;0</formula>
    </cfRule>
  </conditionalFormatting>
  <conditionalFormatting sqref="W127">
    <cfRule type="expression" dxfId="141" priority="167">
      <formula>W127&gt;0</formula>
    </cfRule>
    <cfRule type="expression" dxfId="140" priority="168">
      <formula>W127&lt;0</formula>
    </cfRule>
  </conditionalFormatting>
  <conditionalFormatting sqref="O105">
    <cfRule type="expression" dxfId="139" priority="165">
      <formula>O105&gt;0</formula>
    </cfRule>
    <cfRule type="expression" dxfId="138" priority="166">
      <formula>O105&lt;0</formula>
    </cfRule>
  </conditionalFormatting>
  <conditionalFormatting sqref="S105">
    <cfRule type="expression" dxfId="137" priority="163">
      <formula>S105&gt;0</formula>
    </cfRule>
    <cfRule type="expression" dxfId="136" priority="164">
      <formula>S105&lt;0</formula>
    </cfRule>
  </conditionalFormatting>
  <conditionalFormatting sqref="W105">
    <cfRule type="expression" dxfId="135" priority="161">
      <formula>W105&gt;0</formula>
    </cfRule>
    <cfRule type="expression" dxfId="134" priority="162">
      <formula>W105&lt;0</formula>
    </cfRule>
  </conditionalFormatting>
  <conditionalFormatting sqref="O60">
    <cfRule type="expression" dxfId="133" priority="159">
      <formula>O60&gt;0</formula>
    </cfRule>
    <cfRule type="expression" dxfId="132" priority="160">
      <formula>O60&lt;0</formula>
    </cfRule>
  </conditionalFormatting>
  <conditionalFormatting sqref="S60">
    <cfRule type="expression" dxfId="131" priority="157">
      <formula>S60&gt;0</formula>
    </cfRule>
    <cfRule type="expression" dxfId="130" priority="158">
      <formula>S60&lt;0</formula>
    </cfRule>
  </conditionalFormatting>
  <conditionalFormatting sqref="W60">
    <cfRule type="expression" dxfId="129" priority="155">
      <formula>W60&gt;0</formula>
    </cfRule>
    <cfRule type="expression" dxfId="128" priority="156">
      <formula>W60&lt;0</formula>
    </cfRule>
  </conditionalFormatting>
  <conditionalFormatting sqref="W108">
    <cfRule type="expression" dxfId="127" priority="149">
      <formula>W108&gt;0</formula>
    </cfRule>
    <cfRule type="expression" dxfId="126" priority="150">
      <formula>W108&lt;0</formula>
    </cfRule>
  </conditionalFormatting>
  <conditionalFormatting sqref="O90">
    <cfRule type="expression" dxfId="125" priority="147">
      <formula>O90&gt;0</formula>
    </cfRule>
    <cfRule type="expression" dxfId="124" priority="148">
      <formula>O90&lt;0</formula>
    </cfRule>
  </conditionalFormatting>
  <conditionalFormatting sqref="S90">
    <cfRule type="expression" dxfId="123" priority="145">
      <formula>S90&gt;0</formula>
    </cfRule>
    <cfRule type="expression" dxfId="122" priority="146">
      <formula>S90&lt;0</formula>
    </cfRule>
  </conditionalFormatting>
  <conditionalFormatting sqref="W90">
    <cfRule type="expression" dxfId="121" priority="143">
      <formula>W90&gt;0</formula>
    </cfRule>
    <cfRule type="expression" dxfId="120" priority="144">
      <formula>W90&lt;0</formula>
    </cfRule>
  </conditionalFormatting>
  <conditionalFormatting sqref="O159">
    <cfRule type="expression" dxfId="119" priority="133">
      <formula>O159&lt;0</formula>
    </cfRule>
    <cfRule type="expression" dxfId="118" priority="134">
      <formula>O159&gt;0</formula>
    </cfRule>
  </conditionalFormatting>
  <conditionalFormatting sqref="S159">
    <cfRule type="expression" dxfId="117" priority="139">
      <formula>S159&lt;0</formula>
    </cfRule>
    <cfRule type="expression" dxfId="116" priority="140">
      <formula>S159&gt;0</formula>
    </cfRule>
  </conditionalFormatting>
  <conditionalFormatting sqref="W159">
    <cfRule type="expression" dxfId="115" priority="129">
      <formula>W159&lt;0</formula>
    </cfRule>
    <cfRule type="expression" dxfId="114" priority="130">
      <formula>W159&gt;0</formula>
    </cfRule>
  </conditionalFormatting>
  <conditionalFormatting sqref="O96">
    <cfRule type="expression" dxfId="113" priority="121">
      <formula>O96&gt;0</formula>
    </cfRule>
    <cfRule type="expression" dxfId="112" priority="122">
      <formula>O96&lt;0</formula>
    </cfRule>
  </conditionalFormatting>
  <conditionalFormatting sqref="S96">
    <cfRule type="expression" dxfId="111" priority="119">
      <formula>S96&gt;0</formula>
    </cfRule>
    <cfRule type="expression" dxfId="110" priority="120">
      <formula>S96&lt;0</formula>
    </cfRule>
  </conditionalFormatting>
  <conditionalFormatting sqref="W96">
    <cfRule type="expression" dxfId="109" priority="117">
      <formula>W96&gt;0</formula>
    </cfRule>
    <cfRule type="expression" dxfId="108" priority="118">
      <formula>W96&lt;0</formula>
    </cfRule>
  </conditionalFormatting>
  <conditionalFormatting sqref="O27">
    <cfRule type="expression" dxfId="107" priority="115">
      <formula>O27&lt;0</formula>
    </cfRule>
    <cfRule type="expression" dxfId="106" priority="116">
      <formula>O27&gt;0</formula>
    </cfRule>
  </conditionalFormatting>
  <conditionalFormatting sqref="S27">
    <cfRule type="expression" dxfId="105" priority="113">
      <formula>S27&lt;0</formula>
    </cfRule>
    <cfRule type="expression" dxfId="104" priority="114">
      <formula>S27&gt;0</formula>
    </cfRule>
  </conditionalFormatting>
  <conditionalFormatting sqref="W27">
    <cfRule type="expression" dxfId="103" priority="111">
      <formula>W27&lt;0</formula>
    </cfRule>
    <cfRule type="expression" dxfId="102" priority="112">
      <formula>W27&gt;0</formula>
    </cfRule>
  </conditionalFormatting>
  <conditionalFormatting sqref="O138">
    <cfRule type="expression" dxfId="101" priority="109">
      <formula>O138&lt;0</formula>
    </cfRule>
    <cfRule type="expression" dxfId="100" priority="110">
      <formula>O138&gt;0</formula>
    </cfRule>
  </conditionalFormatting>
  <conditionalFormatting sqref="S138">
    <cfRule type="expression" dxfId="99" priority="107">
      <formula>S138&lt;0</formula>
    </cfRule>
    <cfRule type="expression" dxfId="98" priority="108">
      <formula>S138&gt;0</formula>
    </cfRule>
  </conditionalFormatting>
  <conditionalFormatting sqref="W138">
    <cfRule type="expression" dxfId="97" priority="105">
      <formula>W138&lt;0</formula>
    </cfRule>
    <cfRule type="expression" dxfId="96" priority="106">
      <formula>W138&gt;0</formula>
    </cfRule>
  </conditionalFormatting>
  <conditionalFormatting sqref="O137">
    <cfRule type="expression" dxfId="95" priority="103">
      <formula>O137&lt;0</formula>
    </cfRule>
    <cfRule type="expression" dxfId="94" priority="104">
      <formula>O137&gt;0</formula>
    </cfRule>
  </conditionalFormatting>
  <conditionalFormatting sqref="S137">
    <cfRule type="expression" dxfId="93" priority="101">
      <formula>S137&lt;0</formula>
    </cfRule>
    <cfRule type="expression" dxfId="92" priority="102">
      <formula>S137&gt;0</formula>
    </cfRule>
  </conditionalFormatting>
  <conditionalFormatting sqref="W137">
    <cfRule type="expression" dxfId="91" priority="99">
      <formula>W137&lt;0</formula>
    </cfRule>
    <cfRule type="expression" dxfId="90" priority="100">
      <formula>W137&gt;0</formula>
    </cfRule>
  </conditionalFormatting>
  <conditionalFormatting sqref="O76">
    <cfRule type="expression" dxfId="89" priority="97">
      <formula>O76&gt;0</formula>
    </cfRule>
    <cfRule type="expression" dxfId="88" priority="98">
      <formula>O76&lt;0</formula>
    </cfRule>
  </conditionalFormatting>
  <conditionalFormatting sqref="S76">
    <cfRule type="expression" dxfId="87" priority="95">
      <formula>S76&gt;0</formula>
    </cfRule>
    <cfRule type="expression" dxfId="86" priority="96">
      <formula>S76&lt;0</formula>
    </cfRule>
  </conditionalFormatting>
  <conditionalFormatting sqref="W76">
    <cfRule type="expression" dxfId="85" priority="93">
      <formula>W76&gt;0</formula>
    </cfRule>
    <cfRule type="expression" dxfId="84" priority="94">
      <formula>W76&lt;0</formula>
    </cfRule>
  </conditionalFormatting>
  <conditionalFormatting sqref="O112 S112 W112">
    <cfRule type="expression" dxfId="83" priority="91">
      <formula>O112&gt;0</formula>
    </cfRule>
    <cfRule type="expression" dxfId="82" priority="92">
      <formula>O112&lt;0</formula>
    </cfRule>
  </conditionalFormatting>
  <conditionalFormatting sqref="O121">
    <cfRule type="expression" dxfId="81" priority="87">
      <formula>O121&gt;0</formula>
    </cfRule>
    <cfRule type="expression" dxfId="80" priority="88">
      <formula>O121&lt;0</formula>
    </cfRule>
  </conditionalFormatting>
  <conditionalFormatting sqref="S121">
    <cfRule type="expression" dxfId="79" priority="85">
      <formula>S121&gt;0</formula>
    </cfRule>
    <cfRule type="expression" dxfId="78" priority="86">
      <formula>S121&lt;0</formula>
    </cfRule>
  </conditionalFormatting>
  <conditionalFormatting sqref="O54">
    <cfRule type="expression" dxfId="77" priority="83">
      <formula>O54&gt;0</formula>
    </cfRule>
    <cfRule type="expression" dxfId="76" priority="84">
      <formula>O54&lt;0</formula>
    </cfRule>
  </conditionalFormatting>
  <conditionalFormatting sqref="S54">
    <cfRule type="expression" dxfId="75" priority="81">
      <formula>S54&gt;0</formula>
    </cfRule>
    <cfRule type="expression" dxfId="74" priority="82">
      <formula>S54&lt;0</formula>
    </cfRule>
  </conditionalFormatting>
  <conditionalFormatting sqref="W54">
    <cfRule type="expression" dxfId="73" priority="79">
      <formula>W54&gt;0</formula>
    </cfRule>
    <cfRule type="expression" dxfId="72" priority="80">
      <formula>W54&lt;0</formula>
    </cfRule>
  </conditionalFormatting>
  <conditionalFormatting sqref="O35">
    <cfRule type="expression" dxfId="71" priority="77">
      <formula>O35&lt;0</formula>
    </cfRule>
    <cfRule type="expression" dxfId="70" priority="78">
      <formula>O35&gt;0</formula>
    </cfRule>
  </conditionalFormatting>
  <conditionalFormatting sqref="S35">
    <cfRule type="expression" dxfId="69" priority="75">
      <formula>S35&lt;0</formula>
    </cfRule>
    <cfRule type="expression" dxfId="68" priority="76">
      <formula>S35&gt;0</formula>
    </cfRule>
  </conditionalFormatting>
  <conditionalFormatting sqref="W35">
    <cfRule type="expression" dxfId="67" priority="73">
      <formula>W35&lt;0</formula>
    </cfRule>
    <cfRule type="expression" dxfId="66" priority="74">
      <formula>W35&gt;0</formula>
    </cfRule>
  </conditionalFormatting>
  <conditionalFormatting sqref="O82">
    <cfRule type="expression" dxfId="65" priority="71">
      <formula>O82&gt;0</formula>
    </cfRule>
    <cfRule type="expression" dxfId="64" priority="72">
      <formula>O82&lt;0</formula>
    </cfRule>
  </conditionalFormatting>
  <conditionalFormatting sqref="S82">
    <cfRule type="expression" dxfId="63" priority="69">
      <formula>S82&gt;0</formula>
    </cfRule>
    <cfRule type="expression" dxfId="62" priority="70">
      <formula>S82&lt;0</formula>
    </cfRule>
  </conditionalFormatting>
  <conditionalFormatting sqref="W82">
    <cfRule type="expression" dxfId="61" priority="67">
      <formula>W82&gt;0</formula>
    </cfRule>
    <cfRule type="expression" dxfId="60" priority="68">
      <formula>W82&lt;0</formula>
    </cfRule>
  </conditionalFormatting>
  <conditionalFormatting sqref="O93 S93 W93">
    <cfRule type="expression" dxfId="59" priority="65">
      <formula>O93&gt;0</formula>
    </cfRule>
    <cfRule type="expression" dxfId="58" priority="66">
      <formula>O93&lt;0</formula>
    </cfRule>
  </conditionalFormatting>
  <conditionalFormatting sqref="O95">
    <cfRule type="expression" dxfId="57" priority="63">
      <formula>O95&gt;0</formula>
    </cfRule>
    <cfRule type="expression" dxfId="56" priority="64">
      <formula>O95&lt;0</formula>
    </cfRule>
  </conditionalFormatting>
  <conditionalFormatting sqref="S95">
    <cfRule type="expression" dxfId="55" priority="61">
      <formula>S95&gt;0</formula>
    </cfRule>
    <cfRule type="expression" dxfId="54" priority="62">
      <formula>S95&lt;0</formula>
    </cfRule>
  </conditionalFormatting>
  <conditionalFormatting sqref="W95">
    <cfRule type="expression" dxfId="53" priority="59">
      <formula>W95&gt;0</formula>
    </cfRule>
    <cfRule type="expression" dxfId="52" priority="60">
      <formula>W95&lt;0</formula>
    </cfRule>
  </conditionalFormatting>
  <conditionalFormatting sqref="O101 S101 W101">
    <cfRule type="expression" dxfId="51" priority="57">
      <formula>O101&gt;0</formula>
    </cfRule>
    <cfRule type="expression" dxfId="50" priority="58">
      <formula>O101&lt;0</formula>
    </cfRule>
  </conditionalFormatting>
  <conditionalFormatting sqref="O102 S102 W102">
    <cfRule type="expression" dxfId="49" priority="55">
      <formula>O102&gt;0</formula>
    </cfRule>
    <cfRule type="expression" dxfId="48" priority="56">
      <formula>O102&lt;0</formula>
    </cfRule>
  </conditionalFormatting>
  <conditionalFormatting sqref="O107">
    <cfRule type="expression" dxfId="47" priority="53">
      <formula>O107&gt;0</formula>
    </cfRule>
    <cfRule type="expression" dxfId="46" priority="54">
      <formula>O107&lt;0</formula>
    </cfRule>
  </conditionalFormatting>
  <conditionalFormatting sqref="S107">
    <cfRule type="expression" dxfId="45" priority="51">
      <formula>S107&gt;0</formula>
    </cfRule>
    <cfRule type="expression" dxfId="44" priority="52">
      <formula>S107&lt;0</formula>
    </cfRule>
  </conditionalFormatting>
  <conditionalFormatting sqref="W107">
    <cfRule type="expression" dxfId="43" priority="49">
      <formula>W107&gt;0</formula>
    </cfRule>
    <cfRule type="expression" dxfId="42" priority="50">
      <formula>W107&lt;0</formula>
    </cfRule>
  </conditionalFormatting>
  <conditionalFormatting sqref="O61">
    <cfRule type="expression" dxfId="41" priority="47">
      <formula>O61&gt;0</formula>
    </cfRule>
    <cfRule type="expression" dxfId="40" priority="48">
      <formula>O61&lt;0</formula>
    </cfRule>
  </conditionalFormatting>
  <conditionalFormatting sqref="S61">
    <cfRule type="expression" dxfId="39" priority="45">
      <formula>S61&gt;0</formula>
    </cfRule>
    <cfRule type="expression" dxfId="38" priority="46">
      <formula>S61&lt;0</formula>
    </cfRule>
  </conditionalFormatting>
  <conditionalFormatting sqref="W61">
    <cfRule type="expression" dxfId="37" priority="43">
      <formula>W61&gt;0</formula>
    </cfRule>
    <cfRule type="expression" dxfId="36" priority="44">
      <formula>W61&lt;0</formula>
    </cfRule>
  </conditionalFormatting>
  <conditionalFormatting sqref="O55">
    <cfRule type="expression" dxfId="35" priority="41">
      <formula>O55&gt;0</formula>
    </cfRule>
    <cfRule type="expression" dxfId="34" priority="42">
      <formula>O55&lt;0</formula>
    </cfRule>
  </conditionalFormatting>
  <conditionalFormatting sqref="S55">
    <cfRule type="expression" dxfId="33" priority="39">
      <formula>S55&gt;0</formula>
    </cfRule>
    <cfRule type="expression" dxfId="32" priority="40">
      <formula>S55&lt;0</formula>
    </cfRule>
  </conditionalFormatting>
  <conditionalFormatting sqref="W55">
    <cfRule type="expression" dxfId="31" priority="37">
      <formula>W55&gt;0</formula>
    </cfRule>
    <cfRule type="expression" dxfId="30" priority="38">
      <formula>W55&lt;0</formula>
    </cfRule>
  </conditionalFormatting>
  <conditionalFormatting sqref="O119 S119">
    <cfRule type="expression" dxfId="29" priority="35">
      <formula>O119&gt;0</formula>
    </cfRule>
    <cfRule type="expression" dxfId="28" priority="36">
      <formula>O119&lt;0</formula>
    </cfRule>
  </conditionalFormatting>
  <conditionalFormatting sqref="W117:W119">
    <cfRule type="expression" dxfId="27" priority="33">
      <formula>W117&gt;0</formula>
    </cfRule>
    <cfRule type="expression" dxfId="26" priority="34">
      <formula>W117&lt;0</formula>
    </cfRule>
  </conditionalFormatting>
  <conditionalFormatting sqref="W121">
    <cfRule type="expression" dxfId="25" priority="31">
      <formula>W121&gt;0</formula>
    </cfRule>
    <cfRule type="expression" dxfId="24" priority="32">
      <formula>W121&lt;0</formula>
    </cfRule>
  </conditionalFormatting>
  <conditionalFormatting sqref="O126">
    <cfRule type="expression" dxfId="23" priority="23">
      <formula>O126&gt;0</formula>
    </cfRule>
    <cfRule type="expression" dxfId="22" priority="24">
      <formula>O126&lt;0</formula>
    </cfRule>
  </conditionalFormatting>
  <conditionalFormatting sqref="S126">
    <cfRule type="expression" dxfId="21" priority="21">
      <formula>S126&gt;0</formula>
    </cfRule>
    <cfRule type="expression" dxfId="20" priority="22">
      <formula>S126&lt;0</formula>
    </cfRule>
  </conditionalFormatting>
  <conditionalFormatting sqref="W126">
    <cfRule type="expression" dxfId="19" priority="19">
      <formula>W126&gt;0</formula>
    </cfRule>
    <cfRule type="expression" dxfId="18" priority="20">
      <formula>W126&lt;0</formula>
    </cfRule>
  </conditionalFormatting>
  <conditionalFormatting sqref="O153">
    <cfRule type="expression" dxfId="17" priority="17">
      <formula>O153&gt;0</formula>
    </cfRule>
    <cfRule type="expression" dxfId="16" priority="18">
      <formula>O153&lt;0</formula>
    </cfRule>
  </conditionalFormatting>
  <conditionalFormatting sqref="S153">
    <cfRule type="expression" dxfId="15" priority="15">
      <formula>S153&gt;0</formula>
    </cfRule>
    <cfRule type="expression" dxfId="14" priority="16">
      <formula>S153&lt;0</formula>
    </cfRule>
  </conditionalFormatting>
  <conditionalFormatting sqref="W153">
    <cfRule type="expression" dxfId="13" priority="13">
      <formula>W153&gt;0</formula>
    </cfRule>
    <cfRule type="expression" dxfId="12" priority="14">
      <formula>W153&lt;0</formula>
    </cfRule>
  </conditionalFormatting>
  <conditionalFormatting sqref="O104 S104 W104">
    <cfRule type="expression" dxfId="11" priority="11">
      <formula>O104&gt;0</formula>
    </cfRule>
    <cfRule type="expression" dxfId="10" priority="12">
      <formula>O104&lt;0</formula>
    </cfRule>
  </conditionalFormatting>
  <conditionalFormatting sqref="S32">
    <cfRule type="expression" dxfId="9" priority="9">
      <formula>S32&gt;0</formula>
    </cfRule>
    <cfRule type="expression" dxfId="8" priority="10">
      <formula>S32&lt;0</formula>
    </cfRule>
  </conditionalFormatting>
  <conditionalFormatting sqref="S46">
    <cfRule type="expression" dxfId="7" priority="7">
      <formula>S46&gt;0</formula>
    </cfRule>
    <cfRule type="expression" dxfId="6" priority="8">
      <formula>S46&lt;0</formula>
    </cfRule>
  </conditionalFormatting>
  <conditionalFormatting sqref="O94">
    <cfRule type="expression" dxfId="5" priority="5">
      <formula>O94&gt;0</formula>
    </cfRule>
    <cfRule type="expression" dxfId="4" priority="6">
      <formula>O94&lt;0</formula>
    </cfRule>
  </conditionalFormatting>
  <conditionalFormatting sqref="S94">
    <cfRule type="expression" dxfId="3" priority="3">
      <formula>S94&gt;0</formula>
    </cfRule>
    <cfRule type="expression" dxfId="2" priority="4">
      <formula>S94&lt;0</formula>
    </cfRule>
  </conditionalFormatting>
  <conditionalFormatting sqref="W94">
    <cfRule type="expression" dxfId="1" priority="1">
      <formula>W94&gt;0</formula>
    </cfRule>
    <cfRule type="expression" dxfId="0" priority="2">
      <formula>W94&lt;0</formula>
    </cfRule>
  </conditionalFormatting>
  <printOptions horizontalCentered="1" headings="1"/>
  <pageMargins left="0.11811023622047245" right="0.11811023622047245" top="0.15748031496062992" bottom="0.15748031496062992" header="0" footer="0"/>
  <pageSetup paperSize="8" scale="60" orientation="portrait" r:id="rId1"/>
  <headerFooter>
    <oddFooter>&amp;C&amp;9&amp;K01+021GIE Transdev Formation
&amp;D&amp;T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14</vt:i4>
      </vt:variant>
    </vt:vector>
  </HeadingPairs>
  <TitlesOfParts>
    <vt:vector size="16" baseType="lpstr">
      <vt:lpstr>Context</vt:lpstr>
      <vt:lpstr>P&amp;L détaillé</vt:lpstr>
      <vt:lpstr>ActualBudget</vt:lpstr>
      <vt:lpstr>ActualForecast</vt:lpstr>
      <vt:lpstr>ActualMonth</vt:lpstr>
      <vt:lpstr>ActualYear</vt:lpstr>
      <vt:lpstr>Auto_Fit</vt:lpstr>
      <vt:lpstr>Cube1</vt:lpstr>
      <vt:lpstr>Cube2</vt:lpstr>
      <vt:lpstr>Cube3</vt:lpstr>
      <vt:lpstr>DEFAULt_PERIOD</vt:lpstr>
      <vt:lpstr>Languages</vt:lpstr>
      <vt:lpstr>Locallanguage</vt:lpstr>
      <vt:lpstr>'P&amp;L détaillé'!Print_Area</vt:lpstr>
      <vt:lpstr>Server</vt:lpstr>
      <vt:lpstr>xServer</vt:lpstr>
    </vt:vector>
  </TitlesOfParts>
  <Company>Veolia Transport - Transdev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adm-a.pradeilles</dc:creator>
  <cp:lastModifiedBy>SAINT JOHN de CREVECOEUR, Rozenn</cp:lastModifiedBy>
  <cp:lastPrinted>2017-02-01T16:08:27Z</cp:lastPrinted>
  <dcterms:created xsi:type="dcterms:W3CDTF">2013-10-22T08:17:57Z</dcterms:created>
  <dcterms:modified xsi:type="dcterms:W3CDTF">2022-01-06T09:07:28Z</dcterms:modified>
</cp:coreProperties>
</file>