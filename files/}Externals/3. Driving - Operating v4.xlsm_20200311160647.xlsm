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100" yWindow="150" windowWidth="12465" windowHeight="10050" firstSheet="1" activeTab="1"/>
  </bookViews>
  <sheets>
    <sheet name="Context" sheetId="1" state="hidden" r:id="rId1"/>
    <sheet name="Driving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Driving!$I$19:$V$35</definedName>
    <definedName name="AutoRefresh_PL" localSheetId="1">Driving!$F$1</definedName>
    <definedName name="AutoRefresh_PL_aggregated">Driving!$G$3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Driving!$A$18:$V$38</definedName>
    <definedName name="Print_Titles" localSheetId="1">Driving!$7:$9</definedName>
    <definedName name="PriorYear">Driving!$I$2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G17" i="2"/>
  <c r="G13" i="2"/>
  <c r="G14" i="2"/>
  <c r="G15" i="2"/>
  <c r="G16" i="2"/>
  <c r="G11" i="2"/>
  <c r="G12" i="2"/>
  <c r="B14" i="1"/>
  <c r="I18" i="2"/>
  <c r="I2" i="2"/>
  <c r="L18" i="2"/>
  <c r="L37" i="2"/>
  <c r="I19" i="2"/>
  <c r="I1" i="2"/>
  <c r="I37" i="2"/>
  <c r="T37" i="2"/>
  <c r="U37" i="2"/>
  <c r="V37" i="2"/>
  <c r="L35" i="2"/>
  <c r="I35" i="2"/>
  <c r="T35" i="2"/>
  <c r="U35" i="2"/>
  <c r="V35" i="2"/>
  <c r="L34" i="2"/>
  <c r="I34" i="2"/>
  <c r="T34" i="2"/>
  <c r="U34" i="2"/>
  <c r="V34" i="2"/>
  <c r="L33" i="2"/>
  <c r="I33" i="2"/>
  <c r="T33" i="2"/>
  <c r="U33" i="2"/>
  <c r="V33" i="2"/>
  <c r="L31" i="2"/>
  <c r="I31" i="2"/>
  <c r="T31" i="2"/>
  <c r="U31" i="2"/>
  <c r="V31" i="2"/>
  <c r="L29" i="2"/>
  <c r="I29" i="2"/>
  <c r="T29" i="2"/>
  <c r="U29" i="2"/>
  <c r="V29" i="2"/>
  <c r="L27" i="2"/>
  <c r="I27" i="2"/>
  <c r="T27" i="2"/>
  <c r="U27" i="2"/>
  <c r="V27" i="2"/>
  <c r="L25" i="2"/>
  <c r="I25" i="2"/>
  <c r="T25" i="2"/>
  <c r="U25" i="2"/>
  <c r="V25" i="2"/>
  <c r="L24" i="2"/>
  <c r="I24" i="2"/>
  <c r="T24" i="2"/>
  <c r="U24" i="2"/>
  <c r="V24" i="2"/>
  <c r="L23" i="2"/>
  <c r="I23" i="2"/>
  <c r="T23" i="2"/>
  <c r="U23" i="2"/>
  <c r="V23" i="2"/>
  <c r="K18" i="2"/>
  <c r="B16" i="1"/>
  <c r="K19" i="2"/>
  <c r="K1" i="2"/>
  <c r="K37" i="2"/>
  <c r="Q37" i="2"/>
  <c r="R37" i="2"/>
  <c r="S37" i="2"/>
  <c r="K35" i="2"/>
  <c r="Q35" i="2"/>
  <c r="R35" i="2"/>
  <c r="S35" i="2"/>
  <c r="K34" i="2"/>
  <c r="Q34" i="2"/>
  <c r="R34" i="2"/>
  <c r="S34" i="2"/>
  <c r="K33" i="2"/>
  <c r="Q33" i="2"/>
  <c r="R33" i="2"/>
  <c r="S33" i="2"/>
  <c r="K31" i="2"/>
  <c r="Q31" i="2"/>
  <c r="R31" i="2"/>
  <c r="S31" i="2"/>
  <c r="K29" i="2"/>
  <c r="Q29" i="2"/>
  <c r="R29" i="2"/>
  <c r="S29" i="2"/>
  <c r="K27" i="2"/>
  <c r="Q27" i="2"/>
  <c r="R27" i="2"/>
  <c r="S27" i="2"/>
  <c r="K25" i="2"/>
  <c r="Q25" i="2"/>
  <c r="R25" i="2"/>
  <c r="S25" i="2"/>
  <c r="K24" i="2"/>
  <c r="Q24" i="2"/>
  <c r="R24" i="2"/>
  <c r="S24" i="2"/>
  <c r="K23" i="2"/>
  <c r="Q23" i="2"/>
  <c r="R23" i="2"/>
  <c r="S23" i="2"/>
  <c r="L21" i="2"/>
  <c r="I21" i="2"/>
  <c r="T21" i="2"/>
  <c r="U21" i="2"/>
  <c r="V21" i="2"/>
  <c r="K21" i="2"/>
  <c r="Q21" i="2"/>
  <c r="R21" i="2"/>
  <c r="S21" i="2"/>
  <c r="J18" i="2"/>
  <c r="B15" i="1"/>
  <c r="J19" i="2"/>
  <c r="J1" i="2"/>
  <c r="J37" i="2"/>
  <c r="N37" i="2"/>
  <c r="O37" i="2"/>
  <c r="P37" i="2"/>
  <c r="J35" i="2"/>
  <c r="N35" i="2"/>
  <c r="O35" i="2"/>
  <c r="P35" i="2"/>
  <c r="J34" i="2"/>
  <c r="N34" i="2"/>
  <c r="O34" i="2"/>
  <c r="P34" i="2"/>
  <c r="J33" i="2"/>
  <c r="N33" i="2"/>
  <c r="O33" i="2"/>
  <c r="P33" i="2"/>
  <c r="J31" i="2"/>
  <c r="N31" i="2"/>
  <c r="O31" i="2"/>
  <c r="P31" i="2"/>
  <c r="J29" i="2"/>
  <c r="N29" i="2"/>
  <c r="O29" i="2"/>
  <c r="P29" i="2"/>
  <c r="J27" i="2"/>
  <c r="N27" i="2"/>
  <c r="O27" i="2"/>
  <c r="P27" i="2"/>
  <c r="J25" i="2"/>
  <c r="N25" i="2"/>
  <c r="O25" i="2"/>
  <c r="P25" i="2"/>
  <c r="J24" i="2"/>
  <c r="N24" i="2"/>
  <c r="O24" i="2"/>
  <c r="P24" i="2"/>
  <c r="J23" i="2"/>
  <c r="N23" i="2"/>
  <c r="O23" i="2"/>
  <c r="P23" i="2"/>
  <c r="J21" i="2"/>
  <c r="N21" i="2"/>
  <c r="O21" i="2"/>
  <c r="P21" i="2"/>
  <c r="F35" i="2"/>
  <c r="F34" i="2"/>
  <c r="C37" i="2"/>
  <c r="F37" i="2"/>
  <c r="F23" i="2"/>
  <c r="F22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L19" i="2"/>
  <c r="D7" i="2"/>
  <c r="F33" i="2"/>
  <c r="F31" i="2"/>
  <c r="F29" i="2"/>
  <c r="F28" i="2"/>
  <c r="F27" i="2"/>
  <c r="F26" i="2"/>
  <c r="F25" i="2"/>
  <c r="F24" i="2"/>
  <c r="F21" i="2"/>
  <c r="T19" i="2"/>
  <c r="Q19" i="2"/>
  <c r="N19" i="2"/>
  <c r="J2" i="2"/>
  <c r="G19" i="2"/>
  <c r="F19" i="2"/>
  <c r="F10" i="2"/>
  <c r="H2" i="2"/>
  <c r="V19" i="2"/>
  <c r="S19" i="2"/>
  <c r="B13" i="1"/>
</calcChain>
</file>

<file path=xl/sharedStrings.xml><?xml version="1.0" encoding="utf-8"?>
<sst xmlns="http://schemas.openxmlformats.org/spreadsheetml/2006/main" count="72" uniqueCount="69">
  <si>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</si>
  <si>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</si>
  <si>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</si>
  <si>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</si>
  <si>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</si>
  <si>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</si>
  <si>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</si>
  <si>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</si>
  <si>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</si>
  <si>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</si>
  <si>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</si>
  <si>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</si>
  <si>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</si>
  <si>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</si>
  <si>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</si>
  <si>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</si>
  <si>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</si>
  <si>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</si>
  <si>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</si>
  <si>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</si>
  <si>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</si>
  <si>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</si>
  <si>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</si>
  <si>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</si>
  <si>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</si>
  <si>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</si>
  <si>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</si>
  <si>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</si>
  <si>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</si>
  <si>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</si>
  <si>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</si>
  <si>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</si>
  <si>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</si>
  <si>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</si>
  <si>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</si>
  <si>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</si>
  <si>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</si>
  <si>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</si>
  <si>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</si>
  <si>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</si>
  <si>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</si>
  <si>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</si>
  <si>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</si>
  <si>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Management_organization</t>
  </si>
  <si>
    <t>Language</t>
  </si>
  <si>
    <t>Indicator</t>
  </si>
  <si>
    <t>Activity</t>
  </si>
  <si>
    <t>Currency</t>
  </si>
  <si>
    <t>Gaap</t>
  </si>
  <si>
    <t>FC_ALL</t>
  </si>
  <si>
    <t>FC_1_TOT</t>
  </si>
  <si>
    <t>FC_2_TOT</t>
  </si>
  <si>
    <t>Legal organization</t>
  </si>
  <si>
    <t>Integration rate</t>
  </si>
  <si>
    <t>CAFOP</t>
  </si>
  <si>
    <t>RESOP</t>
  </si>
  <si>
    <t>driving_operating</t>
  </si>
  <si>
    <t>PL1110_DO_10</t>
  </si>
  <si>
    <t>PL0000_DO_OE</t>
  </si>
  <si>
    <t>PL1115_DO_20</t>
  </si>
  <si>
    <t>PL1115_DO_99</t>
  </si>
  <si>
    <t>PL1155_DO_10</t>
  </si>
  <si>
    <t>PL0000_DO_CAFOP</t>
  </si>
  <si>
    <t>PL1140_DO_10</t>
  </si>
  <si>
    <t>PL0000_DO_IM</t>
  </si>
  <si>
    <t>PL1150_DO_10</t>
  </si>
  <si>
    <t>PL1150_DO_11</t>
  </si>
  <si>
    <t>PL0000_DO</t>
  </si>
  <si>
    <t>Variances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</si>
</sst>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.0"/>
    <numFmt numFmtId="165" formatCode="0.0%"/>
    <numFmt numFmtId="166" formatCode="_-* #,##0.00\ _F_-;\-* #,##0.00\ _F_-;_-* &quot;-&quot;??\ _F_-;_-@_-"/>
    <numFmt numFmtId="167" formatCode="_(* #,##0.00_);_(* \(#,##0.00\);_(* &quot;-&quot;??_);_(@_)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#,##0_);\(#,##0\)"/>
  </numFmts>
  <fonts count="8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57"/>
      <name val="Wingdings"/>
      <charset val="2"/>
    </font>
    <font>
      <sz val="12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b/>
      <sz val="12"/>
      <color indexed="10"/>
      <name val="Arial"/>
      <family val="2"/>
    </font>
    <font>
      <sz val="15"/>
      <color indexed="57"/>
      <name val="Wingdings"/>
      <charset val="2"/>
    </font>
    <font>
      <b/>
      <sz val="16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35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8" borderId="0" applyNumberFormat="0" applyBorder="0" applyAlignment="0" applyProtection="0"/>
    <xf numFmtId="0" fontId="22" fillId="18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0" borderId="0" applyNumberFormat="0" applyBorder="0" applyAlignment="0" applyProtection="0"/>
    <xf numFmtId="0" fontId="22" fillId="20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1" borderId="0" applyNumberFormat="0" applyBorder="0" applyAlignment="0" applyProtection="0"/>
    <xf numFmtId="0" fontId="22" fillId="21" borderId="0" applyNumberFormat="0" applyBorder="0" applyAlignment="0" applyProtection="0"/>
    <xf numFmtId="0" fontId="22" fillId="21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22" borderId="0" applyNumberFormat="0" applyBorder="0" applyAlignment="0" applyProtection="0"/>
    <xf numFmtId="0" fontId="22" fillId="22" borderId="0" applyNumberFormat="0" applyBorder="0" applyAlignment="0" applyProtection="0"/>
    <xf numFmtId="0" fontId="22" fillId="22" borderId="0" applyNumberFormat="0" applyBorder="0" applyAlignment="0" applyProtection="0"/>
    <xf numFmtId="0" fontId="22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3" borderId="0" applyNumberFormat="0" applyBorder="0" applyAlignment="0" applyProtection="0"/>
    <xf numFmtId="0" fontId="23" fillId="23" borderId="0" applyNumberFormat="0" applyBorder="0" applyAlignment="0" applyProtection="0"/>
    <xf numFmtId="0" fontId="23" fillId="23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1" borderId="0" applyNumberFormat="0" applyBorder="0" applyAlignment="0" applyProtection="0"/>
    <xf numFmtId="0" fontId="23" fillId="21" borderId="0" applyNumberFormat="0" applyBorder="0" applyAlignment="0" applyProtection="0"/>
    <xf numFmtId="0" fontId="23" fillId="21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7" borderId="0" applyNumberFormat="0" applyBorder="0" applyAlignment="0" applyProtection="0"/>
    <xf numFmtId="0" fontId="23" fillId="27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8" borderId="0" applyNumberFormat="0" applyBorder="0" applyAlignment="0" applyProtection="0"/>
    <xf numFmtId="0" fontId="23" fillId="28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5" fillId="18" borderId="12" applyNumberFormat="0" applyAlignment="0" applyProtection="0"/>
    <xf numFmtId="0" fontId="25" fillId="18" borderId="12" applyNumberFormat="0" applyAlignment="0" applyProtection="0"/>
    <xf numFmtId="0" fontId="25" fillId="18" borderId="12" applyNumberFormat="0" applyAlignment="0" applyProtection="0"/>
    <xf numFmtId="0" fontId="25" fillId="18" borderId="12" applyNumberFormat="0" applyAlignment="0" applyProtection="0"/>
    <xf numFmtId="0" fontId="26" fillId="31" borderId="13" applyNumberFormat="0" applyAlignment="0" applyProtection="0"/>
    <xf numFmtId="0" fontId="26" fillId="31" borderId="13" applyNumberFormat="0" applyAlignment="0" applyProtection="0"/>
    <xf numFmtId="0" fontId="26" fillId="31" borderId="13" applyNumberFormat="0" applyAlignment="0" applyProtection="0"/>
    <xf numFmtId="0" fontId="26" fillId="31" borderId="13" applyNumberFormat="0" applyAlignment="0" applyProtection="0"/>
    <xf numFmtId="0" fontId="27" fillId="0" borderId="5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16" applyNumberFormat="0" applyFill="0" applyAlignment="0" applyProtection="0"/>
    <xf numFmtId="0" fontId="32" fillId="0" borderId="16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18" borderId="12" applyNumberFormat="0" applyAlignment="0" applyProtection="0"/>
    <xf numFmtId="0" fontId="35" fillId="18" borderId="12" applyNumberFormat="0" applyAlignment="0" applyProtection="0"/>
    <xf numFmtId="0" fontId="35" fillId="18" borderId="12" applyNumberFormat="0" applyAlignment="0" applyProtection="0"/>
    <xf numFmtId="0" fontId="35" fillId="18" borderId="12" applyNumberFormat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8" fontId="36" fillId="32" borderId="0" applyNumberFormat="0" applyBorder="0">
      <alignment horizontal="right"/>
      <protection locked="0"/>
    </xf>
    <xf numFmtId="0" fontId="37" fillId="0" borderId="17" applyNumberFormat="0" applyFill="0" applyAlignment="0" applyProtection="0"/>
    <xf numFmtId="0" fontId="37" fillId="0" borderId="17" applyNumberFormat="0" applyFill="0" applyAlignment="0" applyProtection="0"/>
    <xf numFmtId="0" fontId="37" fillId="0" borderId="17" applyNumberFormat="0" applyFill="0" applyAlignment="0" applyProtection="0"/>
    <xf numFmtId="0" fontId="37" fillId="0" borderId="17" applyNumberFormat="0" applyFill="0" applyAlignment="0" applyProtection="0"/>
    <xf numFmtId="169" fontId="38" fillId="33" borderId="0" applyNumberFormat="0" applyBorder="0">
      <alignment horizontal="right" vertical="center"/>
      <protection locked="0"/>
    </xf>
    <xf numFmtId="170" fontId="38" fillId="34" borderId="0" applyNumberFormat="0" applyBorder="0">
      <alignment horizontal="right" vertical="center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9" fillId="7" borderId="0"/>
    <xf numFmtId="0" fontId="40" fillId="35" borderId="0" applyNumberFormat="0" applyBorder="0" applyAlignment="0" applyProtection="0"/>
    <xf numFmtId="0" fontId="40" fillId="35" borderId="0" applyNumberFormat="0" applyBorder="0" applyAlignment="0" applyProtection="0"/>
    <xf numFmtId="0" fontId="40" fillId="35" borderId="0" applyNumberFormat="0" applyBorder="0" applyAlignment="0" applyProtection="0"/>
    <xf numFmtId="0" fontId="40" fillId="35" borderId="0" applyNumberFormat="0" applyBorder="0" applyAlignment="0" applyProtection="0"/>
    <xf numFmtId="0" fontId="39" fillId="7" borderId="0"/>
    <xf numFmtId="0" fontId="39" fillId="7" borderId="0"/>
    <xf numFmtId="171" fontId="4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36" borderId="18" applyNumberFormat="0" applyFont="0" applyAlignment="0" applyProtection="0"/>
    <xf numFmtId="0" fontId="22" fillId="36" borderId="18" applyNumberFormat="0" applyFont="0" applyAlignment="0" applyProtection="0"/>
    <xf numFmtId="0" fontId="22" fillId="36" borderId="18" applyNumberFormat="0" applyFont="0" applyAlignment="0" applyProtection="0"/>
    <xf numFmtId="0" fontId="22" fillId="36" borderId="18" applyNumberFormat="0" applyFont="0" applyAlignment="0" applyProtection="0"/>
    <xf numFmtId="0" fontId="39" fillId="7" borderId="0"/>
    <xf numFmtId="0" fontId="42" fillId="18" borderId="19" applyNumberFormat="0" applyAlignment="0" applyProtection="0"/>
    <xf numFmtId="0" fontId="42" fillId="18" borderId="19" applyNumberFormat="0" applyAlignment="0" applyProtection="0"/>
    <xf numFmtId="0" fontId="42" fillId="18" borderId="19" applyNumberFormat="0" applyAlignment="0" applyProtection="0"/>
    <xf numFmtId="0" fontId="42" fillId="18" borderId="19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72" fontId="44" fillId="37" borderId="0" applyNumberFormat="0" applyBorder="0">
      <alignment horizontal="left" vertical="center"/>
      <protection locked="0"/>
    </xf>
    <xf numFmtId="172" fontId="45" fillId="32" borderId="0" applyNumberFormat="0" applyBorder="0">
      <alignment horizontal="left"/>
      <protection locked="0"/>
    </xf>
    <xf numFmtId="0" fontId="46" fillId="0" borderId="20" applyNumberFormat="0" applyFill="0" applyAlignment="0" applyProtection="0"/>
    <xf numFmtId="0" fontId="46" fillId="0" borderId="20" applyNumberFormat="0" applyFill="0" applyAlignment="0" applyProtection="0"/>
    <xf numFmtId="0" fontId="46" fillId="0" borderId="20" applyNumberFormat="0" applyFill="0" applyAlignment="0" applyProtection="0"/>
    <xf numFmtId="0" fontId="46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73" fontId="50" fillId="0" borderId="0"/>
    <xf numFmtId="0" fontId="1" fillId="0" borderId="0"/>
  </cellStyleXfs>
  <cellXfs count="139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9" fillId="0" borderId="0" xfId="2" applyFont="1" applyFill="1" applyBorder="1" applyAlignment="1" applyProtection="1">
      <alignment vertical="center"/>
    </xf>
    <xf numFmtId="0" fontId="8" fillId="7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>
      <alignment vertical="center"/>
    </xf>
    <xf numFmtId="0" fontId="1" fillId="0" borderId="0" xfId="1" applyFill="1" applyAlignment="1"/>
    <xf numFmtId="0" fontId="12" fillId="0" borderId="0" xfId="1" applyFont="1" applyFill="1" applyBorder="1" applyAlignment="1">
      <alignment horizontal="center" vertical="center" wrapText="1"/>
    </xf>
    <xf numFmtId="0" fontId="7" fillId="0" borderId="0" xfId="2" applyFont="1" applyFill="1" applyAlignment="1" applyProtection="1">
      <alignment vertical="center"/>
    </xf>
    <xf numFmtId="0" fontId="16" fillId="0" borderId="0" xfId="2" applyFont="1" applyFill="1" applyBorder="1" applyAlignment="1" applyProtection="1">
      <alignment vertical="center"/>
    </xf>
    <xf numFmtId="0" fontId="17" fillId="0" borderId="0" xfId="4" applyFont="1" applyFill="1" applyBorder="1" applyAlignment="1">
      <alignment horizontal="center" vertical="center"/>
    </xf>
    <xf numFmtId="0" fontId="18" fillId="0" borderId="0" xfId="2" applyFont="1" applyFill="1" applyBorder="1" applyAlignment="1" applyProtection="1">
      <alignment vertical="center"/>
    </xf>
    <xf numFmtId="0" fontId="19" fillId="0" borderId="0" xfId="4" applyFont="1" applyFill="1" applyBorder="1" applyAlignment="1">
      <alignment horizontal="center" vertical="center"/>
    </xf>
    <xf numFmtId="0" fontId="20" fillId="0" borderId="0" xfId="2" applyFont="1" applyFill="1" applyBorder="1" applyAlignment="1" applyProtection="1">
      <alignment vertical="center"/>
    </xf>
    <xf numFmtId="0" fontId="21" fillId="0" borderId="0" xfId="2" applyFont="1" applyFill="1" applyBorder="1" applyAlignment="1" applyProtection="1">
      <alignment vertical="center"/>
    </xf>
    <xf numFmtId="0" fontId="49" fillId="0" borderId="0" xfId="4" applyFont="1" applyFill="1" applyBorder="1" applyAlignment="1">
      <alignment horizontal="center" vertical="center"/>
    </xf>
    <xf numFmtId="0" fontId="23" fillId="0" borderId="0" xfId="2" applyFont="1" applyFill="1" applyBorder="1" applyAlignment="1" applyProtection="1">
      <alignment vertical="center"/>
    </xf>
    <xf numFmtId="0" fontId="53" fillId="0" borderId="0" xfId="2" applyFont="1" applyFill="1" applyBorder="1" applyAlignment="1" applyProtection="1">
      <alignment vertical="center"/>
    </xf>
    <xf numFmtId="0" fontId="54" fillId="0" borderId="0" xfId="2" applyFont="1" applyFill="1" applyBorder="1" applyAlignment="1" applyProtection="1">
      <alignment horizontal="center" vertical="center"/>
    </xf>
    <xf numFmtId="0" fontId="52" fillId="0" borderId="0" xfId="1" applyFont="1" applyFill="1" applyBorder="1" applyAlignment="1" applyProtection="1">
      <alignment horizontal="center"/>
    </xf>
    <xf numFmtId="0" fontId="55" fillId="0" borderId="0" xfId="1" applyFont="1" applyFill="1" applyBorder="1" applyAlignment="1" applyProtection="1">
      <alignment horizontal="right"/>
    </xf>
    <xf numFmtId="0" fontId="53" fillId="5" borderId="5" xfId="1" applyFont="1" applyFill="1" applyBorder="1" applyProtection="1"/>
    <xf numFmtId="0" fontId="53" fillId="2" borderId="5" xfId="1" applyFont="1" applyFill="1" applyBorder="1" applyProtection="1">
      <protection locked="0"/>
    </xf>
    <xf numFmtId="0" fontId="56" fillId="0" borderId="0" xfId="2" applyFont="1" applyFill="1" applyBorder="1" applyAlignment="1" applyProtection="1">
      <alignment vertical="center"/>
    </xf>
    <xf numFmtId="0" fontId="53" fillId="0" borderId="0" xfId="2" applyFont="1" applyFill="1" applyBorder="1" applyAlignment="1" applyProtection="1">
      <alignment horizontal="left" vertical="center"/>
    </xf>
    <xf numFmtId="0" fontId="55" fillId="0" borderId="0" xfId="0" applyFont="1" applyAlignment="1" applyProtection="1">
      <alignment horizontal="right"/>
    </xf>
    <xf numFmtId="0" fontId="48" fillId="0" borderId="0" xfId="0" applyFont="1" applyProtection="1"/>
    <xf numFmtId="0" fontId="48" fillId="0" borderId="6" xfId="0" applyFont="1" applyFill="1" applyBorder="1" applyProtection="1"/>
    <xf numFmtId="0" fontId="54" fillId="0" borderId="0" xfId="2" applyFont="1" applyFill="1" applyBorder="1" applyAlignment="1" applyProtection="1">
      <alignment vertical="center"/>
    </xf>
    <xf numFmtId="0" fontId="53" fillId="0" borderId="0" xfId="3" applyFont="1" applyFill="1" applyBorder="1" applyAlignment="1" applyProtection="1">
      <alignment vertical="center"/>
    </xf>
    <xf numFmtId="0" fontId="57" fillId="0" borderId="0" xfId="2" applyFont="1" applyFill="1" applyBorder="1" applyAlignment="1" applyProtection="1">
      <alignment vertical="center"/>
    </xf>
    <xf numFmtId="0" fontId="52" fillId="4" borderId="5" xfId="0" applyFont="1" applyFill="1" applyBorder="1" applyAlignment="1" applyProtection="1">
      <alignment horizontal="center"/>
    </xf>
    <xf numFmtId="0" fontId="58" fillId="0" borderId="0" xfId="3" applyFont="1" applyFill="1" applyBorder="1" applyAlignment="1" applyProtection="1">
      <alignment horizontal="right" vertical="center"/>
    </xf>
    <xf numFmtId="164" fontId="58" fillId="0" borderId="0" xfId="3" applyNumberFormat="1" applyFont="1" applyFill="1" applyBorder="1" applyAlignment="1" applyProtection="1">
      <alignment horizontal="right" vertical="center"/>
    </xf>
    <xf numFmtId="2" fontId="59" fillId="0" borderId="0" xfId="3" applyNumberFormat="1" applyFont="1" applyFill="1" applyBorder="1" applyAlignment="1" applyProtection="1">
      <alignment vertical="center"/>
    </xf>
    <xf numFmtId="0" fontId="60" fillId="0" borderId="0" xfId="2" applyFont="1" applyFill="1" applyBorder="1" applyAlignment="1" applyProtection="1">
      <alignment horizontal="left" vertical="center"/>
    </xf>
    <xf numFmtId="0" fontId="53" fillId="0" borderId="0" xfId="1" applyFont="1" applyFill="1" applyBorder="1" applyAlignment="1">
      <alignment vertical="center"/>
    </xf>
    <xf numFmtId="0" fontId="53" fillId="0" borderId="0" xfId="1" applyFont="1" applyFill="1" applyAlignment="1">
      <alignment horizontal="left" indent="1"/>
    </xf>
    <xf numFmtId="0" fontId="53" fillId="0" borderId="0" xfId="1" applyFont="1" applyFill="1" applyAlignment="1"/>
    <xf numFmtId="0" fontId="61" fillId="9" borderId="0" xfId="1" applyFont="1" applyFill="1" applyBorder="1" applyAlignment="1">
      <alignment horizontal="left" vertical="center"/>
    </xf>
    <xf numFmtId="0" fontId="62" fillId="0" borderId="0" xfId="2" applyFont="1" applyFill="1" applyBorder="1" applyAlignment="1" applyProtection="1">
      <alignment horizontal="center" vertical="center"/>
    </xf>
    <xf numFmtId="0" fontId="53" fillId="0" borderId="0" xfId="2" applyFont="1" applyFill="1" applyAlignment="1" applyProtection="1">
      <alignment vertical="center"/>
    </xf>
    <xf numFmtId="0" fontId="63" fillId="0" borderId="0" xfId="4" applyFont="1" applyFill="1" applyBorder="1" applyAlignment="1">
      <alignment horizontal="center" vertical="center" wrapText="1"/>
    </xf>
    <xf numFmtId="0" fontId="55" fillId="0" borderId="0" xfId="1" applyFont="1" applyFill="1" applyBorder="1" applyAlignment="1" applyProtection="1">
      <alignment horizontal="left"/>
    </xf>
    <xf numFmtId="0" fontId="53" fillId="0" borderId="0" xfId="1" applyFont="1" applyFill="1" applyBorder="1" applyAlignment="1">
      <alignment vertical="center" wrapText="1"/>
    </xf>
    <xf numFmtId="0" fontId="64" fillId="0" borderId="0" xfId="1" applyFont="1" applyFill="1" applyBorder="1" applyAlignment="1">
      <alignment horizontal="center" vertical="center" wrapText="1"/>
    </xf>
    <xf numFmtId="0" fontId="65" fillId="0" borderId="0" xfId="1" applyFont="1" applyFill="1" applyBorder="1" applyAlignment="1">
      <alignment horizontal="center" vertical="center" wrapText="1"/>
    </xf>
    <xf numFmtId="0" fontId="66" fillId="0" borderId="0" xfId="2" applyFont="1" applyFill="1" applyBorder="1" applyAlignment="1" applyProtection="1">
      <alignment vertical="center"/>
    </xf>
    <xf numFmtId="164" fontId="68" fillId="0" borderId="0" xfId="2" applyNumberFormat="1" applyFont="1" applyFill="1" applyBorder="1" applyAlignment="1" applyProtection="1">
      <alignment horizontal="right" vertical="center" indent="1"/>
    </xf>
    <xf numFmtId="0" fontId="69" fillId="0" borderId="0" xfId="2" applyFont="1" applyFill="1" applyBorder="1" applyAlignment="1" applyProtection="1">
      <alignment vertical="center"/>
    </xf>
    <xf numFmtId="0" fontId="56" fillId="7" borderId="0" xfId="2" applyFont="1" applyFill="1" applyBorder="1" applyAlignment="1" applyProtection="1">
      <alignment vertical="center"/>
    </xf>
    <xf numFmtId="0" fontId="70" fillId="0" borderId="0" xfId="1" applyFont="1" applyFill="1" applyBorder="1" applyAlignment="1">
      <alignment horizontal="center" vertical="center" wrapText="1"/>
    </xf>
    <xf numFmtId="0" fontId="14" fillId="0" borderId="0" xfId="2" applyFont="1" applyFill="1" applyBorder="1" applyAlignment="1" applyProtection="1">
      <alignment vertical="center"/>
    </xf>
    <xf numFmtId="0" fontId="71" fillId="0" borderId="0" xfId="1" applyFont="1" applyFill="1" applyBorder="1" applyProtection="1"/>
    <xf numFmtId="0" fontId="14" fillId="7" borderId="0" xfId="2" applyFont="1" applyFill="1" applyBorder="1" applyAlignment="1" applyProtection="1">
      <alignment vertical="center"/>
    </xf>
    <xf numFmtId="0" fontId="15" fillId="0" borderId="0" xfId="1" applyFont="1" applyFill="1" applyBorder="1" applyAlignment="1">
      <alignment vertical="center"/>
    </xf>
    <xf numFmtId="0" fontId="71" fillId="0" borderId="0" xfId="1" applyFont="1" applyFill="1" applyAlignment="1"/>
    <xf numFmtId="0" fontId="51" fillId="38" borderId="0" xfId="233" applyNumberFormat="1" applyFont="1" applyFill="1" applyBorder="1" applyAlignment="1" applyProtection="1">
      <alignment horizontal="left" vertical="center"/>
    </xf>
    <xf numFmtId="0" fontId="72" fillId="0" borderId="0" xfId="4" applyFont="1" applyFill="1" applyBorder="1" applyAlignment="1">
      <alignment horizontal="center"/>
    </xf>
    <xf numFmtId="0" fontId="73" fillId="11" borderId="10" xfId="4" applyFont="1" applyFill="1" applyBorder="1" applyAlignment="1">
      <alignment horizontal="center" vertical="center"/>
    </xf>
    <xf numFmtId="0" fontId="74" fillId="0" borderId="0" xfId="2" applyFont="1" applyFill="1" applyBorder="1" applyAlignment="1" applyProtection="1">
      <alignment vertical="center"/>
    </xf>
    <xf numFmtId="0" fontId="52" fillId="0" borderId="0" xfId="1" applyFont="1" applyFill="1" applyBorder="1" applyAlignment="1">
      <alignment vertical="center" wrapText="1"/>
    </xf>
    <xf numFmtId="0" fontId="11" fillId="0" borderId="0" xfId="1" applyFont="1" applyFill="1" applyBorder="1" applyAlignment="1"/>
    <xf numFmtId="0" fontId="53" fillId="0" borderId="0" xfId="2" applyFont="1" applyFill="1" applyAlignment="1" applyProtection="1">
      <alignment vertical="center" wrapText="1"/>
    </xf>
    <xf numFmtId="0" fontId="54" fillId="0" borderId="0" xfId="2" applyFont="1" applyFill="1" applyBorder="1" applyAlignment="1" applyProtection="1">
      <alignment horizontal="center" vertical="center" wrapText="1"/>
    </xf>
    <xf numFmtId="0" fontId="55" fillId="0" borderId="0" xfId="1" applyFont="1" applyFill="1" applyBorder="1" applyAlignment="1" applyProtection="1">
      <alignment horizontal="left" wrapText="1"/>
    </xf>
    <xf numFmtId="0" fontId="62" fillId="0" borderId="0" xfId="2" applyFont="1" applyFill="1" applyBorder="1" applyAlignment="1" applyProtection="1">
      <alignment horizontal="center" vertical="center" wrapText="1"/>
    </xf>
    <xf numFmtId="0" fontId="51" fillId="38" borderId="0" xfId="233" applyNumberFormat="1" applyFont="1" applyFill="1" applyBorder="1" applyAlignment="1" applyProtection="1">
      <alignment horizontal="center" vertical="center" wrapText="1"/>
    </xf>
    <xf numFmtId="0" fontId="51" fillId="39" borderId="0" xfId="233" applyNumberFormat="1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vertical="center" wrapText="1"/>
    </xf>
    <xf numFmtId="0" fontId="7" fillId="0" borderId="0" xfId="2" applyFont="1" applyFill="1" applyAlignment="1" applyProtection="1">
      <alignment vertical="center" wrapText="1"/>
    </xf>
    <xf numFmtId="0" fontId="76" fillId="0" borderId="0" xfId="2" applyFont="1" applyFill="1" applyBorder="1" applyAlignment="1" applyProtection="1">
      <alignment vertical="center" wrapText="1"/>
    </xf>
    <xf numFmtId="0" fontId="51" fillId="0" borderId="0" xfId="233" applyNumberFormat="1" applyFont="1" applyFill="1" applyBorder="1" applyAlignment="1" applyProtection="1">
      <alignment horizontal="right" vertical="center" wrapText="1"/>
    </xf>
    <xf numFmtId="0" fontId="75" fillId="0" borderId="0" xfId="2" applyFont="1" applyFill="1" applyBorder="1" applyAlignment="1" applyProtection="1">
      <alignment vertical="center"/>
    </xf>
    <xf numFmtId="0" fontId="52" fillId="0" borderId="0" xfId="2" applyFont="1" applyFill="1" applyBorder="1" applyAlignment="1" applyProtection="1">
      <alignment horizontal="center" vertical="center"/>
    </xf>
    <xf numFmtId="0" fontId="75" fillId="39" borderId="0" xfId="1" applyFont="1" applyFill="1" applyBorder="1" applyAlignment="1">
      <alignment horizontal="left" vertical="center"/>
    </xf>
    <xf numFmtId="0" fontId="75" fillId="0" borderId="0" xfId="1" applyFont="1" applyFill="1" applyAlignment="1">
      <alignment horizontal="left" indent="1"/>
    </xf>
    <xf numFmtId="0" fontId="75" fillId="0" borderId="0" xfId="1" applyFont="1" applyFill="1" applyAlignment="1"/>
    <xf numFmtId="0" fontId="77" fillId="7" borderId="0" xfId="2" applyFont="1" applyFill="1" applyBorder="1" applyAlignment="1" applyProtection="1">
      <alignment vertical="center"/>
    </xf>
    <xf numFmtId="0" fontId="74" fillId="7" borderId="0" xfId="2" applyFont="1" applyFill="1" applyBorder="1" applyAlignment="1" applyProtection="1">
      <alignment vertical="center"/>
    </xf>
    <xf numFmtId="0" fontId="77" fillId="0" borderId="0" xfId="2" applyFont="1" applyFill="1" applyBorder="1" applyAlignment="1" applyProtection="1">
      <alignment vertical="center"/>
    </xf>
    <xf numFmtId="0" fontId="78" fillId="0" borderId="0" xfId="2" applyNumberFormat="1" applyFont="1" applyFill="1" applyBorder="1" applyAlignment="1" applyProtection="1">
      <alignment vertical="center"/>
    </xf>
    <xf numFmtId="0" fontId="79" fillId="0" borderId="0" xfId="2" applyFont="1" applyFill="1" applyBorder="1" applyAlignment="1" applyProtection="1">
      <alignment horizontal="center" vertical="center"/>
    </xf>
    <xf numFmtId="0" fontId="80" fillId="0" borderId="0" xfId="2" applyNumberFormat="1" applyFont="1" applyFill="1" applyBorder="1" applyAlignment="1" applyProtection="1">
      <alignment vertical="center"/>
    </xf>
    <xf numFmtId="164" fontId="81" fillId="0" borderId="0" xfId="2" applyNumberFormat="1" applyFont="1" applyFill="1" applyBorder="1" applyAlignment="1" applyProtection="1">
      <alignment horizontal="left" vertical="center"/>
    </xf>
    <xf numFmtId="0" fontId="82" fillId="0" borderId="0" xfId="1" applyFont="1" applyFill="1" applyBorder="1" applyAlignment="1">
      <alignment horizontal="center" vertical="center" wrapText="1"/>
    </xf>
    <xf numFmtId="0" fontId="13" fillId="6" borderId="5" xfId="2" applyFont="1" applyFill="1" applyBorder="1" applyAlignment="1" applyProtection="1">
      <alignment horizontal="center" vertical="center"/>
    </xf>
    <xf numFmtId="0" fontId="83" fillId="0" borderId="0" xfId="2" applyFont="1" applyBorder="1" applyAlignment="1" applyProtection="1">
      <alignment vertical="center"/>
    </xf>
    <xf numFmtId="0" fontId="75" fillId="0" borderId="0" xfId="2" applyFont="1" applyFill="1" applyAlignment="1" applyProtection="1">
      <alignment vertical="center"/>
    </xf>
    <xf numFmtId="0" fontId="79" fillId="0" borderId="0" xfId="2" applyFont="1" applyBorder="1" applyAlignment="1" applyProtection="1">
      <alignment horizontal="center" vertical="center"/>
    </xf>
    <xf numFmtId="0" fontId="76" fillId="0" borderId="7" xfId="4" applyFont="1" applyFill="1" applyBorder="1" applyAlignment="1">
      <alignment horizontal="center" vertical="center" wrapText="1"/>
    </xf>
    <xf numFmtId="0" fontId="20" fillId="0" borderId="0" xfId="2" applyFont="1" applyFill="1" applyAlignment="1" applyProtection="1">
      <alignment vertical="center"/>
    </xf>
    <xf numFmtId="0" fontId="20" fillId="0" borderId="8" xfId="2" applyFont="1" applyFill="1" applyBorder="1" applyAlignment="1" applyProtection="1">
      <alignment vertical="center"/>
    </xf>
    <xf numFmtId="0" fontId="75" fillId="0" borderId="0" xfId="2" applyFont="1" applyFill="1" applyAlignment="1" applyProtection="1">
      <alignment vertical="center" wrapText="1"/>
    </xf>
    <xf numFmtId="0" fontId="52" fillId="0" borderId="0" xfId="2" applyFont="1" applyFill="1" applyBorder="1" applyAlignment="1" applyProtection="1">
      <alignment horizontal="center" vertical="center" wrapText="1"/>
    </xf>
    <xf numFmtId="0" fontId="79" fillId="0" borderId="0" xfId="2" applyFont="1" applyFill="1" applyBorder="1" applyAlignment="1" applyProtection="1">
      <alignment horizontal="center" vertical="center" wrapText="1"/>
    </xf>
    <xf numFmtId="0" fontId="75" fillId="39" borderId="0" xfId="4" applyFont="1" applyFill="1" applyBorder="1" applyAlignment="1">
      <alignment horizontal="left" vertical="center" wrapText="1"/>
    </xf>
    <xf numFmtId="0" fontId="76" fillId="0" borderId="0" xfId="4" applyFont="1" applyFill="1" applyBorder="1" applyAlignment="1">
      <alignment horizontal="center" vertical="center" wrapText="1"/>
    </xf>
    <xf numFmtId="0" fontId="77" fillId="0" borderId="0" xfId="2" applyFont="1" applyFill="1" applyBorder="1" applyAlignment="1" applyProtection="1">
      <alignment vertical="center" wrapText="1"/>
    </xf>
    <xf numFmtId="0" fontId="20" fillId="0" borderId="0" xfId="2" applyFont="1" applyFill="1" applyAlignment="1" applyProtection="1">
      <alignment vertical="center" wrapText="1"/>
    </xf>
    <xf numFmtId="0" fontId="20" fillId="0" borderId="0" xfId="2" quotePrefix="1" applyFont="1" applyFill="1" applyAlignment="1" applyProtection="1">
      <alignment vertical="center"/>
    </xf>
    <xf numFmtId="0" fontId="9" fillId="12" borderId="0" xfId="2" applyFont="1" applyFill="1" applyBorder="1" applyAlignment="1" applyProtection="1">
      <alignment vertical="center"/>
    </xf>
    <xf numFmtId="0" fontId="67" fillId="12" borderId="0" xfId="4" applyFont="1" applyFill="1" applyBorder="1" applyAlignment="1">
      <alignment horizontal="center"/>
    </xf>
    <xf numFmtId="164" fontId="68" fillId="12" borderId="0" xfId="3" applyNumberFormat="1" applyFont="1" applyFill="1" applyBorder="1" applyAlignment="1">
      <alignment horizontal="right" vertical="center" wrapText="1" indent="1"/>
    </xf>
    <xf numFmtId="164" fontId="68" fillId="12" borderId="0" xfId="2" applyNumberFormat="1" applyFont="1" applyFill="1" applyBorder="1" applyAlignment="1" applyProtection="1">
      <alignment horizontal="right" vertical="center" indent="1"/>
    </xf>
    <xf numFmtId="165" fontId="68" fillId="12" borderId="0" xfId="3" applyNumberFormat="1" applyFont="1" applyFill="1" applyBorder="1" applyAlignment="1">
      <alignment horizontal="right" vertical="center" wrapText="1" indent="1"/>
    </xf>
    <xf numFmtId="0" fontId="73" fillId="12" borderId="11" xfId="4" applyFont="1" applyFill="1" applyBorder="1" applyAlignment="1">
      <alignment horizontal="center" vertical="center"/>
    </xf>
    <xf numFmtId="164" fontId="68" fillId="10" borderId="9" xfId="1" applyNumberFormat="1" applyFont="1" applyFill="1" applyBorder="1" applyAlignment="1">
      <alignment horizontal="right" vertical="center" wrapText="1" indent="1"/>
    </xf>
    <xf numFmtId="165" fontId="68" fillId="10" borderId="9" xfId="1" applyNumberFormat="1" applyFont="1" applyFill="1" applyBorder="1" applyAlignment="1">
      <alignment horizontal="right" vertical="center" wrapText="1" indent="1"/>
    </xf>
    <xf numFmtId="0" fontId="85" fillId="11" borderId="10" xfId="4" applyFont="1" applyFill="1" applyBorder="1" applyAlignment="1">
      <alignment horizontal="center" vertical="center"/>
    </xf>
    <xf numFmtId="0" fontId="85" fillId="12" borderId="0" xfId="4" applyFont="1" applyFill="1" applyBorder="1" applyAlignment="1">
      <alignment horizontal="center" vertical="center"/>
    </xf>
    <xf numFmtId="0" fontId="86" fillId="0" borderId="0" xfId="2" applyFont="1" applyFill="1" applyBorder="1" applyAlignment="1" applyProtection="1">
      <alignment vertical="center" textRotation="90"/>
    </xf>
    <xf numFmtId="0" fontId="84" fillId="0" borderId="25" xfId="234" applyFont="1" applyBorder="1" applyProtection="1"/>
    <xf numFmtId="0" fontId="1" fillId="0" borderId="25" xfId="234" applyFont="1" applyBorder="1" applyProtection="1"/>
    <xf numFmtId="0" fontId="51" fillId="38" borderId="0" xfId="233" applyNumberFormat="1" applyFont="1" applyFill="1" applyBorder="1" applyAlignment="1" applyProtection="1">
      <alignment horizontal="left" vertical="center" wrapText="1"/>
      <protection locked="0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66" fillId="10" borderId="9" xfId="1" applyFont="1" applyFill="1" applyBorder="1" applyAlignment="1">
      <alignment horizontal="left" vertical="center"/>
    </xf>
    <xf numFmtId="0" fontId="86" fillId="0" borderId="27" xfId="2" applyFont="1" applyFill="1" applyBorder="1" applyAlignment="1" applyProtection="1">
      <alignment horizontal="center" vertical="center" textRotation="90"/>
    </xf>
    <xf numFmtId="0" fontId="10" fillId="8" borderId="0" xfId="1" applyFont="1" applyFill="1" applyAlignment="1">
      <alignment horizontal="center" vertical="center"/>
    </xf>
    <xf numFmtId="0" fontId="51" fillId="39" borderId="21" xfId="233" applyNumberFormat="1" applyFont="1" applyFill="1" applyBorder="1" applyAlignment="1" applyProtection="1">
      <alignment horizontal="center" vertical="center" wrapText="1"/>
    </xf>
    <xf numFmtId="0" fontId="51" fillId="39" borderId="22" xfId="233" applyNumberFormat="1" applyFont="1" applyFill="1" applyBorder="1" applyAlignment="1" applyProtection="1">
      <alignment horizontal="center" vertical="center" wrapText="1"/>
    </xf>
    <xf numFmtId="0" fontId="51" fillId="39" borderId="23" xfId="233" applyNumberFormat="1" applyFont="1" applyFill="1" applyBorder="1" applyAlignment="1" applyProtection="1">
      <alignment horizontal="center" vertical="center" wrapText="1"/>
    </xf>
    <xf numFmtId="0" fontId="51" fillId="39" borderId="24" xfId="233" applyNumberFormat="1" applyFont="1" applyFill="1" applyBorder="1" applyAlignment="1" applyProtection="1">
      <alignment horizontal="center" vertical="center" wrapText="1"/>
    </xf>
    <xf numFmtId="0" fontId="66" fillId="12" borderId="0" xfId="3" applyFont="1" applyFill="1" applyBorder="1" applyAlignment="1">
      <alignment horizontal="left" vertical="center" wrapText="1" indent="1"/>
    </xf>
    <xf numFmtId="0" fontId="86" fillId="0" borderId="26" xfId="2" applyFont="1" applyFill="1" applyBorder="1" applyAlignment="1" applyProtection="1">
      <alignment horizontal="center" vertical="center" textRotation="90"/>
    </xf>
  </cellXfs>
  <cellStyles count="235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EBIT_EBITDA  groupe Actual 2003.12" xfId="233"/>
    <cellStyle name="Normal_Fleet" xfId="234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75"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1409700</xdr:colOff>
          <xdr:row>12</xdr:row>
          <xdr:rowOff>66675</xdr:rowOff>
        </xdr:from>
        <xdr:to>
          <xdr:col>11</xdr:col>
          <xdr:colOff>66675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133350</xdr:colOff>
      <xdr:row>5</xdr:row>
      <xdr:rowOff>209551</xdr:rowOff>
    </xdr:from>
    <xdr:to>
      <xdr:col>5</xdr:col>
      <xdr:colOff>1813214</xdr:colOff>
      <xdr:row>7</xdr:row>
      <xdr:rowOff>191806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6</xdr:col>
      <xdr:colOff>4727864</xdr:colOff>
      <xdr:row>10</xdr:row>
      <xdr:rowOff>0</xdr:rowOff>
    </xdr:from>
    <xdr:to>
      <xdr:col>8</xdr:col>
      <xdr:colOff>121227</xdr:colOff>
      <xdr:row>16</xdr:row>
      <xdr:rowOff>218208</xdr:rowOff>
    </xdr:to>
    <xdr:sp macro="" textlink="">
      <xdr:nvSpPr>
        <xdr:cNvPr id="3" name="Accolade fermante 2"/>
        <xdr:cNvSpPr/>
      </xdr:nvSpPr>
      <xdr:spPr>
        <a:xfrm>
          <a:off x="9334500" y="2736273"/>
          <a:ext cx="640772" cy="156902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31172</xdr:colOff>
      <xdr:row>15</xdr:row>
      <xdr:rowOff>48485</xdr:rowOff>
    </xdr:from>
    <xdr:to>
      <xdr:col>10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173182</xdr:colOff>
      <xdr:row>12</xdr:row>
      <xdr:rowOff>103909</xdr:rowOff>
    </xdr:from>
    <xdr:to>
      <xdr:col>9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D12" sqref="D12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49</v>
      </c>
      <c r="B1" s="2"/>
    </row>
    <row r="2" spans="1:2">
      <c r="A2" s="2" t="s">
        <v>50</v>
      </c>
      <c r="B2" s="2"/>
    </row>
    <row r="3" spans="1:2" ht="15.75">
      <c r="A3" s="4" t="s">
        <v>51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129" t="s">
        <v>16</v>
      </c>
      <c r="B18" s="9" t="s">
        <v>17</v>
      </c>
    </row>
    <row r="19" spans="1:2">
      <c r="A19" s="129"/>
      <c r="B19" s="9" t="s">
        <v>18</v>
      </c>
    </row>
    <row r="20" spans="1:2">
      <c r="A20" s="129"/>
      <c r="B20" s="9" t="s">
        <v>19</v>
      </c>
    </row>
    <row r="21" spans="1:2">
      <c r="A21" s="129"/>
      <c r="B21" s="9" t="s">
        <v>20</v>
      </c>
    </row>
    <row r="22" spans="1:2">
      <c r="A22" s="129"/>
      <c r="B22" s="9" t="s">
        <v>21</v>
      </c>
    </row>
    <row r="23" spans="1:2">
      <c r="A23" s="129" t="s">
        <v>22</v>
      </c>
      <c r="B23" s="9" t="s">
        <v>23</v>
      </c>
    </row>
    <row r="24" spans="1:2">
      <c r="A24" s="129"/>
      <c r="B24" s="9" t="s">
        <v>24</v>
      </c>
    </row>
    <row r="25" spans="1:2">
      <c r="A25" s="129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sheet="1" objects="1" scenarios="1"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Z37"/>
  <sheetViews>
    <sheetView showGridLines="0" tabSelected="1" topLeftCell="D7" zoomScale="55" zoomScaleNormal="55" zoomScaleSheetLayoutView="40" workbookViewId="0">
      <selection activeCell="G55" sqref="G55"/>
    </sheetView>
  </sheetViews>
  <sheetFormatPr baseColWidth="10" defaultColWidth="11.42578125" defaultRowHeight="18" customHeight="1"/>
  <cols>
    <col min="1" max="1" width="9.140625" style="31" hidden="1" customWidth="1"/>
    <col min="2" max="2" width="19.5703125" style="32" hidden="1" customWidth="1"/>
    <col min="3" max="3" width="74.5703125" style="32" hidden="1" customWidth="1"/>
    <col min="4" max="5" width="6" style="32" customWidth="1"/>
    <col min="6" max="6" width="57.140625" style="38" customWidth="1"/>
    <col min="7" max="7" width="72.28515625" style="38" customWidth="1"/>
    <col min="8" max="8" width="6.42578125" style="31" customWidth="1"/>
    <col min="9" max="9" width="16" style="31" customWidth="1"/>
    <col min="10" max="10" width="24.5703125" style="31" customWidth="1"/>
    <col min="11" max="11" width="29.7109375" style="31" customWidth="1"/>
    <col min="12" max="12" width="25.85546875" style="31" customWidth="1"/>
    <col min="13" max="13" width="2.7109375" style="37" customWidth="1"/>
    <col min="14" max="14" width="13.7109375" style="37" customWidth="1"/>
    <col min="15" max="15" width="12.85546875" style="44" customWidth="1"/>
    <col min="16" max="16" width="5.28515625" style="18" customWidth="1"/>
    <col min="17" max="17" width="16" style="64" customWidth="1"/>
    <col min="18" max="18" width="3.7109375" style="64" customWidth="1"/>
    <col min="19" max="19" width="5.85546875" style="68" customWidth="1"/>
    <col min="20" max="20" width="13.7109375" style="44" customWidth="1"/>
    <col min="21" max="21" width="12.85546875" style="44" customWidth="1"/>
    <col min="22" max="22" width="5.28515625" style="66" customWidth="1"/>
    <col min="23" max="23" width="5" style="17" customWidth="1"/>
    <col min="24" max="24" width="7.140625" style="17" customWidth="1"/>
    <col min="25" max="25" width="29.7109375" style="17" customWidth="1"/>
    <col min="26" max="26" width="25.7109375" style="17" hidden="1" customWidth="1"/>
    <col min="27" max="27" width="16.5703125" style="17" customWidth="1"/>
    <col min="28" max="28" width="25.42578125" style="17" customWidth="1"/>
    <col min="29" max="39" width="9" style="17" customWidth="1"/>
    <col min="40" max="41" width="10.140625" style="14" customWidth="1"/>
    <col min="42" max="51" width="6.5703125" style="14" customWidth="1"/>
    <col min="52" max="53" width="6.42578125" style="14" customWidth="1"/>
    <col min="54" max="16384" width="11.42578125" style="14"/>
  </cols>
  <sheetData>
    <row r="1" spans="1:52" ht="18" hidden="1" customHeight="1">
      <c r="F1" s="33"/>
      <c r="G1" s="34" t="s">
        <v>31</v>
      </c>
      <c r="I1" s="35" t="str">
        <f ca="1">I19</f>
        <v>Actual</v>
      </c>
      <c r="J1" s="36" t="str">
        <f ca="1">J19</f>
        <v>Budget V current</v>
      </c>
      <c r="K1" s="36" t="str">
        <f ca="1">K19</f>
        <v>Forecast 2 V current</v>
      </c>
      <c r="L1" s="35" t="s">
        <v>32</v>
      </c>
      <c r="N1" s="35" t="s">
        <v>33</v>
      </c>
      <c r="O1" s="35" t="s">
        <v>34</v>
      </c>
      <c r="P1" s="16"/>
      <c r="Q1" s="35" t="s">
        <v>35</v>
      </c>
      <c r="R1" s="35" t="s">
        <v>36</v>
      </c>
      <c r="S1" s="67"/>
      <c r="T1" s="35" t="s">
        <v>37</v>
      </c>
      <c r="U1" s="35" t="s">
        <v>38</v>
      </c>
      <c r="V1" s="67"/>
    </row>
    <row r="2" spans="1:52" ht="18" hidden="1" customHeight="1">
      <c r="G2" s="39" t="s">
        <v>39</v>
      </c>
      <c r="H2" s="40" t="str">
        <f ca="1">_xll.SUBNM(Server&amp;"Period","",#REF!,"")</f>
        <v/>
      </c>
      <c r="I2" s="41" t="str">
        <f ca="1">_xll.DBRA(Server&amp;$G$2,I18,"Prior Year")</f>
        <v>2019.02_YTD</v>
      </c>
      <c r="J2" s="42" t="str">
        <f ca="1">SUBSTITUTE(ActualBudget,"_TOT","_VC")</f>
        <v>BUDG_VC</v>
      </c>
      <c r="K2" s="43"/>
      <c r="L2" s="43"/>
      <c r="P2" s="15"/>
      <c r="Q2" s="37"/>
      <c r="R2" s="37"/>
      <c r="S2" s="66"/>
    </row>
    <row r="3" spans="1:52" ht="18" hidden="1" customHeight="1">
      <c r="G3" s="45" t="s">
        <v>40</v>
      </c>
      <c r="H3" s="46"/>
      <c r="J3" s="42"/>
      <c r="K3" s="43"/>
      <c r="L3" s="43"/>
      <c r="P3" s="15"/>
      <c r="Q3" s="37"/>
      <c r="R3" s="37"/>
      <c r="S3" s="66"/>
    </row>
    <row r="4" spans="1:52" ht="18" hidden="1" customHeight="1">
      <c r="H4" s="47"/>
      <c r="J4" s="42"/>
      <c r="K4" s="43"/>
      <c r="L4" s="48"/>
    </row>
    <row r="5" spans="1:52" ht="18" hidden="1" customHeight="1">
      <c r="G5" s="49"/>
      <c r="H5" s="46"/>
      <c r="I5" s="50"/>
      <c r="J5" s="42"/>
      <c r="K5" s="50"/>
      <c r="L5" s="50"/>
      <c r="M5" s="50"/>
      <c r="N5" s="50"/>
      <c r="O5" s="50"/>
      <c r="P5" s="19"/>
      <c r="Q5" s="50"/>
      <c r="R5" s="50"/>
      <c r="S5" s="69"/>
      <c r="T5" s="50"/>
      <c r="U5" s="50"/>
    </row>
    <row r="6" spans="1:52" ht="18" hidden="1" customHeight="1">
      <c r="G6" s="51"/>
    </row>
    <row r="7" spans="1:52" ht="51" customHeight="1">
      <c r="C7" s="32" t="s">
        <v>56</v>
      </c>
      <c r="D7" s="132" t="str">
        <f ca="1">_xll.DBRA(Server&amp;$Z$15,$C$7,$G$17)&amp;" - "&amp;G11&amp;" - "&amp;G12&amp;" - "&amp;G13</f>
        <v>Conduite et Opérations - TRANSDEV All - TRANSDEV All - Total Activités</v>
      </c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76"/>
    </row>
    <row r="8" spans="1:52" ht="18" customHeight="1"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76"/>
    </row>
    <row r="9" spans="1:52" ht="18" customHeight="1">
      <c r="F9" s="31"/>
      <c r="G9" s="51"/>
      <c r="H9" s="51"/>
      <c r="I9" s="52"/>
      <c r="J9" s="52"/>
      <c r="K9" s="52"/>
      <c r="L9" s="52"/>
      <c r="M9" s="52"/>
      <c r="N9" s="52"/>
      <c r="O9" s="52"/>
      <c r="P9" s="20"/>
      <c r="Q9" s="52"/>
      <c r="R9" s="52"/>
      <c r="S9" s="70"/>
      <c r="T9" s="52"/>
      <c r="U9" s="52"/>
      <c r="V9" s="70"/>
      <c r="W9" s="20"/>
    </row>
    <row r="10" spans="1:52" ht="23.25" customHeight="1">
      <c r="F10" s="53" t="str">
        <f ca="1">_xll.DBRA(Server&amp;$Z$15,$Z16,$G$17)</f>
        <v>Sélection du contexte</v>
      </c>
      <c r="H10" s="51"/>
      <c r="I10" s="52"/>
      <c r="J10" s="52"/>
      <c r="K10" s="52"/>
      <c r="L10" s="52"/>
      <c r="M10" s="52"/>
      <c r="N10" s="52"/>
      <c r="O10" s="52"/>
      <c r="P10" s="20"/>
      <c r="Q10" s="52"/>
      <c r="R10" s="52"/>
      <c r="S10" s="70"/>
      <c r="T10" s="52"/>
      <c r="U10" s="52"/>
      <c r="V10" s="70"/>
      <c r="W10" s="20"/>
    </row>
    <row r="11" spans="1:52" s="27" customFormat="1" ht="17.25" customHeight="1">
      <c r="A11" s="87"/>
      <c r="B11" s="88"/>
      <c r="C11" s="88"/>
      <c r="D11" s="88"/>
      <c r="E11" s="88"/>
      <c r="F11" s="89" t="s">
        <v>52</v>
      </c>
      <c r="G11" s="71" t="str">
        <f ca="1">_xll.SUBNM(Server&amp;"Legal_Organization","default",_xll.DBR(Server&amp;"z_Client_Properties","Default_Legal_Organization",_xll.TM1USER(xServer)),G17)</f>
        <v>TRANSDEV All</v>
      </c>
      <c r="H11" s="90"/>
      <c r="I11" s="91"/>
      <c r="J11" s="87"/>
      <c r="K11" s="87"/>
      <c r="L11" s="87"/>
      <c r="M11" s="74"/>
      <c r="N11" s="74"/>
      <c r="O11" s="74"/>
      <c r="P11" s="92"/>
      <c r="Q11" s="93"/>
      <c r="R11" s="93"/>
      <c r="S11" s="92"/>
      <c r="T11" s="74"/>
      <c r="U11" s="7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</row>
    <row r="12" spans="1:52" s="27" customFormat="1" ht="17.25" customHeight="1">
      <c r="A12" s="87"/>
      <c r="B12" s="88"/>
      <c r="C12" s="88"/>
      <c r="D12" s="88"/>
      <c r="E12" s="88"/>
      <c r="F12" s="89" t="s">
        <v>43</v>
      </c>
      <c r="G12" s="71" t="str">
        <f ca="1">_xll.SUBNM(Server&amp;"Management_Organization","default",_xll.DBR(Server&amp;"z_Client_Properties","Default_Management_Organization",_xll.TM1USER(xServer)),G17)</f>
        <v>TRANSDEV All</v>
      </c>
      <c r="H12" s="90"/>
      <c r="I12" s="91"/>
      <c r="J12" s="91"/>
      <c r="K12" s="91"/>
      <c r="L12" s="87"/>
      <c r="M12" s="74"/>
      <c r="N12" s="74"/>
      <c r="O12" s="74"/>
      <c r="P12" s="92"/>
      <c r="Q12" s="93"/>
      <c r="R12" s="93"/>
      <c r="S12" s="92"/>
      <c r="T12" s="74"/>
      <c r="U12" s="7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</row>
    <row r="13" spans="1:52" s="27" customFormat="1" ht="17.25" customHeight="1">
      <c r="A13" s="87"/>
      <c r="B13" s="88"/>
      <c r="C13" s="88"/>
      <c r="D13" s="88"/>
      <c r="E13" s="88"/>
      <c r="F13" s="89" t="s">
        <v>46</v>
      </c>
      <c r="G13" s="71" t="str">
        <f ca="1">_xll.SUBNM(Server&amp;"Activity","default","Tot_act",G17)</f>
        <v>Total Activités</v>
      </c>
      <c r="H13" s="87"/>
      <c r="I13" s="91"/>
      <c r="J13" s="91"/>
      <c r="K13" s="91"/>
      <c r="L13" s="87"/>
      <c r="M13" s="74"/>
      <c r="N13" s="74"/>
      <c r="O13" s="74"/>
      <c r="P13" s="92"/>
      <c r="Q13" s="93"/>
      <c r="R13" s="93"/>
      <c r="S13" s="92"/>
      <c r="T13" s="74"/>
      <c r="U13" s="7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</row>
    <row r="14" spans="1:52" s="27" customFormat="1" ht="17.25" customHeight="1">
      <c r="A14" s="87"/>
      <c r="B14" s="88"/>
      <c r="C14" s="88"/>
      <c r="D14" s="88"/>
      <c r="E14" s="95"/>
      <c r="F14" s="89" t="s">
        <v>47</v>
      </c>
      <c r="G14" s="71" t="str">
        <f ca="1">_xll.SUBNM(Server&amp;"Currency","default","KEUR",G17)</f>
        <v>K€</v>
      </c>
      <c r="H14" s="87"/>
      <c r="I14" s="91"/>
      <c r="J14" s="91"/>
      <c r="K14" s="91"/>
      <c r="L14" s="87"/>
      <c r="M14" s="74"/>
      <c r="N14" s="74"/>
      <c r="O14" s="74"/>
      <c r="P14" s="92"/>
      <c r="Q14" s="93"/>
      <c r="R14" s="93"/>
      <c r="S14" s="92"/>
      <c r="T14" s="74"/>
      <c r="U14" s="7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</row>
    <row r="15" spans="1:52" s="27" customFormat="1" ht="17.25" customHeight="1">
      <c r="A15" s="87"/>
      <c r="B15" s="88"/>
      <c r="C15" s="96"/>
      <c r="D15" s="96"/>
      <c r="E15" s="97"/>
      <c r="F15" s="89" t="s">
        <v>48</v>
      </c>
      <c r="G15" s="71" t="str">
        <f ca="1">_xll.SUBNM(Server&amp;"Gaap","default","Total_conso_wo_opt_dis")</f>
        <v>Total_conso_wo_opt_dis</v>
      </c>
      <c r="H15" s="98"/>
      <c r="I15" s="87"/>
      <c r="J15" s="87"/>
      <c r="K15" s="87"/>
      <c r="L15" s="87"/>
      <c r="M15" s="74"/>
      <c r="N15" s="74"/>
      <c r="O15" s="74"/>
      <c r="P15" s="92"/>
      <c r="Q15" s="93"/>
      <c r="R15" s="93"/>
      <c r="S15" s="92"/>
      <c r="T15" s="74"/>
      <c r="U15" s="74"/>
      <c r="V15" s="94"/>
      <c r="W15" s="99"/>
      <c r="X15" s="94"/>
      <c r="Y15" s="94"/>
      <c r="Z15" s="100" t="s">
        <v>41</v>
      </c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</row>
    <row r="16" spans="1:52" s="105" customFormat="1" ht="17.25" customHeight="1">
      <c r="A16" s="102"/>
      <c r="B16" s="88"/>
      <c r="C16" s="103"/>
      <c r="D16" s="103"/>
      <c r="E16" s="96"/>
      <c r="F16" s="89" t="s">
        <v>53</v>
      </c>
      <c r="G16" s="71" t="str">
        <f ca="1">_xll.SUBNM(Server&amp;"Integration_Rate","default","APP")</f>
        <v>APP</v>
      </c>
      <c r="H16" s="104"/>
      <c r="O16" s="114"/>
      <c r="W16" s="99"/>
      <c r="X16" s="94"/>
      <c r="Z16" s="106" t="s">
        <v>42</v>
      </c>
      <c r="AL16" s="94"/>
      <c r="AM16" s="94"/>
    </row>
    <row r="17" spans="1:39" s="113" customFormat="1" ht="17.25" customHeight="1">
      <c r="A17" s="107"/>
      <c r="B17" s="108"/>
      <c r="C17" s="107"/>
      <c r="D17" s="107"/>
      <c r="E17" s="109"/>
      <c r="F17" s="110" t="s">
        <v>44</v>
      </c>
      <c r="G17" s="128" t="str">
        <f ca="1">LocalLanguage</f>
        <v>French</v>
      </c>
      <c r="H17" s="111"/>
      <c r="I17" s="102"/>
      <c r="J17" s="102"/>
      <c r="K17" s="102"/>
      <c r="L17" s="102"/>
      <c r="M17" s="102"/>
      <c r="N17" s="102"/>
      <c r="O17" s="102"/>
      <c r="P17" s="105"/>
      <c r="Q17" s="102"/>
      <c r="R17" s="102"/>
      <c r="S17" s="105"/>
      <c r="T17" s="102"/>
      <c r="U17" s="102"/>
      <c r="V17" s="105"/>
      <c r="W17" s="99"/>
      <c r="X17" s="112"/>
      <c r="Y17" s="112"/>
      <c r="Z17" s="17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</row>
    <row r="18" spans="1:39" s="84" customFormat="1" ht="40.5" customHeight="1" thickBot="1">
      <c r="A18" s="77"/>
      <c r="B18" s="78"/>
      <c r="C18" s="77"/>
      <c r="D18" s="77"/>
      <c r="E18" s="80"/>
      <c r="F18" s="77"/>
      <c r="H18" s="56"/>
      <c r="I18" s="81" t="str">
        <f ca="1">_xll.SUBNM(Server&amp;$G$2,"default",ActualMonth&amp;"_YTD","English")</f>
        <v>February 2020 YTD</v>
      </c>
      <c r="J18" s="81" t="str">
        <f ca="1">_xll.SUBNM(Server&amp;$G$2,"default",I18,"English")</f>
        <v>February 2020 YTD</v>
      </c>
      <c r="K18" s="81" t="str">
        <f ca="1">_xll.SUBNM(Server&amp;$G$2,"default",I18,"English")</f>
        <v>February 2020 YTD</v>
      </c>
      <c r="L18" s="82" t="str">
        <f ca="1">_xll.SUBNM(Server&amp;$G$2,"default",PriorYear,"English")</f>
        <v>February 2019 YTD</v>
      </c>
      <c r="M18" s="85"/>
      <c r="N18" s="136" t="s">
        <v>68</v>
      </c>
      <c r="O18" s="136"/>
      <c r="P18" s="136"/>
      <c r="Q18" s="136"/>
      <c r="R18" s="136"/>
      <c r="S18" s="136"/>
      <c r="T18" s="136"/>
      <c r="U18" s="136"/>
      <c r="V18" s="136"/>
      <c r="W18" s="21"/>
      <c r="X18" s="83"/>
      <c r="Y18" s="83"/>
      <c r="Z18" s="17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</row>
    <row r="19" spans="1:39" s="84" customFormat="1" ht="40.5" customHeight="1" thickBot="1">
      <c r="A19" s="77"/>
      <c r="B19" s="78"/>
      <c r="C19" s="79"/>
      <c r="D19" s="79"/>
      <c r="E19" s="80"/>
      <c r="F19" s="86" t="str">
        <f ca="1">G15</f>
        <v>Total_conso_wo_opt_dis</v>
      </c>
      <c r="G19" s="86" t="str">
        <f ca="1">G14</f>
        <v>K€</v>
      </c>
      <c r="H19" s="56"/>
      <c r="I19" s="81" t="str">
        <f ca="1">_xll.SUBNM(Server&amp;$G$1,"default","ACT_TOT","English")</f>
        <v>Actual</v>
      </c>
      <c r="J19" s="81" t="str">
        <f ca="1">_xll.SUBNM(Server&amp;$G$1,"default",SUBSTITUTE(ActualBudget,"_TOT","_VC_TOT"),"English")</f>
        <v>Budget V current</v>
      </c>
      <c r="K19" s="81" t="str">
        <f ca="1">_xll.SUBNM(Server&amp;$G$1,"default",SUBSTITUTE(ActualForecast,"_TOT","_VC_TOT"),"English")</f>
        <v>Forecast 2 V current</v>
      </c>
      <c r="L19" s="82" t="str">
        <f ca="1">_xll.DBRA(Server&amp;$Z$15,"Prior_year",$G$17)</f>
        <v>Année précédente</v>
      </c>
      <c r="M19" s="75"/>
      <c r="N19" s="133" t="str">
        <f ca="1">$I19&amp;" vs "&amp;J19</f>
        <v>Actual vs Budget V current</v>
      </c>
      <c r="O19" s="134"/>
      <c r="P19" s="135"/>
      <c r="Q19" s="133" t="str">
        <f ca="1">$I19&amp;" vs "&amp;K19</f>
        <v>Actual vs Forecast 2 V current</v>
      </c>
      <c r="R19" s="134"/>
      <c r="S19" s="135" t="str">
        <f ca="1">_xll.DBRA(Server&amp;$Z$15,$Z29,$G$17)</f>
        <v/>
      </c>
      <c r="T19" s="133" t="str">
        <f ca="1">$I19&amp;" vs "&amp;L19</f>
        <v>Actual vs Année précédente</v>
      </c>
      <c r="U19" s="134"/>
      <c r="V19" s="135" t="str">
        <f ca="1">_xll.DBRA(Server&amp;$Z$15,$Z29,$G$17)</f>
        <v/>
      </c>
      <c r="W19" s="21"/>
      <c r="X19" s="83"/>
      <c r="Y19" s="83"/>
      <c r="Z19" s="17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</row>
    <row r="20" spans="1:39" s="22" customFormat="1" ht="15.75" customHeight="1">
      <c r="A20" s="55"/>
      <c r="B20" s="126" t="s">
        <v>45</v>
      </c>
      <c r="C20" s="57" t="s">
        <v>45</v>
      </c>
      <c r="D20" s="57"/>
      <c r="E20" s="54"/>
      <c r="F20" s="55"/>
      <c r="H20" s="56"/>
      <c r="I20" s="59"/>
      <c r="J20" s="59"/>
      <c r="K20" s="59"/>
      <c r="L20" s="59"/>
      <c r="M20" s="58"/>
      <c r="N20" s="59"/>
      <c r="O20" s="60"/>
      <c r="P20" s="21"/>
      <c r="Q20" s="65"/>
      <c r="R20" s="65"/>
      <c r="S20" s="21"/>
      <c r="T20" s="59"/>
      <c r="U20" s="60"/>
      <c r="V20" s="21"/>
      <c r="W20" s="21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23" customFormat="1" ht="23.25" customHeight="1">
      <c r="A21" s="61"/>
      <c r="B21" s="127" t="s">
        <v>57</v>
      </c>
      <c r="C21" s="61" t="str">
        <f ca="1">_xll.DBRA(Server&amp;$C$20,$B21,$G$17)</f>
        <v>Frais de personnel (CO)</v>
      </c>
      <c r="D21" s="131" t="s">
        <v>55</v>
      </c>
      <c r="E21" s="138" t="s">
        <v>54</v>
      </c>
      <c r="F21" s="130" t="str">
        <f ca="1">_xll.DBRA(Server&amp;$C$20,$B21,$G$17)</f>
        <v>Frais de personnel (CO)</v>
      </c>
      <c r="G21" s="130"/>
      <c r="H21" s="72"/>
      <c r="I21" s="121">
        <f ca="1">_xll.DBRW(Server&amp;Cube1,$G$13,$G$14,$G$15,$G$16,$G$11,$G$12,I$18,I$1,$B21)</f>
        <v>-290984.18756336439</v>
      </c>
      <c r="J21" s="121">
        <f ca="1">_xll.DBRW(Server&amp;Cube1,$G$13,$G$14,$G$15,$G$16,$G$11,$G$12,J$18,J$1,$B21)</f>
        <v>-396100.25019606826</v>
      </c>
      <c r="K21" s="121">
        <f ca="1">_xll.DBRW(Server&amp;Cube1,$G$13,$G$14,$G$15,$G$16,$G$11,$G$12,K$18,K$1,$B21)</f>
        <v>0</v>
      </c>
      <c r="L21" s="121">
        <f ca="1">_xll.DBRW(Server&amp;Cube1,$G$13,$G$14,$G$15,$G$16,$G$11,$G$12,L$18,L$1,$B21)</f>
        <v>-417908.37408209563</v>
      </c>
      <c r="M21" s="62"/>
      <c r="N21" s="121">
        <f ca="1">IF(OR($I21="",J21=""),"-",IFERROR(($I21-J21),""))</f>
        <v>105116.06263270386</v>
      </c>
      <c r="O21" s="122">
        <f ca="1">IF(OR($J21=0,N21=0),"-",IF(ABS(N21/$J21)&gt;2,"-",N21/$J21))</f>
        <v>-0.26537742044008245</v>
      </c>
      <c r="P21" s="123" t="str">
        <f ca="1">IF(OR(AND(O21&gt;0.01,N21&lt;0),AND(O21&lt;-0.01,N21&lt;0)),"î",IF(OR(AND(O21&lt;-0.01,N21&gt;0),AND(O21&gt;0.01,N21&gt;0)),"ì","è"))</f>
        <v>ì</v>
      </c>
      <c r="Q21" s="121">
        <f ca="1">IF(OR($I21="",K21=""),"-",IFERROR(($I21-K21),""))</f>
        <v>-290984.18756336439</v>
      </c>
      <c r="R21" s="122" t="str">
        <f ca="1">IF(OR($K21=0,Q21=0),"-",IF(ABS(Q21/$K21)&gt;2,"-",Q21/$K21))</f>
        <v>-</v>
      </c>
      <c r="S21" s="123" t="str">
        <f ca="1">IF(OR(AND(R21&gt;0.01,Q21&lt;0),AND(R21&lt;-0.01,Q21&lt;0)),"î",IF(OR(AND(R21&lt;-0.01,Q21&gt;0),AND(R21&gt;0.01,Q21&gt;0)),"ì","è"))</f>
        <v>î</v>
      </c>
      <c r="T21" s="121">
        <f ca="1">IF(OR($I21="",L21=""),"-",IFERROR(($I21-L21),""))</f>
        <v>126924.18651873124</v>
      </c>
      <c r="U21" s="122">
        <f ca="1">IF(OR($L21=0,T21=0),"-",IF(ABS(T21/$L21)&gt;2,"-",T21/$L21))</f>
        <v>-0.30371295334177184</v>
      </c>
      <c r="V21" s="123" t="str">
        <f ca="1">IF(OR(AND(U21&gt;0.01,T21&lt;0),AND(U21&lt;-0.01,T21&lt;0)),"î",IF(OR(AND(U21&lt;-0.01,T21&gt;0),AND(U21&gt;0.01,T21&gt;0)),"ì","è"))</f>
        <v>ì</v>
      </c>
      <c r="W21" s="24"/>
      <c r="X21" s="25"/>
      <c r="Y21" s="25"/>
      <c r="Z21" s="17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</row>
    <row r="22" spans="1:39" ht="23.25">
      <c r="B22" s="127"/>
      <c r="C22" s="61" t="str">
        <f ca="1">_xll.DBRA(Server&amp;$C$20,$B22,$G$17)</f>
        <v/>
      </c>
      <c r="D22" s="131"/>
      <c r="E22" s="138"/>
      <c r="F22" s="137" t="str">
        <f ca="1">_xll.DBRA(Server&amp;$C$20,$B22,$G$17)</f>
        <v/>
      </c>
      <c r="G22" s="137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</row>
    <row r="23" spans="1:39" ht="23.25">
      <c r="B23" s="127" t="s">
        <v>58</v>
      </c>
      <c r="C23" s="61" t="str">
        <f ca="1">_xll.DBRA(Server&amp;$C$20,$B23,$G$17)</f>
        <v>Autres charges (CO)</v>
      </c>
      <c r="D23" s="131"/>
      <c r="E23" s="138"/>
      <c r="F23" s="130" t="str">
        <f ca="1">_xll.DBRA(Server&amp;$C$20,$B23,$G$17)</f>
        <v>Autres charges (CO)</v>
      </c>
      <c r="G23" s="130"/>
      <c r="H23" s="72"/>
      <c r="I23" s="121">
        <f ca="1">_xll.DBRW(Server&amp;Cube1,$G$13,$G$14,$G$15,$G$16,$G$11,$G$12,I$18,I$1,$B23)</f>
        <v>-1586.0636189179691</v>
      </c>
      <c r="J23" s="121">
        <f ca="1">_xll.DBRW(Server&amp;Cube1,$G$13,$G$14,$G$15,$G$16,$G$11,$G$12,J$18,J$1,$B23)</f>
        <v>-6334.6653550697392</v>
      </c>
      <c r="K23" s="121">
        <f ca="1">_xll.DBRW(Server&amp;Cube1,$G$13,$G$14,$G$15,$G$16,$G$11,$G$12,K$18,K$1,$B23)</f>
        <v>0</v>
      </c>
      <c r="L23" s="121">
        <f ca="1">_xll.DBRW(Server&amp;Cube1,$G$13,$G$14,$G$15,$G$16,$G$11,$G$12,L$18,L$1,$B23)</f>
        <v>-9245.8892102118098</v>
      </c>
      <c r="M23" s="62"/>
      <c r="N23" s="121">
        <f t="shared" ref="N23" ca="1" si="0">IF(OR($I23="",J23=""),"-",IFERROR(($I23-J23),""))</f>
        <v>4748.6017361517697</v>
      </c>
      <c r="O23" s="122">
        <f t="shared" ref="O23" ca="1" si="1">IF(OR($J23=0,N23=0),"-",IF(ABS(N23/$J23)&gt;2,"-",N23/$J23))</f>
        <v>-0.74962156167434857</v>
      </c>
      <c r="P23" s="123" t="str">
        <f t="shared" ref="P23:P25" ca="1" si="2">IF(OR(AND(O23&gt;0.01,N23&lt;0),AND(O23&lt;-0.01,N23&lt;0)),"î",IF(OR(AND(O23&lt;-0.01,N23&gt;0),AND(O23&gt;0.01,N23&gt;0)),"ì","è"))</f>
        <v>ì</v>
      </c>
      <c r="Q23" s="121">
        <f t="shared" ref="Q23" ca="1" si="3">IF(OR($I23="",K23=""),"-",IFERROR(($I23-K23),""))</f>
        <v>-1586.0636189179691</v>
      </c>
      <c r="R23" s="122" t="str">
        <f t="shared" ref="R23" ca="1" si="4">IF(OR($K23=0,Q23=0),"-",IF(ABS(Q23/$K23)&gt;2,"-",Q23/$K23))</f>
        <v>-</v>
      </c>
      <c r="S23" s="123" t="str">
        <f t="shared" ref="S23:S25" ca="1" si="5">IF(OR(AND(R23&gt;0.01,Q23&lt;0),AND(R23&lt;-0.01,Q23&lt;0)),"î",IF(OR(AND(R23&lt;-0.01,Q23&gt;0),AND(R23&gt;0.01,Q23&gt;0)),"ì","è"))</f>
        <v>î</v>
      </c>
      <c r="T23" s="121">
        <f t="shared" ref="T23" ca="1" si="6">IF(OR($I23="",L23=""),"-",IFERROR(($I23-L23),""))</f>
        <v>7659.8255912938403</v>
      </c>
      <c r="U23" s="122">
        <f t="shared" ref="U23" ca="1" si="7">IF(OR($L23=0,T23=0),"-",IF(ABS(T23/$L23)&gt;2,"-",T23/$L23))</f>
        <v>-0.82845742763538532</v>
      </c>
      <c r="V23" s="73" t="str">
        <f t="shared" ref="V23:V25" ca="1" si="8">IF(OR(AND(U23&gt;0.01,T23&lt;0),AND(U23&lt;-0.01,T23&lt;0)),"î",IF(OR(AND(U23&lt;-0.01,T23&gt;0),AND(U23&gt;0.01,T23&gt;0)),"ì","è"))</f>
        <v>ì</v>
      </c>
      <c r="W23" s="26"/>
    </row>
    <row r="24" spans="1:39" ht="23.25">
      <c r="B24" s="127" t="s">
        <v>59</v>
      </c>
      <c r="C24" s="61" t="str">
        <f ca="1">_xll.DBRA(Server&amp;$C$20,$B24,$G$17)</f>
        <v>Personnel intérimaire (CO)</v>
      </c>
      <c r="D24" s="131"/>
      <c r="E24" s="138"/>
      <c r="F24" s="137" t="str">
        <f ca="1">_xll.DBRA(Server&amp;$C$20,$B24,$G$17)</f>
        <v>Personnel intérimaire (CO)</v>
      </c>
      <c r="G24" s="137"/>
      <c r="H24" s="116"/>
      <c r="I24" s="117">
        <f ca="1">_xll.DBRW(Server&amp;Cube1,$G$13,$G$14,$G$15,$G$16,$G$11,$G$12,I$18,I$1,$B24)</f>
        <v>0</v>
      </c>
      <c r="J24" s="117">
        <f ca="1">_xll.DBRW(Server&amp;Cube1,$G$13,$G$14,$G$15,$G$16,$G$11,$G$12,J$18,J$1,$B24)</f>
        <v>-4681.0386290842798</v>
      </c>
      <c r="K24" s="117">
        <f ca="1">_xll.DBRW(Server&amp;Cube1,$G$13,$G$14,$G$15,$G$16,$G$11,$G$12,K$18,K$1,$B24)</f>
        <v>0</v>
      </c>
      <c r="L24" s="117">
        <f ca="1">_xll.DBRW(Server&amp;Cube1,$G$13,$G$14,$G$15,$G$16,$G$11,$G$12,L$18,L$1,$B24)</f>
        <v>-6180.503876904455</v>
      </c>
      <c r="M24" s="118"/>
      <c r="N24" s="117">
        <f t="shared" ref="N24:N31" ca="1" si="9">IF(OR($I24="",J24=""),"-",IFERROR(($I24-J24),""))</f>
        <v>4681.0386290842798</v>
      </c>
      <c r="O24" s="119">
        <f t="shared" ref="O24:O31" ca="1" si="10">IF(OR($J24=0,N24=0),"-",IF(ABS(N24/$J24)&gt;2,"-",N24/$J24))</f>
        <v>-1</v>
      </c>
      <c r="P24" s="124" t="str">
        <f t="shared" ca="1" si="2"/>
        <v>ì</v>
      </c>
      <c r="Q24" s="117">
        <f t="shared" ref="Q24:Q31" ca="1" si="11">IF(OR($I24="",K24=""),"-",IFERROR(($I24-K24),""))</f>
        <v>0</v>
      </c>
      <c r="R24" s="119" t="str">
        <f t="shared" ref="R24:R31" ca="1" si="12">IF(OR($K24=0,Q24=0),"-",IF(ABS(Q24/$K24)&gt;2,"-",Q24/$K24))</f>
        <v>-</v>
      </c>
      <c r="S24" s="124" t="str">
        <f t="shared" ca="1" si="5"/>
        <v>è</v>
      </c>
      <c r="T24" s="117">
        <f t="shared" ref="T24:T31" ca="1" si="13">IF(OR($I24="",L24=""),"-",IFERROR(($I24-L24),""))</f>
        <v>6180.503876904455</v>
      </c>
      <c r="U24" s="119">
        <f t="shared" ref="U24:U31" ca="1" si="14">IF(OR($L24=0,T24=0),"-",IF(ABS(T24/$L24)&gt;2,"-",T24/$L24))</f>
        <v>-1</v>
      </c>
      <c r="V24" s="120" t="str">
        <f t="shared" ca="1" si="8"/>
        <v>ì</v>
      </c>
      <c r="W24" s="26"/>
    </row>
    <row r="25" spans="1:39" ht="23.25">
      <c r="B25" s="127" t="s">
        <v>60</v>
      </c>
      <c r="C25" s="61" t="str">
        <f ca="1">_xll.DBRA(Server&amp;$C$20,$B25,$G$17)</f>
        <v>Autres (CO)</v>
      </c>
      <c r="D25" s="131"/>
      <c r="E25" s="138"/>
      <c r="F25" s="137" t="str">
        <f ca="1">_xll.DBRA(Server&amp;$C$20,$B25,$G$17)</f>
        <v>Autres (CO)</v>
      </c>
      <c r="G25" s="137"/>
      <c r="H25" s="116"/>
      <c r="I25" s="117">
        <f ca="1">_xll.DBRW(Server&amp;Cube1,$G$13,$G$14,$G$15,$G$16,$G$11,$G$12,I$18,I$1,$B25)</f>
        <v>-1586.0636189179691</v>
      </c>
      <c r="J25" s="117">
        <f ca="1">_xll.DBRW(Server&amp;Cube1,$G$13,$G$14,$G$15,$G$16,$G$11,$G$12,J$18,J$1,$B25)</f>
        <v>-1653.6267259854592</v>
      </c>
      <c r="K25" s="117">
        <f ca="1">_xll.DBRW(Server&amp;Cube1,$G$13,$G$14,$G$15,$G$16,$G$11,$G$12,K$18,K$1,$B25)</f>
        <v>0</v>
      </c>
      <c r="L25" s="117">
        <f ca="1">_xll.DBRW(Server&amp;Cube1,$G$13,$G$14,$G$15,$G$16,$G$11,$G$12,L$18,L$1,$B25)</f>
        <v>-3065.3853333073553</v>
      </c>
      <c r="M25" s="118"/>
      <c r="N25" s="117">
        <f t="shared" ca="1" si="9"/>
        <v>67.563107067490137</v>
      </c>
      <c r="O25" s="119">
        <f t="shared" ca="1" si="10"/>
        <v>-4.0857532117610583E-2</v>
      </c>
      <c r="P25" s="124" t="str">
        <f t="shared" ca="1" si="2"/>
        <v>ì</v>
      </c>
      <c r="Q25" s="117">
        <f t="shared" ca="1" si="11"/>
        <v>-1586.0636189179691</v>
      </c>
      <c r="R25" s="119" t="str">
        <f t="shared" ca="1" si="12"/>
        <v>-</v>
      </c>
      <c r="S25" s="124" t="str">
        <f t="shared" ca="1" si="5"/>
        <v>î</v>
      </c>
      <c r="T25" s="117">
        <f t="shared" ca="1" si="13"/>
        <v>1479.3217143893862</v>
      </c>
      <c r="U25" s="119">
        <f t="shared" ca="1" si="14"/>
        <v>-0.48258915390362767</v>
      </c>
      <c r="V25" s="120" t="str">
        <f t="shared" ca="1" si="8"/>
        <v>ì</v>
      </c>
      <c r="W25" s="26"/>
    </row>
    <row r="26" spans="1:39" ht="23.25">
      <c r="B26" s="127"/>
      <c r="C26" s="61" t="str">
        <f ca="1">_xll.DBRA(Server&amp;$C$20,$B26,$G$17)</f>
        <v/>
      </c>
      <c r="D26" s="131"/>
      <c r="E26" s="138"/>
      <c r="F26" s="137" t="str">
        <f ca="1">_xll.DBRA(Server&amp;$C$20,$B26,$G$17)</f>
        <v/>
      </c>
      <c r="G26" s="137"/>
      <c r="H26" s="116"/>
      <c r="I26" s="117"/>
      <c r="J26" s="117"/>
      <c r="K26" s="117"/>
      <c r="L26" s="117"/>
      <c r="M26" s="118"/>
      <c r="N26" s="117"/>
      <c r="O26" s="119"/>
      <c r="P26" s="124"/>
      <c r="Q26" s="117"/>
      <c r="R26" s="119"/>
      <c r="S26" s="124"/>
      <c r="T26" s="117"/>
      <c r="U26" s="119"/>
      <c r="V26" s="120"/>
      <c r="W26" s="26"/>
    </row>
    <row r="27" spans="1:39" ht="23.25">
      <c r="B27" s="127" t="s">
        <v>61</v>
      </c>
      <c r="C27" s="61" t="str">
        <f ca="1">_xll.DBRA(Server&amp;$C$20,$B27,$G$17)</f>
        <v>Refacturation - Autres (CO)</v>
      </c>
      <c r="D27" s="131"/>
      <c r="E27" s="138"/>
      <c r="F27" s="130" t="str">
        <f ca="1">_xll.DBRA(Server&amp;$C$20,$B27,$G$17)</f>
        <v>Refacturation - Autres (CO)</v>
      </c>
      <c r="G27" s="130"/>
      <c r="H27" s="72"/>
      <c r="I27" s="121">
        <f ca="1">_xll.DBRW(Server&amp;Cube1,$G$13,$G$14,$G$15,$G$16,$G$11,$G$12,I$18,I$1,$B27)</f>
        <v>191.90304000000003</v>
      </c>
      <c r="J27" s="121">
        <f ca="1">_xll.DBRW(Server&amp;Cube1,$G$13,$G$14,$G$15,$G$16,$G$11,$G$12,J$18,J$1,$B27)</f>
        <v>145.79618991247423</v>
      </c>
      <c r="K27" s="121">
        <f ca="1">_xll.DBRW(Server&amp;Cube1,$G$13,$G$14,$G$15,$G$16,$G$11,$G$12,K$18,K$1,$B27)</f>
        <v>0</v>
      </c>
      <c r="L27" s="121">
        <f ca="1">_xll.DBRW(Server&amp;Cube1,$G$13,$G$14,$G$15,$G$16,$G$11,$G$12,L$18,L$1,$B27)</f>
        <v>483.86766329999983</v>
      </c>
      <c r="M27" s="62"/>
      <c r="N27" s="121">
        <f t="shared" ca="1" si="9"/>
        <v>46.1068500875258</v>
      </c>
      <c r="O27" s="122">
        <f t="shared" ca="1" si="10"/>
        <v>0.31624180381671912</v>
      </c>
      <c r="P27" s="123" t="str">
        <f ca="1">IF(OR(AND(O27&gt;0.01,N27&lt;0),AND(O27&lt;-0.01,N27&lt;0)),"î",IF(OR(AND(O27&lt;-0.01,N27&gt;0),AND(O27&gt;0.01,N27&gt;0)),"ì","è"))</f>
        <v>ì</v>
      </c>
      <c r="Q27" s="121">
        <f t="shared" ca="1" si="11"/>
        <v>191.90304000000003</v>
      </c>
      <c r="R27" s="122" t="str">
        <f t="shared" ca="1" si="12"/>
        <v>-</v>
      </c>
      <c r="S27" s="123" t="str">
        <f ca="1">IF(OR(AND(R27&gt;0.01,Q27&lt;0),AND(R27&lt;-0.01,Q27&lt;0)),"î",IF(OR(AND(R27&lt;-0.01,Q27&gt;0),AND(R27&gt;0.01,Q27&gt;0)),"ì","è"))</f>
        <v>ì</v>
      </c>
      <c r="T27" s="121">
        <f t="shared" ca="1" si="13"/>
        <v>-291.9646232999998</v>
      </c>
      <c r="U27" s="122">
        <f t="shared" ca="1" si="14"/>
        <v>-0.60339767553133761</v>
      </c>
      <c r="V27" s="73" t="str">
        <f ca="1">IF(OR(AND(U27&gt;0.01,T27&lt;0),AND(U27&lt;-0.01,T27&lt;0)),"î",IF(OR(AND(U27&lt;-0.01,T27&gt;0),AND(U27&gt;0.01,T27&gt;0)),"ì","è"))</f>
        <v>î</v>
      </c>
      <c r="W27" s="26"/>
    </row>
    <row r="28" spans="1:39" ht="23.25">
      <c r="B28" s="127"/>
      <c r="C28" s="61" t="str">
        <f ca="1">_xll.DBRA(Server&amp;$C$20,$B28,$G$17)</f>
        <v/>
      </c>
      <c r="D28" s="131"/>
      <c r="E28" s="138"/>
      <c r="F28" s="137" t="str">
        <f ca="1">_xll.DBRA(Server&amp;$C$20,$B28,$G$17)</f>
        <v/>
      </c>
      <c r="G28" s="137"/>
      <c r="H28" s="116"/>
      <c r="I28" s="117"/>
      <c r="J28" s="117"/>
      <c r="K28" s="117"/>
      <c r="L28" s="117"/>
      <c r="M28" s="118"/>
      <c r="N28" s="117"/>
      <c r="O28" s="119"/>
      <c r="P28" s="124"/>
      <c r="Q28" s="117"/>
      <c r="R28" s="119"/>
      <c r="S28" s="124"/>
      <c r="T28" s="117"/>
      <c r="U28" s="119"/>
      <c r="V28" s="120"/>
      <c r="W28" s="26"/>
    </row>
    <row r="29" spans="1:39" ht="23.25">
      <c r="B29" s="127" t="s">
        <v>62</v>
      </c>
      <c r="C29" s="61" t="str">
        <f ca="1">_xll.DBRA(Server&amp;$C$20,$B29,$G$17)</f>
        <v>Conduite et Opérations (CAFOP)</v>
      </c>
      <c r="D29" s="131"/>
      <c r="E29" s="138"/>
      <c r="F29" s="130" t="str">
        <f ca="1">_xll.DBRA(Server&amp;$C$20,$B29,$G$17)</f>
        <v>Conduite et Opérations (CAFOP)</v>
      </c>
      <c r="G29" s="130"/>
      <c r="H29" s="72"/>
      <c r="I29" s="121">
        <f ca="1">_xll.DBRW(Server&amp;Cube1,$G$13,$G$14,$G$15,$G$16,$G$11,$G$12,I$18,I$1,$B29)</f>
        <v>-292378.34814228234</v>
      </c>
      <c r="J29" s="121">
        <f ca="1">_xll.DBRW(Server&amp;Cube1,$G$13,$G$14,$G$15,$G$16,$G$11,$G$12,J$18,J$1,$B29)</f>
        <v>-402289.11936122569</v>
      </c>
      <c r="K29" s="121">
        <f ca="1">_xll.DBRW(Server&amp;Cube1,$G$13,$G$14,$G$15,$G$16,$G$11,$G$12,K$18,K$1,$B29)</f>
        <v>0</v>
      </c>
      <c r="L29" s="121">
        <f ca="1">_xll.DBRW(Server&amp;Cube1,$G$13,$G$14,$G$15,$G$16,$G$11,$G$12,L$18,L$1,$B29)</f>
        <v>-426670.39562900766</v>
      </c>
      <c r="M29" s="62"/>
      <c r="N29" s="121">
        <f t="shared" ref="N29" ca="1" si="15">IF(OR($I29="",J29=""),"-",IFERROR(($I29-J29),""))</f>
        <v>109910.77121894335</v>
      </c>
      <c r="O29" s="122">
        <f t="shared" ref="O29" ca="1" si="16">IF(OR($J29=0,N29=0),"-",IF(ABS(N29/$J29)&gt;2,"-",N29/$J29))</f>
        <v>-0.27321338293579761</v>
      </c>
      <c r="P29" s="123" t="str">
        <f ca="1">IF(OR(AND(O29&gt;0.01,N29&lt;0),AND(O29&lt;-0.01,N29&lt;0)),"î",IF(OR(AND(O29&lt;-0.01,N29&gt;0),AND(O29&gt;0.01,N29&gt;0)),"ì","è"))</f>
        <v>ì</v>
      </c>
      <c r="Q29" s="121">
        <f t="shared" ref="Q29" ca="1" si="17">IF(OR($I29="",K29=""),"-",IFERROR(($I29-K29),""))</f>
        <v>-292378.34814228234</v>
      </c>
      <c r="R29" s="122" t="str">
        <f t="shared" ref="R29" ca="1" si="18">IF(OR($K29=0,Q29=0),"-",IF(ABS(Q29/$K29)&gt;2,"-",Q29/$K29))</f>
        <v>-</v>
      </c>
      <c r="S29" s="123" t="str">
        <f ca="1">IF(OR(AND(R29&gt;0.01,Q29&lt;0),AND(R29&lt;-0.01,Q29&lt;0)),"î",IF(OR(AND(R29&lt;-0.01,Q29&gt;0),AND(R29&gt;0.01,Q29&gt;0)),"ì","è"))</f>
        <v>î</v>
      </c>
      <c r="T29" s="121">
        <f t="shared" ref="T29" ca="1" si="19">IF(OR($I29="",L29=""),"-",IFERROR(($I29-L29),""))</f>
        <v>134292.04748672532</v>
      </c>
      <c r="U29" s="122">
        <f t="shared" ref="U29" ca="1" si="20">IF(OR($L29=0,T29=0),"-",IF(ABS(T29/$L29)&gt;2,"-",T29/$L29))</f>
        <v>-0.31474423550935327</v>
      </c>
      <c r="V29" s="73" t="str">
        <f ca="1">IF(OR(AND(U29&gt;0.01,T29&lt;0),AND(U29&lt;-0.01,T29&lt;0)),"î",IF(OR(AND(U29&lt;-0.01,T29&gt;0),AND(U29&gt;0.01,T29&gt;0)),"ì","è"))</f>
        <v>ì</v>
      </c>
      <c r="W29" s="26"/>
    </row>
    <row r="30" spans="1:39" ht="23.25" customHeight="1">
      <c r="B30" s="127"/>
      <c r="C30" s="61" t="str">
        <f ca="1">_xll.DBRA(Server&amp;$C$20,$B30,$G$17)</f>
        <v/>
      </c>
      <c r="D30" s="131"/>
      <c r="E30" s="125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39" ht="23.25">
      <c r="B31" s="127" t="s">
        <v>63</v>
      </c>
      <c r="C31" s="61" t="str">
        <f ca="1">_xll.DBRA(Server&amp;$C$20,$B31,$G$17)</f>
        <v>Amortissements des pensions</v>
      </c>
      <c r="D31" s="131"/>
      <c r="E31" s="125"/>
      <c r="F31" s="130" t="str">
        <f ca="1">_xll.DBRA(Server&amp;$C$20,$B31,$G$17)</f>
        <v>Amortissements des pensions</v>
      </c>
      <c r="G31" s="130"/>
      <c r="H31" s="72"/>
      <c r="I31" s="121">
        <f ca="1">_xll.DBRW(Server&amp;Cube1,$G$13,$G$14,$G$15,$G$16,$G$11,$G$12,I$18,I$1,$B31)</f>
        <v>-15.159204694555809</v>
      </c>
      <c r="J31" s="121">
        <f ca="1">_xll.DBRW(Server&amp;Cube1,$G$13,$G$14,$G$15,$G$16,$G$11,$G$12,J$18,J$1,$B31)</f>
        <v>-13.853799603031398</v>
      </c>
      <c r="K31" s="121">
        <f ca="1">_xll.DBRW(Server&amp;Cube1,$G$13,$G$14,$G$15,$G$16,$G$11,$G$12,K$18,K$1,$B31)</f>
        <v>0</v>
      </c>
      <c r="L31" s="121">
        <f ca="1">_xll.DBRW(Server&amp;Cube1,$G$13,$G$14,$G$15,$G$16,$G$11,$G$12,L$18,L$1,$B31)</f>
        <v>-1.3233508202851563</v>
      </c>
      <c r="M31" s="62"/>
      <c r="N31" s="121">
        <f t="shared" ca="1" si="9"/>
        <v>-1.3054050915244115</v>
      </c>
      <c r="O31" s="122">
        <f t="shared" ca="1" si="10"/>
        <v>9.4227224944034224E-2</v>
      </c>
      <c r="P31" s="123" t="str">
        <f ca="1">IF(OR(AND(O31&gt;0.01,N31&lt;0),AND(O31&lt;-0.01,N31&lt;0)),"î",IF(OR(AND(O31&lt;-0.01,N31&gt;0),AND(O31&gt;0.01,N31&gt;0)),"ì","è"))</f>
        <v>î</v>
      </c>
      <c r="Q31" s="121">
        <f t="shared" ca="1" si="11"/>
        <v>-15.159204694555809</v>
      </c>
      <c r="R31" s="122" t="str">
        <f t="shared" ca="1" si="12"/>
        <v>-</v>
      </c>
      <c r="S31" s="123" t="str">
        <f ca="1">IF(OR(AND(R31&gt;0.01,Q31&lt;0),AND(R31&lt;-0.01,Q31&lt;0)),"î",IF(OR(AND(R31&lt;-0.01,Q31&gt;0),AND(R31&gt;0.01,Q31&gt;0)),"ì","è"))</f>
        <v>î</v>
      </c>
      <c r="T31" s="121">
        <f t="shared" ca="1" si="13"/>
        <v>-13.835853874270652</v>
      </c>
      <c r="U31" s="122" t="str">
        <f t="shared" ca="1" si="14"/>
        <v>-</v>
      </c>
      <c r="V31" s="73" t="str">
        <f ca="1">IF(OR(AND(U31&gt;0.01,T31&lt;0),AND(U31&lt;-0.01,T31&lt;0)),"î",IF(OR(AND(U31&lt;-0.01,T31&gt;0),AND(U31&gt;0.01,T31&gt;0)),"ì","è"))</f>
        <v>î</v>
      </c>
      <c r="W31" s="26"/>
    </row>
    <row r="32" spans="1:39" s="28" customFormat="1" ht="23.25">
      <c r="A32" s="63"/>
      <c r="B32" s="127"/>
      <c r="C32" s="61" t="str">
        <f ca="1">_xll.DBRA(Server&amp;$C$20,$B32,$G$17)</f>
        <v/>
      </c>
      <c r="D32" s="131"/>
      <c r="E32" s="125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17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</row>
    <row r="33" spans="1:39" s="28" customFormat="1" ht="23.25" customHeight="1">
      <c r="A33" s="63"/>
      <c r="B33" s="127" t="s">
        <v>64</v>
      </c>
      <c r="C33" s="61" t="str">
        <f ca="1">_xll.DBRA(Server&amp;$C$20,$B33,$G$17)</f>
        <v>Pertes de valeurs (hors BFR) et provisions (CO)</v>
      </c>
      <c r="D33" s="131"/>
      <c r="E33" s="125"/>
      <c r="F33" s="130" t="str">
        <f ca="1">_xll.DBRA(Server&amp;$C$20,$B33,$G$17)</f>
        <v>Pertes de valeurs (hors BFR) et provisions (CO)</v>
      </c>
      <c r="G33" s="130"/>
      <c r="H33" s="72"/>
      <c r="I33" s="121">
        <f ca="1">_xll.DBRW(Server&amp;Cube1,$G$13,$G$14,$G$15,$G$16,$G$11,$G$12,I$18,I$1,$B33)</f>
        <v>891.83046662573099</v>
      </c>
      <c r="J33" s="121">
        <f ca="1">_xll.DBRW(Server&amp;Cube1,$G$13,$G$14,$G$15,$G$16,$G$11,$G$12,J$18,J$1,$B33)</f>
        <v>232.75209783332411</v>
      </c>
      <c r="K33" s="121">
        <f ca="1">_xll.DBRW(Server&amp;Cube1,$G$13,$G$14,$G$15,$G$16,$G$11,$G$12,K$18,K$1,$B33)</f>
        <v>0</v>
      </c>
      <c r="L33" s="121">
        <f ca="1">_xll.DBRW(Server&amp;Cube1,$G$13,$G$14,$G$15,$G$16,$G$11,$G$12,L$18,L$1,$B33)</f>
        <v>386.08051325729207</v>
      </c>
      <c r="M33" s="62"/>
      <c r="N33" s="121">
        <f t="shared" ref="N33:N35" ca="1" si="21">IF(OR($I33="",J33=""),"-",IFERROR(($I33-J33),""))</f>
        <v>659.07836879240688</v>
      </c>
      <c r="O33" s="122" t="str">
        <f t="shared" ref="O33:O35" ca="1" si="22">IF(OR($J33=0,N33=0),"-",IF(ABS(N33/$J33)&gt;2,"-",N33/$J33))</f>
        <v>-</v>
      </c>
      <c r="P33" s="123" t="str">
        <f ca="1">IF(OR(AND(O33&gt;0.01,N33&lt;0),AND(O33&lt;-0.01,N33&lt;0)),"î",IF(OR(AND(O33&lt;-0.01,N33&gt;0),AND(O33&gt;0.01,N33&gt;0)),"ì","è"))</f>
        <v>ì</v>
      </c>
      <c r="Q33" s="121">
        <f t="shared" ref="Q33:Q35" ca="1" si="23">IF(OR($I33="",K33=""),"-",IFERROR(($I33-K33),""))</f>
        <v>891.83046662573099</v>
      </c>
      <c r="R33" s="122" t="str">
        <f t="shared" ref="R33:R35" ca="1" si="24">IF(OR($K33=0,Q33=0),"-",IF(ABS(Q33/$K33)&gt;2,"-",Q33/$K33))</f>
        <v>-</v>
      </c>
      <c r="S33" s="123" t="str">
        <f t="shared" ref="S33:S35" ca="1" si="25">IF(OR(AND(R33&gt;0.01,Q33&lt;0),AND(R33&lt;-0.01,Q33&lt;0)),"î",IF(OR(AND(R33&lt;-0.01,Q33&gt;0),AND(R33&gt;0.01,Q33&gt;0)),"ì","è"))</f>
        <v>ì</v>
      </c>
      <c r="T33" s="121">
        <f t="shared" ref="T33:T35" ca="1" si="26">IF(OR($I33="",L33=""),"-",IFERROR(($I33-L33),""))</f>
        <v>505.74995336843892</v>
      </c>
      <c r="U33" s="122">
        <f t="shared" ref="U33:U35" ca="1" si="27">IF(OR($L33=0,T33=0),"-",IF(ABS(T33/$L33)&gt;2,"-",T33/$L33))</f>
        <v>1.3099598037246616</v>
      </c>
      <c r="V33" s="73" t="str">
        <f t="shared" ref="V33:V35" ca="1" si="28">IF(OR(AND(U33&gt;0.01,T33&lt;0),AND(U33&lt;-0.01,T33&lt;0)),"î",IF(OR(AND(U33&lt;-0.01,T33&gt;0),AND(U33&gt;0.01,T33&gt;0)),"ì","è"))</f>
        <v>ì</v>
      </c>
      <c r="W33" s="29"/>
      <c r="X33" s="30"/>
      <c r="Y33" s="30"/>
      <c r="Z33" s="17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</row>
    <row r="34" spans="1:39" s="28" customFormat="1" ht="23.25">
      <c r="A34" s="63"/>
      <c r="B34" s="127" t="s">
        <v>65</v>
      </c>
      <c r="C34" s="61" t="str">
        <f ca="1">_xll.DBRA(Server&amp;$C$20,$B34,$G$17)</f>
        <v>Pertes de valeurs (hors BFR) et provisions - liées aux charges de personnel (CO)</v>
      </c>
      <c r="D34" s="131"/>
      <c r="E34" s="125"/>
      <c r="F34" s="137" t="str">
        <f ca="1">_xll.DBRA(Server&amp;$C$20,$B34,$G$17)</f>
        <v>Pertes de valeurs (hors BFR) et provisions - liées aux charges de personnel (CO)</v>
      </c>
      <c r="G34" s="137"/>
      <c r="H34" s="116"/>
      <c r="I34" s="117">
        <f ca="1">_xll.DBRW(Server&amp;Cube1,$G$13,$G$14,$G$15,$G$16,$G$11,$G$12,I$18,I$1,$B34)</f>
        <v>-231.15426837426929</v>
      </c>
      <c r="J34" s="117">
        <f ca="1">_xll.DBRW(Server&amp;Cube1,$G$13,$G$14,$G$15,$G$16,$G$11,$G$12,J$18,J$1,$B34)</f>
        <v>-332.90217048113857</v>
      </c>
      <c r="K34" s="117">
        <f ca="1">_xll.DBRW(Server&amp;Cube1,$G$13,$G$14,$G$15,$G$16,$G$11,$G$12,K$18,K$1,$B34)</f>
        <v>0</v>
      </c>
      <c r="L34" s="117">
        <f ca="1">_xll.DBRW(Server&amp;Cube1,$G$13,$G$14,$G$15,$G$16,$G$11,$G$12,L$18,L$1,$B34)</f>
        <v>-438.63322674270813</v>
      </c>
      <c r="M34" s="118"/>
      <c r="N34" s="117">
        <f t="shared" ca="1" si="21"/>
        <v>101.74790210686928</v>
      </c>
      <c r="O34" s="119">
        <f t="shared" ca="1" si="22"/>
        <v>-0.30563904693025745</v>
      </c>
      <c r="P34" s="124" t="str">
        <f ca="1">IF(OR(AND(O34&gt;0.01,N34&lt;0),AND(O34&lt;-0.01,N34&lt;0)),"î",IF(OR(AND(O34&lt;-0.01,N34&gt;0),AND(O34&gt;0.01,N34&gt;0)),"ì","è"))</f>
        <v>ì</v>
      </c>
      <c r="Q34" s="117">
        <f t="shared" ca="1" si="23"/>
        <v>-231.15426837426929</v>
      </c>
      <c r="R34" s="119" t="str">
        <f t="shared" ca="1" si="24"/>
        <v>-</v>
      </c>
      <c r="S34" s="124" t="str">
        <f t="shared" ca="1" si="25"/>
        <v>î</v>
      </c>
      <c r="T34" s="117">
        <f t="shared" ca="1" si="26"/>
        <v>207.47895836843884</v>
      </c>
      <c r="U34" s="119">
        <f t="shared" ca="1" si="27"/>
        <v>-0.47301240699246228</v>
      </c>
      <c r="V34" s="120" t="str">
        <f t="shared" ca="1" si="28"/>
        <v>ì</v>
      </c>
      <c r="W34" s="30"/>
      <c r="X34" s="30"/>
      <c r="Y34" s="30"/>
      <c r="Z34" s="17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</row>
    <row r="35" spans="1:39" ht="23.25">
      <c r="B35" s="127" t="s">
        <v>66</v>
      </c>
      <c r="C35" s="61" t="str">
        <f ca="1">_xll.DBRA(Server&amp;$C$20,$B35,$G$17)</f>
        <v>Pertes de valeurs (hors BFR) et provisions - liées aux charges de personnel- Reprise (CO)</v>
      </c>
      <c r="D35" s="131"/>
      <c r="E35" s="125"/>
      <c r="F35" s="137" t="str">
        <f ca="1">_xll.DBRA(Server&amp;$C$20,$B35,$G$17)</f>
        <v>Pertes de valeurs (hors BFR) et provisions - liées aux charges de personnel- Reprise (CO)</v>
      </c>
      <c r="G35" s="137"/>
      <c r="H35" s="116"/>
      <c r="I35" s="117">
        <f ca="1">_xll.DBRW(Server&amp;Cube1,$G$13,$G$14,$G$15,$G$16,$G$11,$G$12,I$18,I$1,$B35)</f>
        <v>1122.984735</v>
      </c>
      <c r="J35" s="117">
        <f ca="1">_xll.DBRW(Server&amp;Cube1,$G$13,$G$14,$G$15,$G$16,$G$11,$G$12,J$18,J$1,$B35)</f>
        <v>565.65426831446268</v>
      </c>
      <c r="K35" s="117">
        <f ca="1">_xll.DBRW(Server&amp;Cube1,$G$13,$G$14,$G$15,$G$16,$G$11,$G$12,K$18,K$1,$B35)</f>
        <v>0</v>
      </c>
      <c r="L35" s="117">
        <f ca="1">_xll.DBRW(Server&amp;Cube1,$G$13,$G$14,$G$15,$G$16,$G$11,$G$12,L$18,L$1,$B35)</f>
        <v>824.71373999999992</v>
      </c>
      <c r="M35" s="118"/>
      <c r="N35" s="117">
        <f t="shared" ca="1" si="21"/>
        <v>557.33046668553732</v>
      </c>
      <c r="O35" s="119">
        <f t="shared" ca="1" si="22"/>
        <v>0.98528464807005056</v>
      </c>
      <c r="P35" s="124" t="str">
        <f ca="1">IF(OR(AND(O35&gt;0.01,N35&lt;0),AND(O35&lt;-0.01,N35&lt;0)),"î",IF(OR(AND(O35&lt;-0.01,N35&gt;0),AND(O35&gt;0.01,N35&gt;0)),"ì","è"))</f>
        <v>ì</v>
      </c>
      <c r="Q35" s="117">
        <f t="shared" ca="1" si="23"/>
        <v>1122.984735</v>
      </c>
      <c r="R35" s="119" t="str">
        <f t="shared" ca="1" si="24"/>
        <v>-</v>
      </c>
      <c r="S35" s="124" t="str">
        <f t="shared" ca="1" si="25"/>
        <v>ì</v>
      </c>
      <c r="T35" s="117">
        <f t="shared" ca="1" si="26"/>
        <v>298.27099500000008</v>
      </c>
      <c r="U35" s="119">
        <f t="shared" ca="1" si="27"/>
        <v>0.36166609155802365</v>
      </c>
      <c r="V35" s="120" t="str">
        <f t="shared" ca="1" si="28"/>
        <v>ì</v>
      </c>
      <c r="W35" s="26"/>
    </row>
    <row r="36" spans="1:39" ht="18" customHeight="1">
      <c r="B36" s="127"/>
      <c r="D36" s="131"/>
    </row>
    <row r="37" spans="1:39" ht="23.25">
      <c r="B37" s="127" t="s">
        <v>67</v>
      </c>
      <c r="C37" s="61" t="str">
        <f ca="1">_xll.DBRA(Server&amp;$C$20,$B37,$G$17)</f>
        <v>Conduite / Opérations (RESOP)</v>
      </c>
      <c r="D37" s="131"/>
      <c r="F37" s="130" t="str">
        <f ca="1">_xll.DBRA(Server&amp;$C$20,$B37,$G$17)</f>
        <v>Conduite / Opérations (RESOP)</v>
      </c>
      <c r="G37" s="130"/>
      <c r="H37" s="72"/>
      <c r="I37" s="121">
        <f ca="1">_xll.DBRW(Server&amp;Cube1,$G$13,$G$14,$G$15,$G$16,$G$11,$G$12,I$18,I$1,$B37)</f>
        <v>-291501.67688035109</v>
      </c>
      <c r="J37" s="121">
        <f ca="1">_xll.DBRW(Server&amp;Cube1,$G$13,$G$14,$G$15,$G$16,$G$11,$G$12,J$18,J$1,$B37)</f>
        <v>-402070.22106299544</v>
      </c>
      <c r="K37" s="121">
        <f ca="1">_xll.DBRW(Server&amp;Cube1,$G$13,$G$14,$G$15,$G$16,$G$11,$G$12,K$18,K$1,$B37)</f>
        <v>0</v>
      </c>
      <c r="L37" s="121">
        <f ca="1">_xll.DBRW(Server&amp;Cube1,$G$13,$G$14,$G$15,$G$16,$G$11,$G$12,L$18,L$1,$B37)</f>
        <v>-426285.63846657064</v>
      </c>
      <c r="M37" s="62"/>
      <c r="N37" s="121">
        <f t="shared" ref="N37" ca="1" si="29">IF(OR($I37="",J37=""),"-",IFERROR(($I37-J37),""))</f>
        <v>110568.54418264434</v>
      </c>
      <c r="O37" s="122">
        <f t="shared" ref="O37" ca="1" si="30">IF(OR($J37=0,N37=0),"-",IF(ABS(N37/$J37)&gt;2,"-",N37/$J37))</f>
        <v>-0.27499809334380104</v>
      </c>
      <c r="P37" s="123" t="str">
        <f ca="1">IF(OR(AND(O37&gt;0.01,N37&lt;0),AND(O37&lt;-0.01,N37&lt;0)),"î",IF(OR(AND(O37&lt;-0.01,N37&gt;0),AND(O37&gt;0.01,N37&gt;0)),"ì","è"))</f>
        <v>ì</v>
      </c>
      <c r="Q37" s="121">
        <f t="shared" ref="Q37" ca="1" si="31">IF(OR($I37="",K37=""),"-",IFERROR(($I37-K37),""))</f>
        <v>-291501.67688035109</v>
      </c>
      <c r="R37" s="122" t="str">
        <f t="shared" ref="R37" ca="1" si="32">IF(OR($K37=0,Q37=0),"-",IF(ABS(Q37/$K37)&gt;2,"-",Q37/$K37))</f>
        <v>-</v>
      </c>
      <c r="S37" s="123" t="str">
        <f ca="1">IF(OR(AND(R37&gt;0.01,Q37&lt;0),AND(R37&lt;-0.01,Q37&lt;0)),"î",IF(OR(AND(R37&lt;-0.01,Q37&gt;0),AND(R37&gt;0.01,Q37&gt;0)),"ì","è"))</f>
        <v>î</v>
      </c>
      <c r="T37" s="121">
        <f t="shared" ref="T37" ca="1" si="33">IF(OR($I37="",L37=""),"-",IFERROR(($I37-L37),""))</f>
        <v>134783.96158621955</v>
      </c>
      <c r="U37" s="122">
        <f t="shared" ref="U37" ca="1" si="34">IF(OR($L37=0,T37=0),"-",IF(ABS(T37/$L37)&gt;2,"-",T37/$L37))</f>
        <v>-0.31618227175342506</v>
      </c>
      <c r="V37" s="73" t="str">
        <f ca="1">IF(OR(AND(U37&gt;0.01,T37&lt;0),AND(U37&lt;-0.01,T37&lt;0)),"î",IF(OR(AND(U37&lt;-0.01,T37&gt;0),AND(U37&gt;0.01,T37&gt;0)),"ì","è"))</f>
        <v>ì</v>
      </c>
    </row>
  </sheetData>
  <sheetProtection password="D70F" sheet="1" objects="1" scenarios="1" formatColumns="0" formatRows="0"/>
  <mergeCells count="21">
    <mergeCell ref="F24:G24"/>
    <mergeCell ref="F25:G25"/>
    <mergeCell ref="F26:G26"/>
    <mergeCell ref="F28:G28"/>
    <mergeCell ref="F34:G34"/>
    <mergeCell ref="F37:G37"/>
    <mergeCell ref="D21:D37"/>
    <mergeCell ref="F31:G31"/>
    <mergeCell ref="D7:V8"/>
    <mergeCell ref="F27:G27"/>
    <mergeCell ref="N19:P19"/>
    <mergeCell ref="Q19:S19"/>
    <mergeCell ref="T19:V19"/>
    <mergeCell ref="N18:V18"/>
    <mergeCell ref="F21:G21"/>
    <mergeCell ref="F23:G23"/>
    <mergeCell ref="F33:G33"/>
    <mergeCell ref="F29:G29"/>
    <mergeCell ref="F35:G35"/>
    <mergeCell ref="E21:E29"/>
    <mergeCell ref="F22:G22"/>
  </mergeCells>
  <conditionalFormatting sqref="P21">
    <cfRule type="cellIs" dxfId="74" priority="271" stopIfTrue="1" operator="equal">
      <formula>"ì"</formula>
    </cfRule>
    <cfRule type="cellIs" dxfId="73" priority="272" stopIfTrue="1" operator="equal">
      <formula>"î"</formula>
    </cfRule>
    <cfRule type="cellIs" dxfId="72" priority="273" stopIfTrue="1" operator="equal">
      <formula>"è"</formula>
    </cfRule>
  </conditionalFormatting>
  <conditionalFormatting sqref="V24:V26 S24:S26 S28 V28">
    <cfRule type="cellIs" dxfId="71" priority="295" stopIfTrue="1" operator="equal">
      <formula>"ì"</formula>
    </cfRule>
    <cfRule type="cellIs" dxfId="70" priority="296" stopIfTrue="1" operator="equal">
      <formula>"î"</formula>
    </cfRule>
    <cfRule type="cellIs" dxfId="69" priority="297" stopIfTrue="1" operator="equal">
      <formula>"è"</formula>
    </cfRule>
  </conditionalFormatting>
  <conditionalFormatting sqref="P24:P26 P28">
    <cfRule type="cellIs" dxfId="68" priority="253" stopIfTrue="1" operator="equal">
      <formula>"ì"</formula>
    </cfRule>
    <cfRule type="cellIs" dxfId="67" priority="254" stopIfTrue="1" operator="equal">
      <formula>"î"</formula>
    </cfRule>
    <cfRule type="cellIs" dxfId="66" priority="255" stopIfTrue="1" operator="equal">
      <formula>"è"</formula>
    </cfRule>
  </conditionalFormatting>
  <conditionalFormatting sqref="S27">
    <cfRule type="cellIs" dxfId="65" priority="91" stopIfTrue="1" operator="equal">
      <formula>"ì"</formula>
    </cfRule>
    <cfRule type="cellIs" dxfId="64" priority="92" stopIfTrue="1" operator="equal">
      <formula>"î"</formula>
    </cfRule>
    <cfRule type="cellIs" dxfId="63" priority="93" stopIfTrue="1" operator="equal">
      <formula>"è"</formula>
    </cfRule>
  </conditionalFormatting>
  <conditionalFormatting sqref="V27">
    <cfRule type="cellIs" dxfId="62" priority="88" stopIfTrue="1" operator="equal">
      <formula>"ì"</formula>
    </cfRule>
    <cfRule type="cellIs" dxfId="61" priority="89" stopIfTrue="1" operator="equal">
      <formula>"î"</formula>
    </cfRule>
    <cfRule type="cellIs" dxfId="60" priority="90" stopIfTrue="1" operator="equal">
      <formula>"è"</formula>
    </cfRule>
  </conditionalFormatting>
  <conditionalFormatting sqref="P27">
    <cfRule type="cellIs" dxfId="59" priority="85" stopIfTrue="1" operator="equal">
      <formula>"ì"</formula>
    </cfRule>
    <cfRule type="cellIs" dxfId="58" priority="86" stopIfTrue="1" operator="equal">
      <formula>"î"</formula>
    </cfRule>
    <cfRule type="cellIs" dxfId="57" priority="87" stopIfTrue="1" operator="equal">
      <formula>"è"</formula>
    </cfRule>
  </conditionalFormatting>
  <conditionalFormatting sqref="S29">
    <cfRule type="cellIs" dxfId="56" priority="82" stopIfTrue="1" operator="equal">
      <formula>"ì"</formula>
    </cfRule>
    <cfRule type="cellIs" dxfId="55" priority="83" stopIfTrue="1" operator="equal">
      <formula>"î"</formula>
    </cfRule>
    <cfRule type="cellIs" dxfId="54" priority="84" stopIfTrue="1" operator="equal">
      <formula>"è"</formula>
    </cfRule>
  </conditionalFormatting>
  <conditionalFormatting sqref="V29">
    <cfRule type="cellIs" dxfId="53" priority="79" stopIfTrue="1" operator="equal">
      <formula>"ì"</formula>
    </cfRule>
    <cfRule type="cellIs" dxfId="52" priority="80" stopIfTrue="1" operator="equal">
      <formula>"î"</formula>
    </cfRule>
    <cfRule type="cellIs" dxfId="51" priority="81" stopIfTrue="1" operator="equal">
      <formula>"è"</formula>
    </cfRule>
  </conditionalFormatting>
  <conditionalFormatting sqref="P29">
    <cfRule type="cellIs" dxfId="50" priority="76" stopIfTrue="1" operator="equal">
      <formula>"ì"</formula>
    </cfRule>
    <cfRule type="cellIs" dxfId="49" priority="77" stopIfTrue="1" operator="equal">
      <formula>"î"</formula>
    </cfRule>
    <cfRule type="cellIs" dxfId="48" priority="78" stopIfTrue="1" operator="equal">
      <formula>"è"</formula>
    </cfRule>
  </conditionalFormatting>
  <conditionalFormatting sqref="S31">
    <cfRule type="cellIs" dxfId="47" priority="73" stopIfTrue="1" operator="equal">
      <formula>"ì"</formula>
    </cfRule>
    <cfRule type="cellIs" dxfId="46" priority="74" stopIfTrue="1" operator="equal">
      <formula>"î"</formula>
    </cfRule>
    <cfRule type="cellIs" dxfId="45" priority="75" stopIfTrue="1" operator="equal">
      <formula>"è"</formula>
    </cfRule>
  </conditionalFormatting>
  <conditionalFormatting sqref="V31">
    <cfRule type="cellIs" dxfId="44" priority="70" stopIfTrue="1" operator="equal">
      <formula>"ì"</formula>
    </cfRule>
    <cfRule type="cellIs" dxfId="43" priority="71" stopIfTrue="1" operator="equal">
      <formula>"î"</formula>
    </cfRule>
    <cfRule type="cellIs" dxfId="42" priority="72" stopIfTrue="1" operator="equal">
      <formula>"è"</formula>
    </cfRule>
  </conditionalFormatting>
  <conditionalFormatting sqref="P31">
    <cfRule type="cellIs" dxfId="41" priority="67" stopIfTrue="1" operator="equal">
      <formula>"ì"</formula>
    </cfRule>
    <cfRule type="cellIs" dxfId="40" priority="68" stopIfTrue="1" operator="equal">
      <formula>"î"</formula>
    </cfRule>
    <cfRule type="cellIs" dxfId="39" priority="69" stopIfTrue="1" operator="equal">
      <formula>"è"</formula>
    </cfRule>
  </conditionalFormatting>
  <conditionalFormatting sqref="S33">
    <cfRule type="cellIs" dxfId="38" priority="46" stopIfTrue="1" operator="equal">
      <formula>"ì"</formula>
    </cfRule>
    <cfRule type="cellIs" dxfId="37" priority="47" stopIfTrue="1" operator="equal">
      <formula>"î"</formula>
    </cfRule>
    <cfRule type="cellIs" dxfId="36" priority="48" stopIfTrue="1" operator="equal">
      <formula>"è"</formula>
    </cfRule>
  </conditionalFormatting>
  <conditionalFormatting sqref="V33">
    <cfRule type="cellIs" dxfId="35" priority="43" stopIfTrue="1" operator="equal">
      <formula>"ì"</formula>
    </cfRule>
    <cfRule type="cellIs" dxfId="34" priority="44" stopIfTrue="1" operator="equal">
      <formula>"î"</formula>
    </cfRule>
    <cfRule type="cellIs" dxfId="33" priority="45" stopIfTrue="1" operator="equal">
      <formula>"è"</formula>
    </cfRule>
  </conditionalFormatting>
  <conditionalFormatting sqref="P33">
    <cfRule type="cellIs" dxfId="32" priority="40" stopIfTrue="1" operator="equal">
      <formula>"ì"</formula>
    </cfRule>
    <cfRule type="cellIs" dxfId="31" priority="41" stopIfTrue="1" operator="equal">
      <formula>"î"</formula>
    </cfRule>
    <cfRule type="cellIs" dxfId="30" priority="42" stopIfTrue="1" operator="equal">
      <formula>"è"</formula>
    </cfRule>
  </conditionalFormatting>
  <conditionalFormatting sqref="S37">
    <cfRule type="cellIs" dxfId="29" priority="28" stopIfTrue="1" operator="equal">
      <formula>"ì"</formula>
    </cfRule>
    <cfRule type="cellIs" dxfId="28" priority="29" stopIfTrue="1" operator="equal">
      <formula>"î"</formula>
    </cfRule>
    <cfRule type="cellIs" dxfId="27" priority="30" stopIfTrue="1" operator="equal">
      <formula>"è"</formula>
    </cfRule>
  </conditionalFormatting>
  <conditionalFormatting sqref="V37">
    <cfRule type="cellIs" dxfId="26" priority="25" stopIfTrue="1" operator="equal">
      <formula>"ì"</formula>
    </cfRule>
    <cfRule type="cellIs" dxfId="25" priority="26" stopIfTrue="1" operator="equal">
      <formula>"î"</formula>
    </cfRule>
    <cfRule type="cellIs" dxfId="24" priority="27" stopIfTrue="1" operator="equal">
      <formula>"è"</formula>
    </cfRule>
  </conditionalFormatting>
  <conditionalFormatting sqref="P37">
    <cfRule type="cellIs" dxfId="23" priority="22" stopIfTrue="1" operator="equal">
      <formula>"ì"</formula>
    </cfRule>
    <cfRule type="cellIs" dxfId="22" priority="23" stopIfTrue="1" operator="equal">
      <formula>"î"</formula>
    </cfRule>
    <cfRule type="cellIs" dxfId="21" priority="24" stopIfTrue="1" operator="equal">
      <formula>"è"</formula>
    </cfRule>
  </conditionalFormatting>
  <conditionalFormatting sqref="S23">
    <cfRule type="cellIs" dxfId="20" priority="19" stopIfTrue="1" operator="equal">
      <formula>"ì"</formula>
    </cfRule>
    <cfRule type="cellIs" dxfId="19" priority="20" stopIfTrue="1" operator="equal">
      <formula>"î"</formula>
    </cfRule>
    <cfRule type="cellIs" dxfId="18" priority="21" stopIfTrue="1" operator="equal">
      <formula>"è"</formula>
    </cfRule>
  </conditionalFormatting>
  <conditionalFormatting sqref="V23">
    <cfRule type="cellIs" dxfId="17" priority="16" stopIfTrue="1" operator="equal">
      <formula>"ì"</formula>
    </cfRule>
    <cfRule type="cellIs" dxfId="16" priority="17" stopIfTrue="1" operator="equal">
      <formula>"î"</formula>
    </cfRule>
    <cfRule type="cellIs" dxfId="15" priority="18" stopIfTrue="1" operator="equal">
      <formula>"è"</formula>
    </cfRule>
  </conditionalFormatting>
  <conditionalFormatting sqref="P23">
    <cfRule type="cellIs" dxfId="14" priority="13" stopIfTrue="1" operator="equal">
      <formula>"ì"</formula>
    </cfRule>
    <cfRule type="cellIs" dxfId="13" priority="14" stopIfTrue="1" operator="equal">
      <formula>"î"</formula>
    </cfRule>
    <cfRule type="cellIs" dxfId="12" priority="15" stopIfTrue="1" operator="equal">
      <formula>"è"</formula>
    </cfRule>
  </conditionalFormatting>
  <conditionalFormatting sqref="V34:V35 S34:S35">
    <cfRule type="cellIs" dxfId="11" priority="10" stopIfTrue="1" operator="equal">
      <formula>"ì"</formula>
    </cfRule>
    <cfRule type="cellIs" dxfId="10" priority="11" stopIfTrue="1" operator="equal">
      <formula>"î"</formula>
    </cfRule>
    <cfRule type="cellIs" dxfId="9" priority="12" stopIfTrue="1" operator="equal">
      <formula>"è"</formula>
    </cfRule>
  </conditionalFormatting>
  <conditionalFormatting sqref="P34:P35">
    <cfRule type="cellIs" dxfId="8" priority="7" stopIfTrue="1" operator="equal">
      <formula>"ì"</formula>
    </cfRule>
    <cfRule type="cellIs" dxfId="7" priority="8" stopIfTrue="1" operator="equal">
      <formula>"î"</formula>
    </cfRule>
    <cfRule type="cellIs" dxfId="6" priority="9" stopIfTrue="1" operator="equal">
      <formula>"è"</formula>
    </cfRule>
  </conditionalFormatting>
  <conditionalFormatting sqref="S21">
    <cfRule type="cellIs" dxfId="5" priority="4" stopIfTrue="1" operator="equal">
      <formula>"ì"</formula>
    </cfRule>
    <cfRule type="cellIs" dxfId="4" priority="5" stopIfTrue="1" operator="equal">
      <formula>"î"</formula>
    </cfRule>
    <cfRule type="cellIs" dxfId="3" priority="6" stopIfTrue="1" operator="equal">
      <formula>"è"</formula>
    </cfRule>
  </conditionalFormatting>
  <conditionalFormatting sqref="V21">
    <cfRule type="cellIs" dxfId="2" priority="1" stopIfTrue="1" operator="equal">
      <formula>"ì"</formula>
    </cfRule>
    <cfRule type="cellIs" dxfId="1" priority="2" stopIfTrue="1" operator="equal">
      <formula>"î"</formula>
    </cfRule>
    <cfRule type="cellIs" dxfId="0" priority="3" stopIfTrue="1" operator="equal">
      <formula>"è"</formula>
    </cfRule>
  </conditionalFormatting>
  <dataValidations count="1">
    <dataValidation type="list" allowBlank="1" showInputMessage="1" showErrorMessage="1" sqref="G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2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1409700</xdr:colOff>
                <xdr:row>12</xdr:row>
                <xdr:rowOff>66675</xdr:rowOff>
              </from>
              <to>
                <xdr:col>11</xdr:col>
                <xdr:colOff>66675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50</v>
      </c>
    </row>
    <row r="2" spans="1:1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Driving</vt:lpstr>
      <vt:lpstr>{PL}PickLst</vt:lpstr>
      <vt:lpstr>ActualBudget</vt:lpstr>
      <vt:lpstr>ActualForecast</vt:lpstr>
      <vt:lpstr>ActualMonth</vt:lpstr>
      <vt:lpstr>ActualYear</vt:lpstr>
      <vt:lpstr>AutoFit</vt:lpstr>
      <vt:lpstr>Driving!AutoRefresh_PL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Driving!Print_Area</vt:lpstr>
      <vt:lpstr>Driving!Print_Titles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de LANGLOIS, Astrid</cp:lastModifiedBy>
  <cp:lastPrinted>2017-03-02T13:53:23Z</cp:lastPrinted>
  <dcterms:created xsi:type="dcterms:W3CDTF">2016-02-23T13:35:31Z</dcterms:created>
  <dcterms:modified xsi:type="dcterms:W3CDTF">2020-03-11T14:27:25Z</dcterms:modified>
</cp:coreProperties>
</file>