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60" windowWidth="19890" windowHeight="7395" tabRatio="766" firstSheet="1" activeTab="1"/>
  </bookViews>
  <sheets>
    <sheet name="BDD" sheetId="24" state="hidden" r:id="rId1"/>
    <sheet name="PLDestination" sheetId="21" r:id="rId2"/>
    <sheet name="PLNature_Vector" sheetId="23" r:id="rId3"/>
    <sheet name="Synthesis" sheetId="20" r:id="rId4"/>
    <sheet name="Delta Vector per entity" sheetId="27" r:id="rId5"/>
    <sheet name="KPI" sheetId="18" r:id="rId6"/>
  </sheets>
  <externalReferences>
    <externalReference r:id="rId7"/>
  </externalReferences>
  <definedNames>
    <definedName name="_Order1" hidden="1">255</definedName>
    <definedName name="_Order2" hidden="1">255</definedName>
    <definedName name="Actual_Month">BDD!$B$1</definedName>
    <definedName name="Liste_Indic">#REF!</definedName>
    <definedName name="Litse_indic_old">OFFSET('[1]Ecarts Données Locales'!$B$21,0,0,COUNTA('[1]Ecarts Données Locales'!$B$21:$B$185)+1,1)</definedName>
    <definedName name="TM1REBUILDOPTION">0</definedName>
    <definedName name="TM1RPTDATARNG1" localSheetId="5">KPI!$21:$235</definedName>
    <definedName name="TM1RPTDATARNG1" localSheetId="1">PLDestination!$22:$22</definedName>
    <definedName name="TM1RPTDATARNG1" localSheetId="2">PLNature_Vector!$22:$22</definedName>
    <definedName name="TM1RPTDATARNG1" localSheetId="3">Synthesis!$21:$21</definedName>
    <definedName name="TM1RPTDATARNG3" localSheetId="4">'Delta Vector per entity'!$22:$22</definedName>
    <definedName name="TM1RPTFMTIDCOL" localSheetId="4">'Delta Vector per entity'!$A$1:$A$8</definedName>
    <definedName name="TM1RPTFMTIDCOL" localSheetId="5">KPI!$A$1:$A$8</definedName>
    <definedName name="TM1RPTFMTIDCOL" localSheetId="1">PLDestination!$A$1:$A$8</definedName>
    <definedName name="TM1RPTFMTIDCOL" localSheetId="2">PLNature_Vector!$A$1:$A$8</definedName>
    <definedName name="TM1RPTFMTIDCOL" localSheetId="3">Synthesis!$A$1:$A$8</definedName>
    <definedName name="TM1RPTFMTRNG" localSheetId="4">'Delta Vector per entity'!$C$1:$F$8</definedName>
    <definedName name="TM1RPTFMTRNG" localSheetId="5">KPI!$B$1:$J$8</definedName>
    <definedName name="TM1RPTFMTRNG" localSheetId="1">PLDestination!$B$1:$N$8</definedName>
    <definedName name="TM1RPTFMTRNG" localSheetId="2">PLNature_Vector!$B$1:$N$8</definedName>
    <definedName name="TM1RPTFMTRNG" localSheetId="3">Synthesis!$B$1:$N$8</definedName>
    <definedName name="Zone" localSheetId="1">PLDestination!$D$14</definedName>
    <definedName name="Zone" localSheetId="2">PLNature_Vector!$D$14</definedName>
    <definedName name="Zone" localSheetId="3">Synthesis!$D$14</definedName>
    <definedName name="Zone_English">#REF!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A235" i="18" l="1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B9" i="18"/>
  <c r="E11" i="18"/>
  <c r="E12" i="18"/>
  <c r="E13" i="18"/>
  <c r="E14" i="18"/>
  <c r="E15" i="18"/>
  <c r="E16" i="18"/>
  <c r="J235" i="18"/>
  <c r="I235" i="18"/>
  <c r="H235" i="18"/>
  <c r="G235" i="18"/>
  <c r="F235" i="18"/>
  <c r="E235" i="18"/>
  <c r="D235" i="18"/>
  <c r="E17" i="18"/>
  <c r="C235" i="18"/>
  <c r="J234" i="18"/>
  <c r="I234" i="18"/>
  <c r="H234" i="18"/>
  <c r="G234" i="18"/>
  <c r="F234" i="18"/>
  <c r="E234" i="18"/>
  <c r="D234" i="18"/>
  <c r="C234" i="18"/>
  <c r="J233" i="18"/>
  <c r="I233" i="18"/>
  <c r="H233" i="18"/>
  <c r="G233" i="18"/>
  <c r="F233" i="18"/>
  <c r="E233" i="18"/>
  <c r="D233" i="18"/>
  <c r="C233" i="18"/>
  <c r="J232" i="18"/>
  <c r="I232" i="18"/>
  <c r="H232" i="18"/>
  <c r="G232" i="18"/>
  <c r="F232" i="18"/>
  <c r="E232" i="18"/>
  <c r="D232" i="18"/>
  <c r="C232" i="18"/>
  <c r="J231" i="18"/>
  <c r="I231" i="18"/>
  <c r="H231" i="18"/>
  <c r="G231" i="18"/>
  <c r="F231" i="18"/>
  <c r="E231" i="18"/>
  <c r="D231" i="18"/>
  <c r="C231" i="18"/>
  <c r="J230" i="18"/>
  <c r="I230" i="18"/>
  <c r="H230" i="18"/>
  <c r="G230" i="18"/>
  <c r="F230" i="18"/>
  <c r="E230" i="18"/>
  <c r="D230" i="18"/>
  <c r="C230" i="18"/>
  <c r="J229" i="18"/>
  <c r="I229" i="18"/>
  <c r="H229" i="18"/>
  <c r="G229" i="18"/>
  <c r="F229" i="18"/>
  <c r="E229" i="18"/>
  <c r="D229" i="18"/>
  <c r="C229" i="18"/>
  <c r="J228" i="18"/>
  <c r="I228" i="18"/>
  <c r="H228" i="18"/>
  <c r="G228" i="18"/>
  <c r="F228" i="18"/>
  <c r="E228" i="18"/>
  <c r="D228" i="18"/>
  <c r="C228" i="18"/>
  <c r="J227" i="18"/>
  <c r="I227" i="18"/>
  <c r="H227" i="18"/>
  <c r="G227" i="18"/>
  <c r="F227" i="18"/>
  <c r="E227" i="18"/>
  <c r="D227" i="18"/>
  <c r="C227" i="18"/>
  <c r="J226" i="18"/>
  <c r="I226" i="18"/>
  <c r="H226" i="18"/>
  <c r="G226" i="18"/>
  <c r="F226" i="18"/>
  <c r="E226" i="18"/>
  <c r="D226" i="18"/>
  <c r="C226" i="18"/>
  <c r="J225" i="18"/>
  <c r="I225" i="18"/>
  <c r="H225" i="18"/>
  <c r="G225" i="18"/>
  <c r="F225" i="18"/>
  <c r="E225" i="18"/>
  <c r="D225" i="18"/>
  <c r="C225" i="18"/>
  <c r="J224" i="18"/>
  <c r="I224" i="18"/>
  <c r="H224" i="18"/>
  <c r="G224" i="18"/>
  <c r="F224" i="18"/>
  <c r="E224" i="18"/>
  <c r="D224" i="18"/>
  <c r="C224" i="18"/>
  <c r="J223" i="18"/>
  <c r="I223" i="18"/>
  <c r="H223" i="18"/>
  <c r="G223" i="18"/>
  <c r="F223" i="18"/>
  <c r="E223" i="18"/>
  <c r="D223" i="18"/>
  <c r="C223" i="18"/>
  <c r="J222" i="18"/>
  <c r="I222" i="18"/>
  <c r="H222" i="18"/>
  <c r="G222" i="18"/>
  <c r="F222" i="18"/>
  <c r="E222" i="18"/>
  <c r="D222" i="18"/>
  <c r="C222" i="18"/>
  <c r="J221" i="18"/>
  <c r="I221" i="18"/>
  <c r="H221" i="18"/>
  <c r="G221" i="18"/>
  <c r="F221" i="18"/>
  <c r="E221" i="18"/>
  <c r="D221" i="18"/>
  <c r="C221" i="18"/>
  <c r="J220" i="18"/>
  <c r="I220" i="18"/>
  <c r="H220" i="18"/>
  <c r="G220" i="18"/>
  <c r="F220" i="18"/>
  <c r="E220" i="18"/>
  <c r="D220" i="18"/>
  <c r="C220" i="18"/>
  <c r="J219" i="18"/>
  <c r="I219" i="18"/>
  <c r="H219" i="18"/>
  <c r="G219" i="18"/>
  <c r="F219" i="18"/>
  <c r="E219" i="18"/>
  <c r="D219" i="18"/>
  <c r="C219" i="18"/>
  <c r="J218" i="18"/>
  <c r="I218" i="18"/>
  <c r="H218" i="18"/>
  <c r="G218" i="18"/>
  <c r="F218" i="18"/>
  <c r="E218" i="18"/>
  <c r="D218" i="18"/>
  <c r="C218" i="18"/>
  <c r="J217" i="18"/>
  <c r="I217" i="18"/>
  <c r="H217" i="18"/>
  <c r="G217" i="18"/>
  <c r="F217" i="18"/>
  <c r="E217" i="18"/>
  <c r="D217" i="18"/>
  <c r="C217" i="18"/>
  <c r="J216" i="18"/>
  <c r="I216" i="18"/>
  <c r="H216" i="18"/>
  <c r="G216" i="18"/>
  <c r="F216" i="18"/>
  <c r="E216" i="18"/>
  <c r="D216" i="18"/>
  <c r="C216" i="18"/>
  <c r="J215" i="18"/>
  <c r="I215" i="18"/>
  <c r="H215" i="18"/>
  <c r="G215" i="18"/>
  <c r="F215" i="18"/>
  <c r="E215" i="18"/>
  <c r="D215" i="18"/>
  <c r="C215" i="18"/>
  <c r="J214" i="18"/>
  <c r="I214" i="18"/>
  <c r="H214" i="18"/>
  <c r="G214" i="18"/>
  <c r="F214" i="18"/>
  <c r="E214" i="18"/>
  <c r="D214" i="18"/>
  <c r="C214" i="18"/>
  <c r="J213" i="18"/>
  <c r="I213" i="18"/>
  <c r="H213" i="18"/>
  <c r="G213" i="18"/>
  <c r="F213" i="18"/>
  <c r="E213" i="18"/>
  <c r="D213" i="18"/>
  <c r="C213" i="18"/>
  <c r="J212" i="18"/>
  <c r="I212" i="18"/>
  <c r="H212" i="18"/>
  <c r="G212" i="18"/>
  <c r="F212" i="18"/>
  <c r="E212" i="18"/>
  <c r="D212" i="18"/>
  <c r="C212" i="18"/>
  <c r="J211" i="18"/>
  <c r="I211" i="18"/>
  <c r="H211" i="18"/>
  <c r="G211" i="18"/>
  <c r="F211" i="18"/>
  <c r="E211" i="18"/>
  <c r="D211" i="18"/>
  <c r="C211" i="18"/>
  <c r="J210" i="18"/>
  <c r="I210" i="18"/>
  <c r="H210" i="18"/>
  <c r="G210" i="18"/>
  <c r="F210" i="18"/>
  <c r="E210" i="18"/>
  <c r="D210" i="18"/>
  <c r="C210" i="18"/>
  <c r="J209" i="18"/>
  <c r="I209" i="18"/>
  <c r="H209" i="18"/>
  <c r="G209" i="18"/>
  <c r="F209" i="18"/>
  <c r="E209" i="18"/>
  <c r="D209" i="18"/>
  <c r="C209" i="18"/>
  <c r="J208" i="18"/>
  <c r="I208" i="18"/>
  <c r="H208" i="18"/>
  <c r="G208" i="18"/>
  <c r="F208" i="18"/>
  <c r="E208" i="18"/>
  <c r="D208" i="18"/>
  <c r="C208" i="18"/>
  <c r="J207" i="18"/>
  <c r="I207" i="18"/>
  <c r="H207" i="18"/>
  <c r="G207" i="18"/>
  <c r="F207" i="18"/>
  <c r="E207" i="18"/>
  <c r="D207" i="18"/>
  <c r="C207" i="18"/>
  <c r="J206" i="18"/>
  <c r="I206" i="18"/>
  <c r="H206" i="18"/>
  <c r="G206" i="18"/>
  <c r="F206" i="18"/>
  <c r="E206" i="18"/>
  <c r="D206" i="18"/>
  <c r="C206" i="18"/>
  <c r="J205" i="18"/>
  <c r="I205" i="18"/>
  <c r="H205" i="18"/>
  <c r="G205" i="18"/>
  <c r="F205" i="18"/>
  <c r="E205" i="18"/>
  <c r="D205" i="18"/>
  <c r="C205" i="18"/>
  <c r="J204" i="18"/>
  <c r="I204" i="18"/>
  <c r="H204" i="18"/>
  <c r="G204" i="18"/>
  <c r="F204" i="18"/>
  <c r="E204" i="18"/>
  <c r="D204" i="18"/>
  <c r="C204" i="18"/>
  <c r="J203" i="18"/>
  <c r="I203" i="18"/>
  <c r="H203" i="18"/>
  <c r="G203" i="18"/>
  <c r="F203" i="18"/>
  <c r="E203" i="18"/>
  <c r="D203" i="18"/>
  <c r="C203" i="18"/>
  <c r="J202" i="18"/>
  <c r="I202" i="18"/>
  <c r="H202" i="18"/>
  <c r="G202" i="18"/>
  <c r="F202" i="18"/>
  <c r="E202" i="18"/>
  <c r="D202" i="18"/>
  <c r="C202" i="18"/>
  <c r="J201" i="18"/>
  <c r="I201" i="18"/>
  <c r="H201" i="18"/>
  <c r="G201" i="18"/>
  <c r="F201" i="18"/>
  <c r="E201" i="18"/>
  <c r="D201" i="18"/>
  <c r="C201" i="18"/>
  <c r="J200" i="18"/>
  <c r="I200" i="18"/>
  <c r="H200" i="18"/>
  <c r="G200" i="18"/>
  <c r="F200" i="18"/>
  <c r="E200" i="18"/>
  <c r="D200" i="18"/>
  <c r="C200" i="18"/>
  <c r="J199" i="18"/>
  <c r="I199" i="18"/>
  <c r="H199" i="18"/>
  <c r="G199" i="18"/>
  <c r="F199" i="18"/>
  <c r="E199" i="18"/>
  <c r="D199" i="18"/>
  <c r="C199" i="18"/>
  <c r="J198" i="18"/>
  <c r="I198" i="18"/>
  <c r="H198" i="18"/>
  <c r="G198" i="18"/>
  <c r="F198" i="18"/>
  <c r="E198" i="18"/>
  <c r="D198" i="18"/>
  <c r="C198" i="18"/>
  <c r="J197" i="18"/>
  <c r="I197" i="18"/>
  <c r="H197" i="18"/>
  <c r="G197" i="18"/>
  <c r="F197" i="18"/>
  <c r="E197" i="18"/>
  <c r="D197" i="18"/>
  <c r="C197" i="18"/>
  <c r="J196" i="18"/>
  <c r="I196" i="18"/>
  <c r="H196" i="18"/>
  <c r="G196" i="18"/>
  <c r="F196" i="18"/>
  <c r="E196" i="18"/>
  <c r="D196" i="18"/>
  <c r="C196" i="18"/>
  <c r="J195" i="18"/>
  <c r="I195" i="18"/>
  <c r="H195" i="18"/>
  <c r="G195" i="18"/>
  <c r="F195" i="18"/>
  <c r="E195" i="18"/>
  <c r="D195" i="18"/>
  <c r="C195" i="18"/>
  <c r="J194" i="18"/>
  <c r="I194" i="18"/>
  <c r="H194" i="18"/>
  <c r="G194" i="18"/>
  <c r="F194" i="18"/>
  <c r="E194" i="18"/>
  <c r="D194" i="18"/>
  <c r="C194" i="18"/>
  <c r="J193" i="18"/>
  <c r="I193" i="18"/>
  <c r="H193" i="18"/>
  <c r="G193" i="18"/>
  <c r="F193" i="18"/>
  <c r="E193" i="18"/>
  <c r="D193" i="18"/>
  <c r="C193" i="18"/>
  <c r="J192" i="18"/>
  <c r="I192" i="18"/>
  <c r="H192" i="18"/>
  <c r="G192" i="18"/>
  <c r="F192" i="18"/>
  <c r="E192" i="18"/>
  <c r="D192" i="18"/>
  <c r="C192" i="18"/>
  <c r="J191" i="18"/>
  <c r="I191" i="18"/>
  <c r="H191" i="18"/>
  <c r="G191" i="18"/>
  <c r="F191" i="18"/>
  <c r="E191" i="18"/>
  <c r="D191" i="18"/>
  <c r="C191" i="18"/>
  <c r="J190" i="18"/>
  <c r="I190" i="18"/>
  <c r="H190" i="18"/>
  <c r="G190" i="18"/>
  <c r="F190" i="18"/>
  <c r="E190" i="18"/>
  <c r="D190" i="18"/>
  <c r="C190" i="18"/>
  <c r="J189" i="18"/>
  <c r="I189" i="18"/>
  <c r="H189" i="18"/>
  <c r="G189" i="18"/>
  <c r="F189" i="18"/>
  <c r="E189" i="18"/>
  <c r="D189" i="18"/>
  <c r="C189" i="18"/>
  <c r="J188" i="18"/>
  <c r="I188" i="18"/>
  <c r="H188" i="18"/>
  <c r="G188" i="18"/>
  <c r="F188" i="18"/>
  <c r="E188" i="18"/>
  <c r="D188" i="18"/>
  <c r="C188" i="18"/>
  <c r="J187" i="18"/>
  <c r="I187" i="18"/>
  <c r="H187" i="18"/>
  <c r="G187" i="18"/>
  <c r="F187" i="18"/>
  <c r="E187" i="18"/>
  <c r="D187" i="18"/>
  <c r="C187" i="18"/>
  <c r="J186" i="18"/>
  <c r="I186" i="18"/>
  <c r="H186" i="18"/>
  <c r="G186" i="18"/>
  <c r="F186" i="18"/>
  <c r="E186" i="18"/>
  <c r="D186" i="18"/>
  <c r="C186" i="18"/>
  <c r="J185" i="18"/>
  <c r="I185" i="18"/>
  <c r="H185" i="18"/>
  <c r="G185" i="18"/>
  <c r="F185" i="18"/>
  <c r="E185" i="18"/>
  <c r="D185" i="18"/>
  <c r="C185" i="18"/>
  <c r="J184" i="18"/>
  <c r="I184" i="18"/>
  <c r="H184" i="18"/>
  <c r="G184" i="18"/>
  <c r="F184" i="18"/>
  <c r="E184" i="18"/>
  <c r="D184" i="18"/>
  <c r="C184" i="18"/>
  <c r="J183" i="18"/>
  <c r="I183" i="18"/>
  <c r="H183" i="18"/>
  <c r="G183" i="18"/>
  <c r="F183" i="18"/>
  <c r="E183" i="18"/>
  <c r="D183" i="18"/>
  <c r="C183" i="18"/>
  <c r="J182" i="18"/>
  <c r="I182" i="18"/>
  <c r="H182" i="18"/>
  <c r="G182" i="18"/>
  <c r="F182" i="18"/>
  <c r="E182" i="18"/>
  <c r="D182" i="18"/>
  <c r="C182" i="18"/>
  <c r="J181" i="18"/>
  <c r="I181" i="18"/>
  <c r="H181" i="18"/>
  <c r="G181" i="18"/>
  <c r="F181" i="18"/>
  <c r="E181" i="18"/>
  <c r="D181" i="18"/>
  <c r="C181" i="18"/>
  <c r="J180" i="18"/>
  <c r="I180" i="18"/>
  <c r="H180" i="18"/>
  <c r="G180" i="18"/>
  <c r="F180" i="18"/>
  <c r="E180" i="18"/>
  <c r="D180" i="18"/>
  <c r="C180" i="18"/>
  <c r="J179" i="18"/>
  <c r="I179" i="18"/>
  <c r="H179" i="18"/>
  <c r="G179" i="18"/>
  <c r="F179" i="18"/>
  <c r="E179" i="18"/>
  <c r="D179" i="18"/>
  <c r="C179" i="18"/>
  <c r="J178" i="18"/>
  <c r="I178" i="18"/>
  <c r="H178" i="18"/>
  <c r="G178" i="18"/>
  <c r="F178" i="18"/>
  <c r="E178" i="18"/>
  <c r="D178" i="18"/>
  <c r="C178" i="18"/>
  <c r="J177" i="18"/>
  <c r="I177" i="18"/>
  <c r="H177" i="18"/>
  <c r="G177" i="18"/>
  <c r="F177" i="18"/>
  <c r="E177" i="18"/>
  <c r="D177" i="18"/>
  <c r="C177" i="18"/>
  <c r="J176" i="18"/>
  <c r="I176" i="18"/>
  <c r="H176" i="18"/>
  <c r="G176" i="18"/>
  <c r="F176" i="18"/>
  <c r="E176" i="18"/>
  <c r="D176" i="18"/>
  <c r="C176" i="18"/>
  <c r="J175" i="18"/>
  <c r="I175" i="18"/>
  <c r="H175" i="18"/>
  <c r="G175" i="18"/>
  <c r="F175" i="18"/>
  <c r="E175" i="18"/>
  <c r="D175" i="18"/>
  <c r="C175" i="18"/>
  <c r="J174" i="18"/>
  <c r="I174" i="18"/>
  <c r="H174" i="18"/>
  <c r="G174" i="18"/>
  <c r="F174" i="18"/>
  <c r="E174" i="18"/>
  <c r="D174" i="18"/>
  <c r="C174" i="18"/>
  <c r="J173" i="18"/>
  <c r="I173" i="18"/>
  <c r="H173" i="18"/>
  <c r="G173" i="18"/>
  <c r="F173" i="18"/>
  <c r="E173" i="18"/>
  <c r="D173" i="18"/>
  <c r="C173" i="18"/>
  <c r="J172" i="18"/>
  <c r="I172" i="18"/>
  <c r="H172" i="18"/>
  <c r="G172" i="18"/>
  <c r="F172" i="18"/>
  <c r="E172" i="18"/>
  <c r="D172" i="18"/>
  <c r="C172" i="18"/>
  <c r="J171" i="18"/>
  <c r="I171" i="18"/>
  <c r="H171" i="18"/>
  <c r="G171" i="18"/>
  <c r="F171" i="18"/>
  <c r="E171" i="18"/>
  <c r="D171" i="18"/>
  <c r="C171" i="18"/>
  <c r="J170" i="18"/>
  <c r="I170" i="18"/>
  <c r="H170" i="18"/>
  <c r="G170" i="18"/>
  <c r="F170" i="18"/>
  <c r="E170" i="18"/>
  <c r="D170" i="18"/>
  <c r="C170" i="18"/>
  <c r="J169" i="18"/>
  <c r="I169" i="18"/>
  <c r="H169" i="18"/>
  <c r="G169" i="18"/>
  <c r="F169" i="18"/>
  <c r="E169" i="18"/>
  <c r="D169" i="18"/>
  <c r="C169" i="18"/>
  <c r="J168" i="18"/>
  <c r="I168" i="18"/>
  <c r="H168" i="18"/>
  <c r="G168" i="18"/>
  <c r="F168" i="18"/>
  <c r="E168" i="18"/>
  <c r="D168" i="18"/>
  <c r="C168" i="18"/>
  <c r="J167" i="18"/>
  <c r="I167" i="18"/>
  <c r="H167" i="18"/>
  <c r="G167" i="18"/>
  <c r="F167" i="18"/>
  <c r="E167" i="18"/>
  <c r="D167" i="18"/>
  <c r="C167" i="18"/>
  <c r="J166" i="18"/>
  <c r="I166" i="18"/>
  <c r="H166" i="18"/>
  <c r="G166" i="18"/>
  <c r="F166" i="18"/>
  <c r="E166" i="18"/>
  <c r="D166" i="18"/>
  <c r="C166" i="18"/>
  <c r="J165" i="18"/>
  <c r="I165" i="18"/>
  <c r="H165" i="18"/>
  <c r="G165" i="18"/>
  <c r="F165" i="18"/>
  <c r="E165" i="18"/>
  <c r="D165" i="18"/>
  <c r="C165" i="18"/>
  <c r="J164" i="18"/>
  <c r="I164" i="18"/>
  <c r="H164" i="18"/>
  <c r="G164" i="18"/>
  <c r="F164" i="18"/>
  <c r="E164" i="18"/>
  <c r="D164" i="18"/>
  <c r="C164" i="18"/>
  <c r="J163" i="18"/>
  <c r="I163" i="18"/>
  <c r="H163" i="18"/>
  <c r="G163" i="18"/>
  <c r="F163" i="18"/>
  <c r="E163" i="18"/>
  <c r="D163" i="18"/>
  <c r="C163" i="18"/>
  <c r="J162" i="18"/>
  <c r="I162" i="18"/>
  <c r="H162" i="18"/>
  <c r="G162" i="18"/>
  <c r="F162" i="18"/>
  <c r="E162" i="18"/>
  <c r="D162" i="18"/>
  <c r="C162" i="18"/>
  <c r="J161" i="18"/>
  <c r="I161" i="18"/>
  <c r="H161" i="18"/>
  <c r="G161" i="18"/>
  <c r="F161" i="18"/>
  <c r="E161" i="18"/>
  <c r="D161" i="18"/>
  <c r="C161" i="18"/>
  <c r="J160" i="18"/>
  <c r="I160" i="18"/>
  <c r="H160" i="18"/>
  <c r="G160" i="18"/>
  <c r="F160" i="18"/>
  <c r="E160" i="18"/>
  <c r="D160" i="18"/>
  <c r="C160" i="18"/>
  <c r="J159" i="18"/>
  <c r="I159" i="18"/>
  <c r="H159" i="18"/>
  <c r="G159" i="18"/>
  <c r="F159" i="18"/>
  <c r="E159" i="18"/>
  <c r="D159" i="18"/>
  <c r="C159" i="18"/>
  <c r="J158" i="18"/>
  <c r="I158" i="18"/>
  <c r="H158" i="18"/>
  <c r="G158" i="18"/>
  <c r="F158" i="18"/>
  <c r="E158" i="18"/>
  <c r="D158" i="18"/>
  <c r="C158" i="18"/>
  <c r="J157" i="18"/>
  <c r="I157" i="18"/>
  <c r="H157" i="18"/>
  <c r="G157" i="18"/>
  <c r="F157" i="18"/>
  <c r="E157" i="18"/>
  <c r="D157" i="18"/>
  <c r="C157" i="18"/>
  <c r="J156" i="18"/>
  <c r="I156" i="18"/>
  <c r="H156" i="18"/>
  <c r="G156" i="18"/>
  <c r="F156" i="18"/>
  <c r="E156" i="18"/>
  <c r="D156" i="18"/>
  <c r="C156" i="18"/>
  <c r="J155" i="18"/>
  <c r="I155" i="18"/>
  <c r="H155" i="18"/>
  <c r="G155" i="18"/>
  <c r="F155" i="18"/>
  <c r="E155" i="18"/>
  <c r="D155" i="18"/>
  <c r="C155" i="18"/>
  <c r="J154" i="18"/>
  <c r="I154" i="18"/>
  <c r="H154" i="18"/>
  <c r="G154" i="18"/>
  <c r="F154" i="18"/>
  <c r="E154" i="18"/>
  <c r="D154" i="18"/>
  <c r="C154" i="18"/>
  <c r="J153" i="18"/>
  <c r="I153" i="18"/>
  <c r="H153" i="18"/>
  <c r="G153" i="18"/>
  <c r="F153" i="18"/>
  <c r="E153" i="18"/>
  <c r="D153" i="18"/>
  <c r="C153" i="18"/>
  <c r="J152" i="18"/>
  <c r="I152" i="18"/>
  <c r="H152" i="18"/>
  <c r="G152" i="18"/>
  <c r="F152" i="18"/>
  <c r="E152" i="18"/>
  <c r="D152" i="18"/>
  <c r="C152" i="18"/>
  <c r="J151" i="18"/>
  <c r="I151" i="18"/>
  <c r="H151" i="18"/>
  <c r="G151" i="18"/>
  <c r="F151" i="18"/>
  <c r="E151" i="18"/>
  <c r="D151" i="18"/>
  <c r="C151" i="18"/>
  <c r="J150" i="18"/>
  <c r="I150" i="18"/>
  <c r="H150" i="18"/>
  <c r="G150" i="18"/>
  <c r="F150" i="18"/>
  <c r="E150" i="18"/>
  <c r="D150" i="18"/>
  <c r="C150" i="18"/>
  <c r="J149" i="18"/>
  <c r="I149" i="18"/>
  <c r="H149" i="18"/>
  <c r="G149" i="18"/>
  <c r="F149" i="18"/>
  <c r="E149" i="18"/>
  <c r="D149" i="18"/>
  <c r="C149" i="18"/>
  <c r="J148" i="18"/>
  <c r="I148" i="18"/>
  <c r="H148" i="18"/>
  <c r="G148" i="18"/>
  <c r="F148" i="18"/>
  <c r="E148" i="18"/>
  <c r="D148" i="18"/>
  <c r="C148" i="18"/>
  <c r="J147" i="18"/>
  <c r="I147" i="18"/>
  <c r="H147" i="18"/>
  <c r="G147" i="18"/>
  <c r="F147" i="18"/>
  <c r="E147" i="18"/>
  <c r="D147" i="18"/>
  <c r="C147" i="18"/>
  <c r="J146" i="18"/>
  <c r="I146" i="18"/>
  <c r="H146" i="18"/>
  <c r="G146" i="18"/>
  <c r="F146" i="18"/>
  <c r="E146" i="18"/>
  <c r="D146" i="18"/>
  <c r="C146" i="18"/>
  <c r="J145" i="18"/>
  <c r="I145" i="18"/>
  <c r="H145" i="18"/>
  <c r="G145" i="18"/>
  <c r="F145" i="18"/>
  <c r="E145" i="18"/>
  <c r="D145" i="18"/>
  <c r="C145" i="18"/>
  <c r="J144" i="18"/>
  <c r="I144" i="18"/>
  <c r="H144" i="18"/>
  <c r="G144" i="18"/>
  <c r="F144" i="18"/>
  <c r="E144" i="18"/>
  <c r="D144" i="18"/>
  <c r="C144" i="18"/>
  <c r="J143" i="18"/>
  <c r="I143" i="18"/>
  <c r="H143" i="18"/>
  <c r="G143" i="18"/>
  <c r="F143" i="18"/>
  <c r="E143" i="18"/>
  <c r="D143" i="18"/>
  <c r="C143" i="18"/>
  <c r="J142" i="18"/>
  <c r="I142" i="18"/>
  <c r="H142" i="18"/>
  <c r="G142" i="18"/>
  <c r="F142" i="18"/>
  <c r="E142" i="18"/>
  <c r="D142" i="18"/>
  <c r="C142" i="18"/>
  <c r="J141" i="18"/>
  <c r="I141" i="18"/>
  <c r="H141" i="18"/>
  <c r="G141" i="18"/>
  <c r="F141" i="18"/>
  <c r="E141" i="18"/>
  <c r="D141" i="18"/>
  <c r="C141" i="18"/>
  <c r="J140" i="18"/>
  <c r="I140" i="18"/>
  <c r="H140" i="18"/>
  <c r="G140" i="18"/>
  <c r="F140" i="18"/>
  <c r="E140" i="18"/>
  <c r="D140" i="18"/>
  <c r="C140" i="18"/>
  <c r="J139" i="18"/>
  <c r="I139" i="18"/>
  <c r="H139" i="18"/>
  <c r="G139" i="18"/>
  <c r="F139" i="18"/>
  <c r="E139" i="18"/>
  <c r="D139" i="18"/>
  <c r="C139" i="18"/>
  <c r="J138" i="18"/>
  <c r="I138" i="18"/>
  <c r="H138" i="18"/>
  <c r="G138" i="18"/>
  <c r="F138" i="18"/>
  <c r="E138" i="18"/>
  <c r="D138" i="18"/>
  <c r="C138" i="18"/>
  <c r="J137" i="18"/>
  <c r="I137" i="18"/>
  <c r="H137" i="18"/>
  <c r="G137" i="18"/>
  <c r="F137" i="18"/>
  <c r="E137" i="18"/>
  <c r="D137" i="18"/>
  <c r="C137" i="18"/>
  <c r="J136" i="18"/>
  <c r="I136" i="18"/>
  <c r="H136" i="18"/>
  <c r="G136" i="18"/>
  <c r="F136" i="18"/>
  <c r="E136" i="18"/>
  <c r="D136" i="18"/>
  <c r="C136" i="18"/>
  <c r="J135" i="18"/>
  <c r="I135" i="18"/>
  <c r="H135" i="18"/>
  <c r="G135" i="18"/>
  <c r="F135" i="18"/>
  <c r="E135" i="18"/>
  <c r="D135" i="18"/>
  <c r="C135" i="18"/>
  <c r="J134" i="18"/>
  <c r="I134" i="18"/>
  <c r="H134" i="18"/>
  <c r="G134" i="18"/>
  <c r="F134" i="18"/>
  <c r="E134" i="18"/>
  <c r="D134" i="18"/>
  <c r="C134" i="18"/>
  <c r="J133" i="18"/>
  <c r="I133" i="18"/>
  <c r="H133" i="18"/>
  <c r="G133" i="18"/>
  <c r="F133" i="18"/>
  <c r="E133" i="18"/>
  <c r="D133" i="18"/>
  <c r="C133" i="18"/>
  <c r="J132" i="18"/>
  <c r="I132" i="18"/>
  <c r="H132" i="18"/>
  <c r="G132" i="18"/>
  <c r="F132" i="18"/>
  <c r="E132" i="18"/>
  <c r="D132" i="18"/>
  <c r="C132" i="18"/>
  <c r="J131" i="18"/>
  <c r="I131" i="18"/>
  <c r="H131" i="18"/>
  <c r="G131" i="18"/>
  <c r="F131" i="18"/>
  <c r="E131" i="18"/>
  <c r="D131" i="18"/>
  <c r="C131" i="18"/>
  <c r="J130" i="18"/>
  <c r="I130" i="18"/>
  <c r="H130" i="18"/>
  <c r="G130" i="18"/>
  <c r="F130" i="18"/>
  <c r="E130" i="18"/>
  <c r="D130" i="18"/>
  <c r="C130" i="18"/>
  <c r="J129" i="18"/>
  <c r="I129" i="18"/>
  <c r="H129" i="18"/>
  <c r="G129" i="18"/>
  <c r="F129" i="18"/>
  <c r="E129" i="18"/>
  <c r="D129" i="18"/>
  <c r="C129" i="18"/>
  <c r="J128" i="18"/>
  <c r="I128" i="18"/>
  <c r="H128" i="18"/>
  <c r="G128" i="18"/>
  <c r="F128" i="18"/>
  <c r="E128" i="18"/>
  <c r="D128" i="18"/>
  <c r="C128" i="18"/>
  <c r="J127" i="18"/>
  <c r="I127" i="18"/>
  <c r="H127" i="18"/>
  <c r="G127" i="18"/>
  <c r="F127" i="18"/>
  <c r="E127" i="18"/>
  <c r="D127" i="18"/>
  <c r="C127" i="18"/>
  <c r="J126" i="18"/>
  <c r="I126" i="18"/>
  <c r="H126" i="18"/>
  <c r="G126" i="18"/>
  <c r="F126" i="18"/>
  <c r="E126" i="18"/>
  <c r="D126" i="18"/>
  <c r="C126" i="18"/>
  <c r="J125" i="18"/>
  <c r="I125" i="18"/>
  <c r="H125" i="18"/>
  <c r="G125" i="18"/>
  <c r="F125" i="18"/>
  <c r="E125" i="18"/>
  <c r="D125" i="18"/>
  <c r="C125" i="18"/>
  <c r="J124" i="18"/>
  <c r="I124" i="18"/>
  <c r="H124" i="18"/>
  <c r="G124" i="18"/>
  <c r="F124" i="18"/>
  <c r="E124" i="18"/>
  <c r="D124" i="18"/>
  <c r="C124" i="18"/>
  <c r="J123" i="18"/>
  <c r="I123" i="18"/>
  <c r="H123" i="18"/>
  <c r="G123" i="18"/>
  <c r="F123" i="18"/>
  <c r="E123" i="18"/>
  <c r="D123" i="18"/>
  <c r="C123" i="18"/>
  <c r="J122" i="18"/>
  <c r="I122" i="18"/>
  <c r="H122" i="18"/>
  <c r="G122" i="18"/>
  <c r="F122" i="18"/>
  <c r="E122" i="18"/>
  <c r="D122" i="18"/>
  <c r="C122" i="18"/>
  <c r="J121" i="18"/>
  <c r="I121" i="18"/>
  <c r="H121" i="18"/>
  <c r="G121" i="18"/>
  <c r="F121" i="18"/>
  <c r="E121" i="18"/>
  <c r="D121" i="18"/>
  <c r="C121" i="18"/>
  <c r="J120" i="18"/>
  <c r="I120" i="18"/>
  <c r="H120" i="18"/>
  <c r="G120" i="18"/>
  <c r="F120" i="18"/>
  <c r="E120" i="18"/>
  <c r="D120" i="18"/>
  <c r="C120" i="18"/>
  <c r="J119" i="18"/>
  <c r="I119" i="18"/>
  <c r="H119" i="18"/>
  <c r="G119" i="18"/>
  <c r="F119" i="18"/>
  <c r="E119" i="18"/>
  <c r="D119" i="18"/>
  <c r="C119" i="18"/>
  <c r="J118" i="18"/>
  <c r="I118" i="18"/>
  <c r="H118" i="18"/>
  <c r="G118" i="18"/>
  <c r="F118" i="18"/>
  <c r="E118" i="18"/>
  <c r="D118" i="18"/>
  <c r="C118" i="18"/>
  <c r="J117" i="18"/>
  <c r="I117" i="18"/>
  <c r="H117" i="18"/>
  <c r="G117" i="18"/>
  <c r="F117" i="18"/>
  <c r="E117" i="18"/>
  <c r="D117" i="18"/>
  <c r="C117" i="18"/>
  <c r="J116" i="18"/>
  <c r="I116" i="18"/>
  <c r="H116" i="18"/>
  <c r="G116" i="18"/>
  <c r="F116" i="18"/>
  <c r="E116" i="18"/>
  <c r="D116" i="18"/>
  <c r="C116" i="18"/>
  <c r="J115" i="18"/>
  <c r="I115" i="18"/>
  <c r="H115" i="18"/>
  <c r="G115" i="18"/>
  <c r="F115" i="18"/>
  <c r="E115" i="18"/>
  <c r="D115" i="18"/>
  <c r="C115" i="18"/>
  <c r="J114" i="18"/>
  <c r="I114" i="18"/>
  <c r="H114" i="18"/>
  <c r="G114" i="18"/>
  <c r="F114" i="18"/>
  <c r="E114" i="18"/>
  <c r="D114" i="18"/>
  <c r="C114" i="18"/>
  <c r="J113" i="18"/>
  <c r="I113" i="18"/>
  <c r="H113" i="18"/>
  <c r="G113" i="18"/>
  <c r="F113" i="18"/>
  <c r="E113" i="18"/>
  <c r="D113" i="18"/>
  <c r="C113" i="18"/>
  <c r="J112" i="18"/>
  <c r="I112" i="18"/>
  <c r="H112" i="18"/>
  <c r="G112" i="18"/>
  <c r="F112" i="18"/>
  <c r="E112" i="18"/>
  <c r="D112" i="18"/>
  <c r="C112" i="18"/>
  <c r="J111" i="18"/>
  <c r="I111" i="18"/>
  <c r="H111" i="18"/>
  <c r="G111" i="18"/>
  <c r="F111" i="18"/>
  <c r="E111" i="18"/>
  <c r="D111" i="18"/>
  <c r="C111" i="18"/>
  <c r="J110" i="18"/>
  <c r="I110" i="18"/>
  <c r="H110" i="18"/>
  <c r="G110" i="18"/>
  <c r="F110" i="18"/>
  <c r="E110" i="18"/>
  <c r="D110" i="18"/>
  <c r="C110" i="18"/>
  <c r="J109" i="18"/>
  <c r="I109" i="18"/>
  <c r="H109" i="18"/>
  <c r="G109" i="18"/>
  <c r="F109" i="18"/>
  <c r="E109" i="18"/>
  <c r="D109" i="18"/>
  <c r="C109" i="18"/>
  <c r="J108" i="18"/>
  <c r="I108" i="18"/>
  <c r="H108" i="18"/>
  <c r="G108" i="18"/>
  <c r="F108" i="18"/>
  <c r="E108" i="18"/>
  <c r="D108" i="18"/>
  <c r="C108" i="18"/>
  <c r="J107" i="18"/>
  <c r="I107" i="18"/>
  <c r="H107" i="18"/>
  <c r="G107" i="18"/>
  <c r="F107" i="18"/>
  <c r="E107" i="18"/>
  <c r="D107" i="18"/>
  <c r="C107" i="18"/>
  <c r="J106" i="18"/>
  <c r="I106" i="18"/>
  <c r="H106" i="18"/>
  <c r="G106" i="18"/>
  <c r="F106" i="18"/>
  <c r="E106" i="18"/>
  <c r="D106" i="18"/>
  <c r="C106" i="18"/>
  <c r="J105" i="18"/>
  <c r="I105" i="18"/>
  <c r="H105" i="18"/>
  <c r="G105" i="18"/>
  <c r="F105" i="18"/>
  <c r="E105" i="18"/>
  <c r="D105" i="18"/>
  <c r="C105" i="18"/>
  <c r="J104" i="18"/>
  <c r="I104" i="18"/>
  <c r="H104" i="18"/>
  <c r="G104" i="18"/>
  <c r="F104" i="18"/>
  <c r="E104" i="18"/>
  <c r="D104" i="18"/>
  <c r="C104" i="18"/>
  <c r="J103" i="18"/>
  <c r="I103" i="18"/>
  <c r="H103" i="18"/>
  <c r="G103" i="18"/>
  <c r="F103" i="18"/>
  <c r="E103" i="18"/>
  <c r="D103" i="18"/>
  <c r="C103" i="18"/>
  <c r="J102" i="18"/>
  <c r="I102" i="18"/>
  <c r="H102" i="18"/>
  <c r="G102" i="18"/>
  <c r="F102" i="18"/>
  <c r="E102" i="18"/>
  <c r="D102" i="18"/>
  <c r="C102" i="18"/>
  <c r="J101" i="18"/>
  <c r="I101" i="18"/>
  <c r="H101" i="18"/>
  <c r="G101" i="18"/>
  <c r="F101" i="18"/>
  <c r="E101" i="18"/>
  <c r="D101" i="18"/>
  <c r="C101" i="18"/>
  <c r="J100" i="18"/>
  <c r="I100" i="18"/>
  <c r="H100" i="18"/>
  <c r="G100" i="18"/>
  <c r="F100" i="18"/>
  <c r="E100" i="18"/>
  <c r="D100" i="18"/>
  <c r="C100" i="18"/>
  <c r="J99" i="18"/>
  <c r="I99" i="18"/>
  <c r="H99" i="18"/>
  <c r="G99" i="18"/>
  <c r="F99" i="18"/>
  <c r="E99" i="18"/>
  <c r="D99" i="18"/>
  <c r="C99" i="18"/>
  <c r="J98" i="18"/>
  <c r="I98" i="18"/>
  <c r="H98" i="18"/>
  <c r="G98" i="18"/>
  <c r="F98" i="18"/>
  <c r="E98" i="18"/>
  <c r="D98" i="18"/>
  <c r="C98" i="18"/>
  <c r="J97" i="18"/>
  <c r="I97" i="18"/>
  <c r="H97" i="18"/>
  <c r="G97" i="18"/>
  <c r="F97" i="18"/>
  <c r="E97" i="18"/>
  <c r="D97" i="18"/>
  <c r="C97" i="18"/>
  <c r="J96" i="18"/>
  <c r="I96" i="18"/>
  <c r="H96" i="18"/>
  <c r="G96" i="18"/>
  <c r="F96" i="18"/>
  <c r="E96" i="18"/>
  <c r="D96" i="18"/>
  <c r="C96" i="18"/>
  <c r="J95" i="18"/>
  <c r="I95" i="18"/>
  <c r="H95" i="18"/>
  <c r="G95" i="18"/>
  <c r="F95" i="18"/>
  <c r="E95" i="18"/>
  <c r="D95" i="18"/>
  <c r="C95" i="18"/>
  <c r="J94" i="18"/>
  <c r="I94" i="18"/>
  <c r="H94" i="18"/>
  <c r="G94" i="18"/>
  <c r="F94" i="18"/>
  <c r="E94" i="18"/>
  <c r="D94" i="18"/>
  <c r="C94" i="18"/>
  <c r="J93" i="18"/>
  <c r="I93" i="18"/>
  <c r="H93" i="18"/>
  <c r="G93" i="18"/>
  <c r="F93" i="18"/>
  <c r="E93" i="18"/>
  <c r="D93" i="18"/>
  <c r="C93" i="18"/>
  <c r="J92" i="18"/>
  <c r="I92" i="18"/>
  <c r="H92" i="18"/>
  <c r="G92" i="18"/>
  <c r="F92" i="18"/>
  <c r="E92" i="18"/>
  <c r="D92" i="18"/>
  <c r="C92" i="18"/>
  <c r="J91" i="18"/>
  <c r="I91" i="18"/>
  <c r="H91" i="18"/>
  <c r="G91" i="18"/>
  <c r="F91" i="18"/>
  <c r="E91" i="18"/>
  <c r="D91" i="18"/>
  <c r="C91" i="18"/>
  <c r="J90" i="18"/>
  <c r="I90" i="18"/>
  <c r="H90" i="18"/>
  <c r="G90" i="18"/>
  <c r="F90" i="18"/>
  <c r="E90" i="18"/>
  <c r="D90" i="18"/>
  <c r="C90" i="18"/>
  <c r="J89" i="18"/>
  <c r="I89" i="18"/>
  <c r="H89" i="18"/>
  <c r="G89" i="18"/>
  <c r="F89" i="18"/>
  <c r="E89" i="18"/>
  <c r="D89" i="18"/>
  <c r="C89" i="18"/>
  <c r="J88" i="18"/>
  <c r="I88" i="18"/>
  <c r="H88" i="18"/>
  <c r="G88" i="18"/>
  <c r="F88" i="18"/>
  <c r="E88" i="18"/>
  <c r="D88" i="18"/>
  <c r="C88" i="18"/>
  <c r="J87" i="18"/>
  <c r="I87" i="18"/>
  <c r="H87" i="18"/>
  <c r="G87" i="18"/>
  <c r="F87" i="18"/>
  <c r="E87" i="18"/>
  <c r="D87" i="18"/>
  <c r="C87" i="18"/>
  <c r="J86" i="18"/>
  <c r="I86" i="18"/>
  <c r="H86" i="18"/>
  <c r="G86" i="18"/>
  <c r="F86" i="18"/>
  <c r="E86" i="18"/>
  <c r="D86" i="18"/>
  <c r="C86" i="18"/>
  <c r="J85" i="18"/>
  <c r="I85" i="18"/>
  <c r="H85" i="18"/>
  <c r="G85" i="18"/>
  <c r="F85" i="18"/>
  <c r="E85" i="18"/>
  <c r="D85" i="18"/>
  <c r="C85" i="18"/>
  <c r="J84" i="18"/>
  <c r="I84" i="18"/>
  <c r="H84" i="18"/>
  <c r="G84" i="18"/>
  <c r="F84" i="18"/>
  <c r="E84" i="18"/>
  <c r="D84" i="18"/>
  <c r="C84" i="18"/>
  <c r="J83" i="18"/>
  <c r="I83" i="18"/>
  <c r="H83" i="18"/>
  <c r="G83" i="18"/>
  <c r="F83" i="18"/>
  <c r="E83" i="18"/>
  <c r="D83" i="18"/>
  <c r="C83" i="18"/>
  <c r="J82" i="18"/>
  <c r="I82" i="18"/>
  <c r="H82" i="18"/>
  <c r="G82" i="18"/>
  <c r="F82" i="18"/>
  <c r="E82" i="18"/>
  <c r="D82" i="18"/>
  <c r="C82" i="18"/>
  <c r="J81" i="18"/>
  <c r="I81" i="18"/>
  <c r="H81" i="18"/>
  <c r="G81" i="18"/>
  <c r="F81" i="18"/>
  <c r="E81" i="18"/>
  <c r="D81" i="18"/>
  <c r="C81" i="18"/>
  <c r="J80" i="18"/>
  <c r="I80" i="18"/>
  <c r="H80" i="18"/>
  <c r="G80" i="18"/>
  <c r="F80" i="18"/>
  <c r="E80" i="18"/>
  <c r="D80" i="18"/>
  <c r="C80" i="18"/>
  <c r="J79" i="18"/>
  <c r="I79" i="18"/>
  <c r="H79" i="18"/>
  <c r="G79" i="18"/>
  <c r="F79" i="18"/>
  <c r="E79" i="18"/>
  <c r="D79" i="18"/>
  <c r="C79" i="18"/>
  <c r="J78" i="18"/>
  <c r="I78" i="18"/>
  <c r="H78" i="18"/>
  <c r="G78" i="18"/>
  <c r="F78" i="18"/>
  <c r="E78" i="18"/>
  <c r="D78" i="18"/>
  <c r="C78" i="18"/>
  <c r="J77" i="18"/>
  <c r="I77" i="18"/>
  <c r="H77" i="18"/>
  <c r="G77" i="18"/>
  <c r="F77" i="18"/>
  <c r="E77" i="18"/>
  <c r="D77" i="18"/>
  <c r="C77" i="18"/>
  <c r="J76" i="18"/>
  <c r="I76" i="18"/>
  <c r="H76" i="18"/>
  <c r="G76" i="18"/>
  <c r="F76" i="18"/>
  <c r="E76" i="18"/>
  <c r="D76" i="18"/>
  <c r="C76" i="18"/>
  <c r="J75" i="18"/>
  <c r="I75" i="18"/>
  <c r="H75" i="18"/>
  <c r="G75" i="18"/>
  <c r="F75" i="18"/>
  <c r="E75" i="18"/>
  <c r="D75" i="18"/>
  <c r="C75" i="18"/>
  <c r="J74" i="18"/>
  <c r="I74" i="18"/>
  <c r="H74" i="18"/>
  <c r="G74" i="18"/>
  <c r="F74" i="18"/>
  <c r="E74" i="18"/>
  <c r="D74" i="18"/>
  <c r="C74" i="18"/>
  <c r="J73" i="18"/>
  <c r="I73" i="18"/>
  <c r="H73" i="18"/>
  <c r="G73" i="18"/>
  <c r="F73" i="18"/>
  <c r="E73" i="18"/>
  <c r="D73" i="18"/>
  <c r="C73" i="18"/>
  <c r="J72" i="18"/>
  <c r="I72" i="18"/>
  <c r="H72" i="18"/>
  <c r="G72" i="18"/>
  <c r="F72" i="18"/>
  <c r="E72" i="18"/>
  <c r="D72" i="18"/>
  <c r="C72" i="18"/>
  <c r="J71" i="18"/>
  <c r="I71" i="18"/>
  <c r="H71" i="18"/>
  <c r="G71" i="18"/>
  <c r="F71" i="18"/>
  <c r="E71" i="18"/>
  <c r="D71" i="18"/>
  <c r="C71" i="18"/>
  <c r="J70" i="18"/>
  <c r="I70" i="18"/>
  <c r="H70" i="18"/>
  <c r="G70" i="18"/>
  <c r="F70" i="18"/>
  <c r="E70" i="18"/>
  <c r="D70" i="18"/>
  <c r="C70" i="18"/>
  <c r="J69" i="18"/>
  <c r="I69" i="18"/>
  <c r="H69" i="18"/>
  <c r="G69" i="18"/>
  <c r="F69" i="18"/>
  <c r="E69" i="18"/>
  <c r="D69" i="18"/>
  <c r="C69" i="18"/>
  <c r="J68" i="18"/>
  <c r="I68" i="18"/>
  <c r="H68" i="18"/>
  <c r="G68" i="18"/>
  <c r="F68" i="18"/>
  <c r="E68" i="18"/>
  <c r="D68" i="18"/>
  <c r="C68" i="18"/>
  <c r="J67" i="18"/>
  <c r="I67" i="18"/>
  <c r="H67" i="18"/>
  <c r="G67" i="18"/>
  <c r="F67" i="18"/>
  <c r="E67" i="18"/>
  <c r="D67" i="18"/>
  <c r="C67" i="18"/>
  <c r="J66" i="18"/>
  <c r="I66" i="18"/>
  <c r="H66" i="18"/>
  <c r="G66" i="18"/>
  <c r="F66" i="18"/>
  <c r="E66" i="18"/>
  <c r="D66" i="18"/>
  <c r="C66" i="18"/>
  <c r="J65" i="18"/>
  <c r="I65" i="18"/>
  <c r="H65" i="18"/>
  <c r="G65" i="18"/>
  <c r="F65" i="18"/>
  <c r="E65" i="18"/>
  <c r="D65" i="18"/>
  <c r="C65" i="18"/>
  <c r="J64" i="18"/>
  <c r="I64" i="18"/>
  <c r="H64" i="18"/>
  <c r="G64" i="18"/>
  <c r="F64" i="18"/>
  <c r="E64" i="18"/>
  <c r="D64" i="18"/>
  <c r="C64" i="18"/>
  <c r="J63" i="18"/>
  <c r="I63" i="18"/>
  <c r="H63" i="18"/>
  <c r="G63" i="18"/>
  <c r="F63" i="18"/>
  <c r="E63" i="18"/>
  <c r="D63" i="18"/>
  <c r="C63" i="18"/>
  <c r="J62" i="18"/>
  <c r="I62" i="18"/>
  <c r="H62" i="18"/>
  <c r="G62" i="18"/>
  <c r="F62" i="18"/>
  <c r="E62" i="18"/>
  <c r="D62" i="18"/>
  <c r="C62" i="18"/>
  <c r="J61" i="18"/>
  <c r="I61" i="18"/>
  <c r="H61" i="18"/>
  <c r="G61" i="18"/>
  <c r="F61" i="18"/>
  <c r="E61" i="18"/>
  <c r="D61" i="18"/>
  <c r="C61" i="18"/>
  <c r="J60" i="18"/>
  <c r="I60" i="18"/>
  <c r="H60" i="18"/>
  <c r="G60" i="18"/>
  <c r="F60" i="18"/>
  <c r="E60" i="18"/>
  <c r="D60" i="18"/>
  <c r="C60" i="18"/>
  <c r="J59" i="18"/>
  <c r="I59" i="18"/>
  <c r="H59" i="18"/>
  <c r="G59" i="18"/>
  <c r="F59" i="18"/>
  <c r="E59" i="18"/>
  <c r="D59" i="18"/>
  <c r="C59" i="18"/>
  <c r="J58" i="18"/>
  <c r="I58" i="18"/>
  <c r="H58" i="18"/>
  <c r="G58" i="18"/>
  <c r="F58" i="18"/>
  <c r="E58" i="18"/>
  <c r="D58" i="18"/>
  <c r="C58" i="18"/>
  <c r="J57" i="18"/>
  <c r="I57" i="18"/>
  <c r="H57" i="18"/>
  <c r="G57" i="18"/>
  <c r="F57" i="18"/>
  <c r="E57" i="18"/>
  <c r="D57" i="18"/>
  <c r="C57" i="18"/>
  <c r="J56" i="18"/>
  <c r="I56" i="18"/>
  <c r="H56" i="18"/>
  <c r="G56" i="18"/>
  <c r="F56" i="18"/>
  <c r="E56" i="18"/>
  <c r="D56" i="18"/>
  <c r="C56" i="18"/>
  <c r="J55" i="18"/>
  <c r="I55" i="18"/>
  <c r="H55" i="18"/>
  <c r="G55" i="18"/>
  <c r="F55" i="18"/>
  <c r="E55" i="18"/>
  <c r="D55" i="18"/>
  <c r="C55" i="18"/>
  <c r="J54" i="18"/>
  <c r="I54" i="18"/>
  <c r="H54" i="18"/>
  <c r="G54" i="18"/>
  <c r="F54" i="18"/>
  <c r="E54" i="18"/>
  <c r="D54" i="18"/>
  <c r="C54" i="18"/>
  <c r="J53" i="18"/>
  <c r="I53" i="18"/>
  <c r="H53" i="18"/>
  <c r="G53" i="18"/>
  <c r="F53" i="18"/>
  <c r="E53" i="18"/>
  <c r="D53" i="18"/>
  <c r="C53" i="18"/>
  <c r="J52" i="18"/>
  <c r="I52" i="18"/>
  <c r="H52" i="18"/>
  <c r="G52" i="18"/>
  <c r="F52" i="18"/>
  <c r="E52" i="18"/>
  <c r="D52" i="18"/>
  <c r="C52" i="18"/>
  <c r="J51" i="18"/>
  <c r="I51" i="18"/>
  <c r="H51" i="18"/>
  <c r="G51" i="18"/>
  <c r="F51" i="18"/>
  <c r="E51" i="18"/>
  <c r="D51" i="18"/>
  <c r="C51" i="18"/>
  <c r="J50" i="18"/>
  <c r="I50" i="18"/>
  <c r="H50" i="18"/>
  <c r="G50" i="18"/>
  <c r="F50" i="18"/>
  <c r="E50" i="18"/>
  <c r="D50" i="18"/>
  <c r="C50" i="18"/>
  <c r="J49" i="18"/>
  <c r="I49" i="18"/>
  <c r="H49" i="18"/>
  <c r="G49" i="18"/>
  <c r="F49" i="18"/>
  <c r="E49" i="18"/>
  <c r="D49" i="18"/>
  <c r="C49" i="18"/>
  <c r="J48" i="18"/>
  <c r="I48" i="18"/>
  <c r="H48" i="18"/>
  <c r="G48" i="18"/>
  <c r="F48" i="18"/>
  <c r="E48" i="18"/>
  <c r="D48" i="18"/>
  <c r="C48" i="18"/>
  <c r="J47" i="18"/>
  <c r="I47" i="18"/>
  <c r="H47" i="18"/>
  <c r="G47" i="18"/>
  <c r="F47" i="18"/>
  <c r="E47" i="18"/>
  <c r="D47" i="18"/>
  <c r="C47" i="18"/>
  <c r="J46" i="18"/>
  <c r="I46" i="18"/>
  <c r="H46" i="18"/>
  <c r="G46" i="18"/>
  <c r="F46" i="18"/>
  <c r="E46" i="18"/>
  <c r="D46" i="18"/>
  <c r="C46" i="18"/>
  <c r="J45" i="18"/>
  <c r="I45" i="18"/>
  <c r="H45" i="18"/>
  <c r="G45" i="18"/>
  <c r="F45" i="18"/>
  <c r="E45" i="18"/>
  <c r="D45" i="18"/>
  <c r="C45" i="18"/>
  <c r="J44" i="18"/>
  <c r="I44" i="18"/>
  <c r="H44" i="18"/>
  <c r="G44" i="18"/>
  <c r="F44" i="18"/>
  <c r="E44" i="18"/>
  <c r="D44" i="18"/>
  <c r="C44" i="18"/>
  <c r="J43" i="18"/>
  <c r="I43" i="18"/>
  <c r="H43" i="18"/>
  <c r="G43" i="18"/>
  <c r="F43" i="18"/>
  <c r="E43" i="18"/>
  <c r="D43" i="18"/>
  <c r="C43" i="18"/>
  <c r="J42" i="18"/>
  <c r="I42" i="18"/>
  <c r="H42" i="18"/>
  <c r="G42" i="18"/>
  <c r="F42" i="18"/>
  <c r="E42" i="18"/>
  <c r="D42" i="18"/>
  <c r="C42" i="18"/>
  <c r="J41" i="18"/>
  <c r="I41" i="18"/>
  <c r="H41" i="18"/>
  <c r="G41" i="18"/>
  <c r="F41" i="18"/>
  <c r="E41" i="18"/>
  <c r="D41" i="18"/>
  <c r="C41" i="18"/>
  <c r="J40" i="18"/>
  <c r="I40" i="18"/>
  <c r="H40" i="18"/>
  <c r="G40" i="18"/>
  <c r="F40" i="18"/>
  <c r="E40" i="18"/>
  <c r="D40" i="18"/>
  <c r="C40" i="18"/>
  <c r="J39" i="18"/>
  <c r="I39" i="18"/>
  <c r="H39" i="18"/>
  <c r="G39" i="18"/>
  <c r="F39" i="18"/>
  <c r="E39" i="18"/>
  <c r="D39" i="18"/>
  <c r="C39" i="18"/>
  <c r="J38" i="18"/>
  <c r="I38" i="18"/>
  <c r="H38" i="18"/>
  <c r="G38" i="18"/>
  <c r="F38" i="18"/>
  <c r="E38" i="18"/>
  <c r="D38" i="18"/>
  <c r="C38" i="18"/>
  <c r="J37" i="18"/>
  <c r="I37" i="18"/>
  <c r="H37" i="18"/>
  <c r="G37" i="18"/>
  <c r="F37" i="18"/>
  <c r="E37" i="18"/>
  <c r="D37" i="18"/>
  <c r="C37" i="18"/>
  <c r="J36" i="18"/>
  <c r="I36" i="18"/>
  <c r="H36" i="18"/>
  <c r="G36" i="18"/>
  <c r="F36" i="18"/>
  <c r="E36" i="18"/>
  <c r="D36" i="18"/>
  <c r="C36" i="18"/>
  <c r="J35" i="18"/>
  <c r="I35" i="18"/>
  <c r="H35" i="18"/>
  <c r="G35" i="18"/>
  <c r="F35" i="18"/>
  <c r="E35" i="18"/>
  <c r="D35" i="18"/>
  <c r="C35" i="18"/>
  <c r="J34" i="18"/>
  <c r="I34" i="18"/>
  <c r="H34" i="18"/>
  <c r="G34" i="18"/>
  <c r="F34" i="18"/>
  <c r="E34" i="18"/>
  <c r="D34" i="18"/>
  <c r="C34" i="18"/>
  <c r="J33" i="18"/>
  <c r="I33" i="18"/>
  <c r="H33" i="18"/>
  <c r="G33" i="18"/>
  <c r="F33" i="18"/>
  <c r="E33" i="18"/>
  <c r="D33" i="18"/>
  <c r="C33" i="18"/>
  <c r="J32" i="18"/>
  <c r="I32" i="18"/>
  <c r="H32" i="18"/>
  <c r="G32" i="18"/>
  <c r="F32" i="18"/>
  <c r="E32" i="18"/>
  <c r="D32" i="18"/>
  <c r="C32" i="18"/>
  <c r="J31" i="18"/>
  <c r="I31" i="18"/>
  <c r="H31" i="18"/>
  <c r="G31" i="18"/>
  <c r="F31" i="18"/>
  <c r="E31" i="18"/>
  <c r="D31" i="18"/>
  <c r="C31" i="18"/>
  <c r="J30" i="18"/>
  <c r="I30" i="18"/>
  <c r="H30" i="18"/>
  <c r="G30" i="18"/>
  <c r="F30" i="18"/>
  <c r="E30" i="18"/>
  <c r="D30" i="18"/>
  <c r="C30" i="18"/>
  <c r="J29" i="18"/>
  <c r="I29" i="18"/>
  <c r="H29" i="18"/>
  <c r="G29" i="18"/>
  <c r="F29" i="18"/>
  <c r="E29" i="18"/>
  <c r="D29" i="18"/>
  <c r="C29" i="18"/>
  <c r="J28" i="18"/>
  <c r="I28" i="18"/>
  <c r="H28" i="18"/>
  <c r="G28" i="18"/>
  <c r="F28" i="18"/>
  <c r="E28" i="18"/>
  <c r="D28" i="18"/>
  <c r="C28" i="18"/>
  <c r="J27" i="18"/>
  <c r="I27" i="18"/>
  <c r="H27" i="18"/>
  <c r="G27" i="18"/>
  <c r="F27" i="18"/>
  <c r="E27" i="18"/>
  <c r="D27" i="18"/>
  <c r="C27" i="18"/>
  <c r="J26" i="18"/>
  <c r="I26" i="18"/>
  <c r="H26" i="18"/>
  <c r="G26" i="18"/>
  <c r="F26" i="18"/>
  <c r="E26" i="18"/>
  <c r="D26" i="18"/>
  <c r="C26" i="18"/>
  <c r="J25" i="18"/>
  <c r="I25" i="18"/>
  <c r="H25" i="18"/>
  <c r="G25" i="18"/>
  <c r="F25" i="18"/>
  <c r="E25" i="18"/>
  <c r="D25" i="18"/>
  <c r="C25" i="18"/>
  <c r="J24" i="18"/>
  <c r="I24" i="18"/>
  <c r="H24" i="18"/>
  <c r="G24" i="18"/>
  <c r="F24" i="18"/>
  <c r="E24" i="18"/>
  <c r="D24" i="18"/>
  <c r="C24" i="18"/>
  <c r="J23" i="18"/>
  <c r="I23" i="18"/>
  <c r="H23" i="18"/>
  <c r="G23" i="18"/>
  <c r="F23" i="18"/>
  <c r="E23" i="18"/>
  <c r="D23" i="18"/>
  <c r="C23" i="18"/>
  <c r="J22" i="18"/>
  <c r="I22" i="18"/>
  <c r="H22" i="18"/>
  <c r="G22" i="18"/>
  <c r="F22" i="18"/>
  <c r="E22" i="18"/>
  <c r="D22" i="18"/>
  <c r="C22" i="18"/>
  <c r="D14" i="21"/>
  <c r="B9" i="21"/>
  <c r="D11" i="21"/>
  <c r="D12" i="21"/>
  <c r="D13" i="21"/>
  <c r="D15" i="21"/>
  <c r="D16" i="21"/>
  <c r="C9" i="27"/>
  <c r="D11" i="27"/>
  <c r="D12" i="27"/>
  <c r="D13" i="27"/>
  <c r="D14" i="27"/>
  <c r="D16" i="27"/>
  <c r="D17" i="27"/>
  <c r="D18" i="27"/>
  <c r="B9" i="20"/>
  <c r="D11" i="20"/>
  <c r="D12" i="20"/>
  <c r="D13" i="20"/>
  <c r="D14" i="20"/>
  <c r="D15" i="20"/>
  <c r="D16" i="20"/>
  <c r="D17" i="20"/>
  <c r="D18" i="20"/>
  <c r="B9" i="23"/>
  <c r="D11" i="23"/>
  <c r="D12" i="23"/>
  <c r="D13" i="23"/>
  <c r="D14" i="23"/>
  <c r="D15" i="23"/>
  <c r="D16" i="23"/>
  <c r="D17" i="23"/>
  <c r="D18" i="23"/>
  <c r="D15" i="27"/>
  <c r="E9" i="27"/>
  <c r="F9" i="27"/>
  <c r="C22" i="27"/>
  <c r="B22" i="27"/>
  <c r="B1" i="24"/>
  <c r="F22" i="27"/>
  <c r="E22" i="27"/>
  <c r="D22" i="27"/>
  <c r="A22" i="27"/>
  <c r="A5" i="27"/>
  <c r="A4" i="27"/>
  <c r="A3" i="27"/>
  <c r="A2" i="27"/>
  <c r="B21" i="20"/>
  <c r="B21" i="18"/>
  <c r="C21" i="18"/>
  <c r="B22" i="21"/>
  <c r="D21" i="20"/>
  <c r="I21" i="20"/>
  <c r="H21" i="20"/>
  <c r="G21" i="20"/>
  <c r="F21" i="20"/>
  <c r="M21" i="20"/>
  <c r="A5" i="23"/>
  <c r="A4" i="23"/>
  <c r="A3" i="23"/>
  <c r="A2" i="23"/>
  <c r="A5" i="21"/>
  <c r="A4" i="21"/>
  <c r="A3" i="21"/>
  <c r="A2" i="21"/>
  <c r="A5" i="20"/>
  <c r="A4" i="20"/>
  <c r="A3" i="20"/>
  <c r="A2" i="20"/>
  <c r="A5" i="18"/>
  <c r="A4" i="18"/>
  <c r="A3" i="18"/>
  <c r="A2" i="18"/>
  <c r="B22" i="23"/>
  <c r="L22" i="23"/>
  <c r="H22" i="23"/>
  <c r="D22" i="23"/>
  <c r="L22" i="21"/>
  <c r="I22" i="21"/>
  <c r="K22" i="21"/>
  <c r="C22" i="21"/>
  <c r="K21" i="20"/>
  <c r="L21" i="20"/>
  <c r="I21" i="18"/>
  <c r="E21" i="18"/>
  <c r="K22" i="23"/>
  <c r="G22" i="23"/>
  <c r="C22" i="23"/>
  <c r="H22" i="21"/>
  <c r="F22" i="21"/>
  <c r="A22" i="21"/>
  <c r="D21" i="18"/>
  <c r="J21" i="20"/>
  <c r="H21" i="18"/>
  <c r="A21" i="18"/>
  <c r="I22" i="23"/>
  <c r="M22" i="21"/>
  <c r="N22" i="23"/>
  <c r="F22" i="23"/>
  <c r="G22" i="21"/>
  <c r="E22" i="21"/>
  <c r="E21" i="20"/>
  <c r="G21" i="18"/>
  <c r="M22" i="23"/>
  <c r="E22" i="23"/>
  <c r="J22" i="21"/>
  <c r="D22" i="21"/>
  <c r="N21" i="20"/>
  <c r="F21" i="18"/>
  <c r="J22" i="23"/>
  <c r="A22" i="23"/>
  <c r="N22" i="21"/>
  <c r="A21" i="20"/>
  <c r="C21" i="20"/>
  <c r="J21" i="18"/>
</calcChain>
</file>

<file path=xl/sharedStrings.xml><?xml version="1.0" encoding="utf-8"?>
<sst xmlns="http://schemas.openxmlformats.org/spreadsheetml/2006/main" count="330" uniqueCount="251">
  <si>
    <t>Activity</t>
  </si>
  <si>
    <t>Currency</t>
  </si>
  <si>
    <t>Integration_Rate</t>
  </si>
  <si>
    <t>Legal_Organization</t>
  </si>
  <si>
    <t>Management_Organization</t>
  </si>
  <si>
    <t>Period</t>
  </si>
  <si>
    <t>Phase</t>
  </si>
  <si>
    <t>Eliminations</t>
  </si>
  <si>
    <t>Eliminations_Mgmt_interco</t>
  </si>
  <si>
    <t>Delta_vector_eliminations</t>
  </si>
  <si>
    <t>D</t>
  </si>
  <si>
    <t>N</t>
  </si>
  <si>
    <t>[Begin Format Range]</t>
  </si>
  <si>
    <t>[End Format Range]</t>
  </si>
  <si>
    <t>Local_Gaap</t>
  </si>
  <si>
    <t>Local_Gaap_Mgmt_tool</t>
  </si>
  <si>
    <t>Delta_vector_input</t>
  </si>
  <si>
    <t>IFRS_restatements</t>
  </si>
  <si>
    <t>IFRS_restatements_Mgmt_tool</t>
  </si>
  <si>
    <t>Delta_vector_IFRS_restatements</t>
  </si>
  <si>
    <t>Code</t>
  </si>
  <si>
    <t>Total_conso</t>
  </si>
  <si>
    <t>English</t>
  </si>
  <si>
    <t>{TM1DRILLDOWNMEMBER( {TM1FILTERBYPATTERN( {TM1SUBSETALL( [Indicator] )}, "Ind_op")}, ALL, RECURSIVE )}</t>
  </si>
  <si>
    <t>EUR</t>
  </si>
  <si>
    <t>LCL</t>
  </si>
  <si>
    <t>Name</t>
  </si>
  <si>
    <t>Source</t>
  </si>
  <si>
    <t>Total_conso_wo_opt_dis</t>
  </si>
  <si>
    <t>IFRS_restated</t>
  </si>
  <si>
    <t>tango_core_model:</t>
  </si>
  <si>
    <t>Hide Empty lines (1);  Unhide empty lines (0)</t>
  </si>
  <si>
    <t>Actual Month</t>
  </si>
  <si>
    <t>ACT_TOT</t>
  </si>
  <si>
    <t>Indicator</t>
  </si>
  <si>
    <t>Zone</t>
  </si>
  <si>
    <t>Op_hours_km</t>
  </si>
  <si>
    <t>Tot_km</t>
  </si>
  <si>
    <t>Rev_km</t>
  </si>
  <si>
    <t>Tot_km_fuel</t>
  </si>
  <si>
    <t>Tot_km_biofuel</t>
  </si>
  <si>
    <t>Tot_km_elec</t>
  </si>
  <si>
    <t>Tot_km_gas</t>
  </si>
  <si>
    <t>Tot_km_subcontract</t>
  </si>
  <si>
    <t>Tot_driv_hours</t>
  </si>
  <si>
    <t>Tot_driv_paid_hours</t>
  </si>
  <si>
    <t>Driv_shift_hours</t>
  </si>
  <si>
    <t>Driv_over_hours</t>
  </si>
  <si>
    <t>Driv_rev_hours</t>
  </si>
  <si>
    <t>Tot_engine_hours</t>
  </si>
  <si>
    <t>Tot_traincar_km</t>
  </si>
  <si>
    <t>Subcontract_driv_hours</t>
  </si>
  <si>
    <t>Rev_driv_hours</t>
  </si>
  <si>
    <t>Rev_km_tkm</t>
  </si>
  <si>
    <t>Driv_over_ratio</t>
  </si>
  <si>
    <t>Flt_mgmt</t>
  </si>
  <si>
    <t>nb_breakdowns</t>
  </si>
  <si>
    <t>Vehicle_peak</t>
  </si>
  <si>
    <t>Vehicle_peak_Count_Tech</t>
  </si>
  <si>
    <t>Vehicle_peak_Count_Tech_2</t>
  </si>
  <si>
    <t>Vehicle_peak_Hold_Tech</t>
  </si>
  <si>
    <t>Aver_age_fl</t>
  </si>
  <si>
    <t>Aver_age_fl_Count_Tech</t>
  </si>
  <si>
    <t>Aver_age_fl_Count_Tech_2</t>
  </si>
  <si>
    <t>Aver_age_fl_Hold_Tech</t>
  </si>
  <si>
    <t>Tot_nb_vehicle</t>
  </si>
  <si>
    <t>Tot_nb_vehicle_Count_Tech</t>
  </si>
  <si>
    <t>Tot_nb_vehicle_Count_Tech_2</t>
  </si>
  <si>
    <t>Tot_nb_vehicle_Hold_Tech</t>
  </si>
  <si>
    <t>Tot_mcf_paid_hours</t>
  </si>
  <si>
    <t>Break_rate</t>
  </si>
  <si>
    <t>Sp_vehicle_rate</t>
  </si>
  <si>
    <t>Target_flt</t>
  </si>
  <si>
    <t>Target_flt_Count_Tech</t>
  </si>
  <si>
    <t>Target_flt_Count_Tech_2</t>
  </si>
  <si>
    <t>Target_flt_Hold_Tech</t>
  </si>
  <si>
    <t>Safe_mgmt</t>
  </si>
  <si>
    <t>Tot_nb_accidents</t>
  </si>
  <si>
    <t>Tot_nb_days_lost</t>
  </si>
  <si>
    <t>Nb_vehi_accidents</t>
  </si>
  <si>
    <t>Nb_min_pass_inj</t>
  </si>
  <si>
    <t>Nb_ser_pass_inj</t>
  </si>
  <si>
    <t>Nb_pass_fatal</t>
  </si>
  <si>
    <t>Tot_nb_pass_inj</t>
  </si>
  <si>
    <t>Nb_act_vandalism</t>
  </si>
  <si>
    <t>Work_acc_freq_rate</t>
  </si>
  <si>
    <t>Work_acc_sev_rate</t>
  </si>
  <si>
    <t>Vehicle_acc_freq</t>
  </si>
  <si>
    <t>Signal_danger</t>
  </si>
  <si>
    <t>Safety_comp_rate_A</t>
  </si>
  <si>
    <t>Safety_comp_rate_B</t>
  </si>
  <si>
    <t>Safety_comp_rate_C</t>
  </si>
  <si>
    <t>Safety_comp_rate_A_CPT</t>
  </si>
  <si>
    <t>Safety_comp_rate_B_CPT</t>
  </si>
  <si>
    <t>Safety_comp_rate_C_CPT</t>
  </si>
  <si>
    <t>Safety_comp_rate_Total_CPT</t>
  </si>
  <si>
    <t>Hu_ressources</t>
  </si>
  <si>
    <t>Nb_FTE</t>
  </si>
  <si>
    <t>Nb_FTE_Count_Tech</t>
  </si>
  <si>
    <t>Nb_FTE_Count_Tech_2</t>
  </si>
  <si>
    <t>Nb_FTE_Hold_Tech</t>
  </si>
  <si>
    <t>Int_staff_FTE</t>
  </si>
  <si>
    <t>Int_staff_FTE_Count_Tech</t>
  </si>
  <si>
    <t>Int_staff_FTE_Count_Tech_2</t>
  </si>
  <si>
    <t>Int_staff_FTE_Hold_Tech</t>
  </si>
  <si>
    <t>Staff_term_period</t>
  </si>
  <si>
    <t>Tot_work_days</t>
  </si>
  <si>
    <t>Tot_abs_days</t>
  </si>
  <si>
    <t>Staff_turn_rate</t>
  </si>
  <si>
    <t>Staf_abs_rate</t>
  </si>
  <si>
    <t>Suppot_ope_staff</t>
  </si>
  <si>
    <t>Suppot_ope_staff_Count_Tech</t>
  </si>
  <si>
    <t>Suppot_ope_staff_Count_Tech_2</t>
  </si>
  <si>
    <t>Suppot_ope_staff_Hold_Tech</t>
  </si>
  <si>
    <t>Ope_staff</t>
  </si>
  <si>
    <t>Ope_staff_Count_Tech</t>
  </si>
  <si>
    <t>Ope_staff_count_Tech_2</t>
  </si>
  <si>
    <t>Ope_staff_Hold_Tech</t>
  </si>
  <si>
    <t>Cust_service</t>
  </si>
  <si>
    <t>Nb_op_serv</t>
  </si>
  <si>
    <t>Nb_serv_on_time</t>
  </si>
  <si>
    <t>Nb_complaints</t>
  </si>
  <si>
    <t>Nb_pass</t>
  </si>
  <si>
    <t>Tot_nb_trips</t>
  </si>
  <si>
    <t>Contract_perc_punctuality</t>
  </si>
  <si>
    <t>Respect_contract_perc_punctuality</t>
  </si>
  <si>
    <t>Compl_pass</t>
  </si>
  <si>
    <t>Quality_comp_rate_A</t>
  </si>
  <si>
    <t>Quality_comp_rate_B</t>
  </si>
  <si>
    <t>Quality_comp_rate_C</t>
  </si>
  <si>
    <t>Quality_comp_rate_A_CPT</t>
  </si>
  <si>
    <t>Quality_comp_rate_B_CPT</t>
  </si>
  <si>
    <t>Quality_comp_rate_C_CPT</t>
  </si>
  <si>
    <t>Quality_comp_rate_Total_CPT</t>
  </si>
  <si>
    <t>Bus_dev</t>
  </si>
  <si>
    <t>Plan_rev_new_contr</t>
  </si>
  <si>
    <t>Plan_rev_ans_new_contr</t>
  </si>
  <si>
    <t>Plan_rev_won_renew_contr</t>
  </si>
  <si>
    <t>Plan_rev_ans_renew_contr</t>
  </si>
  <si>
    <t>Perc_new_contr</t>
  </si>
  <si>
    <t>Perc_renew_contr</t>
  </si>
  <si>
    <t>Order_book</t>
  </si>
  <si>
    <t>Env_mgmt</t>
  </si>
  <si>
    <t>DLE</t>
  </si>
  <si>
    <t>Fuel_consu</t>
  </si>
  <si>
    <t>Biofuel_consu</t>
  </si>
  <si>
    <t>Elec_consu</t>
  </si>
  <si>
    <t>Gas_consu</t>
  </si>
  <si>
    <t>fuel_consu_100_km</t>
  </si>
  <si>
    <t>Biofuel_consu_100_km</t>
  </si>
  <si>
    <t>Elec_consu_100_km</t>
  </si>
  <si>
    <t>Gas_consu_100_km</t>
  </si>
  <si>
    <t>Tot_wat_op</t>
  </si>
  <si>
    <t>H2O_km</t>
  </si>
  <si>
    <t>rate_env_comp_A</t>
  </si>
  <si>
    <t>rate_env_comp_B</t>
  </si>
  <si>
    <t>rate_env_comp_C</t>
  </si>
  <si>
    <t>rate_env_comp_A_CPT</t>
  </si>
  <si>
    <t>rate_env_comp_B_CPT</t>
  </si>
  <si>
    <t>rate_env_comp_C_CPT</t>
  </si>
  <si>
    <t>rate_env_comp_Total_CPT</t>
  </si>
  <si>
    <t>Work_unit</t>
  </si>
  <si>
    <t>Pass_rev_nb_pass</t>
  </si>
  <si>
    <t>Tot_rev_km</t>
  </si>
  <si>
    <t>Tot_rev_hours</t>
  </si>
  <si>
    <t>Tot_rev_vehicle</t>
  </si>
  <si>
    <t>Tot_rev_op_serv</t>
  </si>
  <si>
    <t>Tot_rev_tot_km</t>
  </si>
  <si>
    <t>Tot_transp_cost_km</t>
  </si>
  <si>
    <t>Driv_costs_km</t>
  </si>
  <si>
    <t>Driv_staff_paid_hours</t>
  </si>
  <si>
    <t>Cost_fuel_100km</t>
  </si>
  <si>
    <t>Cost_biofuel_100km</t>
  </si>
  <si>
    <t>Cost_elec_100km</t>
  </si>
  <si>
    <t>Cost_gas_100km</t>
  </si>
  <si>
    <t>Fl_maint_cost_km</t>
  </si>
  <si>
    <t>Fl_maint_cost_nb_vehicle</t>
  </si>
  <si>
    <t>Fl_maint_staff_paid_hours</t>
  </si>
  <si>
    <t>Fl_cost_nb_vehicle</t>
  </si>
  <si>
    <t>Cost_cust_pass</t>
  </si>
  <si>
    <t>Tot_staff_costs_empl_fte</t>
  </si>
  <si>
    <t>Tot_int_costs_int_empl_fte</t>
  </si>
  <si>
    <t>Subcontract_cost_km</t>
  </si>
  <si>
    <t>Subcontract_cost_driv</t>
  </si>
  <si>
    <t>PMM_D</t>
  </si>
  <si>
    <t>PMM_D1</t>
  </si>
  <si>
    <t>PMM_D2</t>
  </si>
  <si>
    <t>PMM_D3</t>
  </si>
  <si>
    <t>PMM_D_CWU</t>
  </si>
  <si>
    <t>PMM_D_PWU</t>
  </si>
  <si>
    <t>PMM_M</t>
  </si>
  <si>
    <t>PMM_M1</t>
  </si>
  <si>
    <t>PMM_M2</t>
  </si>
  <si>
    <t>PMM_M3</t>
  </si>
  <si>
    <t>PMM_M_CWU</t>
  </si>
  <si>
    <t>PMM_M_PWU</t>
  </si>
  <si>
    <t>PMM_E</t>
  </si>
  <si>
    <t>PMM_E1</t>
  </si>
  <si>
    <t>PMM_E2</t>
  </si>
  <si>
    <t>PMM_E3</t>
  </si>
  <si>
    <t>PMM_E_CWU</t>
  </si>
  <si>
    <t>PMM_E_PWU</t>
  </si>
  <si>
    <t>PMM_F</t>
  </si>
  <si>
    <t>PMM_F1</t>
  </si>
  <si>
    <t>PMM_F2</t>
  </si>
  <si>
    <t>PMM_F3</t>
  </si>
  <si>
    <t>PMM_F_CWU</t>
  </si>
  <si>
    <t>PMM_F_PWU</t>
  </si>
  <si>
    <t>PMM_O</t>
  </si>
  <si>
    <t>PMM_O1</t>
  </si>
  <si>
    <t>PMM_O2</t>
  </si>
  <si>
    <t>PMM_O3</t>
  </si>
  <si>
    <t>PMM_O_CWU</t>
  </si>
  <si>
    <t>PMM_O_PWU</t>
  </si>
  <si>
    <t>PMM_GM_IMPACT_D</t>
  </si>
  <si>
    <t>PMM_GM_IMPACT_D1</t>
  </si>
  <si>
    <t>PMM_GM_IMPACT_D2</t>
  </si>
  <si>
    <t>PMM_GM_IMPACT_D3</t>
  </si>
  <si>
    <t>PMM_GM_IMPACT_DCOMP</t>
  </si>
  <si>
    <t>PMM_GM_IMPACT_DMISS</t>
  </si>
  <si>
    <t>PMM_GM_IMPACT_M</t>
  </si>
  <si>
    <t>PMM_GM_IMPACT_M1</t>
  </si>
  <si>
    <t>PMM_GM_IMPACT_M2</t>
  </si>
  <si>
    <t>PMM_GM_IMPACT_M3</t>
  </si>
  <si>
    <t>PMM_GM_IMPACT_MCOMP</t>
  </si>
  <si>
    <t>PMM_GM_IMPACT_MMISS</t>
  </si>
  <si>
    <t>PMM_GM_IMPACT_E</t>
  </si>
  <si>
    <t>PMM_GM_IMPACT_E1</t>
  </si>
  <si>
    <t>PMM_GM_IMPACT_E2</t>
  </si>
  <si>
    <t>PMM_GM_IMPACT_E3</t>
  </si>
  <si>
    <t>PMM_GM_IMPACT_ECOMP</t>
  </si>
  <si>
    <t>PMM_GM_IMPACT_EMISS</t>
  </si>
  <si>
    <t>PMM_GM_IMPACT_F</t>
  </si>
  <si>
    <t>PMM_GM_IMPACT_F1</t>
  </si>
  <si>
    <t>PMM_GM_IMPACT_F2</t>
  </si>
  <si>
    <t>PMM_GM_IMPACT_F3</t>
  </si>
  <si>
    <t>PMM_GM_IMPACT_FCOMP</t>
  </si>
  <si>
    <t>PMM_GM_IMPACT_FMISS</t>
  </si>
  <si>
    <t>PMM_GM_IMPACT_O</t>
  </si>
  <si>
    <t>PMM_GM_IMPACT_O1</t>
  </si>
  <si>
    <t>PMM_GM_IMPACT_O2</t>
  </si>
  <si>
    <t>PMM_GM_IMPACT_O3</t>
  </si>
  <si>
    <t>PMM_GM_IMPACT_OCOMP</t>
  </si>
  <si>
    <t>PMM_GM_IMPACT_OMISS</t>
  </si>
  <si>
    <t>PMM_GM_IMPACT_VOL_TOT</t>
  </si>
  <si>
    <t>PMM_GM_IMPACT_DVOL</t>
  </si>
  <si>
    <t>PMM_GM_IMPACT_MVOL</t>
  </si>
  <si>
    <t>PMM_GM_IMPACT_EVOL</t>
  </si>
  <si>
    <t>PMM_GM_IMPACT_FVOL</t>
  </si>
  <si>
    <t>PMM_GM_IMPACT_OVOL</t>
  </si>
  <si>
    <t>Entity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</si>
</sst>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164" formatCode="&quot;+ &quot;@"/>
    <numFmt numFmtId="165" formatCode="#,##0.0"/>
    <numFmt numFmtId="166" formatCode="&quot;- &quot;@"/>
    <numFmt numFmtId="167" formatCode="#,##0_);\(#,##0\)"/>
    <numFmt numFmtId="168" formatCode="[$-409]d/m/yy\ h:mm\ AM/PM;@"/>
    <numFmt numFmtId="169" formatCode="&quot;$&quot;\ \ \ #,##0;\(&quot;$&quot;\ \ \ #,##0\)"/>
    <numFmt numFmtId="170" formatCode="#,##0;\(#,##0\)"/>
    <numFmt numFmtId="171" formatCode="#,##0.0;\(#,##0.0\);\-"/>
    <numFmt numFmtId="172" formatCode="_-* #,##0.00\ _D_i_n_._-;\-* #,##0.00\ _D_i_n_._-;_-* &quot;-&quot;??\ _D_i_n_._-;_-@_-"/>
    <numFmt numFmtId="173" formatCode="_-* #,##0.00\ _F_-;\-* #,##0.00\ _F_-;_-* &quot;-&quot;??\ _F_-;_-@_-"/>
    <numFmt numFmtId="174" formatCode="_(* #,##0.00_);_(* \(#,##0.00\);_(* &quot;-&quot;??_);_(@_)"/>
    <numFmt numFmtId="175" formatCode="_(&quot;$&quot;* #,##0.00_);_(&quot;$&quot;* \(#,##0.00\);_(&quot;$&quot;* &quot;-&quot;??_);_(@_)"/>
    <numFmt numFmtId="176" formatCode="_(* #,##0_);_(* \(#,##0\);_(* &quot;&quot;\ \-\ &quot;&quot;_);_(@_)"/>
    <numFmt numFmtId="177" formatCode="_(&quot;€&quot;* #,##0.00_);_(&quot;€&quot;* \(#,##0.00\);_(&quot;€&quot;* &quot;-&quot;??_);_(@_)"/>
    <numFmt numFmtId="178" formatCode="_(* #,##0.0_%_);_(* \(#,##0.0_%\);_(* &quot; - &quot;_%_);_(@_)"/>
    <numFmt numFmtId="179" formatCode="_(\ #,##0.0_%_);_(\ \(#,##0.0_%\);_(\ &quot; - &quot;_%_);_(@_)"/>
    <numFmt numFmtId="180" formatCode="_(* #,##0.0%_);_(* \(#,##0.0%\);_(* &quot; - &quot;\%_);_(@_)"/>
    <numFmt numFmtId="181" formatCode="_(\ #,##0.0%_);_(\ \(#,##0.0%\);_(\ &quot; - &quot;\%_);_(@_)"/>
    <numFmt numFmtId="182" formatCode="_(* #,##0_);_(* \(#,##0\);_(* &quot; - &quot;_);_(@_)"/>
    <numFmt numFmtId="183" formatCode="#,##0_);\(#,##0\);&quot; - &quot;_);@_)"/>
    <numFmt numFmtId="184" formatCode="_(* #,##0.0_);_(* \(#,##0.0\);_(* &quot; - &quot;_);_(@_)"/>
    <numFmt numFmtId="185" formatCode="\ #,##0.0_);\(#,##0.0\);&quot; - &quot;_);@_)"/>
    <numFmt numFmtId="186" formatCode="_(* #,##0.00_);_(* \(#,##0.00\);_(* &quot; - &quot;_);_(@_)"/>
    <numFmt numFmtId="187" formatCode="\ #,##0.00_);\(#,##0.00\);&quot; - &quot;_);@_)"/>
    <numFmt numFmtId="188" formatCode="_(* #,##0.000_);_(* \(#,##0.000\);_(* &quot; - &quot;_);_(@_)"/>
    <numFmt numFmtId="189" formatCode="\ #,##0.000_);\(#,##0.000\);&quot; - &quot;_);@_)"/>
    <numFmt numFmtId="190" formatCode="#,##0;\(#,##0\);&quot;-&quot;"/>
    <numFmt numFmtId="191" formatCode="d\ mmmm\ yyyy"/>
    <numFmt numFmtId="192" formatCode="#,##0;[Red]\(#,##0\);0"/>
    <numFmt numFmtId="193" formatCode="_-* #,##0_-;\-* #,##0_-;_-* &quot;-&quot;_-;_-@_-"/>
    <numFmt numFmtId="194" formatCode="#,##0.00;\(#,##0.00\)"/>
    <numFmt numFmtId="195" formatCode="###0.0%;\(###0.0%\)"/>
    <numFmt numFmtId="196" formatCode="#,##0.0_)\x;\(#,##0.0\)\x;#,##0.0_)\x;@_)_x"/>
    <numFmt numFmtId="197" formatCode="0.00;[Red]0.00"/>
    <numFmt numFmtId="198" formatCode="#,##0.0&quot; &quot;;\(#,##0.0\)&quot;&quot;;&quot;- &quot;"/>
  </numFmts>
  <fonts count="10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name val="SWISS"/>
    </font>
    <font>
      <b/>
      <sz val="12"/>
      <color rgb="FFFF0000"/>
      <name val="Calibri"/>
      <family val="2"/>
      <scheme val="minor"/>
    </font>
    <font>
      <sz val="10"/>
      <name val="Arial"/>
      <family val="2"/>
    </font>
    <font>
      <sz val="12"/>
      <name val="Times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sz val="11"/>
      <color indexed="9"/>
      <name val="Calibri"/>
      <family val="2"/>
      <charset val="238"/>
    </font>
    <font>
      <b/>
      <sz val="12"/>
      <name val="Times New Roman"/>
      <family val="1"/>
    </font>
    <font>
      <sz val="12"/>
      <color indexed="8"/>
      <name val="Times New Roman"/>
      <family val="1"/>
    </font>
    <font>
      <sz val="11"/>
      <color indexed="20"/>
      <name val="Calibri"/>
      <family val="2"/>
      <charset val="238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b/>
      <sz val="11"/>
      <color indexed="52"/>
      <name val="Calibri"/>
      <family val="2"/>
      <charset val="238"/>
    </font>
    <font>
      <b/>
      <sz val="11"/>
      <color indexed="9"/>
      <name val="Calibri"/>
      <family val="2"/>
      <charset val="238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  <charset val="238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sz val="12"/>
      <name val="Arial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1"/>
      <color indexed="17"/>
      <name val="Calibri"/>
      <family val="2"/>
      <charset val="238"/>
    </font>
    <font>
      <sz val="12"/>
      <color indexed="9"/>
      <name val="Times New Roman"/>
      <family val="1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u/>
      <sz val="10"/>
      <color indexed="12"/>
      <name val="MS Sans Serif"/>
      <family val="2"/>
    </font>
    <font>
      <sz val="11"/>
      <color indexed="62"/>
      <name val="Calibri"/>
      <family val="2"/>
      <charset val="238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sz val="11"/>
      <color indexed="52"/>
      <name val="Calibri"/>
      <family val="2"/>
      <charset val="238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1"/>
      <color indexed="60"/>
      <name val="Calibri"/>
      <family val="2"/>
      <charset val="238"/>
    </font>
    <font>
      <sz val="10"/>
      <name val="Courier"/>
      <family val="3"/>
    </font>
    <font>
      <sz val="12"/>
      <name val="Arial MT"/>
    </font>
    <font>
      <sz val="11"/>
      <color indexed="8"/>
      <name val="Calibri"/>
      <family val="2"/>
    </font>
    <font>
      <sz val="7"/>
      <color indexed="8"/>
      <name val="Arial"/>
      <family val="2"/>
    </font>
    <font>
      <b/>
      <sz val="11"/>
      <color indexed="63"/>
      <name val="Calibri"/>
      <family val="2"/>
      <charset val="238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9"/>
      <name val="Arial"/>
      <family val="2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color indexed="8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8"/>
      <color indexed="56"/>
      <name val="Cambria"/>
      <family val="2"/>
      <charset val="238"/>
    </font>
    <font>
      <b/>
      <sz val="12"/>
      <name val="Avant Garde"/>
    </font>
    <font>
      <b/>
      <sz val="14"/>
      <name val="Helv"/>
    </font>
    <font>
      <sz val="11"/>
      <color indexed="10"/>
      <name val="Calibri"/>
      <family val="2"/>
      <charset val="238"/>
    </font>
    <font>
      <b/>
      <sz val="10"/>
      <color indexed="12"/>
      <name val="Book Antiqua"/>
      <family val="1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gradientFill degree="9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1"/>
        <bgColor indexed="64"/>
      </patternFill>
    </fill>
  </fills>
  <borders count="22">
    <border>
      <left/>
      <right/>
      <top/>
      <bottom/>
      <diagonal/>
    </border>
    <border>
      <left/>
      <right style="mediumDashDot">
        <color theme="1" tint="0.34998626667073579"/>
      </right>
      <top/>
      <bottom/>
      <diagonal/>
    </border>
    <border>
      <left/>
      <right style="mediumDashDot">
        <color theme="0"/>
      </right>
      <top/>
      <bottom/>
      <diagonal/>
    </border>
    <border>
      <left style="medium">
        <color theme="0" tint="-0.24994659260841701"/>
      </left>
      <right style="medium">
        <color theme="1" tint="0.34998626667073579"/>
      </right>
      <top style="medium">
        <color theme="0" tint="-0.24994659260841701"/>
      </top>
      <bottom style="medium">
        <color theme="1" tint="0.34998626667073579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46">
    <xf numFmtId="0" fontId="0" fillId="0" borderId="0"/>
    <xf numFmtId="0" fontId="3" fillId="0" borderId="0"/>
    <xf numFmtId="167" fontId="8" fillId="0" borderId="0"/>
    <xf numFmtId="168" fontId="10" fillId="0" borderId="0"/>
    <xf numFmtId="169" fontId="11" fillId="0" borderId="0" applyAlignment="0"/>
    <xf numFmtId="10" fontId="12" fillId="0" borderId="0"/>
    <xf numFmtId="9" fontId="13" fillId="0" borderId="0"/>
    <xf numFmtId="0" fontId="13" fillId="0" borderId="0"/>
    <xf numFmtId="10" fontId="13" fillId="0" borderId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170" fontId="13" fillId="0" borderId="0"/>
    <xf numFmtId="3" fontId="11" fillId="0" borderId="0"/>
    <xf numFmtId="2" fontId="11" fillId="0" borderId="0"/>
    <xf numFmtId="10" fontId="11" fillId="0" borderId="0" applyFont="0" applyBorder="0" applyAlignment="0">
      <alignment horizontal="centerContinuous"/>
    </xf>
    <xf numFmtId="0" fontId="14" fillId="0" borderId="4" applyFont="0" applyFill="0" applyBorder="0" applyAlignment="0" applyProtection="0"/>
    <xf numFmtId="170" fontId="13" fillId="0" borderId="0"/>
    <xf numFmtId="170" fontId="13" fillId="0" borderId="0"/>
    <xf numFmtId="170" fontId="13" fillId="0" borderId="0"/>
    <xf numFmtId="1" fontId="11" fillId="0" borderId="0" applyFont="0" applyAlignment="0">
      <alignment horizontal="centerContinuous"/>
    </xf>
    <xf numFmtId="168" fontId="15" fillId="10" borderId="0" applyNumberFormat="0" applyBorder="0" applyAlignment="0" applyProtection="0"/>
    <xf numFmtId="168" fontId="15" fillId="11" borderId="0" applyNumberFormat="0" applyBorder="0" applyAlignment="0" applyProtection="0"/>
    <xf numFmtId="168" fontId="15" fillId="12" borderId="0" applyNumberFormat="0" applyBorder="0" applyAlignment="0" applyProtection="0"/>
    <xf numFmtId="168" fontId="15" fillId="13" borderId="0" applyNumberFormat="0" applyBorder="0" applyAlignment="0" applyProtection="0"/>
    <xf numFmtId="168" fontId="15" fillId="14" borderId="0" applyNumberFormat="0" applyBorder="0" applyAlignment="0" applyProtection="0"/>
    <xf numFmtId="168" fontId="15" fillId="15" borderId="0" applyNumberFormat="0" applyBorder="0" applyAlignment="0" applyProtection="0"/>
    <xf numFmtId="168" fontId="15" fillId="16" borderId="0" applyNumberFormat="0" applyBorder="0" applyAlignment="0" applyProtection="0"/>
    <xf numFmtId="168" fontId="15" fillId="17" borderId="0" applyNumberFormat="0" applyBorder="0" applyAlignment="0" applyProtection="0"/>
    <xf numFmtId="168" fontId="15" fillId="18" borderId="0" applyNumberFormat="0" applyBorder="0" applyAlignment="0" applyProtection="0"/>
    <xf numFmtId="168" fontId="15" fillId="13" borderId="0" applyNumberFormat="0" applyBorder="0" applyAlignment="0" applyProtection="0"/>
    <xf numFmtId="168" fontId="15" fillId="16" borderId="0" applyNumberFormat="0" applyBorder="0" applyAlignment="0" applyProtection="0"/>
    <xf numFmtId="168" fontId="15" fillId="19" borderId="0" applyNumberFormat="0" applyBorder="0" applyAlignment="0" applyProtection="0"/>
    <xf numFmtId="168" fontId="16" fillId="20" borderId="0" applyNumberFormat="0" applyBorder="0" applyAlignment="0" applyProtection="0"/>
    <xf numFmtId="168" fontId="16" fillId="17" borderId="0" applyNumberFormat="0" applyBorder="0" applyAlignment="0" applyProtection="0"/>
    <xf numFmtId="168" fontId="16" fillId="18" borderId="0" applyNumberFormat="0" applyBorder="0" applyAlignment="0" applyProtection="0"/>
    <xf numFmtId="168" fontId="16" fillId="21" borderId="0" applyNumberFormat="0" applyBorder="0" applyAlignment="0" applyProtection="0"/>
    <xf numFmtId="168" fontId="16" fillId="22" borderId="0" applyNumberFormat="0" applyBorder="0" applyAlignment="0" applyProtection="0"/>
    <xf numFmtId="168" fontId="16" fillId="23" borderId="0" applyNumberFormat="0" applyBorder="0" applyAlignment="0" applyProtection="0"/>
    <xf numFmtId="0" fontId="17" fillId="0" borderId="5" applyFont="0">
      <alignment horizontal="centerContinuous"/>
    </xf>
    <xf numFmtId="0" fontId="18" fillId="0" borderId="0"/>
    <xf numFmtId="9" fontId="12" fillId="0" borderId="0"/>
    <xf numFmtId="0" fontId="12" fillId="0" borderId="0"/>
    <xf numFmtId="0" fontId="12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2" fillId="0" borderId="0"/>
    <xf numFmtId="0" fontId="12" fillId="0" borderId="0"/>
    <xf numFmtId="0" fontId="10" fillId="0" borderId="0"/>
    <xf numFmtId="0" fontId="13" fillId="0" borderId="0"/>
    <xf numFmtId="168" fontId="19" fillId="11" borderId="0" applyNumberFormat="0" applyBorder="0" applyAlignment="0" applyProtection="0"/>
    <xf numFmtId="38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3" fillId="0" borderId="0"/>
    <xf numFmtId="0" fontId="17" fillId="0" borderId="5" applyNumberFormat="0" applyFill="0" applyAlignment="0" applyProtection="0"/>
    <xf numFmtId="0" fontId="20" fillId="0" borderId="5" applyNumberFormat="0" applyFont="0" applyFill="0" applyAlignment="0" applyProtection="0"/>
    <xf numFmtId="0" fontId="18" fillId="0" borderId="6"/>
    <xf numFmtId="0" fontId="13" fillId="0" borderId="5">
      <alignment horizontal="centerContinuous"/>
    </xf>
    <xf numFmtId="0" fontId="10" fillId="0" borderId="7" applyBorder="0">
      <alignment horizontal="centerContinuous"/>
    </xf>
    <xf numFmtId="0" fontId="13" fillId="0" borderId="0" applyFon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12" fillId="0" borderId="0"/>
    <xf numFmtId="0" fontId="22" fillId="0" borderId="0"/>
    <xf numFmtId="0" fontId="18" fillId="0" borderId="0">
      <alignment horizontal="right"/>
    </xf>
    <xf numFmtId="0" fontId="18" fillId="0" borderId="0">
      <alignment horizontal="right"/>
    </xf>
    <xf numFmtId="0" fontId="18" fillId="0" borderId="0">
      <alignment horizontal="right"/>
    </xf>
    <xf numFmtId="0" fontId="18" fillId="0" borderId="0">
      <alignment horizontal="right"/>
    </xf>
    <xf numFmtId="0" fontId="18" fillId="0" borderId="0">
      <alignment horizontal="right"/>
    </xf>
    <xf numFmtId="0" fontId="18" fillId="0" borderId="0">
      <alignment horizontal="right"/>
    </xf>
    <xf numFmtId="0" fontId="18" fillId="0" borderId="0">
      <alignment horizontal="right"/>
    </xf>
    <xf numFmtId="0" fontId="18" fillId="0" borderId="0">
      <alignment horizontal="right"/>
    </xf>
    <xf numFmtId="0" fontId="18" fillId="0" borderId="0">
      <alignment horizontal="right"/>
    </xf>
    <xf numFmtId="0" fontId="18" fillId="0" borderId="0">
      <alignment horizontal="right"/>
    </xf>
    <xf numFmtId="0" fontId="18" fillId="0" borderId="0">
      <alignment horizontal="right"/>
    </xf>
    <xf numFmtId="0" fontId="18" fillId="0" borderId="0">
      <alignment horizontal="right"/>
    </xf>
    <xf numFmtId="0" fontId="18" fillId="0" borderId="0">
      <alignment horizontal="right"/>
    </xf>
    <xf numFmtId="0" fontId="18" fillId="0" borderId="0">
      <alignment horizontal="right"/>
    </xf>
    <xf numFmtId="0" fontId="18" fillId="0" borderId="0">
      <alignment horizontal="right"/>
    </xf>
    <xf numFmtId="0" fontId="22" fillId="0" borderId="0"/>
    <xf numFmtId="37" fontId="13" fillId="0" borderId="0">
      <alignment horizontal="center"/>
    </xf>
    <xf numFmtId="0" fontId="17" fillId="0" borderId="0"/>
    <xf numFmtId="168" fontId="23" fillId="24" borderId="8" applyNumberFormat="0" applyAlignment="0" applyProtection="0"/>
    <xf numFmtId="168" fontId="24" fillId="25" borderId="9" applyNumberFormat="0" applyAlignment="0" applyProtection="0"/>
    <xf numFmtId="171" fontId="10" fillId="0" borderId="0">
      <alignment horizontal="right" wrapText="1"/>
    </xf>
    <xf numFmtId="0" fontId="13" fillId="0" borderId="0"/>
    <xf numFmtId="0" fontId="25" fillId="0" borderId="0" applyFont="0" applyFill="0" applyBorder="0" applyAlignment="0" applyProtection="0"/>
    <xf numFmtId="40" fontId="25" fillId="0" borderId="0" applyFont="0" applyFill="0" applyBorder="0" applyAlignment="0" applyProtection="0"/>
    <xf numFmtId="172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26" fillId="0" borderId="0" applyFont="0" applyFill="0" applyBorder="0" applyAlignment="0" applyProtection="0"/>
    <xf numFmtId="175" fontId="10" fillId="0" borderId="0" applyFont="0" applyFill="0" applyBorder="0" applyAlignment="0" applyProtection="0"/>
    <xf numFmtId="49" fontId="27" fillId="26" borderId="0">
      <alignment vertical="center"/>
    </xf>
    <xf numFmtId="0" fontId="13" fillId="0" borderId="0" applyFont="0" applyFill="0" applyBorder="0" applyAlignment="0" applyProtection="0"/>
    <xf numFmtId="176" fontId="28" fillId="27" borderId="0">
      <alignment horizontal="right"/>
    </xf>
    <xf numFmtId="174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77" fontId="10" fillId="0" borderId="0" applyFont="0" applyFill="0" applyBorder="0" applyAlignment="0" applyProtection="0"/>
    <xf numFmtId="168" fontId="29" fillId="0" borderId="0" applyNumberFormat="0" applyFill="0" applyBorder="0" applyAlignment="0" applyProtection="0"/>
    <xf numFmtId="49" fontId="30" fillId="0" borderId="0" applyNumberFormat="0" applyFill="0" applyBorder="0" applyProtection="0">
      <alignment horizontal="center" vertical="top"/>
    </xf>
    <xf numFmtId="178" fontId="31" fillId="0" borderId="0">
      <alignment horizontal="right" vertical="top"/>
    </xf>
    <xf numFmtId="179" fontId="32" fillId="0" borderId="0" applyBorder="0">
      <alignment horizontal="right" vertical="top"/>
    </xf>
    <xf numFmtId="180" fontId="33" fillId="0" borderId="0">
      <alignment horizontal="right" vertical="top"/>
    </xf>
    <xf numFmtId="181" fontId="30" fillId="0" borderId="0" applyBorder="0">
      <alignment horizontal="right" vertical="top"/>
    </xf>
    <xf numFmtId="180" fontId="31" fillId="0" borderId="0">
      <alignment horizontal="right" vertical="top"/>
    </xf>
    <xf numFmtId="181" fontId="32" fillId="0" borderId="0" applyBorder="0">
      <alignment horizontal="right" vertical="top"/>
    </xf>
    <xf numFmtId="182" fontId="33" fillId="0" borderId="0" applyFill="0" applyBorder="0">
      <alignment horizontal="right" vertical="top"/>
    </xf>
    <xf numFmtId="183" fontId="30" fillId="0" borderId="0" applyFill="0" applyBorder="0">
      <alignment horizontal="right" vertical="top"/>
    </xf>
    <xf numFmtId="184" fontId="33" fillId="0" borderId="0" applyFill="0" applyBorder="0">
      <alignment horizontal="right" vertical="top"/>
    </xf>
    <xf numFmtId="185" fontId="30" fillId="0" borderId="0" applyFill="0" applyBorder="0">
      <alignment horizontal="right" vertical="top"/>
    </xf>
    <xf numFmtId="186" fontId="33" fillId="0" borderId="0" applyFill="0" applyBorder="0">
      <alignment horizontal="right" vertical="top"/>
    </xf>
    <xf numFmtId="187" fontId="30" fillId="0" borderId="0" applyFill="0" applyBorder="0">
      <alignment horizontal="right" vertical="top"/>
    </xf>
    <xf numFmtId="188" fontId="33" fillId="0" borderId="0" applyFill="0" applyBorder="0">
      <alignment horizontal="right" vertical="top"/>
    </xf>
    <xf numFmtId="189" fontId="30" fillId="0" borderId="0" applyFill="0" applyBorder="0">
      <alignment horizontal="right" vertical="top"/>
    </xf>
    <xf numFmtId="168" fontId="34" fillId="0" borderId="0">
      <alignment horizontal="center" wrapText="1"/>
    </xf>
    <xf numFmtId="0" fontId="35" fillId="0" borderId="10">
      <alignment horizontal="right"/>
    </xf>
    <xf numFmtId="0" fontId="34" fillId="0" borderId="0">
      <alignment horizontal="center" wrapText="1"/>
    </xf>
    <xf numFmtId="190" fontId="36" fillId="0" borderId="10">
      <alignment horizontal="left"/>
    </xf>
    <xf numFmtId="0" fontId="37" fillId="0" borderId="0">
      <alignment vertical="center"/>
    </xf>
    <xf numFmtId="191" fontId="37" fillId="0" borderId="0">
      <alignment horizontal="left" vertical="center"/>
    </xf>
    <xf numFmtId="192" fontId="38" fillId="0" borderId="0">
      <alignment vertical="center"/>
    </xf>
    <xf numFmtId="0" fontId="39" fillId="0" borderId="0">
      <alignment vertical="center"/>
    </xf>
    <xf numFmtId="190" fontId="36" fillId="0" borderId="10">
      <alignment horizontal="left"/>
    </xf>
    <xf numFmtId="190" fontId="40" fillId="0" borderId="0" applyFill="0" applyBorder="0">
      <alignment vertical="top"/>
    </xf>
    <xf numFmtId="190" fontId="41" fillId="0" borderId="0" applyFill="0" applyBorder="0" applyProtection="0">
      <alignment vertical="top"/>
    </xf>
    <xf numFmtId="190" fontId="42" fillId="0" borderId="0">
      <alignment vertical="top"/>
    </xf>
    <xf numFmtId="190" fontId="30" fillId="0" borderId="0">
      <alignment horizontal="center"/>
    </xf>
    <xf numFmtId="190" fontId="43" fillId="0" borderId="10">
      <alignment horizontal="center"/>
    </xf>
    <xf numFmtId="193" fontId="33" fillId="0" borderId="0" applyFill="0" applyBorder="0" applyAlignment="0" applyProtection="0">
      <alignment horizontal="right" vertical="top"/>
    </xf>
    <xf numFmtId="193" fontId="30" fillId="0" borderId="10" applyFill="0" applyBorder="0" applyProtection="0">
      <alignment horizontal="right" vertical="top"/>
    </xf>
    <xf numFmtId="190" fontId="44" fillId="0" borderId="0"/>
    <xf numFmtId="190" fontId="45" fillId="0" borderId="0"/>
    <xf numFmtId="190" fontId="46" fillId="0" borderId="0"/>
    <xf numFmtId="190" fontId="10" fillId="0" borderId="0"/>
    <xf numFmtId="190" fontId="47" fillId="0" borderId="0">
      <alignment horizontal="left" vertical="top"/>
    </xf>
    <xf numFmtId="168" fontId="33" fillId="0" borderId="0" applyFill="0" applyBorder="0">
      <alignment horizontal="left" vertical="top"/>
    </xf>
    <xf numFmtId="0" fontId="30" fillId="0" borderId="0" applyFill="0" applyBorder="0">
      <alignment horizontal="left" vertical="top" wrapText="1"/>
    </xf>
    <xf numFmtId="0" fontId="33" fillId="0" borderId="0" applyFill="0" applyBorder="0">
      <alignment horizontal="left" vertical="top"/>
    </xf>
    <xf numFmtId="0" fontId="48" fillId="0" borderId="0">
      <alignment horizontal="left" vertical="top" wrapText="1"/>
    </xf>
    <xf numFmtId="0" fontId="49" fillId="0" borderId="0">
      <alignment horizontal="left" vertical="top" wrapText="1"/>
    </xf>
    <xf numFmtId="0" fontId="32" fillId="0" borderId="0">
      <alignment horizontal="left" vertical="top" wrapText="1"/>
    </xf>
    <xf numFmtId="0" fontId="50" fillId="0" borderId="0" applyNumberFormat="0" applyFill="0" applyBorder="0" applyAlignment="0" applyProtection="0"/>
    <xf numFmtId="0" fontId="27" fillId="28" borderId="0">
      <alignment horizontal="right" vertical="center"/>
    </xf>
    <xf numFmtId="0" fontId="10" fillId="29" borderId="0"/>
    <xf numFmtId="194" fontId="51" fillId="0" borderId="0"/>
    <xf numFmtId="195" fontId="51" fillId="0" borderId="0"/>
    <xf numFmtId="168" fontId="52" fillId="12" borderId="0" applyNumberFormat="0" applyBorder="0" applyAlignment="0" applyProtection="0"/>
    <xf numFmtId="0" fontId="53" fillId="0" borderId="0" applyNumberFormat="0" applyFill="0" applyProtection="0">
      <alignment horizontal="left"/>
    </xf>
    <xf numFmtId="168" fontId="54" fillId="0" borderId="11" applyNumberFormat="0" applyFill="0" applyAlignment="0" applyProtection="0"/>
    <xf numFmtId="168" fontId="55" fillId="0" borderId="12" applyNumberFormat="0" applyFill="0" applyAlignment="0" applyProtection="0"/>
    <xf numFmtId="168" fontId="56" fillId="0" borderId="13" applyNumberFormat="0" applyFill="0" applyAlignment="0" applyProtection="0"/>
    <xf numFmtId="168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168" fontId="58" fillId="15" borderId="8" applyNumberFormat="0" applyAlignment="0" applyProtection="0"/>
    <xf numFmtId="0" fontId="13" fillId="16" borderId="0" applyNumberFormat="0" applyFont="0" applyBorder="0" applyAlignment="0">
      <protection locked="0"/>
    </xf>
    <xf numFmtId="0" fontId="12" fillId="0" borderId="0" applyNumberFormat="0" applyFill="0" applyBorder="0" applyAlignment="0">
      <protection locked="0"/>
    </xf>
    <xf numFmtId="0" fontId="59" fillId="0" borderId="0" applyNumberFormat="0" applyFill="0" applyBorder="0" applyAlignment="0"/>
    <xf numFmtId="38" fontId="60" fillId="0" borderId="0"/>
    <xf numFmtId="38" fontId="61" fillId="0" borderId="0"/>
    <xf numFmtId="38" fontId="62" fillId="0" borderId="0"/>
    <xf numFmtId="38" fontId="63" fillId="0" borderId="0"/>
    <xf numFmtId="0" fontId="64" fillId="0" borderId="0"/>
    <xf numFmtId="0" fontId="64" fillId="0" borderId="0"/>
    <xf numFmtId="168" fontId="65" fillId="0" borderId="14" applyNumberFormat="0" applyFill="0" applyAlignment="0" applyProtection="0"/>
    <xf numFmtId="0" fontId="27" fillId="30" borderId="0">
      <alignment horizontal="right" vertical="center"/>
    </xf>
    <xf numFmtId="174" fontId="3" fillId="0" borderId="0" applyFont="0" applyFill="0" applyBorder="0" applyAlignment="0" applyProtection="0"/>
    <xf numFmtId="196" fontId="10" fillId="0" borderId="0" applyFont="0" applyFill="0" applyBorder="0" applyAlignment="0" applyProtection="0"/>
    <xf numFmtId="49" fontId="66" fillId="26" borderId="0">
      <alignment horizontal="centerContinuous" vertical="center"/>
    </xf>
    <xf numFmtId="0" fontId="67" fillId="0" borderId="0"/>
    <xf numFmtId="168" fontId="68" fillId="31" borderId="0" applyNumberFormat="0" applyBorder="0" applyAlignment="0" applyProtection="0"/>
    <xf numFmtId="0" fontId="18" fillId="0" borderId="0">
      <alignment horizontal="left"/>
    </xf>
    <xf numFmtId="168" fontId="69" fillId="0" borderId="0"/>
    <xf numFmtId="168" fontId="69" fillId="0" borderId="0"/>
    <xf numFmtId="0" fontId="69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8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" fillId="0" borderId="0"/>
    <xf numFmtId="0" fontId="10" fillId="0" borderId="0"/>
    <xf numFmtId="0" fontId="3" fillId="0" borderId="0"/>
    <xf numFmtId="168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8" fontId="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1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168" fontId="10" fillId="32" borderId="15" applyNumberFormat="0" applyFont="0" applyAlignment="0" applyProtection="0"/>
    <xf numFmtId="0" fontId="72" fillId="27" borderId="0">
      <alignment horizontal="left" vertical="top" wrapText="1"/>
    </xf>
    <xf numFmtId="168" fontId="73" fillId="24" borderId="16" applyNumberFormat="0" applyAlignment="0" applyProtection="0"/>
    <xf numFmtId="10" fontId="13" fillId="0" borderId="17"/>
    <xf numFmtId="10" fontId="13" fillId="0" borderId="17"/>
    <xf numFmtId="10" fontId="13" fillId="0" borderId="17"/>
    <xf numFmtId="10" fontId="13" fillId="0" borderId="17"/>
    <xf numFmtId="49" fontId="74" fillId="0" borderId="5" applyFill="0" applyProtection="0">
      <alignment vertical="center"/>
    </xf>
    <xf numFmtId="0" fontId="18" fillId="0" borderId="0"/>
    <xf numFmtId="0" fontId="75" fillId="0" borderId="0"/>
    <xf numFmtId="9" fontId="20" fillId="0" borderId="0" applyFont="0" applyFill="0" applyBorder="0" applyAlignment="0" applyProtection="0"/>
    <xf numFmtId="0" fontId="76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77" fillId="0" borderId="0" applyFont="0" applyFill="0" applyBorder="0" applyAlignment="0" applyProtection="0"/>
    <xf numFmtId="0" fontId="78" fillId="0" borderId="0" applyFont="0" applyFill="0" applyBorder="0" applyAlignment="0" applyProtection="0">
      <alignment horizontal="center"/>
    </xf>
    <xf numFmtId="0" fontId="78" fillId="0" borderId="0" applyFont="0" applyFill="0" applyBorder="0" applyAlignment="0" applyProtection="0">
      <alignment horizontal="center"/>
    </xf>
    <xf numFmtId="0" fontId="78" fillId="0" borderId="0" applyFont="0" applyFill="0" applyBorder="0" applyAlignment="0" applyProtection="0">
      <alignment horizont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79" fillId="0" borderId="5"/>
    <xf numFmtId="10" fontId="18" fillId="0" borderId="18"/>
    <xf numFmtId="10" fontId="10" fillId="0" borderId="0"/>
    <xf numFmtId="2" fontId="13" fillId="0" borderId="0">
      <alignment horizontal="right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0"/>
    <xf numFmtId="0" fontId="80" fillId="0" borderId="4">
      <protection locked="0"/>
    </xf>
    <xf numFmtId="0" fontId="80" fillId="0" borderId="4">
      <protection locked="0"/>
    </xf>
    <xf numFmtId="0" fontId="80" fillId="0" borderId="4">
      <protection locked="0"/>
    </xf>
    <xf numFmtId="0" fontId="80" fillId="0" borderId="4">
      <protection locked="0"/>
    </xf>
    <xf numFmtId="0" fontId="80" fillId="0" borderId="4">
      <protection locked="0"/>
    </xf>
    <xf numFmtId="0" fontId="80" fillId="0" borderId="0"/>
    <xf numFmtId="0" fontId="80" fillId="0" borderId="0"/>
    <xf numFmtId="0" fontId="80" fillId="0" borderId="0"/>
    <xf numFmtId="0" fontId="80" fillId="0" borderId="0"/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1" fillId="0" borderId="0">
      <alignment horizontal="center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0" fillId="0" borderId="4">
      <alignment horizontal="centerContinuous"/>
    </xf>
    <xf numFmtId="0" fontId="82" fillId="28" borderId="19" applyNumberFormat="0" applyProtection="0">
      <alignment horizontal="left" vertical="center" indent="1"/>
    </xf>
    <xf numFmtId="197" fontId="83" fillId="33" borderId="19" applyProtection="0">
      <alignment horizontal="right" vertical="center"/>
    </xf>
    <xf numFmtId="0" fontId="84" fillId="29" borderId="0" applyNumberFormat="0" applyFont="0" applyBorder="0" applyAlignment="0" applyProtection="0"/>
    <xf numFmtId="0" fontId="27" fillId="26" borderId="0">
      <alignment horizontal="right" vertical="center"/>
    </xf>
    <xf numFmtId="0" fontId="10" fillId="0" borderId="0"/>
    <xf numFmtId="0" fontId="10" fillId="0" borderId="0"/>
    <xf numFmtId="168" fontId="83" fillId="0" borderId="0" applyNumberFormat="0" applyBorder="0" applyAlignment="0"/>
    <xf numFmtId="0" fontId="83" fillId="0" borderId="0" applyNumberFormat="0" applyBorder="0" applyAlignment="0"/>
    <xf numFmtId="168" fontId="85" fillId="0" borderId="0" applyNumberFormat="0" applyBorder="0" applyAlignment="0"/>
    <xf numFmtId="0" fontId="85" fillId="0" borderId="0" applyNumberFormat="0" applyBorder="0" applyAlignment="0"/>
    <xf numFmtId="168" fontId="86" fillId="0" borderId="0" applyNumberFormat="0" applyBorder="0" applyAlignment="0"/>
    <xf numFmtId="0" fontId="86" fillId="0" borderId="0" applyNumberFormat="0" applyBorder="0" applyAlignment="0"/>
    <xf numFmtId="168" fontId="86" fillId="0" borderId="0" applyNumberFormat="0" applyBorder="0" applyAlignment="0"/>
    <xf numFmtId="0" fontId="86" fillId="0" borderId="0" applyNumberFormat="0" applyBorder="0" applyAlignment="0"/>
    <xf numFmtId="168" fontId="87" fillId="0" borderId="0" applyNumberFormat="0" applyBorder="0" applyAlignment="0"/>
    <xf numFmtId="0" fontId="87" fillId="0" borderId="0" applyNumberFormat="0" applyBorder="0" applyAlignment="0"/>
    <xf numFmtId="168" fontId="88" fillId="12" borderId="0" applyNumberFormat="0" applyBorder="0" applyAlignment="0"/>
    <xf numFmtId="0" fontId="88" fillId="12" borderId="0" applyNumberFormat="0" applyBorder="0" applyAlignment="0"/>
    <xf numFmtId="168" fontId="89" fillId="12" borderId="0" applyNumberFormat="0" applyBorder="0" applyAlignment="0"/>
    <xf numFmtId="0" fontId="89" fillId="12" borderId="0" applyNumberFormat="0" applyBorder="0" applyAlignment="0"/>
    <xf numFmtId="168" fontId="90" fillId="0" borderId="0" applyNumberFormat="0" applyBorder="0" applyAlignment="0"/>
    <xf numFmtId="0" fontId="90" fillId="0" borderId="0" applyNumberFormat="0" applyBorder="0" applyAlignment="0"/>
    <xf numFmtId="168" fontId="90" fillId="0" borderId="0" applyNumberFormat="0" applyBorder="0" applyAlignment="0"/>
    <xf numFmtId="0" fontId="90" fillId="0" borderId="0" applyNumberFormat="0" applyBorder="0" applyAlignment="0"/>
    <xf numFmtId="0" fontId="17" fillId="0" borderId="5">
      <alignment horizontal="center"/>
    </xf>
    <xf numFmtId="0" fontId="17" fillId="0" borderId="5">
      <alignment horizontal="center"/>
    </xf>
    <xf numFmtId="0" fontId="17" fillId="0" borderId="5">
      <alignment horizontal="center"/>
    </xf>
    <xf numFmtId="0" fontId="17" fillId="0" borderId="5">
      <alignment horizontal="center"/>
    </xf>
    <xf numFmtId="0" fontId="17" fillId="0" borderId="5">
      <alignment horizontal="centerContinuous"/>
    </xf>
    <xf numFmtId="0" fontId="17" fillId="0" borderId="5">
      <alignment horizontal="centerContinuous"/>
    </xf>
    <xf numFmtId="0" fontId="17" fillId="0" borderId="5">
      <alignment horizontal="centerContinuous"/>
    </xf>
    <xf numFmtId="0" fontId="17" fillId="0" borderId="5">
      <alignment horizontal="centerContinuous"/>
    </xf>
    <xf numFmtId="0" fontId="17" fillId="0" borderId="5">
      <alignment horizontal="centerContinuous"/>
    </xf>
    <xf numFmtId="0" fontId="17" fillId="0" borderId="5">
      <alignment horizontal="center"/>
    </xf>
    <xf numFmtId="0" fontId="91" fillId="27" borderId="0"/>
    <xf numFmtId="0" fontId="28" fillId="27" borderId="0">
      <alignment horizontal="left"/>
    </xf>
    <xf numFmtId="0" fontId="28" fillId="27" borderId="0">
      <alignment horizontal="left" indent="1"/>
    </xf>
    <xf numFmtId="0" fontId="28" fillId="27" borderId="0">
      <alignment horizontal="left" vertical="center" indent="2"/>
    </xf>
    <xf numFmtId="168" fontId="92" fillId="0" borderId="0" applyNumberFormat="0" applyFill="0" applyBorder="0" applyAlignment="0" applyProtection="0"/>
    <xf numFmtId="0" fontId="93" fillId="0" borderId="20" applyNumberFormat="0" applyFill="0" applyBorder="0" applyAlignment="0" applyProtection="0">
      <alignment horizontal="left"/>
    </xf>
    <xf numFmtId="0" fontId="20" fillId="0" borderId="21" applyNumberFormat="0" applyFont="0" applyFill="0" applyAlignment="0" applyProtection="0"/>
    <xf numFmtId="0" fontId="94" fillId="0" borderId="0"/>
    <xf numFmtId="168" fontId="95" fillId="0" borderId="0" applyNumberFormat="0" applyFill="0" applyBorder="0" applyAlignment="0" applyProtection="0"/>
    <xf numFmtId="1" fontId="96" fillId="0" borderId="5">
      <alignment horizontal="center"/>
    </xf>
    <xf numFmtId="198" fontId="13" fillId="0" borderId="0" applyFont="0" applyFill="0" applyBorder="0" applyAlignment="0" applyProtection="0">
      <alignment horizontal="right" vertical="center"/>
    </xf>
    <xf numFmtId="0" fontId="10" fillId="0" borderId="0"/>
  </cellStyleXfs>
  <cellXfs count="44">
    <xf numFmtId="0" fontId="0" fillId="0" borderId="0" xfId="0"/>
    <xf numFmtId="0" fontId="1" fillId="0" borderId="0" xfId="0" applyFont="1"/>
    <xf numFmtId="165" fontId="0" fillId="0" borderId="0" xfId="0" applyNumberFormat="1"/>
    <xf numFmtId="0" fontId="0" fillId="0" borderId="0" xfId="0" applyAlignment="1">
      <alignment vertical="center" wrapText="1"/>
    </xf>
    <xf numFmtId="0" fontId="0" fillId="0" borderId="0" xfId="0" applyFill="1"/>
    <xf numFmtId="0" fontId="2" fillId="0" borderId="0" xfId="0" applyFont="1" applyFill="1"/>
    <xf numFmtId="0" fontId="1" fillId="0" borderId="0" xfId="0" applyFont="1" applyFill="1"/>
    <xf numFmtId="165" fontId="0" fillId="2" borderId="0" xfId="0" applyNumberFormat="1" applyFill="1"/>
    <xf numFmtId="165" fontId="4" fillId="3" borderId="0" xfId="0" applyNumberFormat="1" applyFont="1" applyFill="1"/>
    <xf numFmtId="164" fontId="4" fillId="3" borderId="0" xfId="0" applyNumberFormat="1" applyFont="1" applyFill="1" applyAlignment="1"/>
    <xf numFmtId="0" fontId="0" fillId="0" borderId="0" xfId="0" quotePrefix="1"/>
    <xf numFmtId="0" fontId="5" fillId="4" borderId="0" xfId="0" applyFont="1" applyFill="1" applyAlignment="1">
      <alignment horizontal="center" vertical="center" wrapText="1"/>
    </xf>
    <xf numFmtId="0" fontId="4" fillId="0" borderId="0" xfId="0" applyFont="1"/>
    <xf numFmtId="166" fontId="4" fillId="3" borderId="0" xfId="0" applyNumberFormat="1" applyFont="1" applyFill="1" applyAlignment="1"/>
    <xf numFmtId="49" fontId="0" fillId="0" borderId="0" xfId="0" applyNumberFormat="1" applyAlignment="1">
      <alignment horizontal="left" indent="2"/>
    </xf>
    <xf numFmtId="0" fontId="0" fillId="5" borderId="0" xfId="0" applyFill="1"/>
    <xf numFmtId="0" fontId="0" fillId="0" borderId="0" xfId="0" quotePrefix="1" applyNumberFormat="1"/>
    <xf numFmtId="0" fontId="5" fillId="4" borderId="0" xfId="0" applyFont="1" applyFill="1" applyAlignment="1">
      <alignment horizontal="centerContinuous" vertical="center" wrapText="1"/>
    </xf>
    <xf numFmtId="165" fontId="4" fillId="3" borderId="0" xfId="0" applyNumberFormat="1" applyFont="1" applyFill="1" applyBorder="1"/>
    <xf numFmtId="165" fontId="4" fillId="3" borderId="1" xfId="0" applyNumberFormat="1" applyFont="1" applyFill="1" applyBorder="1"/>
    <xf numFmtId="165" fontId="0" fillId="2" borderId="0" xfId="0" applyNumberFormat="1" applyFill="1" applyBorder="1"/>
    <xf numFmtId="165" fontId="0" fillId="2" borderId="1" xfId="0" applyNumberFormat="1" applyFill="1" applyBorder="1"/>
    <xf numFmtId="165" fontId="0" fillId="0" borderId="0" xfId="0" applyNumberFormat="1" applyBorder="1"/>
    <xf numFmtId="165" fontId="0" fillId="0" borderId="1" xfId="0" applyNumberFormat="1" applyBorder="1"/>
    <xf numFmtId="0" fontId="5" fillId="4" borderId="0" xfId="0" applyFont="1" applyFill="1" applyBorder="1" applyAlignment="1">
      <alignment horizontal="centerContinuous" vertical="center" wrapText="1"/>
    </xf>
    <xf numFmtId="0" fontId="5" fillId="4" borderId="2" xfId="0" applyFont="1" applyFill="1" applyBorder="1" applyAlignment="1">
      <alignment horizontal="centerContinuous"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left" indent="2"/>
    </xf>
    <xf numFmtId="49" fontId="0" fillId="0" borderId="0" xfId="0" applyNumberFormat="1" applyAlignment="1">
      <alignment horizontal="left" indent="3"/>
    </xf>
    <xf numFmtId="0" fontId="5" fillId="6" borderId="0" xfId="0" applyFont="1" applyFill="1" applyAlignment="1">
      <alignment horizontal="center" vertical="center" wrapText="1"/>
    </xf>
    <xf numFmtId="0" fontId="5" fillId="8" borderId="0" xfId="0" applyFont="1" applyFill="1" applyAlignment="1">
      <alignment horizontal="center" vertical="center" wrapText="1"/>
    </xf>
    <xf numFmtId="165" fontId="0" fillId="7" borderId="0" xfId="0" applyNumberFormat="1" applyFill="1"/>
    <xf numFmtId="0" fontId="6" fillId="0" borderId="0" xfId="0" applyFont="1"/>
    <xf numFmtId="0" fontId="7" fillId="0" borderId="0" xfId="0" applyFont="1" applyAlignment="1">
      <alignment horizontal="right" vertical="center"/>
    </xf>
    <xf numFmtId="0" fontId="7" fillId="0" borderId="0" xfId="0" applyFont="1"/>
    <xf numFmtId="0" fontId="9" fillId="9" borderId="3" xfId="2" applyNumberFormat="1" applyFont="1" applyFill="1" applyBorder="1" applyAlignment="1" applyProtection="1">
      <alignment horizontal="center" vertical="center"/>
    </xf>
    <xf numFmtId="168" fontId="7" fillId="0" borderId="0" xfId="3" applyFont="1" applyAlignment="1">
      <alignment horizontal="right" vertical="center"/>
    </xf>
    <xf numFmtId="0" fontId="97" fillId="9" borderId="0" xfId="2" applyNumberFormat="1" applyFont="1" applyFill="1" applyBorder="1" applyAlignment="1" applyProtection="1">
      <alignment horizontal="left" vertical="top"/>
    </xf>
    <xf numFmtId="0" fontId="98" fillId="9" borderId="0" xfId="2" applyNumberFormat="1" applyFont="1" applyFill="1" applyBorder="1" applyAlignment="1" applyProtection="1">
      <alignment horizontal="left" vertical="top"/>
    </xf>
    <xf numFmtId="0" fontId="0" fillId="0" borderId="0" xfId="0" applyAlignment="1">
      <alignment vertical="center"/>
    </xf>
    <xf numFmtId="0" fontId="99" fillId="4" borderId="0" xfId="0" applyFont="1" applyFill="1" applyAlignment="1">
      <alignment horizontal="left" vertical="center" wrapText="1"/>
    </xf>
    <xf numFmtId="166" fontId="0" fillId="2" borderId="0" xfId="0" applyNumberFormat="1" applyFill="1" applyAlignment="1">
      <alignment horizontal="left" indent="1"/>
    </xf>
    <xf numFmtId="0" fontId="0" fillId="0" borderId="0" xfId="0" applyAlignment="1">
      <alignment horizontal="center"/>
    </xf>
  </cellXfs>
  <cellStyles count="446">
    <cellStyle name="$   0,000" xfId="4"/>
    <cellStyle name="%" xfId="5"/>
    <cellStyle name="%0" xfId="6"/>
    <cellStyle name="%1" xfId="7"/>
    <cellStyle name="%2" xfId="8"/>
    <cellStyle name="£ BP" xfId="9"/>
    <cellStyle name="¥ JY" xfId="10"/>
    <cellStyle name="0" xfId="11"/>
    <cellStyle name="0,000" xfId="12"/>
    <cellStyle name="0.00" xfId="13"/>
    <cellStyle name="0.00%" xfId="14"/>
    <cellStyle name="0.0x" xfId="15"/>
    <cellStyle name="0_Actualisation provision contrat déficitaire SNCM 2010 V Def" xfId="16"/>
    <cellStyle name="0_Actualisation provision contrat déficitaire SNCM 2011 V3 30 05 2011" xfId="17"/>
    <cellStyle name="0_PPA SNCM - présentation CAC 28 06 2011" xfId="18"/>
    <cellStyle name="0_Simul location facturée par Trenitalia" xfId="19"/>
    <cellStyle name="20% - Accent1" xfId="20"/>
    <cellStyle name="20% - Accent2" xfId="21"/>
    <cellStyle name="20% - Accent3" xfId="22"/>
    <cellStyle name="20% - Accent4" xfId="23"/>
    <cellStyle name="20% - Accent5" xfId="24"/>
    <cellStyle name="20% - Accent6" xfId="25"/>
    <cellStyle name="40% - Accent1" xfId="26"/>
    <cellStyle name="40% - Accent2" xfId="27"/>
    <cellStyle name="40% - Accent3" xfId="28"/>
    <cellStyle name="40% - Accent4" xfId="29"/>
    <cellStyle name="40% - Accent5" xfId="30"/>
    <cellStyle name="40% - Accent6" xfId="31"/>
    <cellStyle name="60% - Accent1" xfId="32"/>
    <cellStyle name="60% - Accent2" xfId="33"/>
    <cellStyle name="60% - Accent3" xfId="34"/>
    <cellStyle name="60% - Accent4" xfId="35"/>
    <cellStyle name="60% - Accent5" xfId="36"/>
    <cellStyle name="60% - Accent6" xfId="37"/>
    <cellStyle name="at" xfId="38"/>
    <cellStyle name="b" xfId="39"/>
    <cellStyle name="b%0" xfId="40"/>
    <cellStyle name="b%1" xfId="41"/>
    <cellStyle name="b%2" xfId="42"/>
    <cellStyle name="b_Actualisation provision contrat déficitaire SNCM 2010 V Def" xfId="43"/>
    <cellStyle name="b_Actualisation provision contrat déficitaire SNCM 2011 V3 30 05 2011" xfId="44"/>
    <cellStyle name="b_LI819L_B13" xfId="45"/>
    <cellStyle name="b_PAO-CAF-RESOP_14_01_13 à 20h" xfId="46"/>
    <cellStyle name="b0" xfId="47"/>
    <cellStyle name="b09" xfId="48"/>
    <cellStyle name="b1" xfId="49"/>
    <cellStyle name="b2" xfId="50"/>
    <cellStyle name="Bad" xfId="51"/>
    <cellStyle name="Black" xfId="52"/>
    <cellStyle name="blue" xfId="53"/>
    <cellStyle name="bo" xfId="54"/>
    <cellStyle name="Bold/Border" xfId="55"/>
    <cellStyle name="Bottom" xfId="56"/>
    <cellStyle name="bout" xfId="57"/>
    <cellStyle name="bt" xfId="58"/>
    <cellStyle name="btit" xfId="59"/>
    <cellStyle name="Bullet" xfId="60"/>
    <cellStyle name="c" xfId="61"/>
    <cellStyle name="c_Actualisation provision contrat déficitaire SNCM 2010 V Def" xfId="62"/>
    <cellStyle name="c_Actualisation provision contrat déficitaire SNCM 2011 V3 30 05 2011" xfId="63"/>
    <cellStyle name="c_Grouse+Pelican" xfId="64"/>
    <cellStyle name="c_LI819L_B13" xfId="65"/>
    <cellStyle name="c_Macros" xfId="66"/>
    <cellStyle name="c_Macros (2)" xfId="67"/>
    <cellStyle name="c_Macros (2)_Actualisation provision contrat déficitaire SNCM 2010 V Def" xfId="68"/>
    <cellStyle name="c_Macros (2)_Actualisation provision contrat déficitaire SNCM 2011 V3 30 05 2011" xfId="69"/>
    <cellStyle name="c_Macros (2)_LI819L_B13" xfId="70"/>
    <cellStyle name="c_Macros (2)_PAO-CAF-RESOP_14_01_13 à 20h" xfId="71"/>
    <cellStyle name="c_Macros_Actualisation provision contrat déficitaire SNCM 2010 V Def" xfId="72"/>
    <cellStyle name="c_Macros_Actualisation provision contrat déficitaire SNCM 2011 V3 30 05 2011" xfId="73"/>
    <cellStyle name="c_Macros_LI819L_B13" xfId="74"/>
    <cellStyle name="c_Macros_PAO-CAF-RESOP_14_01_13 à 20h" xfId="75"/>
    <cellStyle name="c_Manager (2)" xfId="76"/>
    <cellStyle name="c_Manager (2)_Actualisation provision contrat déficitaire SNCM 2010 V Def" xfId="77"/>
    <cellStyle name="c_Manager (2)_Actualisation provision contrat déficitaire SNCM 2011 V3 30 05 2011" xfId="78"/>
    <cellStyle name="c_Manager (2)_LI819L_B13" xfId="79"/>
    <cellStyle name="c_Manager (2)_PAO-CAF-RESOP_14_01_13 à 20h" xfId="80"/>
    <cellStyle name="c_PAO-CAF-RESOP_14_01_13 à 20h" xfId="81"/>
    <cellStyle name="c0" xfId="82"/>
    <cellStyle name="cach" xfId="83"/>
    <cellStyle name="Calculation" xfId="84"/>
    <cellStyle name="Check Cell" xfId="85"/>
    <cellStyle name="chiffre" xfId="86"/>
    <cellStyle name="co" xfId="87"/>
    <cellStyle name="Comma [1]" xfId="88"/>
    <cellStyle name="Comma [2]" xfId="89"/>
    <cellStyle name="Comma 4" xfId="90"/>
    <cellStyle name="Comma 5" xfId="91"/>
    <cellStyle name="Comma_Axmann Utopia toolbox all_in_one" xfId="92"/>
    <cellStyle name="Currency [1]" xfId="93"/>
    <cellStyle name="Currency [2]" xfId="94"/>
    <cellStyle name="Currency_Axmann Utopia toolbox all_in_one" xfId="95"/>
    <cellStyle name="Currency-Denomination" xfId="96"/>
    <cellStyle name="Dash" xfId="97"/>
    <cellStyle name="Decimal_0dp" xfId="98"/>
    <cellStyle name="Dezimal__Utopia Index Index und Guidance (Deutsch)" xfId="99"/>
    <cellStyle name="Euro" xfId="100"/>
    <cellStyle name="Euro 2" xfId="101"/>
    <cellStyle name="Explanatory Text" xfId="102"/>
    <cellStyle name="EY Narrative text" xfId="103"/>
    <cellStyle name="EY%colcalc" xfId="104"/>
    <cellStyle name="EY%colcalc 2" xfId="105"/>
    <cellStyle name="EY%input" xfId="106"/>
    <cellStyle name="EY%input 2" xfId="107"/>
    <cellStyle name="EY%rowcalc" xfId="108"/>
    <cellStyle name="EY%rowcalc 2" xfId="109"/>
    <cellStyle name="EY0dp" xfId="110"/>
    <cellStyle name="EY0dp 2" xfId="111"/>
    <cellStyle name="EY1dp" xfId="112"/>
    <cellStyle name="EY1dp 2" xfId="113"/>
    <cellStyle name="EY2dp" xfId="114"/>
    <cellStyle name="EY2dp 2" xfId="115"/>
    <cellStyle name="EY3dp" xfId="116"/>
    <cellStyle name="EY3dp 2" xfId="117"/>
    <cellStyle name="EYColumnHeading" xfId="118"/>
    <cellStyle name="EYColumnHeading 2" xfId="119"/>
    <cellStyle name="EYColumnHeading 3" xfId="120"/>
    <cellStyle name="EYColumnHeadingItalic" xfId="121"/>
    <cellStyle name="EYCoverDatabookName" xfId="122"/>
    <cellStyle name="EYCoverDate" xfId="123"/>
    <cellStyle name="EYCoverDraft" xfId="124"/>
    <cellStyle name="EYCoverProjectName" xfId="125"/>
    <cellStyle name="EYCurrency" xfId="126"/>
    <cellStyle name="EYHeading1" xfId="127"/>
    <cellStyle name="EYheading2" xfId="128"/>
    <cellStyle name="EYheading3" xfId="129"/>
    <cellStyle name="EYNotes" xfId="130"/>
    <cellStyle name="EYNotesHeading" xfId="131"/>
    <cellStyle name="EYnumber" xfId="132"/>
    <cellStyle name="EYnumber 2" xfId="133"/>
    <cellStyle name="EYSectionHeading" xfId="134"/>
    <cellStyle name="EYSheetHeader1" xfId="135"/>
    <cellStyle name="EYSheetHeading" xfId="136"/>
    <cellStyle name="EYsmallheading" xfId="137"/>
    <cellStyle name="EYSource" xfId="138"/>
    <cellStyle name="EYtext" xfId="139"/>
    <cellStyle name="EYtext 2" xfId="140"/>
    <cellStyle name="EYtext 3" xfId="141"/>
    <cellStyle name="EYtextbold" xfId="142"/>
    <cellStyle name="EYtextbolditalic" xfId="143"/>
    <cellStyle name="EYtextitalic" xfId="144"/>
    <cellStyle name="Followed Hyperlink" xfId="145"/>
    <cellStyle name="Forecast Cell Column Heading" xfId="146"/>
    <cellStyle name="FormattingSheetDelimitor" xfId="147"/>
    <cellStyle name="FRxAmtStyle" xfId="148"/>
    <cellStyle name="FRxPcntStyle" xfId="149"/>
    <cellStyle name="Good" xfId="150"/>
    <cellStyle name="h" xfId="151"/>
    <cellStyle name="Heading 1" xfId="152"/>
    <cellStyle name="Heading 2" xfId="153"/>
    <cellStyle name="Heading 3" xfId="154"/>
    <cellStyle name="Heading 4" xfId="155"/>
    <cellStyle name="Hyperlink" xfId="156"/>
    <cellStyle name="Input" xfId="157"/>
    <cellStyle name="Input 2" xfId="158"/>
    <cellStyle name="InputBlueFont" xfId="159"/>
    <cellStyle name="InputBlueFontLocked" xfId="160"/>
    <cellStyle name="KPMG Heading 1" xfId="161"/>
    <cellStyle name="KPMG Heading 2" xfId="162"/>
    <cellStyle name="KPMG Heading 3" xfId="163"/>
    <cellStyle name="KPMG Heading 4" xfId="164"/>
    <cellStyle name="KPMG Normal" xfId="165"/>
    <cellStyle name="KPMG Normal Text" xfId="166"/>
    <cellStyle name="Linked Cell" xfId="167"/>
    <cellStyle name="LTM Cell Column Heading" xfId="168"/>
    <cellStyle name="Milliers 2" xfId="169"/>
    <cellStyle name="Multiple" xfId="170"/>
    <cellStyle name="Multiple Cell Column Heading" xfId="171"/>
    <cellStyle name="Navadno 2" xfId="172"/>
    <cellStyle name="Neutral" xfId="173"/>
    <cellStyle name="no" xfId="174"/>
    <cellStyle name="No-definido" xfId="175"/>
    <cellStyle name="Non d‚fini" xfId="176"/>
    <cellStyle name="Non d‚fini 2" xfId="177"/>
    <cellStyle name="Normal" xfId="0" builtinId="0"/>
    <cellStyle name="Normal - Style1" xfId="178"/>
    <cellStyle name="Normal - Style2" xfId="179"/>
    <cellStyle name="Normal - Style3" xfId="180"/>
    <cellStyle name="Normal - Style4" xfId="181"/>
    <cellStyle name="Normal - Style5" xfId="182"/>
    <cellStyle name="Normal - Style6" xfId="183"/>
    <cellStyle name="Normal - Style7" xfId="184"/>
    <cellStyle name="Normal - Style8" xfId="185"/>
    <cellStyle name="Normal 10" xfId="186"/>
    <cellStyle name="Normal 10 2" xfId="187"/>
    <cellStyle name="Normal 10 2 2" xfId="188"/>
    <cellStyle name="Normal 10 2 3" xfId="189"/>
    <cellStyle name="Normal 10 3" xfId="190"/>
    <cellStyle name="Normal 10 4" xfId="191"/>
    <cellStyle name="Normal 11" xfId="192"/>
    <cellStyle name="Normal 12" xfId="193"/>
    <cellStyle name="Normal 13" xfId="194"/>
    <cellStyle name="Normal 14" xfId="195"/>
    <cellStyle name="Normal 15" xfId="196"/>
    <cellStyle name="Normal 16" xfId="197"/>
    <cellStyle name="Normal 17" xfId="198"/>
    <cellStyle name="Normal 18" xfId="199"/>
    <cellStyle name="Normal 19" xfId="200"/>
    <cellStyle name="Normal 2" xfId="3"/>
    <cellStyle name="Normal 2 10" xfId="201"/>
    <cellStyle name="Normal 2 11" xfId="202"/>
    <cellStyle name="Normal 2 12" xfId="203"/>
    <cellStyle name="Normal 2 13" xfId="204"/>
    <cellStyle name="Normal 2 14" xfId="205"/>
    <cellStyle name="Normal 2 15" xfId="206"/>
    <cellStyle name="Normal 2 16" xfId="207"/>
    <cellStyle name="Normal 2 17" xfId="208"/>
    <cellStyle name="Normal 2 2" xfId="209"/>
    <cellStyle name="Normal 2 3" xfId="210"/>
    <cellStyle name="Normal 2 4" xfId="211"/>
    <cellStyle name="Normal 2 5" xfId="212"/>
    <cellStyle name="Normal 2 6" xfId="213"/>
    <cellStyle name="Normal 2 7" xfId="214"/>
    <cellStyle name="Normal 2 8" xfId="215"/>
    <cellStyle name="Normal 2 9" xfId="216"/>
    <cellStyle name="Normal 20" xfId="217"/>
    <cellStyle name="Normal 21" xfId="218"/>
    <cellStyle name="Normal 22" xfId="219"/>
    <cellStyle name="Normal 23" xfId="220"/>
    <cellStyle name="Normal 24" xfId="221"/>
    <cellStyle name="Normal 25" xfId="222"/>
    <cellStyle name="Normal 26" xfId="223"/>
    <cellStyle name="Normal 27" xfId="224"/>
    <cellStyle name="Normal 28" xfId="225"/>
    <cellStyle name="Normal 29" xfId="226"/>
    <cellStyle name="Normal 3" xfId="227"/>
    <cellStyle name="Normal 3 10" xfId="228"/>
    <cellStyle name="Normal 3 11" xfId="229"/>
    <cellStyle name="Normal 3 12" xfId="230"/>
    <cellStyle name="Normal 3 2" xfId="231"/>
    <cellStyle name="Normal 3 3" xfId="232"/>
    <cellStyle name="Normal 3 4" xfId="233"/>
    <cellStyle name="Normal 3 5" xfId="234"/>
    <cellStyle name="Normal 3 6" xfId="235"/>
    <cellStyle name="Normal 3 7" xfId="236"/>
    <cellStyle name="Normal 3 8" xfId="237"/>
    <cellStyle name="Normal 3 9" xfId="238"/>
    <cellStyle name="Normal 30" xfId="239"/>
    <cellStyle name="Normal 31" xfId="240"/>
    <cellStyle name="Normal 32" xfId="1"/>
    <cellStyle name="Normal 32 2" xfId="241"/>
    <cellStyle name="Normal 33" xfId="242"/>
    <cellStyle name="Normal 34" xfId="243"/>
    <cellStyle name="Normal 4" xfId="244"/>
    <cellStyle name="Normal 4 2" xfId="245"/>
    <cellStyle name="Normal 4 3" xfId="246"/>
    <cellStyle name="Normal 4_NBV" xfId="247"/>
    <cellStyle name="Normal 5" xfId="248"/>
    <cellStyle name="Normal 5 2" xfId="249"/>
    <cellStyle name="Normal 6" xfId="250"/>
    <cellStyle name="Normal 6 2" xfId="251"/>
    <cellStyle name="Normal 6 2 2" xfId="252"/>
    <cellStyle name="Normal 6 2 3" xfId="253"/>
    <cellStyle name="Normal 6 3" xfId="254"/>
    <cellStyle name="Normal 6 4" xfId="255"/>
    <cellStyle name="Normal 6 5" xfId="256"/>
    <cellStyle name="Normal 7" xfId="257"/>
    <cellStyle name="Normal 7 2" xfId="258"/>
    <cellStyle name="Normal 7 2 2" xfId="259"/>
    <cellStyle name="Normal 7 2 3" xfId="260"/>
    <cellStyle name="Normal 7 3" xfId="261"/>
    <cellStyle name="Normal 7 4" xfId="262"/>
    <cellStyle name="Normal 7 5" xfId="263"/>
    <cellStyle name="Normal 8" xfId="264"/>
    <cellStyle name="Normal 8 2" xfId="265"/>
    <cellStyle name="Normal 8 2 2" xfId="266"/>
    <cellStyle name="Normal 8 2 3" xfId="267"/>
    <cellStyle name="Normal 8 3" xfId="268"/>
    <cellStyle name="Normal 8 4" xfId="269"/>
    <cellStyle name="Normal 9" xfId="270"/>
    <cellStyle name="Normal 9 2" xfId="271"/>
    <cellStyle name="Normal 9 2 2" xfId="272"/>
    <cellStyle name="Normal 9 2 3" xfId="273"/>
    <cellStyle name="Normal 9 3" xfId="274"/>
    <cellStyle name="Normal 9 4" xfId="275"/>
    <cellStyle name="Normal_EBIT_EBITDA  groupe Actual 2003.12" xfId="2"/>
    <cellStyle name="Note" xfId="276"/>
    <cellStyle name="Notes_multi" xfId="277"/>
    <cellStyle name="Output" xfId="278"/>
    <cellStyle name="p" xfId="279"/>
    <cellStyle name="p_Actualisation provision contrat déficitaire SNCM 2010 V Def" xfId="280"/>
    <cellStyle name="p_Actualisation provision contrat déficitaire SNCM 2011 V3 30 05 2011" xfId="281"/>
    <cellStyle name="p_PPA SNCM - présentation CAC 28 06 2011" xfId="282"/>
    <cellStyle name="pb_page_heading_LS" xfId="283"/>
    <cellStyle name="pe" xfId="284"/>
    <cellStyle name="per" xfId="285"/>
    <cellStyle name="Percent [0]" xfId="286"/>
    <cellStyle name="Percent [1]" xfId="287"/>
    <cellStyle name="Percent [2]" xfId="288"/>
    <cellStyle name="Percent 2" xfId="289"/>
    <cellStyle name="Percent 2 2" xfId="290"/>
    <cellStyle name="Pound" xfId="291"/>
    <cellStyle name="Pound [1]" xfId="292"/>
    <cellStyle name="Pound [2]" xfId="293"/>
    <cellStyle name="Pourcentage 2" xfId="294"/>
    <cellStyle name="Pourcentage 2 2" xfId="295"/>
    <cellStyle name="Pourcentage 2 3" xfId="296"/>
    <cellStyle name="Pourcentage 2 4" xfId="297"/>
    <cellStyle name="Pourcentage 2 5" xfId="298"/>
    <cellStyle name="Pourcentage 2 6" xfId="299"/>
    <cellStyle name="Pourcentage 2 7" xfId="300"/>
    <cellStyle name="Pourcentage 2 8" xfId="301"/>
    <cellStyle name="Pourcentage 3" xfId="302"/>
    <cellStyle name="Pourcentage 4" xfId="303"/>
    <cellStyle name="Pourcentage 5" xfId="304"/>
    <cellStyle name="ptit" xfId="305"/>
    <cellStyle name="rat" xfId="306"/>
    <cellStyle name="rate" xfId="307"/>
    <cellStyle name="ratio" xfId="308"/>
    <cellStyle name="s" xfId="309"/>
    <cellStyle name="s_Actualisation provision contrat déficitaire SNCM 2010 V Def" xfId="310"/>
    <cellStyle name="s_Actualisation provision contrat déficitaire SNCM 2011 V3 30 05 2011" xfId="311"/>
    <cellStyle name="s_Assumptions" xfId="312"/>
    <cellStyle name="s_Assumptions_Actualisation provision contrat déficitaire SNCM 2010 V Def" xfId="313"/>
    <cellStyle name="s_Assumptions_Actualisation provision contrat déficitaire SNCM 2011 V3 30 05 2011" xfId="314"/>
    <cellStyle name="s_Assumptions_LI819L_B13" xfId="315"/>
    <cellStyle name="s_Assumptions_PAO-CAF-RESOP_14_01_13 à 20h" xfId="316"/>
    <cellStyle name="s_B_S_Ratios _B" xfId="317"/>
    <cellStyle name="s_B_S_Ratios _B_Actualisation provision contrat déficitaire SNCM 2010 V Def" xfId="318"/>
    <cellStyle name="s_B_S_Ratios _B_Actualisation provision contrat déficitaire SNCM 2011 V3 30 05 2011" xfId="319"/>
    <cellStyle name="s_B_S_Ratios _B_LI819L_B13" xfId="320"/>
    <cellStyle name="s_B_S_Ratios _B_PAO-CAF-RESOP_14_01_13 à 20h" xfId="321"/>
    <cellStyle name="s_B_S_Ratios_T" xfId="322"/>
    <cellStyle name="s_B_S_Ratios_T_Actualisation provision contrat déficitaire SNCM 2010 V Def" xfId="323"/>
    <cellStyle name="s_B_S_Ratios_T_Actualisation provision contrat déficitaire SNCM 2011 V3 30 05 2011" xfId="324"/>
    <cellStyle name="s_B_S_Ratios_T_LI819L_B13" xfId="325"/>
    <cellStyle name="s_B_S_Ratios_T_PAO-CAF-RESOP_14_01_13 à 20h" xfId="326"/>
    <cellStyle name="s_DCFLBO Code" xfId="327"/>
    <cellStyle name="s_DCFLBO Code_1" xfId="328"/>
    <cellStyle name="s_DCFLBO Code_1_Actualisation provision contrat déficitaire SNCM 2010 V Def" xfId="329"/>
    <cellStyle name="s_DCFLBO Code_1_Actualisation provision contrat déficitaire SNCM 2011 V3 30 05 2011" xfId="330"/>
    <cellStyle name="s_DCFLBO Code_1_LI819L_B13" xfId="331"/>
    <cellStyle name="s_DCFLBO Code_1_PAO-CAF-RESOP_14_01_13 à 20h" xfId="332"/>
    <cellStyle name="s_DCFLBO Code_Actualisation provision contrat déficitaire SNCM 2010 V Def" xfId="333"/>
    <cellStyle name="s_DCFLBO Code_Actualisation provision contrat déficitaire SNCM 2011 V3 30 05 2011" xfId="334"/>
    <cellStyle name="s_DCFLBO Code_LI819L_B13" xfId="335"/>
    <cellStyle name="s_DCFLBO Code_PAO-CAF-RESOP_14_01_13 à 20h" xfId="336"/>
    <cellStyle name="s_Dilution" xfId="337"/>
    <cellStyle name="s_Dilution_Actualisation provision contrat déficitaire SNCM 2010 V Def" xfId="338"/>
    <cellStyle name="s_Dilution_Actualisation provision contrat déficitaire SNCM 2011 V3 30 05 2011" xfId="339"/>
    <cellStyle name="s_Dilution_LI819L_B13" xfId="340"/>
    <cellStyle name="s_Dilution_PAO-CAF-RESOP_14_01_13 à 20h" xfId="341"/>
    <cellStyle name="s_Financials_B" xfId="342"/>
    <cellStyle name="s_Financials_B_Actualisation provision contrat déficitaire SNCM 2010 V Def" xfId="343"/>
    <cellStyle name="s_Financials_B_Actualisation provision contrat déficitaire SNCM 2011 V3 30 05 2011" xfId="344"/>
    <cellStyle name="s_Financials_B_LI819L_B13" xfId="345"/>
    <cellStyle name="s_Financials_B_PAO-CAF-RESOP_14_01_13 à 20h" xfId="346"/>
    <cellStyle name="s_Financials_T" xfId="347"/>
    <cellStyle name="s_Financials_T_Actualisation provision contrat déficitaire SNCM 2010 V Def" xfId="348"/>
    <cellStyle name="s_Financials_T_Actualisation provision contrat déficitaire SNCM 2011 V3 30 05 2011" xfId="349"/>
    <cellStyle name="s_Financials_T_LI819L_B13" xfId="350"/>
    <cellStyle name="s_Financials_T_PAO-CAF-RESOP_14_01_13 à 20h" xfId="351"/>
    <cellStyle name="s_Grouse+Pelican" xfId="352"/>
    <cellStyle name="s_LI819L_B13" xfId="353"/>
    <cellStyle name="s_Matrix_B" xfId="354"/>
    <cellStyle name="s_Matrix_B_Actualisation provision contrat déficitaire SNCM 2010 V Def" xfId="355"/>
    <cellStyle name="s_Matrix_B_Actualisation provision contrat déficitaire SNCM 2011 V3 30 05 2011" xfId="356"/>
    <cellStyle name="s_Matrix_B_LI819L_B13" xfId="357"/>
    <cellStyle name="s_Matrix_B_PAO-CAF-RESOP_14_01_13 à 20h" xfId="358"/>
    <cellStyle name="s_Matrix_T" xfId="359"/>
    <cellStyle name="s_Matrix_T_Actualisation provision contrat déficitaire SNCM 2010 V Def" xfId="360"/>
    <cellStyle name="s_Matrix_T_Actualisation provision contrat déficitaire SNCM 2011 V3 30 05 2011" xfId="361"/>
    <cellStyle name="s_Matrix_T_LI819L_B13" xfId="362"/>
    <cellStyle name="s_Matrix_T_PAO-CAF-RESOP_14_01_13 à 20h" xfId="363"/>
    <cellStyle name="s_Merger" xfId="364"/>
    <cellStyle name="s_Merger_Actualisation provision contrat déficitaire SNCM 2010 V Def" xfId="365"/>
    <cellStyle name="s_Merger_Actualisation provision contrat déficitaire SNCM 2011 V3 30 05 2011" xfId="366"/>
    <cellStyle name="s_Merger_LI819L_B13" xfId="367"/>
    <cellStyle name="s_Merger_PAO-CAF-RESOP_14_01_13 à 20h" xfId="368"/>
    <cellStyle name="s_model2" xfId="369"/>
    <cellStyle name="s_model2_Actualisation provision contrat déficitaire SNCM 2010 V Def" xfId="370"/>
    <cellStyle name="s_model2_Actualisation provision contrat déficitaire SNCM 2011 V3 30 05 2011" xfId="371"/>
    <cellStyle name="s_model2_LI819L_B13" xfId="372"/>
    <cellStyle name="s_model2_PAO-CAF-RESOP_14_01_13 à 20h" xfId="373"/>
    <cellStyle name="s_P_L_Ratios" xfId="374"/>
    <cellStyle name="s_P_L_Ratios_Actualisation provision contrat déficitaire SNCM 2010 V Def" xfId="375"/>
    <cellStyle name="s_P_L_Ratios_Actualisation provision contrat déficitaire SNCM 2011 V3 30 05 2011" xfId="376"/>
    <cellStyle name="s_P_L_Ratios_B" xfId="377"/>
    <cellStyle name="s_P_L_Ratios_B_Actualisation provision contrat déficitaire SNCM 2010 V Def" xfId="378"/>
    <cellStyle name="s_P_L_Ratios_B_Actualisation provision contrat déficitaire SNCM 2011 V3 30 05 2011" xfId="379"/>
    <cellStyle name="s_P_L_Ratios_B_LI819L_B13" xfId="380"/>
    <cellStyle name="s_P_L_Ratios_B_PAO-CAF-RESOP_14_01_13 à 20h" xfId="381"/>
    <cellStyle name="s_P_L_Ratios_LI819L_B13" xfId="382"/>
    <cellStyle name="s_P_L_Ratios_PAO-CAF-RESOP_14_01_13 à 20h" xfId="383"/>
    <cellStyle name="s_PAO-CAF-RESOP_14_01_13 à 20h" xfId="384"/>
    <cellStyle name="s_S_By_S" xfId="385"/>
    <cellStyle name="s_S_By_S_Actualisation provision contrat déficitaire SNCM 2010 V Def" xfId="386"/>
    <cellStyle name="s_S_By_S_Actualisation provision contrat déficitaire SNCM 2011 V3 30 05 2011" xfId="387"/>
    <cellStyle name="s_S_By_S_LI819L_B13" xfId="388"/>
    <cellStyle name="s_S_By_S_PAO-CAF-RESOP_14_01_13 à 20h" xfId="389"/>
    <cellStyle name="s_Sheet5" xfId="390"/>
    <cellStyle name="s_Sheet5_Actualisation provision contrat déficitaire SNCM 2010 V Def" xfId="391"/>
    <cellStyle name="s_Sheet5_Actualisation provision contrat déficitaire SNCM 2011 V3 30 05 2011" xfId="392"/>
    <cellStyle name="s_Sheet5_LI819L_B13" xfId="393"/>
    <cellStyle name="s_Sheet5_PAO-CAF-RESOP_14_01_13 à 20h" xfId="394"/>
    <cellStyle name="s_Valuation " xfId="395"/>
    <cellStyle name="s_Valuation _Actualisation provision contrat déficitaire SNCM 2010 V Def" xfId="396"/>
    <cellStyle name="s_Valuation _Actualisation provision contrat déficitaire SNCM 2011 V3 30 05 2011" xfId="397"/>
    <cellStyle name="s_Valuation _LI819L_B13" xfId="398"/>
    <cellStyle name="s_Valuation _PAO-CAF-RESOP_14_01_13 à 20h" xfId="399"/>
    <cellStyle name="SAPBEXHLevel1" xfId="400"/>
    <cellStyle name="SAPBEXstdData" xfId="401"/>
    <cellStyle name="Shading" xfId="402"/>
    <cellStyle name="Single Cell Column Heading" xfId="403"/>
    <cellStyle name="Standard__Utopia Index Index und Guidance (Deutsch)" xfId="404"/>
    <cellStyle name="Style 1" xfId="405"/>
    <cellStyle name="STYLE1" xfId="406"/>
    <cellStyle name="STYLE1 2" xfId="407"/>
    <cellStyle name="STYLE2" xfId="408"/>
    <cellStyle name="STYLE2 2" xfId="409"/>
    <cellStyle name="STYLE3" xfId="410"/>
    <cellStyle name="STYLE3 2" xfId="411"/>
    <cellStyle name="STYLE4" xfId="412"/>
    <cellStyle name="STYLE4 2" xfId="413"/>
    <cellStyle name="STYLE5" xfId="414"/>
    <cellStyle name="STYLE5 2" xfId="415"/>
    <cellStyle name="STYLE6" xfId="416"/>
    <cellStyle name="STYLE6 2" xfId="417"/>
    <cellStyle name="STYLE7" xfId="418"/>
    <cellStyle name="STYLE7 2" xfId="419"/>
    <cellStyle name="STYLE8" xfId="420"/>
    <cellStyle name="STYLE8 2" xfId="421"/>
    <cellStyle name="STYLE9" xfId="422"/>
    <cellStyle name="STYLE9 2" xfId="423"/>
    <cellStyle name="t" xfId="424"/>
    <cellStyle name="t_Actualisation provision contrat déficitaire SNCM 2010 V Def" xfId="425"/>
    <cellStyle name="t_Actualisation provision contrat déficitaire SNCM 2011 V3 30 05 2011" xfId="426"/>
    <cellStyle name="t_LI819L_B13" xfId="427"/>
    <cellStyle name="t_Manager" xfId="428"/>
    <cellStyle name="t_Manager_Actualisation provision contrat déficitaire SNCM 2010 V Def" xfId="429"/>
    <cellStyle name="t_Manager_Actualisation provision contrat déficitaire SNCM 2011 V3 30 05 2011" xfId="430"/>
    <cellStyle name="t_Manager_LI819L_B13" xfId="431"/>
    <cellStyle name="t_Manager_PAO-CAF-RESOP_14_01_13 à 20h" xfId="432"/>
    <cellStyle name="t_PAO-CAF-RESOP_14_01_13 à 20h" xfId="433"/>
    <cellStyle name="Text Level 1" xfId="434"/>
    <cellStyle name="Text Level 2" xfId="435"/>
    <cellStyle name="Text Level 3" xfId="436"/>
    <cellStyle name="Text Level 4" xfId="437"/>
    <cellStyle name="Title" xfId="438"/>
    <cellStyle name="Titles" xfId="439"/>
    <cellStyle name="Top_Double_Bottom" xfId="440"/>
    <cellStyle name="UNDERRUBRIK" xfId="441"/>
    <cellStyle name="Warning Text" xfId="442"/>
    <cellStyle name="Year" xfId="443"/>
    <cellStyle name="zoe" xfId="444"/>
    <cellStyle name="常规_Sheet1_Sub-consolidation Scope 2008 12 SX432 Lanzhou" xfId="44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571501</xdr:colOff>
      <xdr:row>11</xdr:row>
      <xdr:rowOff>85725</xdr:rowOff>
    </xdr:from>
    <xdr:to>
      <xdr:col>5</xdr:col>
      <xdr:colOff>695325</xdr:colOff>
      <xdr:row>16</xdr:row>
      <xdr:rowOff>180975</xdr:rowOff>
    </xdr:to>
    <xdr:sp macro="" textlink="">
      <xdr:nvSpPr>
        <xdr:cNvPr id="2" name="Rectangle à coins arrondis 1"/>
        <xdr:cNvSpPr/>
      </xdr:nvSpPr>
      <xdr:spPr>
        <a:xfrm>
          <a:off x="5657851" y="276225"/>
          <a:ext cx="1123949" cy="1047750"/>
        </a:xfrm>
        <a:prstGeom prst="wedgeRoundRectCallout">
          <a:avLst>
            <a:gd name="adj1" fmla="val -106782"/>
            <a:gd name="adj2" fmla="val 24702"/>
            <a:gd name="adj3" fmla="val 1666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fr-F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Choose parameters and refresh with </a:t>
          </a:r>
          <a:r>
            <a:rPr lang="fr-FR" sz="11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ALT F9 </a:t>
          </a:r>
          <a:endParaRPr lang="fr-FR" sz="16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428625</xdr:colOff>
      <xdr:row>11</xdr:row>
      <xdr:rowOff>76200</xdr:rowOff>
    </xdr:from>
    <xdr:to>
      <xdr:col>5</xdr:col>
      <xdr:colOff>557740</xdr:colOff>
      <xdr:row>16</xdr:row>
      <xdr:rowOff>171450</xdr:rowOff>
    </xdr:to>
    <xdr:sp macro="" textlink="">
      <xdr:nvSpPr>
        <xdr:cNvPr id="3" name="Rectangle à coins arrondis 2"/>
        <xdr:cNvSpPr/>
      </xdr:nvSpPr>
      <xdr:spPr>
        <a:xfrm>
          <a:off x="4876800" y="266700"/>
          <a:ext cx="1129240" cy="1047750"/>
        </a:xfrm>
        <a:prstGeom prst="wedgeRoundRectCallout">
          <a:avLst>
            <a:gd name="adj1" fmla="val -106782"/>
            <a:gd name="adj2" fmla="val 24702"/>
            <a:gd name="adj3" fmla="val 1666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fr-F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Choose parameters and refresh with </a:t>
          </a:r>
          <a:r>
            <a:rPr lang="fr-FR" sz="11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ALT F9 </a:t>
          </a:r>
          <a:endParaRPr lang="fr-FR" sz="1600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752476</xdr:colOff>
      <xdr:row>15</xdr:row>
      <xdr:rowOff>133349</xdr:rowOff>
    </xdr:from>
    <xdr:to>
      <xdr:col>1</xdr:col>
      <xdr:colOff>1704976</xdr:colOff>
      <xdr:row>19</xdr:row>
      <xdr:rowOff>257174</xdr:rowOff>
    </xdr:to>
    <xdr:sp macro="" textlink="">
      <xdr:nvSpPr>
        <xdr:cNvPr id="3" name="Rectangle à coins arrondis 2"/>
        <xdr:cNvSpPr/>
      </xdr:nvSpPr>
      <xdr:spPr>
        <a:xfrm>
          <a:off x="752476" y="1085849"/>
          <a:ext cx="952500" cy="885825"/>
        </a:xfrm>
        <a:prstGeom prst="wedgeRoundRectCallout">
          <a:avLst>
            <a:gd name="adj1" fmla="val -104887"/>
            <a:gd name="adj2" fmla="val 56519"/>
            <a:gd name="adj3" fmla="val 16667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0000"/>
              </a:solidFill>
            </a:rPr>
            <a:t>Zoom</a:t>
          </a:r>
          <a:r>
            <a:rPr lang="fr-FR" sz="1000" b="1" baseline="0">
              <a:solidFill>
                <a:srgbClr val="FF0000"/>
              </a:solidFill>
            </a:rPr>
            <a:t> : double click sur le + / -</a:t>
          </a:r>
          <a:endParaRPr lang="fr-FR" sz="10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304800</xdr:colOff>
      <xdr:row>10</xdr:row>
      <xdr:rowOff>76200</xdr:rowOff>
    </xdr:from>
    <xdr:to>
      <xdr:col>9</xdr:col>
      <xdr:colOff>866775</xdr:colOff>
      <xdr:row>15</xdr:row>
      <xdr:rowOff>38100</xdr:rowOff>
    </xdr:to>
    <xdr:sp macro="" textlink="">
      <xdr:nvSpPr>
        <xdr:cNvPr id="4" name="Rectangle à coins arrondis 3"/>
        <xdr:cNvSpPr/>
      </xdr:nvSpPr>
      <xdr:spPr>
        <a:xfrm>
          <a:off x="8810625" y="76200"/>
          <a:ext cx="3562350" cy="914400"/>
        </a:xfrm>
        <a:prstGeom prst="wedgeRoundRectCallout">
          <a:avLst>
            <a:gd name="adj1" fmla="val -45476"/>
            <a:gd name="adj2" fmla="val 101528"/>
            <a:gd name="adj3" fmla="val 16667"/>
          </a:avLst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0000"/>
              </a:solidFill>
            </a:rPr>
            <a:t>Local Gaap = Local_Gaap_Mgmt_tool + Delta_vector_input</a:t>
          </a:r>
        </a:p>
        <a:p>
          <a:pPr algn="ctr"/>
          <a:r>
            <a:rPr lang="fr-FR" sz="1000" b="1">
              <a:solidFill>
                <a:schemeClr val="accent1">
                  <a:lumMod val="50000"/>
                </a:schemeClr>
              </a:solidFill>
            </a:rPr>
            <a:t>Local_Gaap_Mgmt_tool (Countries</a:t>
          </a:r>
          <a:r>
            <a:rPr lang="fr-FR" sz="1000" b="1" baseline="0">
              <a:solidFill>
                <a:schemeClr val="accent1">
                  <a:lumMod val="50000"/>
                </a:schemeClr>
              </a:solidFill>
            </a:rPr>
            <a:t> data</a:t>
          </a:r>
          <a:r>
            <a:rPr lang="fr-FR" sz="1000" b="1">
              <a:solidFill>
                <a:schemeClr val="accent1">
                  <a:lumMod val="50000"/>
                </a:schemeClr>
              </a:solidFill>
            </a:rPr>
            <a:t>)</a:t>
          </a:r>
        </a:p>
        <a:p>
          <a:pPr algn="ctr"/>
          <a:r>
            <a:rPr lang="fr-FR" sz="1000" b="1">
              <a:solidFill>
                <a:schemeClr val="accent3">
                  <a:lumMod val="50000"/>
                </a:schemeClr>
              </a:solidFill>
            </a:rPr>
            <a:t>Delta_vector_input = Local_Gaap_Vector (VECTOR) - </a:t>
          </a:r>
          <a:r>
            <a:rPr lang="fr-FR" sz="1000" b="1">
              <a:solidFill>
                <a:schemeClr val="accent3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Local_Gaap_Mgmt_tool </a:t>
          </a:r>
          <a:endParaRPr lang="fr-FR" sz="1000" b="1">
            <a:solidFill>
              <a:schemeClr val="accent3">
                <a:lumMod val="50000"/>
              </a:schemeClr>
            </a:solidFill>
          </a:endParaRPr>
        </a:p>
        <a:p>
          <a:pPr algn="ctr"/>
          <a:endParaRPr lang="fr-FR" sz="1000" b="1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1628775</xdr:colOff>
      <xdr:row>10</xdr:row>
      <xdr:rowOff>104775</xdr:rowOff>
    </xdr:from>
    <xdr:to>
      <xdr:col>2</xdr:col>
      <xdr:colOff>2763307</xdr:colOff>
      <xdr:row>16</xdr:row>
      <xdr:rowOff>9525</xdr:rowOff>
    </xdr:to>
    <xdr:sp macro="" textlink="">
      <xdr:nvSpPr>
        <xdr:cNvPr id="5" name="Rectangle à coins arrondis 4"/>
        <xdr:cNvSpPr/>
      </xdr:nvSpPr>
      <xdr:spPr>
        <a:xfrm>
          <a:off x="3333750" y="104775"/>
          <a:ext cx="1134532" cy="1047750"/>
        </a:xfrm>
        <a:prstGeom prst="wedgeRoundRectCallout">
          <a:avLst>
            <a:gd name="adj1" fmla="val 122416"/>
            <a:gd name="adj2" fmla="val 30157"/>
            <a:gd name="adj3" fmla="val 1666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fr-F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Choose parameters and refresh with </a:t>
          </a:r>
          <a:r>
            <a:rPr lang="fr-FR" sz="11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ALT F9 </a:t>
          </a:r>
          <a:endParaRPr lang="fr-FR" sz="1600"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2500313</xdr:colOff>
      <xdr:row>10</xdr:row>
      <xdr:rowOff>47625</xdr:rowOff>
    </xdr:from>
    <xdr:to>
      <xdr:col>3</xdr:col>
      <xdr:colOff>920220</xdr:colOff>
      <xdr:row>15</xdr:row>
      <xdr:rowOff>142875</xdr:rowOff>
    </xdr:to>
    <xdr:sp macro="" textlink="">
      <xdr:nvSpPr>
        <xdr:cNvPr id="3" name="Rectangle à coins arrondis 2"/>
        <xdr:cNvSpPr/>
      </xdr:nvSpPr>
      <xdr:spPr>
        <a:xfrm>
          <a:off x="4845844" y="1000125"/>
          <a:ext cx="1134532" cy="1047750"/>
        </a:xfrm>
        <a:prstGeom prst="wedgeRoundRectCallout">
          <a:avLst>
            <a:gd name="adj1" fmla="val 122416"/>
            <a:gd name="adj2" fmla="val 30157"/>
            <a:gd name="adj3" fmla="val 1666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r>
            <a:rPr lang="fr-F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Choose parameters and refresh with </a:t>
          </a:r>
          <a:r>
            <a:rPr lang="fr-FR" sz="11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ALT F9 </a:t>
          </a:r>
          <a:endParaRPr lang="fr-FR" sz="1600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formances/13.%20TANGO/PRODUCTION/1.CONTROLES%20CHARGEMENTS/1%20ACTUAL/2016/2016%2008/3%20Check%20delta%20Vector%20Tang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ve_form Legal"/>
      <sheetName val="Ecarts Données Locales"/>
      <sheetName val="Ecarts Retraitements IFRS"/>
      <sheetName val="Ecarts IG"/>
      <sheetName val="Données opé"/>
      <sheetName val="Zoom Entité"/>
      <sheetName val="Reconci IFRS Vector Tango"/>
      <sheetName val="Active_form Indic"/>
      <sheetName val="Synthèse Pays"/>
      <sheetName val="BDD"/>
    </sheetNames>
    <sheetDataSet>
      <sheetData sheetId="0"/>
      <sheetData sheetId="1">
        <row r="21">
          <cell r="B21" t="str">
            <v>TPL10_nat</v>
          </cell>
        </row>
        <row r="22">
          <cell r="B22" t="str">
            <v>TPL11_nat</v>
          </cell>
        </row>
        <row r="23">
          <cell r="B23" t="str">
            <v>GROSS_MARGIN_nat</v>
          </cell>
        </row>
        <row r="24">
          <cell r="B24" t="str">
            <v>TPL12_nat</v>
          </cell>
        </row>
        <row r="25">
          <cell r="B25" t="str">
            <v>TPL13_nat</v>
          </cell>
        </row>
        <row r="26">
          <cell r="B26" t="str">
            <v>TPL1_nat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1"/>
  <sheetViews>
    <sheetView workbookViewId="0">
      <selection activeCell="E7" sqref="E7"/>
    </sheetView>
  </sheetViews>
  <sheetFormatPr baseColWidth="10" defaultRowHeight="15"/>
  <cols>
    <col min="1" max="1" width="13.42578125" bestFit="1" customWidth="1"/>
    <col min="2" max="2" width="13.28515625" bestFit="1" customWidth="1"/>
  </cols>
  <sheetData>
    <row r="1" spans="1:2" ht="16.5" thickBot="1">
      <c r="A1" s="37" t="s">
        <v>32</v>
      </c>
      <c r="B1" s="36" t="str">
        <f ca="1">_xll.DBRW("tango_core_model:z_Admin_Param","MONTH_ACTUAL","STR_VAR1")&amp;"_YTD"</f>
        <v>2016.08_YTD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92D050"/>
  </sheetPr>
  <dimension ref="A1:Q27"/>
  <sheetViews>
    <sheetView tabSelected="1" topLeftCell="B1" zoomScale="90" zoomScaleNormal="90" workbookViewId="0">
      <pane xSplit="2" ySplit="21" topLeftCell="D22" activePane="bottomRight" state="frozen"/>
      <selection activeCell="B11" sqref="B11"/>
      <selection pane="topRight" activeCell="D11" sqref="D11"/>
      <selection pane="bottomLeft" activeCell="B22" sqref="B22"/>
      <selection pane="bottomRight" activeCell="C35" sqref="C35"/>
    </sheetView>
  </sheetViews>
  <sheetFormatPr baseColWidth="10" defaultRowHeight="15" outlineLevelCol="1"/>
  <cols>
    <col min="1" max="1" width="20.140625" hidden="1" customWidth="1"/>
    <col min="2" max="2" width="20.5703125" customWidth="1"/>
    <col min="3" max="3" width="40.7109375" customWidth="1"/>
    <col min="4" max="6" width="15" customWidth="1"/>
    <col min="7" max="8" width="15" customWidth="1" outlineLevel="1"/>
    <col min="9" max="9" width="15" customWidth="1"/>
    <col min="10" max="11" width="15" customWidth="1" outlineLevel="1"/>
    <col min="12" max="12" width="15" customWidth="1"/>
    <col min="13" max="14" width="15" customWidth="1" outlineLevel="1"/>
    <col min="16" max="16" width="21.85546875" bestFit="1" customWidth="1"/>
  </cols>
  <sheetData>
    <row r="1" spans="1:17" hidden="1">
      <c r="A1" t="s">
        <v>12</v>
      </c>
    </row>
    <row r="2" spans="1:17" hidden="1">
      <c r="A2" s="2">
        <f ca="1">0</f>
        <v>0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</row>
    <row r="3" spans="1:17" hidden="1">
      <c r="A3" s="2">
        <f ca="1">1</f>
        <v>1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</row>
    <row r="4" spans="1:17" hidden="1">
      <c r="A4" s="2">
        <f ca="1">2</f>
        <v>2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7" hidden="1">
      <c r="A5" s="2">
        <f ca="1">3</f>
        <v>3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</row>
    <row r="6" spans="1:17" hidden="1">
      <c r="A6" s="2" t="s">
        <v>10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7" hidden="1">
      <c r="A7" s="2" t="s">
        <v>11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7" hidden="1">
      <c r="A8" s="2" t="s">
        <v>13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</row>
    <row r="9" spans="1:17" hidden="1">
      <c r="B9" s="15" t="str">
        <f ca="1">_xll.TM1RPTVIEW("tango_core_model:RP_PL:1",D19, _xll.TM1RPTTITLE("tango_core_model:Activity",$D$11), _xll.TM1RPTTITLE("tango_core_model:Currency",$D$12), _xll.TM1RPTTITLE("tango_core_model:Integration_Rate",$D$13), _xll.TM1RPTTITLE("tango_core_model:Legal_Organization",$D$14), _xll.TM1RPTTITLE("tango_core_model:Management_Organization",$D$15), _xll.TM1RPTTITLE("tango_core_model:Period",$D$16), _xll.TM1RPTTITLE("tango_core_model:Phase",$D$17),TM1RPTFMTRNG,TM1RPTFMTIDCOL)</f>
        <v>tango_core_model:RP_PL:1</v>
      </c>
      <c r="C9" s="15"/>
      <c r="P9" t="s">
        <v>30</v>
      </c>
    </row>
    <row r="10" spans="1:17" hidden="1">
      <c r="P10" t="s">
        <v>30</v>
      </c>
    </row>
    <row r="11" spans="1:17">
      <c r="B11" s="1" t="s">
        <v>0</v>
      </c>
      <c r="C11" s="1"/>
      <c r="D11" s="39" t="str">
        <f ca="1">_xll.SUBNM("tango_core_model:Activity","","Tot_act")</f>
        <v>Tot_act</v>
      </c>
      <c r="G11" s="4"/>
      <c r="I11" s="4"/>
      <c r="N11" s="4"/>
      <c r="O11" s="4"/>
      <c r="P11" s="4"/>
    </row>
    <row r="12" spans="1:17" ht="15.75">
      <c r="B12" s="1" t="s">
        <v>1</v>
      </c>
      <c r="C12" s="1"/>
      <c r="D12" s="39" t="str">
        <f ca="1">_xll.SUBNM("tango_core_model:Currency","","KLCL")</f>
        <v>KLCL</v>
      </c>
      <c r="G12" s="5"/>
      <c r="I12" s="34"/>
      <c r="J12" s="35"/>
      <c r="N12" s="5"/>
      <c r="O12" s="6"/>
      <c r="P12" s="43"/>
      <c r="Q12" s="43"/>
    </row>
    <row r="13" spans="1:17">
      <c r="B13" s="1" t="s">
        <v>2</v>
      </c>
      <c r="C13" s="1"/>
      <c r="D13" s="39" t="str">
        <f ca="1">_xll.SUBNM("tango_core_model:Integration_Rate","","APP")</f>
        <v>APP</v>
      </c>
      <c r="P13" s="1"/>
      <c r="Q13" s="1"/>
    </row>
    <row r="14" spans="1:17">
      <c r="B14" s="1" t="s">
        <v>3</v>
      </c>
      <c r="C14" s="1"/>
      <c r="D14" s="38" t="str">
        <f ca="1">_xll.SUBNM("tango_core_model:Legal_Organization","","NA")</f>
        <v>NA</v>
      </c>
    </row>
    <row r="15" spans="1:17">
      <c r="B15" s="1" t="s">
        <v>4</v>
      </c>
      <c r="C15" s="1"/>
      <c r="D15" s="38" t="str">
        <f ca="1">_xll.SUBNM("tango_core_model:Management_Organization","default","VTD_corp","English")</f>
        <v>VTD_corp</v>
      </c>
      <c r="Q15" s="12"/>
    </row>
    <row r="16" spans="1:17">
      <c r="B16" s="1" t="s">
        <v>5</v>
      </c>
      <c r="C16" s="1"/>
      <c r="D16" s="38" t="str">
        <f ca="1">_xll.SUBNM("tango_core_model:Period","default",Actual_Month)</f>
        <v>2016.08_YTD</v>
      </c>
    </row>
    <row r="17" spans="1:16">
      <c r="B17" s="1" t="s">
        <v>6</v>
      </c>
      <c r="C17" s="1"/>
      <c r="D17" s="38" t="s">
        <v>33</v>
      </c>
      <c r="P17" s="10"/>
    </row>
    <row r="18" spans="1:16">
      <c r="D18" s="38" t="s">
        <v>22</v>
      </c>
    </row>
    <row r="19" spans="1:16">
      <c r="C19" s="33" t="s">
        <v>31</v>
      </c>
      <c r="D19" s="38">
        <v>1</v>
      </c>
    </row>
    <row r="20" spans="1:16">
      <c r="P20" s="10"/>
    </row>
    <row r="21" spans="1:16" s="3" customFormat="1" ht="24">
      <c r="D21" s="11" t="s">
        <v>28</v>
      </c>
      <c r="E21" s="31" t="s">
        <v>29</v>
      </c>
      <c r="F21" s="30" t="s">
        <v>14</v>
      </c>
      <c r="G21" s="11" t="s">
        <v>15</v>
      </c>
      <c r="H21" s="11" t="s">
        <v>16</v>
      </c>
      <c r="I21" s="30" t="s">
        <v>17</v>
      </c>
      <c r="J21" s="11" t="s">
        <v>18</v>
      </c>
      <c r="K21" s="11" t="s">
        <v>19</v>
      </c>
      <c r="L21" s="31" t="s">
        <v>7</v>
      </c>
      <c r="M21" s="11" t="s">
        <v>8</v>
      </c>
      <c r="N21" s="11" t="s">
        <v>9</v>
      </c>
    </row>
    <row r="22" spans="1:16">
      <c r="A22" s="2" t="str">
        <f ca="1">IF(_xll.TM1RPTELISCONSOLIDATED($B$22,$B22),IF(_xll.TM1RPTELLEV($B$22,$B22)&lt;=3,_xll.TM1RPTELLEV($B$22,$B22),"D"),"N")</f>
        <v>N</v>
      </c>
      <c r="B22" s="13" t="str">
        <f ca="1">_xll.TM1RPTROW($B$9,"tango_core_model:Indicator","PLDest")</f>
        <v/>
      </c>
      <c r="C22" s="8" t="str">
        <f ca="1">_xll.DBRA("tango_core_model:Indicator",$B22,$D$18)</f>
        <v/>
      </c>
      <c r="D22" s="8" t="str">
        <f ca="1">_xll.DBRW($B$9,$D$11,$D$12,D$21,$D$13,$D$14,$D$15,$D$16,$D$17,$B22)</f>
        <v/>
      </c>
      <c r="E22" s="8" t="str">
        <f ca="1">_xll.DBRW($B$9,$D$11,$D$12,E$21,$D$13,$D$14,$D$15,$D$16,$D$17,$B22)</f>
        <v/>
      </c>
      <c r="F22" s="8" t="str">
        <f ca="1">_xll.DBRW($B$9,$D$11,$D$12,F$21,$D$13,$D$14,$D$15,$D$16,$D$17,$B22)</f>
        <v/>
      </c>
      <c r="G22" s="8" t="str">
        <f ca="1">_xll.DBRW($B$9,$D$11,$D$12,G$21,$D$13,$D$14,$D$15,$D$16,$D$17,$B22)</f>
        <v/>
      </c>
      <c r="H22" s="8" t="str">
        <f ca="1">_xll.DBRW($B$9,$D$11,$D$12,H$21,$D$13,$D$14,$D$15,$D$16,$D$17,$B22)</f>
        <v/>
      </c>
      <c r="I22" s="8" t="str">
        <f ca="1">_xll.DBRW($B$9,$D$11,$D$12,I$21,$D$13,$D$14,$D$15,$D$16,$D$17,$B22)</f>
        <v/>
      </c>
      <c r="J22" s="8" t="str">
        <f ca="1">_xll.DBRW($B$9,$D$11,$D$12,J$21,$D$13,$D$14,$D$15,$D$16,$D$17,$B22)</f>
        <v/>
      </c>
      <c r="K22" s="8" t="str">
        <f ca="1">_xll.DBRW($B$9,$D$11,$D$12,K$21,$D$13,$D$14,$D$15,$D$16,$D$17,$B22)</f>
        <v/>
      </c>
      <c r="L22" s="8" t="str">
        <f ca="1">_xll.DBRW($B$9,$D$11,$D$12,L$21,$D$13,$D$14,$D$15,$D$16,$D$17,$B22)</f>
        <v/>
      </c>
      <c r="M22" s="8" t="str">
        <f ca="1">_xll.DBRW($B$9,$D$11,$D$12,M$21,$D$13,$D$14,$D$15,$D$16,$D$17,$B22)</f>
        <v/>
      </c>
      <c r="N22" s="8" t="str">
        <f ca="1">_xll.DBRW($B$9,$D$11,$D$12,N$21,$D$13,$D$14,$D$15,$D$16,$D$17,$B22)</f>
        <v/>
      </c>
    </row>
    <row r="23" spans="1:16">
      <c r="A23" s="2"/>
    </row>
    <row r="24" spans="1:16">
      <c r="A24" s="2"/>
    </row>
    <row r="25" spans="1:16">
      <c r="A25" s="2"/>
    </row>
    <row r="26" spans="1:16">
      <c r="A26" s="2"/>
    </row>
    <row r="27" spans="1:16">
      <c r="A27" s="2"/>
    </row>
  </sheetData>
  <mergeCells count="1">
    <mergeCell ref="P12:Q12"/>
  </mergeCells>
  <dataValidations count="3">
    <dataValidation type="list" allowBlank="1" showInputMessage="1" showErrorMessage="1" sqref="D18">
      <formula1>"French,English"</formula1>
    </dataValidation>
    <dataValidation type="list" allowBlank="1" showInputMessage="1" showErrorMessage="1" sqref="D19">
      <formula1>"0,1"</formula1>
    </dataValidation>
    <dataValidation type="list" allowBlank="1" showInputMessage="1" showErrorMessage="1" sqref="D17">
      <formula1>"ACT_TOT,BUDG_VC_TOT,FC_1_VC_TOT,FC_2_VC_TOT"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92D050"/>
  </sheetPr>
  <dimension ref="A1:Q27"/>
  <sheetViews>
    <sheetView zoomScale="90" zoomScaleNormal="90" workbookViewId="0">
      <pane xSplit="3" ySplit="21" topLeftCell="D22" activePane="bottomRight" state="frozen"/>
      <selection activeCell="F17" sqref="F17"/>
      <selection pane="topRight" activeCell="F17" sqref="F17"/>
      <selection pane="bottomLeft" activeCell="F17" sqref="F17"/>
      <selection pane="bottomRight"/>
    </sheetView>
  </sheetViews>
  <sheetFormatPr baseColWidth="10" defaultRowHeight="15" outlineLevelCol="1"/>
  <cols>
    <col min="1" max="1" width="20.140625" hidden="1" customWidth="1"/>
    <col min="2" max="2" width="20.5703125" customWidth="1"/>
    <col min="3" max="3" width="31.140625" customWidth="1"/>
    <col min="4" max="6" width="15" customWidth="1"/>
    <col min="7" max="8" width="15" customWidth="1" outlineLevel="1"/>
    <col min="9" max="9" width="15" customWidth="1"/>
    <col min="10" max="11" width="15" customWidth="1" outlineLevel="1"/>
    <col min="12" max="12" width="15" customWidth="1"/>
    <col min="13" max="14" width="15" customWidth="1" outlineLevel="1"/>
    <col min="16" max="16" width="21.85546875" bestFit="1" customWidth="1"/>
  </cols>
  <sheetData>
    <row r="1" spans="1:17" hidden="1">
      <c r="A1" t="s">
        <v>12</v>
      </c>
    </row>
    <row r="2" spans="1:17" hidden="1">
      <c r="A2" s="2">
        <f ca="1">0</f>
        <v>0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</row>
    <row r="3" spans="1:17" hidden="1">
      <c r="A3" s="2">
        <f ca="1">1</f>
        <v>1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</row>
    <row r="4" spans="1:17" hidden="1">
      <c r="A4" s="2">
        <f ca="1">2</f>
        <v>2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7" hidden="1">
      <c r="A5" s="2">
        <f ca="1">3</f>
        <v>3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</row>
    <row r="6" spans="1:17" hidden="1">
      <c r="A6" s="2" t="s">
        <v>10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7" hidden="1">
      <c r="A7" s="2" t="s">
        <v>11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7" hidden="1">
      <c r="A8" s="2" t="s">
        <v>13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</row>
    <row r="9" spans="1:17" hidden="1">
      <c r="B9" s="15" t="str">
        <f ca="1">_xll.TM1RPTVIEW("tango_core_model:RP_PL:1",D19, _xll.TM1RPTTITLE("tango_core_model:Activity",$D$11), _xll.TM1RPTTITLE("tango_core_model:Currency",$D$12), _xll.TM1RPTTITLE("tango_core_model:Integration_Rate",$D$13), _xll.TM1RPTTITLE("tango_core_model:Legal_Organization",$D$14), _xll.TM1RPTTITLE("tango_core_model:Management_Organization",$D$15), _xll.TM1RPTTITLE("tango_core_model:Period",$D$16), _xll.TM1RPTTITLE("tango_core_model:Phase",$D$17),TM1RPTFMTRNG,TM1RPTFMTIDCOL)</f>
        <v>tango_core_model:RP_PL:1</v>
      </c>
      <c r="C9" s="15"/>
      <c r="P9" t="s">
        <v>30</v>
      </c>
    </row>
    <row r="10" spans="1:17" hidden="1">
      <c r="P10" t="s">
        <v>30</v>
      </c>
    </row>
    <row r="11" spans="1:17">
      <c r="B11" s="1" t="s">
        <v>0</v>
      </c>
      <c r="C11" s="1"/>
      <c r="D11" s="39" t="str">
        <f ca="1">_xll.SUBNM("tango_core_model:Activity","","Tot_act")</f>
        <v>Tot_act</v>
      </c>
      <c r="G11" s="4"/>
      <c r="I11" s="4"/>
      <c r="K11" s="4"/>
      <c r="N11" s="4"/>
      <c r="O11" s="4"/>
      <c r="P11" s="4"/>
    </row>
    <row r="12" spans="1:17">
      <c r="B12" s="1" t="s">
        <v>1</v>
      </c>
      <c r="C12" s="1"/>
      <c r="D12" s="39" t="str">
        <f ca="1">_xll.SUBNM("tango_core_model:Currency","","KLCL")</f>
        <v>KLCL</v>
      </c>
      <c r="G12" s="5"/>
      <c r="I12" s="5"/>
      <c r="K12" s="5"/>
      <c r="N12" s="5"/>
      <c r="O12" s="6"/>
      <c r="P12" s="43"/>
      <c r="Q12" s="43"/>
    </row>
    <row r="13" spans="1:17">
      <c r="B13" s="1" t="s">
        <v>2</v>
      </c>
      <c r="C13" s="1"/>
      <c r="D13" s="39" t="str">
        <f ca="1">_xll.SUBNM("tango_core_model:Integration_Rate","","APP")</f>
        <v>APP</v>
      </c>
      <c r="P13" s="1"/>
      <c r="Q13" s="1"/>
    </row>
    <row r="14" spans="1:17">
      <c r="B14" s="1" t="s">
        <v>3</v>
      </c>
      <c r="C14" s="1"/>
      <c r="D14" s="38" t="str">
        <f ca="1">_xll.SUBNM("tango_core_model:Legal_Organization","default",PLDestination!Zone)</f>
        <v>NA</v>
      </c>
    </row>
    <row r="15" spans="1:17">
      <c r="B15" s="1" t="s">
        <v>4</v>
      </c>
      <c r="C15" s="1"/>
      <c r="D15" s="38" t="str">
        <f ca="1">_xll.SUBNM("tango_core_model:Management_Organization","default",PLDestination!D15,"English")</f>
        <v>VTD_corp</v>
      </c>
      <c r="Q15" s="12"/>
    </row>
    <row r="16" spans="1:17">
      <c r="B16" s="1" t="s">
        <v>5</v>
      </c>
      <c r="C16" s="1"/>
      <c r="D16" s="38" t="str">
        <f ca="1">_xll.SUBNM("tango_core_model:Period","default",Actual_Month)</f>
        <v>2016.08_YTD</v>
      </c>
    </row>
    <row r="17" spans="1:16">
      <c r="B17" s="1" t="s">
        <v>6</v>
      </c>
      <c r="C17" s="1"/>
      <c r="D17" s="38" t="str">
        <f ca="1">PLDestination!D17</f>
        <v>ACT_TOT</v>
      </c>
      <c r="P17" s="10"/>
    </row>
    <row r="18" spans="1:16">
      <c r="D18" s="38" t="str">
        <f ca="1">PLDestination!D18</f>
        <v>English</v>
      </c>
    </row>
    <row r="19" spans="1:16">
      <c r="C19" s="33" t="s">
        <v>31</v>
      </c>
      <c r="D19" s="38">
        <v>1</v>
      </c>
    </row>
    <row r="20" spans="1:16">
      <c r="P20" s="10"/>
    </row>
    <row r="21" spans="1:16" s="3" customFormat="1" ht="24">
      <c r="D21" s="11" t="s">
        <v>28</v>
      </c>
      <c r="E21" s="31" t="s">
        <v>29</v>
      </c>
      <c r="F21" s="30" t="s">
        <v>14</v>
      </c>
      <c r="G21" s="11" t="s">
        <v>15</v>
      </c>
      <c r="H21" s="11" t="s">
        <v>16</v>
      </c>
      <c r="I21" s="30" t="s">
        <v>17</v>
      </c>
      <c r="J21" s="11" t="s">
        <v>18</v>
      </c>
      <c r="K21" s="11" t="s">
        <v>19</v>
      </c>
      <c r="L21" s="31" t="s">
        <v>7</v>
      </c>
      <c r="M21" s="11" t="s">
        <v>8</v>
      </c>
      <c r="N21" s="11" t="s">
        <v>9</v>
      </c>
    </row>
    <row r="22" spans="1:16">
      <c r="A22" s="2" t="str">
        <f ca="1">IF(_xll.TM1RPTELISCONSOLIDATED($B$22,$B22),IF(_xll.TM1RPTELLEV($B$22,$B22)&lt;=3,_xll.TM1RPTELLEV($B$22,$B22),"D"),"N")</f>
        <v>N</v>
      </c>
      <c r="B22" s="13" t="str">
        <f ca="1">_xll.TM1RPTROW($B$9,"tango_core_model:Indicator","PLNature",)</f>
        <v/>
      </c>
      <c r="C22" s="8" t="str">
        <f ca="1">_xll.DBRA("tango_core_model:Indicator",$B22,$D$18)</f>
        <v/>
      </c>
      <c r="D22" s="8" t="str">
        <f ca="1">_xll.DBRW($B$9,$D$11,$D$12,D$21,$D$13,$D$14,$D$15,$D$16,$D$17,$B22)</f>
        <v/>
      </c>
      <c r="E22" s="8" t="str">
        <f ca="1">_xll.DBRW($B$9,$D$11,$D$12,E$21,$D$13,$D$14,$D$15,$D$16,$D$17,$B22)</f>
        <v/>
      </c>
      <c r="F22" s="8" t="str">
        <f ca="1">_xll.DBRW($B$9,$D$11,$D$12,F$21,$D$13,$D$14,$D$15,$D$16,$D$17,$B22)</f>
        <v/>
      </c>
      <c r="G22" s="8" t="str">
        <f ca="1">_xll.DBRW($B$9,$D$11,$D$12,G$21,$D$13,$D$14,$D$15,$D$16,$D$17,$B22)</f>
        <v/>
      </c>
      <c r="H22" s="8" t="str">
        <f ca="1">_xll.DBRW($B$9,$D$11,$D$12,H$21,$D$13,$D$14,$D$15,$D$16,$D$17,$B22)</f>
        <v/>
      </c>
      <c r="I22" s="8" t="str">
        <f ca="1">_xll.DBRW($B$9,$D$11,$D$12,I$21,$D$13,$D$14,$D$15,$D$16,$D$17,$B22)</f>
        <v/>
      </c>
      <c r="J22" s="8" t="str">
        <f ca="1">_xll.DBRW($B$9,$D$11,$D$12,J$21,$D$13,$D$14,$D$15,$D$16,$D$17,$B22)</f>
        <v/>
      </c>
      <c r="K22" s="8" t="str">
        <f ca="1">_xll.DBRW($B$9,$D$11,$D$12,K$21,$D$13,$D$14,$D$15,$D$16,$D$17,$B22)</f>
        <v/>
      </c>
      <c r="L22" s="8" t="str">
        <f ca="1">_xll.DBRW($B$9,$D$11,$D$12,L$21,$D$13,$D$14,$D$15,$D$16,$D$17,$B22)</f>
        <v/>
      </c>
      <c r="M22" s="8" t="str">
        <f ca="1">_xll.DBRW($B$9,$D$11,$D$12,M$21,$D$13,$D$14,$D$15,$D$16,$D$17,$B22)</f>
        <v/>
      </c>
      <c r="N22" s="8" t="str">
        <f ca="1">_xll.DBRW($B$9,$D$11,$D$12,N$21,$D$13,$D$14,$D$15,$D$16,$D$17,$B22)</f>
        <v/>
      </c>
    </row>
    <row r="23" spans="1:16">
      <c r="A23" s="2"/>
    </row>
    <row r="24" spans="1:16">
      <c r="A24" s="2"/>
    </row>
    <row r="25" spans="1:16">
      <c r="A25" s="2"/>
    </row>
    <row r="26" spans="1:16">
      <c r="A26" s="2"/>
    </row>
    <row r="27" spans="1:16">
      <c r="A27" s="2"/>
    </row>
  </sheetData>
  <mergeCells count="1">
    <mergeCell ref="P12:Q12"/>
  </mergeCells>
  <dataValidations count="3">
    <dataValidation type="list" allowBlank="1" showInputMessage="1" showErrorMessage="1" sqref="D19">
      <formula1>"0,1"</formula1>
    </dataValidation>
    <dataValidation type="list" allowBlank="1" showInputMessage="1" showErrorMessage="1" sqref="D18">
      <formula1>"French,English"</formula1>
    </dataValidation>
    <dataValidation type="list" allowBlank="1" showInputMessage="1" showErrorMessage="1" sqref="D17">
      <formula1>"ACT_TOT,BUDG_VC_TOT,FC_1_VC_TOT,FC_2_VC_TOT"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4" tint="0.59999389629810485"/>
  </sheetPr>
  <dimension ref="A1:Q26"/>
  <sheetViews>
    <sheetView topLeftCell="B1" zoomScale="90" zoomScaleNormal="90" workbookViewId="0">
      <pane xSplit="2" ySplit="20" topLeftCell="D21" activePane="bottomRight" state="frozen"/>
      <selection activeCell="B1" sqref="A1:XFD1048576"/>
      <selection pane="topRight" activeCell="B1" sqref="A1:XFD1048576"/>
      <selection pane="bottomLeft" activeCell="B1" sqref="A1:XFD1048576"/>
      <selection pane="bottomRight"/>
    </sheetView>
  </sheetViews>
  <sheetFormatPr baseColWidth="10" defaultRowHeight="15" outlineLevelCol="1"/>
  <cols>
    <col min="1" max="1" width="20.140625" hidden="1" customWidth="1"/>
    <col min="2" max="2" width="25.5703125" customWidth="1"/>
    <col min="3" max="3" width="57" customWidth="1"/>
    <col min="4" max="6" width="15" customWidth="1"/>
    <col min="7" max="8" width="15" customWidth="1" outlineLevel="1"/>
    <col min="9" max="9" width="15" customWidth="1"/>
    <col min="10" max="11" width="15" customWidth="1" outlineLevel="1"/>
    <col min="12" max="12" width="15" customWidth="1"/>
    <col min="13" max="14" width="15" customWidth="1" outlineLevel="1"/>
    <col min="16" max="16" width="21.85546875" bestFit="1" customWidth="1"/>
  </cols>
  <sheetData>
    <row r="1" spans="1:17" hidden="1">
      <c r="A1" t="s">
        <v>12</v>
      </c>
    </row>
    <row r="2" spans="1:17" hidden="1">
      <c r="A2" s="2">
        <f ca="1">0</f>
        <v>0</v>
      </c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</row>
    <row r="3" spans="1:17" hidden="1">
      <c r="A3" s="2">
        <f ca="1">1</f>
        <v>1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</row>
    <row r="4" spans="1:17" hidden="1">
      <c r="A4" s="2">
        <f ca="1">2</f>
        <v>2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7" hidden="1">
      <c r="A5" s="2">
        <f ca="1">3</f>
        <v>3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</row>
    <row r="6" spans="1:17" hidden="1">
      <c r="A6" s="2" t="s">
        <v>10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7" hidden="1">
      <c r="A7" s="2" t="s">
        <v>11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7" hidden="1">
      <c r="A8" s="2" t="s">
        <v>13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</row>
    <row r="9" spans="1:17" hidden="1">
      <c r="B9" s="15" t="str">
        <f ca="1">_xll.TM1RPTVIEW("tango_core_model:RP_PL:1", 1, _xll.TM1RPTTITLE("tango_core_model:Activity",$D$11), _xll.TM1RPTTITLE("tango_core_model:Currency",$D$12), _xll.TM1RPTTITLE("tango_core_model:Integration_Rate",$D$13), _xll.TM1RPTTITLE("tango_core_model:Legal_Organization",$D$14), _xll.TM1RPTTITLE("tango_core_model:Management_Organization",$D$15), _xll.TM1RPTTITLE("tango_core_model:Period",$D$16), _xll.TM1RPTTITLE("tango_core_model:Phase",$D$17),TM1RPTFMTRNG,TM1RPTFMTIDCOL)</f>
        <v>tango_core_model:RP_PL:1</v>
      </c>
      <c r="C9" s="15"/>
      <c r="P9" t="s">
        <v>30</v>
      </c>
    </row>
    <row r="10" spans="1:17" hidden="1">
      <c r="P10" t="s">
        <v>30</v>
      </c>
    </row>
    <row r="11" spans="1:17">
      <c r="B11" s="1" t="s">
        <v>0</v>
      </c>
      <c r="C11" s="1"/>
      <c r="D11" s="39" t="str">
        <f ca="1">_xll.SUBNM("tango_core_model:Activity","","Tot_act")</f>
        <v>Tot_act</v>
      </c>
      <c r="G11" s="4"/>
      <c r="K11" s="4"/>
      <c r="N11" s="4"/>
      <c r="O11" s="4"/>
      <c r="P11" s="4"/>
    </row>
    <row r="12" spans="1:17">
      <c r="B12" s="1" t="s">
        <v>1</v>
      </c>
      <c r="C12" s="1"/>
      <c r="D12" s="39" t="str">
        <f ca="1">_xll.SUBNM("tango_core_model:Currency","","KLCL")</f>
        <v>KLCL</v>
      </c>
      <c r="G12" s="5"/>
      <c r="K12" s="5"/>
      <c r="N12" s="5"/>
      <c r="O12" s="6"/>
      <c r="P12" s="43"/>
      <c r="Q12" s="43"/>
    </row>
    <row r="13" spans="1:17">
      <c r="B13" s="1" t="s">
        <v>2</v>
      </c>
      <c r="C13" s="1"/>
      <c r="D13" s="39" t="str">
        <f ca="1">_xll.SUBNM("tango_core_model:Integration_Rate","","APP")</f>
        <v>APP</v>
      </c>
      <c r="P13" s="1"/>
      <c r="Q13" s="1"/>
    </row>
    <row r="14" spans="1:17">
      <c r="B14" s="1" t="s">
        <v>3</v>
      </c>
      <c r="C14" s="1"/>
      <c r="D14" s="38" t="str">
        <f ca="1">_xll.SUBNM("tango_core_model:Legal_Organization","default",PLDestination!Zone)</f>
        <v>NA</v>
      </c>
    </row>
    <row r="15" spans="1:17">
      <c r="B15" s="1" t="s">
        <v>4</v>
      </c>
      <c r="C15" s="1"/>
      <c r="D15" s="38" t="str">
        <f ca="1">_xll.SUBNM("tango_core_model:Management_Organization","default",PLDestination!D15,"English")</f>
        <v>VTD_corp</v>
      </c>
      <c r="Q15" s="12"/>
    </row>
    <row r="16" spans="1:17">
      <c r="B16" s="1" t="s">
        <v>5</v>
      </c>
      <c r="C16" s="1"/>
      <c r="D16" s="38" t="str">
        <f ca="1">_xll.SUBNM("tango_core_model:Period","default",Actual_Month)</f>
        <v>2016.08_YTD</v>
      </c>
    </row>
    <row r="17" spans="1:16">
      <c r="B17" s="1" t="s">
        <v>6</v>
      </c>
      <c r="C17" s="1"/>
      <c r="D17" s="38" t="str">
        <f ca="1">PLDestination!D17</f>
        <v>ACT_TOT</v>
      </c>
      <c r="P17" s="10"/>
    </row>
    <row r="18" spans="1:16">
      <c r="D18" s="38" t="str">
        <f ca="1">PLDestination!D18</f>
        <v>English</v>
      </c>
    </row>
    <row r="19" spans="1:16">
      <c r="P19" s="10"/>
    </row>
    <row r="20" spans="1:16" s="3" customFormat="1" ht="24">
      <c r="D20" s="11" t="s">
        <v>28</v>
      </c>
      <c r="E20" s="31" t="s">
        <v>29</v>
      </c>
      <c r="F20" s="30" t="s">
        <v>14</v>
      </c>
      <c r="G20" s="11" t="s">
        <v>15</v>
      </c>
      <c r="H20" s="11" t="s">
        <v>16</v>
      </c>
      <c r="I20" s="30" t="s">
        <v>17</v>
      </c>
      <c r="J20" s="11" t="s">
        <v>18</v>
      </c>
      <c r="K20" s="11" t="s">
        <v>19</v>
      </c>
      <c r="L20" s="31" t="s">
        <v>7</v>
      </c>
      <c r="M20" s="11" t="s">
        <v>8</v>
      </c>
      <c r="N20" s="11" t="s">
        <v>9</v>
      </c>
    </row>
    <row r="21" spans="1:16">
      <c r="A21" s="2" t="str">
        <f ca="1">IF(_xll.TM1RPTELISCONSOLIDATED($B$21,$B21),IF(_xll.TM1RPTELLEV($B$21,$B21)&lt;=3,_xll.TM1RPTELLEV($B$21,$B21),"D"),"N")</f>
        <v>N</v>
      </c>
      <c r="B21" s="9" t="str">
        <f ca="1">_xll.TM1RPTROW($B$9,"tango_core_model:Indicator","01. P&amp;L by nature",,"",0)</f>
        <v/>
      </c>
      <c r="C21" s="8" t="str">
        <f ca="1">_xll.DBRA("tango_core_model:Indicator",$B21,$D$18)</f>
        <v/>
      </c>
      <c r="D21" s="8" t="str">
        <f ca="1">_xll.DBRW($B$9,$D$11,$D$12,D$20,$D$13,$D$14,$D$15,$D$16,$D$17,$B21)</f>
        <v/>
      </c>
      <c r="E21" s="8" t="str">
        <f ca="1">_xll.DBRW($B$9,$D$11,$D$12,E$20,$D$13,$D$14,$D$15,$D$16,$D$17,$B21)</f>
        <v/>
      </c>
      <c r="F21" s="8" t="str">
        <f ca="1">_xll.DBRW($B$9,$D$11,$D$12,F$20,$D$13,$D$14,$D$15,$D$16,$D$17,$B21)</f>
        <v/>
      </c>
      <c r="G21" s="8" t="str">
        <f ca="1">_xll.DBRW($B$9,$D$11,$D$12,G$20,$D$13,$D$14,$D$15,$D$16,$D$17,$B21)</f>
        <v/>
      </c>
      <c r="H21" s="8" t="str">
        <f ca="1">_xll.DBRW($B$9,$D$11,$D$12,H$20,$D$13,$D$14,$D$15,$D$16,$D$17,$B21)</f>
        <v/>
      </c>
      <c r="I21" s="8" t="str">
        <f ca="1">_xll.DBRW($B$9,$D$11,$D$12,I$20,$D$13,$D$14,$D$15,$D$16,$D$17,$B21)</f>
        <v/>
      </c>
      <c r="J21" s="8" t="str">
        <f ca="1">_xll.DBRW($B$9,$D$11,$D$12,J$20,$D$13,$D$14,$D$15,$D$16,$D$17,$B21)</f>
        <v/>
      </c>
      <c r="K21" s="8" t="str">
        <f ca="1">_xll.DBRW($B$9,$D$11,$D$12,K$20,$D$13,$D$14,$D$15,$D$16,$D$17,$B21)</f>
        <v/>
      </c>
      <c r="L21" s="8" t="str">
        <f ca="1">_xll.DBRW($B$9,$D$11,$D$12,L$20,$D$13,$D$14,$D$15,$D$16,$D$17,$B21)</f>
        <v/>
      </c>
      <c r="M21" s="8" t="str">
        <f ca="1">_xll.DBRW($B$9,$D$11,$D$12,M$20,$D$13,$D$14,$D$15,$D$16,$D$17,$B21)</f>
        <v/>
      </c>
      <c r="N21" s="8" t="str">
        <f ca="1">_xll.DBRW($B$9,$D$11,$D$12,N$20,$D$13,$D$14,$D$15,$D$16,$D$17,$B21)</f>
        <v/>
      </c>
    </row>
    <row r="22" spans="1:16">
      <c r="A22" s="2"/>
    </row>
    <row r="23" spans="1:16">
      <c r="A23" s="2"/>
    </row>
    <row r="24" spans="1:16">
      <c r="A24" s="2"/>
    </row>
    <row r="25" spans="1:16">
      <c r="A25" s="2"/>
    </row>
    <row r="26" spans="1:16">
      <c r="A26" s="2"/>
    </row>
  </sheetData>
  <mergeCells count="1">
    <mergeCell ref="P12:Q12"/>
  </mergeCells>
  <dataValidations count="2">
    <dataValidation type="list" allowBlank="1" showInputMessage="1" showErrorMessage="1" sqref="D18">
      <formula1>"French,English"</formula1>
    </dataValidation>
    <dataValidation type="list" allowBlank="1" showInputMessage="1" showErrorMessage="1" sqref="D17">
      <formula1>"ACT_TOT,BUDG_VC_TOT,FC_1_VC_TOT,FC_2_VC_TOT"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9" tint="0.39997558519241921"/>
  </sheetPr>
  <dimension ref="A1:F22"/>
  <sheetViews>
    <sheetView topLeftCell="B1" workbookViewId="0">
      <pane xSplit="2" ySplit="21" topLeftCell="D22" activePane="bottomRight" state="frozen"/>
      <selection activeCell="B11" sqref="B11"/>
      <selection pane="topRight" activeCell="D11" sqref="D11"/>
      <selection pane="bottomLeft" activeCell="B22" sqref="B22"/>
      <selection pane="bottomRight" activeCell="D30" sqref="D30"/>
    </sheetView>
  </sheetViews>
  <sheetFormatPr baseColWidth="10" defaultRowHeight="15"/>
  <cols>
    <col min="1" max="1" width="20.140625" hidden="1" customWidth="1"/>
    <col min="2" max="2" width="26.28515625" customWidth="1"/>
    <col min="3" max="3" width="25.42578125" bestFit="1" customWidth="1"/>
    <col min="4" max="6" width="20.5703125" customWidth="1"/>
  </cols>
  <sheetData>
    <row r="1" spans="1:6" hidden="1">
      <c r="A1" t="s">
        <v>12</v>
      </c>
    </row>
    <row r="2" spans="1:6" hidden="1">
      <c r="A2">
        <f ca="1">0</f>
        <v>0</v>
      </c>
      <c r="B2" s="8"/>
      <c r="C2" s="8"/>
      <c r="D2" s="8"/>
      <c r="E2" s="8"/>
      <c r="F2" s="8"/>
    </row>
    <row r="3" spans="1:6" hidden="1">
      <c r="A3">
        <f ca="1">1</f>
        <v>1</v>
      </c>
      <c r="B3" s="7"/>
      <c r="C3" s="7"/>
      <c r="D3" s="7"/>
      <c r="E3" s="7"/>
      <c r="F3" s="7"/>
    </row>
    <row r="4" spans="1:6" hidden="1">
      <c r="A4">
        <f ca="1">2</f>
        <v>2</v>
      </c>
      <c r="B4" s="7"/>
      <c r="C4" s="7"/>
      <c r="D4" s="7"/>
      <c r="E4" s="7"/>
      <c r="F4" s="7"/>
    </row>
    <row r="5" spans="1:6" hidden="1">
      <c r="A5">
        <f ca="1">3</f>
        <v>3</v>
      </c>
      <c r="B5" s="7"/>
      <c r="C5" s="7"/>
      <c r="D5" s="7"/>
      <c r="E5" s="7"/>
      <c r="F5" s="7"/>
    </row>
    <row r="6" spans="1:6" hidden="1">
      <c r="A6" t="s">
        <v>10</v>
      </c>
      <c r="B6" s="7"/>
      <c r="C6" s="7"/>
      <c r="D6" s="7"/>
      <c r="E6" s="7"/>
      <c r="F6" s="7"/>
    </row>
    <row r="7" spans="1:6" hidden="1">
      <c r="A7" t="s">
        <v>11</v>
      </c>
      <c r="B7" s="2"/>
      <c r="C7" s="2"/>
      <c r="D7" s="2"/>
      <c r="E7" s="2"/>
      <c r="F7" s="2"/>
    </row>
    <row r="8" spans="1:6" hidden="1">
      <c r="A8" t="s">
        <v>13</v>
      </c>
    </row>
    <row r="9" spans="1:6" hidden="1">
      <c r="C9" t="str">
        <f ca="1">_xll.TM1RPTVIEW("tango_core_model:RP_PL:3", 1, _xll.TM1RPTTITLE("tango_core_model:Activity",$D$11), _xll.TM1RPTTITLE("tango_core_model:Currency",$D$12), _xll.TM1RPTTITLE("tango_core_model:Integration_Rate",$D$13), _xll.TM1RPTTITLE("tango_core_model:Management_Organization",$D$14), _xll.TM1RPTTITLE("tango_core_model:Period",$D$16), _xll.TM1RPTTITLE("tango_core_model:Phase",$D$17), _xll.TM1RPTTITLE("tango_core_model:Indicator",$D$18),TM1RPTFMTRNG,TM1RPTFMTIDCOL)</f>
        <v>tango_core_model:RP_PL:3</v>
      </c>
      <c r="E9" t="str">
        <f ca="1">_xll.DIMNM("Tango_Core_Model:Legal_Organization",_xll.DIMIX("Tango_Core_Model:Legal_Organization",D15))</f>
        <v>NA</v>
      </c>
      <c r="F9" t="str">
        <f ca="1">"{TM1DRILLDOWNMEMBER( {TM1FILTERBYPATTERN( {TM1SUBSETALL( [Legal_Organization] )}, """&amp;E9&amp;""")}, ALL, RECURSIVE )}"</f>
        <v>{TM1DRILLDOWNMEMBER( {TM1FILTERBYPATTERN( {TM1SUBSETALL( [Legal_Organization] )}, "NA")}, ALL, RECURSIVE )}</v>
      </c>
    </row>
    <row r="10" spans="1:6" hidden="1"/>
    <row r="11" spans="1:6">
      <c r="C11" s="1" t="s">
        <v>0</v>
      </c>
      <c r="D11" s="39" t="str">
        <f ca="1">_xll.SUBNM("tango_core_model:Activity","","Tot_act")</f>
        <v>Tot_act</v>
      </c>
    </row>
    <row r="12" spans="1:6">
      <c r="C12" s="1" t="s">
        <v>1</v>
      </c>
      <c r="D12" s="39" t="str">
        <f ca="1">_xll.SUBNM("tango_core_model:Currency","","KLCL")</f>
        <v>KLCL</v>
      </c>
    </row>
    <row r="13" spans="1:6">
      <c r="C13" s="1" t="s">
        <v>2</v>
      </c>
      <c r="D13" s="39" t="str">
        <f ca="1">_xll.SUBNM("tango_core_model:Integration_Rate","","APP")</f>
        <v>APP</v>
      </c>
    </row>
    <row r="14" spans="1:6">
      <c r="C14" s="1" t="s">
        <v>4</v>
      </c>
      <c r="D14" s="39" t="str">
        <f ca="1">_xll.SUBNM("tango_core_model:Management_Organization","","NA")</f>
        <v>NA</v>
      </c>
    </row>
    <row r="15" spans="1:6">
      <c r="C15" s="1" t="s">
        <v>35</v>
      </c>
      <c r="D15" s="38" t="str">
        <f ca="1">_xll.SUBNM("tango_core_model:Legal_Organization","default",PLDestination!Zone)</f>
        <v>NA</v>
      </c>
    </row>
    <row r="16" spans="1:6">
      <c r="C16" s="1" t="s">
        <v>5</v>
      </c>
      <c r="D16" s="38" t="str">
        <f ca="1">_xll.SUBNM("tango_core_model:Period","default",Actual_Month)</f>
        <v>2016.08_YTD</v>
      </c>
    </row>
    <row r="17" spans="1:6">
      <c r="C17" s="1" t="s">
        <v>6</v>
      </c>
      <c r="D17" s="38" t="str">
        <f ca="1">PLDestination!D17</f>
        <v>ACT_TOT</v>
      </c>
    </row>
    <row r="18" spans="1:6">
      <c r="C18" s="1" t="s">
        <v>34</v>
      </c>
      <c r="D18" s="38" t="str">
        <f ca="1">_xll.SUBNM("tango_core_model:Indicator","01. P&amp;L by nature","TPL10_nat","English")</f>
        <v>REVENUE FROM ORDINARY ACTIVITIES (by nature)</v>
      </c>
    </row>
    <row r="19" spans="1:6">
      <c r="C19" s="1"/>
    </row>
    <row r="21" spans="1:6" s="40" customFormat="1" ht="28.5" customHeight="1">
      <c r="B21" s="41" t="s">
        <v>250</v>
      </c>
      <c r="C21" s="41" t="s">
        <v>20</v>
      </c>
      <c r="D21" s="41" t="s">
        <v>16</v>
      </c>
      <c r="E21" s="41" t="s">
        <v>19</v>
      </c>
      <c r="F21" s="41" t="s">
        <v>9</v>
      </c>
    </row>
    <row r="22" spans="1:6">
      <c r="A22" t="str">
        <f ca="1">IF(_xll.TM1RPTELISCONSOLIDATED($C$22,$C22),IF(_xll.TM1RPTELLEV($C$22,$C22)&lt;=3,_xll.TM1RPTELLEV($C$22,$C22),"D"),"N")</f>
        <v>N</v>
      </c>
      <c r="B22" s="8" t="str">
        <f ca="1">_xll.SUBNM("tango_core_model:Legal_Organization","",C22,"english")</f>
        <v/>
      </c>
      <c r="C22" s="13" t="str">
        <f ca="1">_xll.TM1RPTROW($C$9,"tango_core_model:Legal_Organization",,,,,F9)</f>
        <v/>
      </c>
      <c r="D22" s="8" t="str">
        <f ca="1">_xll.DBRW($C$9,$D$11,$D$12,D$21,$D$13,$C22,$D$14,$D$16,$D$17,$D$18)</f>
        <v/>
      </c>
      <c r="E22" s="8" t="str">
        <f ca="1">_xll.DBRW($C$9,$D$11,$D$12,E$21,$D$13,$C22,$D$14,$D$16,$D$17,$D$18)</f>
        <v/>
      </c>
      <c r="F22" s="8" t="str">
        <f ca="1">_xll.DBRW($C$9,$D$11,$D$12,F$21,$D$13,$C22,$D$14,$D$16,$D$17,$D$18)</f>
        <v/>
      </c>
    </row>
  </sheetData>
  <dataValidations count="1">
    <dataValidation type="list" allowBlank="1" showInputMessage="1" showErrorMessage="1" sqref="D17">
      <formula1>"ACT_TOT,BUDG_VC_TOT,FC_1_VC_TOT,FC_2_VC_TOT"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4" tint="0.59999389629810485"/>
  </sheetPr>
  <dimension ref="A1:L235"/>
  <sheetViews>
    <sheetView topLeftCell="B5" zoomScale="80" zoomScaleNormal="80" workbookViewId="0">
      <pane xSplit="3" ySplit="16" topLeftCell="E21" activePane="bottomRight" state="frozen"/>
      <selection activeCell="B1" sqref="A1:XFD1048576"/>
      <selection pane="topRight" activeCell="B1" sqref="A1:XFD1048576"/>
      <selection pane="bottomLeft" activeCell="B1" sqref="A1:XFD1048576"/>
      <selection pane="bottomRight" activeCell="B49" sqref="A49:XFD49"/>
    </sheetView>
  </sheetViews>
  <sheetFormatPr baseColWidth="10" defaultRowHeight="15"/>
  <cols>
    <col min="1" max="1" width="20.140625" hidden="1" customWidth="1"/>
    <col min="2" max="2" width="35.140625" bestFit="1" customWidth="1"/>
    <col min="3" max="3" width="40.7109375" customWidth="1"/>
    <col min="4" max="4" width="28.140625" customWidth="1"/>
    <col min="5" max="10" width="14.140625" customWidth="1"/>
    <col min="12" max="12" width="13" bestFit="1" customWidth="1"/>
  </cols>
  <sheetData>
    <row r="1" spans="1:12">
      <c r="A1" t="s">
        <v>12</v>
      </c>
    </row>
    <row r="2" spans="1:12">
      <c r="A2" s="2">
        <f ca="1">0</f>
        <v>0</v>
      </c>
      <c r="B2" s="8"/>
      <c r="C2" s="8"/>
      <c r="D2" s="8"/>
      <c r="E2" s="18"/>
      <c r="F2" s="18"/>
      <c r="G2" s="19"/>
      <c r="H2" s="8"/>
      <c r="I2" s="8"/>
      <c r="J2" s="8"/>
    </row>
    <row r="3" spans="1:12" hidden="1">
      <c r="A3" s="2">
        <f ca="1">1</f>
        <v>1</v>
      </c>
      <c r="B3" s="7"/>
      <c r="C3" s="7"/>
      <c r="D3" s="7"/>
      <c r="E3" s="20"/>
      <c r="F3" s="20"/>
      <c r="G3" s="21"/>
      <c r="H3" s="7"/>
      <c r="I3" s="7"/>
      <c r="J3" s="7"/>
    </row>
    <row r="4" spans="1:12" hidden="1">
      <c r="A4" s="2">
        <f ca="1">2</f>
        <v>2</v>
      </c>
      <c r="B4" s="7"/>
      <c r="C4" s="7"/>
      <c r="D4" s="7"/>
      <c r="E4" s="20"/>
      <c r="F4" s="20"/>
      <c r="G4" s="21"/>
      <c r="H4" s="7"/>
      <c r="I4" s="7"/>
      <c r="J4" s="7"/>
    </row>
    <row r="5" spans="1:12" hidden="1">
      <c r="A5" s="2">
        <f ca="1">3</f>
        <v>3</v>
      </c>
      <c r="B5" s="7"/>
      <c r="C5" s="7"/>
      <c r="D5" s="7"/>
      <c r="E5" s="20"/>
      <c r="F5" s="20"/>
      <c r="G5" s="21"/>
      <c r="H5" s="7"/>
      <c r="I5" s="7"/>
      <c r="J5" s="7"/>
    </row>
    <row r="6" spans="1:12" hidden="1">
      <c r="A6" s="2" t="s">
        <v>10</v>
      </c>
      <c r="B6" s="7"/>
      <c r="C6" s="7"/>
      <c r="D6" s="7"/>
      <c r="E6" s="20"/>
      <c r="F6" s="20"/>
      <c r="G6" s="21"/>
      <c r="H6" s="7"/>
      <c r="I6" s="7"/>
      <c r="J6" s="7"/>
    </row>
    <row r="7" spans="1:12" hidden="1">
      <c r="A7" s="2" t="s">
        <v>11</v>
      </c>
      <c r="B7" s="2"/>
      <c r="C7" s="2"/>
      <c r="D7" s="2"/>
      <c r="E7" s="22"/>
      <c r="F7" s="22"/>
      <c r="G7" s="23"/>
      <c r="H7" s="2"/>
      <c r="I7" s="2"/>
      <c r="J7" s="2"/>
    </row>
    <row r="8" spans="1:12" hidden="1">
      <c r="A8" s="2" t="s">
        <v>13</v>
      </c>
      <c r="B8" s="10"/>
      <c r="C8" s="2"/>
      <c r="D8" s="2"/>
      <c r="E8" s="2"/>
      <c r="F8" s="2"/>
      <c r="G8" s="2"/>
      <c r="H8" s="2"/>
      <c r="I8" s="2"/>
      <c r="J8" s="2"/>
    </row>
    <row r="9" spans="1:12" hidden="1">
      <c r="B9" t="str">
        <f ca="1">_xll.TM1RPTVIEW("tango_core_model:RP_PL:1",0, _xll.TM1RPTTITLE("tango_core_model:Activity",$E$11), _xll.TM1RPTTITLE("tango_core_model:Integration_Rate",$E$12), _xll.TM1RPTTITLE("tango_core_model:Legal_Organization",$E$13), _xll.TM1RPTTITLE("tango_core_model:Management_Organization",$E$14), _xll.TM1RPTTITLE("tango_core_model:Period",$E$15), _xll.TM1RPTTITLE("tango_core_model:Phase",$E$16),TM1RPTFMTRNG,TM1RPTFMTIDCOL)</f>
        <v>tango_core_model:RP_PL:1</v>
      </c>
      <c r="C9" t="s">
        <v>23</v>
      </c>
    </row>
    <row r="10" spans="1:12" ht="14.25" hidden="1" customHeight="1"/>
    <row r="11" spans="1:12">
      <c r="B11" s="1" t="s">
        <v>0</v>
      </c>
      <c r="C11" s="1"/>
      <c r="D11" s="1"/>
      <c r="E11" s="39" t="str">
        <f ca="1">_xll.SUBNM("tango_core_model:Activity","","Tot_act")</f>
        <v>Tot_act</v>
      </c>
      <c r="G11" s="4"/>
      <c r="I11" s="4"/>
      <c r="J11" s="4"/>
      <c r="K11" s="4"/>
      <c r="L11" s="4"/>
    </row>
    <row r="12" spans="1:12">
      <c r="B12" s="1" t="s">
        <v>2</v>
      </c>
      <c r="E12" s="39" t="str">
        <f ca="1">_xll.SUBNM("tango_core_model:Integration_Rate","","APP")</f>
        <v>APP</v>
      </c>
    </row>
    <row r="13" spans="1:12">
      <c r="B13" s="1" t="s">
        <v>3</v>
      </c>
      <c r="E13" s="38" t="str">
        <f ca="1">_xll.SUBNM("tango_core_model:Legal_Organization","default",PLDestination!Zone)</f>
        <v>NA</v>
      </c>
    </row>
    <row r="14" spans="1:12">
      <c r="B14" s="1" t="s">
        <v>4</v>
      </c>
      <c r="E14" s="38" t="str">
        <f ca="1">_xll.SUBNM("tango_core_model:Management_Organization","default",PLDestination!D15,"English")</f>
        <v>VTD_corp</v>
      </c>
    </row>
    <row r="15" spans="1:12">
      <c r="B15" s="1" t="s">
        <v>5</v>
      </c>
      <c r="E15" s="38" t="str">
        <f ca="1">_xll.SUBNM("tango_core_model:Period","default",Actual_Month)</f>
        <v>2016.08_YTD</v>
      </c>
    </row>
    <row r="16" spans="1:12">
      <c r="B16" s="1" t="s">
        <v>6</v>
      </c>
      <c r="C16" s="1"/>
      <c r="D16" s="1"/>
      <c r="E16" s="38" t="str">
        <f ca="1">PLDestination!D17</f>
        <v>ACT_TOT</v>
      </c>
    </row>
    <row r="17" spans="1:12">
      <c r="E17" s="38" t="str">
        <f ca="1">PLDestination!D18</f>
        <v>English</v>
      </c>
    </row>
    <row r="18" spans="1:12">
      <c r="C18" s="16"/>
      <c r="D18" s="16"/>
    </row>
    <row r="19" spans="1:12">
      <c r="B19" s="1"/>
      <c r="C19" s="1"/>
      <c r="D19" s="1"/>
      <c r="E19" s="24" t="s">
        <v>25</v>
      </c>
      <c r="F19" s="24"/>
      <c r="G19" s="25"/>
      <c r="H19" s="17" t="s">
        <v>24</v>
      </c>
      <c r="I19" s="17"/>
      <c r="J19" s="17"/>
      <c r="K19" s="6"/>
      <c r="L19" s="4"/>
    </row>
    <row r="20" spans="1:12" s="3" customFormat="1" ht="24">
      <c r="B20" s="11" t="s">
        <v>20</v>
      </c>
      <c r="C20" s="11" t="s">
        <v>26</v>
      </c>
      <c r="D20" s="11" t="s">
        <v>27</v>
      </c>
      <c r="E20" s="26" t="s">
        <v>15</v>
      </c>
      <c r="F20" s="26" t="s">
        <v>14</v>
      </c>
      <c r="G20" s="27" t="s">
        <v>21</v>
      </c>
      <c r="H20" s="11" t="s">
        <v>15</v>
      </c>
      <c r="I20" s="11" t="s">
        <v>14</v>
      </c>
      <c r="J20" s="11" t="s">
        <v>21</v>
      </c>
    </row>
    <row r="21" spans="1:12">
      <c r="A21" s="2">
        <f ca="1">IF(_xll.TM1RPTELISCONSOLIDATED($B$21,$B21),IF(_xll.TM1RPTELLEV($B$21,$B21)&lt;=3,_xll.TM1RPTELLEV($B$21,$B21),"D"),"N")</f>
        <v>0</v>
      </c>
      <c r="B21" s="13" t="str">
        <f ca="1">_xll.TM1RPTROW($B$9,"tango_core_model:Indicator",,,,,C9)</f>
        <v>Ind_op</v>
      </c>
      <c r="C21" s="8" t="str">
        <f ca="1">_xll.DBRA("tango_core_model:Indicator",$B21,$E$17)</f>
        <v>Operational indicators</v>
      </c>
      <c r="D21" s="8" t="str">
        <f ca="1">_xll.DBRA("tango_core_model:Indicator",$B21,"Source_Indicator")</f>
        <v/>
      </c>
      <c r="E21" s="18">
        <f ca="1">_xll.DBRW($B$9,$E$11,$E$19,E$20,$E$12,$E$13,$E$14,$E$15,$E$16,$B21)</f>
        <v>0</v>
      </c>
      <c r="F21" s="18">
        <f ca="1">_xll.DBRW($B$9,$E$11,$E$19,F$20,$E$12,$E$13,$E$14,$E$15,$E$16,$B21)</f>
        <v>0</v>
      </c>
      <c r="G21" s="19">
        <f ca="1">_xll.DBRW($B$9,$E$11,$E$19,G$20,$E$12,$E$13,$E$14,$E$15,$E$16,$B21)</f>
        <v>0</v>
      </c>
      <c r="H21" s="8">
        <f ca="1">_xll.DBRW($B$9,$E$11,$H$19,H$20,$E$12,$E$13,$E$14,$E$15,$E$16,$B21)</f>
        <v>0</v>
      </c>
      <c r="I21" s="8">
        <f ca="1">_xll.DBRW($B$9,$E$11,$H$19,I$20,$E$12,$E$13,$E$14,$E$15,$E$16,$B21)</f>
        <v>0</v>
      </c>
      <c r="J21" s="8">
        <f ca="1">_xll.DBRW($B$9,$E$11,$H$19,J$20,$E$12,$E$13,$E$14,$E$15,$E$16,$B21)</f>
        <v>0</v>
      </c>
    </row>
    <row r="22" spans="1:12">
      <c r="A22" s="2">
        <f ca="1">IF(_xll.TM1RPTELISCONSOLIDATED($B$21,$B22),IF(_xll.TM1RPTELLEV($B$21,$B22)&lt;=3,_xll.TM1RPTELLEV($B$21,$B22),"D"),"N")</f>
        <v>1</v>
      </c>
      <c r="B22" s="42" t="s">
        <v>36</v>
      </c>
      <c r="C22" s="7" t="str">
        <f ca="1">_xll.DBRA("tango_core_model:Indicator",$B22,$E$17)</f>
        <v>OPERATIONS</v>
      </c>
      <c r="D22" s="7" t="str">
        <f ca="1">_xll.DBRA("tango_core_model:Indicator",$B22,"Source_Indicator")</f>
        <v/>
      </c>
      <c r="E22" s="20">
        <f ca="1">_xll.DBRW($B$9,$E$11,$E$19,E$20,$E$12,$E$13,$E$14,$E$15,$E$16,$B22)</f>
        <v>0</v>
      </c>
      <c r="F22" s="20">
        <f ca="1">_xll.DBRW($B$9,$E$11,$E$19,F$20,$E$12,$E$13,$E$14,$E$15,$E$16,$B22)</f>
        <v>0</v>
      </c>
      <c r="G22" s="21">
        <f ca="1">_xll.DBRW($B$9,$E$11,$E$19,G$20,$E$12,$E$13,$E$14,$E$15,$E$16,$B22)</f>
        <v>0</v>
      </c>
      <c r="H22" s="7">
        <f ca="1">_xll.DBRW($B$9,$E$11,$H$19,H$20,$E$12,$E$13,$E$14,$E$15,$E$16,$B22)</f>
        <v>0</v>
      </c>
      <c r="I22" s="7">
        <f ca="1">_xll.DBRW($B$9,$E$11,$H$19,I$20,$E$12,$E$13,$E$14,$E$15,$E$16,$B22)</f>
        <v>0</v>
      </c>
      <c r="J22" s="7">
        <f ca="1">_xll.DBRW($B$9,$E$11,$H$19,J$20,$E$12,$E$13,$E$14,$E$15,$E$16,$B22)</f>
        <v>0</v>
      </c>
    </row>
    <row r="23" spans="1:12">
      <c r="A23" s="2" t="str">
        <f ca="1">IF(_xll.TM1RPTELISCONSOLIDATED($B$21,$B23),IF(_xll.TM1RPTELLEV($B$21,$B23)&lt;=3,_xll.TM1RPTELLEV($B$21,$B23),"D"),"N")</f>
        <v>N</v>
      </c>
      <c r="B23" s="14" t="s">
        <v>37</v>
      </c>
      <c r="C23" s="2" t="str">
        <f ca="1">_xll.DBRA("tango_core_model:Indicator",$B23,$E$17)</f>
        <v>Total KM self driven</v>
      </c>
      <c r="D23" s="2" t="str">
        <f ca="1">_xll.DBRA("tango_core_model:Indicator",$B23,"Source_Indicator")</f>
        <v>input_country</v>
      </c>
      <c r="E23" s="22">
        <f ca="1">_xll.DBRW($B$9,$E$11,$E$19,E$20,$E$12,$E$13,$E$14,$E$15,$E$16,$B23)</f>
        <v>0</v>
      </c>
      <c r="F23" s="22">
        <f ca="1">_xll.DBRW($B$9,$E$11,$E$19,F$20,$E$12,$E$13,$E$14,$E$15,$E$16,$B23)</f>
        <v>0</v>
      </c>
      <c r="G23" s="23">
        <f ca="1">_xll.DBRW($B$9,$E$11,$E$19,G$20,$E$12,$E$13,$E$14,$E$15,$E$16,$B23)</f>
        <v>0</v>
      </c>
      <c r="H23" s="2">
        <f ca="1">_xll.DBRW($B$9,$E$11,$H$19,H$20,$E$12,$E$13,$E$14,$E$15,$E$16,$B23)</f>
        <v>0</v>
      </c>
      <c r="I23" s="2">
        <f ca="1">_xll.DBRW($B$9,$E$11,$H$19,I$20,$E$12,$E$13,$E$14,$E$15,$E$16,$B23)</f>
        <v>0</v>
      </c>
      <c r="J23" s="2">
        <f ca="1">_xll.DBRW($B$9,$E$11,$H$19,J$20,$E$12,$E$13,$E$14,$E$15,$E$16,$B23)</f>
        <v>0</v>
      </c>
    </row>
    <row r="24" spans="1:12">
      <c r="A24" s="2" t="str">
        <f ca="1">IF(_xll.TM1RPTELISCONSOLIDATED($B$21,$B24),IF(_xll.TM1RPTELLEV($B$21,$B24)&lt;=3,_xll.TM1RPTELLEV($B$21,$B24),"D"),"N")</f>
        <v>N</v>
      </c>
      <c r="B24" s="14" t="s">
        <v>38</v>
      </c>
      <c r="C24" s="2" t="str">
        <f ca="1">_xll.DBRA("tango_core_model:Indicator",$B24,$E$17)</f>
        <v>Revenue KM</v>
      </c>
      <c r="D24" s="2" t="str">
        <f ca="1">_xll.DBRA("tango_core_model:Indicator",$B24,"Source_Indicator")</f>
        <v>input_country</v>
      </c>
      <c r="E24" s="22">
        <f ca="1">_xll.DBRW($B$9,$E$11,$E$19,E$20,$E$12,$E$13,$E$14,$E$15,$E$16,$B24)</f>
        <v>0</v>
      </c>
      <c r="F24" s="22">
        <f ca="1">_xll.DBRW($B$9,$E$11,$E$19,F$20,$E$12,$E$13,$E$14,$E$15,$E$16,$B24)</f>
        <v>0</v>
      </c>
      <c r="G24" s="23">
        <f ca="1">_xll.DBRW($B$9,$E$11,$E$19,G$20,$E$12,$E$13,$E$14,$E$15,$E$16,$B24)</f>
        <v>0</v>
      </c>
      <c r="H24" s="2">
        <f ca="1">_xll.DBRW($B$9,$E$11,$H$19,H$20,$E$12,$E$13,$E$14,$E$15,$E$16,$B24)</f>
        <v>0</v>
      </c>
      <c r="I24" s="2">
        <f ca="1">_xll.DBRW($B$9,$E$11,$H$19,I$20,$E$12,$E$13,$E$14,$E$15,$E$16,$B24)</f>
        <v>0</v>
      </c>
      <c r="J24" s="2">
        <f ca="1">_xll.DBRW($B$9,$E$11,$H$19,J$20,$E$12,$E$13,$E$14,$E$15,$E$16,$B24)</f>
        <v>0</v>
      </c>
    </row>
    <row r="25" spans="1:12">
      <c r="A25" s="2" t="str">
        <f ca="1">IF(_xll.TM1RPTELISCONSOLIDATED($B$21,$B25),IF(_xll.TM1RPTELLEV($B$21,$B25)&lt;=3,_xll.TM1RPTELLEV($B$21,$B25),"D"),"N")</f>
        <v>N</v>
      </c>
      <c r="B25" s="14" t="s">
        <v>39</v>
      </c>
      <c r="C25" s="2" t="str">
        <f ca="1">_xll.DBRA("tango_core_model:Indicator",$B25,$E$17)</f>
        <v>Total KM driven by fuel</v>
      </c>
      <c r="D25" s="2" t="str">
        <f ca="1">_xll.DBRA("tango_core_model:Indicator",$B25,"Source_Indicator")</f>
        <v>input_country</v>
      </c>
      <c r="E25" s="22">
        <f ca="1">_xll.DBRW($B$9,$E$11,$E$19,E$20,$E$12,$E$13,$E$14,$E$15,$E$16,$B25)</f>
        <v>0</v>
      </c>
      <c r="F25" s="22">
        <f ca="1">_xll.DBRW($B$9,$E$11,$E$19,F$20,$E$12,$E$13,$E$14,$E$15,$E$16,$B25)</f>
        <v>0</v>
      </c>
      <c r="G25" s="23">
        <f ca="1">_xll.DBRW($B$9,$E$11,$E$19,G$20,$E$12,$E$13,$E$14,$E$15,$E$16,$B25)</f>
        <v>0</v>
      </c>
      <c r="H25" s="2">
        <f ca="1">_xll.DBRW($B$9,$E$11,$H$19,H$20,$E$12,$E$13,$E$14,$E$15,$E$16,$B25)</f>
        <v>0</v>
      </c>
      <c r="I25" s="2">
        <f ca="1">_xll.DBRW($B$9,$E$11,$H$19,I$20,$E$12,$E$13,$E$14,$E$15,$E$16,$B25)</f>
        <v>0</v>
      </c>
      <c r="J25" s="2">
        <f ca="1">_xll.DBRW($B$9,$E$11,$H$19,J$20,$E$12,$E$13,$E$14,$E$15,$E$16,$B25)</f>
        <v>0</v>
      </c>
    </row>
    <row r="26" spans="1:12">
      <c r="A26" s="2" t="str">
        <f ca="1">IF(_xll.TM1RPTELISCONSOLIDATED($B$21,$B26),IF(_xll.TM1RPTELLEV($B$21,$B26)&lt;=3,_xll.TM1RPTELLEV($B$21,$B26),"D"),"N")</f>
        <v>N</v>
      </c>
      <c r="B26" s="14" t="s">
        <v>40</v>
      </c>
      <c r="C26" s="2" t="str">
        <f ca="1">_xll.DBRA("tango_core_model:Indicator",$B26,$E$17)</f>
        <v>Total KM driven by biofuel</v>
      </c>
      <c r="D26" s="2" t="str">
        <f ca="1">_xll.DBRA("tango_core_model:Indicator",$B26,"Source_Indicator")</f>
        <v>input_country</v>
      </c>
      <c r="E26" s="22">
        <f ca="1">_xll.DBRW($B$9,$E$11,$E$19,E$20,$E$12,$E$13,$E$14,$E$15,$E$16,$B26)</f>
        <v>0</v>
      </c>
      <c r="F26" s="22">
        <f ca="1">_xll.DBRW($B$9,$E$11,$E$19,F$20,$E$12,$E$13,$E$14,$E$15,$E$16,$B26)</f>
        <v>0</v>
      </c>
      <c r="G26" s="23">
        <f ca="1">_xll.DBRW($B$9,$E$11,$E$19,G$20,$E$12,$E$13,$E$14,$E$15,$E$16,$B26)</f>
        <v>0</v>
      </c>
      <c r="H26" s="2">
        <f ca="1">_xll.DBRW($B$9,$E$11,$H$19,H$20,$E$12,$E$13,$E$14,$E$15,$E$16,$B26)</f>
        <v>0</v>
      </c>
      <c r="I26" s="2">
        <f ca="1">_xll.DBRW($B$9,$E$11,$H$19,I$20,$E$12,$E$13,$E$14,$E$15,$E$16,$B26)</f>
        <v>0</v>
      </c>
      <c r="J26" s="2">
        <f ca="1">_xll.DBRW($B$9,$E$11,$H$19,J$20,$E$12,$E$13,$E$14,$E$15,$E$16,$B26)</f>
        <v>0</v>
      </c>
    </row>
    <row r="27" spans="1:12">
      <c r="A27" s="2" t="str">
        <f ca="1">IF(_xll.TM1RPTELISCONSOLIDATED($B$21,$B27),IF(_xll.TM1RPTELLEV($B$21,$B27)&lt;=3,_xll.TM1RPTELLEV($B$21,$B27),"D"),"N")</f>
        <v>N</v>
      </c>
      <c r="B27" s="14" t="s">
        <v>41</v>
      </c>
      <c r="C27" s="2" t="str">
        <f ca="1">_xll.DBRA("tango_core_model:Indicator",$B27,$E$17)</f>
        <v>Total KM driven by electricity</v>
      </c>
      <c r="D27" s="2" t="str">
        <f ca="1">_xll.DBRA("tango_core_model:Indicator",$B27,"Source_Indicator")</f>
        <v>input_country</v>
      </c>
      <c r="E27" s="22">
        <f ca="1">_xll.DBRW($B$9,$E$11,$E$19,E$20,$E$12,$E$13,$E$14,$E$15,$E$16,$B27)</f>
        <v>0</v>
      </c>
      <c r="F27" s="22">
        <f ca="1">_xll.DBRW($B$9,$E$11,$E$19,F$20,$E$12,$E$13,$E$14,$E$15,$E$16,$B27)</f>
        <v>0</v>
      </c>
      <c r="G27" s="23">
        <f ca="1">_xll.DBRW($B$9,$E$11,$E$19,G$20,$E$12,$E$13,$E$14,$E$15,$E$16,$B27)</f>
        <v>0</v>
      </c>
      <c r="H27" s="2">
        <f ca="1">_xll.DBRW($B$9,$E$11,$H$19,H$20,$E$12,$E$13,$E$14,$E$15,$E$16,$B27)</f>
        <v>0</v>
      </c>
      <c r="I27" s="2">
        <f ca="1">_xll.DBRW($B$9,$E$11,$H$19,I$20,$E$12,$E$13,$E$14,$E$15,$E$16,$B27)</f>
        <v>0</v>
      </c>
      <c r="J27" s="2">
        <f ca="1">_xll.DBRW($B$9,$E$11,$H$19,J$20,$E$12,$E$13,$E$14,$E$15,$E$16,$B27)</f>
        <v>0</v>
      </c>
    </row>
    <row r="28" spans="1:12">
      <c r="A28" s="2" t="str">
        <f ca="1">IF(_xll.TM1RPTELISCONSOLIDATED($B$21,$B28),IF(_xll.TM1RPTELLEV($B$21,$B28)&lt;=3,_xll.TM1RPTELLEV($B$21,$B28),"D"),"N")</f>
        <v>N</v>
      </c>
      <c r="B28" s="14" t="s">
        <v>42</v>
      </c>
      <c r="C28" s="2" t="str">
        <f ca="1">_xll.DBRA("tango_core_model:Indicator",$B28,$E$17)</f>
        <v>Total KM driven by gas</v>
      </c>
      <c r="D28" s="2" t="str">
        <f ca="1">_xll.DBRA("tango_core_model:Indicator",$B28,"Source_Indicator")</f>
        <v>input_country</v>
      </c>
      <c r="E28" s="22">
        <f ca="1">_xll.DBRW($B$9,$E$11,$E$19,E$20,$E$12,$E$13,$E$14,$E$15,$E$16,$B28)</f>
        <v>0</v>
      </c>
      <c r="F28" s="22">
        <f ca="1">_xll.DBRW($B$9,$E$11,$E$19,F$20,$E$12,$E$13,$E$14,$E$15,$E$16,$B28)</f>
        <v>0</v>
      </c>
      <c r="G28" s="23">
        <f ca="1">_xll.DBRW($B$9,$E$11,$E$19,G$20,$E$12,$E$13,$E$14,$E$15,$E$16,$B28)</f>
        <v>0</v>
      </c>
      <c r="H28" s="2">
        <f ca="1">_xll.DBRW($B$9,$E$11,$H$19,H$20,$E$12,$E$13,$E$14,$E$15,$E$16,$B28)</f>
        <v>0</v>
      </c>
      <c r="I28" s="2">
        <f ca="1">_xll.DBRW($B$9,$E$11,$H$19,I$20,$E$12,$E$13,$E$14,$E$15,$E$16,$B28)</f>
        <v>0</v>
      </c>
      <c r="J28" s="2">
        <f ca="1">_xll.DBRW($B$9,$E$11,$H$19,J$20,$E$12,$E$13,$E$14,$E$15,$E$16,$B28)</f>
        <v>0</v>
      </c>
    </row>
    <row r="29" spans="1:12">
      <c r="A29" s="2" t="str">
        <f ca="1">IF(_xll.TM1RPTELISCONSOLIDATED($B$21,$B29),IF(_xll.TM1RPTELLEV($B$21,$B29)&lt;=3,_xll.TM1RPTELLEV($B$21,$B29),"D"),"N")</f>
        <v>N</v>
      </c>
      <c r="B29" s="14" t="s">
        <v>43</v>
      </c>
      <c r="C29" s="2" t="str">
        <f ca="1">_xll.DBRA("tango_core_model:Indicator",$B29,$E$17)</f>
        <v>Total KM subcontracted</v>
      </c>
      <c r="D29" s="2" t="str">
        <f ca="1">_xll.DBRA("tango_core_model:Indicator",$B29,"Source_Indicator")</f>
        <v>input_country</v>
      </c>
      <c r="E29" s="22">
        <f ca="1">_xll.DBRW($B$9,$E$11,$E$19,E$20,$E$12,$E$13,$E$14,$E$15,$E$16,$B29)</f>
        <v>0</v>
      </c>
      <c r="F29" s="22">
        <f ca="1">_xll.DBRW($B$9,$E$11,$E$19,F$20,$E$12,$E$13,$E$14,$E$15,$E$16,$B29)</f>
        <v>0</v>
      </c>
      <c r="G29" s="23">
        <f ca="1">_xll.DBRW($B$9,$E$11,$E$19,G$20,$E$12,$E$13,$E$14,$E$15,$E$16,$B29)</f>
        <v>0</v>
      </c>
      <c r="H29" s="2">
        <f ca="1">_xll.DBRW($B$9,$E$11,$H$19,H$20,$E$12,$E$13,$E$14,$E$15,$E$16,$B29)</f>
        <v>0</v>
      </c>
      <c r="I29" s="2">
        <f ca="1">_xll.DBRW($B$9,$E$11,$H$19,I$20,$E$12,$E$13,$E$14,$E$15,$E$16,$B29)</f>
        <v>0</v>
      </c>
      <c r="J29" s="2">
        <f ca="1">_xll.DBRW($B$9,$E$11,$H$19,J$20,$E$12,$E$13,$E$14,$E$15,$E$16,$B29)</f>
        <v>0</v>
      </c>
    </row>
    <row r="30" spans="1:12">
      <c r="A30" s="2" t="str">
        <f ca="1">IF(_xll.TM1RPTELISCONSOLIDATED($B$21,$B30),IF(_xll.TM1RPTELLEV($B$21,$B30)&lt;=3,_xll.TM1RPTELLEV($B$21,$B30),"D"),"N")</f>
        <v>N</v>
      </c>
      <c r="B30" s="14" t="s">
        <v>44</v>
      </c>
      <c r="C30" s="2" t="str">
        <f ca="1">_xll.DBRA("tango_core_model:Indicator",$B30,$E$17)</f>
        <v>Total driving paid hours</v>
      </c>
      <c r="D30" s="2" t="str">
        <f ca="1">_xll.DBRA("tango_core_model:Indicator",$B30,"Source_Indicator")</f>
        <v>input_country</v>
      </c>
      <c r="E30" s="22">
        <f ca="1">_xll.DBRW($B$9,$E$11,$E$19,E$20,$E$12,$E$13,$E$14,$E$15,$E$16,$B30)</f>
        <v>0</v>
      </c>
      <c r="F30" s="22">
        <f ca="1">_xll.DBRW($B$9,$E$11,$E$19,F$20,$E$12,$E$13,$E$14,$E$15,$E$16,$B30)</f>
        <v>0</v>
      </c>
      <c r="G30" s="23">
        <f ca="1">_xll.DBRW($B$9,$E$11,$E$19,G$20,$E$12,$E$13,$E$14,$E$15,$E$16,$B30)</f>
        <v>0</v>
      </c>
      <c r="H30" s="2">
        <f ca="1">_xll.DBRW($B$9,$E$11,$H$19,H$20,$E$12,$E$13,$E$14,$E$15,$E$16,$B30)</f>
        <v>0</v>
      </c>
      <c r="I30" s="2">
        <f ca="1">_xll.DBRW($B$9,$E$11,$H$19,I$20,$E$12,$E$13,$E$14,$E$15,$E$16,$B30)</f>
        <v>0</v>
      </c>
      <c r="J30" s="2">
        <f ca="1">_xll.DBRW($B$9,$E$11,$H$19,J$20,$E$12,$E$13,$E$14,$E$15,$E$16,$B30)</f>
        <v>0</v>
      </c>
    </row>
    <row r="31" spans="1:12">
      <c r="A31" s="2">
        <f ca="1">IF(_xll.TM1RPTELISCONSOLIDATED($B$21,$B31),IF(_xll.TM1RPTELLEV($B$21,$B31)&lt;=3,_xll.TM1RPTELLEV($B$21,$B31),"D"),"N")</f>
        <v>2</v>
      </c>
      <c r="B31" s="28" t="s">
        <v>45</v>
      </c>
      <c r="C31" s="7" t="str">
        <f ca="1">_xll.DBRA("tango_core_model:Indicator",$B31,$E$17)</f>
        <v>Total Driving Paid hours (PMM FR)</v>
      </c>
      <c r="D31" s="7" t="str">
        <f ca="1">_xll.DBRA("tango_core_model:Indicator",$B31,"Source_Indicator")</f>
        <v/>
      </c>
      <c r="E31" s="20">
        <f ca="1">_xll.DBRW($B$9,$E$11,$E$19,E$20,$E$12,$E$13,$E$14,$E$15,$E$16,$B31)</f>
        <v>0</v>
      </c>
      <c r="F31" s="20">
        <f ca="1">_xll.DBRW($B$9,$E$11,$E$19,F$20,$E$12,$E$13,$E$14,$E$15,$E$16,$B31)</f>
        <v>0</v>
      </c>
      <c r="G31" s="21">
        <f ca="1">_xll.DBRW($B$9,$E$11,$E$19,G$20,$E$12,$E$13,$E$14,$E$15,$E$16,$B31)</f>
        <v>0</v>
      </c>
      <c r="H31" s="7">
        <f ca="1">_xll.DBRW($B$9,$E$11,$H$19,H$20,$E$12,$E$13,$E$14,$E$15,$E$16,$B31)</f>
        <v>0</v>
      </c>
      <c r="I31" s="7">
        <f ca="1">_xll.DBRW($B$9,$E$11,$H$19,I$20,$E$12,$E$13,$E$14,$E$15,$E$16,$B31)</f>
        <v>0</v>
      </c>
      <c r="J31" s="7">
        <f ca="1">_xll.DBRW($B$9,$E$11,$H$19,J$20,$E$12,$E$13,$E$14,$E$15,$E$16,$B31)</f>
        <v>0</v>
      </c>
    </row>
    <row r="32" spans="1:12">
      <c r="A32" s="2" t="str">
        <f ca="1">IF(_xll.TM1RPTELISCONSOLIDATED($B$21,$B32),IF(_xll.TM1RPTELLEV($B$21,$B32)&lt;=3,_xll.TM1RPTELLEV($B$21,$B32),"D"),"N")</f>
        <v>N</v>
      </c>
      <c r="B32" s="29" t="s">
        <v>46</v>
      </c>
      <c r="C32" s="2" t="str">
        <f ca="1">_xll.DBRA("tango_core_model:Indicator",$B32,$E$17)</f>
        <v>Driving shift hours</v>
      </c>
      <c r="D32" s="2" t="str">
        <f ca="1">_xll.DBRA("tango_core_model:Indicator",$B32,"Source_Indicator")</f>
        <v>input_country</v>
      </c>
      <c r="E32" s="22">
        <f ca="1">_xll.DBRW($B$9,$E$11,$E$19,E$20,$E$12,$E$13,$E$14,$E$15,$E$16,$B32)</f>
        <v>0</v>
      </c>
      <c r="F32" s="22">
        <f ca="1">_xll.DBRW($B$9,$E$11,$E$19,F$20,$E$12,$E$13,$E$14,$E$15,$E$16,$B32)</f>
        <v>0</v>
      </c>
      <c r="G32" s="23">
        <f ca="1">_xll.DBRW($B$9,$E$11,$E$19,G$20,$E$12,$E$13,$E$14,$E$15,$E$16,$B32)</f>
        <v>0</v>
      </c>
      <c r="H32" s="2">
        <f ca="1">_xll.DBRW($B$9,$E$11,$H$19,H$20,$E$12,$E$13,$E$14,$E$15,$E$16,$B32)</f>
        <v>0</v>
      </c>
      <c r="I32" s="2">
        <f ca="1">_xll.DBRW($B$9,$E$11,$H$19,I$20,$E$12,$E$13,$E$14,$E$15,$E$16,$B32)</f>
        <v>0</v>
      </c>
      <c r="J32" s="2">
        <f ca="1">_xll.DBRW($B$9,$E$11,$H$19,J$20,$E$12,$E$13,$E$14,$E$15,$E$16,$B32)</f>
        <v>0</v>
      </c>
    </row>
    <row r="33" spans="1:10">
      <c r="A33" s="2" t="str">
        <f ca="1">IF(_xll.TM1RPTELISCONSOLIDATED($B$21,$B33),IF(_xll.TM1RPTELLEV($B$21,$B33)&lt;=3,_xll.TM1RPTELLEV($B$21,$B33),"D"),"N")</f>
        <v>N</v>
      </c>
      <c r="B33" s="29" t="s">
        <v>47</v>
      </c>
      <c r="C33" s="2" t="str">
        <f ca="1">_xll.DBRA("tango_core_model:Indicator",$B33,$E$17)</f>
        <v>Driving Overtime hours</v>
      </c>
      <c r="D33" s="2" t="str">
        <f ca="1">_xll.DBRA("tango_core_model:Indicator",$B33,"Source_Indicator")</f>
        <v>input_country</v>
      </c>
      <c r="E33" s="22">
        <f ca="1">_xll.DBRW($B$9,$E$11,$E$19,E$20,$E$12,$E$13,$E$14,$E$15,$E$16,$B33)</f>
        <v>0</v>
      </c>
      <c r="F33" s="22">
        <f ca="1">_xll.DBRW($B$9,$E$11,$E$19,F$20,$E$12,$E$13,$E$14,$E$15,$E$16,$B33)</f>
        <v>0</v>
      </c>
      <c r="G33" s="23">
        <f ca="1">_xll.DBRW($B$9,$E$11,$E$19,G$20,$E$12,$E$13,$E$14,$E$15,$E$16,$B33)</f>
        <v>0</v>
      </c>
      <c r="H33" s="2">
        <f ca="1">_xll.DBRW($B$9,$E$11,$H$19,H$20,$E$12,$E$13,$E$14,$E$15,$E$16,$B33)</f>
        <v>0</v>
      </c>
      <c r="I33" s="2">
        <f ca="1">_xll.DBRW($B$9,$E$11,$H$19,I$20,$E$12,$E$13,$E$14,$E$15,$E$16,$B33)</f>
        <v>0</v>
      </c>
      <c r="J33" s="2">
        <f ca="1">_xll.DBRW($B$9,$E$11,$H$19,J$20,$E$12,$E$13,$E$14,$E$15,$E$16,$B33)</f>
        <v>0</v>
      </c>
    </row>
    <row r="34" spans="1:10">
      <c r="A34" s="2" t="str">
        <f ca="1">IF(_xll.TM1RPTELISCONSOLIDATED($B$21,$B34),IF(_xll.TM1RPTELLEV($B$21,$B34)&lt;=3,_xll.TM1RPTELLEV($B$21,$B34),"D"),"N")</f>
        <v>N</v>
      </c>
      <c r="B34" s="14" t="s">
        <v>48</v>
      </c>
      <c r="C34" s="2" t="str">
        <f ca="1">_xll.DBRA("tango_core_model:Indicator",$B34,$E$17)</f>
        <v>Driving Revenue hours</v>
      </c>
      <c r="D34" s="2" t="str">
        <f ca="1">_xll.DBRA("tango_core_model:Indicator",$B34,"Source_Indicator")</f>
        <v>input_country</v>
      </c>
      <c r="E34" s="22">
        <f ca="1">_xll.DBRW($B$9,$E$11,$E$19,E$20,$E$12,$E$13,$E$14,$E$15,$E$16,$B34)</f>
        <v>0</v>
      </c>
      <c r="F34" s="22">
        <f ca="1">_xll.DBRW($B$9,$E$11,$E$19,F$20,$E$12,$E$13,$E$14,$E$15,$E$16,$B34)</f>
        <v>0</v>
      </c>
      <c r="G34" s="23">
        <f ca="1">_xll.DBRW($B$9,$E$11,$E$19,G$20,$E$12,$E$13,$E$14,$E$15,$E$16,$B34)</f>
        <v>0</v>
      </c>
      <c r="H34" s="2">
        <f ca="1">_xll.DBRW($B$9,$E$11,$H$19,H$20,$E$12,$E$13,$E$14,$E$15,$E$16,$B34)</f>
        <v>0</v>
      </c>
      <c r="I34" s="2">
        <f ca="1">_xll.DBRW($B$9,$E$11,$H$19,I$20,$E$12,$E$13,$E$14,$E$15,$E$16,$B34)</f>
        <v>0</v>
      </c>
      <c r="J34" s="2">
        <f ca="1">_xll.DBRW($B$9,$E$11,$H$19,J$20,$E$12,$E$13,$E$14,$E$15,$E$16,$B34)</f>
        <v>0</v>
      </c>
    </row>
    <row r="35" spans="1:10">
      <c r="A35" s="2" t="str">
        <f ca="1">IF(_xll.TM1RPTELISCONSOLIDATED($B$21,$B35),IF(_xll.TM1RPTELLEV($B$21,$B35)&lt;=3,_xll.TM1RPTELLEV($B$21,$B35),"D"),"N")</f>
        <v>N</v>
      </c>
      <c r="B35" s="14" t="s">
        <v>49</v>
      </c>
      <c r="C35" s="2" t="str">
        <f ca="1">_xll.DBRA("tango_core_model:Indicator",$B35,$E$17)</f>
        <v>Total engine hours</v>
      </c>
      <c r="D35" s="2" t="str">
        <f ca="1">_xll.DBRA("tango_core_model:Indicator",$B35,"Source_Indicator")</f>
        <v/>
      </c>
      <c r="E35" s="22">
        <f ca="1">_xll.DBRW($B$9,$E$11,$E$19,E$20,$E$12,$E$13,$E$14,$E$15,$E$16,$B35)</f>
        <v>0</v>
      </c>
      <c r="F35" s="22">
        <f ca="1">_xll.DBRW($B$9,$E$11,$E$19,F$20,$E$12,$E$13,$E$14,$E$15,$E$16,$B35)</f>
        <v>0</v>
      </c>
      <c r="G35" s="23">
        <f ca="1">_xll.DBRW($B$9,$E$11,$E$19,G$20,$E$12,$E$13,$E$14,$E$15,$E$16,$B35)</f>
        <v>0</v>
      </c>
      <c r="H35" s="2">
        <f ca="1">_xll.DBRW($B$9,$E$11,$H$19,H$20,$E$12,$E$13,$E$14,$E$15,$E$16,$B35)</f>
        <v>0</v>
      </c>
      <c r="I35" s="2">
        <f ca="1">_xll.DBRW($B$9,$E$11,$H$19,I$20,$E$12,$E$13,$E$14,$E$15,$E$16,$B35)</f>
        <v>0</v>
      </c>
      <c r="J35" s="2">
        <f ca="1">_xll.DBRW($B$9,$E$11,$H$19,J$20,$E$12,$E$13,$E$14,$E$15,$E$16,$B35)</f>
        <v>0</v>
      </c>
    </row>
    <row r="36" spans="1:10">
      <c r="A36" s="2" t="str">
        <f ca="1">IF(_xll.TM1RPTELISCONSOLIDATED($B$21,$B36),IF(_xll.TM1RPTELLEV($B$21,$B36)&lt;=3,_xll.TM1RPTELLEV($B$21,$B36),"D"),"N")</f>
        <v>N</v>
      </c>
      <c r="B36" s="14" t="s">
        <v>50</v>
      </c>
      <c r="C36" s="2" t="str">
        <f ca="1">_xll.DBRA("tango_core_model:Indicator",$B36,$E$17)</f>
        <v>Total train-car km</v>
      </c>
      <c r="D36" s="2" t="str">
        <f ca="1">_xll.DBRA("tango_core_model:Indicator",$B36,"Source_Indicator")</f>
        <v/>
      </c>
      <c r="E36" s="22">
        <f ca="1">_xll.DBRW($B$9,$E$11,$E$19,E$20,$E$12,$E$13,$E$14,$E$15,$E$16,$B36)</f>
        <v>0</v>
      </c>
      <c r="F36" s="22">
        <f ca="1">_xll.DBRW($B$9,$E$11,$E$19,F$20,$E$12,$E$13,$E$14,$E$15,$E$16,$B36)</f>
        <v>0</v>
      </c>
      <c r="G36" s="23">
        <f ca="1">_xll.DBRW($B$9,$E$11,$E$19,G$20,$E$12,$E$13,$E$14,$E$15,$E$16,$B36)</f>
        <v>0</v>
      </c>
      <c r="H36" s="2">
        <f ca="1">_xll.DBRW($B$9,$E$11,$H$19,H$20,$E$12,$E$13,$E$14,$E$15,$E$16,$B36)</f>
        <v>0</v>
      </c>
      <c r="I36" s="2">
        <f ca="1">_xll.DBRW($B$9,$E$11,$H$19,I$20,$E$12,$E$13,$E$14,$E$15,$E$16,$B36)</f>
        <v>0</v>
      </c>
      <c r="J36" s="2">
        <f ca="1">_xll.DBRW($B$9,$E$11,$H$19,J$20,$E$12,$E$13,$E$14,$E$15,$E$16,$B36)</f>
        <v>0</v>
      </c>
    </row>
    <row r="37" spans="1:10">
      <c r="A37" s="2" t="str">
        <f ca="1">IF(_xll.TM1RPTELISCONSOLIDATED($B$21,$B37),IF(_xll.TM1RPTELLEV($B$21,$B37)&lt;=3,_xll.TM1RPTELLEV($B$21,$B37),"D"),"N")</f>
        <v>N</v>
      </c>
      <c r="B37" s="14" t="s">
        <v>51</v>
      </c>
      <c r="C37" s="2" t="str">
        <f ca="1">_xll.DBRA("tango_core_model:Indicator",$B37,$E$17)</f>
        <v>Subcontracted driving hours</v>
      </c>
      <c r="D37" s="2" t="str">
        <f ca="1">_xll.DBRA("tango_core_model:Indicator",$B37,"Source_Indicator")</f>
        <v>input_country</v>
      </c>
      <c r="E37" s="22">
        <f ca="1">_xll.DBRW($B$9,$E$11,$E$19,E$20,$E$12,$E$13,$E$14,$E$15,$E$16,$B37)</f>
        <v>0</v>
      </c>
      <c r="F37" s="22">
        <f ca="1">_xll.DBRW($B$9,$E$11,$E$19,F$20,$E$12,$E$13,$E$14,$E$15,$E$16,$B37)</f>
        <v>0</v>
      </c>
      <c r="G37" s="23">
        <f ca="1">_xll.DBRW($B$9,$E$11,$E$19,G$20,$E$12,$E$13,$E$14,$E$15,$E$16,$B37)</f>
        <v>0</v>
      </c>
      <c r="H37" s="2">
        <f ca="1">_xll.DBRW($B$9,$E$11,$H$19,H$20,$E$12,$E$13,$E$14,$E$15,$E$16,$B37)</f>
        <v>0</v>
      </c>
      <c r="I37" s="2">
        <f ca="1">_xll.DBRW($B$9,$E$11,$H$19,I$20,$E$12,$E$13,$E$14,$E$15,$E$16,$B37)</f>
        <v>0</v>
      </c>
      <c r="J37" s="2">
        <f ca="1">_xll.DBRW($B$9,$E$11,$H$19,J$20,$E$12,$E$13,$E$14,$E$15,$E$16,$B37)</f>
        <v>0</v>
      </c>
    </row>
    <row r="38" spans="1:10">
      <c r="A38" s="2" t="str">
        <f ca="1">IF(_xll.TM1RPTELISCONSOLIDATED($B$21,$B38),IF(_xll.TM1RPTELLEV($B$21,$B38)&lt;=3,_xll.TM1RPTELLEV($B$21,$B38),"D"),"N")</f>
        <v>N</v>
      </c>
      <c r="B38" s="14" t="s">
        <v>52</v>
      </c>
      <c r="C38" s="2" t="str">
        <f ca="1">_xll.DBRA("tango_core_model:Indicator",$B38,$E$17)</f>
        <v>Driving efficiency ratio as % (hrs)</v>
      </c>
      <c r="D38" s="2" t="str">
        <f ca="1">_xll.DBRA("tango_core_model:Indicator",$B38,"Source_Indicator")</f>
        <v>calc</v>
      </c>
      <c r="E38" s="22">
        <f ca="1">_xll.DBRW($B$9,$E$11,$E$19,E$20,$E$12,$E$13,$E$14,$E$15,$E$16,$B38)</f>
        <v>0</v>
      </c>
      <c r="F38" s="22">
        <f ca="1">_xll.DBRW($B$9,$E$11,$E$19,F$20,$E$12,$E$13,$E$14,$E$15,$E$16,$B38)</f>
        <v>0</v>
      </c>
      <c r="G38" s="23">
        <f ca="1">_xll.DBRW($B$9,$E$11,$E$19,G$20,$E$12,$E$13,$E$14,$E$15,$E$16,$B38)</f>
        <v>0</v>
      </c>
      <c r="H38" s="2">
        <f ca="1">_xll.DBRW($B$9,$E$11,$H$19,H$20,$E$12,$E$13,$E$14,$E$15,$E$16,$B38)</f>
        <v>0</v>
      </c>
      <c r="I38" s="2">
        <f ca="1">_xll.DBRW($B$9,$E$11,$H$19,I$20,$E$12,$E$13,$E$14,$E$15,$E$16,$B38)</f>
        <v>0</v>
      </c>
      <c r="J38" s="2">
        <f ca="1">_xll.DBRW($B$9,$E$11,$H$19,J$20,$E$12,$E$13,$E$14,$E$15,$E$16,$B38)</f>
        <v>0</v>
      </c>
    </row>
    <row r="39" spans="1:10">
      <c r="A39" s="2" t="str">
        <f ca="1">IF(_xll.TM1RPTELISCONSOLIDATED($B$21,$B39),IF(_xll.TM1RPTELLEV($B$21,$B39)&lt;=3,_xll.TM1RPTELLEV($B$21,$B39),"D"),"N")</f>
        <v>N</v>
      </c>
      <c r="B39" s="14" t="s">
        <v>53</v>
      </c>
      <c r="C39" s="2" t="str">
        <f ca="1">_xll.DBRA("tango_core_model:Indicator",$B39,$E$17)</f>
        <v>Driving efficiency ratio as % (km)</v>
      </c>
      <c r="D39" s="2" t="str">
        <f ca="1">_xll.DBRA("tango_core_model:Indicator",$B39,"Source_Indicator")</f>
        <v>calc</v>
      </c>
      <c r="E39" s="22">
        <f ca="1">_xll.DBRW($B$9,$E$11,$E$19,E$20,$E$12,$E$13,$E$14,$E$15,$E$16,$B39)</f>
        <v>0</v>
      </c>
      <c r="F39" s="22">
        <f ca="1">_xll.DBRW($B$9,$E$11,$E$19,F$20,$E$12,$E$13,$E$14,$E$15,$E$16,$B39)</f>
        <v>0</v>
      </c>
      <c r="G39" s="23">
        <f ca="1">_xll.DBRW($B$9,$E$11,$E$19,G$20,$E$12,$E$13,$E$14,$E$15,$E$16,$B39)</f>
        <v>0</v>
      </c>
      <c r="H39" s="2">
        <f ca="1">_xll.DBRW($B$9,$E$11,$H$19,H$20,$E$12,$E$13,$E$14,$E$15,$E$16,$B39)</f>
        <v>0</v>
      </c>
      <c r="I39" s="2">
        <f ca="1">_xll.DBRW($B$9,$E$11,$H$19,I$20,$E$12,$E$13,$E$14,$E$15,$E$16,$B39)</f>
        <v>0</v>
      </c>
      <c r="J39" s="2">
        <f ca="1">_xll.DBRW($B$9,$E$11,$H$19,J$20,$E$12,$E$13,$E$14,$E$15,$E$16,$B39)</f>
        <v>0</v>
      </c>
    </row>
    <row r="40" spans="1:10">
      <c r="A40" s="2" t="str">
        <f ca="1">IF(_xll.TM1RPTELISCONSOLIDATED($B$21,$B40),IF(_xll.TM1RPTELLEV($B$21,$B40)&lt;=3,_xll.TM1RPTELLEV($B$21,$B40),"D"),"N")</f>
        <v>N</v>
      </c>
      <c r="B40" s="14" t="s">
        <v>54</v>
      </c>
      <c r="C40" s="2" t="str">
        <f ca="1">_xll.DBRA("tango_core_model:Indicator",$B40,$E$17)</f>
        <v>Driving overtime ratio as %</v>
      </c>
      <c r="D40" s="2" t="str">
        <f ca="1">_xll.DBRA("tango_core_model:Indicator",$B40,"Source_Indicator")</f>
        <v>calc</v>
      </c>
      <c r="E40" s="22">
        <f ca="1">_xll.DBRW($B$9,$E$11,$E$19,E$20,$E$12,$E$13,$E$14,$E$15,$E$16,$B40)</f>
        <v>0</v>
      </c>
      <c r="F40" s="22">
        <f ca="1">_xll.DBRW($B$9,$E$11,$E$19,F$20,$E$12,$E$13,$E$14,$E$15,$E$16,$B40)</f>
        <v>0</v>
      </c>
      <c r="G40" s="23">
        <f ca="1">_xll.DBRW($B$9,$E$11,$E$19,G$20,$E$12,$E$13,$E$14,$E$15,$E$16,$B40)</f>
        <v>0</v>
      </c>
      <c r="H40" s="2">
        <f ca="1">_xll.DBRW($B$9,$E$11,$H$19,H$20,$E$12,$E$13,$E$14,$E$15,$E$16,$B40)</f>
        <v>0</v>
      </c>
      <c r="I40" s="2">
        <f ca="1">_xll.DBRW($B$9,$E$11,$H$19,I$20,$E$12,$E$13,$E$14,$E$15,$E$16,$B40)</f>
        <v>0</v>
      </c>
      <c r="J40" s="2">
        <f ca="1">_xll.DBRW($B$9,$E$11,$H$19,J$20,$E$12,$E$13,$E$14,$E$15,$E$16,$B40)</f>
        <v>0</v>
      </c>
    </row>
    <row r="41" spans="1:10">
      <c r="A41" s="2">
        <f ca="1">IF(_xll.TM1RPTELISCONSOLIDATED($B$21,$B41),IF(_xll.TM1RPTELLEV($B$21,$B41)&lt;=3,_xll.TM1RPTELLEV($B$21,$B41),"D"),"N")</f>
        <v>1</v>
      </c>
      <c r="B41" s="42" t="s">
        <v>55</v>
      </c>
      <c r="C41" s="7" t="str">
        <f ca="1">_xll.DBRA("tango_core_model:Indicator",$B41,$E$17)</f>
        <v>FLEET MANAGEMENT</v>
      </c>
      <c r="D41" s="7" t="str">
        <f ca="1">_xll.DBRA("tango_core_model:Indicator",$B41,"Source_Indicator")</f>
        <v/>
      </c>
      <c r="E41" s="20">
        <f ca="1">_xll.DBRW($B$9,$E$11,$E$19,E$20,$E$12,$E$13,$E$14,$E$15,$E$16,$B41)</f>
        <v>0</v>
      </c>
      <c r="F41" s="20">
        <f ca="1">_xll.DBRW($B$9,$E$11,$E$19,F$20,$E$12,$E$13,$E$14,$E$15,$E$16,$B41)</f>
        <v>0</v>
      </c>
      <c r="G41" s="21">
        <f ca="1">_xll.DBRW($B$9,$E$11,$E$19,G$20,$E$12,$E$13,$E$14,$E$15,$E$16,$B41)</f>
        <v>0</v>
      </c>
      <c r="H41" s="7">
        <f ca="1">_xll.DBRW($B$9,$E$11,$H$19,H$20,$E$12,$E$13,$E$14,$E$15,$E$16,$B41)</f>
        <v>0</v>
      </c>
      <c r="I41" s="7">
        <f ca="1">_xll.DBRW($B$9,$E$11,$H$19,I$20,$E$12,$E$13,$E$14,$E$15,$E$16,$B41)</f>
        <v>0</v>
      </c>
      <c r="J41" s="7">
        <f ca="1">_xll.DBRW($B$9,$E$11,$H$19,J$20,$E$12,$E$13,$E$14,$E$15,$E$16,$B41)</f>
        <v>0</v>
      </c>
    </row>
    <row r="42" spans="1:10">
      <c r="A42" s="2" t="str">
        <f ca="1">IF(_xll.TM1RPTELISCONSOLIDATED($B$21,$B42),IF(_xll.TM1RPTELLEV($B$21,$B42)&lt;=3,_xll.TM1RPTELLEV($B$21,$B42),"D"),"N")</f>
        <v>N</v>
      </c>
      <c r="B42" s="14" t="s">
        <v>56</v>
      </c>
      <c r="C42" s="2" t="str">
        <f ca="1">_xll.DBRA("tango_core_model:Indicator",$B42,$E$17)</f>
        <v>Breakdowns</v>
      </c>
      <c r="D42" s="2" t="str">
        <f ca="1">_xll.DBRA("tango_core_model:Indicator",$B42,"Source_Indicator")</f>
        <v>input_country</v>
      </c>
      <c r="E42" s="22">
        <f ca="1">_xll.DBRW($B$9,$E$11,$E$19,E$20,$E$12,$E$13,$E$14,$E$15,$E$16,$B42)</f>
        <v>0</v>
      </c>
      <c r="F42" s="22">
        <f ca="1">_xll.DBRW($B$9,$E$11,$E$19,F$20,$E$12,$E$13,$E$14,$E$15,$E$16,$B42)</f>
        <v>0</v>
      </c>
      <c r="G42" s="23">
        <f ca="1">_xll.DBRW($B$9,$E$11,$E$19,G$20,$E$12,$E$13,$E$14,$E$15,$E$16,$B42)</f>
        <v>0</v>
      </c>
      <c r="H42" s="2">
        <f ca="1">_xll.DBRW($B$9,$E$11,$H$19,H$20,$E$12,$E$13,$E$14,$E$15,$E$16,$B42)</f>
        <v>0</v>
      </c>
      <c r="I42" s="2">
        <f ca="1">_xll.DBRW($B$9,$E$11,$H$19,I$20,$E$12,$E$13,$E$14,$E$15,$E$16,$B42)</f>
        <v>0</v>
      </c>
      <c r="J42" s="2">
        <f ca="1">_xll.DBRW($B$9,$E$11,$H$19,J$20,$E$12,$E$13,$E$14,$E$15,$E$16,$B42)</f>
        <v>0</v>
      </c>
    </row>
    <row r="43" spans="1:10">
      <c r="A43" s="2" t="str">
        <f ca="1">IF(_xll.TM1RPTELISCONSOLIDATED($B$21,$B43),IF(_xll.TM1RPTELLEV($B$21,$B43)&lt;=3,_xll.TM1RPTELLEV($B$21,$B43),"D"),"N")</f>
        <v>N</v>
      </c>
      <c r="B43" s="14" t="s">
        <v>57</v>
      </c>
      <c r="C43" s="2" t="str">
        <f ca="1">_xll.DBRA("tango_core_model:Indicator",$B43,$E$17)</f>
        <v>Vehicles used at peak services</v>
      </c>
      <c r="D43" s="2" t="str">
        <f ca="1">_xll.DBRA("tango_core_model:Indicator",$B43,"Source_Indicator")</f>
        <v>input_country</v>
      </c>
      <c r="E43" s="22">
        <f ca="1">_xll.DBRW($B$9,$E$11,$E$19,E$20,$E$12,$E$13,$E$14,$E$15,$E$16,$B43)</f>
        <v>0</v>
      </c>
      <c r="F43" s="22">
        <f ca="1">_xll.DBRW($B$9,$E$11,$E$19,F$20,$E$12,$E$13,$E$14,$E$15,$E$16,$B43)</f>
        <v>0</v>
      </c>
      <c r="G43" s="23">
        <f ca="1">_xll.DBRW($B$9,$E$11,$E$19,G$20,$E$12,$E$13,$E$14,$E$15,$E$16,$B43)</f>
        <v>0</v>
      </c>
      <c r="H43" s="2">
        <f ca="1">_xll.DBRW($B$9,$E$11,$H$19,H$20,$E$12,$E$13,$E$14,$E$15,$E$16,$B43)</f>
        <v>0</v>
      </c>
      <c r="I43" s="2">
        <f ca="1">_xll.DBRW($B$9,$E$11,$H$19,I$20,$E$12,$E$13,$E$14,$E$15,$E$16,$B43)</f>
        <v>0</v>
      </c>
      <c r="J43" s="2">
        <f ca="1">_xll.DBRW($B$9,$E$11,$H$19,J$20,$E$12,$E$13,$E$14,$E$15,$E$16,$B43)</f>
        <v>0</v>
      </c>
    </row>
    <row r="44" spans="1:10">
      <c r="A44" s="2" t="str">
        <f ca="1">IF(_xll.TM1RPTELISCONSOLIDATED($B$21,$B44),IF(_xll.TM1RPTELLEV($B$21,$B44)&lt;=3,_xll.TM1RPTELLEV($B$21,$B44),"D"),"N")</f>
        <v>N</v>
      </c>
      <c r="B44" s="14" t="s">
        <v>58</v>
      </c>
      <c r="C44" s="2" t="str">
        <f ca="1">_xll.DBRA("tango_core_model:Indicator",$B44,$E$17)</f>
        <v>Vehicles used at peak services Count Tech</v>
      </c>
      <c r="D44" s="2" t="str">
        <f ca="1">_xll.DBRA("tango_core_model:Indicator",$B44,"Source_Indicator")</f>
        <v>input_country</v>
      </c>
      <c r="E44" s="22">
        <f ca="1">_xll.DBRW($B$9,$E$11,$E$19,E$20,$E$12,$E$13,$E$14,$E$15,$E$16,$B44)</f>
        <v>0</v>
      </c>
      <c r="F44" s="22">
        <f ca="1">_xll.DBRW($B$9,$E$11,$E$19,F$20,$E$12,$E$13,$E$14,$E$15,$E$16,$B44)</f>
        <v>0</v>
      </c>
      <c r="G44" s="23">
        <f ca="1">_xll.DBRW($B$9,$E$11,$E$19,G$20,$E$12,$E$13,$E$14,$E$15,$E$16,$B44)</f>
        <v>0</v>
      </c>
      <c r="H44" s="2">
        <f ca="1">_xll.DBRW($B$9,$E$11,$H$19,H$20,$E$12,$E$13,$E$14,$E$15,$E$16,$B44)</f>
        <v>0</v>
      </c>
      <c r="I44" s="2">
        <f ca="1">_xll.DBRW($B$9,$E$11,$H$19,I$20,$E$12,$E$13,$E$14,$E$15,$E$16,$B44)</f>
        <v>0</v>
      </c>
      <c r="J44" s="2">
        <f ca="1">_xll.DBRW($B$9,$E$11,$H$19,J$20,$E$12,$E$13,$E$14,$E$15,$E$16,$B44)</f>
        <v>0</v>
      </c>
    </row>
    <row r="45" spans="1:10">
      <c r="A45" s="2" t="str">
        <f ca="1">IF(_xll.TM1RPTELISCONSOLIDATED($B$21,$B45),IF(_xll.TM1RPTELLEV($B$21,$B45)&lt;=3,_xll.TM1RPTELLEV($B$21,$B45),"D"),"N")</f>
        <v>N</v>
      </c>
      <c r="B45" s="14" t="s">
        <v>59</v>
      </c>
      <c r="C45" s="2" t="str">
        <f ca="1">_xll.DBRA("tango_core_model:Indicator",$B45,$E$17)</f>
        <v>Vehicles used at peak services Count Tech 2</v>
      </c>
      <c r="D45" s="2" t="str">
        <f ca="1">_xll.DBRA("tango_core_model:Indicator",$B45,"Source_Indicator")</f>
        <v>input_country</v>
      </c>
      <c r="E45" s="22">
        <f ca="1">_xll.DBRW($B$9,$E$11,$E$19,E$20,$E$12,$E$13,$E$14,$E$15,$E$16,$B45)</f>
        <v>0</v>
      </c>
      <c r="F45" s="22">
        <f ca="1">_xll.DBRW($B$9,$E$11,$E$19,F$20,$E$12,$E$13,$E$14,$E$15,$E$16,$B45)</f>
        <v>0</v>
      </c>
      <c r="G45" s="23">
        <f ca="1">_xll.DBRW($B$9,$E$11,$E$19,G$20,$E$12,$E$13,$E$14,$E$15,$E$16,$B45)</f>
        <v>0</v>
      </c>
      <c r="H45" s="2">
        <f ca="1">_xll.DBRW($B$9,$E$11,$H$19,H$20,$E$12,$E$13,$E$14,$E$15,$E$16,$B45)</f>
        <v>0</v>
      </c>
      <c r="I45" s="2">
        <f ca="1">_xll.DBRW($B$9,$E$11,$H$19,I$20,$E$12,$E$13,$E$14,$E$15,$E$16,$B45)</f>
        <v>0</v>
      </c>
      <c r="J45" s="2">
        <f ca="1">_xll.DBRW($B$9,$E$11,$H$19,J$20,$E$12,$E$13,$E$14,$E$15,$E$16,$B45)</f>
        <v>0</v>
      </c>
    </row>
    <row r="46" spans="1:10">
      <c r="A46" s="2" t="str">
        <f ca="1">IF(_xll.TM1RPTELISCONSOLIDATED($B$21,$B46),IF(_xll.TM1RPTELLEV($B$21,$B46)&lt;=3,_xll.TM1RPTELLEV($B$21,$B46),"D"),"N")</f>
        <v>N</v>
      </c>
      <c r="B46" s="14" t="s">
        <v>60</v>
      </c>
      <c r="C46" s="2" t="str">
        <f ca="1">_xll.DBRA("tango_core_model:Indicator",$B46,$E$17)</f>
        <v>Vehicles used at peak services Hold Tech</v>
      </c>
      <c r="D46" s="2" t="str">
        <f ca="1">_xll.DBRA("tango_core_model:Indicator",$B46,"Source_Indicator")</f>
        <v>input_country</v>
      </c>
      <c r="E46" s="22">
        <f ca="1">_xll.DBRW($B$9,$E$11,$E$19,E$20,$E$12,$E$13,$E$14,$E$15,$E$16,$B46)</f>
        <v>0</v>
      </c>
      <c r="F46" s="22">
        <f ca="1">_xll.DBRW($B$9,$E$11,$E$19,F$20,$E$12,$E$13,$E$14,$E$15,$E$16,$B46)</f>
        <v>0</v>
      </c>
      <c r="G46" s="23">
        <f ca="1">_xll.DBRW($B$9,$E$11,$E$19,G$20,$E$12,$E$13,$E$14,$E$15,$E$16,$B46)</f>
        <v>0</v>
      </c>
      <c r="H46" s="2">
        <f ca="1">_xll.DBRW($B$9,$E$11,$H$19,H$20,$E$12,$E$13,$E$14,$E$15,$E$16,$B46)</f>
        <v>0</v>
      </c>
      <c r="I46" s="2">
        <f ca="1">_xll.DBRW($B$9,$E$11,$H$19,I$20,$E$12,$E$13,$E$14,$E$15,$E$16,$B46)</f>
        <v>0</v>
      </c>
      <c r="J46" s="2">
        <f ca="1">_xll.DBRW($B$9,$E$11,$H$19,J$20,$E$12,$E$13,$E$14,$E$15,$E$16,$B46)</f>
        <v>0</v>
      </c>
    </row>
    <row r="47" spans="1:10">
      <c r="A47" s="2" t="str">
        <f ca="1">IF(_xll.TM1RPTELISCONSOLIDATED($B$21,$B47),IF(_xll.TM1RPTELLEV($B$21,$B47)&lt;=3,_xll.TM1RPTELLEV($B$21,$B47),"D"),"N")</f>
        <v>N</v>
      </c>
      <c r="B47" s="14" t="s">
        <v>61</v>
      </c>
      <c r="C47" s="2" t="str">
        <f ca="1">_xll.DBRA("tango_core_model:Indicator",$B47,$E$17)</f>
        <v>Average age of fleet</v>
      </c>
      <c r="D47" s="2" t="str">
        <f ca="1">_xll.DBRA("tango_core_model:Indicator",$B47,"Source_Indicator")</f>
        <v>input_country</v>
      </c>
      <c r="E47" s="22">
        <f ca="1">_xll.DBRW($B$9,$E$11,$E$19,E$20,$E$12,$E$13,$E$14,$E$15,$E$16,$B47)</f>
        <v>0</v>
      </c>
      <c r="F47" s="22">
        <f ca="1">_xll.DBRW($B$9,$E$11,$E$19,F$20,$E$12,$E$13,$E$14,$E$15,$E$16,$B47)</f>
        <v>0</v>
      </c>
      <c r="G47" s="23">
        <f ca="1">_xll.DBRW($B$9,$E$11,$E$19,G$20,$E$12,$E$13,$E$14,$E$15,$E$16,$B47)</f>
        <v>0</v>
      </c>
      <c r="H47" s="2">
        <f ca="1">_xll.DBRW($B$9,$E$11,$H$19,H$20,$E$12,$E$13,$E$14,$E$15,$E$16,$B47)</f>
        <v>0</v>
      </c>
      <c r="I47" s="2">
        <f ca="1">_xll.DBRW($B$9,$E$11,$H$19,I$20,$E$12,$E$13,$E$14,$E$15,$E$16,$B47)</f>
        <v>0</v>
      </c>
      <c r="J47" s="2">
        <f ca="1">_xll.DBRW($B$9,$E$11,$H$19,J$20,$E$12,$E$13,$E$14,$E$15,$E$16,$B47)</f>
        <v>0</v>
      </c>
    </row>
    <row r="48" spans="1:10">
      <c r="A48" s="2" t="str">
        <f ca="1">IF(_xll.TM1RPTELISCONSOLIDATED($B$21,$B48),IF(_xll.TM1RPTELLEV($B$21,$B48)&lt;=3,_xll.TM1RPTELLEV($B$21,$B48),"D"),"N")</f>
        <v>N</v>
      </c>
      <c r="B48" s="14" t="s">
        <v>62</v>
      </c>
      <c r="C48" s="2" t="str">
        <f ca="1">_xll.DBRA("tango_core_model:Indicator",$B48,$E$17)</f>
        <v>Average age of fleet Count Tech</v>
      </c>
      <c r="D48" s="2" t="str">
        <f ca="1">_xll.DBRA("tango_core_model:Indicator",$B48,"Source_Indicator")</f>
        <v>input_country</v>
      </c>
      <c r="E48" s="22">
        <f ca="1">_xll.DBRW($B$9,$E$11,$E$19,E$20,$E$12,$E$13,$E$14,$E$15,$E$16,$B48)</f>
        <v>0</v>
      </c>
      <c r="F48" s="22">
        <f ca="1">_xll.DBRW($B$9,$E$11,$E$19,F$20,$E$12,$E$13,$E$14,$E$15,$E$16,$B48)</f>
        <v>0</v>
      </c>
      <c r="G48" s="23">
        <f ca="1">_xll.DBRW($B$9,$E$11,$E$19,G$20,$E$12,$E$13,$E$14,$E$15,$E$16,$B48)</f>
        <v>0</v>
      </c>
      <c r="H48" s="2">
        <f ca="1">_xll.DBRW($B$9,$E$11,$H$19,H$20,$E$12,$E$13,$E$14,$E$15,$E$16,$B48)</f>
        <v>0</v>
      </c>
      <c r="I48" s="2">
        <f ca="1">_xll.DBRW($B$9,$E$11,$H$19,I$20,$E$12,$E$13,$E$14,$E$15,$E$16,$B48)</f>
        <v>0</v>
      </c>
      <c r="J48" s="2">
        <f ca="1">_xll.DBRW($B$9,$E$11,$H$19,J$20,$E$12,$E$13,$E$14,$E$15,$E$16,$B48)</f>
        <v>0</v>
      </c>
    </row>
    <row r="49" spans="1:10">
      <c r="A49" s="2" t="str">
        <f ca="1">IF(_xll.TM1RPTELISCONSOLIDATED($B$21,$B49),IF(_xll.TM1RPTELLEV($B$21,$B49)&lt;=3,_xll.TM1RPTELLEV($B$21,$B49),"D"),"N")</f>
        <v>N</v>
      </c>
      <c r="B49" s="14" t="s">
        <v>63</v>
      </c>
      <c r="C49" s="2" t="str">
        <f ca="1">_xll.DBRA("tango_core_model:Indicator",$B49,$E$17)</f>
        <v>Average age of fleet Count Tech 2</v>
      </c>
      <c r="D49" s="2" t="str">
        <f ca="1">_xll.DBRA("tango_core_model:Indicator",$B49,"Source_Indicator")</f>
        <v>input_country</v>
      </c>
      <c r="E49" s="22">
        <f ca="1">_xll.DBRW($B$9,$E$11,$E$19,E$20,$E$12,$E$13,$E$14,$E$15,$E$16,$B49)</f>
        <v>0</v>
      </c>
      <c r="F49" s="22">
        <f ca="1">_xll.DBRW($B$9,$E$11,$E$19,F$20,$E$12,$E$13,$E$14,$E$15,$E$16,$B49)</f>
        <v>0</v>
      </c>
      <c r="G49" s="23">
        <f ca="1">_xll.DBRW($B$9,$E$11,$E$19,G$20,$E$12,$E$13,$E$14,$E$15,$E$16,$B49)</f>
        <v>0</v>
      </c>
      <c r="H49" s="2">
        <f ca="1">_xll.DBRW($B$9,$E$11,$H$19,H$20,$E$12,$E$13,$E$14,$E$15,$E$16,$B49)</f>
        <v>0</v>
      </c>
      <c r="I49" s="2">
        <f ca="1">_xll.DBRW($B$9,$E$11,$H$19,I$20,$E$12,$E$13,$E$14,$E$15,$E$16,$B49)</f>
        <v>0</v>
      </c>
      <c r="J49" s="2">
        <f ca="1">_xll.DBRW($B$9,$E$11,$H$19,J$20,$E$12,$E$13,$E$14,$E$15,$E$16,$B49)</f>
        <v>0</v>
      </c>
    </row>
    <row r="50" spans="1:10">
      <c r="A50" s="2" t="str">
        <f ca="1">IF(_xll.TM1RPTELISCONSOLIDATED($B$21,$B50),IF(_xll.TM1RPTELLEV($B$21,$B50)&lt;=3,_xll.TM1RPTELLEV($B$21,$B50),"D"),"N")</f>
        <v>N</v>
      </c>
      <c r="B50" s="14" t="s">
        <v>64</v>
      </c>
      <c r="C50" s="2" t="str">
        <f ca="1">_xll.DBRA("tango_core_model:Indicator",$B50,$E$17)</f>
        <v>Average age of fleet Hold Tech</v>
      </c>
      <c r="D50" s="2" t="str">
        <f ca="1">_xll.DBRA("tango_core_model:Indicator",$B50,"Source_Indicator")</f>
        <v>input_country</v>
      </c>
      <c r="E50" s="22">
        <f ca="1">_xll.DBRW($B$9,$E$11,$E$19,E$20,$E$12,$E$13,$E$14,$E$15,$E$16,$B50)</f>
        <v>0</v>
      </c>
      <c r="F50" s="22">
        <f ca="1">_xll.DBRW($B$9,$E$11,$E$19,F$20,$E$12,$E$13,$E$14,$E$15,$E$16,$B50)</f>
        <v>0</v>
      </c>
      <c r="G50" s="23">
        <f ca="1">_xll.DBRW($B$9,$E$11,$E$19,G$20,$E$12,$E$13,$E$14,$E$15,$E$16,$B50)</f>
        <v>0</v>
      </c>
      <c r="H50" s="2">
        <f ca="1">_xll.DBRW($B$9,$E$11,$H$19,H$20,$E$12,$E$13,$E$14,$E$15,$E$16,$B50)</f>
        <v>0</v>
      </c>
      <c r="I50" s="2">
        <f ca="1">_xll.DBRW($B$9,$E$11,$H$19,I$20,$E$12,$E$13,$E$14,$E$15,$E$16,$B50)</f>
        <v>0</v>
      </c>
      <c r="J50" s="2">
        <f ca="1">_xll.DBRW($B$9,$E$11,$H$19,J$20,$E$12,$E$13,$E$14,$E$15,$E$16,$B50)</f>
        <v>0</v>
      </c>
    </row>
    <row r="51" spans="1:10">
      <c r="A51" s="2" t="str">
        <f ca="1">IF(_xll.TM1RPTELISCONSOLIDATED($B$21,$B51),IF(_xll.TM1RPTELLEV($B$21,$B51)&lt;=3,_xll.TM1RPTELLEV($B$21,$B51),"D"),"N")</f>
        <v>N</v>
      </c>
      <c r="B51" s="14" t="s">
        <v>65</v>
      </c>
      <c r="C51" s="2" t="str">
        <f ca="1">_xll.DBRA("tango_core_model:Indicator",$B51,$E$17)</f>
        <v>Total number of vehicles</v>
      </c>
      <c r="D51" s="2" t="str">
        <f ca="1">_xll.DBRA("tango_core_model:Indicator",$B51,"Source_Indicator")</f>
        <v>input_country</v>
      </c>
      <c r="E51" s="22">
        <f ca="1">_xll.DBRW($B$9,$E$11,$E$19,E$20,$E$12,$E$13,$E$14,$E$15,$E$16,$B51)</f>
        <v>0</v>
      </c>
      <c r="F51" s="22">
        <f ca="1">_xll.DBRW($B$9,$E$11,$E$19,F$20,$E$12,$E$13,$E$14,$E$15,$E$16,$B51)</f>
        <v>0</v>
      </c>
      <c r="G51" s="23">
        <f ca="1">_xll.DBRW($B$9,$E$11,$E$19,G$20,$E$12,$E$13,$E$14,$E$15,$E$16,$B51)</f>
        <v>0</v>
      </c>
      <c r="H51" s="2">
        <f ca="1">_xll.DBRW($B$9,$E$11,$H$19,H$20,$E$12,$E$13,$E$14,$E$15,$E$16,$B51)</f>
        <v>0</v>
      </c>
      <c r="I51" s="2">
        <f ca="1">_xll.DBRW($B$9,$E$11,$H$19,I$20,$E$12,$E$13,$E$14,$E$15,$E$16,$B51)</f>
        <v>0</v>
      </c>
      <c r="J51" s="2">
        <f ca="1">_xll.DBRW($B$9,$E$11,$H$19,J$20,$E$12,$E$13,$E$14,$E$15,$E$16,$B51)</f>
        <v>0</v>
      </c>
    </row>
    <row r="52" spans="1:10">
      <c r="A52" s="2" t="str">
        <f ca="1">IF(_xll.TM1RPTELISCONSOLIDATED($B$21,$B52),IF(_xll.TM1RPTELLEV($B$21,$B52)&lt;=3,_xll.TM1RPTELLEV($B$21,$B52),"D"),"N")</f>
        <v>N</v>
      </c>
      <c r="B52" s="14" t="s">
        <v>66</v>
      </c>
      <c r="C52" s="2" t="str">
        <f ca="1">_xll.DBRA("tango_core_model:Indicator",$B52,$E$17)</f>
        <v>Total number of vehicles Count Tech</v>
      </c>
      <c r="D52" s="2" t="str">
        <f ca="1">_xll.DBRA("tango_core_model:Indicator",$B52,"Source_Indicator")</f>
        <v>calc</v>
      </c>
      <c r="E52" s="22">
        <f ca="1">_xll.DBRW($B$9,$E$11,$E$19,E$20,$E$12,$E$13,$E$14,$E$15,$E$16,$B52)</f>
        <v>0</v>
      </c>
      <c r="F52" s="22">
        <f ca="1">_xll.DBRW($B$9,$E$11,$E$19,F$20,$E$12,$E$13,$E$14,$E$15,$E$16,$B52)</f>
        <v>0</v>
      </c>
      <c r="G52" s="23">
        <f ca="1">_xll.DBRW($B$9,$E$11,$E$19,G$20,$E$12,$E$13,$E$14,$E$15,$E$16,$B52)</f>
        <v>0</v>
      </c>
      <c r="H52" s="2">
        <f ca="1">_xll.DBRW($B$9,$E$11,$H$19,H$20,$E$12,$E$13,$E$14,$E$15,$E$16,$B52)</f>
        <v>0</v>
      </c>
      <c r="I52" s="2">
        <f ca="1">_xll.DBRW($B$9,$E$11,$H$19,I$20,$E$12,$E$13,$E$14,$E$15,$E$16,$B52)</f>
        <v>0</v>
      </c>
      <c r="J52" s="2">
        <f ca="1">_xll.DBRW($B$9,$E$11,$H$19,J$20,$E$12,$E$13,$E$14,$E$15,$E$16,$B52)</f>
        <v>0</v>
      </c>
    </row>
    <row r="53" spans="1:10">
      <c r="A53" s="2" t="str">
        <f ca="1">IF(_xll.TM1RPTELISCONSOLIDATED($B$21,$B53),IF(_xll.TM1RPTELLEV($B$21,$B53)&lt;=3,_xll.TM1RPTELLEV($B$21,$B53),"D"),"N")</f>
        <v>N</v>
      </c>
      <c r="B53" s="14" t="s">
        <v>67</v>
      </c>
      <c r="C53" s="2" t="str">
        <f ca="1">_xll.DBRA("tango_core_model:Indicator",$B53,$E$17)</f>
        <v>Total number of vehicles Count Tech 2</v>
      </c>
      <c r="D53" s="2" t="str">
        <f ca="1">_xll.DBRA("tango_core_model:Indicator",$B53,"Source_Indicator")</f>
        <v>calc</v>
      </c>
      <c r="E53" s="22">
        <f ca="1">_xll.DBRW($B$9,$E$11,$E$19,E$20,$E$12,$E$13,$E$14,$E$15,$E$16,$B53)</f>
        <v>0</v>
      </c>
      <c r="F53" s="22">
        <f ca="1">_xll.DBRW($B$9,$E$11,$E$19,F$20,$E$12,$E$13,$E$14,$E$15,$E$16,$B53)</f>
        <v>0</v>
      </c>
      <c r="G53" s="23">
        <f ca="1">_xll.DBRW($B$9,$E$11,$E$19,G$20,$E$12,$E$13,$E$14,$E$15,$E$16,$B53)</f>
        <v>0</v>
      </c>
      <c r="H53" s="2">
        <f ca="1">_xll.DBRW($B$9,$E$11,$H$19,H$20,$E$12,$E$13,$E$14,$E$15,$E$16,$B53)</f>
        <v>0</v>
      </c>
      <c r="I53" s="2">
        <f ca="1">_xll.DBRW($B$9,$E$11,$H$19,I$20,$E$12,$E$13,$E$14,$E$15,$E$16,$B53)</f>
        <v>0</v>
      </c>
      <c r="J53" s="2">
        <f ca="1">_xll.DBRW($B$9,$E$11,$H$19,J$20,$E$12,$E$13,$E$14,$E$15,$E$16,$B53)</f>
        <v>0</v>
      </c>
    </row>
    <row r="54" spans="1:10">
      <c r="A54" s="2" t="str">
        <f ca="1">IF(_xll.TM1RPTELISCONSOLIDATED($B$21,$B54),IF(_xll.TM1RPTELLEV($B$21,$B54)&lt;=3,_xll.TM1RPTELLEV($B$21,$B54),"D"),"N")</f>
        <v>N</v>
      </c>
      <c r="B54" s="14" t="s">
        <v>68</v>
      </c>
      <c r="C54" s="2" t="str">
        <f ca="1">_xll.DBRA("tango_core_model:Indicator",$B54,$E$17)</f>
        <v>Total number of vehicles Hold Tech</v>
      </c>
      <c r="D54" s="2" t="str">
        <f ca="1">_xll.DBRA("tango_core_model:Indicator",$B54,"Source_Indicator")</f>
        <v>calc</v>
      </c>
      <c r="E54" s="22">
        <f ca="1">_xll.DBRW($B$9,$E$11,$E$19,E$20,$E$12,$E$13,$E$14,$E$15,$E$16,$B54)</f>
        <v>0</v>
      </c>
      <c r="F54" s="22">
        <f ca="1">_xll.DBRW($B$9,$E$11,$E$19,F$20,$E$12,$E$13,$E$14,$E$15,$E$16,$B54)</f>
        <v>0</v>
      </c>
      <c r="G54" s="23">
        <f ca="1">_xll.DBRW($B$9,$E$11,$E$19,G$20,$E$12,$E$13,$E$14,$E$15,$E$16,$B54)</f>
        <v>0</v>
      </c>
      <c r="H54" s="2">
        <f ca="1">_xll.DBRW($B$9,$E$11,$H$19,H$20,$E$12,$E$13,$E$14,$E$15,$E$16,$B54)</f>
        <v>0</v>
      </c>
      <c r="I54" s="2">
        <f ca="1">_xll.DBRW($B$9,$E$11,$H$19,I$20,$E$12,$E$13,$E$14,$E$15,$E$16,$B54)</f>
        <v>0</v>
      </c>
      <c r="J54" s="2">
        <f ca="1">_xll.DBRW($B$9,$E$11,$H$19,J$20,$E$12,$E$13,$E$14,$E$15,$E$16,$B54)</f>
        <v>0</v>
      </c>
    </row>
    <row r="55" spans="1:10">
      <c r="A55" s="2" t="str">
        <f ca="1">IF(_xll.TM1RPTELISCONSOLIDATED($B$21,$B55),IF(_xll.TM1RPTELLEV($B$21,$B55)&lt;=3,_xll.TM1RPTELLEV($B$21,$B55),"D"),"N")</f>
        <v>N</v>
      </c>
      <c r="B55" s="14" t="s">
        <v>69</v>
      </c>
      <c r="C55" s="2" t="str">
        <f ca="1">_xll.DBRA("tango_core_model:Indicator",$B55,$E$17)</f>
        <v>Total Fleet maintenance &amp; cleaning paid hours</v>
      </c>
      <c r="D55" s="2" t="str">
        <f ca="1">_xll.DBRA("tango_core_model:Indicator",$B55,"Source_Indicator")</f>
        <v>input_country</v>
      </c>
      <c r="E55" s="22">
        <f ca="1">_xll.DBRW($B$9,$E$11,$E$19,E$20,$E$12,$E$13,$E$14,$E$15,$E$16,$B55)</f>
        <v>0</v>
      </c>
      <c r="F55" s="22">
        <f ca="1">_xll.DBRW($B$9,$E$11,$E$19,F$20,$E$12,$E$13,$E$14,$E$15,$E$16,$B55)</f>
        <v>0</v>
      </c>
      <c r="G55" s="23">
        <f ca="1">_xll.DBRW($B$9,$E$11,$E$19,G$20,$E$12,$E$13,$E$14,$E$15,$E$16,$B55)</f>
        <v>0</v>
      </c>
      <c r="H55" s="2">
        <f ca="1">_xll.DBRW($B$9,$E$11,$H$19,H$20,$E$12,$E$13,$E$14,$E$15,$E$16,$B55)</f>
        <v>0</v>
      </c>
      <c r="I55" s="2">
        <f ca="1">_xll.DBRW($B$9,$E$11,$H$19,I$20,$E$12,$E$13,$E$14,$E$15,$E$16,$B55)</f>
        <v>0</v>
      </c>
      <c r="J55" s="2">
        <f ca="1">_xll.DBRW($B$9,$E$11,$H$19,J$20,$E$12,$E$13,$E$14,$E$15,$E$16,$B55)</f>
        <v>0</v>
      </c>
    </row>
    <row r="56" spans="1:10">
      <c r="A56" s="2" t="str">
        <f ca="1">IF(_xll.TM1RPTELISCONSOLIDATED($B$21,$B56),IF(_xll.TM1RPTELLEV($B$21,$B56)&lt;=3,_xll.TM1RPTELLEV($B$21,$B56),"D"),"N")</f>
        <v>N</v>
      </c>
      <c r="B56" s="14" t="s">
        <v>70</v>
      </c>
      <c r="C56" s="2" t="str">
        <f ca="1">_xll.DBRA("tango_core_model:Indicator",$B56,$E$17)</f>
        <v>Breakdown rate (Mean Distance Between Failure)</v>
      </c>
      <c r="D56" s="2" t="str">
        <f ca="1">_xll.DBRA("tango_core_model:Indicator",$B56,"Source_Indicator")</f>
        <v>calc</v>
      </c>
      <c r="E56" s="22">
        <f ca="1">_xll.DBRW($B$9,$E$11,$E$19,E$20,$E$12,$E$13,$E$14,$E$15,$E$16,$B56)</f>
        <v>0</v>
      </c>
      <c r="F56" s="22">
        <f ca="1">_xll.DBRW($B$9,$E$11,$E$19,F$20,$E$12,$E$13,$E$14,$E$15,$E$16,$B56)</f>
        <v>0</v>
      </c>
      <c r="G56" s="23">
        <f ca="1">_xll.DBRW($B$9,$E$11,$E$19,G$20,$E$12,$E$13,$E$14,$E$15,$E$16,$B56)</f>
        <v>0</v>
      </c>
      <c r="H56" s="2">
        <f ca="1">_xll.DBRW($B$9,$E$11,$H$19,H$20,$E$12,$E$13,$E$14,$E$15,$E$16,$B56)</f>
        <v>0</v>
      </c>
      <c r="I56" s="2">
        <f ca="1">_xll.DBRW($B$9,$E$11,$H$19,I$20,$E$12,$E$13,$E$14,$E$15,$E$16,$B56)</f>
        <v>0</v>
      </c>
      <c r="J56" s="2">
        <f ca="1">_xll.DBRW($B$9,$E$11,$H$19,J$20,$E$12,$E$13,$E$14,$E$15,$E$16,$B56)</f>
        <v>0</v>
      </c>
    </row>
    <row r="57" spans="1:10">
      <c r="A57" s="2" t="str">
        <f ca="1">IF(_xll.TM1RPTELISCONSOLIDATED($B$21,$B57),IF(_xll.TM1RPTELLEV($B$21,$B57)&lt;=3,_xll.TM1RPTELLEV($B$21,$B57),"D"),"N")</f>
        <v>N</v>
      </c>
      <c r="B57" s="14" t="s">
        <v>71</v>
      </c>
      <c r="C57" s="2" t="str">
        <f ca="1">_xll.DBRA("tango_core_model:Indicator",$B57,$E$17)</f>
        <v>Spare vehicles rate as %</v>
      </c>
      <c r="D57" s="2" t="str">
        <f ca="1">_xll.DBRA("tango_core_model:Indicator",$B57,"Source_Indicator")</f>
        <v>calc</v>
      </c>
      <c r="E57" s="22">
        <f ca="1">_xll.DBRW($B$9,$E$11,$E$19,E$20,$E$12,$E$13,$E$14,$E$15,$E$16,$B57)</f>
        <v>0</v>
      </c>
      <c r="F57" s="22">
        <f ca="1">_xll.DBRW($B$9,$E$11,$E$19,F$20,$E$12,$E$13,$E$14,$E$15,$E$16,$B57)</f>
        <v>0</v>
      </c>
      <c r="G57" s="23">
        <f ca="1">_xll.DBRW($B$9,$E$11,$E$19,G$20,$E$12,$E$13,$E$14,$E$15,$E$16,$B57)</f>
        <v>0</v>
      </c>
      <c r="H57" s="2">
        <f ca="1">_xll.DBRW($B$9,$E$11,$H$19,H$20,$E$12,$E$13,$E$14,$E$15,$E$16,$B57)</f>
        <v>0</v>
      </c>
      <c r="I57" s="2">
        <f ca="1">_xll.DBRW($B$9,$E$11,$H$19,I$20,$E$12,$E$13,$E$14,$E$15,$E$16,$B57)</f>
        <v>0</v>
      </c>
      <c r="J57" s="2">
        <f ca="1">_xll.DBRW($B$9,$E$11,$H$19,J$20,$E$12,$E$13,$E$14,$E$15,$E$16,$B57)</f>
        <v>0</v>
      </c>
    </row>
    <row r="58" spans="1:10">
      <c r="A58" s="2" t="str">
        <f ca="1">IF(_xll.TM1RPTELISCONSOLIDATED($B$21,$B58),IF(_xll.TM1RPTELLEV($B$21,$B58)&lt;=3,_xll.TM1RPTELLEV($B$21,$B58),"D"),"N")</f>
        <v>N</v>
      </c>
      <c r="B58" s="14" t="s">
        <v>72</v>
      </c>
      <c r="C58" s="2" t="str">
        <f ca="1">_xll.DBRA("tango_core_model:Indicator",$B58,$E$17)</f>
        <v>Target fleet</v>
      </c>
      <c r="D58" s="2" t="str">
        <f ca="1">_xll.DBRA("tango_core_model:Indicator",$B58,"Source_Indicator")</f>
        <v>calc</v>
      </c>
      <c r="E58" s="22">
        <f ca="1">_xll.DBRW($B$9,$E$11,$E$19,E$20,$E$12,$E$13,$E$14,$E$15,$E$16,$B58)</f>
        <v>0</v>
      </c>
      <c r="F58" s="22">
        <f ca="1">_xll.DBRW($B$9,$E$11,$E$19,F$20,$E$12,$E$13,$E$14,$E$15,$E$16,$B58)</f>
        <v>0</v>
      </c>
      <c r="G58" s="23">
        <f ca="1">_xll.DBRW($B$9,$E$11,$E$19,G$20,$E$12,$E$13,$E$14,$E$15,$E$16,$B58)</f>
        <v>0</v>
      </c>
      <c r="H58" s="2">
        <f ca="1">_xll.DBRW($B$9,$E$11,$H$19,H$20,$E$12,$E$13,$E$14,$E$15,$E$16,$B58)</f>
        <v>0</v>
      </c>
      <c r="I58" s="2">
        <f ca="1">_xll.DBRW($B$9,$E$11,$H$19,I$20,$E$12,$E$13,$E$14,$E$15,$E$16,$B58)</f>
        <v>0</v>
      </c>
      <c r="J58" s="2">
        <f ca="1">_xll.DBRW($B$9,$E$11,$H$19,J$20,$E$12,$E$13,$E$14,$E$15,$E$16,$B58)</f>
        <v>0</v>
      </c>
    </row>
    <row r="59" spans="1:10">
      <c r="A59" s="2" t="str">
        <f ca="1">IF(_xll.TM1RPTELISCONSOLIDATED($B$21,$B59),IF(_xll.TM1RPTELLEV($B$21,$B59)&lt;=3,_xll.TM1RPTELLEV($B$21,$B59),"D"),"N")</f>
        <v>N</v>
      </c>
      <c r="B59" s="14" t="s">
        <v>73</v>
      </c>
      <c r="C59" s="2" t="str">
        <f ca="1">_xll.DBRA("tango_core_model:Indicator",$B59,$E$17)</f>
        <v>Target fleet Count Tech</v>
      </c>
      <c r="D59" s="2" t="str">
        <f ca="1">_xll.DBRA("tango_core_model:Indicator",$B59,"Source_Indicator")</f>
        <v>calc</v>
      </c>
      <c r="E59" s="22">
        <f ca="1">_xll.DBRW($B$9,$E$11,$E$19,E$20,$E$12,$E$13,$E$14,$E$15,$E$16,$B59)</f>
        <v>0</v>
      </c>
      <c r="F59" s="22">
        <f ca="1">_xll.DBRW($B$9,$E$11,$E$19,F$20,$E$12,$E$13,$E$14,$E$15,$E$16,$B59)</f>
        <v>0</v>
      </c>
      <c r="G59" s="23">
        <f ca="1">_xll.DBRW($B$9,$E$11,$E$19,G$20,$E$12,$E$13,$E$14,$E$15,$E$16,$B59)</f>
        <v>0</v>
      </c>
      <c r="H59" s="2">
        <f ca="1">_xll.DBRW($B$9,$E$11,$H$19,H$20,$E$12,$E$13,$E$14,$E$15,$E$16,$B59)</f>
        <v>0</v>
      </c>
      <c r="I59" s="2">
        <f ca="1">_xll.DBRW($B$9,$E$11,$H$19,I$20,$E$12,$E$13,$E$14,$E$15,$E$16,$B59)</f>
        <v>0</v>
      </c>
      <c r="J59" s="2">
        <f ca="1">_xll.DBRW($B$9,$E$11,$H$19,J$20,$E$12,$E$13,$E$14,$E$15,$E$16,$B59)</f>
        <v>0</v>
      </c>
    </row>
    <row r="60" spans="1:10">
      <c r="A60" s="2" t="str">
        <f ca="1">IF(_xll.TM1RPTELISCONSOLIDATED($B$21,$B60),IF(_xll.TM1RPTELLEV($B$21,$B60)&lt;=3,_xll.TM1RPTELLEV($B$21,$B60),"D"),"N")</f>
        <v>N</v>
      </c>
      <c r="B60" s="14" t="s">
        <v>74</v>
      </c>
      <c r="C60" s="2" t="str">
        <f ca="1">_xll.DBRA("tango_core_model:Indicator",$B60,$E$17)</f>
        <v>Target fleet Count Tech 2</v>
      </c>
      <c r="D60" s="2" t="str">
        <f ca="1">_xll.DBRA("tango_core_model:Indicator",$B60,"Source_Indicator")</f>
        <v>calc</v>
      </c>
      <c r="E60" s="22">
        <f ca="1">_xll.DBRW($B$9,$E$11,$E$19,E$20,$E$12,$E$13,$E$14,$E$15,$E$16,$B60)</f>
        <v>0</v>
      </c>
      <c r="F60" s="22">
        <f ca="1">_xll.DBRW($B$9,$E$11,$E$19,F$20,$E$12,$E$13,$E$14,$E$15,$E$16,$B60)</f>
        <v>0</v>
      </c>
      <c r="G60" s="23">
        <f ca="1">_xll.DBRW($B$9,$E$11,$E$19,G$20,$E$12,$E$13,$E$14,$E$15,$E$16,$B60)</f>
        <v>0</v>
      </c>
      <c r="H60" s="2">
        <f ca="1">_xll.DBRW($B$9,$E$11,$H$19,H$20,$E$12,$E$13,$E$14,$E$15,$E$16,$B60)</f>
        <v>0</v>
      </c>
      <c r="I60" s="2">
        <f ca="1">_xll.DBRW($B$9,$E$11,$H$19,I$20,$E$12,$E$13,$E$14,$E$15,$E$16,$B60)</f>
        <v>0</v>
      </c>
      <c r="J60" s="2">
        <f ca="1">_xll.DBRW($B$9,$E$11,$H$19,J$20,$E$12,$E$13,$E$14,$E$15,$E$16,$B60)</f>
        <v>0</v>
      </c>
    </row>
    <row r="61" spans="1:10">
      <c r="A61" s="2" t="str">
        <f ca="1">IF(_xll.TM1RPTELISCONSOLIDATED($B$21,$B61),IF(_xll.TM1RPTELLEV($B$21,$B61)&lt;=3,_xll.TM1RPTELLEV($B$21,$B61),"D"),"N")</f>
        <v>N</v>
      </c>
      <c r="B61" s="14" t="s">
        <v>75</v>
      </c>
      <c r="C61" s="2" t="str">
        <f ca="1">_xll.DBRA("tango_core_model:Indicator",$B61,$E$17)</f>
        <v>Target fleet Hold Tech</v>
      </c>
      <c r="D61" s="2" t="str">
        <f ca="1">_xll.DBRA("tango_core_model:Indicator",$B61,"Source_Indicator")</f>
        <v>calc</v>
      </c>
      <c r="E61" s="22">
        <f ca="1">_xll.DBRW($B$9,$E$11,$E$19,E$20,$E$12,$E$13,$E$14,$E$15,$E$16,$B61)</f>
        <v>0</v>
      </c>
      <c r="F61" s="22">
        <f ca="1">_xll.DBRW($B$9,$E$11,$E$19,F$20,$E$12,$E$13,$E$14,$E$15,$E$16,$B61)</f>
        <v>0</v>
      </c>
      <c r="G61" s="23">
        <f ca="1">_xll.DBRW($B$9,$E$11,$E$19,G$20,$E$12,$E$13,$E$14,$E$15,$E$16,$B61)</f>
        <v>0</v>
      </c>
      <c r="H61" s="2">
        <f ca="1">_xll.DBRW($B$9,$E$11,$H$19,H$20,$E$12,$E$13,$E$14,$E$15,$E$16,$B61)</f>
        <v>0</v>
      </c>
      <c r="I61" s="2">
        <f ca="1">_xll.DBRW($B$9,$E$11,$H$19,I$20,$E$12,$E$13,$E$14,$E$15,$E$16,$B61)</f>
        <v>0</v>
      </c>
      <c r="J61" s="2">
        <f ca="1">_xll.DBRW($B$9,$E$11,$H$19,J$20,$E$12,$E$13,$E$14,$E$15,$E$16,$B61)</f>
        <v>0</v>
      </c>
    </row>
    <row r="62" spans="1:10">
      <c r="A62" s="2">
        <f ca="1">IF(_xll.TM1RPTELISCONSOLIDATED($B$21,$B62),IF(_xll.TM1RPTELLEV($B$21,$B62)&lt;=3,_xll.TM1RPTELLEV($B$21,$B62),"D"),"N")</f>
        <v>1</v>
      </c>
      <c r="B62" s="42" t="s">
        <v>76</v>
      </c>
      <c r="C62" s="7" t="str">
        <f ca="1">_xll.DBRA("tango_core_model:Indicator",$B62,$E$17)</f>
        <v>SAFETY</v>
      </c>
      <c r="D62" s="7" t="str">
        <f ca="1">_xll.DBRA("tango_core_model:Indicator",$B62,"Source_Indicator")</f>
        <v/>
      </c>
      <c r="E62" s="20">
        <f ca="1">_xll.DBRW($B$9,$E$11,$E$19,E$20,$E$12,$E$13,$E$14,$E$15,$E$16,$B62)</f>
        <v>0</v>
      </c>
      <c r="F62" s="20">
        <f ca="1">_xll.DBRW($B$9,$E$11,$E$19,F$20,$E$12,$E$13,$E$14,$E$15,$E$16,$B62)</f>
        <v>0</v>
      </c>
      <c r="G62" s="21">
        <f ca="1">_xll.DBRW($B$9,$E$11,$E$19,G$20,$E$12,$E$13,$E$14,$E$15,$E$16,$B62)</f>
        <v>0</v>
      </c>
      <c r="H62" s="7">
        <f ca="1">_xll.DBRW($B$9,$E$11,$H$19,H$20,$E$12,$E$13,$E$14,$E$15,$E$16,$B62)</f>
        <v>0</v>
      </c>
      <c r="I62" s="7">
        <f ca="1">_xll.DBRW($B$9,$E$11,$H$19,I$20,$E$12,$E$13,$E$14,$E$15,$E$16,$B62)</f>
        <v>0</v>
      </c>
      <c r="J62" s="7">
        <f ca="1">_xll.DBRW($B$9,$E$11,$H$19,J$20,$E$12,$E$13,$E$14,$E$15,$E$16,$B62)</f>
        <v>0</v>
      </c>
    </row>
    <row r="63" spans="1:10">
      <c r="A63" s="2" t="str">
        <f ca="1">IF(_xll.TM1RPTELISCONSOLIDATED($B$21,$B63),IF(_xll.TM1RPTELLEV($B$21,$B63)&lt;=3,_xll.TM1RPTELLEV($B$21,$B63),"D"),"N")</f>
        <v>N</v>
      </c>
      <c r="B63" s="14" t="s">
        <v>77</v>
      </c>
      <c r="C63" s="2" t="str">
        <f ca="1">_xll.DBRA("tango_core_model:Indicator",$B63,$E$17)</f>
        <v>Total number of accidents with stoppage of work</v>
      </c>
      <c r="D63" s="2" t="str">
        <f ca="1">_xll.DBRA("tango_core_model:Indicator",$B63,"Source_Indicator")</f>
        <v>input_country</v>
      </c>
      <c r="E63" s="22">
        <f ca="1">_xll.DBRW($B$9,$E$11,$E$19,E$20,$E$12,$E$13,$E$14,$E$15,$E$16,$B63)</f>
        <v>0</v>
      </c>
      <c r="F63" s="22">
        <f ca="1">_xll.DBRW($B$9,$E$11,$E$19,F$20,$E$12,$E$13,$E$14,$E$15,$E$16,$B63)</f>
        <v>0</v>
      </c>
      <c r="G63" s="23">
        <f ca="1">_xll.DBRW($B$9,$E$11,$E$19,G$20,$E$12,$E$13,$E$14,$E$15,$E$16,$B63)</f>
        <v>0</v>
      </c>
      <c r="H63" s="2">
        <f ca="1">_xll.DBRW($B$9,$E$11,$H$19,H$20,$E$12,$E$13,$E$14,$E$15,$E$16,$B63)</f>
        <v>0</v>
      </c>
      <c r="I63" s="2">
        <f ca="1">_xll.DBRW($B$9,$E$11,$H$19,I$20,$E$12,$E$13,$E$14,$E$15,$E$16,$B63)</f>
        <v>0</v>
      </c>
      <c r="J63" s="2">
        <f ca="1">_xll.DBRW($B$9,$E$11,$H$19,J$20,$E$12,$E$13,$E$14,$E$15,$E$16,$B63)</f>
        <v>0</v>
      </c>
    </row>
    <row r="64" spans="1:10">
      <c r="A64" s="2" t="str">
        <f ca="1">IF(_xll.TM1RPTELISCONSOLIDATED($B$21,$B64),IF(_xll.TM1RPTELLEV($B$21,$B64)&lt;=3,_xll.TM1RPTELLEV($B$21,$B64),"D"),"N")</f>
        <v>N</v>
      </c>
      <c r="B64" s="14" t="s">
        <v>78</v>
      </c>
      <c r="C64" s="2" t="str">
        <f ca="1">_xll.DBRA("tango_core_model:Indicator",$B64,$E$17)</f>
        <v>Total number of calendar days lost</v>
      </c>
      <c r="D64" s="2" t="str">
        <f ca="1">_xll.DBRA("tango_core_model:Indicator",$B64,"Source_Indicator")</f>
        <v>input_country</v>
      </c>
      <c r="E64" s="22">
        <f ca="1">_xll.DBRW($B$9,$E$11,$E$19,E$20,$E$12,$E$13,$E$14,$E$15,$E$16,$B64)</f>
        <v>0</v>
      </c>
      <c r="F64" s="22">
        <f ca="1">_xll.DBRW($B$9,$E$11,$E$19,F$20,$E$12,$E$13,$E$14,$E$15,$E$16,$B64)</f>
        <v>0</v>
      </c>
      <c r="G64" s="23">
        <f ca="1">_xll.DBRW($B$9,$E$11,$E$19,G$20,$E$12,$E$13,$E$14,$E$15,$E$16,$B64)</f>
        <v>0</v>
      </c>
      <c r="H64" s="2">
        <f ca="1">_xll.DBRW($B$9,$E$11,$H$19,H$20,$E$12,$E$13,$E$14,$E$15,$E$16,$B64)</f>
        <v>0</v>
      </c>
      <c r="I64" s="2">
        <f ca="1">_xll.DBRW($B$9,$E$11,$H$19,I$20,$E$12,$E$13,$E$14,$E$15,$E$16,$B64)</f>
        <v>0</v>
      </c>
      <c r="J64" s="2">
        <f ca="1">_xll.DBRW($B$9,$E$11,$H$19,J$20,$E$12,$E$13,$E$14,$E$15,$E$16,$B64)</f>
        <v>0</v>
      </c>
    </row>
    <row r="65" spans="1:10">
      <c r="A65" s="2" t="str">
        <f ca="1">IF(_xll.TM1RPTELISCONSOLIDATED($B$21,$B65),IF(_xll.TM1RPTELLEV($B$21,$B65)&lt;=3,_xll.TM1RPTELLEV($B$21,$B65),"D"),"N")</f>
        <v>N</v>
      </c>
      <c r="B65" s="14" t="s">
        <v>79</v>
      </c>
      <c r="C65" s="2" t="str">
        <f ca="1">_xll.DBRA("tango_core_model:Indicator",$B65,$E$17)</f>
        <v>Number of vehicle accidents</v>
      </c>
      <c r="D65" s="2" t="str">
        <f ca="1">_xll.DBRA("tango_core_model:Indicator",$B65,"Source_Indicator")</f>
        <v>input_country</v>
      </c>
      <c r="E65" s="22">
        <f ca="1">_xll.DBRW($B$9,$E$11,$E$19,E$20,$E$12,$E$13,$E$14,$E$15,$E$16,$B65)</f>
        <v>0</v>
      </c>
      <c r="F65" s="22">
        <f ca="1">_xll.DBRW($B$9,$E$11,$E$19,F$20,$E$12,$E$13,$E$14,$E$15,$E$16,$B65)</f>
        <v>0</v>
      </c>
      <c r="G65" s="23">
        <f ca="1">_xll.DBRW($B$9,$E$11,$E$19,G$20,$E$12,$E$13,$E$14,$E$15,$E$16,$B65)</f>
        <v>0</v>
      </c>
      <c r="H65" s="2">
        <f ca="1">_xll.DBRW($B$9,$E$11,$H$19,H$20,$E$12,$E$13,$E$14,$E$15,$E$16,$B65)</f>
        <v>0</v>
      </c>
      <c r="I65" s="2">
        <f ca="1">_xll.DBRW($B$9,$E$11,$H$19,I$20,$E$12,$E$13,$E$14,$E$15,$E$16,$B65)</f>
        <v>0</v>
      </c>
      <c r="J65" s="2">
        <f ca="1">_xll.DBRW($B$9,$E$11,$H$19,J$20,$E$12,$E$13,$E$14,$E$15,$E$16,$B65)</f>
        <v>0</v>
      </c>
    </row>
    <row r="66" spans="1:10">
      <c r="A66" s="2" t="str">
        <f ca="1">IF(_xll.TM1RPTELISCONSOLIDATED($B$21,$B66),IF(_xll.TM1RPTELLEV($B$21,$B66)&lt;=3,_xll.TM1RPTELLEV($B$21,$B66),"D"),"N")</f>
        <v>N</v>
      </c>
      <c r="B66" s="14" t="s">
        <v>80</v>
      </c>
      <c r="C66" s="2" t="str">
        <f ca="1">_xll.DBRA("tango_core_model:Indicator",$B66,$E$17)</f>
        <v>Number of minor passenger injuries</v>
      </c>
      <c r="D66" s="2" t="str">
        <f ca="1">_xll.DBRA("tango_core_model:Indicator",$B66,"Source_Indicator")</f>
        <v>input_country</v>
      </c>
      <c r="E66" s="22">
        <f ca="1">_xll.DBRW($B$9,$E$11,$E$19,E$20,$E$12,$E$13,$E$14,$E$15,$E$16,$B66)</f>
        <v>0</v>
      </c>
      <c r="F66" s="22">
        <f ca="1">_xll.DBRW($B$9,$E$11,$E$19,F$20,$E$12,$E$13,$E$14,$E$15,$E$16,$B66)</f>
        <v>0</v>
      </c>
      <c r="G66" s="23">
        <f ca="1">_xll.DBRW($B$9,$E$11,$E$19,G$20,$E$12,$E$13,$E$14,$E$15,$E$16,$B66)</f>
        <v>0</v>
      </c>
      <c r="H66" s="2">
        <f ca="1">_xll.DBRW($B$9,$E$11,$H$19,H$20,$E$12,$E$13,$E$14,$E$15,$E$16,$B66)</f>
        <v>0</v>
      </c>
      <c r="I66" s="2">
        <f ca="1">_xll.DBRW($B$9,$E$11,$H$19,I$20,$E$12,$E$13,$E$14,$E$15,$E$16,$B66)</f>
        <v>0</v>
      </c>
      <c r="J66" s="2">
        <f ca="1">_xll.DBRW($B$9,$E$11,$H$19,J$20,$E$12,$E$13,$E$14,$E$15,$E$16,$B66)</f>
        <v>0</v>
      </c>
    </row>
    <row r="67" spans="1:10">
      <c r="A67" s="2" t="str">
        <f ca="1">IF(_xll.TM1RPTELISCONSOLIDATED($B$21,$B67),IF(_xll.TM1RPTELLEV($B$21,$B67)&lt;=3,_xll.TM1RPTELLEV($B$21,$B67),"D"),"N")</f>
        <v>N</v>
      </c>
      <c r="B67" s="14" t="s">
        <v>81</v>
      </c>
      <c r="C67" s="2" t="str">
        <f ca="1">_xll.DBRA("tango_core_model:Indicator",$B67,$E$17)</f>
        <v>Number of serious passenger injuries</v>
      </c>
      <c r="D67" s="2" t="str">
        <f ca="1">_xll.DBRA("tango_core_model:Indicator",$B67,"Source_Indicator")</f>
        <v>input_country</v>
      </c>
      <c r="E67" s="22">
        <f ca="1">_xll.DBRW($B$9,$E$11,$E$19,E$20,$E$12,$E$13,$E$14,$E$15,$E$16,$B67)</f>
        <v>0</v>
      </c>
      <c r="F67" s="22">
        <f ca="1">_xll.DBRW($B$9,$E$11,$E$19,F$20,$E$12,$E$13,$E$14,$E$15,$E$16,$B67)</f>
        <v>0</v>
      </c>
      <c r="G67" s="23">
        <f ca="1">_xll.DBRW($B$9,$E$11,$E$19,G$20,$E$12,$E$13,$E$14,$E$15,$E$16,$B67)</f>
        <v>0</v>
      </c>
      <c r="H67" s="2">
        <f ca="1">_xll.DBRW($B$9,$E$11,$H$19,H$20,$E$12,$E$13,$E$14,$E$15,$E$16,$B67)</f>
        <v>0</v>
      </c>
      <c r="I67" s="2">
        <f ca="1">_xll.DBRW($B$9,$E$11,$H$19,I$20,$E$12,$E$13,$E$14,$E$15,$E$16,$B67)</f>
        <v>0</v>
      </c>
      <c r="J67" s="2">
        <f ca="1">_xll.DBRW($B$9,$E$11,$H$19,J$20,$E$12,$E$13,$E$14,$E$15,$E$16,$B67)</f>
        <v>0</v>
      </c>
    </row>
    <row r="68" spans="1:10">
      <c r="A68" s="2" t="str">
        <f ca="1">IF(_xll.TM1RPTELISCONSOLIDATED($B$21,$B68),IF(_xll.TM1RPTELLEV($B$21,$B68)&lt;=3,_xll.TM1RPTELLEV($B$21,$B68),"D"),"N")</f>
        <v>N</v>
      </c>
      <c r="B68" s="14" t="s">
        <v>82</v>
      </c>
      <c r="C68" s="2" t="str">
        <f ca="1">_xll.DBRA("tango_core_model:Indicator",$B68,$E$17)</f>
        <v>Number of passenger fatalities</v>
      </c>
      <c r="D68" s="2" t="str">
        <f ca="1">_xll.DBRA("tango_core_model:Indicator",$B68,"Source_Indicator")</f>
        <v>input_country</v>
      </c>
      <c r="E68" s="22">
        <f ca="1">_xll.DBRW($B$9,$E$11,$E$19,E$20,$E$12,$E$13,$E$14,$E$15,$E$16,$B68)</f>
        <v>0</v>
      </c>
      <c r="F68" s="22">
        <f ca="1">_xll.DBRW($B$9,$E$11,$E$19,F$20,$E$12,$E$13,$E$14,$E$15,$E$16,$B68)</f>
        <v>0</v>
      </c>
      <c r="G68" s="23">
        <f ca="1">_xll.DBRW($B$9,$E$11,$E$19,G$20,$E$12,$E$13,$E$14,$E$15,$E$16,$B68)</f>
        <v>0</v>
      </c>
      <c r="H68" s="2">
        <f ca="1">_xll.DBRW($B$9,$E$11,$H$19,H$20,$E$12,$E$13,$E$14,$E$15,$E$16,$B68)</f>
        <v>0</v>
      </c>
      <c r="I68" s="2">
        <f ca="1">_xll.DBRW($B$9,$E$11,$H$19,I$20,$E$12,$E$13,$E$14,$E$15,$E$16,$B68)</f>
        <v>0</v>
      </c>
      <c r="J68" s="2">
        <f ca="1">_xll.DBRW($B$9,$E$11,$H$19,J$20,$E$12,$E$13,$E$14,$E$15,$E$16,$B68)</f>
        <v>0</v>
      </c>
    </row>
    <row r="69" spans="1:10">
      <c r="A69" s="2" t="str">
        <f ca="1">IF(_xll.TM1RPTELISCONSOLIDATED($B$21,$B69),IF(_xll.TM1RPTELLEV($B$21,$B69)&lt;=3,_xll.TM1RPTELLEV($B$21,$B69),"D"),"N")</f>
        <v>N</v>
      </c>
      <c r="B69" s="14" t="s">
        <v>83</v>
      </c>
      <c r="C69" s="2" t="str">
        <f ca="1">_xll.DBRA("tango_core_model:Indicator",$B69,$E$17)</f>
        <v>Total number of passenger injuries per 1000 000 km</v>
      </c>
      <c r="D69" s="2" t="str">
        <f ca="1">_xll.DBRA("tango_core_model:Indicator",$B69,"Source_Indicator")</f>
        <v>calc</v>
      </c>
      <c r="E69" s="22">
        <f ca="1">_xll.DBRW($B$9,$E$11,$E$19,E$20,$E$12,$E$13,$E$14,$E$15,$E$16,$B69)</f>
        <v>0</v>
      </c>
      <c r="F69" s="22">
        <f ca="1">_xll.DBRW($B$9,$E$11,$E$19,F$20,$E$12,$E$13,$E$14,$E$15,$E$16,$B69)</f>
        <v>0</v>
      </c>
      <c r="G69" s="23">
        <f ca="1">_xll.DBRW($B$9,$E$11,$E$19,G$20,$E$12,$E$13,$E$14,$E$15,$E$16,$B69)</f>
        <v>0</v>
      </c>
      <c r="H69" s="2">
        <f ca="1">_xll.DBRW($B$9,$E$11,$H$19,H$20,$E$12,$E$13,$E$14,$E$15,$E$16,$B69)</f>
        <v>0</v>
      </c>
      <c r="I69" s="2">
        <f ca="1">_xll.DBRW($B$9,$E$11,$H$19,I$20,$E$12,$E$13,$E$14,$E$15,$E$16,$B69)</f>
        <v>0</v>
      </c>
      <c r="J69" s="2">
        <f ca="1">_xll.DBRW($B$9,$E$11,$H$19,J$20,$E$12,$E$13,$E$14,$E$15,$E$16,$B69)</f>
        <v>0</v>
      </c>
    </row>
    <row r="70" spans="1:10">
      <c r="A70" s="2" t="str">
        <f ca="1">IF(_xll.TM1RPTELISCONSOLIDATED($B$21,$B70),IF(_xll.TM1RPTELLEV($B$21,$B70)&lt;=3,_xll.TM1RPTELLEV($B$21,$B70),"D"),"N")</f>
        <v>N</v>
      </c>
      <c r="B70" s="14" t="s">
        <v>84</v>
      </c>
      <c r="C70" s="2" t="str">
        <f ca="1">_xll.DBRA("tango_core_model:Indicator",$B70,$E$17)</f>
        <v>Number of acts of vandalism pepetrated</v>
      </c>
      <c r="D70" s="2" t="str">
        <f ca="1">_xll.DBRA("tango_core_model:Indicator",$B70,"Source_Indicator")</f>
        <v/>
      </c>
      <c r="E70" s="22">
        <f ca="1">_xll.DBRW($B$9,$E$11,$E$19,E$20,$E$12,$E$13,$E$14,$E$15,$E$16,$B70)</f>
        <v>0</v>
      </c>
      <c r="F70" s="22">
        <f ca="1">_xll.DBRW($B$9,$E$11,$E$19,F$20,$E$12,$E$13,$E$14,$E$15,$E$16,$B70)</f>
        <v>0</v>
      </c>
      <c r="G70" s="23">
        <f ca="1">_xll.DBRW($B$9,$E$11,$E$19,G$20,$E$12,$E$13,$E$14,$E$15,$E$16,$B70)</f>
        <v>0</v>
      </c>
      <c r="H70" s="2">
        <f ca="1">_xll.DBRW($B$9,$E$11,$H$19,H$20,$E$12,$E$13,$E$14,$E$15,$E$16,$B70)</f>
        <v>0</v>
      </c>
      <c r="I70" s="2">
        <f ca="1">_xll.DBRW($B$9,$E$11,$H$19,I$20,$E$12,$E$13,$E$14,$E$15,$E$16,$B70)</f>
        <v>0</v>
      </c>
      <c r="J70" s="2">
        <f ca="1">_xll.DBRW($B$9,$E$11,$H$19,J$20,$E$12,$E$13,$E$14,$E$15,$E$16,$B70)</f>
        <v>0</v>
      </c>
    </row>
    <row r="71" spans="1:10">
      <c r="A71" s="2" t="str">
        <f ca="1">IF(_xll.TM1RPTELISCONSOLIDATED($B$21,$B71),IF(_xll.TM1RPTELLEV($B$21,$B71)&lt;=3,_xll.TM1RPTELLEV($B$21,$B71),"D"),"N")</f>
        <v>N</v>
      </c>
      <c r="B71" s="14" t="s">
        <v>85</v>
      </c>
      <c r="C71" s="2" t="str">
        <f ca="1">_xll.DBRA("tango_core_model:Indicator",$B71,$E$17)</f>
        <v>Workplace accident frequency rate per 1 000 000 worked hours</v>
      </c>
      <c r="D71" s="2" t="str">
        <f ca="1">_xll.DBRA("tango_core_model:Indicator",$B71,"Source_Indicator")</f>
        <v>calc</v>
      </c>
      <c r="E71" s="22">
        <f ca="1">_xll.DBRW($B$9,$E$11,$E$19,E$20,$E$12,$E$13,$E$14,$E$15,$E$16,$B71)</f>
        <v>0</v>
      </c>
      <c r="F71" s="22">
        <f ca="1">_xll.DBRW($B$9,$E$11,$E$19,F$20,$E$12,$E$13,$E$14,$E$15,$E$16,$B71)</f>
        <v>0</v>
      </c>
      <c r="G71" s="23">
        <f ca="1">_xll.DBRW($B$9,$E$11,$E$19,G$20,$E$12,$E$13,$E$14,$E$15,$E$16,$B71)</f>
        <v>0</v>
      </c>
      <c r="H71" s="2">
        <f ca="1">_xll.DBRW($B$9,$E$11,$H$19,H$20,$E$12,$E$13,$E$14,$E$15,$E$16,$B71)</f>
        <v>0</v>
      </c>
      <c r="I71" s="2">
        <f ca="1">_xll.DBRW($B$9,$E$11,$H$19,I$20,$E$12,$E$13,$E$14,$E$15,$E$16,$B71)</f>
        <v>0</v>
      </c>
      <c r="J71" s="2">
        <f ca="1">_xll.DBRW($B$9,$E$11,$H$19,J$20,$E$12,$E$13,$E$14,$E$15,$E$16,$B71)</f>
        <v>0</v>
      </c>
    </row>
    <row r="72" spans="1:10">
      <c r="A72" s="2" t="str">
        <f ca="1">IF(_xll.TM1RPTELISCONSOLIDATED($B$21,$B72),IF(_xll.TM1RPTELLEV($B$21,$B72)&lt;=3,_xll.TM1RPTELLEV($B$21,$B72),"D"),"N")</f>
        <v>N</v>
      </c>
      <c r="B72" s="14" t="s">
        <v>86</v>
      </c>
      <c r="C72" s="2" t="str">
        <f ca="1">_xll.DBRA("tango_core_model:Indicator",$B72,$E$17)</f>
        <v>Workplace accident severity rate per 1 000 worked hours</v>
      </c>
      <c r="D72" s="2" t="str">
        <f ca="1">_xll.DBRA("tango_core_model:Indicator",$B72,"Source_Indicator")</f>
        <v>calc</v>
      </c>
      <c r="E72" s="22">
        <f ca="1">_xll.DBRW($B$9,$E$11,$E$19,E$20,$E$12,$E$13,$E$14,$E$15,$E$16,$B72)</f>
        <v>0</v>
      </c>
      <c r="F72" s="22">
        <f ca="1">_xll.DBRW($B$9,$E$11,$E$19,F$20,$E$12,$E$13,$E$14,$E$15,$E$16,$B72)</f>
        <v>0</v>
      </c>
      <c r="G72" s="23">
        <f ca="1">_xll.DBRW($B$9,$E$11,$E$19,G$20,$E$12,$E$13,$E$14,$E$15,$E$16,$B72)</f>
        <v>0</v>
      </c>
      <c r="H72" s="2">
        <f ca="1">_xll.DBRW($B$9,$E$11,$H$19,H$20,$E$12,$E$13,$E$14,$E$15,$E$16,$B72)</f>
        <v>0</v>
      </c>
      <c r="I72" s="2">
        <f ca="1">_xll.DBRW($B$9,$E$11,$H$19,I$20,$E$12,$E$13,$E$14,$E$15,$E$16,$B72)</f>
        <v>0</v>
      </c>
      <c r="J72" s="2">
        <f ca="1">_xll.DBRW($B$9,$E$11,$H$19,J$20,$E$12,$E$13,$E$14,$E$15,$E$16,$B72)</f>
        <v>0</v>
      </c>
    </row>
    <row r="73" spans="1:10">
      <c r="A73" s="2" t="str">
        <f ca="1">IF(_xll.TM1RPTELISCONSOLIDATED($B$21,$B73),IF(_xll.TM1RPTELLEV($B$21,$B73)&lt;=3,_xll.TM1RPTELLEV($B$21,$B73),"D"),"N")</f>
        <v>N</v>
      </c>
      <c r="B73" s="14" t="s">
        <v>87</v>
      </c>
      <c r="C73" s="2" t="str">
        <f ca="1">_xll.DBRA("tango_core_model:Indicator",$B73,$E$17)</f>
        <v>Vehicle accidents frequency by 1 000 000 km</v>
      </c>
      <c r="D73" s="2" t="str">
        <f ca="1">_xll.DBRA("tango_core_model:Indicator",$B73,"Source_Indicator")</f>
        <v>calc</v>
      </c>
      <c r="E73" s="22">
        <f ca="1">_xll.DBRW($B$9,$E$11,$E$19,E$20,$E$12,$E$13,$E$14,$E$15,$E$16,$B73)</f>
        <v>0</v>
      </c>
      <c r="F73" s="22">
        <f ca="1">_xll.DBRW($B$9,$E$11,$E$19,F$20,$E$12,$E$13,$E$14,$E$15,$E$16,$B73)</f>
        <v>0</v>
      </c>
      <c r="G73" s="23">
        <f ca="1">_xll.DBRW($B$9,$E$11,$E$19,G$20,$E$12,$E$13,$E$14,$E$15,$E$16,$B73)</f>
        <v>0</v>
      </c>
      <c r="H73" s="2">
        <f ca="1">_xll.DBRW($B$9,$E$11,$H$19,H$20,$E$12,$E$13,$E$14,$E$15,$E$16,$B73)</f>
        <v>0</v>
      </c>
      <c r="I73" s="2">
        <f ca="1">_xll.DBRW($B$9,$E$11,$H$19,I$20,$E$12,$E$13,$E$14,$E$15,$E$16,$B73)</f>
        <v>0</v>
      </c>
      <c r="J73" s="2">
        <f ca="1">_xll.DBRW($B$9,$E$11,$H$19,J$20,$E$12,$E$13,$E$14,$E$15,$E$16,$B73)</f>
        <v>0</v>
      </c>
    </row>
    <row r="74" spans="1:10">
      <c r="A74" s="2" t="str">
        <f ca="1">IF(_xll.TM1RPTELISCONSOLIDATED($B$21,$B74),IF(_xll.TM1RPTELLEV($B$21,$B74)&lt;=3,_xll.TM1RPTELLEV($B$21,$B74),"D"),"N")</f>
        <v>N</v>
      </c>
      <c r="B74" s="14" t="s">
        <v>88</v>
      </c>
      <c r="C74" s="2" t="str">
        <f ca="1">_xll.DBRA("tango_core_model:Indicator",$B74,$E$17)</f>
        <v>SPAD (Signal Passed At Danger)</v>
      </c>
      <c r="D74" s="2" t="str">
        <f ca="1">_xll.DBRA("tango_core_model:Indicator",$B74,"Source_Indicator")</f>
        <v>input_country</v>
      </c>
      <c r="E74" s="22">
        <f ca="1">_xll.DBRW($B$9,$E$11,$E$19,E$20,$E$12,$E$13,$E$14,$E$15,$E$16,$B74)</f>
        <v>0</v>
      </c>
      <c r="F74" s="22">
        <f ca="1">_xll.DBRW($B$9,$E$11,$E$19,F$20,$E$12,$E$13,$E$14,$E$15,$E$16,$B74)</f>
        <v>0</v>
      </c>
      <c r="G74" s="23">
        <f ca="1">_xll.DBRW($B$9,$E$11,$E$19,G$20,$E$12,$E$13,$E$14,$E$15,$E$16,$B74)</f>
        <v>0</v>
      </c>
      <c r="H74" s="2">
        <f ca="1">_xll.DBRW($B$9,$E$11,$H$19,H$20,$E$12,$E$13,$E$14,$E$15,$E$16,$B74)</f>
        <v>0</v>
      </c>
      <c r="I74" s="2">
        <f ca="1">_xll.DBRW($B$9,$E$11,$H$19,I$20,$E$12,$E$13,$E$14,$E$15,$E$16,$B74)</f>
        <v>0</v>
      </c>
      <c r="J74" s="2">
        <f ca="1">_xll.DBRW($B$9,$E$11,$H$19,J$20,$E$12,$E$13,$E$14,$E$15,$E$16,$B74)</f>
        <v>0</v>
      </c>
    </row>
    <row r="75" spans="1:10">
      <c r="A75" s="2" t="str">
        <f ca="1">IF(_xll.TM1RPTELISCONSOLIDATED($B$21,$B75),IF(_xll.TM1RPTELLEV($B$21,$B75)&lt;=3,_xll.TM1RPTELLEV($B$21,$B75),"D"),"N")</f>
        <v>N</v>
      </c>
      <c r="B75" s="14" t="s">
        <v>89</v>
      </c>
      <c r="C75" s="2" t="str">
        <f ca="1">_xll.DBRA("tango_core_model:Indicator",$B75,$E$17)</f>
        <v>% of safety compliance on contracts rated A</v>
      </c>
      <c r="D75" s="2" t="str">
        <f ca="1">_xll.DBRA("tango_core_model:Indicator",$B75,"Source_Indicator")</f>
        <v>calc</v>
      </c>
      <c r="E75" s="22">
        <f ca="1">_xll.DBRW($B$9,$E$11,$E$19,E$20,$E$12,$E$13,$E$14,$E$15,$E$16,$B75)</f>
        <v>0</v>
      </c>
      <c r="F75" s="22">
        <f ca="1">_xll.DBRW($B$9,$E$11,$E$19,F$20,$E$12,$E$13,$E$14,$E$15,$E$16,$B75)</f>
        <v>0</v>
      </c>
      <c r="G75" s="23">
        <f ca="1">_xll.DBRW($B$9,$E$11,$E$19,G$20,$E$12,$E$13,$E$14,$E$15,$E$16,$B75)</f>
        <v>0</v>
      </c>
      <c r="H75" s="2">
        <f ca="1">_xll.DBRW($B$9,$E$11,$H$19,H$20,$E$12,$E$13,$E$14,$E$15,$E$16,$B75)</f>
        <v>0</v>
      </c>
      <c r="I75" s="2">
        <f ca="1">_xll.DBRW($B$9,$E$11,$H$19,I$20,$E$12,$E$13,$E$14,$E$15,$E$16,$B75)</f>
        <v>0</v>
      </c>
      <c r="J75" s="2">
        <f ca="1">_xll.DBRW($B$9,$E$11,$H$19,J$20,$E$12,$E$13,$E$14,$E$15,$E$16,$B75)</f>
        <v>0</v>
      </c>
    </row>
    <row r="76" spans="1:10">
      <c r="A76" s="2" t="str">
        <f ca="1">IF(_xll.TM1RPTELISCONSOLIDATED($B$21,$B76),IF(_xll.TM1RPTELLEV($B$21,$B76)&lt;=3,_xll.TM1RPTELLEV($B$21,$B76),"D"),"N")</f>
        <v>N</v>
      </c>
      <c r="B76" s="14" t="s">
        <v>90</v>
      </c>
      <c r="C76" s="2" t="str">
        <f ca="1">_xll.DBRA("tango_core_model:Indicator",$B76,$E$17)</f>
        <v>% of safety compliance on contracts rated B</v>
      </c>
      <c r="D76" s="2" t="str">
        <f ca="1">_xll.DBRA("tango_core_model:Indicator",$B76,"Source_Indicator")</f>
        <v>calc</v>
      </c>
      <c r="E76" s="22">
        <f ca="1">_xll.DBRW($B$9,$E$11,$E$19,E$20,$E$12,$E$13,$E$14,$E$15,$E$16,$B76)</f>
        <v>0</v>
      </c>
      <c r="F76" s="22">
        <f ca="1">_xll.DBRW($B$9,$E$11,$E$19,F$20,$E$12,$E$13,$E$14,$E$15,$E$16,$B76)</f>
        <v>0</v>
      </c>
      <c r="G76" s="23">
        <f ca="1">_xll.DBRW($B$9,$E$11,$E$19,G$20,$E$12,$E$13,$E$14,$E$15,$E$16,$B76)</f>
        <v>0</v>
      </c>
      <c r="H76" s="2">
        <f ca="1">_xll.DBRW($B$9,$E$11,$H$19,H$20,$E$12,$E$13,$E$14,$E$15,$E$16,$B76)</f>
        <v>0</v>
      </c>
      <c r="I76" s="2">
        <f ca="1">_xll.DBRW($B$9,$E$11,$H$19,I$20,$E$12,$E$13,$E$14,$E$15,$E$16,$B76)</f>
        <v>0</v>
      </c>
      <c r="J76" s="2">
        <f ca="1">_xll.DBRW($B$9,$E$11,$H$19,J$20,$E$12,$E$13,$E$14,$E$15,$E$16,$B76)</f>
        <v>0</v>
      </c>
    </row>
    <row r="77" spans="1:10">
      <c r="A77" s="2" t="str">
        <f ca="1">IF(_xll.TM1RPTELISCONSOLIDATED($B$21,$B77),IF(_xll.TM1RPTELLEV($B$21,$B77)&lt;=3,_xll.TM1RPTELLEV($B$21,$B77),"D"),"N")</f>
        <v>N</v>
      </c>
      <c r="B77" s="14" t="s">
        <v>91</v>
      </c>
      <c r="C77" s="2" t="str">
        <f ca="1">_xll.DBRA("tango_core_model:Indicator",$B77,$E$17)</f>
        <v>% of safety compliance on contracts rated C</v>
      </c>
      <c r="D77" s="2" t="str">
        <f ca="1">_xll.DBRA("tango_core_model:Indicator",$B77,"Source_Indicator")</f>
        <v>calc</v>
      </c>
      <c r="E77" s="22">
        <f ca="1">_xll.DBRW($B$9,$E$11,$E$19,E$20,$E$12,$E$13,$E$14,$E$15,$E$16,$B77)</f>
        <v>0</v>
      </c>
      <c r="F77" s="22">
        <f ca="1">_xll.DBRW($B$9,$E$11,$E$19,F$20,$E$12,$E$13,$E$14,$E$15,$E$16,$B77)</f>
        <v>0</v>
      </c>
      <c r="G77" s="23">
        <f ca="1">_xll.DBRW($B$9,$E$11,$E$19,G$20,$E$12,$E$13,$E$14,$E$15,$E$16,$B77)</f>
        <v>0</v>
      </c>
      <c r="H77" s="2">
        <f ca="1">_xll.DBRW($B$9,$E$11,$H$19,H$20,$E$12,$E$13,$E$14,$E$15,$E$16,$B77)</f>
        <v>0</v>
      </c>
      <c r="I77" s="2">
        <f ca="1">_xll.DBRW($B$9,$E$11,$H$19,I$20,$E$12,$E$13,$E$14,$E$15,$E$16,$B77)</f>
        <v>0</v>
      </c>
      <c r="J77" s="2">
        <f ca="1">_xll.DBRW($B$9,$E$11,$H$19,J$20,$E$12,$E$13,$E$14,$E$15,$E$16,$B77)</f>
        <v>0</v>
      </c>
    </row>
    <row r="78" spans="1:10">
      <c r="A78" s="2" t="str">
        <f ca="1">IF(_xll.TM1RPTELISCONSOLIDATED($B$21,$B78),IF(_xll.TM1RPTELLEV($B$21,$B78)&lt;=3,_xll.TM1RPTELLEV($B$21,$B78),"D"),"N")</f>
        <v>N</v>
      </c>
      <c r="B78" s="14" t="s">
        <v>92</v>
      </c>
      <c r="C78" s="2" t="str">
        <f ca="1">_xll.DBRA("tango_core_model:Indicator",$B78,$E$17)</f>
        <v>Safety_comp_rate_A_CPT</v>
      </c>
      <c r="D78" s="2" t="str">
        <f ca="1">_xll.DBRA("tango_core_model:Indicator",$B78,"Source_Indicator")</f>
        <v>calc</v>
      </c>
      <c r="E78" s="22">
        <f ca="1">_xll.DBRW($B$9,$E$11,$E$19,E$20,$E$12,$E$13,$E$14,$E$15,$E$16,$B78)</f>
        <v>0</v>
      </c>
      <c r="F78" s="22">
        <f ca="1">_xll.DBRW($B$9,$E$11,$E$19,F$20,$E$12,$E$13,$E$14,$E$15,$E$16,$B78)</f>
        <v>0</v>
      </c>
      <c r="G78" s="23">
        <f ca="1">_xll.DBRW($B$9,$E$11,$E$19,G$20,$E$12,$E$13,$E$14,$E$15,$E$16,$B78)</f>
        <v>0</v>
      </c>
      <c r="H78" s="2">
        <f ca="1">_xll.DBRW($B$9,$E$11,$H$19,H$20,$E$12,$E$13,$E$14,$E$15,$E$16,$B78)</f>
        <v>0</v>
      </c>
      <c r="I78" s="2">
        <f ca="1">_xll.DBRW($B$9,$E$11,$H$19,I$20,$E$12,$E$13,$E$14,$E$15,$E$16,$B78)</f>
        <v>0</v>
      </c>
      <c r="J78" s="2">
        <f ca="1">_xll.DBRW($B$9,$E$11,$H$19,J$20,$E$12,$E$13,$E$14,$E$15,$E$16,$B78)</f>
        <v>0</v>
      </c>
    </row>
    <row r="79" spans="1:10">
      <c r="A79" s="2" t="str">
        <f ca="1">IF(_xll.TM1RPTELISCONSOLIDATED($B$21,$B79),IF(_xll.TM1RPTELLEV($B$21,$B79)&lt;=3,_xll.TM1RPTELLEV($B$21,$B79),"D"),"N")</f>
        <v>N</v>
      </c>
      <c r="B79" s="14" t="s">
        <v>93</v>
      </c>
      <c r="C79" s="2" t="str">
        <f ca="1">_xll.DBRA("tango_core_model:Indicator",$B79,$E$17)</f>
        <v>Safety_comp_rate_B_CPT</v>
      </c>
      <c r="D79" s="2" t="str">
        <f ca="1">_xll.DBRA("tango_core_model:Indicator",$B79,"Source_Indicator")</f>
        <v>calc</v>
      </c>
      <c r="E79" s="22">
        <f ca="1">_xll.DBRW($B$9,$E$11,$E$19,E$20,$E$12,$E$13,$E$14,$E$15,$E$16,$B79)</f>
        <v>0</v>
      </c>
      <c r="F79" s="22">
        <f ca="1">_xll.DBRW($B$9,$E$11,$E$19,F$20,$E$12,$E$13,$E$14,$E$15,$E$16,$B79)</f>
        <v>0</v>
      </c>
      <c r="G79" s="23">
        <f ca="1">_xll.DBRW($B$9,$E$11,$E$19,G$20,$E$12,$E$13,$E$14,$E$15,$E$16,$B79)</f>
        <v>0</v>
      </c>
      <c r="H79" s="2">
        <f ca="1">_xll.DBRW($B$9,$E$11,$H$19,H$20,$E$12,$E$13,$E$14,$E$15,$E$16,$B79)</f>
        <v>0</v>
      </c>
      <c r="I79" s="2">
        <f ca="1">_xll.DBRW($B$9,$E$11,$H$19,I$20,$E$12,$E$13,$E$14,$E$15,$E$16,$B79)</f>
        <v>0</v>
      </c>
      <c r="J79" s="2">
        <f ca="1">_xll.DBRW($B$9,$E$11,$H$19,J$20,$E$12,$E$13,$E$14,$E$15,$E$16,$B79)</f>
        <v>0</v>
      </c>
    </row>
    <row r="80" spans="1:10">
      <c r="A80" s="2" t="str">
        <f ca="1">IF(_xll.TM1RPTELISCONSOLIDATED($B$21,$B80),IF(_xll.TM1RPTELLEV($B$21,$B80)&lt;=3,_xll.TM1RPTELLEV($B$21,$B80),"D"),"N")</f>
        <v>N</v>
      </c>
      <c r="B80" s="14" t="s">
        <v>94</v>
      </c>
      <c r="C80" s="2" t="str">
        <f ca="1">_xll.DBRA("tango_core_model:Indicator",$B80,$E$17)</f>
        <v>Safety_comp_rate_C_CPT</v>
      </c>
      <c r="D80" s="2" t="str">
        <f ca="1">_xll.DBRA("tango_core_model:Indicator",$B80,"Source_Indicator")</f>
        <v>calc</v>
      </c>
      <c r="E80" s="22">
        <f ca="1">_xll.DBRW($B$9,$E$11,$E$19,E$20,$E$12,$E$13,$E$14,$E$15,$E$16,$B80)</f>
        <v>0</v>
      </c>
      <c r="F80" s="22">
        <f ca="1">_xll.DBRW($B$9,$E$11,$E$19,F$20,$E$12,$E$13,$E$14,$E$15,$E$16,$B80)</f>
        <v>0</v>
      </c>
      <c r="G80" s="23">
        <f ca="1">_xll.DBRW($B$9,$E$11,$E$19,G$20,$E$12,$E$13,$E$14,$E$15,$E$16,$B80)</f>
        <v>0</v>
      </c>
      <c r="H80" s="2">
        <f ca="1">_xll.DBRW($B$9,$E$11,$H$19,H$20,$E$12,$E$13,$E$14,$E$15,$E$16,$B80)</f>
        <v>0</v>
      </c>
      <c r="I80" s="2">
        <f ca="1">_xll.DBRW($B$9,$E$11,$H$19,I$20,$E$12,$E$13,$E$14,$E$15,$E$16,$B80)</f>
        <v>0</v>
      </c>
      <c r="J80" s="2">
        <f ca="1">_xll.DBRW($B$9,$E$11,$H$19,J$20,$E$12,$E$13,$E$14,$E$15,$E$16,$B80)</f>
        <v>0</v>
      </c>
    </row>
    <row r="81" spans="1:10">
      <c r="A81" s="2" t="str">
        <f ca="1">IF(_xll.TM1RPTELISCONSOLIDATED($B$21,$B81),IF(_xll.TM1RPTELLEV($B$21,$B81)&lt;=3,_xll.TM1RPTELLEV($B$21,$B81),"D"),"N")</f>
        <v>N</v>
      </c>
      <c r="B81" s="14" t="s">
        <v>95</v>
      </c>
      <c r="C81" s="2" t="str">
        <f ca="1">_xll.DBRA("tango_core_model:Indicator",$B81,$E$17)</f>
        <v>Safety_comp_rate_Total_CPT</v>
      </c>
      <c r="D81" s="2" t="str">
        <f ca="1">_xll.DBRA("tango_core_model:Indicator",$B81,"Source_Indicator")</f>
        <v>calc</v>
      </c>
      <c r="E81" s="22">
        <f ca="1">_xll.DBRW($B$9,$E$11,$E$19,E$20,$E$12,$E$13,$E$14,$E$15,$E$16,$B81)</f>
        <v>0</v>
      </c>
      <c r="F81" s="22">
        <f ca="1">_xll.DBRW($B$9,$E$11,$E$19,F$20,$E$12,$E$13,$E$14,$E$15,$E$16,$B81)</f>
        <v>0</v>
      </c>
      <c r="G81" s="23">
        <f ca="1">_xll.DBRW($B$9,$E$11,$E$19,G$20,$E$12,$E$13,$E$14,$E$15,$E$16,$B81)</f>
        <v>0</v>
      </c>
      <c r="H81" s="2">
        <f ca="1">_xll.DBRW($B$9,$E$11,$H$19,H$20,$E$12,$E$13,$E$14,$E$15,$E$16,$B81)</f>
        <v>0</v>
      </c>
      <c r="I81" s="2">
        <f ca="1">_xll.DBRW($B$9,$E$11,$H$19,I$20,$E$12,$E$13,$E$14,$E$15,$E$16,$B81)</f>
        <v>0</v>
      </c>
      <c r="J81" s="2">
        <f ca="1">_xll.DBRW($B$9,$E$11,$H$19,J$20,$E$12,$E$13,$E$14,$E$15,$E$16,$B81)</f>
        <v>0</v>
      </c>
    </row>
    <row r="82" spans="1:10">
      <c r="A82" s="2">
        <f ca="1">IF(_xll.TM1RPTELISCONSOLIDATED($B$21,$B82),IF(_xll.TM1RPTELLEV($B$21,$B82)&lt;=3,_xll.TM1RPTELLEV($B$21,$B82),"D"),"N")</f>
        <v>1</v>
      </c>
      <c r="B82" s="42" t="s">
        <v>96</v>
      </c>
      <c r="C82" s="7" t="str">
        <f ca="1">_xll.DBRA("tango_core_model:Indicator",$B82,$E$17)</f>
        <v>HUMAN RESSOURCES</v>
      </c>
      <c r="D82" s="7" t="str">
        <f ca="1">_xll.DBRA("tango_core_model:Indicator",$B82,"Source_Indicator")</f>
        <v/>
      </c>
      <c r="E82" s="20">
        <f ca="1">_xll.DBRW($B$9,$E$11,$E$19,E$20,$E$12,$E$13,$E$14,$E$15,$E$16,$B82)</f>
        <v>0</v>
      </c>
      <c r="F82" s="20">
        <f ca="1">_xll.DBRW($B$9,$E$11,$E$19,F$20,$E$12,$E$13,$E$14,$E$15,$E$16,$B82)</f>
        <v>0</v>
      </c>
      <c r="G82" s="21">
        <f ca="1">_xll.DBRW($B$9,$E$11,$E$19,G$20,$E$12,$E$13,$E$14,$E$15,$E$16,$B82)</f>
        <v>0</v>
      </c>
      <c r="H82" s="7">
        <f ca="1">_xll.DBRW($B$9,$E$11,$H$19,H$20,$E$12,$E$13,$E$14,$E$15,$E$16,$B82)</f>
        <v>0</v>
      </c>
      <c r="I82" s="7">
        <f ca="1">_xll.DBRW($B$9,$E$11,$H$19,I$20,$E$12,$E$13,$E$14,$E$15,$E$16,$B82)</f>
        <v>0</v>
      </c>
      <c r="J82" s="7">
        <f ca="1">_xll.DBRW($B$9,$E$11,$H$19,J$20,$E$12,$E$13,$E$14,$E$15,$E$16,$B82)</f>
        <v>0</v>
      </c>
    </row>
    <row r="83" spans="1:10">
      <c r="A83" s="2" t="str">
        <f ca="1">IF(_xll.TM1RPTELISCONSOLIDATED($B$21,$B83),IF(_xll.TM1RPTELLEV($B$21,$B83)&lt;=3,_xll.TM1RPTELLEV($B$21,$B83),"D"),"N")</f>
        <v>N</v>
      </c>
      <c r="B83" s="14" t="s">
        <v>97</v>
      </c>
      <c r="C83" s="2" t="str">
        <f ca="1">_xll.DBRA("tango_core_model:Indicator",$B83,$E$17)</f>
        <v>Number of Full Time Equivalent</v>
      </c>
      <c r="D83" s="2" t="str">
        <f ca="1">_xll.DBRA("tango_core_model:Indicator",$B83,"Source_Indicator")</f>
        <v>input_country</v>
      </c>
      <c r="E83" s="22">
        <f ca="1">_xll.DBRW($B$9,$E$11,$E$19,E$20,$E$12,$E$13,$E$14,$E$15,$E$16,$B83)</f>
        <v>0</v>
      </c>
      <c r="F83" s="22">
        <f ca="1">_xll.DBRW($B$9,$E$11,$E$19,F$20,$E$12,$E$13,$E$14,$E$15,$E$16,$B83)</f>
        <v>0</v>
      </c>
      <c r="G83" s="23">
        <f ca="1">_xll.DBRW($B$9,$E$11,$E$19,G$20,$E$12,$E$13,$E$14,$E$15,$E$16,$B83)</f>
        <v>0</v>
      </c>
      <c r="H83" s="2">
        <f ca="1">_xll.DBRW($B$9,$E$11,$H$19,H$20,$E$12,$E$13,$E$14,$E$15,$E$16,$B83)</f>
        <v>0</v>
      </c>
      <c r="I83" s="2">
        <f ca="1">_xll.DBRW($B$9,$E$11,$H$19,I$20,$E$12,$E$13,$E$14,$E$15,$E$16,$B83)</f>
        <v>0</v>
      </c>
      <c r="J83" s="2">
        <f ca="1">_xll.DBRW($B$9,$E$11,$H$19,J$20,$E$12,$E$13,$E$14,$E$15,$E$16,$B83)</f>
        <v>0</v>
      </c>
    </row>
    <row r="84" spans="1:10">
      <c r="A84" s="2" t="str">
        <f ca="1">IF(_xll.TM1RPTELISCONSOLIDATED($B$21,$B84),IF(_xll.TM1RPTELLEV($B$21,$B84)&lt;=3,_xll.TM1RPTELLEV($B$21,$B84),"D"),"N")</f>
        <v>N</v>
      </c>
      <c r="B84" s="14" t="s">
        <v>98</v>
      </c>
      <c r="C84" s="2" t="str">
        <f ca="1">_xll.DBRA("tango_core_model:Indicator",$B84,$E$17)</f>
        <v>Number of Full Time Equivalent Count Tech</v>
      </c>
      <c r="D84" s="2" t="str">
        <f ca="1">_xll.DBRA("tango_core_model:Indicator",$B84,"Source_Indicator")</f>
        <v>calc</v>
      </c>
      <c r="E84" s="22">
        <f ca="1">_xll.DBRW($B$9,$E$11,$E$19,E$20,$E$12,$E$13,$E$14,$E$15,$E$16,$B84)</f>
        <v>0</v>
      </c>
      <c r="F84" s="22">
        <f ca="1">_xll.DBRW($B$9,$E$11,$E$19,F$20,$E$12,$E$13,$E$14,$E$15,$E$16,$B84)</f>
        <v>0</v>
      </c>
      <c r="G84" s="23">
        <f ca="1">_xll.DBRW($B$9,$E$11,$E$19,G$20,$E$12,$E$13,$E$14,$E$15,$E$16,$B84)</f>
        <v>0</v>
      </c>
      <c r="H84" s="2">
        <f ca="1">_xll.DBRW($B$9,$E$11,$H$19,H$20,$E$12,$E$13,$E$14,$E$15,$E$16,$B84)</f>
        <v>0</v>
      </c>
      <c r="I84" s="2">
        <f ca="1">_xll.DBRW($B$9,$E$11,$H$19,I$20,$E$12,$E$13,$E$14,$E$15,$E$16,$B84)</f>
        <v>0</v>
      </c>
      <c r="J84" s="2">
        <f ca="1">_xll.DBRW($B$9,$E$11,$H$19,J$20,$E$12,$E$13,$E$14,$E$15,$E$16,$B84)</f>
        <v>0</v>
      </c>
    </row>
    <row r="85" spans="1:10">
      <c r="A85" s="2" t="str">
        <f ca="1">IF(_xll.TM1RPTELISCONSOLIDATED($B$21,$B85),IF(_xll.TM1RPTELLEV($B$21,$B85)&lt;=3,_xll.TM1RPTELLEV($B$21,$B85),"D"),"N")</f>
        <v>N</v>
      </c>
      <c r="B85" s="14" t="s">
        <v>99</v>
      </c>
      <c r="C85" s="2" t="str">
        <f ca="1">_xll.DBRA("tango_core_model:Indicator",$B85,$E$17)</f>
        <v>Number of Full Time Equivalent Count Tech 2</v>
      </c>
      <c r="D85" s="2" t="str">
        <f ca="1">_xll.DBRA("tango_core_model:Indicator",$B85,"Source_Indicator")</f>
        <v>calc</v>
      </c>
      <c r="E85" s="22">
        <f ca="1">_xll.DBRW($B$9,$E$11,$E$19,E$20,$E$12,$E$13,$E$14,$E$15,$E$16,$B85)</f>
        <v>0</v>
      </c>
      <c r="F85" s="22">
        <f ca="1">_xll.DBRW($B$9,$E$11,$E$19,F$20,$E$12,$E$13,$E$14,$E$15,$E$16,$B85)</f>
        <v>0</v>
      </c>
      <c r="G85" s="23">
        <f ca="1">_xll.DBRW($B$9,$E$11,$E$19,G$20,$E$12,$E$13,$E$14,$E$15,$E$16,$B85)</f>
        <v>0</v>
      </c>
      <c r="H85" s="2">
        <f ca="1">_xll.DBRW($B$9,$E$11,$H$19,H$20,$E$12,$E$13,$E$14,$E$15,$E$16,$B85)</f>
        <v>0</v>
      </c>
      <c r="I85" s="2">
        <f ca="1">_xll.DBRW($B$9,$E$11,$H$19,I$20,$E$12,$E$13,$E$14,$E$15,$E$16,$B85)</f>
        <v>0</v>
      </c>
      <c r="J85" s="2">
        <f ca="1">_xll.DBRW($B$9,$E$11,$H$19,J$20,$E$12,$E$13,$E$14,$E$15,$E$16,$B85)</f>
        <v>0</v>
      </c>
    </row>
    <row r="86" spans="1:10">
      <c r="A86" s="2" t="str">
        <f ca="1">IF(_xll.TM1RPTELISCONSOLIDATED($B$21,$B86),IF(_xll.TM1RPTELLEV($B$21,$B86)&lt;=3,_xll.TM1RPTELLEV($B$21,$B86),"D"),"N")</f>
        <v>N</v>
      </c>
      <c r="B86" s="14" t="s">
        <v>100</v>
      </c>
      <c r="C86" s="2" t="str">
        <f ca="1">_xll.DBRA("tango_core_model:Indicator",$B86,$E$17)</f>
        <v>Number of Full Time Equivalent Hold Tech</v>
      </c>
      <c r="D86" s="2" t="str">
        <f ca="1">_xll.DBRA("tango_core_model:Indicator",$B86,"Source_Indicator")</f>
        <v>input_country</v>
      </c>
      <c r="E86" s="22">
        <f ca="1">_xll.DBRW($B$9,$E$11,$E$19,E$20,$E$12,$E$13,$E$14,$E$15,$E$16,$B86)</f>
        <v>0</v>
      </c>
      <c r="F86" s="22">
        <f ca="1">_xll.DBRW($B$9,$E$11,$E$19,F$20,$E$12,$E$13,$E$14,$E$15,$E$16,$B86)</f>
        <v>0</v>
      </c>
      <c r="G86" s="23">
        <f ca="1">_xll.DBRW($B$9,$E$11,$E$19,G$20,$E$12,$E$13,$E$14,$E$15,$E$16,$B86)</f>
        <v>0</v>
      </c>
      <c r="H86" s="2">
        <f ca="1">_xll.DBRW($B$9,$E$11,$H$19,H$20,$E$12,$E$13,$E$14,$E$15,$E$16,$B86)</f>
        <v>0</v>
      </c>
      <c r="I86" s="2">
        <f ca="1">_xll.DBRW($B$9,$E$11,$H$19,I$20,$E$12,$E$13,$E$14,$E$15,$E$16,$B86)</f>
        <v>0</v>
      </c>
      <c r="J86" s="2">
        <f ca="1">_xll.DBRW($B$9,$E$11,$H$19,J$20,$E$12,$E$13,$E$14,$E$15,$E$16,$B86)</f>
        <v>0</v>
      </c>
    </row>
    <row r="87" spans="1:10">
      <c r="A87" s="2" t="str">
        <f ca="1">IF(_xll.TM1RPTELISCONSOLIDATED($B$21,$B87),IF(_xll.TM1RPTELLEV($B$21,$B87)&lt;=3,_xll.TM1RPTELLEV($B$21,$B87),"D"),"N")</f>
        <v>N</v>
      </c>
      <c r="B87" s="14" t="s">
        <v>101</v>
      </c>
      <c r="C87" s="2" t="str">
        <f ca="1">_xll.DBRA("tango_core_model:Indicator",$B87,$E$17)</f>
        <v>Number of interim staff measured in FTE</v>
      </c>
      <c r="D87" s="2" t="str">
        <f ca="1">_xll.DBRA("tango_core_model:Indicator",$B87,"Source_Indicator")</f>
        <v>input_country</v>
      </c>
      <c r="E87" s="22">
        <f ca="1">_xll.DBRW($B$9,$E$11,$E$19,E$20,$E$12,$E$13,$E$14,$E$15,$E$16,$B87)</f>
        <v>0</v>
      </c>
      <c r="F87" s="22">
        <f ca="1">_xll.DBRW($B$9,$E$11,$E$19,F$20,$E$12,$E$13,$E$14,$E$15,$E$16,$B87)</f>
        <v>0</v>
      </c>
      <c r="G87" s="23">
        <f ca="1">_xll.DBRW($B$9,$E$11,$E$19,G$20,$E$12,$E$13,$E$14,$E$15,$E$16,$B87)</f>
        <v>0</v>
      </c>
      <c r="H87" s="2">
        <f ca="1">_xll.DBRW($B$9,$E$11,$H$19,H$20,$E$12,$E$13,$E$14,$E$15,$E$16,$B87)</f>
        <v>0</v>
      </c>
      <c r="I87" s="2">
        <f ca="1">_xll.DBRW($B$9,$E$11,$H$19,I$20,$E$12,$E$13,$E$14,$E$15,$E$16,$B87)</f>
        <v>0</v>
      </c>
      <c r="J87" s="2">
        <f ca="1">_xll.DBRW($B$9,$E$11,$H$19,J$20,$E$12,$E$13,$E$14,$E$15,$E$16,$B87)</f>
        <v>0</v>
      </c>
    </row>
    <row r="88" spans="1:10">
      <c r="A88" s="2" t="str">
        <f ca="1">IF(_xll.TM1RPTELISCONSOLIDATED($B$21,$B88),IF(_xll.TM1RPTELLEV($B$21,$B88)&lt;=3,_xll.TM1RPTELLEV($B$21,$B88),"D"),"N")</f>
        <v>N</v>
      </c>
      <c r="B88" s="14" t="s">
        <v>102</v>
      </c>
      <c r="C88" s="2" t="str">
        <f ca="1">_xll.DBRA("tango_core_model:Indicator",$B88,$E$17)</f>
        <v>Number of interim staff measured in FTE Count Tech</v>
      </c>
      <c r="D88" s="2" t="str">
        <f ca="1">_xll.DBRA("tango_core_model:Indicator",$B88,"Source_Indicator")</f>
        <v>calc</v>
      </c>
      <c r="E88" s="22">
        <f ca="1">_xll.DBRW($B$9,$E$11,$E$19,E$20,$E$12,$E$13,$E$14,$E$15,$E$16,$B88)</f>
        <v>0</v>
      </c>
      <c r="F88" s="22">
        <f ca="1">_xll.DBRW($B$9,$E$11,$E$19,F$20,$E$12,$E$13,$E$14,$E$15,$E$16,$B88)</f>
        <v>0</v>
      </c>
      <c r="G88" s="23">
        <f ca="1">_xll.DBRW($B$9,$E$11,$E$19,G$20,$E$12,$E$13,$E$14,$E$15,$E$16,$B88)</f>
        <v>0</v>
      </c>
      <c r="H88" s="2">
        <f ca="1">_xll.DBRW($B$9,$E$11,$H$19,H$20,$E$12,$E$13,$E$14,$E$15,$E$16,$B88)</f>
        <v>0</v>
      </c>
      <c r="I88" s="2">
        <f ca="1">_xll.DBRW($B$9,$E$11,$H$19,I$20,$E$12,$E$13,$E$14,$E$15,$E$16,$B88)</f>
        <v>0</v>
      </c>
      <c r="J88" s="2">
        <f ca="1">_xll.DBRW($B$9,$E$11,$H$19,J$20,$E$12,$E$13,$E$14,$E$15,$E$16,$B88)</f>
        <v>0</v>
      </c>
    </row>
    <row r="89" spans="1:10">
      <c r="A89" s="2" t="str">
        <f ca="1">IF(_xll.TM1RPTELISCONSOLIDATED($B$21,$B89),IF(_xll.TM1RPTELLEV($B$21,$B89)&lt;=3,_xll.TM1RPTELLEV($B$21,$B89),"D"),"N")</f>
        <v>N</v>
      </c>
      <c r="B89" s="14" t="s">
        <v>103</v>
      </c>
      <c r="C89" s="2" t="str">
        <f ca="1">_xll.DBRA("tango_core_model:Indicator",$B89,$E$17)</f>
        <v>Number of interim staff measured in FTE Count Tech 2</v>
      </c>
      <c r="D89" s="2" t="str">
        <f ca="1">_xll.DBRA("tango_core_model:Indicator",$B89,"Source_Indicator")</f>
        <v>calc</v>
      </c>
      <c r="E89" s="22">
        <f ca="1">_xll.DBRW($B$9,$E$11,$E$19,E$20,$E$12,$E$13,$E$14,$E$15,$E$16,$B89)</f>
        <v>0</v>
      </c>
      <c r="F89" s="22">
        <f ca="1">_xll.DBRW($B$9,$E$11,$E$19,F$20,$E$12,$E$13,$E$14,$E$15,$E$16,$B89)</f>
        <v>0</v>
      </c>
      <c r="G89" s="23">
        <f ca="1">_xll.DBRW($B$9,$E$11,$E$19,G$20,$E$12,$E$13,$E$14,$E$15,$E$16,$B89)</f>
        <v>0</v>
      </c>
      <c r="H89" s="2">
        <f ca="1">_xll.DBRW($B$9,$E$11,$H$19,H$20,$E$12,$E$13,$E$14,$E$15,$E$16,$B89)</f>
        <v>0</v>
      </c>
      <c r="I89" s="2">
        <f ca="1">_xll.DBRW($B$9,$E$11,$H$19,I$20,$E$12,$E$13,$E$14,$E$15,$E$16,$B89)</f>
        <v>0</v>
      </c>
      <c r="J89" s="2">
        <f ca="1">_xll.DBRW($B$9,$E$11,$H$19,J$20,$E$12,$E$13,$E$14,$E$15,$E$16,$B89)</f>
        <v>0</v>
      </c>
    </row>
    <row r="90" spans="1:10">
      <c r="A90" s="2" t="str">
        <f ca="1">IF(_xll.TM1RPTELISCONSOLIDATED($B$21,$B90),IF(_xll.TM1RPTELLEV($B$21,$B90)&lt;=3,_xll.TM1RPTELLEV($B$21,$B90),"D"),"N")</f>
        <v>N</v>
      </c>
      <c r="B90" s="14" t="s">
        <v>104</v>
      </c>
      <c r="C90" s="2" t="str">
        <f ca="1">_xll.DBRA("tango_core_model:Indicator",$B90,$E$17)</f>
        <v>Number of interim staff measured in FTE Hold Tech</v>
      </c>
      <c r="D90" s="2" t="str">
        <f ca="1">_xll.DBRA("tango_core_model:Indicator",$B90,"Source_Indicator")</f>
        <v>calc</v>
      </c>
      <c r="E90" s="22">
        <f ca="1">_xll.DBRW($B$9,$E$11,$E$19,E$20,$E$12,$E$13,$E$14,$E$15,$E$16,$B90)</f>
        <v>0</v>
      </c>
      <c r="F90" s="22">
        <f ca="1">_xll.DBRW($B$9,$E$11,$E$19,F$20,$E$12,$E$13,$E$14,$E$15,$E$16,$B90)</f>
        <v>0</v>
      </c>
      <c r="G90" s="23">
        <f ca="1">_xll.DBRW($B$9,$E$11,$E$19,G$20,$E$12,$E$13,$E$14,$E$15,$E$16,$B90)</f>
        <v>0</v>
      </c>
      <c r="H90" s="2">
        <f ca="1">_xll.DBRW($B$9,$E$11,$H$19,H$20,$E$12,$E$13,$E$14,$E$15,$E$16,$B90)</f>
        <v>0</v>
      </c>
      <c r="I90" s="2">
        <f ca="1">_xll.DBRW($B$9,$E$11,$H$19,I$20,$E$12,$E$13,$E$14,$E$15,$E$16,$B90)</f>
        <v>0</v>
      </c>
      <c r="J90" s="2">
        <f ca="1">_xll.DBRW($B$9,$E$11,$H$19,J$20,$E$12,$E$13,$E$14,$E$15,$E$16,$B90)</f>
        <v>0</v>
      </c>
    </row>
    <row r="91" spans="1:10">
      <c r="A91" s="2" t="str">
        <f ca="1">IF(_xll.TM1RPTELISCONSOLIDATED($B$21,$B91),IF(_xll.TM1RPTELLEV($B$21,$B91)&lt;=3,_xll.TM1RPTELLEV($B$21,$B91),"D"),"N")</f>
        <v>N</v>
      </c>
      <c r="B91" s="14" t="s">
        <v>105</v>
      </c>
      <c r="C91" s="2" t="str">
        <f ca="1">_xll.DBRA("tango_core_model:Indicator",$B91,$E$17)</f>
        <v>Staff terminated during period</v>
      </c>
      <c r="D91" s="2" t="str">
        <f ca="1">_xll.DBRA("tango_core_model:Indicator",$B91,"Source_Indicator")</f>
        <v>input_country</v>
      </c>
      <c r="E91" s="22">
        <f ca="1">_xll.DBRW($B$9,$E$11,$E$19,E$20,$E$12,$E$13,$E$14,$E$15,$E$16,$B91)</f>
        <v>0</v>
      </c>
      <c r="F91" s="22">
        <f ca="1">_xll.DBRW($B$9,$E$11,$E$19,F$20,$E$12,$E$13,$E$14,$E$15,$E$16,$B91)</f>
        <v>0</v>
      </c>
      <c r="G91" s="23">
        <f ca="1">_xll.DBRW($B$9,$E$11,$E$19,G$20,$E$12,$E$13,$E$14,$E$15,$E$16,$B91)</f>
        <v>0</v>
      </c>
      <c r="H91" s="2">
        <f ca="1">_xll.DBRW($B$9,$E$11,$H$19,H$20,$E$12,$E$13,$E$14,$E$15,$E$16,$B91)</f>
        <v>0</v>
      </c>
      <c r="I91" s="2">
        <f ca="1">_xll.DBRW($B$9,$E$11,$H$19,I$20,$E$12,$E$13,$E$14,$E$15,$E$16,$B91)</f>
        <v>0</v>
      </c>
      <c r="J91" s="2">
        <f ca="1">_xll.DBRW($B$9,$E$11,$H$19,J$20,$E$12,$E$13,$E$14,$E$15,$E$16,$B91)</f>
        <v>0</v>
      </c>
    </row>
    <row r="92" spans="1:10">
      <c r="A92" s="2" t="str">
        <f ca="1">IF(_xll.TM1RPTELISCONSOLIDATED($B$21,$B92),IF(_xll.TM1RPTELLEV($B$21,$B92)&lt;=3,_xll.TM1RPTELLEV($B$21,$B92),"D"),"N")</f>
        <v>N</v>
      </c>
      <c r="B92" s="14" t="s">
        <v>106</v>
      </c>
      <c r="C92" s="2" t="str">
        <f ca="1">_xll.DBRA("tango_core_model:Indicator",$B92,$E$17)</f>
        <v>Total worked hours</v>
      </c>
      <c r="D92" s="2" t="str">
        <f ca="1">_xll.DBRA("tango_core_model:Indicator",$B92,"Source_Indicator")</f>
        <v>input_country</v>
      </c>
      <c r="E92" s="22">
        <f ca="1">_xll.DBRW($B$9,$E$11,$E$19,E$20,$E$12,$E$13,$E$14,$E$15,$E$16,$B92)</f>
        <v>0</v>
      </c>
      <c r="F92" s="22">
        <f ca="1">_xll.DBRW($B$9,$E$11,$E$19,F$20,$E$12,$E$13,$E$14,$E$15,$E$16,$B92)</f>
        <v>0</v>
      </c>
      <c r="G92" s="23">
        <f ca="1">_xll.DBRW($B$9,$E$11,$E$19,G$20,$E$12,$E$13,$E$14,$E$15,$E$16,$B92)</f>
        <v>0</v>
      </c>
      <c r="H92" s="2">
        <f ca="1">_xll.DBRW($B$9,$E$11,$H$19,H$20,$E$12,$E$13,$E$14,$E$15,$E$16,$B92)</f>
        <v>0</v>
      </c>
      <c r="I92" s="2">
        <f ca="1">_xll.DBRW($B$9,$E$11,$H$19,I$20,$E$12,$E$13,$E$14,$E$15,$E$16,$B92)</f>
        <v>0</v>
      </c>
      <c r="J92" s="2">
        <f ca="1">_xll.DBRW($B$9,$E$11,$H$19,J$20,$E$12,$E$13,$E$14,$E$15,$E$16,$B92)</f>
        <v>0</v>
      </c>
    </row>
    <row r="93" spans="1:10">
      <c r="A93" s="2" t="str">
        <f ca="1">IF(_xll.TM1RPTELISCONSOLIDATED($B$21,$B93),IF(_xll.TM1RPTELLEV($B$21,$B93)&lt;=3,_xll.TM1RPTELLEV($B$21,$B93),"D"),"N")</f>
        <v>N</v>
      </c>
      <c r="B93" s="14" t="s">
        <v>107</v>
      </c>
      <c r="C93" s="2" t="str">
        <f ca="1">_xll.DBRA("tango_core_model:Indicator",$B93,$E$17)</f>
        <v>Total absence hours</v>
      </c>
      <c r="D93" s="2" t="str">
        <f ca="1">_xll.DBRA("tango_core_model:Indicator",$B93,"Source_Indicator")</f>
        <v>input_country</v>
      </c>
      <c r="E93" s="22">
        <f ca="1">_xll.DBRW($B$9,$E$11,$E$19,E$20,$E$12,$E$13,$E$14,$E$15,$E$16,$B93)</f>
        <v>0</v>
      </c>
      <c r="F93" s="22">
        <f ca="1">_xll.DBRW($B$9,$E$11,$E$19,F$20,$E$12,$E$13,$E$14,$E$15,$E$16,$B93)</f>
        <v>0</v>
      </c>
      <c r="G93" s="23">
        <f ca="1">_xll.DBRW($B$9,$E$11,$E$19,G$20,$E$12,$E$13,$E$14,$E$15,$E$16,$B93)</f>
        <v>0</v>
      </c>
      <c r="H93" s="2">
        <f ca="1">_xll.DBRW($B$9,$E$11,$H$19,H$20,$E$12,$E$13,$E$14,$E$15,$E$16,$B93)</f>
        <v>0</v>
      </c>
      <c r="I93" s="2">
        <f ca="1">_xll.DBRW($B$9,$E$11,$H$19,I$20,$E$12,$E$13,$E$14,$E$15,$E$16,$B93)</f>
        <v>0</v>
      </c>
      <c r="J93" s="2">
        <f ca="1">_xll.DBRW($B$9,$E$11,$H$19,J$20,$E$12,$E$13,$E$14,$E$15,$E$16,$B93)</f>
        <v>0</v>
      </c>
    </row>
    <row r="94" spans="1:10">
      <c r="A94" s="2" t="str">
        <f ca="1">IF(_xll.TM1RPTELISCONSOLIDATED($B$21,$B94),IF(_xll.TM1RPTELLEV($B$21,$B94)&lt;=3,_xll.TM1RPTELLEV($B$21,$B94),"D"),"N")</f>
        <v>N</v>
      </c>
      <c r="B94" s="14" t="s">
        <v>108</v>
      </c>
      <c r="C94" s="2" t="str">
        <f ca="1">_xll.DBRA("tango_core_model:Indicator",$B94,$E$17)</f>
        <v>Staff turnover as %</v>
      </c>
      <c r="D94" s="2" t="str">
        <f ca="1">_xll.DBRA("tango_core_model:Indicator",$B94,"Source_Indicator")</f>
        <v>calc</v>
      </c>
      <c r="E94" s="22">
        <f ca="1">_xll.DBRW($B$9,$E$11,$E$19,E$20,$E$12,$E$13,$E$14,$E$15,$E$16,$B94)</f>
        <v>0</v>
      </c>
      <c r="F94" s="22">
        <f ca="1">_xll.DBRW($B$9,$E$11,$E$19,F$20,$E$12,$E$13,$E$14,$E$15,$E$16,$B94)</f>
        <v>0</v>
      </c>
      <c r="G94" s="23">
        <f ca="1">_xll.DBRW($B$9,$E$11,$E$19,G$20,$E$12,$E$13,$E$14,$E$15,$E$16,$B94)</f>
        <v>0</v>
      </c>
      <c r="H94" s="2">
        <f ca="1">_xll.DBRW($B$9,$E$11,$H$19,H$20,$E$12,$E$13,$E$14,$E$15,$E$16,$B94)</f>
        <v>0</v>
      </c>
      <c r="I94" s="2">
        <f ca="1">_xll.DBRW($B$9,$E$11,$H$19,I$20,$E$12,$E$13,$E$14,$E$15,$E$16,$B94)</f>
        <v>0</v>
      </c>
      <c r="J94" s="2">
        <f ca="1">_xll.DBRW($B$9,$E$11,$H$19,J$20,$E$12,$E$13,$E$14,$E$15,$E$16,$B94)</f>
        <v>0</v>
      </c>
    </row>
    <row r="95" spans="1:10">
      <c r="A95" s="2" t="str">
        <f ca="1">IF(_xll.TM1RPTELISCONSOLIDATED($B$21,$B95),IF(_xll.TM1RPTELLEV($B$21,$B95)&lt;=3,_xll.TM1RPTELLEV($B$21,$B95),"D"),"N")</f>
        <v>N</v>
      </c>
      <c r="B95" s="14" t="s">
        <v>109</v>
      </c>
      <c r="C95" s="2" t="str">
        <f ca="1">_xll.DBRA("tango_core_model:Indicator",$B95,$E$17)</f>
        <v>Staff absenteeism rate as %</v>
      </c>
      <c r="D95" s="2" t="str">
        <f ca="1">_xll.DBRA("tango_core_model:Indicator",$B95,"Source_Indicator")</f>
        <v>calc</v>
      </c>
      <c r="E95" s="22">
        <f ca="1">_xll.DBRW($B$9,$E$11,$E$19,E$20,$E$12,$E$13,$E$14,$E$15,$E$16,$B95)</f>
        <v>0</v>
      </c>
      <c r="F95" s="22">
        <f ca="1">_xll.DBRW($B$9,$E$11,$E$19,F$20,$E$12,$E$13,$E$14,$E$15,$E$16,$B95)</f>
        <v>0</v>
      </c>
      <c r="G95" s="23">
        <f ca="1">_xll.DBRW($B$9,$E$11,$E$19,G$20,$E$12,$E$13,$E$14,$E$15,$E$16,$B95)</f>
        <v>0</v>
      </c>
      <c r="H95" s="2">
        <f ca="1">_xll.DBRW($B$9,$E$11,$H$19,H$20,$E$12,$E$13,$E$14,$E$15,$E$16,$B95)</f>
        <v>0</v>
      </c>
      <c r="I95" s="2">
        <f ca="1">_xll.DBRW($B$9,$E$11,$H$19,I$20,$E$12,$E$13,$E$14,$E$15,$E$16,$B95)</f>
        <v>0</v>
      </c>
      <c r="J95" s="2">
        <f ca="1">_xll.DBRW($B$9,$E$11,$H$19,J$20,$E$12,$E$13,$E$14,$E$15,$E$16,$B95)</f>
        <v>0</v>
      </c>
    </row>
    <row r="96" spans="1:10">
      <c r="A96" s="2" t="str">
        <f ca="1">IF(_xll.TM1RPTELISCONSOLIDATED($B$21,$B96),IF(_xll.TM1RPTELLEV($B$21,$B96)&lt;=3,_xll.TM1RPTELLEV($B$21,$B96),"D"),"N")</f>
        <v>N</v>
      </c>
      <c r="B96" s="14" t="s">
        <v>110</v>
      </c>
      <c r="C96" s="2" t="str">
        <f ca="1">_xll.DBRA("tango_core_model:Indicator",$B96,$E$17)</f>
        <v>Support to operation staff (Strop)</v>
      </c>
      <c r="D96" s="2" t="str">
        <f ca="1">_xll.DBRA("tango_core_model:Indicator",$B96,"Source_Indicator")</f>
        <v>calc</v>
      </c>
      <c r="E96" s="22">
        <f ca="1">_xll.DBRW($B$9,$E$11,$E$19,E$20,$E$12,$E$13,$E$14,$E$15,$E$16,$B96)</f>
        <v>0</v>
      </c>
      <c r="F96" s="22">
        <f ca="1">_xll.DBRW($B$9,$E$11,$E$19,F$20,$E$12,$E$13,$E$14,$E$15,$E$16,$B96)</f>
        <v>0</v>
      </c>
      <c r="G96" s="23">
        <f ca="1">_xll.DBRW($B$9,$E$11,$E$19,G$20,$E$12,$E$13,$E$14,$E$15,$E$16,$B96)</f>
        <v>0</v>
      </c>
      <c r="H96" s="2">
        <f ca="1">_xll.DBRW($B$9,$E$11,$H$19,H$20,$E$12,$E$13,$E$14,$E$15,$E$16,$B96)</f>
        <v>0</v>
      </c>
      <c r="I96" s="2">
        <f ca="1">_xll.DBRW($B$9,$E$11,$H$19,I$20,$E$12,$E$13,$E$14,$E$15,$E$16,$B96)</f>
        <v>0</v>
      </c>
      <c r="J96" s="2">
        <f ca="1">_xll.DBRW($B$9,$E$11,$H$19,J$20,$E$12,$E$13,$E$14,$E$15,$E$16,$B96)</f>
        <v>0</v>
      </c>
    </row>
    <row r="97" spans="1:10">
      <c r="A97" s="2" t="str">
        <f ca="1">IF(_xll.TM1RPTELISCONSOLIDATED($B$21,$B97),IF(_xll.TM1RPTELLEV($B$21,$B97)&lt;=3,_xll.TM1RPTELLEV($B$21,$B97),"D"),"N")</f>
        <v>N</v>
      </c>
      <c r="B97" s="14" t="s">
        <v>111</v>
      </c>
      <c r="C97" s="2" t="str">
        <f ca="1">_xll.DBRA("tango_core_model:Indicator",$B97,$E$17)</f>
        <v>Support to operation staff (Strop) Count Tech</v>
      </c>
      <c r="D97" s="2" t="str">
        <f ca="1">_xll.DBRA("tango_core_model:Indicator",$B97,"Source_Indicator")</f>
        <v>calc</v>
      </c>
      <c r="E97" s="22">
        <f ca="1">_xll.DBRW($B$9,$E$11,$E$19,E$20,$E$12,$E$13,$E$14,$E$15,$E$16,$B97)</f>
        <v>0</v>
      </c>
      <c r="F97" s="22">
        <f ca="1">_xll.DBRW($B$9,$E$11,$E$19,F$20,$E$12,$E$13,$E$14,$E$15,$E$16,$B97)</f>
        <v>0</v>
      </c>
      <c r="G97" s="23">
        <f ca="1">_xll.DBRW($B$9,$E$11,$E$19,G$20,$E$12,$E$13,$E$14,$E$15,$E$16,$B97)</f>
        <v>0</v>
      </c>
      <c r="H97" s="2">
        <f ca="1">_xll.DBRW($B$9,$E$11,$H$19,H$20,$E$12,$E$13,$E$14,$E$15,$E$16,$B97)</f>
        <v>0</v>
      </c>
      <c r="I97" s="2">
        <f ca="1">_xll.DBRW($B$9,$E$11,$H$19,I$20,$E$12,$E$13,$E$14,$E$15,$E$16,$B97)</f>
        <v>0</v>
      </c>
      <c r="J97" s="2">
        <f ca="1">_xll.DBRW($B$9,$E$11,$H$19,J$20,$E$12,$E$13,$E$14,$E$15,$E$16,$B97)</f>
        <v>0</v>
      </c>
    </row>
    <row r="98" spans="1:10">
      <c r="A98" s="2" t="str">
        <f ca="1">IF(_xll.TM1RPTELISCONSOLIDATED($B$21,$B98),IF(_xll.TM1RPTELLEV($B$21,$B98)&lt;=3,_xll.TM1RPTELLEV($B$21,$B98),"D"),"N")</f>
        <v>N</v>
      </c>
      <c r="B98" s="14" t="s">
        <v>112</v>
      </c>
      <c r="C98" s="2" t="str">
        <f ca="1">_xll.DBRA("tango_core_model:Indicator",$B98,$E$17)</f>
        <v>Support to operation staff (Strop) Count Tech 2</v>
      </c>
      <c r="D98" s="2" t="str">
        <f ca="1">_xll.DBRA("tango_core_model:Indicator",$B98,"Source_Indicator")</f>
        <v>calc</v>
      </c>
      <c r="E98" s="22">
        <f ca="1">_xll.DBRW($B$9,$E$11,$E$19,E$20,$E$12,$E$13,$E$14,$E$15,$E$16,$B98)</f>
        <v>0</v>
      </c>
      <c r="F98" s="22">
        <f ca="1">_xll.DBRW($B$9,$E$11,$E$19,F$20,$E$12,$E$13,$E$14,$E$15,$E$16,$B98)</f>
        <v>0</v>
      </c>
      <c r="G98" s="23">
        <f ca="1">_xll.DBRW($B$9,$E$11,$E$19,G$20,$E$12,$E$13,$E$14,$E$15,$E$16,$B98)</f>
        <v>0</v>
      </c>
      <c r="H98" s="2">
        <f ca="1">_xll.DBRW($B$9,$E$11,$H$19,H$20,$E$12,$E$13,$E$14,$E$15,$E$16,$B98)</f>
        <v>0</v>
      </c>
      <c r="I98" s="2">
        <f ca="1">_xll.DBRW($B$9,$E$11,$H$19,I$20,$E$12,$E$13,$E$14,$E$15,$E$16,$B98)</f>
        <v>0</v>
      </c>
      <c r="J98" s="2">
        <f ca="1">_xll.DBRW($B$9,$E$11,$H$19,J$20,$E$12,$E$13,$E$14,$E$15,$E$16,$B98)</f>
        <v>0</v>
      </c>
    </row>
    <row r="99" spans="1:10">
      <c r="A99" s="2" t="str">
        <f ca="1">IF(_xll.TM1RPTELISCONSOLIDATED($B$21,$B99),IF(_xll.TM1RPTELLEV($B$21,$B99)&lt;=3,_xll.TM1RPTELLEV($B$21,$B99),"D"),"N")</f>
        <v>N</v>
      </c>
      <c r="B99" s="14" t="s">
        <v>113</v>
      </c>
      <c r="C99" s="2" t="str">
        <f ca="1">_xll.DBRA("tango_core_model:Indicator",$B99,$E$17)</f>
        <v>Support to operation staff (Strop) Hold Tech</v>
      </c>
      <c r="D99" s="2" t="str">
        <f ca="1">_xll.DBRA("tango_core_model:Indicator",$B99,"Source_Indicator")</f>
        <v>calc</v>
      </c>
      <c r="E99" s="22">
        <f ca="1">_xll.DBRW($B$9,$E$11,$E$19,E$20,$E$12,$E$13,$E$14,$E$15,$E$16,$B99)</f>
        <v>0</v>
      </c>
      <c r="F99" s="22">
        <f ca="1">_xll.DBRW($B$9,$E$11,$E$19,F$20,$E$12,$E$13,$E$14,$E$15,$E$16,$B99)</f>
        <v>0</v>
      </c>
      <c r="G99" s="23">
        <f ca="1">_xll.DBRW($B$9,$E$11,$E$19,G$20,$E$12,$E$13,$E$14,$E$15,$E$16,$B99)</f>
        <v>0</v>
      </c>
      <c r="H99" s="2">
        <f ca="1">_xll.DBRW($B$9,$E$11,$H$19,H$20,$E$12,$E$13,$E$14,$E$15,$E$16,$B99)</f>
        <v>0</v>
      </c>
      <c r="I99" s="2">
        <f ca="1">_xll.DBRW($B$9,$E$11,$H$19,I$20,$E$12,$E$13,$E$14,$E$15,$E$16,$B99)</f>
        <v>0</v>
      </c>
      <c r="J99" s="2">
        <f ca="1">_xll.DBRW($B$9,$E$11,$H$19,J$20,$E$12,$E$13,$E$14,$E$15,$E$16,$B99)</f>
        <v>0</v>
      </c>
    </row>
    <row r="100" spans="1:10">
      <c r="A100" s="2" t="str">
        <f ca="1">IF(_xll.TM1RPTELISCONSOLIDATED($B$21,$B100),IF(_xll.TM1RPTELLEV($B$21,$B100)&lt;=3,_xll.TM1RPTELLEV($B$21,$B100),"D"),"N")</f>
        <v>N</v>
      </c>
      <c r="B100" s="14" t="s">
        <v>114</v>
      </c>
      <c r="C100" s="2" t="str">
        <f ca="1">_xll.DBRA("tango_core_model:Indicator",$B100,$E$17)</f>
        <v>Operation staff (POP)</v>
      </c>
      <c r="D100" s="2" t="str">
        <f ca="1">_xll.DBRA("tango_core_model:Indicator",$B100,"Source_Indicator")</f>
        <v>calc</v>
      </c>
      <c r="E100" s="22">
        <f ca="1">_xll.DBRW($B$9,$E$11,$E$19,E$20,$E$12,$E$13,$E$14,$E$15,$E$16,$B100)</f>
        <v>0</v>
      </c>
      <c r="F100" s="22">
        <f ca="1">_xll.DBRW($B$9,$E$11,$E$19,F$20,$E$12,$E$13,$E$14,$E$15,$E$16,$B100)</f>
        <v>0</v>
      </c>
      <c r="G100" s="23">
        <f ca="1">_xll.DBRW($B$9,$E$11,$E$19,G$20,$E$12,$E$13,$E$14,$E$15,$E$16,$B100)</f>
        <v>0</v>
      </c>
      <c r="H100" s="2">
        <f ca="1">_xll.DBRW($B$9,$E$11,$H$19,H$20,$E$12,$E$13,$E$14,$E$15,$E$16,$B100)</f>
        <v>0</v>
      </c>
      <c r="I100" s="2">
        <f ca="1">_xll.DBRW($B$9,$E$11,$H$19,I$20,$E$12,$E$13,$E$14,$E$15,$E$16,$B100)</f>
        <v>0</v>
      </c>
      <c r="J100" s="2">
        <f ca="1">_xll.DBRW($B$9,$E$11,$H$19,J$20,$E$12,$E$13,$E$14,$E$15,$E$16,$B100)</f>
        <v>0</v>
      </c>
    </row>
    <row r="101" spans="1:10">
      <c r="A101" s="2" t="str">
        <f ca="1">IF(_xll.TM1RPTELISCONSOLIDATED($B$21,$B101),IF(_xll.TM1RPTELLEV($B$21,$B101)&lt;=3,_xll.TM1RPTELLEV($B$21,$B101),"D"),"N")</f>
        <v>N</v>
      </c>
      <c r="B101" s="14" t="s">
        <v>115</v>
      </c>
      <c r="C101" s="2" t="str">
        <f ca="1">_xll.DBRA("tango_core_model:Indicator",$B101,$E$17)</f>
        <v>Operation staff (POP) Count Tech</v>
      </c>
      <c r="D101" s="2" t="str">
        <f ca="1">_xll.DBRA("tango_core_model:Indicator",$B101,"Source_Indicator")</f>
        <v>calc</v>
      </c>
      <c r="E101" s="22">
        <f ca="1">_xll.DBRW($B$9,$E$11,$E$19,E$20,$E$12,$E$13,$E$14,$E$15,$E$16,$B101)</f>
        <v>0</v>
      </c>
      <c r="F101" s="22">
        <f ca="1">_xll.DBRW($B$9,$E$11,$E$19,F$20,$E$12,$E$13,$E$14,$E$15,$E$16,$B101)</f>
        <v>0</v>
      </c>
      <c r="G101" s="23">
        <f ca="1">_xll.DBRW($B$9,$E$11,$E$19,G$20,$E$12,$E$13,$E$14,$E$15,$E$16,$B101)</f>
        <v>0</v>
      </c>
      <c r="H101" s="2">
        <f ca="1">_xll.DBRW($B$9,$E$11,$H$19,H$20,$E$12,$E$13,$E$14,$E$15,$E$16,$B101)</f>
        <v>0</v>
      </c>
      <c r="I101" s="2">
        <f ca="1">_xll.DBRW($B$9,$E$11,$H$19,I$20,$E$12,$E$13,$E$14,$E$15,$E$16,$B101)</f>
        <v>0</v>
      </c>
      <c r="J101" s="2">
        <f ca="1">_xll.DBRW($B$9,$E$11,$H$19,J$20,$E$12,$E$13,$E$14,$E$15,$E$16,$B101)</f>
        <v>0</v>
      </c>
    </row>
    <row r="102" spans="1:10">
      <c r="A102" s="2" t="str">
        <f ca="1">IF(_xll.TM1RPTELISCONSOLIDATED($B$21,$B102),IF(_xll.TM1RPTELLEV($B$21,$B102)&lt;=3,_xll.TM1RPTELLEV($B$21,$B102),"D"),"N")</f>
        <v>N</v>
      </c>
      <c r="B102" s="14" t="s">
        <v>116</v>
      </c>
      <c r="C102" s="2" t="str">
        <f ca="1">_xll.DBRA("tango_core_model:Indicator",$B102,$E$17)</f>
        <v>Operation staff (POP) Count Tech 2</v>
      </c>
      <c r="D102" s="2" t="str">
        <f ca="1">_xll.DBRA("tango_core_model:Indicator",$B102,"Source_Indicator")</f>
        <v>calc</v>
      </c>
      <c r="E102" s="22">
        <f ca="1">_xll.DBRW($B$9,$E$11,$E$19,E$20,$E$12,$E$13,$E$14,$E$15,$E$16,$B102)</f>
        <v>0</v>
      </c>
      <c r="F102" s="22">
        <f ca="1">_xll.DBRW($B$9,$E$11,$E$19,F$20,$E$12,$E$13,$E$14,$E$15,$E$16,$B102)</f>
        <v>0</v>
      </c>
      <c r="G102" s="23">
        <f ca="1">_xll.DBRW($B$9,$E$11,$E$19,G$20,$E$12,$E$13,$E$14,$E$15,$E$16,$B102)</f>
        <v>0</v>
      </c>
      <c r="H102" s="2">
        <f ca="1">_xll.DBRW($B$9,$E$11,$H$19,H$20,$E$12,$E$13,$E$14,$E$15,$E$16,$B102)</f>
        <v>0</v>
      </c>
      <c r="I102" s="2">
        <f ca="1">_xll.DBRW($B$9,$E$11,$H$19,I$20,$E$12,$E$13,$E$14,$E$15,$E$16,$B102)</f>
        <v>0</v>
      </c>
      <c r="J102" s="2">
        <f ca="1">_xll.DBRW($B$9,$E$11,$H$19,J$20,$E$12,$E$13,$E$14,$E$15,$E$16,$B102)</f>
        <v>0</v>
      </c>
    </row>
    <row r="103" spans="1:10">
      <c r="A103" s="2" t="str">
        <f ca="1">IF(_xll.TM1RPTELISCONSOLIDATED($B$21,$B103),IF(_xll.TM1RPTELLEV($B$21,$B103)&lt;=3,_xll.TM1RPTELLEV($B$21,$B103),"D"),"N")</f>
        <v>N</v>
      </c>
      <c r="B103" s="14" t="s">
        <v>117</v>
      </c>
      <c r="C103" s="2" t="str">
        <f ca="1">_xll.DBRA("tango_core_model:Indicator",$B103,$E$17)</f>
        <v>Operation staff (POP) Hold Tech</v>
      </c>
      <c r="D103" s="2" t="str">
        <f ca="1">_xll.DBRA("tango_core_model:Indicator",$B103,"Source_Indicator")</f>
        <v>calc</v>
      </c>
      <c r="E103" s="22">
        <f ca="1">_xll.DBRW($B$9,$E$11,$E$19,E$20,$E$12,$E$13,$E$14,$E$15,$E$16,$B103)</f>
        <v>0</v>
      </c>
      <c r="F103" s="22">
        <f ca="1">_xll.DBRW($B$9,$E$11,$E$19,F$20,$E$12,$E$13,$E$14,$E$15,$E$16,$B103)</f>
        <v>0</v>
      </c>
      <c r="G103" s="23">
        <f ca="1">_xll.DBRW($B$9,$E$11,$E$19,G$20,$E$12,$E$13,$E$14,$E$15,$E$16,$B103)</f>
        <v>0</v>
      </c>
      <c r="H103" s="2">
        <f ca="1">_xll.DBRW($B$9,$E$11,$H$19,H$20,$E$12,$E$13,$E$14,$E$15,$E$16,$B103)</f>
        <v>0</v>
      </c>
      <c r="I103" s="2">
        <f ca="1">_xll.DBRW($B$9,$E$11,$H$19,I$20,$E$12,$E$13,$E$14,$E$15,$E$16,$B103)</f>
        <v>0</v>
      </c>
      <c r="J103" s="2">
        <f ca="1">_xll.DBRW($B$9,$E$11,$H$19,J$20,$E$12,$E$13,$E$14,$E$15,$E$16,$B103)</f>
        <v>0</v>
      </c>
    </row>
    <row r="104" spans="1:10">
      <c r="A104" s="2">
        <f ca="1">IF(_xll.TM1RPTELISCONSOLIDATED($B$21,$B104),IF(_xll.TM1RPTELLEV($B$21,$B104)&lt;=3,_xll.TM1RPTELLEV($B$21,$B104),"D"),"N")</f>
        <v>1</v>
      </c>
      <c r="B104" s="42" t="s">
        <v>118</v>
      </c>
      <c r="C104" s="7" t="str">
        <f ca="1">_xll.DBRA("tango_core_model:Indicator",$B104,$E$17)</f>
        <v>CUSTOMER SERVICE</v>
      </c>
      <c r="D104" s="7" t="str">
        <f ca="1">_xll.DBRA("tango_core_model:Indicator",$B104,"Source_Indicator")</f>
        <v/>
      </c>
      <c r="E104" s="20">
        <f ca="1">_xll.DBRW($B$9,$E$11,$E$19,E$20,$E$12,$E$13,$E$14,$E$15,$E$16,$B104)</f>
        <v>0</v>
      </c>
      <c r="F104" s="20">
        <f ca="1">_xll.DBRW($B$9,$E$11,$E$19,F$20,$E$12,$E$13,$E$14,$E$15,$E$16,$B104)</f>
        <v>0</v>
      </c>
      <c r="G104" s="21">
        <f ca="1">_xll.DBRW($B$9,$E$11,$E$19,G$20,$E$12,$E$13,$E$14,$E$15,$E$16,$B104)</f>
        <v>0</v>
      </c>
      <c r="H104" s="7">
        <f ca="1">_xll.DBRW($B$9,$E$11,$H$19,H$20,$E$12,$E$13,$E$14,$E$15,$E$16,$B104)</f>
        <v>0</v>
      </c>
      <c r="I104" s="7">
        <f ca="1">_xll.DBRW($B$9,$E$11,$H$19,I$20,$E$12,$E$13,$E$14,$E$15,$E$16,$B104)</f>
        <v>0</v>
      </c>
      <c r="J104" s="7">
        <f ca="1">_xll.DBRW($B$9,$E$11,$H$19,J$20,$E$12,$E$13,$E$14,$E$15,$E$16,$B104)</f>
        <v>0</v>
      </c>
    </row>
    <row r="105" spans="1:10">
      <c r="A105" s="2" t="str">
        <f ca="1">IF(_xll.TM1RPTELISCONSOLIDATED($B$21,$B105),IF(_xll.TM1RPTELLEV($B$21,$B105)&lt;=3,_xll.TM1RPTELLEV($B$21,$B105),"D"),"N")</f>
        <v>N</v>
      </c>
      <c r="B105" s="14" t="s">
        <v>119</v>
      </c>
      <c r="C105" s="2" t="str">
        <f ca="1">_xll.DBRA("tango_core_model:Indicator",$B105,$E$17)</f>
        <v>Number of operated services (trips TOD)</v>
      </c>
      <c r="D105" s="2" t="str">
        <f ca="1">_xll.DBRA("tango_core_model:Indicator",$B105,"Source_Indicator")</f>
        <v>input_country</v>
      </c>
      <c r="E105" s="22">
        <f ca="1">_xll.DBRW($B$9,$E$11,$E$19,E$20,$E$12,$E$13,$E$14,$E$15,$E$16,$B105)</f>
        <v>0</v>
      </c>
      <c r="F105" s="22">
        <f ca="1">_xll.DBRW($B$9,$E$11,$E$19,F$20,$E$12,$E$13,$E$14,$E$15,$E$16,$B105)</f>
        <v>0</v>
      </c>
      <c r="G105" s="23">
        <f ca="1">_xll.DBRW($B$9,$E$11,$E$19,G$20,$E$12,$E$13,$E$14,$E$15,$E$16,$B105)</f>
        <v>0</v>
      </c>
      <c r="H105" s="2">
        <f ca="1">_xll.DBRW($B$9,$E$11,$H$19,H$20,$E$12,$E$13,$E$14,$E$15,$E$16,$B105)</f>
        <v>0</v>
      </c>
      <c r="I105" s="2">
        <f ca="1">_xll.DBRW($B$9,$E$11,$H$19,I$20,$E$12,$E$13,$E$14,$E$15,$E$16,$B105)</f>
        <v>0</v>
      </c>
      <c r="J105" s="2">
        <f ca="1">_xll.DBRW($B$9,$E$11,$H$19,J$20,$E$12,$E$13,$E$14,$E$15,$E$16,$B105)</f>
        <v>0</v>
      </c>
    </row>
    <row r="106" spans="1:10">
      <c r="A106" s="2" t="str">
        <f ca="1">IF(_xll.TM1RPTELISCONSOLIDATED($B$21,$B106),IF(_xll.TM1RPTELLEV($B$21,$B106)&lt;=3,_xll.TM1RPTELLEV($B$21,$B106),"D"),"N")</f>
        <v>N</v>
      </c>
      <c r="B106" s="14" t="s">
        <v>120</v>
      </c>
      <c r="C106" s="2" t="str">
        <f ca="1">_xll.DBRA("tango_core_model:Indicator",$B106,$E$17)</f>
        <v>Number of services on time</v>
      </c>
      <c r="D106" s="2" t="str">
        <f ca="1">_xll.DBRA("tango_core_model:Indicator",$B106,"Source_Indicator")</f>
        <v>input_country</v>
      </c>
      <c r="E106" s="22">
        <f ca="1">_xll.DBRW($B$9,$E$11,$E$19,E$20,$E$12,$E$13,$E$14,$E$15,$E$16,$B106)</f>
        <v>0</v>
      </c>
      <c r="F106" s="22">
        <f ca="1">_xll.DBRW($B$9,$E$11,$E$19,F$20,$E$12,$E$13,$E$14,$E$15,$E$16,$B106)</f>
        <v>0</v>
      </c>
      <c r="G106" s="23">
        <f ca="1">_xll.DBRW($B$9,$E$11,$E$19,G$20,$E$12,$E$13,$E$14,$E$15,$E$16,$B106)</f>
        <v>0</v>
      </c>
      <c r="H106" s="2">
        <f ca="1">_xll.DBRW($B$9,$E$11,$H$19,H$20,$E$12,$E$13,$E$14,$E$15,$E$16,$B106)</f>
        <v>0</v>
      </c>
      <c r="I106" s="2">
        <f ca="1">_xll.DBRW($B$9,$E$11,$H$19,I$20,$E$12,$E$13,$E$14,$E$15,$E$16,$B106)</f>
        <v>0</v>
      </c>
      <c r="J106" s="2">
        <f ca="1">_xll.DBRW($B$9,$E$11,$H$19,J$20,$E$12,$E$13,$E$14,$E$15,$E$16,$B106)</f>
        <v>0</v>
      </c>
    </row>
    <row r="107" spans="1:10">
      <c r="A107" s="2" t="str">
        <f ca="1">IF(_xll.TM1RPTELISCONSOLIDATED($B$21,$B107),IF(_xll.TM1RPTELLEV($B$21,$B107)&lt;=3,_xll.TM1RPTELLEV($B$21,$B107),"D"),"N")</f>
        <v>N</v>
      </c>
      <c r="B107" s="14" t="s">
        <v>121</v>
      </c>
      <c r="C107" s="2" t="str">
        <f ca="1">_xll.DBRA("tango_core_model:Indicator",$B107,$E$17)</f>
        <v>Number of complaints</v>
      </c>
      <c r="D107" s="2" t="str">
        <f ca="1">_xll.DBRA("tango_core_model:Indicator",$B107,"Source_Indicator")</f>
        <v>input_country</v>
      </c>
      <c r="E107" s="22">
        <f ca="1">_xll.DBRW($B$9,$E$11,$E$19,E$20,$E$12,$E$13,$E$14,$E$15,$E$16,$B107)</f>
        <v>0</v>
      </c>
      <c r="F107" s="22">
        <f ca="1">_xll.DBRW($B$9,$E$11,$E$19,F$20,$E$12,$E$13,$E$14,$E$15,$E$16,$B107)</f>
        <v>0</v>
      </c>
      <c r="G107" s="23">
        <f ca="1">_xll.DBRW($B$9,$E$11,$E$19,G$20,$E$12,$E$13,$E$14,$E$15,$E$16,$B107)</f>
        <v>0</v>
      </c>
      <c r="H107" s="2">
        <f ca="1">_xll.DBRW($B$9,$E$11,$H$19,H$20,$E$12,$E$13,$E$14,$E$15,$E$16,$B107)</f>
        <v>0</v>
      </c>
      <c r="I107" s="2">
        <f ca="1">_xll.DBRW($B$9,$E$11,$H$19,I$20,$E$12,$E$13,$E$14,$E$15,$E$16,$B107)</f>
        <v>0</v>
      </c>
      <c r="J107" s="2">
        <f ca="1">_xll.DBRW($B$9,$E$11,$H$19,J$20,$E$12,$E$13,$E$14,$E$15,$E$16,$B107)</f>
        <v>0</v>
      </c>
    </row>
    <row r="108" spans="1:10">
      <c r="A108" s="2" t="str">
        <f ca="1">IF(_xll.TM1RPTELISCONSOLIDATED($B$21,$B108),IF(_xll.TM1RPTELLEV($B$21,$B108)&lt;=3,_xll.TM1RPTELLEV($B$21,$B108),"D"),"N")</f>
        <v>N</v>
      </c>
      <c r="B108" s="14" t="s">
        <v>122</v>
      </c>
      <c r="C108" s="2" t="str">
        <f ca="1">_xll.DBRA("tango_core_model:Indicator",$B108,$E$17)</f>
        <v>Number of passengers</v>
      </c>
      <c r="D108" s="2" t="str">
        <f ca="1">_xll.DBRA("tango_core_model:Indicator",$B108,"Source_Indicator")</f>
        <v>input_country</v>
      </c>
      <c r="E108" s="22">
        <f ca="1">_xll.DBRW($B$9,$E$11,$E$19,E$20,$E$12,$E$13,$E$14,$E$15,$E$16,$B108)</f>
        <v>0</v>
      </c>
      <c r="F108" s="22">
        <f ca="1">_xll.DBRW($B$9,$E$11,$E$19,F$20,$E$12,$E$13,$E$14,$E$15,$E$16,$B108)</f>
        <v>0</v>
      </c>
      <c r="G108" s="23">
        <f ca="1">_xll.DBRW($B$9,$E$11,$E$19,G$20,$E$12,$E$13,$E$14,$E$15,$E$16,$B108)</f>
        <v>0</v>
      </c>
      <c r="H108" s="2">
        <f ca="1">_xll.DBRW($B$9,$E$11,$H$19,H$20,$E$12,$E$13,$E$14,$E$15,$E$16,$B108)</f>
        <v>0</v>
      </c>
      <c r="I108" s="2">
        <f ca="1">_xll.DBRW($B$9,$E$11,$H$19,I$20,$E$12,$E$13,$E$14,$E$15,$E$16,$B108)</f>
        <v>0</v>
      </c>
      <c r="J108" s="2">
        <f ca="1">_xll.DBRW($B$9,$E$11,$H$19,J$20,$E$12,$E$13,$E$14,$E$15,$E$16,$B108)</f>
        <v>0</v>
      </c>
    </row>
    <row r="109" spans="1:10">
      <c r="A109" s="2" t="str">
        <f ca="1">IF(_xll.TM1RPTELISCONSOLIDATED($B$21,$B109),IF(_xll.TM1RPTELLEV($B$21,$B109)&lt;=3,_xll.TM1RPTELLEV($B$21,$B109),"D"),"N")</f>
        <v>N</v>
      </c>
      <c r="B109" s="14" t="s">
        <v>123</v>
      </c>
      <c r="C109" s="2" t="str">
        <f ca="1">_xll.DBRA("tango_core_model:Indicator",$B109,$E$17)</f>
        <v>Total number of trips</v>
      </c>
      <c r="D109" s="2" t="str">
        <f ca="1">_xll.DBRA("tango_core_model:Indicator",$B109,"Source_Indicator")</f>
        <v/>
      </c>
      <c r="E109" s="22">
        <f ca="1">_xll.DBRW($B$9,$E$11,$E$19,E$20,$E$12,$E$13,$E$14,$E$15,$E$16,$B109)</f>
        <v>0</v>
      </c>
      <c r="F109" s="22">
        <f ca="1">_xll.DBRW($B$9,$E$11,$E$19,F$20,$E$12,$E$13,$E$14,$E$15,$E$16,$B109)</f>
        <v>0</v>
      </c>
      <c r="G109" s="23">
        <f ca="1">_xll.DBRW($B$9,$E$11,$E$19,G$20,$E$12,$E$13,$E$14,$E$15,$E$16,$B109)</f>
        <v>0</v>
      </c>
      <c r="H109" s="2">
        <f ca="1">_xll.DBRW($B$9,$E$11,$H$19,H$20,$E$12,$E$13,$E$14,$E$15,$E$16,$B109)</f>
        <v>0</v>
      </c>
      <c r="I109" s="2">
        <f ca="1">_xll.DBRW($B$9,$E$11,$H$19,I$20,$E$12,$E$13,$E$14,$E$15,$E$16,$B109)</f>
        <v>0</v>
      </c>
      <c r="J109" s="2">
        <f ca="1">_xll.DBRW($B$9,$E$11,$H$19,J$20,$E$12,$E$13,$E$14,$E$15,$E$16,$B109)</f>
        <v>0</v>
      </c>
    </row>
    <row r="110" spans="1:10">
      <c r="A110" s="2" t="str">
        <f ca="1">IF(_xll.TM1RPTELISCONSOLIDATED($B$21,$B110),IF(_xll.TM1RPTELLEV($B$21,$B110)&lt;=3,_xll.TM1RPTELLEV($B$21,$B110),"D"),"N")</f>
        <v>N</v>
      </c>
      <c r="B110" s="14" t="s">
        <v>124</v>
      </c>
      <c r="C110" s="2" t="str">
        <f ca="1">_xll.DBRA("tango_core_model:Indicator",$B110,$E$17)</f>
        <v>Contractual commitment on percentage of punctuality as %</v>
      </c>
      <c r="D110" s="2" t="str">
        <f ca="1">_xll.DBRA("tango_core_model:Indicator",$B110,"Source_Indicator")</f>
        <v>input_country</v>
      </c>
      <c r="E110" s="22">
        <f ca="1">_xll.DBRW($B$9,$E$11,$E$19,E$20,$E$12,$E$13,$E$14,$E$15,$E$16,$B110)</f>
        <v>0</v>
      </c>
      <c r="F110" s="22">
        <f ca="1">_xll.DBRW($B$9,$E$11,$E$19,F$20,$E$12,$E$13,$E$14,$E$15,$E$16,$B110)</f>
        <v>0</v>
      </c>
      <c r="G110" s="23">
        <f ca="1">_xll.DBRW($B$9,$E$11,$E$19,G$20,$E$12,$E$13,$E$14,$E$15,$E$16,$B110)</f>
        <v>0</v>
      </c>
      <c r="H110" s="2">
        <f ca="1">_xll.DBRW($B$9,$E$11,$H$19,H$20,$E$12,$E$13,$E$14,$E$15,$E$16,$B110)</f>
        <v>0</v>
      </c>
      <c r="I110" s="2">
        <f ca="1">_xll.DBRW($B$9,$E$11,$H$19,I$20,$E$12,$E$13,$E$14,$E$15,$E$16,$B110)</f>
        <v>0</v>
      </c>
      <c r="J110" s="2">
        <f ca="1">_xll.DBRW($B$9,$E$11,$H$19,J$20,$E$12,$E$13,$E$14,$E$15,$E$16,$B110)</f>
        <v>0</v>
      </c>
    </row>
    <row r="111" spans="1:10">
      <c r="A111" s="2" t="str">
        <f ca="1">IF(_xll.TM1RPTELISCONSOLIDATED($B$21,$B111),IF(_xll.TM1RPTELLEV($B$21,$B111)&lt;=3,_xll.TM1RPTELLEV($B$21,$B111),"D"),"N")</f>
        <v>N</v>
      </c>
      <c r="B111" s="14" t="s">
        <v>125</v>
      </c>
      <c r="C111" s="2" t="str">
        <f ca="1">_xll.DBRA("tango_core_model:Indicator",$B111,$E$17)</f>
        <v>Respect of contractual commitment on punctuality</v>
      </c>
      <c r="D111" s="2" t="str">
        <f ca="1">_xll.DBRA("tango_core_model:Indicator",$B111,"Source_Indicator")</f>
        <v>calc</v>
      </c>
      <c r="E111" s="22">
        <f ca="1">_xll.DBRW($B$9,$E$11,$E$19,E$20,$E$12,$E$13,$E$14,$E$15,$E$16,$B111)</f>
        <v>0</v>
      </c>
      <c r="F111" s="22">
        <f ca="1">_xll.DBRW($B$9,$E$11,$E$19,F$20,$E$12,$E$13,$E$14,$E$15,$E$16,$B111)</f>
        <v>0</v>
      </c>
      <c r="G111" s="23">
        <f ca="1">_xll.DBRW($B$9,$E$11,$E$19,G$20,$E$12,$E$13,$E$14,$E$15,$E$16,$B111)</f>
        <v>0</v>
      </c>
      <c r="H111" s="2">
        <f ca="1">_xll.DBRW($B$9,$E$11,$H$19,H$20,$E$12,$E$13,$E$14,$E$15,$E$16,$B111)</f>
        <v>0</v>
      </c>
      <c r="I111" s="2">
        <f ca="1">_xll.DBRW($B$9,$E$11,$H$19,I$20,$E$12,$E$13,$E$14,$E$15,$E$16,$B111)</f>
        <v>0</v>
      </c>
      <c r="J111" s="2">
        <f ca="1">_xll.DBRW($B$9,$E$11,$H$19,J$20,$E$12,$E$13,$E$14,$E$15,$E$16,$B111)</f>
        <v>0</v>
      </c>
    </row>
    <row r="112" spans="1:10">
      <c r="A112" s="2" t="str">
        <f ca="1">IF(_xll.TM1RPTELISCONSOLIDATED($B$21,$B112),IF(_xll.TM1RPTELLEV($B$21,$B112)&lt;=3,_xll.TM1RPTELLEV($B$21,$B112),"D"),"N")</f>
        <v>N</v>
      </c>
      <c r="B112" s="14" t="s">
        <v>126</v>
      </c>
      <c r="C112" s="2" t="str">
        <f ca="1">_xll.DBRA("tango_core_model:Indicator",$B112,$E$17)</f>
        <v>Complaints per 100 000 passengers</v>
      </c>
      <c r="D112" s="2" t="str">
        <f ca="1">_xll.DBRA("tango_core_model:Indicator",$B112,"Source_Indicator")</f>
        <v>calc</v>
      </c>
      <c r="E112" s="22">
        <f ca="1">_xll.DBRW($B$9,$E$11,$E$19,E$20,$E$12,$E$13,$E$14,$E$15,$E$16,$B112)</f>
        <v>0</v>
      </c>
      <c r="F112" s="22">
        <f ca="1">_xll.DBRW($B$9,$E$11,$E$19,F$20,$E$12,$E$13,$E$14,$E$15,$E$16,$B112)</f>
        <v>0</v>
      </c>
      <c r="G112" s="23">
        <f ca="1">_xll.DBRW($B$9,$E$11,$E$19,G$20,$E$12,$E$13,$E$14,$E$15,$E$16,$B112)</f>
        <v>0</v>
      </c>
      <c r="H112" s="2">
        <f ca="1">_xll.DBRW($B$9,$E$11,$H$19,H$20,$E$12,$E$13,$E$14,$E$15,$E$16,$B112)</f>
        <v>0</v>
      </c>
      <c r="I112" s="2">
        <f ca="1">_xll.DBRW($B$9,$E$11,$H$19,I$20,$E$12,$E$13,$E$14,$E$15,$E$16,$B112)</f>
        <v>0</v>
      </c>
      <c r="J112" s="2">
        <f ca="1">_xll.DBRW($B$9,$E$11,$H$19,J$20,$E$12,$E$13,$E$14,$E$15,$E$16,$B112)</f>
        <v>0</v>
      </c>
    </row>
    <row r="113" spans="1:10">
      <c r="A113" s="2" t="str">
        <f ca="1">IF(_xll.TM1RPTELISCONSOLIDATED($B$21,$B113),IF(_xll.TM1RPTELLEV($B$21,$B113)&lt;=3,_xll.TM1RPTELLEV($B$21,$B113),"D"),"N")</f>
        <v>N</v>
      </c>
      <c r="B113" s="14" t="s">
        <v>127</v>
      </c>
      <c r="C113" s="2" t="str">
        <f ca="1">_xll.DBRA("tango_core_model:Indicator",$B113,$E$17)</f>
        <v>% of quality compliance on contracts rated A</v>
      </c>
      <c r="D113" s="2" t="str">
        <f ca="1">_xll.DBRA("tango_core_model:Indicator",$B113,"Source_Indicator")</f>
        <v>calc</v>
      </c>
      <c r="E113" s="22">
        <f ca="1">_xll.DBRW($B$9,$E$11,$E$19,E$20,$E$12,$E$13,$E$14,$E$15,$E$16,$B113)</f>
        <v>0</v>
      </c>
      <c r="F113" s="22">
        <f ca="1">_xll.DBRW($B$9,$E$11,$E$19,F$20,$E$12,$E$13,$E$14,$E$15,$E$16,$B113)</f>
        <v>0</v>
      </c>
      <c r="G113" s="23">
        <f ca="1">_xll.DBRW($B$9,$E$11,$E$19,G$20,$E$12,$E$13,$E$14,$E$15,$E$16,$B113)</f>
        <v>0</v>
      </c>
      <c r="H113" s="2">
        <f ca="1">_xll.DBRW($B$9,$E$11,$H$19,H$20,$E$12,$E$13,$E$14,$E$15,$E$16,$B113)</f>
        <v>0</v>
      </c>
      <c r="I113" s="2">
        <f ca="1">_xll.DBRW($B$9,$E$11,$H$19,I$20,$E$12,$E$13,$E$14,$E$15,$E$16,$B113)</f>
        <v>0</v>
      </c>
      <c r="J113" s="2">
        <f ca="1">_xll.DBRW($B$9,$E$11,$H$19,J$20,$E$12,$E$13,$E$14,$E$15,$E$16,$B113)</f>
        <v>0</v>
      </c>
    </row>
    <row r="114" spans="1:10">
      <c r="A114" s="2" t="str">
        <f ca="1">IF(_xll.TM1RPTELISCONSOLIDATED($B$21,$B114),IF(_xll.TM1RPTELLEV($B$21,$B114)&lt;=3,_xll.TM1RPTELLEV($B$21,$B114),"D"),"N")</f>
        <v>N</v>
      </c>
      <c r="B114" s="14" t="s">
        <v>128</v>
      </c>
      <c r="C114" s="2" t="str">
        <f ca="1">_xll.DBRA("tango_core_model:Indicator",$B114,$E$17)</f>
        <v>% of quality compliance on contracts rated B</v>
      </c>
      <c r="D114" s="2" t="str">
        <f ca="1">_xll.DBRA("tango_core_model:Indicator",$B114,"Source_Indicator")</f>
        <v>calc</v>
      </c>
      <c r="E114" s="22">
        <f ca="1">_xll.DBRW($B$9,$E$11,$E$19,E$20,$E$12,$E$13,$E$14,$E$15,$E$16,$B114)</f>
        <v>0</v>
      </c>
      <c r="F114" s="22">
        <f ca="1">_xll.DBRW($B$9,$E$11,$E$19,F$20,$E$12,$E$13,$E$14,$E$15,$E$16,$B114)</f>
        <v>0</v>
      </c>
      <c r="G114" s="23">
        <f ca="1">_xll.DBRW($B$9,$E$11,$E$19,G$20,$E$12,$E$13,$E$14,$E$15,$E$16,$B114)</f>
        <v>0</v>
      </c>
      <c r="H114" s="2">
        <f ca="1">_xll.DBRW($B$9,$E$11,$H$19,H$20,$E$12,$E$13,$E$14,$E$15,$E$16,$B114)</f>
        <v>0</v>
      </c>
      <c r="I114" s="2">
        <f ca="1">_xll.DBRW($B$9,$E$11,$H$19,I$20,$E$12,$E$13,$E$14,$E$15,$E$16,$B114)</f>
        <v>0</v>
      </c>
      <c r="J114" s="2">
        <f ca="1">_xll.DBRW($B$9,$E$11,$H$19,J$20,$E$12,$E$13,$E$14,$E$15,$E$16,$B114)</f>
        <v>0</v>
      </c>
    </row>
    <row r="115" spans="1:10">
      <c r="A115" s="2" t="str">
        <f ca="1">IF(_xll.TM1RPTELISCONSOLIDATED($B$21,$B115),IF(_xll.TM1RPTELLEV($B$21,$B115)&lt;=3,_xll.TM1RPTELLEV($B$21,$B115),"D"),"N")</f>
        <v>N</v>
      </c>
      <c r="B115" s="14" t="s">
        <v>129</v>
      </c>
      <c r="C115" s="2" t="str">
        <f ca="1">_xll.DBRA("tango_core_model:Indicator",$B115,$E$17)</f>
        <v>% of quality compliance on contracts rated C</v>
      </c>
      <c r="D115" s="2" t="str">
        <f ca="1">_xll.DBRA("tango_core_model:Indicator",$B115,"Source_Indicator")</f>
        <v>calc</v>
      </c>
      <c r="E115" s="22">
        <f ca="1">_xll.DBRW($B$9,$E$11,$E$19,E$20,$E$12,$E$13,$E$14,$E$15,$E$16,$B115)</f>
        <v>0</v>
      </c>
      <c r="F115" s="22">
        <f ca="1">_xll.DBRW($B$9,$E$11,$E$19,F$20,$E$12,$E$13,$E$14,$E$15,$E$16,$B115)</f>
        <v>0</v>
      </c>
      <c r="G115" s="23">
        <f ca="1">_xll.DBRW($B$9,$E$11,$E$19,G$20,$E$12,$E$13,$E$14,$E$15,$E$16,$B115)</f>
        <v>0</v>
      </c>
      <c r="H115" s="2">
        <f ca="1">_xll.DBRW($B$9,$E$11,$H$19,H$20,$E$12,$E$13,$E$14,$E$15,$E$16,$B115)</f>
        <v>0</v>
      </c>
      <c r="I115" s="2">
        <f ca="1">_xll.DBRW($B$9,$E$11,$H$19,I$20,$E$12,$E$13,$E$14,$E$15,$E$16,$B115)</f>
        <v>0</v>
      </c>
      <c r="J115" s="2">
        <f ca="1">_xll.DBRW($B$9,$E$11,$H$19,J$20,$E$12,$E$13,$E$14,$E$15,$E$16,$B115)</f>
        <v>0</v>
      </c>
    </row>
    <row r="116" spans="1:10">
      <c r="A116" s="2" t="str">
        <f ca="1">IF(_xll.TM1RPTELISCONSOLIDATED($B$21,$B116),IF(_xll.TM1RPTELLEV($B$21,$B116)&lt;=3,_xll.TM1RPTELLEV($B$21,$B116),"D"),"N")</f>
        <v>N</v>
      </c>
      <c r="B116" s="14" t="s">
        <v>130</v>
      </c>
      <c r="C116" s="2" t="str">
        <f ca="1">_xll.DBRA("tango_core_model:Indicator",$B116,$E$17)</f>
        <v>Quality_comp_rate_A_CPT</v>
      </c>
      <c r="D116" s="2" t="str">
        <f ca="1">_xll.DBRA("tango_core_model:Indicator",$B116,"Source_Indicator")</f>
        <v>calc</v>
      </c>
      <c r="E116" s="22">
        <f ca="1">_xll.DBRW($B$9,$E$11,$E$19,E$20,$E$12,$E$13,$E$14,$E$15,$E$16,$B116)</f>
        <v>0</v>
      </c>
      <c r="F116" s="22">
        <f ca="1">_xll.DBRW($B$9,$E$11,$E$19,F$20,$E$12,$E$13,$E$14,$E$15,$E$16,$B116)</f>
        <v>0</v>
      </c>
      <c r="G116" s="23">
        <f ca="1">_xll.DBRW($B$9,$E$11,$E$19,G$20,$E$12,$E$13,$E$14,$E$15,$E$16,$B116)</f>
        <v>0</v>
      </c>
      <c r="H116" s="2">
        <f ca="1">_xll.DBRW($B$9,$E$11,$H$19,H$20,$E$12,$E$13,$E$14,$E$15,$E$16,$B116)</f>
        <v>0</v>
      </c>
      <c r="I116" s="2">
        <f ca="1">_xll.DBRW($B$9,$E$11,$H$19,I$20,$E$12,$E$13,$E$14,$E$15,$E$16,$B116)</f>
        <v>0</v>
      </c>
      <c r="J116" s="2">
        <f ca="1">_xll.DBRW($B$9,$E$11,$H$19,J$20,$E$12,$E$13,$E$14,$E$15,$E$16,$B116)</f>
        <v>0</v>
      </c>
    </row>
    <row r="117" spans="1:10">
      <c r="A117" s="2" t="str">
        <f ca="1">IF(_xll.TM1RPTELISCONSOLIDATED($B$21,$B117),IF(_xll.TM1RPTELLEV($B$21,$B117)&lt;=3,_xll.TM1RPTELLEV($B$21,$B117),"D"),"N")</f>
        <v>N</v>
      </c>
      <c r="B117" s="14" t="s">
        <v>131</v>
      </c>
      <c r="C117" s="2" t="str">
        <f ca="1">_xll.DBRA("tango_core_model:Indicator",$B117,$E$17)</f>
        <v>Quality_comp_rate_B_CPT</v>
      </c>
      <c r="D117" s="2" t="str">
        <f ca="1">_xll.DBRA("tango_core_model:Indicator",$B117,"Source_Indicator")</f>
        <v>calc</v>
      </c>
      <c r="E117" s="22">
        <f ca="1">_xll.DBRW($B$9,$E$11,$E$19,E$20,$E$12,$E$13,$E$14,$E$15,$E$16,$B117)</f>
        <v>0</v>
      </c>
      <c r="F117" s="22">
        <f ca="1">_xll.DBRW($B$9,$E$11,$E$19,F$20,$E$12,$E$13,$E$14,$E$15,$E$16,$B117)</f>
        <v>0</v>
      </c>
      <c r="G117" s="23">
        <f ca="1">_xll.DBRW($B$9,$E$11,$E$19,G$20,$E$12,$E$13,$E$14,$E$15,$E$16,$B117)</f>
        <v>0</v>
      </c>
      <c r="H117" s="2">
        <f ca="1">_xll.DBRW($B$9,$E$11,$H$19,H$20,$E$12,$E$13,$E$14,$E$15,$E$16,$B117)</f>
        <v>0</v>
      </c>
      <c r="I117" s="2">
        <f ca="1">_xll.DBRW($B$9,$E$11,$H$19,I$20,$E$12,$E$13,$E$14,$E$15,$E$16,$B117)</f>
        <v>0</v>
      </c>
      <c r="J117" s="2">
        <f ca="1">_xll.DBRW($B$9,$E$11,$H$19,J$20,$E$12,$E$13,$E$14,$E$15,$E$16,$B117)</f>
        <v>0</v>
      </c>
    </row>
    <row r="118" spans="1:10">
      <c r="A118" s="2" t="str">
        <f ca="1">IF(_xll.TM1RPTELISCONSOLIDATED($B$21,$B118),IF(_xll.TM1RPTELLEV($B$21,$B118)&lt;=3,_xll.TM1RPTELLEV($B$21,$B118),"D"),"N")</f>
        <v>N</v>
      </c>
      <c r="B118" s="14" t="s">
        <v>132</v>
      </c>
      <c r="C118" s="2" t="str">
        <f ca="1">_xll.DBRA("tango_core_model:Indicator",$B118,$E$17)</f>
        <v>Quality_comp_rate_C_CPT</v>
      </c>
      <c r="D118" s="2" t="str">
        <f ca="1">_xll.DBRA("tango_core_model:Indicator",$B118,"Source_Indicator")</f>
        <v>calc</v>
      </c>
      <c r="E118" s="22">
        <f ca="1">_xll.DBRW($B$9,$E$11,$E$19,E$20,$E$12,$E$13,$E$14,$E$15,$E$16,$B118)</f>
        <v>0</v>
      </c>
      <c r="F118" s="22">
        <f ca="1">_xll.DBRW($B$9,$E$11,$E$19,F$20,$E$12,$E$13,$E$14,$E$15,$E$16,$B118)</f>
        <v>0</v>
      </c>
      <c r="G118" s="23">
        <f ca="1">_xll.DBRW($B$9,$E$11,$E$19,G$20,$E$12,$E$13,$E$14,$E$15,$E$16,$B118)</f>
        <v>0</v>
      </c>
      <c r="H118" s="2">
        <f ca="1">_xll.DBRW($B$9,$E$11,$H$19,H$20,$E$12,$E$13,$E$14,$E$15,$E$16,$B118)</f>
        <v>0</v>
      </c>
      <c r="I118" s="2">
        <f ca="1">_xll.DBRW($B$9,$E$11,$H$19,I$20,$E$12,$E$13,$E$14,$E$15,$E$16,$B118)</f>
        <v>0</v>
      </c>
      <c r="J118" s="2">
        <f ca="1">_xll.DBRW($B$9,$E$11,$H$19,J$20,$E$12,$E$13,$E$14,$E$15,$E$16,$B118)</f>
        <v>0</v>
      </c>
    </row>
    <row r="119" spans="1:10">
      <c r="A119" s="2" t="str">
        <f ca="1">IF(_xll.TM1RPTELISCONSOLIDATED($B$21,$B119),IF(_xll.TM1RPTELLEV($B$21,$B119)&lt;=3,_xll.TM1RPTELLEV($B$21,$B119),"D"),"N")</f>
        <v>N</v>
      </c>
      <c r="B119" s="14" t="s">
        <v>133</v>
      </c>
      <c r="C119" s="2" t="str">
        <f ca="1">_xll.DBRA("tango_core_model:Indicator",$B119,$E$17)</f>
        <v>Quality_comp_rate_Total_CPT</v>
      </c>
      <c r="D119" s="2" t="str">
        <f ca="1">_xll.DBRA("tango_core_model:Indicator",$B119,"Source_Indicator")</f>
        <v>calc</v>
      </c>
      <c r="E119" s="22">
        <f ca="1">_xll.DBRW($B$9,$E$11,$E$19,E$20,$E$12,$E$13,$E$14,$E$15,$E$16,$B119)</f>
        <v>0</v>
      </c>
      <c r="F119" s="22">
        <f ca="1">_xll.DBRW($B$9,$E$11,$E$19,F$20,$E$12,$E$13,$E$14,$E$15,$E$16,$B119)</f>
        <v>0</v>
      </c>
      <c r="G119" s="23">
        <f ca="1">_xll.DBRW($B$9,$E$11,$E$19,G$20,$E$12,$E$13,$E$14,$E$15,$E$16,$B119)</f>
        <v>0</v>
      </c>
      <c r="H119" s="2">
        <f ca="1">_xll.DBRW($B$9,$E$11,$H$19,H$20,$E$12,$E$13,$E$14,$E$15,$E$16,$B119)</f>
        <v>0</v>
      </c>
      <c r="I119" s="2">
        <f ca="1">_xll.DBRW($B$9,$E$11,$H$19,I$20,$E$12,$E$13,$E$14,$E$15,$E$16,$B119)</f>
        <v>0</v>
      </c>
      <c r="J119" s="2">
        <f ca="1">_xll.DBRW($B$9,$E$11,$H$19,J$20,$E$12,$E$13,$E$14,$E$15,$E$16,$B119)</f>
        <v>0</v>
      </c>
    </row>
    <row r="120" spans="1:10">
      <c r="A120" s="2">
        <f ca="1">IF(_xll.TM1RPTELISCONSOLIDATED($B$21,$B120),IF(_xll.TM1RPTELLEV($B$21,$B120)&lt;=3,_xll.TM1RPTELLEV($B$21,$B120),"D"),"N")</f>
        <v>1</v>
      </c>
      <c r="B120" s="42" t="s">
        <v>134</v>
      </c>
      <c r="C120" s="7" t="str">
        <f ca="1">_xll.DBRA("tango_core_model:Indicator",$B120,$E$17)</f>
        <v>BUSINESS DEVELOPMENT</v>
      </c>
      <c r="D120" s="7" t="str">
        <f ca="1">_xll.DBRA("tango_core_model:Indicator",$B120,"Source_Indicator")</f>
        <v/>
      </c>
      <c r="E120" s="20">
        <f ca="1">_xll.DBRW($B$9,$E$11,$E$19,E$20,$E$12,$E$13,$E$14,$E$15,$E$16,$B120)</f>
        <v>0</v>
      </c>
      <c r="F120" s="20">
        <f ca="1">_xll.DBRW($B$9,$E$11,$E$19,F$20,$E$12,$E$13,$E$14,$E$15,$E$16,$B120)</f>
        <v>0</v>
      </c>
      <c r="G120" s="21">
        <f ca="1">_xll.DBRW($B$9,$E$11,$E$19,G$20,$E$12,$E$13,$E$14,$E$15,$E$16,$B120)</f>
        <v>0</v>
      </c>
      <c r="H120" s="7">
        <f ca="1">_xll.DBRW($B$9,$E$11,$H$19,H$20,$E$12,$E$13,$E$14,$E$15,$E$16,$B120)</f>
        <v>0</v>
      </c>
      <c r="I120" s="7">
        <f ca="1">_xll.DBRW($B$9,$E$11,$H$19,I$20,$E$12,$E$13,$E$14,$E$15,$E$16,$B120)</f>
        <v>0</v>
      </c>
      <c r="J120" s="7">
        <f ca="1">_xll.DBRW($B$9,$E$11,$H$19,J$20,$E$12,$E$13,$E$14,$E$15,$E$16,$B120)</f>
        <v>0</v>
      </c>
    </row>
    <row r="121" spans="1:10">
      <c r="A121" s="2" t="str">
        <f ca="1">IF(_xll.TM1RPTELISCONSOLIDATED($B$21,$B121),IF(_xll.TM1RPTELLEV($B$21,$B121)&lt;=3,_xll.TM1RPTELLEV($B$21,$B121),"D"),"N")</f>
        <v>N</v>
      </c>
      <c r="B121" s="14" t="s">
        <v>135</v>
      </c>
      <c r="C121" s="2" t="str">
        <f ca="1">_xll.DBRA("tango_core_model:Indicator",$B121,$E$17)</f>
        <v>Planned revenue of won RFP for new contracts</v>
      </c>
      <c r="D121" s="2" t="str">
        <f ca="1">_xll.DBRA("tango_core_model:Indicator",$B121,"Source_Indicator")</f>
        <v>input_country</v>
      </c>
      <c r="E121" s="22">
        <f ca="1">_xll.DBRW($B$9,$E$11,$E$19,E$20,$E$12,$E$13,$E$14,$E$15,$E$16,$B121)</f>
        <v>0</v>
      </c>
      <c r="F121" s="22">
        <f ca="1">_xll.DBRW($B$9,$E$11,$E$19,F$20,$E$12,$E$13,$E$14,$E$15,$E$16,$B121)</f>
        <v>0</v>
      </c>
      <c r="G121" s="23">
        <f ca="1">_xll.DBRW($B$9,$E$11,$E$19,G$20,$E$12,$E$13,$E$14,$E$15,$E$16,$B121)</f>
        <v>0</v>
      </c>
      <c r="H121" s="2">
        <f ca="1">_xll.DBRW($B$9,$E$11,$H$19,H$20,$E$12,$E$13,$E$14,$E$15,$E$16,$B121)</f>
        <v>0</v>
      </c>
      <c r="I121" s="2">
        <f ca="1">_xll.DBRW($B$9,$E$11,$H$19,I$20,$E$12,$E$13,$E$14,$E$15,$E$16,$B121)</f>
        <v>0</v>
      </c>
      <c r="J121" s="2">
        <f ca="1">_xll.DBRW($B$9,$E$11,$H$19,J$20,$E$12,$E$13,$E$14,$E$15,$E$16,$B121)</f>
        <v>0</v>
      </c>
    </row>
    <row r="122" spans="1:10">
      <c r="A122" s="2" t="str">
        <f ca="1">IF(_xll.TM1RPTELISCONSOLIDATED($B$21,$B122),IF(_xll.TM1RPTELLEV($B$21,$B122)&lt;=3,_xll.TM1RPTELLEV($B$21,$B122),"D"),"N")</f>
        <v>N</v>
      </c>
      <c r="B122" s="14" t="s">
        <v>136</v>
      </c>
      <c r="C122" s="2" t="str">
        <f ca="1">_xll.DBRA("tango_core_model:Indicator",$B122,$E$17)</f>
        <v>Planned revenue of answered RFP for new contracts</v>
      </c>
      <c r="D122" s="2" t="str">
        <f ca="1">_xll.DBRA("tango_core_model:Indicator",$B122,"Source_Indicator")</f>
        <v>input_country</v>
      </c>
      <c r="E122" s="22">
        <f ca="1">_xll.DBRW($B$9,$E$11,$E$19,E$20,$E$12,$E$13,$E$14,$E$15,$E$16,$B122)</f>
        <v>0</v>
      </c>
      <c r="F122" s="22">
        <f ca="1">_xll.DBRW($B$9,$E$11,$E$19,F$20,$E$12,$E$13,$E$14,$E$15,$E$16,$B122)</f>
        <v>0</v>
      </c>
      <c r="G122" s="23">
        <f ca="1">_xll.DBRW($B$9,$E$11,$E$19,G$20,$E$12,$E$13,$E$14,$E$15,$E$16,$B122)</f>
        <v>0</v>
      </c>
      <c r="H122" s="2">
        <f ca="1">_xll.DBRW($B$9,$E$11,$H$19,H$20,$E$12,$E$13,$E$14,$E$15,$E$16,$B122)</f>
        <v>0</v>
      </c>
      <c r="I122" s="2">
        <f ca="1">_xll.DBRW($B$9,$E$11,$H$19,I$20,$E$12,$E$13,$E$14,$E$15,$E$16,$B122)</f>
        <v>0</v>
      </c>
      <c r="J122" s="2">
        <f ca="1">_xll.DBRW($B$9,$E$11,$H$19,J$20,$E$12,$E$13,$E$14,$E$15,$E$16,$B122)</f>
        <v>0</v>
      </c>
    </row>
    <row r="123" spans="1:10">
      <c r="A123" s="2" t="str">
        <f ca="1">IF(_xll.TM1RPTELISCONSOLIDATED($B$21,$B123),IF(_xll.TM1RPTELLEV($B$21,$B123)&lt;=3,_xll.TM1RPTELLEV($B$21,$B123),"D"),"N")</f>
        <v>N</v>
      </c>
      <c r="B123" s="14" t="s">
        <v>137</v>
      </c>
      <c r="C123" s="2" t="str">
        <f ca="1">_xll.DBRA("tango_core_model:Indicator",$B123,$E$17)</f>
        <v>Planned revenue of won RFP for renewed contracts</v>
      </c>
      <c r="D123" s="2" t="str">
        <f ca="1">_xll.DBRA("tango_core_model:Indicator",$B123,"Source_Indicator")</f>
        <v>input_country</v>
      </c>
      <c r="E123" s="22">
        <f ca="1">_xll.DBRW($B$9,$E$11,$E$19,E$20,$E$12,$E$13,$E$14,$E$15,$E$16,$B123)</f>
        <v>0</v>
      </c>
      <c r="F123" s="22">
        <f ca="1">_xll.DBRW($B$9,$E$11,$E$19,F$20,$E$12,$E$13,$E$14,$E$15,$E$16,$B123)</f>
        <v>0</v>
      </c>
      <c r="G123" s="23">
        <f ca="1">_xll.DBRW($B$9,$E$11,$E$19,G$20,$E$12,$E$13,$E$14,$E$15,$E$16,$B123)</f>
        <v>0</v>
      </c>
      <c r="H123" s="2">
        <f ca="1">_xll.DBRW($B$9,$E$11,$H$19,H$20,$E$12,$E$13,$E$14,$E$15,$E$16,$B123)</f>
        <v>0</v>
      </c>
      <c r="I123" s="2">
        <f ca="1">_xll.DBRW($B$9,$E$11,$H$19,I$20,$E$12,$E$13,$E$14,$E$15,$E$16,$B123)</f>
        <v>0</v>
      </c>
      <c r="J123" s="2">
        <f ca="1">_xll.DBRW($B$9,$E$11,$H$19,J$20,$E$12,$E$13,$E$14,$E$15,$E$16,$B123)</f>
        <v>0</v>
      </c>
    </row>
    <row r="124" spans="1:10">
      <c r="A124" s="2" t="str">
        <f ca="1">IF(_xll.TM1RPTELISCONSOLIDATED($B$21,$B124),IF(_xll.TM1RPTELLEV($B$21,$B124)&lt;=3,_xll.TM1RPTELLEV($B$21,$B124),"D"),"N")</f>
        <v>N</v>
      </c>
      <c r="B124" s="14" t="s">
        <v>138</v>
      </c>
      <c r="C124" s="2" t="str">
        <f ca="1">_xll.DBRA("tango_core_model:Indicator",$B124,$E$17)</f>
        <v>Planned revenue of answered RFP for renewed contracts</v>
      </c>
      <c r="D124" s="2" t="str">
        <f ca="1">_xll.DBRA("tango_core_model:Indicator",$B124,"Source_Indicator")</f>
        <v>input_country</v>
      </c>
      <c r="E124" s="22">
        <f ca="1">_xll.DBRW($B$9,$E$11,$E$19,E$20,$E$12,$E$13,$E$14,$E$15,$E$16,$B124)</f>
        <v>0</v>
      </c>
      <c r="F124" s="22">
        <f ca="1">_xll.DBRW($B$9,$E$11,$E$19,F$20,$E$12,$E$13,$E$14,$E$15,$E$16,$B124)</f>
        <v>0</v>
      </c>
      <c r="G124" s="23">
        <f ca="1">_xll.DBRW($B$9,$E$11,$E$19,G$20,$E$12,$E$13,$E$14,$E$15,$E$16,$B124)</f>
        <v>0</v>
      </c>
      <c r="H124" s="2">
        <f ca="1">_xll.DBRW($B$9,$E$11,$H$19,H$20,$E$12,$E$13,$E$14,$E$15,$E$16,$B124)</f>
        <v>0</v>
      </c>
      <c r="I124" s="2">
        <f ca="1">_xll.DBRW($B$9,$E$11,$H$19,I$20,$E$12,$E$13,$E$14,$E$15,$E$16,$B124)</f>
        <v>0</v>
      </c>
      <c r="J124" s="2">
        <f ca="1">_xll.DBRW($B$9,$E$11,$H$19,J$20,$E$12,$E$13,$E$14,$E$15,$E$16,$B124)</f>
        <v>0</v>
      </c>
    </row>
    <row r="125" spans="1:10">
      <c r="A125" s="2" t="str">
        <f ca="1">IF(_xll.TM1RPTELISCONSOLIDATED($B$21,$B125),IF(_xll.TM1RPTELLEV($B$21,$B125)&lt;=3,_xll.TM1RPTELLEV($B$21,$B125),"D"),"N")</f>
        <v>N</v>
      </c>
      <c r="B125" s="14" t="s">
        <v>139</v>
      </c>
      <c r="C125" s="2" t="str">
        <f ca="1">_xll.DBRA("tango_core_model:Indicator",$B125,$E$17)</f>
        <v>Percentage of new contracts won (in revenues)</v>
      </c>
      <c r="D125" s="2" t="str">
        <f ca="1">_xll.DBRA("tango_core_model:Indicator",$B125,"Source_Indicator")</f>
        <v>calc</v>
      </c>
      <c r="E125" s="22">
        <f ca="1">_xll.DBRW($B$9,$E$11,$E$19,E$20,$E$12,$E$13,$E$14,$E$15,$E$16,$B125)</f>
        <v>0</v>
      </c>
      <c r="F125" s="22">
        <f ca="1">_xll.DBRW($B$9,$E$11,$E$19,F$20,$E$12,$E$13,$E$14,$E$15,$E$16,$B125)</f>
        <v>0</v>
      </c>
      <c r="G125" s="23">
        <f ca="1">_xll.DBRW($B$9,$E$11,$E$19,G$20,$E$12,$E$13,$E$14,$E$15,$E$16,$B125)</f>
        <v>0</v>
      </c>
      <c r="H125" s="2">
        <f ca="1">_xll.DBRW($B$9,$E$11,$H$19,H$20,$E$12,$E$13,$E$14,$E$15,$E$16,$B125)</f>
        <v>0</v>
      </c>
      <c r="I125" s="2">
        <f ca="1">_xll.DBRW($B$9,$E$11,$H$19,I$20,$E$12,$E$13,$E$14,$E$15,$E$16,$B125)</f>
        <v>0</v>
      </c>
      <c r="J125" s="2">
        <f ca="1">_xll.DBRW($B$9,$E$11,$H$19,J$20,$E$12,$E$13,$E$14,$E$15,$E$16,$B125)</f>
        <v>0</v>
      </c>
    </row>
    <row r="126" spans="1:10">
      <c r="A126" s="2" t="str">
        <f ca="1">IF(_xll.TM1RPTELISCONSOLIDATED($B$21,$B126),IF(_xll.TM1RPTELLEV($B$21,$B126)&lt;=3,_xll.TM1RPTELLEV($B$21,$B126),"D"),"N")</f>
        <v>N</v>
      </c>
      <c r="B126" s="14" t="s">
        <v>140</v>
      </c>
      <c r="C126" s="2" t="str">
        <f ca="1">_xll.DBRA("tango_core_model:Indicator",$B126,$E$17)</f>
        <v>Percentage of renewed contracts (in revenues)</v>
      </c>
      <c r="D126" s="2" t="str">
        <f ca="1">_xll.DBRA("tango_core_model:Indicator",$B126,"Source_Indicator")</f>
        <v>calc</v>
      </c>
      <c r="E126" s="22">
        <f ca="1">_xll.DBRW($B$9,$E$11,$E$19,E$20,$E$12,$E$13,$E$14,$E$15,$E$16,$B126)</f>
        <v>0</v>
      </c>
      <c r="F126" s="22">
        <f ca="1">_xll.DBRW($B$9,$E$11,$E$19,F$20,$E$12,$E$13,$E$14,$E$15,$E$16,$B126)</f>
        <v>0</v>
      </c>
      <c r="G126" s="23">
        <f ca="1">_xll.DBRW($B$9,$E$11,$E$19,G$20,$E$12,$E$13,$E$14,$E$15,$E$16,$B126)</f>
        <v>0</v>
      </c>
      <c r="H126" s="2">
        <f ca="1">_xll.DBRW($B$9,$E$11,$H$19,H$20,$E$12,$E$13,$E$14,$E$15,$E$16,$B126)</f>
        <v>0</v>
      </c>
      <c r="I126" s="2">
        <f ca="1">_xll.DBRW($B$9,$E$11,$H$19,I$20,$E$12,$E$13,$E$14,$E$15,$E$16,$B126)</f>
        <v>0</v>
      </c>
      <c r="J126" s="2">
        <f ca="1">_xll.DBRW($B$9,$E$11,$H$19,J$20,$E$12,$E$13,$E$14,$E$15,$E$16,$B126)</f>
        <v>0</v>
      </c>
    </row>
    <row r="127" spans="1:10">
      <c r="A127" s="2" t="str">
        <f ca="1">IF(_xll.TM1RPTELISCONSOLIDATED($B$21,$B127),IF(_xll.TM1RPTELLEV($B$21,$B127)&lt;=3,_xll.TM1RPTELLEV($B$21,$B127),"D"),"N")</f>
        <v>N</v>
      </c>
      <c r="B127" s="14" t="s">
        <v>141</v>
      </c>
      <c r="C127" s="2" t="str">
        <f ca="1">_xll.DBRA("tango_core_model:Indicator",$B127,$E$17)</f>
        <v>Order book</v>
      </c>
      <c r="D127" s="2" t="str">
        <f ca="1">_xll.DBRA("tango_core_model:Indicator",$B127,"Source_Indicator")</f>
        <v>input_country</v>
      </c>
      <c r="E127" s="22">
        <f ca="1">_xll.DBRW($B$9,$E$11,$E$19,E$20,$E$12,$E$13,$E$14,$E$15,$E$16,$B127)</f>
        <v>0</v>
      </c>
      <c r="F127" s="22">
        <f ca="1">_xll.DBRW($B$9,$E$11,$E$19,F$20,$E$12,$E$13,$E$14,$E$15,$E$16,$B127)</f>
        <v>0</v>
      </c>
      <c r="G127" s="23">
        <f ca="1">_xll.DBRW($B$9,$E$11,$E$19,G$20,$E$12,$E$13,$E$14,$E$15,$E$16,$B127)</f>
        <v>0</v>
      </c>
      <c r="H127" s="2">
        <f ca="1">_xll.DBRW($B$9,$E$11,$H$19,H$20,$E$12,$E$13,$E$14,$E$15,$E$16,$B127)</f>
        <v>0</v>
      </c>
      <c r="I127" s="2">
        <f ca="1">_xll.DBRW($B$9,$E$11,$H$19,I$20,$E$12,$E$13,$E$14,$E$15,$E$16,$B127)</f>
        <v>0</v>
      </c>
      <c r="J127" s="2">
        <f ca="1">_xll.DBRW($B$9,$E$11,$H$19,J$20,$E$12,$E$13,$E$14,$E$15,$E$16,$B127)</f>
        <v>0</v>
      </c>
    </row>
    <row r="128" spans="1:10">
      <c r="A128" s="2">
        <f ca="1">IF(_xll.TM1RPTELISCONSOLIDATED($B$21,$B128),IF(_xll.TM1RPTELLEV($B$21,$B128)&lt;=3,_xll.TM1RPTELLEV($B$21,$B128),"D"),"N")</f>
        <v>1</v>
      </c>
      <c r="B128" s="42" t="s">
        <v>142</v>
      </c>
      <c r="C128" s="7" t="str">
        <f ca="1">_xll.DBRA("tango_core_model:Indicator",$B128,$E$17)</f>
        <v>ENVIRONMENT</v>
      </c>
      <c r="D128" s="7" t="str">
        <f ca="1">_xll.DBRA("tango_core_model:Indicator",$B128,"Source_Indicator")</f>
        <v/>
      </c>
      <c r="E128" s="20">
        <f ca="1">_xll.DBRW($B$9,$E$11,$E$19,E$20,$E$12,$E$13,$E$14,$E$15,$E$16,$B128)</f>
        <v>0</v>
      </c>
      <c r="F128" s="20">
        <f ca="1">_xll.DBRW($B$9,$E$11,$E$19,F$20,$E$12,$E$13,$E$14,$E$15,$E$16,$B128)</f>
        <v>0</v>
      </c>
      <c r="G128" s="21">
        <f ca="1">_xll.DBRW($B$9,$E$11,$E$19,G$20,$E$12,$E$13,$E$14,$E$15,$E$16,$B128)</f>
        <v>0</v>
      </c>
      <c r="H128" s="7">
        <f ca="1">_xll.DBRW($B$9,$E$11,$H$19,H$20,$E$12,$E$13,$E$14,$E$15,$E$16,$B128)</f>
        <v>0</v>
      </c>
      <c r="I128" s="7">
        <f ca="1">_xll.DBRW($B$9,$E$11,$H$19,I$20,$E$12,$E$13,$E$14,$E$15,$E$16,$B128)</f>
        <v>0</v>
      </c>
      <c r="J128" s="7">
        <f ca="1">_xll.DBRW($B$9,$E$11,$H$19,J$20,$E$12,$E$13,$E$14,$E$15,$E$16,$B128)</f>
        <v>0</v>
      </c>
    </row>
    <row r="129" spans="1:10">
      <c r="A129" s="2" t="str">
        <f ca="1">IF(_xll.TM1RPTELISCONSOLIDATED($B$21,$B129),IF(_xll.TM1RPTELLEV($B$21,$B129)&lt;=3,_xll.TM1RPTELLEV($B$21,$B129),"D"),"N")</f>
        <v>N</v>
      </c>
      <c r="B129" s="14" t="s">
        <v>143</v>
      </c>
      <c r="C129" s="2" t="str">
        <f ca="1">_xll.DBRA("tango_core_model:Indicator",$B129,$E$17)</f>
        <v>Diesel liters equivalent (DLE)</v>
      </c>
      <c r="D129" s="2" t="str">
        <f ca="1">_xll.DBRA("tango_core_model:Indicator",$B129,"Source_Indicator")</f>
        <v>calc</v>
      </c>
      <c r="E129" s="22">
        <f ca="1">_xll.DBRW($B$9,$E$11,$E$19,E$20,$E$12,$E$13,$E$14,$E$15,$E$16,$B129)</f>
        <v>0</v>
      </c>
      <c r="F129" s="22">
        <f ca="1">_xll.DBRW($B$9,$E$11,$E$19,F$20,$E$12,$E$13,$E$14,$E$15,$E$16,$B129)</f>
        <v>0</v>
      </c>
      <c r="G129" s="23">
        <f ca="1">_xll.DBRW($B$9,$E$11,$E$19,G$20,$E$12,$E$13,$E$14,$E$15,$E$16,$B129)</f>
        <v>0</v>
      </c>
      <c r="H129" s="2">
        <f ca="1">_xll.DBRW($B$9,$E$11,$H$19,H$20,$E$12,$E$13,$E$14,$E$15,$E$16,$B129)</f>
        <v>0</v>
      </c>
      <c r="I129" s="2">
        <f ca="1">_xll.DBRW($B$9,$E$11,$H$19,I$20,$E$12,$E$13,$E$14,$E$15,$E$16,$B129)</f>
        <v>0</v>
      </c>
      <c r="J129" s="2">
        <f ca="1">_xll.DBRW($B$9,$E$11,$H$19,J$20,$E$12,$E$13,$E$14,$E$15,$E$16,$B129)</f>
        <v>0</v>
      </c>
    </row>
    <row r="130" spans="1:10">
      <c r="A130" s="2" t="str">
        <f ca="1">IF(_xll.TM1RPTELISCONSOLIDATED($B$21,$B130),IF(_xll.TM1RPTELLEV($B$21,$B130)&lt;=3,_xll.TM1RPTELLEV($B$21,$B130),"D"),"N")</f>
        <v>N</v>
      </c>
      <c r="B130" s="14" t="s">
        <v>144</v>
      </c>
      <c r="C130" s="2" t="str">
        <f ca="1">_xll.DBRA("tango_core_model:Indicator",$B130,$E$17)</f>
        <v>Fuel consumed (liters)</v>
      </c>
      <c r="D130" s="2" t="str">
        <f ca="1">_xll.DBRA("tango_core_model:Indicator",$B130,"Source_Indicator")</f>
        <v>input_country</v>
      </c>
      <c r="E130" s="22">
        <f ca="1">_xll.DBRW($B$9,$E$11,$E$19,E$20,$E$12,$E$13,$E$14,$E$15,$E$16,$B130)</f>
        <v>0</v>
      </c>
      <c r="F130" s="22">
        <f ca="1">_xll.DBRW($B$9,$E$11,$E$19,F$20,$E$12,$E$13,$E$14,$E$15,$E$16,$B130)</f>
        <v>0</v>
      </c>
      <c r="G130" s="23">
        <f ca="1">_xll.DBRW($B$9,$E$11,$E$19,G$20,$E$12,$E$13,$E$14,$E$15,$E$16,$B130)</f>
        <v>0</v>
      </c>
      <c r="H130" s="2">
        <f ca="1">_xll.DBRW($B$9,$E$11,$H$19,H$20,$E$12,$E$13,$E$14,$E$15,$E$16,$B130)</f>
        <v>0</v>
      </c>
      <c r="I130" s="2">
        <f ca="1">_xll.DBRW($B$9,$E$11,$H$19,I$20,$E$12,$E$13,$E$14,$E$15,$E$16,$B130)</f>
        <v>0</v>
      </c>
      <c r="J130" s="2">
        <f ca="1">_xll.DBRW($B$9,$E$11,$H$19,J$20,$E$12,$E$13,$E$14,$E$15,$E$16,$B130)</f>
        <v>0</v>
      </c>
    </row>
    <row r="131" spans="1:10">
      <c r="A131" s="2" t="str">
        <f ca="1">IF(_xll.TM1RPTELISCONSOLIDATED($B$21,$B131),IF(_xll.TM1RPTELLEV($B$21,$B131)&lt;=3,_xll.TM1RPTELLEV($B$21,$B131),"D"),"N")</f>
        <v>N</v>
      </c>
      <c r="B131" s="14" t="s">
        <v>145</v>
      </c>
      <c r="C131" s="2" t="str">
        <f ca="1">_xll.DBRA("tango_core_model:Indicator",$B131,$E$17)</f>
        <v>Biofuel consumed (liters)</v>
      </c>
      <c r="D131" s="2" t="str">
        <f ca="1">_xll.DBRA("tango_core_model:Indicator",$B131,"Source_Indicator")</f>
        <v>input_country</v>
      </c>
      <c r="E131" s="22">
        <f ca="1">_xll.DBRW($B$9,$E$11,$E$19,E$20,$E$12,$E$13,$E$14,$E$15,$E$16,$B131)</f>
        <v>0</v>
      </c>
      <c r="F131" s="22">
        <f ca="1">_xll.DBRW($B$9,$E$11,$E$19,F$20,$E$12,$E$13,$E$14,$E$15,$E$16,$B131)</f>
        <v>0</v>
      </c>
      <c r="G131" s="23">
        <f ca="1">_xll.DBRW($B$9,$E$11,$E$19,G$20,$E$12,$E$13,$E$14,$E$15,$E$16,$B131)</f>
        <v>0</v>
      </c>
      <c r="H131" s="2">
        <f ca="1">_xll.DBRW($B$9,$E$11,$H$19,H$20,$E$12,$E$13,$E$14,$E$15,$E$16,$B131)</f>
        <v>0</v>
      </c>
      <c r="I131" s="2">
        <f ca="1">_xll.DBRW($B$9,$E$11,$H$19,I$20,$E$12,$E$13,$E$14,$E$15,$E$16,$B131)</f>
        <v>0</v>
      </c>
      <c r="J131" s="2">
        <f ca="1">_xll.DBRW($B$9,$E$11,$H$19,J$20,$E$12,$E$13,$E$14,$E$15,$E$16,$B131)</f>
        <v>0</v>
      </c>
    </row>
    <row r="132" spans="1:10">
      <c r="A132" s="2" t="str">
        <f ca="1">IF(_xll.TM1RPTELISCONSOLIDATED($B$21,$B132),IF(_xll.TM1RPTELLEV($B$21,$B132)&lt;=3,_xll.TM1RPTELLEV($B$21,$B132),"D"),"N")</f>
        <v>N</v>
      </c>
      <c r="B132" s="14" t="s">
        <v>146</v>
      </c>
      <c r="C132" s="2" t="str">
        <f ca="1">_xll.DBRA("tango_core_model:Indicator",$B132,$E$17)</f>
        <v>Electricity consumed (kwh)</v>
      </c>
      <c r="D132" s="2" t="str">
        <f ca="1">_xll.DBRA("tango_core_model:Indicator",$B132,"Source_Indicator")</f>
        <v>input_country</v>
      </c>
      <c r="E132" s="22">
        <f ca="1">_xll.DBRW($B$9,$E$11,$E$19,E$20,$E$12,$E$13,$E$14,$E$15,$E$16,$B132)</f>
        <v>0</v>
      </c>
      <c r="F132" s="22">
        <f ca="1">_xll.DBRW($B$9,$E$11,$E$19,F$20,$E$12,$E$13,$E$14,$E$15,$E$16,$B132)</f>
        <v>0</v>
      </c>
      <c r="G132" s="23">
        <f ca="1">_xll.DBRW($B$9,$E$11,$E$19,G$20,$E$12,$E$13,$E$14,$E$15,$E$16,$B132)</f>
        <v>0</v>
      </c>
      <c r="H132" s="2">
        <f ca="1">_xll.DBRW($B$9,$E$11,$H$19,H$20,$E$12,$E$13,$E$14,$E$15,$E$16,$B132)</f>
        <v>0</v>
      </c>
      <c r="I132" s="2">
        <f ca="1">_xll.DBRW($B$9,$E$11,$H$19,I$20,$E$12,$E$13,$E$14,$E$15,$E$16,$B132)</f>
        <v>0</v>
      </c>
      <c r="J132" s="2">
        <f ca="1">_xll.DBRW($B$9,$E$11,$H$19,J$20,$E$12,$E$13,$E$14,$E$15,$E$16,$B132)</f>
        <v>0</v>
      </c>
    </row>
    <row r="133" spans="1:10">
      <c r="A133" s="2" t="str">
        <f ca="1">IF(_xll.TM1RPTELISCONSOLIDATED($B$21,$B133),IF(_xll.TM1RPTELLEV($B$21,$B133)&lt;=3,_xll.TM1RPTELLEV($B$21,$B133),"D"),"N")</f>
        <v>N</v>
      </c>
      <c r="B133" s="14" t="s">
        <v>147</v>
      </c>
      <c r="C133" s="2" t="str">
        <f ca="1">_xll.DBRA("tango_core_model:Indicator",$B133,$E$17)</f>
        <v>Gas consumed (m3)</v>
      </c>
      <c r="D133" s="2" t="str">
        <f ca="1">_xll.DBRA("tango_core_model:Indicator",$B133,"Source_Indicator")</f>
        <v>input_country</v>
      </c>
      <c r="E133" s="22">
        <f ca="1">_xll.DBRW($B$9,$E$11,$E$19,E$20,$E$12,$E$13,$E$14,$E$15,$E$16,$B133)</f>
        <v>0</v>
      </c>
      <c r="F133" s="22">
        <f ca="1">_xll.DBRW($B$9,$E$11,$E$19,F$20,$E$12,$E$13,$E$14,$E$15,$E$16,$B133)</f>
        <v>0</v>
      </c>
      <c r="G133" s="23">
        <f ca="1">_xll.DBRW($B$9,$E$11,$E$19,G$20,$E$12,$E$13,$E$14,$E$15,$E$16,$B133)</f>
        <v>0</v>
      </c>
      <c r="H133" s="2">
        <f ca="1">_xll.DBRW($B$9,$E$11,$H$19,H$20,$E$12,$E$13,$E$14,$E$15,$E$16,$B133)</f>
        <v>0</v>
      </c>
      <c r="I133" s="2">
        <f ca="1">_xll.DBRW($B$9,$E$11,$H$19,I$20,$E$12,$E$13,$E$14,$E$15,$E$16,$B133)</f>
        <v>0</v>
      </c>
      <c r="J133" s="2">
        <f ca="1">_xll.DBRW($B$9,$E$11,$H$19,J$20,$E$12,$E$13,$E$14,$E$15,$E$16,$B133)</f>
        <v>0</v>
      </c>
    </row>
    <row r="134" spans="1:10">
      <c r="A134" s="2" t="str">
        <f ca="1">IF(_xll.TM1RPTELISCONSOLIDATED($B$21,$B134),IF(_xll.TM1RPTELLEV($B$21,$B134)&lt;=3,_xll.TM1RPTELLEV($B$21,$B134),"D"),"N")</f>
        <v>N</v>
      </c>
      <c r="B134" s="14" t="s">
        <v>148</v>
      </c>
      <c r="C134" s="2" t="str">
        <f ca="1">_xll.DBRA("tango_core_model:Indicator",$B134,$E$17)</f>
        <v>Fuel consumed per 100km driven by fuel</v>
      </c>
      <c r="D134" s="2" t="str">
        <f ca="1">_xll.DBRA("tango_core_model:Indicator",$B134,"Source_Indicator")</f>
        <v>calc</v>
      </c>
      <c r="E134" s="22">
        <f ca="1">_xll.DBRW($B$9,$E$11,$E$19,E$20,$E$12,$E$13,$E$14,$E$15,$E$16,$B134)</f>
        <v>0</v>
      </c>
      <c r="F134" s="22">
        <f ca="1">_xll.DBRW($B$9,$E$11,$E$19,F$20,$E$12,$E$13,$E$14,$E$15,$E$16,$B134)</f>
        <v>0</v>
      </c>
      <c r="G134" s="23">
        <f ca="1">_xll.DBRW($B$9,$E$11,$E$19,G$20,$E$12,$E$13,$E$14,$E$15,$E$16,$B134)</f>
        <v>0</v>
      </c>
      <c r="H134" s="2">
        <f ca="1">_xll.DBRW($B$9,$E$11,$H$19,H$20,$E$12,$E$13,$E$14,$E$15,$E$16,$B134)</f>
        <v>0</v>
      </c>
      <c r="I134" s="2">
        <f ca="1">_xll.DBRW($B$9,$E$11,$H$19,I$20,$E$12,$E$13,$E$14,$E$15,$E$16,$B134)</f>
        <v>0</v>
      </c>
      <c r="J134" s="2">
        <f ca="1">_xll.DBRW($B$9,$E$11,$H$19,J$20,$E$12,$E$13,$E$14,$E$15,$E$16,$B134)</f>
        <v>0</v>
      </c>
    </row>
    <row r="135" spans="1:10">
      <c r="A135" s="2" t="str">
        <f ca="1">IF(_xll.TM1RPTELISCONSOLIDATED($B$21,$B135),IF(_xll.TM1RPTELLEV($B$21,$B135)&lt;=3,_xll.TM1RPTELLEV($B$21,$B135),"D"),"N")</f>
        <v>N</v>
      </c>
      <c r="B135" s="14" t="s">
        <v>149</v>
      </c>
      <c r="C135" s="2" t="str">
        <f ca="1">_xll.DBRA("tango_core_model:Indicator",$B135,$E$17)</f>
        <v>Biofuel consumed per 100km driven by biofuel</v>
      </c>
      <c r="D135" s="2" t="str">
        <f ca="1">_xll.DBRA("tango_core_model:Indicator",$B135,"Source_Indicator")</f>
        <v>calc</v>
      </c>
      <c r="E135" s="22">
        <f ca="1">_xll.DBRW($B$9,$E$11,$E$19,E$20,$E$12,$E$13,$E$14,$E$15,$E$16,$B135)</f>
        <v>0</v>
      </c>
      <c r="F135" s="22">
        <f ca="1">_xll.DBRW($B$9,$E$11,$E$19,F$20,$E$12,$E$13,$E$14,$E$15,$E$16,$B135)</f>
        <v>0</v>
      </c>
      <c r="G135" s="23">
        <f ca="1">_xll.DBRW($B$9,$E$11,$E$19,G$20,$E$12,$E$13,$E$14,$E$15,$E$16,$B135)</f>
        <v>0</v>
      </c>
      <c r="H135" s="2">
        <f ca="1">_xll.DBRW($B$9,$E$11,$H$19,H$20,$E$12,$E$13,$E$14,$E$15,$E$16,$B135)</f>
        <v>0</v>
      </c>
      <c r="I135" s="2">
        <f ca="1">_xll.DBRW($B$9,$E$11,$H$19,I$20,$E$12,$E$13,$E$14,$E$15,$E$16,$B135)</f>
        <v>0</v>
      </c>
      <c r="J135" s="2">
        <f ca="1">_xll.DBRW($B$9,$E$11,$H$19,J$20,$E$12,$E$13,$E$14,$E$15,$E$16,$B135)</f>
        <v>0</v>
      </c>
    </row>
    <row r="136" spans="1:10">
      <c r="A136" s="2" t="str">
        <f ca="1">IF(_xll.TM1RPTELISCONSOLIDATED($B$21,$B136),IF(_xll.TM1RPTELLEV($B$21,$B136)&lt;=3,_xll.TM1RPTELLEV($B$21,$B136),"D"),"N")</f>
        <v>N</v>
      </c>
      <c r="B136" s="14" t="s">
        <v>150</v>
      </c>
      <c r="C136" s="2" t="str">
        <f ca="1">_xll.DBRA("tango_core_model:Indicator",$B136,$E$17)</f>
        <v>Electricity consumed per 100km driven by electricity (in kWh)</v>
      </c>
      <c r="D136" s="2" t="str">
        <f ca="1">_xll.DBRA("tango_core_model:Indicator",$B136,"Source_Indicator")</f>
        <v>calc</v>
      </c>
      <c r="E136" s="22">
        <f ca="1">_xll.DBRW($B$9,$E$11,$E$19,E$20,$E$12,$E$13,$E$14,$E$15,$E$16,$B136)</f>
        <v>0</v>
      </c>
      <c r="F136" s="22">
        <f ca="1">_xll.DBRW($B$9,$E$11,$E$19,F$20,$E$12,$E$13,$E$14,$E$15,$E$16,$B136)</f>
        <v>0</v>
      </c>
      <c r="G136" s="23">
        <f ca="1">_xll.DBRW($B$9,$E$11,$E$19,G$20,$E$12,$E$13,$E$14,$E$15,$E$16,$B136)</f>
        <v>0</v>
      </c>
      <c r="H136" s="2">
        <f ca="1">_xll.DBRW($B$9,$E$11,$H$19,H$20,$E$12,$E$13,$E$14,$E$15,$E$16,$B136)</f>
        <v>0</v>
      </c>
      <c r="I136" s="2">
        <f ca="1">_xll.DBRW($B$9,$E$11,$H$19,I$20,$E$12,$E$13,$E$14,$E$15,$E$16,$B136)</f>
        <v>0</v>
      </c>
      <c r="J136" s="2">
        <f ca="1">_xll.DBRW($B$9,$E$11,$H$19,J$20,$E$12,$E$13,$E$14,$E$15,$E$16,$B136)</f>
        <v>0</v>
      </c>
    </row>
    <row r="137" spans="1:10">
      <c r="A137" s="2" t="str">
        <f ca="1">IF(_xll.TM1RPTELISCONSOLIDATED($B$21,$B137),IF(_xll.TM1RPTELLEV($B$21,$B137)&lt;=3,_xll.TM1RPTELLEV($B$21,$B137),"D"),"N")</f>
        <v>N</v>
      </c>
      <c r="B137" s="14" t="s">
        <v>151</v>
      </c>
      <c r="C137" s="2" t="str">
        <f ca="1">_xll.DBRA("tango_core_model:Indicator",$B137,$E$17)</f>
        <v>Gas consumed per 100km driven by gas (in m3)</v>
      </c>
      <c r="D137" s="2" t="str">
        <f ca="1">_xll.DBRA("tango_core_model:Indicator",$B137,"Source_Indicator")</f>
        <v>calc</v>
      </c>
      <c r="E137" s="22">
        <f ca="1">_xll.DBRW($B$9,$E$11,$E$19,E$20,$E$12,$E$13,$E$14,$E$15,$E$16,$B137)</f>
        <v>0</v>
      </c>
      <c r="F137" s="22">
        <f ca="1">_xll.DBRW($B$9,$E$11,$E$19,F$20,$E$12,$E$13,$E$14,$E$15,$E$16,$B137)</f>
        <v>0</v>
      </c>
      <c r="G137" s="23">
        <f ca="1">_xll.DBRW($B$9,$E$11,$E$19,G$20,$E$12,$E$13,$E$14,$E$15,$E$16,$B137)</f>
        <v>0</v>
      </c>
      <c r="H137" s="2">
        <f ca="1">_xll.DBRW($B$9,$E$11,$H$19,H$20,$E$12,$E$13,$E$14,$E$15,$E$16,$B137)</f>
        <v>0</v>
      </c>
      <c r="I137" s="2">
        <f ca="1">_xll.DBRW($B$9,$E$11,$H$19,I$20,$E$12,$E$13,$E$14,$E$15,$E$16,$B137)</f>
        <v>0</v>
      </c>
      <c r="J137" s="2">
        <f ca="1">_xll.DBRW($B$9,$E$11,$H$19,J$20,$E$12,$E$13,$E$14,$E$15,$E$16,$B137)</f>
        <v>0</v>
      </c>
    </row>
    <row r="138" spans="1:10">
      <c r="A138" s="2" t="str">
        <f ca="1">IF(_xll.TM1RPTELISCONSOLIDATED($B$21,$B138),IF(_xll.TM1RPTELLEV($B$21,$B138)&lt;=3,_xll.TM1RPTELLEV($B$21,$B138),"D"),"N")</f>
        <v>N</v>
      </c>
      <c r="B138" s="14" t="s">
        <v>152</v>
      </c>
      <c r="C138" s="2" t="str">
        <f ca="1">_xll.DBRA("tango_core_model:Indicator",$B138,$E$17)</f>
        <v>Total water use by operation (ML)</v>
      </c>
      <c r="D138" s="2" t="str">
        <f ca="1">_xll.DBRA("tango_core_model:Indicator",$B138,"Source_Indicator")</f>
        <v>input_country</v>
      </c>
      <c r="E138" s="22">
        <f ca="1">_xll.DBRW($B$9,$E$11,$E$19,E$20,$E$12,$E$13,$E$14,$E$15,$E$16,$B138)</f>
        <v>0</v>
      </c>
      <c r="F138" s="22">
        <f ca="1">_xll.DBRW($B$9,$E$11,$E$19,F$20,$E$12,$E$13,$E$14,$E$15,$E$16,$B138)</f>
        <v>0</v>
      </c>
      <c r="G138" s="23">
        <f ca="1">_xll.DBRW($B$9,$E$11,$E$19,G$20,$E$12,$E$13,$E$14,$E$15,$E$16,$B138)</f>
        <v>0</v>
      </c>
      <c r="H138" s="2">
        <f ca="1">_xll.DBRW($B$9,$E$11,$H$19,H$20,$E$12,$E$13,$E$14,$E$15,$E$16,$B138)</f>
        <v>0</v>
      </c>
      <c r="I138" s="2">
        <f ca="1">_xll.DBRW($B$9,$E$11,$H$19,I$20,$E$12,$E$13,$E$14,$E$15,$E$16,$B138)</f>
        <v>0</v>
      </c>
      <c r="J138" s="2">
        <f ca="1">_xll.DBRW($B$9,$E$11,$H$19,J$20,$E$12,$E$13,$E$14,$E$15,$E$16,$B138)</f>
        <v>0</v>
      </c>
    </row>
    <row r="139" spans="1:10">
      <c r="A139" s="2" t="str">
        <f ca="1">IF(_xll.TM1RPTELISCONSOLIDATED($B$21,$B139),IF(_xll.TM1RPTELLEV($B$21,$B139)&lt;=3,_xll.TM1RPTELLEV($B$21,$B139),"D"),"N")</f>
        <v>N</v>
      </c>
      <c r="B139" s="14" t="s">
        <v>153</v>
      </c>
      <c r="C139" s="2" t="str">
        <f ca="1">_xll.DBRA("tango_core_model:Indicator",$B139,$E$17)</f>
        <v>H2O by KM</v>
      </c>
      <c r="D139" s="2" t="str">
        <f ca="1">_xll.DBRA("tango_core_model:Indicator",$B139,"Source_Indicator")</f>
        <v>calc</v>
      </c>
      <c r="E139" s="22">
        <f ca="1">_xll.DBRW($B$9,$E$11,$E$19,E$20,$E$12,$E$13,$E$14,$E$15,$E$16,$B139)</f>
        <v>0</v>
      </c>
      <c r="F139" s="22">
        <f ca="1">_xll.DBRW($B$9,$E$11,$E$19,F$20,$E$12,$E$13,$E$14,$E$15,$E$16,$B139)</f>
        <v>0</v>
      </c>
      <c r="G139" s="23">
        <f ca="1">_xll.DBRW($B$9,$E$11,$E$19,G$20,$E$12,$E$13,$E$14,$E$15,$E$16,$B139)</f>
        <v>0</v>
      </c>
      <c r="H139" s="2">
        <f ca="1">_xll.DBRW($B$9,$E$11,$H$19,H$20,$E$12,$E$13,$E$14,$E$15,$E$16,$B139)</f>
        <v>0</v>
      </c>
      <c r="I139" s="2">
        <f ca="1">_xll.DBRW($B$9,$E$11,$H$19,I$20,$E$12,$E$13,$E$14,$E$15,$E$16,$B139)</f>
        <v>0</v>
      </c>
      <c r="J139" s="2">
        <f ca="1">_xll.DBRW($B$9,$E$11,$H$19,J$20,$E$12,$E$13,$E$14,$E$15,$E$16,$B139)</f>
        <v>0</v>
      </c>
    </row>
    <row r="140" spans="1:10">
      <c r="A140" s="2" t="str">
        <f ca="1">IF(_xll.TM1RPTELISCONSOLIDATED($B$21,$B140),IF(_xll.TM1RPTELLEV($B$21,$B140)&lt;=3,_xll.TM1RPTELLEV($B$21,$B140),"D"),"N")</f>
        <v>N</v>
      </c>
      <c r="B140" s="14" t="s">
        <v>154</v>
      </c>
      <c r="C140" s="2" t="str">
        <f ca="1">_xll.DBRA("tango_core_model:Indicator",$B140,$E$17)</f>
        <v>% of environment compliance on contracts rated A</v>
      </c>
      <c r="D140" s="2" t="str">
        <f ca="1">_xll.DBRA("tango_core_model:Indicator",$B140,"Source_Indicator")</f>
        <v>calc</v>
      </c>
      <c r="E140" s="22">
        <f ca="1">_xll.DBRW($B$9,$E$11,$E$19,E$20,$E$12,$E$13,$E$14,$E$15,$E$16,$B140)</f>
        <v>0</v>
      </c>
      <c r="F140" s="22">
        <f ca="1">_xll.DBRW($B$9,$E$11,$E$19,F$20,$E$12,$E$13,$E$14,$E$15,$E$16,$B140)</f>
        <v>0</v>
      </c>
      <c r="G140" s="23">
        <f ca="1">_xll.DBRW($B$9,$E$11,$E$19,G$20,$E$12,$E$13,$E$14,$E$15,$E$16,$B140)</f>
        <v>0</v>
      </c>
      <c r="H140" s="2">
        <f ca="1">_xll.DBRW($B$9,$E$11,$H$19,H$20,$E$12,$E$13,$E$14,$E$15,$E$16,$B140)</f>
        <v>0</v>
      </c>
      <c r="I140" s="2">
        <f ca="1">_xll.DBRW($B$9,$E$11,$H$19,I$20,$E$12,$E$13,$E$14,$E$15,$E$16,$B140)</f>
        <v>0</v>
      </c>
      <c r="J140" s="2">
        <f ca="1">_xll.DBRW($B$9,$E$11,$H$19,J$20,$E$12,$E$13,$E$14,$E$15,$E$16,$B140)</f>
        <v>0</v>
      </c>
    </row>
    <row r="141" spans="1:10">
      <c r="A141" s="2" t="str">
        <f ca="1">IF(_xll.TM1RPTELISCONSOLIDATED($B$21,$B141),IF(_xll.TM1RPTELLEV($B$21,$B141)&lt;=3,_xll.TM1RPTELLEV($B$21,$B141),"D"),"N")</f>
        <v>N</v>
      </c>
      <c r="B141" s="14" t="s">
        <v>155</v>
      </c>
      <c r="C141" s="2" t="str">
        <f ca="1">_xll.DBRA("tango_core_model:Indicator",$B141,$E$17)</f>
        <v>% of environment compliance on contracts rated B</v>
      </c>
      <c r="D141" s="2" t="str">
        <f ca="1">_xll.DBRA("tango_core_model:Indicator",$B141,"Source_Indicator")</f>
        <v>calc</v>
      </c>
      <c r="E141" s="22">
        <f ca="1">_xll.DBRW($B$9,$E$11,$E$19,E$20,$E$12,$E$13,$E$14,$E$15,$E$16,$B141)</f>
        <v>0</v>
      </c>
      <c r="F141" s="22">
        <f ca="1">_xll.DBRW($B$9,$E$11,$E$19,F$20,$E$12,$E$13,$E$14,$E$15,$E$16,$B141)</f>
        <v>0</v>
      </c>
      <c r="G141" s="23">
        <f ca="1">_xll.DBRW($B$9,$E$11,$E$19,G$20,$E$12,$E$13,$E$14,$E$15,$E$16,$B141)</f>
        <v>0</v>
      </c>
      <c r="H141" s="2">
        <f ca="1">_xll.DBRW($B$9,$E$11,$H$19,H$20,$E$12,$E$13,$E$14,$E$15,$E$16,$B141)</f>
        <v>0</v>
      </c>
      <c r="I141" s="2">
        <f ca="1">_xll.DBRW($B$9,$E$11,$H$19,I$20,$E$12,$E$13,$E$14,$E$15,$E$16,$B141)</f>
        <v>0</v>
      </c>
      <c r="J141" s="2">
        <f ca="1">_xll.DBRW($B$9,$E$11,$H$19,J$20,$E$12,$E$13,$E$14,$E$15,$E$16,$B141)</f>
        <v>0</v>
      </c>
    </row>
    <row r="142" spans="1:10">
      <c r="A142" s="2" t="str">
        <f ca="1">IF(_xll.TM1RPTELISCONSOLIDATED($B$21,$B142),IF(_xll.TM1RPTELLEV($B$21,$B142)&lt;=3,_xll.TM1RPTELLEV($B$21,$B142),"D"),"N")</f>
        <v>N</v>
      </c>
      <c r="B142" s="14" t="s">
        <v>156</v>
      </c>
      <c r="C142" s="2" t="str">
        <f ca="1">_xll.DBRA("tango_core_model:Indicator",$B142,$E$17)</f>
        <v>% of environment compliance on contracts rated C</v>
      </c>
      <c r="D142" s="2" t="str">
        <f ca="1">_xll.DBRA("tango_core_model:Indicator",$B142,"Source_Indicator")</f>
        <v>calc</v>
      </c>
      <c r="E142" s="22">
        <f ca="1">_xll.DBRW($B$9,$E$11,$E$19,E$20,$E$12,$E$13,$E$14,$E$15,$E$16,$B142)</f>
        <v>0</v>
      </c>
      <c r="F142" s="22">
        <f ca="1">_xll.DBRW($B$9,$E$11,$E$19,F$20,$E$12,$E$13,$E$14,$E$15,$E$16,$B142)</f>
        <v>0</v>
      </c>
      <c r="G142" s="23">
        <f ca="1">_xll.DBRW($B$9,$E$11,$E$19,G$20,$E$12,$E$13,$E$14,$E$15,$E$16,$B142)</f>
        <v>0</v>
      </c>
      <c r="H142" s="2">
        <f ca="1">_xll.DBRW($B$9,$E$11,$H$19,H$20,$E$12,$E$13,$E$14,$E$15,$E$16,$B142)</f>
        <v>0</v>
      </c>
      <c r="I142" s="2">
        <f ca="1">_xll.DBRW($B$9,$E$11,$H$19,I$20,$E$12,$E$13,$E$14,$E$15,$E$16,$B142)</f>
        <v>0</v>
      </c>
      <c r="J142" s="2">
        <f ca="1">_xll.DBRW($B$9,$E$11,$H$19,J$20,$E$12,$E$13,$E$14,$E$15,$E$16,$B142)</f>
        <v>0</v>
      </c>
    </row>
    <row r="143" spans="1:10">
      <c r="A143" s="2" t="str">
        <f ca="1">IF(_xll.TM1RPTELISCONSOLIDATED($B$21,$B143),IF(_xll.TM1RPTELLEV($B$21,$B143)&lt;=3,_xll.TM1RPTELLEV($B$21,$B143),"D"),"N")</f>
        <v>N</v>
      </c>
      <c r="B143" s="14" t="s">
        <v>157</v>
      </c>
      <c r="C143" s="2" t="str">
        <f ca="1">_xll.DBRA("tango_core_model:Indicator",$B143,$E$17)</f>
        <v>rate_env_comp_A_CPT</v>
      </c>
      <c r="D143" s="2" t="str">
        <f ca="1">_xll.DBRA("tango_core_model:Indicator",$B143,"Source_Indicator")</f>
        <v>calc</v>
      </c>
      <c r="E143" s="22">
        <f ca="1">_xll.DBRW($B$9,$E$11,$E$19,E$20,$E$12,$E$13,$E$14,$E$15,$E$16,$B143)</f>
        <v>0</v>
      </c>
      <c r="F143" s="22">
        <f ca="1">_xll.DBRW($B$9,$E$11,$E$19,F$20,$E$12,$E$13,$E$14,$E$15,$E$16,$B143)</f>
        <v>0</v>
      </c>
      <c r="G143" s="23">
        <f ca="1">_xll.DBRW($B$9,$E$11,$E$19,G$20,$E$12,$E$13,$E$14,$E$15,$E$16,$B143)</f>
        <v>0</v>
      </c>
      <c r="H143" s="2">
        <f ca="1">_xll.DBRW($B$9,$E$11,$H$19,H$20,$E$12,$E$13,$E$14,$E$15,$E$16,$B143)</f>
        <v>0</v>
      </c>
      <c r="I143" s="2">
        <f ca="1">_xll.DBRW($B$9,$E$11,$H$19,I$20,$E$12,$E$13,$E$14,$E$15,$E$16,$B143)</f>
        <v>0</v>
      </c>
      <c r="J143" s="2">
        <f ca="1">_xll.DBRW($B$9,$E$11,$H$19,J$20,$E$12,$E$13,$E$14,$E$15,$E$16,$B143)</f>
        <v>0</v>
      </c>
    </row>
    <row r="144" spans="1:10">
      <c r="A144" s="2" t="str">
        <f ca="1">IF(_xll.TM1RPTELISCONSOLIDATED($B$21,$B144),IF(_xll.TM1RPTELLEV($B$21,$B144)&lt;=3,_xll.TM1RPTELLEV($B$21,$B144),"D"),"N")</f>
        <v>N</v>
      </c>
      <c r="B144" s="14" t="s">
        <v>158</v>
      </c>
      <c r="C144" s="2" t="str">
        <f ca="1">_xll.DBRA("tango_core_model:Indicator",$B144,$E$17)</f>
        <v>rate_env_comp_B_CPT</v>
      </c>
      <c r="D144" s="2" t="str">
        <f ca="1">_xll.DBRA("tango_core_model:Indicator",$B144,"Source_Indicator")</f>
        <v>calc</v>
      </c>
      <c r="E144" s="22">
        <f ca="1">_xll.DBRW($B$9,$E$11,$E$19,E$20,$E$12,$E$13,$E$14,$E$15,$E$16,$B144)</f>
        <v>0</v>
      </c>
      <c r="F144" s="22">
        <f ca="1">_xll.DBRW($B$9,$E$11,$E$19,F$20,$E$12,$E$13,$E$14,$E$15,$E$16,$B144)</f>
        <v>0</v>
      </c>
      <c r="G144" s="23">
        <f ca="1">_xll.DBRW($B$9,$E$11,$E$19,G$20,$E$12,$E$13,$E$14,$E$15,$E$16,$B144)</f>
        <v>0</v>
      </c>
      <c r="H144" s="2">
        <f ca="1">_xll.DBRW($B$9,$E$11,$H$19,H$20,$E$12,$E$13,$E$14,$E$15,$E$16,$B144)</f>
        <v>0</v>
      </c>
      <c r="I144" s="2">
        <f ca="1">_xll.DBRW($B$9,$E$11,$H$19,I$20,$E$12,$E$13,$E$14,$E$15,$E$16,$B144)</f>
        <v>0</v>
      </c>
      <c r="J144" s="2">
        <f ca="1">_xll.DBRW($B$9,$E$11,$H$19,J$20,$E$12,$E$13,$E$14,$E$15,$E$16,$B144)</f>
        <v>0</v>
      </c>
    </row>
    <row r="145" spans="1:10">
      <c r="A145" s="2" t="str">
        <f ca="1">IF(_xll.TM1RPTELISCONSOLIDATED($B$21,$B145),IF(_xll.TM1RPTELLEV($B$21,$B145)&lt;=3,_xll.TM1RPTELLEV($B$21,$B145),"D"),"N")</f>
        <v>N</v>
      </c>
      <c r="B145" s="14" t="s">
        <v>159</v>
      </c>
      <c r="C145" s="2" t="str">
        <f ca="1">_xll.DBRA("tango_core_model:Indicator",$B145,$E$17)</f>
        <v>rate_env_comp_C_CPT</v>
      </c>
      <c r="D145" s="2" t="str">
        <f ca="1">_xll.DBRA("tango_core_model:Indicator",$B145,"Source_Indicator")</f>
        <v>calc</v>
      </c>
      <c r="E145" s="22">
        <f ca="1">_xll.DBRW($B$9,$E$11,$E$19,E$20,$E$12,$E$13,$E$14,$E$15,$E$16,$B145)</f>
        <v>0</v>
      </c>
      <c r="F145" s="22">
        <f ca="1">_xll.DBRW($B$9,$E$11,$E$19,F$20,$E$12,$E$13,$E$14,$E$15,$E$16,$B145)</f>
        <v>0</v>
      </c>
      <c r="G145" s="23">
        <f ca="1">_xll.DBRW($B$9,$E$11,$E$19,G$20,$E$12,$E$13,$E$14,$E$15,$E$16,$B145)</f>
        <v>0</v>
      </c>
      <c r="H145" s="2">
        <f ca="1">_xll.DBRW($B$9,$E$11,$H$19,H$20,$E$12,$E$13,$E$14,$E$15,$E$16,$B145)</f>
        <v>0</v>
      </c>
      <c r="I145" s="2">
        <f ca="1">_xll.DBRW($B$9,$E$11,$H$19,I$20,$E$12,$E$13,$E$14,$E$15,$E$16,$B145)</f>
        <v>0</v>
      </c>
      <c r="J145" s="2">
        <f ca="1">_xll.DBRW($B$9,$E$11,$H$19,J$20,$E$12,$E$13,$E$14,$E$15,$E$16,$B145)</f>
        <v>0</v>
      </c>
    </row>
    <row r="146" spans="1:10">
      <c r="A146" s="2" t="str">
        <f ca="1">IF(_xll.TM1RPTELISCONSOLIDATED($B$21,$B146),IF(_xll.TM1RPTELLEV($B$21,$B146)&lt;=3,_xll.TM1RPTELLEV($B$21,$B146),"D"),"N")</f>
        <v>N</v>
      </c>
      <c r="B146" s="14" t="s">
        <v>160</v>
      </c>
      <c r="C146" s="2" t="str">
        <f ca="1">_xll.DBRA("tango_core_model:Indicator",$B146,$E$17)</f>
        <v>rate_env_comp_Total_CPT</v>
      </c>
      <c r="D146" s="2" t="str">
        <f ca="1">_xll.DBRA("tango_core_model:Indicator",$B146,"Source_Indicator")</f>
        <v>calc</v>
      </c>
      <c r="E146" s="22">
        <f ca="1">_xll.DBRW($B$9,$E$11,$E$19,E$20,$E$12,$E$13,$E$14,$E$15,$E$16,$B146)</f>
        <v>0</v>
      </c>
      <c r="F146" s="22">
        <f ca="1">_xll.DBRW($B$9,$E$11,$E$19,F$20,$E$12,$E$13,$E$14,$E$15,$E$16,$B146)</f>
        <v>0</v>
      </c>
      <c r="G146" s="23">
        <f ca="1">_xll.DBRW($B$9,$E$11,$E$19,G$20,$E$12,$E$13,$E$14,$E$15,$E$16,$B146)</f>
        <v>0</v>
      </c>
      <c r="H146" s="2">
        <f ca="1">_xll.DBRW($B$9,$E$11,$H$19,H$20,$E$12,$E$13,$E$14,$E$15,$E$16,$B146)</f>
        <v>0</v>
      </c>
      <c r="I146" s="2">
        <f ca="1">_xll.DBRW($B$9,$E$11,$H$19,I$20,$E$12,$E$13,$E$14,$E$15,$E$16,$B146)</f>
        <v>0</v>
      </c>
      <c r="J146" s="2">
        <f ca="1">_xll.DBRW($B$9,$E$11,$H$19,J$20,$E$12,$E$13,$E$14,$E$15,$E$16,$B146)</f>
        <v>0</v>
      </c>
    </row>
    <row r="147" spans="1:10">
      <c r="A147" s="2">
        <f ca="1">IF(_xll.TM1RPTELISCONSOLIDATED($B$21,$B147),IF(_xll.TM1RPTELLEV($B$21,$B147)&lt;=3,_xll.TM1RPTELLEV($B$21,$B147),"D"),"N")</f>
        <v>1</v>
      </c>
      <c r="B147" s="42" t="s">
        <v>161</v>
      </c>
      <c r="C147" s="7" t="str">
        <f ca="1">_xll.DBRA("tango_core_model:Indicator",$B147,$E$17)</f>
        <v>WORK UNITS</v>
      </c>
      <c r="D147" s="7" t="str">
        <f ca="1">_xll.DBRA("tango_core_model:Indicator",$B147,"Source_Indicator")</f>
        <v/>
      </c>
      <c r="E147" s="20">
        <f ca="1">_xll.DBRW($B$9,$E$11,$E$19,E$20,$E$12,$E$13,$E$14,$E$15,$E$16,$B147)</f>
        <v>0</v>
      </c>
      <c r="F147" s="20">
        <f ca="1">_xll.DBRW($B$9,$E$11,$E$19,F$20,$E$12,$E$13,$E$14,$E$15,$E$16,$B147)</f>
        <v>0</v>
      </c>
      <c r="G147" s="21">
        <f ca="1">_xll.DBRW($B$9,$E$11,$E$19,G$20,$E$12,$E$13,$E$14,$E$15,$E$16,$B147)</f>
        <v>0</v>
      </c>
      <c r="H147" s="7">
        <f ca="1">_xll.DBRW($B$9,$E$11,$H$19,H$20,$E$12,$E$13,$E$14,$E$15,$E$16,$B147)</f>
        <v>0</v>
      </c>
      <c r="I147" s="7">
        <f ca="1">_xll.DBRW($B$9,$E$11,$H$19,I$20,$E$12,$E$13,$E$14,$E$15,$E$16,$B147)</f>
        <v>0</v>
      </c>
      <c r="J147" s="7">
        <f ca="1">_xll.DBRW($B$9,$E$11,$H$19,J$20,$E$12,$E$13,$E$14,$E$15,$E$16,$B147)</f>
        <v>0</v>
      </c>
    </row>
    <row r="148" spans="1:10">
      <c r="A148" s="2" t="str">
        <f ca="1">IF(_xll.TM1RPTELISCONSOLIDATED($B$21,$B148),IF(_xll.TM1RPTELLEV($B$21,$B148)&lt;=3,_xll.TM1RPTELLEV($B$21,$B148),"D"),"N")</f>
        <v>N</v>
      </c>
      <c r="B148" s="14" t="s">
        <v>162</v>
      </c>
      <c r="C148" s="2" t="str">
        <f ca="1">_xll.DBRA("tango_core_model:Indicator",$B148,$E$17)</f>
        <v>Passenger revenues / number of passengers</v>
      </c>
      <c r="D148" s="2" t="str">
        <f ca="1">_xll.DBRA("tango_core_model:Indicator",$B148,"Source_Indicator")</f>
        <v>calc</v>
      </c>
      <c r="E148" s="22">
        <f ca="1">_xll.DBRW($B$9,$E$11,$E$19,E$20,$E$12,$E$13,$E$14,$E$15,$E$16,$B148)</f>
        <v>0</v>
      </c>
      <c r="F148" s="22">
        <f ca="1">_xll.DBRW($B$9,$E$11,$E$19,F$20,$E$12,$E$13,$E$14,$E$15,$E$16,$B148)</f>
        <v>0</v>
      </c>
      <c r="G148" s="23">
        <f ca="1">_xll.DBRW($B$9,$E$11,$E$19,G$20,$E$12,$E$13,$E$14,$E$15,$E$16,$B148)</f>
        <v>0</v>
      </c>
      <c r="H148" s="2">
        <f ca="1">_xll.DBRW($B$9,$E$11,$H$19,H$20,$E$12,$E$13,$E$14,$E$15,$E$16,$B148)</f>
        <v>0</v>
      </c>
      <c r="I148" s="2">
        <f ca="1">_xll.DBRW($B$9,$E$11,$H$19,I$20,$E$12,$E$13,$E$14,$E$15,$E$16,$B148)</f>
        <v>0</v>
      </c>
      <c r="J148" s="2">
        <f ca="1">_xll.DBRW($B$9,$E$11,$H$19,J$20,$E$12,$E$13,$E$14,$E$15,$E$16,$B148)</f>
        <v>0</v>
      </c>
    </row>
    <row r="149" spans="1:10">
      <c r="A149" s="2" t="str">
        <f ca="1">IF(_xll.TM1RPTELISCONSOLIDATED($B$21,$B149),IF(_xll.TM1RPTELLEV($B$21,$B149)&lt;=3,_xll.TM1RPTELLEV($B$21,$B149),"D"),"N")</f>
        <v>N</v>
      </c>
      <c r="B149" s="14" t="s">
        <v>163</v>
      </c>
      <c r="C149" s="2" t="str">
        <f ca="1">_xll.DBRA("tango_core_model:Indicator",$B149,$E$17)</f>
        <v>Total revenue / 100km (revenue KM)</v>
      </c>
      <c r="D149" s="2" t="str">
        <f ca="1">_xll.DBRA("tango_core_model:Indicator",$B149,"Source_Indicator")</f>
        <v>calc</v>
      </c>
      <c r="E149" s="22">
        <f ca="1">_xll.DBRW($B$9,$E$11,$E$19,E$20,$E$12,$E$13,$E$14,$E$15,$E$16,$B149)</f>
        <v>0</v>
      </c>
      <c r="F149" s="22">
        <f ca="1">_xll.DBRW($B$9,$E$11,$E$19,F$20,$E$12,$E$13,$E$14,$E$15,$E$16,$B149)</f>
        <v>0</v>
      </c>
      <c r="G149" s="23">
        <f ca="1">_xll.DBRW($B$9,$E$11,$E$19,G$20,$E$12,$E$13,$E$14,$E$15,$E$16,$B149)</f>
        <v>0</v>
      </c>
      <c r="H149" s="2">
        <f ca="1">_xll.DBRW($B$9,$E$11,$H$19,H$20,$E$12,$E$13,$E$14,$E$15,$E$16,$B149)</f>
        <v>0</v>
      </c>
      <c r="I149" s="2">
        <f ca="1">_xll.DBRW($B$9,$E$11,$H$19,I$20,$E$12,$E$13,$E$14,$E$15,$E$16,$B149)</f>
        <v>0</v>
      </c>
      <c r="J149" s="2">
        <f ca="1">_xll.DBRW($B$9,$E$11,$H$19,J$20,$E$12,$E$13,$E$14,$E$15,$E$16,$B149)</f>
        <v>0</v>
      </c>
    </row>
    <row r="150" spans="1:10">
      <c r="A150" s="2" t="str">
        <f ca="1">IF(_xll.TM1RPTELISCONSOLIDATED($B$21,$B150),IF(_xll.TM1RPTELLEV($B$21,$B150)&lt;=3,_xll.TM1RPTELLEV($B$21,$B150),"D"),"N")</f>
        <v>N</v>
      </c>
      <c r="B150" s="14" t="s">
        <v>164</v>
      </c>
      <c r="C150" s="2" t="str">
        <f ca="1">_xll.DBRA("tango_core_model:Indicator",$B150,$E$17)</f>
        <v>Total revenue / Revenue Hours</v>
      </c>
      <c r="D150" s="2" t="str">
        <f ca="1">_xll.DBRA("tango_core_model:Indicator",$B150,"Source_Indicator")</f>
        <v>calc</v>
      </c>
      <c r="E150" s="22">
        <f ca="1">_xll.DBRW($B$9,$E$11,$E$19,E$20,$E$12,$E$13,$E$14,$E$15,$E$16,$B150)</f>
        <v>0</v>
      </c>
      <c r="F150" s="22">
        <f ca="1">_xll.DBRW($B$9,$E$11,$E$19,F$20,$E$12,$E$13,$E$14,$E$15,$E$16,$B150)</f>
        <v>0</v>
      </c>
      <c r="G150" s="23">
        <f ca="1">_xll.DBRW($B$9,$E$11,$E$19,G$20,$E$12,$E$13,$E$14,$E$15,$E$16,$B150)</f>
        <v>0</v>
      </c>
      <c r="H150" s="2">
        <f ca="1">_xll.DBRW($B$9,$E$11,$H$19,H$20,$E$12,$E$13,$E$14,$E$15,$E$16,$B150)</f>
        <v>0</v>
      </c>
      <c r="I150" s="2">
        <f ca="1">_xll.DBRW($B$9,$E$11,$H$19,I$20,$E$12,$E$13,$E$14,$E$15,$E$16,$B150)</f>
        <v>0</v>
      </c>
      <c r="J150" s="2">
        <f ca="1">_xll.DBRW($B$9,$E$11,$H$19,J$20,$E$12,$E$13,$E$14,$E$15,$E$16,$B150)</f>
        <v>0</v>
      </c>
    </row>
    <row r="151" spans="1:10">
      <c r="A151" s="2" t="str">
        <f ca="1">IF(_xll.TM1RPTELISCONSOLIDATED($B$21,$B151),IF(_xll.TM1RPTELLEV($B$21,$B151)&lt;=3,_xll.TM1RPTELLEV($B$21,$B151),"D"),"N")</f>
        <v>N</v>
      </c>
      <c r="B151" s="14" t="s">
        <v>165</v>
      </c>
      <c r="C151" s="2" t="str">
        <f ca="1">_xll.DBRA("tango_core_model:Indicator",$B151,$E$17)</f>
        <v>Total revenue / Revenue Vehicle (TOD)</v>
      </c>
      <c r="D151" s="2" t="str">
        <f ca="1">_xll.DBRA("tango_core_model:Indicator",$B151,"Source_Indicator")</f>
        <v>calc</v>
      </c>
      <c r="E151" s="22">
        <f ca="1">_xll.DBRW($B$9,$E$11,$E$19,E$20,$E$12,$E$13,$E$14,$E$15,$E$16,$B151)</f>
        <v>0</v>
      </c>
      <c r="F151" s="22">
        <f ca="1">_xll.DBRW($B$9,$E$11,$E$19,F$20,$E$12,$E$13,$E$14,$E$15,$E$16,$B151)</f>
        <v>0</v>
      </c>
      <c r="G151" s="23">
        <f ca="1">_xll.DBRW($B$9,$E$11,$E$19,G$20,$E$12,$E$13,$E$14,$E$15,$E$16,$B151)</f>
        <v>0</v>
      </c>
      <c r="H151" s="2">
        <f ca="1">_xll.DBRW($B$9,$E$11,$H$19,H$20,$E$12,$E$13,$E$14,$E$15,$E$16,$B151)</f>
        <v>0</v>
      </c>
      <c r="I151" s="2">
        <f ca="1">_xll.DBRW($B$9,$E$11,$H$19,I$20,$E$12,$E$13,$E$14,$E$15,$E$16,$B151)</f>
        <v>0</v>
      </c>
      <c r="J151" s="2">
        <f ca="1">_xll.DBRW($B$9,$E$11,$H$19,J$20,$E$12,$E$13,$E$14,$E$15,$E$16,$B151)</f>
        <v>0</v>
      </c>
    </row>
    <row r="152" spans="1:10">
      <c r="A152" s="2" t="str">
        <f ca="1">IF(_xll.TM1RPTELISCONSOLIDATED($B$21,$B152),IF(_xll.TM1RPTELLEV($B$21,$B152)&lt;=3,_xll.TM1RPTELLEV($B$21,$B152),"D"),"N")</f>
        <v>N</v>
      </c>
      <c r="B152" s="14" t="s">
        <v>166</v>
      </c>
      <c r="C152" s="2" t="str">
        <f ca="1">_xll.DBRA("tango_core_model:Indicator",$B152,$E$17)</f>
        <v>Total Revenue / Number of operated services (Trips for TOD)</v>
      </c>
      <c r="D152" s="2" t="str">
        <f ca="1">_xll.DBRA("tango_core_model:Indicator",$B152,"Source_Indicator")</f>
        <v>calc</v>
      </c>
      <c r="E152" s="22">
        <f ca="1">_xll.DBRW($B$9,$E$11,$E$19,E$20,$E$12,$E$13,$E$14,$E$15,$E$16,$B152)</f>
        <v>0</v>
      </c>
      <c r="F152" s="22">
        <f ca="1">_xll.DBRW($B$9,$E$11,$E$19,F$20,$E$12,$E$13,$E$14,$E$15,$E$16,$B152)</f>
        <v>0</v>
      </c>
      <c r="G152" s="23">
        <f ca="1">_xll.DBRW($B$9,$E$11,$E$19,G$20,$E$12,$E$13,$E$14,$E$15,$E$16,$B152)</f>
        <v>0</v>
      </c>
      <c r="H152" s="2">
        <f ca="1">_xll.DBRW($B$9,$E$11,$H$19,H$20,$E$12,$E$13,$E$14,$E$15,$E$16,$B152)</f>
        <v>0</v>
      </c>
      <c r="I152" s="2">
        <f ca="1">_xll.DBRW($B$9,$E$11,$H$19,I$20,$E$12,$E$13,$E$14,$E$15,$E$16,$B152)</f>
        <v>0</v>
      </c>
      <c r="J152" s="2">
        <f ca="1">_xll.DBRW($B$9,$E$11,$H$19,J$20,$E$12,$E$13,$E$14,$E$15,$E$16,$B152)</f>
        <v>0</v>
      </c>
    </row>
    <row r="153" spans="1:10">
      <c r="A153" s="2" t="str">
        <f ca="1">IF(_xll.TM1RPTELISCONSOLIDATED($B$21,$B153),IF(_xll.TM1RPTELLEV($B$21,$B153)&lt;=3,_xll.TM1RPTELLEV($B$21,$B153),"D"),"N")</f>
        <v>N</v>
      </c>
      <c r="B153" s="14" t="s">
        <v>167</v>
      </c>
      <c r="C153" s="2" t="str">
        <f ca="1">_xll.DBRA("tango_core_model:Indicator",$B153,$E$17)</f>
        <v>Total Revenue / 100km (self driven + subcontracted km)</v>
      </c>
      <c r="D153" s="2" t="str">
        <f ca="1">_xll.DBRA("tango_core_model:Indicator",$B153,"Source_Indicator")</f>
        <v>calc</v>
      </c>
      <c r="E153" s="22">
        <f ca="1">_xll.DBRW($B$9,$E$11,$E$19,E$20,$E$12,$E$13,$E$14,$E$15,$E$16,$B153)</f>
        <v>0</v>
      </c>
      <c r="F153" s="22">
        <f ca="1">_xll.DBRW($B$9,$E$11,$E$19,F$20,$E$12,$E$13,$E$14,$E$15,$E$16,$B153)</f>
        <v>0</v>
      </c>
      <c r="G153" s="23">
        <f ca="1">_xll.DBRW($B$9,$E$11,$E$19,G$20,$E$12,$E$13,$E$14,$E$15,$E$16,$B153)</f>
        <v>0</v>
      </c>
      <c r="H153" s="2">
        <f ca="1">_xll.DBRW($B$9,$E$11,$H$19,H$20,$E$12,$E$13,$E$14,$E$15,$E$16,$B153)</f>
        <v>0</v>
      </c>
      <c r="I153" s="2">
        <f ca="1">_xll.DBRW($B$9,$E$11,$H$19,I$20,$E$12,$E$13,$E$14,$E$15,$E$16,$B153)</f>
        <v>0</v>
      </c>
      <c r="J153" s="2">
        <f ca="1">_xll.DBRW($B$9,$E$11,$H$19,J$20,$E$12,$E$13,$E$14,$E$15,$E$16,$B153)</f>
        <v>0</v>
      </c>
    </row>
    <row r="154" spans="1:10">
      <c r="A154" s="2" t="str">
        <f ca="1">IF(_xll.TM1RPTELISCONSOLIDATED($B$21,$B154),IF(_xll.TM1RPTELLEV($B$21,$B154)&lt;=3,_xll.TM1RPTELLEV($B$21,$B154),"D"),"N")</f>
        <v>N</v>
      </c>
      <c r="B154" s="14" t="s">
        <v>168</v>
      </c>
      <c r="C154" s="2" t="str">
        <f ca="1">_xll.DBRA("tango_core_model:Indicator",$B154,$E$17)</f>
        <v>Total Transports costs/ 100km (self driven)</v>
      </c>
      <c r="D154" s="2" t="str">
        <f ca="1">_xll.DBRA("tango_core_model:Indicator",$B154,"Source_Indicator")</f>
        <v>calc</v>
      </c>
      <c r="E154" s="22">
        <f ca="1">_xll.DBRW($B$9,$E$11,$E$19,E$20,$E$12,$E$13,$E$14,$E$15,$E$16,$B154)</f>
        <v>0</v>
      </c>
      <c r="F154" s="22">
        <f ca="1">_xll.DBRW($B$9,$E$11,$E$19,F$20,$E$12,$E$13,$E$14,$E$15,$E$16,$B154)</f>
        <v>0</v>
      </c>
      <c r="G154" s="23">
        <f ca="1">_xll.DBRW($B$9,$E$11,$E$19,G$20,$E$12,$E$13,$E$14,$E$15,$E$16,$B154)</f>
        <v>0</v>
      </c>
      <c r="H154" s="2">
        <f ca="1">_xll.DBRW($B$9,$E$11,$H$19,H$20,$E$12,$E$13,$E$14,$E$15,$E$16,$B154)</f>
        <v>0</v>
      </c>
      <c r="I154" s="2">
        <f ca="1">_xll.DBRW($B$9,$E$11,$H$19,I$20,$E$12,$E$13,$E$14,$E$15,$E$16,$B154)</f>
        <v>0</v>
      </c>
      <c r="J154" s="2">
        <f ca="1">_xll.DBRW($B$9,$E$11,$H$19,J$20,$E$12,$E$13,$E$14,$E$15,$E$16,$B154)</f>
        <v>0</v>
      </c>
    </row>
    <row r="155" spans="1:10">
      <c r="A155" s="2" t="str">
        <f ca="1">IF(_xll.TM1RPTELISCONSOLIDATED($B$21,$B155),IF(_xll.TM1RPTELLEV($B$21,$B155)&lt;=3,_xll.TM1RPTELLEV($B$21,$B155),"D"),"N")</f>
        <v>N</v>
      </c>
      <c r="B155" s="14" t="s">
        <v>169</v>
      </c>
      <c r="C155" s="2" t="str">
        <f ca="1">_xll.DBRA("tango_core_model:Indicator",$B155,$E$17)</f>
        <v>Driving costs / 100km (self driven)</v>
      </c>
      <c r="D155" s="2" t="str">
        <f ca="1">_xll.DBRA("tango_core_model:Indicator",$B155,"Source_Indicator")</f>
        <v>calc</v>
      </c>
      <c r="E155" s="22">
        <f ca="1">_xll.DBRW($B$9,$E$11,$E$19,E$20,$E$12,$E$13,$E$14,$E$15,$E$16,$B155)</f>
        <v>0</v>
      </c>
      <c r="F155" s="22">
        <f ca="1">_xll.DBRW($B$9,$E$11,$E$19,F$20,$E$12,$E$13,$E$14,$E$15,$E$16,$B155)</f>
        <v>0</v>
      </c>
      <c r="G155" s="23">
        <f ca="1">_xll.DBRW($B$9,$E$11,$E$19,G$20,$E$12,$E$13,$E$14,$E$15,$E$16,$B155)</f>
        <v>0</v>
      </c>
      <c r="H155" s="2">
        <f ca="1">_xll.DBRW($B$9,$E$11,$H$19,H$20,$E$12,$E$13,$E$14,$E$15,$E$16,$B155)</f>
        <v>0</v>
      </c>
      <c r="I155" s="2">
        <f ca="1">_xll.DBRW($B$9,$E$11,$H$19,I$20,$E$12,$E$13,$E$14,$E$15,$E$16,$B155)</f>
        <v>0</v>
      </c>
      <c r="J155" s="2">
        <f ca="1">_xll.DBRW($B$9,$E$11,$H$19,J$20,$E$12,$E$13,$E$14,$E$15,$E$16,$B155)</f>
        <v>0</v>
      </c>
    </row>
    <row r="156" spans="1:10">
      <c r="A156" s="2" t="str">
        <f ca="1">IF(_xll.TM1RPTELISCONSOLIDATED($B$21,$B156),IF(_xll.TM1RPTELLEV($B$21,$B156)&lt;=3,_xll.TM1RPTELLEV($B$21,$B156),"D"),"N")</f>
        <v>N</v>
      </c>
      <c r="B156" s="14" t="s">
        <v>170</v>
      </c>
      <c r="C156" s="2" t="str">
        <f ca="1">_xll.DBRA("tango_core_model:Indicator",$B156,$E$17)</f>
        <v>Driving staff costs / Driving paid hours</v>
      </c>
      <c r="D156" s="2" t="str">
        <f ca="1">_xll.DBRA("tango_core_model:Indicator",$B156,"Source_Indicator")</f>
        <v>calc</v>
      </c>
      <c r="E156" s="22">
        <f ca="1">_xll.DBRW($B$9,$E$11,$E$19,E$20,$E$12,$E$13,$E$14,$E$15,$E$16,$B156)</f>
        <v>0</v>
      </c>
      <c r="F156" s="22">
        <f ca="1">_xll.DBRW($B$9,$E$11,$E$19,F$20,$E$12,$E$13,$E$14,$E$15,$E$16,$B156)</f>
        <v>0</v>
      </c>
      <c r="G156" s="23">
        <f ca="1">_xll.DBRW($B$9,$E$11,$E$19,G$20,$E$12,$E$13,$E$14,$E$15,$E$16,$B156)</f>
        <v>0</v>
      </c>
      <c r="H156" s="2">
        <f ca="1">_xll.DBRW($B$9,$E$11,$H$19,H$20,$E$12,$E$13,$E$14,$E$15,$E$16,$B156)</f>
        <v>0</v>
      </c>
      <c r="I156" s="2">
        <f ca="1">_xll.DBRW($B$9,$E$11,$H$19,I$20,$E$12,$E$13,$E$14,$E$15,$E$16,$B156)</f>
        <v>0</v>
      </c>
      <c r="J156" s="2">
        <f ca="1">_xll.DBRW($B$9,$E$11,$H$19,J$20,$E$12,$E$13,$E$14,$E$15,$E$16,$B156)</f>
        <v>0</v>
      </c>
    </row>
    <row r="157" spans="1:10">
      <c r="A157" s="2" t="str">
        <f ca="1">IF(_xll.TM1RPTELISCONSOLIDATED($B$21,$B157),IF(_xll.TM1RPTELLEV($B$21,$B157)&lt;=3,_xll.TM1RPTELLEV($B$21,$B157),"D"),"N")</f>
        <v>N</v>
      </c>
      <c r="B157" s="14" t="s">
        <v>171</v>
      </c>
      <c r="C157" s="2" t="str">
        <f ca="1">_xll.DBRA("tango_core_model:Indicator",$B157,$E$17)</f>
        <v>Costs of fuel by 100km driven by fuel</v>
      </c>
      <c r="D157" s="2" t="str">
        <f ca="1">_xll.DBRA("tango_core_model:Indicator",$B157,"Source_Indicator")</f>
        <v>calc</v>
      </c>
      <c r="E157" s="22">
        <f ca="1">_xll.DBRW($B$9,$E$11,$E$19,E$20,$E$12,$E$13,$E$14,$E$15,$E$16,$B157)</f>
        <v>0</v>
      </c>
      <c r="F157" s="22">
        <f ca="1">_xll.DBRW($B$9,$E$11,$E$19,F$20,$E$12,$E$13,$E$14,$E$15,$E$16,$B157)</f>
        <v>0</v>
      </c>
      <c r="G157" s="23">
        <f ca="1">_xll.DBRW($B$9,$E$11,$E$19,G$20,$E$12,$E$13,$E$14,$E$15,$E$16,$B157)</f>
        <v>0</v>
      </c>
      <c r="H157" s="2">
        <f ca="1">_xll.DBRW($B$9,$E$11,$H$19,H$20,$E$12,$E$13,$E$14,$E$15,$E$16,$B157)</f>
        <v>0</v>
      </c>
      <c r="I157" s="2">
        <f ca="1">_xll.DBRW($B$9,$E$11,$H$19,I$20,$E$12,$E$13,$E$14,$E$15,$E$16,$B157)</f>
        <v>0</v>
      </c>
      <c r="J157" s="2">
        <f ca="1">_xll.DBRW($B$9,$E$11,$H$19,J$20,$E$12,$E$13,$E$14,$E$15,$E$16,$B157)</f>
        <v>0</v>
      </c>
    </row>
    <row r="158" spans="1:10">
      <c r="A158" s="2" t="str">
        <f ca="1">IF(_xll.TM1RPTELISCONSOLIDATED($B$21,$B158),IF(_xll.TM1RPTELLEV($B$21,$B158)&lt;=3,_xll.TM1RPTELLEV($B$21,$B158),"D"),"N")</f>
        <v>N</v>
      </c>
      <c r="B158" s="14" t="s">
        <v>172</v>
      </c>
      <c r="C158" s="2" t="str">
        <f ca="1">_xll.DBRA("tango_core_model:Indicator",$B158,$E$17)</f>
        <v>Costs of biofuel by 100km driven by biofuel</v>
      </c>
      <c r="D158" s="2" t="str">
        <f ca="1">_xll.DBRA("tango_core_model:Indicator",$B158,"Source_Indicator")</f>
        <v>calc</v>
      </c>
      <c r="E158" s="22">
        <f ca="1">_xll.DBRW($B$9,$E$11,$E$19,E$20,$E$12,$E$13,$E$14,$E$15,$E$16,$B158)</f>
        <v>0</v>
      </c>
      <c r="F158" s="22">
        <f ca="1">_xll.DBRW($B$9,$E$11,$E$19,F$20,$E$12,$E$13,$E$14,$E$15,$E$16,$B158)</f>
        <v>0</v>
      </c>
      <c r="G158" s="23">
        <f ca="1">_xll.DBRW($B$9,$E$11,$E$19,G$20,$E$12,$E$13,$E$14,$E$15,$E$16,$B158)</f>
        <v>0</v>
      </c>
      <c r="H158" s="2">
        <f ca="1">_xll.DBRW($B$9,$E$11,$H$19,H$20,$E$12,$E$13,$E$14,$E$15,$E$16,$B158)</f>
        <v>0</v>
      </c>
      <c r="I158" s="2">
        <f ca="1">_xll.DBRW($B$9,$E$11,$H$19,I$20,$E$12,$E$13,$E$14,$E$15,$E$16,$B158)</f>
        <v>0</v>
      </c>
      <c r="J158" s="2">
        <f ca="1">_xll.DBRW($B$9,$E$11,$H$19,J$20,$E$12,$E$13,$E$14,$E$15,$E$16,$B158)</f>
        <v>0</v>
      </c>
    </row>
    <row r="159" spans="1:10">
      <c r="A159" s="2" t="str">
        <f ca="1">IF(_xll.TM1RPTELISCONSOLIDATED($B$21,$B159),IF(_xll.TM1RPTELLEV($B$21,$B159)&lt;=3,_xll.TM1RPTELLEV($B$21,$B159),"D"),"N")</f>
        <v>N</v>
      </c>
      <c r="B159" s="14" t="s">
        <v>173</v>
      </c>
      <c r="C159" s="2" t="str">
        <f ca="1">_xll.DBRA("tango_core_model:Indicator",$B159,$E$17)</f>
        <v>Costs of electricity by 100km driven by electricity</v>
      </c>
      <c r="D159" s="2" t="str">
        <f ca="1">_xll.DBRA("tango_core_model:Indicator",$B159,"Source_Indicator")</f>
        <v>calc</v>
      </c>
      <c r="E159" s="22">
        <f ca="1">_xll.DBRW($B$9,$E$11,$E$19,E$20,$E$12,$E$13,$E$14,$E$15,$E$16,$B159)</f>
        <v>0</v>
      </c>
      <c r="F159" s="22">
        <f ca="1">_xll.DBRW($B$9,$E$11,$E$19,F$20,$E$12,$E$13,$E$14,$E$15,$E$16,$B159)</f>
        <v>0</v>
      </c>
      <c r="G159" s="23">
        <f ca="1">_xll.DBRW($B$9,$E$11,$E$19,G$20,$E$12,$E$13,$E$14,$E$15,$E$16,$B159)</f>
        <v>0</v>
      </c>
      <c r="H159" s="2">
        <f ca="1">_xll.DBRW($B$9,$E$11,$H$19,H$20,$E$12,$E$13,$E$14,$E$15,$E$16,$B159)</f>
        <v>0</v>
      </c>
      <c r="I159" s="2">
        <f ca="1">_xll.DBRW($B$9,$E$11,$H$19,I$20,$E$12,$E$13,$E$14,$E$15,$E$16,$B159)</f>
        <v>0</v>
      </c>
      <c r="J159" s="2">
        <f ca="1">_xll.DBRW($B$9,$E$11,$H$19,J$20,$E$12,$E$13,$E$14,$E$15,$E$16,$B159)</f>
        <v>0</v>
      </c>
    </row>
    <row r="160" spans="1:10">
      <c r="A160" s="2" t="str">
        <f ca="1">IF(_xll.TM1RPTELISCONSOLIDATED($B$21,$B160),IF(_xll.TM1RPTELLEV($B$21,$B160)&lt;=3,_xll.TM1RPTELLEV($B$21,$B160),"D"),"N")</f>
        <v>N</v>
      </c>
      <c r="B160" s="14" t="s">
        <v>174</v>
      </c>
      <c r="C160" s="2" t="str">
        <f ca="1">_xll.DBRA("tango_core_model:Indicator",$B160,$E$17)</f>
        <v>Costs of gas by 100km driven by gas</v>
      </c>
      <c r="D160" s="2" t="str">
        <f ca="1">_xll.DBRA("tango_core_model:Indicator",$B160,"Source_Indicator")</f>
        <v>calc</v>
      </c>
      <c r="E160" s="22">
        <f ca="1">_xll.DBRW($B$9,$E$11,$E$19,E$20,$E$12,$E$13,$E$14,$E$15,$E$16,$B160)</f>
        <v>0</v>
      </c>
      <c r="F160" s="22">
        <f ca="1">_xll.DBRW($B$9,$E$11,$E$19,F$20,$E$12,$E$13,$E$14,$E$15,$E$16,$B160)</f>
        <v>0</v>
      </c>
      <c r="G160" s="23">
        <f ca="1">_xll.DBRW($B$9,$E$11,$E$19,G$20,$E$12,$E$13,$E$14,$E$15,$E$16,$B160)</f>
        <v>0</v>
      </c>
      <c r="H160" s="2">
        <f ca="1">_xll.DBRW($B$9,$E$11,$H$19,H$20,$E$12,$E$13,$E$14,$E$15,$E$16,$B160)</f>
        <v>0</v>
      </c>
      <c r="I160" s="2">
        <f ca="1">_xll.DBRW($B$9,$E$11,$H$19,I$20,$E$12,$E$13,$E$14,$E$15,$E$16,$B160)</f>
        <v>0</v>
      </c>
      <c r="J160" s="2">
        <f ca="1">_xll.DBRW($B$9,$E$11,$H$19,J$20,$E$12,$E$13,$E$14,$E$15,$E$16,$B160)</f>
        <v>0</v>
      </c>
    </row>
    <row r="161" spans="1:10">
      <c r="A161" s="2" t="str">
        <f ca="1">IF(_xll.TM1RPTELISCONSOLIDATED($B$21,$B161),IF(_xll.TM1RPTELLEV($B$21,$B161)&lt;=3,_xll.TM1RPTELLEV($B$21,$B161),"D"),"N")</f>
        <v>N</v>
      </c>
      <c r="B161" s="14" t="s">
        <v>175</v>
      </c>
      <c r="C161" s="2" t="str">
        <f ca="1">_xll.DBRA("tango_core_model:Indicator",$B161,$E$17)</f>
        <v>Fleet maintenance costs / 100km (self driven)</v>
      </c>
      <c r="D161" s="2" t="str">
        <f ca="1">_xll.DBRA("tango_core_model:Indicator",$B161,"Source_Indicator")</f>
        <v>calc</v>
      </c>
      <c r="E161" s="22">
        <f ca="1">_xll.DBRW($B$9,$E$11,$E$19,E$20,$E$12,$E$13,$E$14,$E$15,$E$16,$B161)</f>
        <v>0</v>
      </c>
      <c r="F161" s="22">
        <f ca="1">_xll.DBRW($B$9,$E$11,$E$19,F$20,$E$12,$E$13,$E$14,$E$15,$E$16,$B161)</f>
        <v>0</v>
      </c>
      <c r="G161" s="23">
        <f ca="1">_xll.DBRW($B$9,$E$11,$E$19,G$20,$E$12,$E$13,$E$14,$E$15,$E$16,$B161)</f>
        <v>0</v>
      </c>
      <c r="H161" s="2">
        <f ca="1">_xll.DBRW($B$9,$E$11,$H$19,H$20,$E$12,$E$13,$E$14,$E$15,$E$16,$B161)</f>
        <v>0</v>
      </c>
      <c r="I161" s="2">
        <f ca="1">_xll.DBRW($B$9,$E$11,$H$19,I$20,$E$12,$E$13,$E$14,$E$15,$E$16,$B161)</f>
        <v>0</v>
      </c>
      <c r="J161" s="2">
        <f ca="1">_xll.DBRW($B$9,$E$11,$H$19,J$20,$E$12,$E$13,$E$14,$E$15,$E$16,$B161)</f>
        <v>0</v>
      </c>
    </row>
    <row r="162" spans="1:10">
      <c r="A162" s="2" t="str">
        <f ca="1">IF(_xll.TM1RPTELISCONSOLIDATED($B$21,$B162),IF(_xll.TM1RPTELLEV($B$21,$B162)&lt;=3,_xll.TM1RPTELLEV($B$21,$B162),"D"),"N")</f>
        <v>N</v>
      </c>
      <c r="B162" s="14" t="s">
        <v>176</v>
      </c>
      <c r="C162" s="2" t="str">
        <f ca="1">_xll.DBRA("tango_core_model:Indicator",$B162,$E$17)</f>
        <v>Fleet maintenance costs / Total number of vehicles</v>
      </c>
      <c r="D162" s="2" t="str">
        <f ca="1">_xll.DBRA("tango_core_model:Indicator",$B162,"Source_Indicator")</f>
        <v>calc</v>
      </c>
      <c r="E162" s="22">
        <f ca="1">_xll.DBRW($B$9,$E$11,$E$19,E$20,$E$12,$E$13,$E$14,$E$15,$E$16,$B162)</f>
        <v>0</v>
      </c>
      <c r="F162" s="22">
        <f ca="1">_xll.DBRW($B$9,$E$11,$E$19,F$20,$E$12,$E$13,$E$14,$E$15,$E$16,$B162)</f>
        <v>0</v>
      </c>
      <c r="G162" s="23">
        <f ca="1">_xll.DBRW($B$9,$E$11,$E$19,G$20,$E$12,$E$13,$E$14,$E$15,$E$16,$B162)</f>
        <v>0</v>
      </c>
      <c r="H162" s="2">
        <f ca="1">_xll.DBRW($B$9,$E$11,$H$19,H$20,$E$12,$E$13,$E$14,$E$15,$E$16,$B162)</f>
        <v>0</v>
      </c>
      <c r="I162" s="2">
        <f ca="1">_xll.DBRW($B$9,$E$11,$H$19,I$20,$E$12,$E$13,$E$14,$E$15,$E$16,$B162)</f>
        <v>0</v>
      </c>
      <c r="J162" s="2">
        <f ca="1">_xll.DBRW($B$9,$E$11,$H$19,J$20,$E$12,$E$13,$E$14,$E$15,$E$16,$B162)</f>
        <v>0</v>
      </c>
    </row>
    <row r="163" spans="1:10">
      <c r="A163" s="2" t="str">
        <f ca="1">IF(_xll.TM1RPTELISCONSOLIDATED($B$21,$B163),IF(_xll.TM1RPTELLEV($B$21,$B163)&lt;=3,_xll.TM1RPTELLEV($B$21,$B163),"D"),"N")</f>
        <v>N</v>
      </c>
      <c r="B163" s="14" t="s">
        <v>177</v>
      </c>
      <c r="C163" s="2" t="str">
        <f ca="1">_xll.DBRA("tango_core_model:Indicator",$B163,$E$17)</f>
        <v>Fleet maintenance &amp; cleaning staff costs / Fleet maintenance &amp; cleaning paid hours</v>
      </c>
      <c r="D163" s="2" t="str">
        <f ca="1">_xll.DBRA("tango_core_model:Indicator",$B163,"Source_Indicator")</f>
        <v>calc</v>
      </c>
      <c r="E163" s="22">
        <f ca="1">_xll.DBRW($B$9,$E$11,$E$19,E$20,$E$12,$E$13,$E$14,$E$15,$E$16,$B163)</f>
        <v>0</v>
      </c>
      <c r="F163" s="22">
        <f ca="1">_xll.DBRW($B$9,$E$11,$E$19,F$20,$E$12,$E$13,$E$14,$E$15,$E$16,$B163)</f>
        <v>0</v>
      </c>
      <c r="G163" s="23">
        <f ca="1">_xll.DBRW($B$9,$E$11,$E$19,G$20,$E$12,$E$13,$E$14,$E$15,$E$16,$B163)</f>
        <v>0</v>
      </c>
      <c r="H163" s="2">
        <f ca="1">_xll.DBRW($B$9,$E$11,$H$19,H$20,$E$12,$E$13,$E$14,$E$15,$E$16,$B163)</f>
        <v>0</v>
      </c>
      <c r="I163" s="2">
        <f ca="1">_xll.DBRW($B$9,$E$11,$H$19,I$20,$E$12,$E$13,$E$14,$E$15,$E$16,$B163)</f>
        <v>0</v>
      </c>
      <c r="J163" s="2">
        <f ca="1">_xll.DBRW($B$9,$E$11,$H$19,J$20,$E$12,$E$13,$E$14,$E$15,$E$16,$B163)</f>
        <v>0</v>
      </c>
    </row>
    <row r="164" spans="1:10">
      <c r="A164" s="2" t="str">
        <f ca="1">IF(_xll.TM1RPTELISCONSOLIDATED($B$21,$B164),IF(_xll.TM1RPTELLEV($B$21,$B164)&lt;=3,_xll.TM1RPTELLEV($B$21,$B164),"D"),"N")</f>
        <v>N</v>
      </c>
      <c r="B164" s="14" t="s">
        <v>178</v>
      </c>
      <c r="C164" s="2" t="str">
        <f ca="1">_xll.DBRA("tango_core_model:Indicator",$B164,$E$17)</f>
        <v>Fleet costs / Total number of vehicles</v>
      </c>
      <c r="D164" s="2" t="str">
        <f ca="1">_xll.DBRA("tango_core_model:Indicator",$B164,"Source_Indicator")</f>
        <v>calc</v>
      </c>
      <c r="E164" s="22">
        <f ca="1">_xll.DBRW($B$9,$E$11,$E$19,E$20,$E$12,$E$13,$E$14,$E$15,$E$16,$B164)</f>
        <v>0</v>
      </c>
      <c r="F164" s="22">
        <f ca="1">_xll.DBRW($B$9,$E$11,$E$19,F$20,$E$12,$E$13,$E$14,$E$15,$E$16,$B164)</f>
        <v>0</v>
      </c>
      <c r="G164" s="23">
        <f ca="1">_xll.DBRW($B$9,$E$11,$E$19,G$20,$E$12,$E$13,$E$14,$E$15,$E$16,$B164)</f>
        <v>0</v>
      </c>
      <c r="H164" s="2">
        <f ca="1">_xll.DBRW($B$9,$E$11,$H$19,H$20,$E$12,$E$13,$E$14,$E$15,$E$16,$B164)</f>
        <v>0</v>
      </c>
      <c r="I164" s="2">
        <f ca="1">_xll.DBRW($B$9,$E$11,$H$19,I$20,$E$12,$E$13,$E$14,$E$15,$E$16,$B164)</f>
        <v>0</v>
      </c>
      <c r="J164" s="2">
        <f ca="1">_xll.DBRW($B$9,$E$11,$H$19,J$20,$E$12,$E$13,$E$14,$E$15,$E$16,$B164)</f>
        <v>0</v>
      </c>
    </row>
    <row r="165" spans="1:10">
      <c r="A165" s="2" t="str">
        <f ca="1">IF(_xll.TM1RPTELISCONSOLIDATED($B$21,$B165),IF(_xll.TM1RPTELLEV($B$21,$B165)&lt;=3,_xll.TM1RPTELLEV($B$21,$B165),"D"),"N")</f>
        <v>N</v>
      </c>
      <c r="B165" s="14" t="s">
        <v>179</v>
      </c>
      <c r="C165" s="2" t="str">
        <f ca="1">_xll.DBRA("tango_core_model:Indicator",$B165,$E$17)</f>
        <v>Costs of customer service by 100 000 passengers</v>
      </c>
      <c r="D165" s="2" t="str">
        <f ca="1">_xll.DBRA("tango_core_model:Indicator",$B165,"Source_Indicator")</f>
        <v>calc</v>
      </c>
      <c r="E165" s="22">
        <f ca="1">_xll.DBRW($B$9,$E$11,$E$19,E$20,$E$12,$E$13,$E$14,$E$15,$E$16,$B165)</f>
        <v>0</v>
      </c>
      <c r="F165" s="22">
        <f ca="1">_xll.DBRW($B$9,$E$11,$E$19,F$20,$E$12,$E$13,$E$14,$E$15,$E$16,$B165)</f>
        <v>0</v>
      </c>
      <c r="G165" s="23">
        <f ca="1">_xll.DBRW($B$9,$E$11,$E$19,G$20,$E$12,$E$13,$E$14,$E$15,$E$16,$B165)</f>
        <v>0</v>
      </c>
      <c r="H165" s="2">
        <f ca="1">_xll.DBRW($B$9,$E$11,$H$19,H$20,$E$12,$E$13,$E$14,$E$15,$E$16,$B165)</f>
        <v>0</v>
      </c>
      <c r="I165" s="2">
        <f ca="1">_xll.DBRW($B$9,$E$11,$H$19,I$20,$E$12,$E$13,$E$14,$E$15,$E$16,$B165)</f>
        <v>0</v>
      </c>
      <c r="J165" s="2">
        <f ca="1">_xll.DBRW($B$9,$E$11,$H$19,J$20,$E$12,$E$13,$E$14,$E$15,$E$16,$B165)</f>
        <v>0</v>
      </c>
    </row>
    <row r="166" spans="1:10">
      <c r="A166" s="2" t="str">
        <f ca="1">IF(_xll.TM1RPTELISCONSOLIDATED($B$21,$B166),IF(_xll.TM1RPTELLEV($B$21,$B166)&lt;=3,_xll.TM1RPTELLEV($B$21,$B166),"D"),"N")</f>
        <v>N</v>
      </c>
      <c r="B166" s="14" t="s">
        <v>180</v>
      </c>
      <c r="C166" s="2" t="str">
        <f ca="1">_xll.DBRA("tango_core_model:Indicator",$B166,$E$17)</f>
        <v>Total staff costs / Number of FTE</v>
      </c>
      <c r="D166" s="2" t="str">
        <f ca="1">_xll.DBRA("tango_core_model:Indicator",$B166,"Source_Indicator")</f>
        <v>calc</v>
      </c>
      <c r="E166" s="22">
        <f ca="1">_xll.DBRW($B$9,$E$11,$E$19,E$20,$E$12,$E$13,$E$14,$E$15,$E$16,$B166)</f>
        <v>0</v>
      </c>
      <c r="F166" s="22">
        <f ca="1">_xll.DBRW($B$9,$E$11,$E$19,F$20,$E$12,$E$13,$E$14,$E$15,$E$16,$B166)</f>
        <v>0</v>
      </c>
      <c r="G166" s="23">
        <f ca="1">_xll.DBRW($B$9,$E$11,$E$19,G$20,$E$12,$E$13,$E$14,$E$15,$E$16,$B166)</f>
        <v>0</v>
      </c>
      <c r="H166" s="2">
        <f ca="1">_xll.DBRW($B$9,$E$11,$H$19,H$20,$E$12,$E$13,$E$14,$E$15,$E$16,$B166)</f>
        <v>0</v>
      </c>
      <c r="I166" s="2">
        <f ca="1">_xll.DBRW($B$9,$E$11,$H$19,I$20,$E$12,$E$13,$E$14,$E$15,$E$16,$B166)</f>
        <v>0</v>
      </c>
      <c r="J166" s="2">
        <f ca="1">_xll.DBRW($B$9,$E$11,$H$19,J$20,$E$12,$E$13,$E$14,$E$15,$E$16,$B166)</f>
        <v>0</v>
      </c>
    </row>
    <row r="167" spans="1:10">
      <c r="A167" s="2" t="str">
        <f ca="1">IF(_xll.TM1RPTELISCONSOLIDATED($B$21,$B167),IF(_xll.TM1RPTELLEV($B$21,$B167)&lt;=3,_xll.TM1RPTELLEV($B$21,$B167),"D"),"N")</f>
        <v>N</v>
      </c>
      <c r="B167" s="14" t="s">
        <v>181</v>
      </c>
      <c r="C167" s="2" t="str">
        <f ca="1">_xll.DBRA("tango_core_model:Indicator",$B167,$E$17)</f>
        <v>Total interim staff costs / interim employee FTE</v>
      </c>
      <c r="D167" s="2" t="str">
        <f ca="1">_xll.DBRA("tango_core_model:Indicator",$B167,"Source_Indicator")</f>
        <v>calc</v>
      </c>
      <c r="E167" s="22">
        <f ca="1">_xll.DBRW($B$9,$E$11,$E$19,E$20,$E$12,$E$13,$E$14,$E$15,$E$16,$B167)</f>
        <v>0</v>
      </c>
      <c r="F167" s="22">
        <f ca="1">_xll.DBRW($B$9,$E$11,$E$19,F$20,$E$12,$E$13,$E$14,$E$15,$E$16,$B167)</f>
        <v>0</v>
      </c>
      <c r="G167" s="23">
        <f ca="1">_xll.DBRW($B$9,$E$11,$E$19,G$20,$E$12,$E$13,$E$14,$E$15,$E$16,$B167)</f>
        <v>0</v>
      </c>
      <c r="H167" s="2">
        <f ca="1">_xll.DBRW($B$9,$E$11,$H$19,H$20,$E$12,$E$13,$E$14,$E$15,$E$16,$B167)</f>
        <v>0</v>
      </c>
      <c r="I167" s="2">
        <f ca="1">_xll.DBRW($B$9,$E$11,$H$19,I$20,$E$12,$E$13,$E$14,$E$15,$E$16,$B167)</f>
        <v>0</v>
      </c>
      <c r="J167" s="2">
        <f ca="1">_xll.DBRW($B$9,$E$11,$H$19,J$20,$E$12,$E$13,$E$14,$E$15,$E$16,$B167)</f>
        <v>0</v>
      </c>
    </row>
    <row r="168" spans="1:10">
      <c r="A168" s="2" t="str">
        <f ca="1">IF(_xll.TM1RPTELISCONSOLIDATED($B$21,$B168),IF(_xll.TM1RPTELLEV($B$21,$B168)&lt;=3,_xll.TM1RPTELLEV($B$21,$B168),"D"),"N")</f>
        <v>N</v>
      </c>
      <c r="B168" s="14" t="s">
        <v>182</v>
      </c>
      <c r="C168" s="2" t="str">
        <f ca="1">_xll.DBRA("tango_core_model:Indicator",$B168,$E$17)</f>
        <v>Subcontracted transport costs / 100km (subcontracted)</v>
      </c>
      <c r="D168" s="2" t="str">
        <f ca="1">_xll.DBRA("tango_core_model:Indicator",$B168,"Source_Indicator")</f>
        <v>calc</v>
      </c>
      <c r="E168" s="22">
        <f ca="1">_xll.DBRW($B$9,$E$11,$E$19,E$20,$E$12,$E$13,$E$14,$E$15,$E$16,$B168)</f>
        <v>0</v>
      </c>
      <c r="F168" s="22">
        <f ca="1">_xll.DBRW($B$9,$E$11,$E$19,F$20,$E$12,$E$13,$E$14,$E$15,$E$16,$B168)</f>
        <v>0</v>
      </c>
      <c r="G168" s="23">
        <f ca="1">_xll.DBRW($B$9,$E$11,$E$19,G$20,$E$12,$E$13,$E$14,$E$15,$E$16,$B168)</f>
        <v>0</v>
      </c>
      <c r="H168" s="2">
        <f ca="1">_xll.DBRW($B$9,$E$11,$H$19,H$20,$E$12,$E$13,$E$14,$E$15,$E$16,$B168)</f>
        <v>0</v>
      </c>
      <c r="I168" s="2">
        <f ca="1">_xll.DBRW($B$9,$E$11,$H$19,I$20,$E$12,$E$13,$E$14,$E$15,$E$16,$B168)</f>
        <v>0</v>
      </c>
      <c r="J168" s="2">
        <f ca="1">_xll.DBRW($B$9,$E$11,$H$19,J$20,$E$12,$E$13,$E$14,$E$15,$E$16,$B168)</f>
        <v>0</v>
      </c>
    </row>
    <row r="169" spans="1:10">
      <c r="A169" s="2" t="str">
        <f ca="1">IF(_xll.TM1RPTELISCONSOLIDATED($B$21,$B169),IF(_xll.TM1RPTELLEV($B$21,$B169)&lt;=3,_xll.TM1RPTELLEV($B$21,$B169),"D"),"N")</f>
        <v>N</v>
      </c>
      <c r="B169" s="14" t="s">
        <v>183</v>
      </c>
      <c r="C169" s="2" t="str">
        <f ca="1">_xll.DBRA("tango_core_model:Indicator",$B169,$E$17)</f>
        <v>Subcontracted transport costs / Subcontracted driving hours</v>
      </c>
      <c r="D169" s="2" t="str">
        <f ca="1">_xll.DBRA("tango_core_model:Indicator",$B169,"Source_Indicator")</f>
        <v>calc</v>
      </c>
      <c r="E169" s="22">
        <f ca="1">_xll.DBRW($B$9,$E$11,$E$19,E$20,$E$12,$E$13,$E$14,$E$15,$E$16,$B169)</f>
        <v>0</v>
      </c>
      <c r="F169" s="22">
        <f ca="1">_xll.DBRW($B$9,$E$11,$E$19,F$20,$E$12,$E$13,$E$14,$E$15,$E$16,$B169)</f>
        <v>0</v>
      </c>
      <c r="G169" s="23">
        <f ca="1">_xll.DBRW($B$9,$E$11,$E$19,G$20,$E$12,$E$13,$E$14,$E$15,$E$16,$B169)</f>
        <v>0</v>
      </c>
      <c r="H169" s="2">
        <f ca="1">_xll.DBRW($B$9,$E$11,$H$19,H$20,$E$12,$E$13,$E$14,$E$15,$E$16,$B169)</f>
        <v>0</v>
      </c>
      <c r="I169" s="2">
        <f ca="1">_xll.DBRW($B$9,$E$11,$H$19,I$20,$E$12,$E$13,$E$14,$E$15,$E$16,$B169)</f>
        <v>0</v>
      </c>
      <c r="J169" s="2">
        <f ca="1">_xll.DBRW($B$9,$E$11,$H$19,J$20,$E$12,$E$13,$E$14,$E$15,$E$16,$B169)</f>
        <v>0</v>
      </c>
    </row>
    <row r="170" spans="1:10">
      <c r="A170" s="2">
        <f ca="1">IF(_xll.TM1RPTELISCONSOLIDATED($B$21,$B170),IF(_xll.TM1RPTELLEV($B$21,$B170)&lt;=3,_xll.TM1RPTELLEV($B$21,$B170),"D"),"N")</f>
        <v>1</v>
      </c>
      <c r="B170" s="42" t="s">
        <v>184</v>
      </c>
      <c r="C170" s="7" t="str">
        <f ca="1">_xll.DBRA("tango_core_model:Indicator",$B170,$E$17)</f>
        <v>D - Driving Cost as % of Revenue</v>
      </c>
      <c r="D170" s="7" t="str">
        <f ca="1">_xll.DBRA("tango_core_model:Indicator",$B170,"Source_Indicator")</f>
        <v/>
      </c>
      <c r="E170" s="20">
        <f ca="1">_xll.DBRW($B$9,$E$11,$E$19,E$20,$E$12,$E$13,$E$14,$E$15,$E$16,$B170)</f>
        <v>0</v>
      </c>
      <c r="F170" s="20">
        <f ca="1">_xll.DBRW($B$9,$E$11,$E$19,F$20,$E$12,$E$13,$E$14,$E$15,$E$16,$B170)</f>
        <v>0</v>
      </c>
      <c r="G170" s="21">
        <f ca="1">_xll.DBRW($B$9,$E$11,$E$19,G$20,$E$12,$E$13,$E$14,$E$15,$E$16,$B170)</f>
        <v>0</v>
      </c>
      <c r="H170" s="7">
        <f ca="1">_xll.DBRW($B$9,$E$11,$H$19,H$20,$E$12,$E$13,$E$14,$E$15,$E$16,$B170)</f>
        <v>0</v>
      </c>
      <c r="I170" s="7">
        <f ca="1">_xll.DBRW($B$9,$E$11,$H$19,I$20,$E$12,$E$13,$E$14,$E$15,$E$16,$B170)</f>
        <v>0</v>
      </c>
      <c r="J170" s="7">
        <f ca="1">_xll.DBRW($B$9,$E$11,$H$19,J$20,$E$12,$E$13,$E$14,$E$15,$E$16,$B170)</f>
        <v>0</v>
      </c>
    </row>
    <row r="171" spans="1:10">
      <c r="A171" s="2" t="str">
        <f ca="1">IF(_xll.TM1RPTELISCONSOLIDATED($B$21,$B171),IF(_xll.TM1RPTELLEV($B$21,$B171)&lt;=3,_xll.TM1RPTELLEV($B$21,$B171),"D"),"N")</f>
        <v>N</v>
      </c>
      <c r="B171" s="14" t="s">
        <v>185</v>
      </c>
      <c r="C171" s="2" t="str">
        <f ca="1">_xll.DBRA("tango_core_model:Indicator",$B171,$E$17)</f>
        <v>D1 - Driving Cost per Cost Work Unit</v>
      </c>
      <c r="D171" s="2" t="str">
        <f ca="1">_xll.DBRA("tango_core_model:Indicator",$B171,"Source_Indicator")</f>
        <v>calc</v>
      </c>
      <c r="E171" s="22">
        <f ca="1">_xll.DBRW($B$9,$E$11,$E$19,E$20,$E$12,$E$13,$E$14,$E$15,$E$16,$B171)</f>
        <v>0</v>
      </c>
      <c r="F171" s="22">
        <f ca="1">_xll.DBRW($B$9,$E$11,$E$19,F$20,$E$12,$E$13,$E$14,$E$15,$E$16,$B171)</f>
        <v>0</v>
      </c>
      <c r="G171" s="23">
        <f ca="1">_xll.DBRW($B$9,$E$11,$E$19,G$20,$E$12,$E$13,$E$14,$E$15,$E$16,$B171)</f>
        <v>0</v>
      </c>
      <c r="H171" s="2">
        <f ca="1">_xll.DBRW($B$9,$E$11,$H$19,H$20,$E$12,$E$13,$E$14,$E$15,$E$16,$B171)</f>
        <v>0</v>
      </c>
      <c r="I171" s="2">
        <f ca="1">_xll.DBRW($B$9,$E$11,$H$19,I$20,$E$12,$E$13,$E$14,$E$15,$E$16,$B171)</f>
        <v>0</v>
      </c>
      <c r="J171" s="2">
        <f ca="1">_xll.DBRW($B$9,$E$11,$H$19,J$20,$E$12,$E$13,$E$14,$E$15,$E$16,$B171)</f>
        <v>0</v>
      </c>
    </row>
    <row r="172" spans="1:10">
      <c r="A172" s="2" t="str">
        <f ca="1">IF(_xll.TM1RPTELISCONSOLIDATED($B$21,$B172),IF(_xll.TM1RPTELLEV($B$21,$B172)&lt;=3,_xll.TM1RPTELLEV($B$21,$B172),"D"),"N")</f>
        <v>N</v>
      </c>
      <c r="B172" s="14" t="s">
        <v>186</v>
      </c>
      <c r="C172" s="2" t="str">
        <f ca="1">_xll.DBRA("tango_core_model:Indicator",$B172,$E$17)</f>
        <v>D2 - Driving efficiency</v>
      </c>
      <c r="D172" s="2" t="str">
        <f ca="1">_xll.DBRA("tango_core_model:Indicator",$B172,"Source_Indicator")</f>
        <v>calc</v>
      </c>
      <c r="E172" s="22">
        <f ca="1">_xll.DBRW($B$9,$E$11,$E$19,E$20,$E$12,$E$13,$E$14,$E$15,$E$16,$B172)</f>
        <v>0</v>
      </c>
      <c r="F172" s="22">
        <f ca="1">_xll.DBRW($B$9,$E$11,$E$19,F$20,$E$12,$E$13,$E$14,$E$15,$E$16,$B172)</f>
        <v>0</v>
      </c>
      <c r="G172" s="23">
        <f ca="1">_xll.DBRW($B$9,$E$11,$E$19,G$20,$E$12,$E$13,$E$14,$E$15,$E$16,$B172)</f>
        <v>0</v>
      </c>
      <c r="H172" s="2">
        <f ca="1">_xll.DBRW($B$9,$E$11,$H$19,H$20,$E$12,$E$13,$E$14,$E$15,$E$16,$B172)</f>
        <v>0</v>
      </c>
      <c r="I172" s="2">
        <f ca="1">_xll.DBRW($B$9,$E$11,$H$19,I$20,$E$12,$E$13,$E$14,$E$15,$E$16,$B172)</f>
        <v>0</v>
      </c>
      <c r="J172" s="2">
        <f ca="1">_xll.DBRW($B$9,$E$11,$H$19,J$20,$E$12,$E$13,$E$14,$E$15,$E$16,$B172)</f>
        <v>0</v>
      </c>
    </row>
    <row r="173" spans="1:10">
      <c r="A173" s="2" t="str">
        <f ca="1">IF(_xll.TM1RPTELISCONSOLIDATED($B$21,$B173),IF(_xll.TM1RPTELLEV($B$21,$B173)&lt;=3,_xll.TM1RPTELLEV($B$21,$B173),"D"),"N")</f>
        <v>N</v>
      </c>
      <c r="B173" s="14" t="s">
        <v>187</v>
      </c>
      <c r="C173" s="2" t="str">
        <f ca="1">_xll.DBRA("tango_core_model:Indicator",$B173,$E$17)</f>
        <v>D3 - Revenue per Price Work Unit</v>
      </c>
      <c r="D173" s="2" t="str">
        <f ca="1">_xll.DBRA("tango_core_model:Indicator",$B173,"Source_Indicator")</f>
        <v>calc</v>
      </c>
      <c r="E173" s="22">
        <f ca="1">_xll.DBRW($B$9,$E$11,$E$19,E$20,$E$12,$E$13,$E$14,$E$15,$E$16,$B173)</f>
        <v>0</v>
      </c>
      <c r="F173" s="22">
        <f ca="1">_xll.DBRW($B$9,$E$11,$E$19,F$20,$E$12,$E$13,$E$14,$E$15,$E$16,$B173)</f>
        <v>0</v>
      </c>
      <c r="G173" s="23">
        <f ca="1">_xll.DBRW($B$9,$E$11,$E$19,G$20,$E$12,$E$13,$E$14,$E$15,$E$16,$B173)</f>
        <v>0</v>
      </c>
      <c r="H173" s="2">
        <f ca="1">_xll.DBRW($B$9,$E$11,$H$19,H$20,$E$12,$E$13,$E$14,$E$15,$E$16,$B173)</f>
        <v>0</v>
      </c>
      <c r="I173" s="2">
        <f ca="1">_xll.DBRW($B$9,$E$11,$H$19,I$20,$E$12,$E$13,$E$14,$E$15,$E$16,$B173)</f>
        <v>0</v>
      </c>
      <c r="J173" s="2">
        <f ca="1">_xll.DBRW($B$9,$E$11,$H$19,J$20,$E$12,$E$13,$E$14,$E$15,$E$16,$B173)</f>
        <v>0</v>
      </c>
    </row>
    <row r="174" spans="1:10">
      <c r="A174" s="2" t="str">
        <f ca="1">IF(_xll.TM1RPTELISCONSOLIDATED($B$21,$B174),IF(_xll.TM1RPTELLEV($B$21,$B174)&lt;=3,_xll.TM1RPTELLEV($B$21,$B174),"D"),"N")</f>
        <v>N</v>
      </c>
      <c r="B174" s="14" t="s">
        <v>188</v>
      </c>
      <c r="C174" s="2" t="str">
        <f ca="1">_xll.DBRA("tango_core_model:Indicator",$B174,$E$17)</f>
        <v>Driving - Cost Work Unit</v>
      </c>
      <c r="D174" s="2" t="str">
        <f ca="1">_xll.DBRA("tango_core_model:Indicator",$B174,"Source_Indicator")</f>
        <v>calc</v>
      </c>
      <c r="E174" s="22">
        <f ca="1">_xll.DBRW($B$9,$E$11,$E$19,E$20,$E$12,$E$13,$E$14,$E$15,$E$16,$B174)</f>
        <v>0</v>
      </c>
      <c r="F174" s="22">
        <f ca="1">_xll.DBRW($B$9,$E$11,$E$19,F$20,$E$12,$E$13,$E$14,$E$15,$E$16,$B174)</f>
        <v>0</v>
      </c>
      <c r="G174" s="23">
        <f ca="1">_xll.DBRW($B$9,$E$11,$E$19,G$20,$E$12,$E$13,$E$14,$E$15,$E$16,$B174)</f>
        <v>0</v>
      </c>
      <c r="H174" s="2">
        <f ca="1">_xll.DBRW($B$9,$E$11,$H$19,H$20,$E$12,$E$13,$E$14,$E$15,$E$16,$B174)</f>
        <v>0</v>
      </c>
      <c r="I174" s="2">
        <f ca="1">_xll.DBRW($B$9,$E$11,$H$19,I$20,$E$12,$E$13,$E$14,$E$15,$E$16,$B174)</f>
        <v>0</v>
      </c>
      <c r="J174" s="2">
        <f ca="1">_xll.DBRW($B$9,$E$11,$H$19,J$20,$E$12,$E$13,$E$14,$E$15,$E$16,$B174)</f>
        <v>0</v>
      </c>
    </row>
    <row r="175" spans="1:10">
      <c r="A175" s="2" t="str">
        <f ca="1">IF(_xll.TM1RPTELISCONSOLIDATED($B$21,$B175),IF(_xll.TM1RPTELLEV($B$21,$B175)&lt;=3,_xll.TM1RPTELLEV($B$21,$B175),"D"),"N")</f>
        <v>N</v>
      </c>
      <c r="B175" s="14" t="s">
        <v>189</v>
      </c>
      <c r="C175" s="2" t="str">
        <f ca="1">_xll.DBRA("tango_core_model:Indicator",$B175,$E$17)</f>
        <v>Driving - Price Work Unit</v>
      </c>
      <c r="D175" s="2" t="str">
        <f ca="1">_xll.DBRA("tango_core_model:Indicator",$B175,"Source_Indicator")</f>
        <v>calc</v>
      </c>
      <c r="E175" s="22">
        <f ca="1">_xll.DBRW($B$9,$E$11,$E$19,E$20,$E$12,$E$13,$E$14,$E$15,$E$16,$B175)</f>
        <v>0</v>
      </c>
      <c r="F175" s="22">
        <f ca="1">_xll.DBRW($B$9,$E$11,$E$19,F$20,$E$12,$E$13,$E$14,$E$15,$E$16,$B175)</f>
        <v>0</v>
      </c>
      <c r="G175" s="23">
        <f ca="1">_xll.DBRW($B$9,$E$11,$E$19,G$20,$E$12,$E$13,$E$14,$E$15,$E$16,$B175)</f>
        <v>0</v>
      </c>
      <c r="H175" s="2">
        <f ca="1">_xll.DBRW($B$9,$E$11,$H$19,H$20,$E$12,$E$13,$E$14,$E$15,$E$16,$B175)</f>
        <v>0</v>
      </c>
      <c r="I175" s="2">
        <f ca="1">_xll.DBRW($B$9,$E$11,$H$19,I$20,$E$12,$E$13,$E$14,$E$15,$E$16,$B175)</f>
        <v>0</v>
      </c>
      <c r="J175" s="2">
        <f ca="1">_xll.DBRW($B$9,$E$11,$H$19,J$20,$E$12,$E$13,$E$14,$E$15,$E$16,$B175)</f>
        <v>0</v>
      </c>
    </row>
    <row r="176" spans="1:10">
      <c r="A176" s="2">
        <f ca="1">IF(_xll.TM1RPTELISCONSOLIDATED($B$21,$B176),IF(_xll.TM1RPTELLEV($B$21,$B176)&lt;=3,_xll.TM1RPTELLEV($B$21,$B176),"D"),"N")</f>
        <v>1</v>
      </c>
      <c r="B176" s="42" t="s">
        <v>190</v>
      </c>
      <c r="C176" s="7" t="str">
        <f ca="1">_xll.DBRA("tango_core_model:Indicator",$B176,$E$17)</f>
        <v>M - Maintenance Cost as % of revenue</v>
      </c>
      <c r="D176" s="7" t="str">
        <f ca="1">_xll.DBRA("tango_core_model:Indicator",$B176,"Source_Indicator")</f>
        <v/>
      </c>
      <c r="E176" s="20">
        <f ca="1">_xll.DBRW($B$9,$E$11,$E$19,E$20,$E$12,$E$13,$E$14,$E$15,$E$16,$B176)</f>
        <v>0</v>
      </c>
      <c r="F176" s="20">
        <f ca="1">_xll.DBRW($B$9,$E$11,$E$19,F$20,$E$12,$E$13,$E$14,$E$15,$E$16,$B176)</f>
        <v>0</v>
      </c>
      <c r="G176" s="21">
        <f ca="1">_xll.DBRW($B$9,$E$11,$E$19,G$20,$E$12,$E$13,$E$14,$E$15,$E$16,$B176)</f>
        <v>0</v>
      </c>
      <c r="H176" s="7">
        <f ca="1">_xll.DBRW($B$9,$E$11,$H$19,H$20,$E$12,$E$13,$E$14,$E$15,$E$16,$B176)</f>
        <v>0</v>
      </c>
      <c r="I176" s="7">
        <f ca="1">_xll.DBRW($B$9,$E$11,$H$19,I$20,$E$12,$E$13,$E$14,$E$15,$E$16,$B176)</f>
        <v>0</v>
      </c>
      <c r="J176" s="7">
        <f ca="1">_xll.DBRW($B$9,$E$11,$H$19,J$20,$E$12,$E$13,$E$14,$E$15,$E$16,$B176)</f>
        <v>0</v>
      </c>
    </row>
    <row r="177" spans="1:10">
      <c r="A177" s="2" t="str">
        <f ca="1">IF(_xll.TM1RPTELISCONSOLIDATED($B$21,$B177),IF(_xll.TM1RPTELLEV($B$21,$B177)&lt;=3,_xll.TM1RPTELLEV($B$21,$B177),"D"),"N")</f>
        <v>N</v>
      </c>
      <c r="B177" s="14" t="s">
        <v>191</v>
      </c>
      <c r="C177" s="2" t="str">
        <f ca="1">_xll.DBRA("tango_core_model:Indicator",$B177,$E$17)</f>
        <v>M1 - Maintenance Cost per cost work unit</v>
      </c>
      <c r="D177" s="2" t="str">
        <f ca="1">_xll.DBRA("tango_core_model:Indicator",$B177,"Source_Indicator")</f>
        <v>calc</v>
      </c>
      <c r="E177" s="22">
        <f ca="1">_xll.DBRW($B$9,$E$11,$E$19,E$20,$E$12,$E$13,$E$14,$E$15,$E$16,$B177)</f>
        <v>0</v>
      </c>
      <c r="F177" s="22">
        <f ca="1">_xll.DBRW($B$9,$E$11,$E$19,F$20,$E$12,$E$13,$E$14,$E$15,$E$16,$B177)</f>
        <v>0</v>
      </c>
      <c r="G177" s="23">
        <f ca="1">_xll.DBRW($B$9,$E$11,$E$19,G$20,$E$12,$E$13,$E$14,$E$15,$E$16,$B177)</f>
        <v>0</v>
      </c>
      <c r="H177" s="2">
        <f ca="1">_xll.DBRW($B$9,$E$11,$H$19,H$20,$E$12,$E$13,$E$14,$E$15,$E$16,$B177)</f>
        <v>0</v>
      </c>
      <c r="I177" s="2">
        <f ca="1">_xll.DBRW($B$9,$E$11,$H$19,I$20,$E$12,$E$13,$E$14,$E$15,$E$16,$B177)</f>
        <v>0</v>
      </c>
      <c r="J177" s="2">
        <f ca="1">_xll.DBRW($B$9,$E$11,$H$19,J$20,$E$12,$E$13,$E$14,$E$15,$E$16,$B177)</f>
        <v>0</v>
      </c>
    </row>
    <row r="178" spans="1:10">
      <c r="A178" s="2" t="str">
        <f ca="1">IF(_xll.TM1RPTELISCONSOLIDATED($B$21,$B178),IF(_xll.TM1RPTELLEV($B$21,$B178)&lt;=3,_xll.TM1RPTELLEV($B$21,$B178),"D"),"N")</f>
        <v>N</v>
      </c>
      <c r="B178" s="14" t="s">
        <v>192</v>
      </c>
      <c r="C178" s="2" t="str">
        <f ca="1">_xll.DBRA("tango_core_model:Indicator",$B178,$E$17)</f>
        <v>M2 - Maintenance efficiency</v>
      </c>
      <c r="D178" s="2" t="str">
        <f ca="1">_xll.DBRA("tango_core_model:Indicator",$B178,"Source_Indicator")</f>
        <v>calc</v>
      </c>
      <c r="E178" s="22">
        <f ca="1">_xll.DBRW($B$9,$E$11,$E$19,E$20,$E$12,$E$13,$E$14,$E$15,$E$16,$B178)</f>
        <v>0</v>
      </c>
      <c r="F178" s="22">
        <f ca="1">_xll.DBRW($B$9,$E$11,$E$19,F$20,$E$12,$E$13,$E$14,$E$15,$E$16,$B178)</f>
        <v>0</v>
      </c>
      <c r="G178" s="23">
        <f ca="1">_xll.DBRW($B$9,$E$11,$E$19,G$20,$E$12,$E$13,$E$14,$E$15,$E$16,$B178)</f>
        <v>0</v>
      </c>
      <c r="H178" s="2">
        <f ca="1">_xll.DBRW($B$9,$E$11,$H$19,H$20,$E$12,$E$13,$E$14,$E$15,$E$16,$B178)</f>
        <v>0</v>
      </c>
      <c r="I178" s="2">
        <f ca="1">_xll.DBRW($B$9,$E$11,$H$19,I$20,$E$12,$E$13,$E$14,$E$15,$E$16,$B178)</f>
        <v>0</v>
      </c>
      <c r="J178" s="2">
        <f ca="1">_xll.DBRW($B$9,$E$11,$H$19,J$20,$E$12,$E$13,$E$14,$E$15,$E$16,$B178)</f>
        <v>0</v>
      </c>
    </row>
    <row r="179" spans="1:10">
      <c r="A179" s="2" t="str">
        <f ca="1">IF(_xll.TM1RPTELISCONSOLIDATED($B$21,$B179),IF(_xll.TM1RPTELLEV($B$21,$B179)&lt;=3,_xll.TM1RPTELLEV($B$21,$B179),"D"),"N")</f>
        <v>N</v>
      </c>
      <c r="B179" s="14" t="s">
        <v>193</v>
      </c>
      <c r="C179" s="2" t="str">
        <f ca="1">_xll.DBRA("tango_core_model:Indicator",$B179,$E$17)</f>
        <v>M3 - Revenue per price work unit</v>
      </c>
      <c r="D179" s="2" t="str">
        <f ca="1">_xll.DBRA("tango_core_model:Indicator",$B179,"Source_Indicator")</f>
        <v>calc</v>
      </c>
      <c r="E179" s="22">
        <f ca="1">_xll.DBRW($B$9,$E$11,$E$19,E$20,$E$12,$E$13,$E$14,$E$15,$E$16,$B179)</f>
        <v>0</v>
      </c>
      <c r="F179" s="22">
        <f ca="1">_xll.DBRW($B$9,$E$11,$E$19,F$20,$E$12,$E$13,$E$14,$E$15,$E$16,$B179)</f>
        <v>0</v>
      </c>
      <c r="G179" s="23">
        <f ca="1">_xll.DBRW($B$9,$E$11,$E$19,G$20,$E$12,$E$13,$E$14,$E$15,$E$16,$B179)</f>
        <v>0</v>
      </c>
      <c r="H179" s="2">
        <f ca="1">_xll.DBRW($B$9,$E$11,$H$19,H$20,$E$12,$E$13,$E$14,$E$15,$E$16,$B179)</f>
        <v>0</v>
      </c>
      <c r="I179" s="2">
        <f ca="1">_xll.DBRW($B$9,$E$11,$H$19,I$20,$E$12,$E$13,$E$14,$E$15,$E$16,$B179)</f>
        <v>0</v>
      </c>
      <c r="J179" s="2">
        <f ca="1">_xll.DBRW($B$9,$E$11,$H$19,J$20,$E$12,$E$13,$E$14,$E$15,$E$16,$B179)</f>
        <v>0</v>
      </c>
    </row>
    <row r="180" spans="1:10">
      <c r="A180" s="2" t="str">
        <f ca="1">IF(_xll.TM1RPTELISCONSOLIDATED($B$21,$B180),IF(_xll.TM1RPTELLEV($B$21,$B180)&lt;=3,_xll.TM1RPTELLEV($B$21,$B180),"D"),"N")</f>
        <v>N</v>
      </c>
      <c r="B180" s="14" t="s">
        <v>194</v>
      </c>
      <c r="C180" s="2" t="str">
        <f ca="1">_xll.DBRA("tango_core_model:Indicator",$B180,$E$17)</f>
        <v>Maintenance - Cost Work Unit</v>
      </c>
      <c r="D180" s="2" t="str">
        <f ca="1">_xll.DBRA("tango_core_model:Indicator",$B180,"Source_Indicator")</f>
        <v>calc</v>
      </c>
      <c r="E180" s="22">
        <f ca="1">_xll.DBRW($B$9,$E$11,$E$19,E$20,$E$12,$E$13,$E$14,$E$15,$E$16,$B180)</f>
        <v>0</v>
      </c>
      <c r="F180" s="22">
        <f ca="1">_xll.DBRW($B$9,$E$11,$E$19,F$20,$E$12,$E$13,$E$14,$E$15,$E$16,$B180)</f>
        <v>0</v>
      </c>
      <c r="G180" s="23">
        <f ca="1">_xll.DBRW($B$9,$E$11,$E$19,G$20,$E$12,$E$13,$E$14,$E$15,$E$16,$B180)</f>
        <v>0</v>
      </c>
      <c r="H180" s="2">
        <f ca="1">_xll.DBRW($B$9,$E$11,$H$19,H$20,$E$12,$E$13,$E$14,$E$15,$E$16,$B180)</f>
        <v>0</v>
      </c>
      <c r="I180" s="2">
        <f ca="1">_xll.DBRW($B$9,$E$11,$H$19,I$20,$E$12,$E$13,$E$14,$E$15,$E$16,$B180)</f>
        <v>0</v>
      </c>
      <c r="J180" s="2">
        <f ca="1">_xll.DBRW($B$9,$E$11,$H$19,J$20,$E$12,$E$13,$E$14,$E$15,$E$16,$B180)</f>
        <v>0</v>
      </c>
    </row>
    <row r="181" spans="1:10">
      <c r="A181" s="2" t="str">
        <f ca="1">IF(_xll.TM1RPTELISCONSOLIDATED($B$21,$B181),IF(_xll.TM1RPTELLEV($B$21,$B181)&lt;=3,_xll.TM1RPTELLEV($B$21,$B181),"D"),"N")</f>
        <v>N</v>
      </c>
      <c r="B181" s="14" t="s">
        <v>195</v>
      </c>
      <c r="C181" s="2" t="str">
        <f ca="1">_xll.DBRA("tango_core_model:Indicator",$B181,$E$17)</f>
        <v>Maintenance - Price Work Unit</v>
      </c>
      <c r="D181" s="2" t="str">
        <f ca="1">_xll.DBRA("tango_core_model:Indicator",$B181,"Source_Indicator")</f>
        <v>calc</v>
      </c>
      <c r="E181" s="22">
        <f ca="1">_xll.DBRW($B$9,$E$11,$E$19,E$20,$E$12,$E$13,$E$14,$E$15,$E$16,$B181)</f>
        <v>0</v>
      </c>
      <c r="F181" s="22">
        <f ca="1">_xll.DBRW($B$9,$E$11,$E$19,F$20,$E$12,$E$13,$E$14,$E$15,$E$16,$B181)</f>
        <v>0</v>
      </c>
      <c r="G181" s="23">
        <f ca="1">_xll.DBRW($B$9,$E$11,$E$19,G$20,$E$12,$E$13,$E$14,$E$15,$E$16,$B181)</f>
        <v>0</v>
      </c>
      <c r="H181" s="2">
        <f ca="1">_xll.DBRW($B$9,$E$11,$H$19,H$20,$E$12,$E$13,$E$14,$E$15,$E$16,$B181)</f>
        <v>0</v>
      </c>
      <c r="I181" s="2">
        <f ca="1">_xll.DBRW($B$9,$E$11,$H$19,I$20,$E$12,$E$13,$E$14,$E$15,$E$16,$B181)</f>
        <v>0</v>
      </c>
      <c r="J181" s="2">
        <f ca="1">_xll.DBRW($B$9,$E$11,$H$19,J$20,$E$12,$E$13,$E$14,$E$15,$E$16,$B181)</f>
        <v>0</v>
      </c>
    </row>
    <row r="182" spans="1:10">
      <c r="A182" s="2">
        <f ca="1">IF(_xll.TM1RPTELISCONSOLIDATED($B$21,$B182),IF(_xll.TM1RPTELLEV($B$21,$B182)&lt;=3,_xll.TM1RPTELLEV($B$21,$B182),"D"),"N")</f>
        <v>1</v>
      </c>
      <c r="B182" s="42" t="s">
        <v>196</v>
      </c>
      <c r="C182" s="7" t="str">
        <f ca="1">_xll.DBRA("tango_core_model:Indicator",$B182,$E$17)</f>
        <v>E - Energy Cost as % of revenue</v>
      </c>
      <c r="D182" s="7" t="str">
        <f ca="1">_xll.DBRA("tango_core_model:Indicator",$B182,"Source_Indicator")</f>
        <v/>
      </c>
      <c r="E182" s="20">
        <f ca="1">_xll.DBRW($B$9,$E$11,$E$19,E$20,$E$12,$E$13,$E$14,$E$15,$E$16,$B182)</f>
        <v>0</v>
      </c>
      <c r="F182" s="20">
        <f ca="1">_xll.DBRW($B$9,$E$11,$E$19,F$20,$E$12,$E$13,$E$14,$E$15,$E$16,$B182)</f>
        <v>0</v>
      </c>
      <c r="G182" s="21">
        <f ca="1">_xll.DBRW($B$9,$E$11,$E$19,G$20,$E$12,$E$13,$E$14,$E$15,$E$16,$B182)</f>
        <v>0</v>
      </c>
      <c r="H182" s="7">
        <f ca="1">_xll.DBRW($B$9,$E$11,$H$19,H$20,$E$12,$E$13,$E$14,$E$15,$E$16,$B182)</f>
        <v>0</v>
      </c>
      <c r="I182" s="7">
        <f ca="1">_xll.DBRW($B$9,$E$11,$H$19,I$20,$E$12,$E$13,$E$14,$E$15,$E$16,$B182)</f>
        <v>0</v>
      </c>
      <c r="J182" s="7">
        <f ca="1">_xll.DBRW($B$9,$E$11,$H$19,J$20,$E$12,$E$13,$E$14,$E$15,$E$16,$B182)</f>
        <v>0</v>
      </c>
    </row>
    <row r="183" spans="1:10">
      <c r="A183" s="2" t="str">
        <f ca="1">IF(_xll.TM1RPTELISCONSOLIDATED($B$21,$B183),IF(_xll.TM1RPTELLEV($B$21,$B183)&lt;=3,_xll.TM1RPTELLEV($B$21,$B183),"D"),"N")</f>
        <v>N</v>
      </c>
      <c r="B183" s="14" t="s">
        <v>197</v>
      </c>
      <c r="C183" s="2" t="str">
        <f ca="1">_xll.DBRA("tango_core_model:Indicator",$B183,$E$17)</f>
        <v>E1 - Energy Cost per cost work unit</v>
      </c>
      <c r="D183" s="2" t="str">
        <f ca="1">_xll.DBRA("tango_core_model:Indicator",$B183,"Source_Indicator")</f>
        <v>calc</v>
      </c>
      <c r="E183" s="22">
        <f ca="1">_xll.DBRW($B$9,$E$11,$E$19,E$20,$E$12,$E$13,$E$14,$E$15,$E$16,$B183)</f>
        <v>0</v>
      </c>
      <c r="F183" s="22">
        <f ca="1">_xll.DBRW($B$9,$E$11,$E$19,F$20,$E$12,$E$13,$E$14,$E$15,$E$16,$B183)</f>
        <v>0</v>
      </c>
      <c r="G183" s="23">
        <f ca="1">_xll.DBRW($B$9,$E$11,$E$19,G$20,$E$12,$E$13,$E$14,$E$15,$E$16,$B183)</f>
        <v>0</v>
      </c>
      <c r="H183" s="2">
        <f ca="1">_xll.DBRW($B$9,$E$11,$H$19,H$20,$E$12,$E$13,$E$14,$E$15,$E$16,$B183)</f>
        <v>0</v>
      </c>
      <c r="I183" s="2">
        <f ca="1">_xll.DBRW($B$9,$E$11,$H$19,I$20,$E$12,$E$13,$E$14,$E$15,$E$16,$B183)</f>
        <v>0</v>
      </c>
      <c r="J183" s="2">
        <f ca="1">_xll.DBRW($B$9,$E$11,$H$19,J$20,$E$12,$E$13,$E$14,$E$15,$E$16,$B183)</f>
        <v>0</v>
      </c>
    </row>
    <row r="184" spans="1:10">
      <c r="A184" s="2" t="str">
        <f ca="1">IF(_xll.TM1RPTELISCONSOLIDATED($B$21,$B184),IF(_xll.TM1RPTELLEV($B$21,$B184)&lt;=3,_xll.TM1RPTELLEV($B$21,$B184),"D"),"N")</f>
        <v>N</v>
      </c>
      <c r="B184" s="14" t="s">
        <v>198</v>
      </c>
      <c r="C184" s="2" t="str">
        <f ca="1">_xll.DBRA("tango_core_model:Indicator",$B184,$E$17)</f>
        <v>E2 - Energy efficiency</v>
      </c>
      <c r="D184" s="2" t="str">
        <f ca="1">_xll.DBRA("tango_core_model:Indicator",$B184,"Source_Indicator")</f>
        <v>calc</v>
      </c>
      <c r="E184" s="22">
        <f ca="1">_xll.DBRW($B$9,$E$11,$E$19,E$20,$E$12,$E$13,$E$14,$E$15,$E$16,$B184)</f>
        <v>0</v>
      </c>
      <c r="F184" s="22">
        <f ca="1">_xll.DBRW($B$9,$E$11,$E$19,F$20,$E$12,$E$13,$E$14,$E$15,$E$16,$B184)</f>
        <v>0</v>
      </c>
      <c r="G184" s="23">
        <f ca="1">_xll.DBRW($B$9,$E$11,$E$19,G$20,$E$12,$E$13,$E$14,$E$15,$E$16,$B184)</f>
        <v>0</v>
      </c>
      <c r="H184" s="2">
        <f ca="1">_xll.DBRW($B$9,$E$11,$H$19,H$20,$E$12,$E$13,$E$14,$E$15,$E$16,$B184)</f>
        <v>0</v>
      </c>
      <c r="I184" s="2">
        <f ca="1">_xll.DBRW($B$9,$E$11,$H$19,I$20,$E$12,$E$13,$E$14,$E$15,$E$16,$B184)</f>
        <v>0</v>
      </c>
      <c r="J184" s="2">
        <f ca="1">_xll.DBRW($B$9,$E$11,$H$19,J$20,$E$12,$E$13,$E$14,$E$15,$E$16,$B184)</f>
        <v>0</v>
      </c>
    </row>
    <row r="185" spans="1:10">
      <c r="A185" s="2" t="str">
        <f ca="1">IF(_xll.TM1RPTELISCONSOLIDATED($B$21,$B185),IF(_xll.TM1RPTELLEV($B$21,$B185)&lt;=3,_xll.TM1RPTELLEV($B$21,$B185),"D"),"N")</f>
        <v>N</v>
      </c>
      <c r="B185" s="14" t="s">
        <v>199</v>
      </c>
      <c r="C185" s="2" t="str">
        <f ca="1">_xll.DBRA("tango_core_model:Indicator",$B185,$E$17)</f>
        <v>E3 - Revenue per price work unit</v>
      </c>
      <c r="D185" s="2" t="str">
        <f ca="1">_xll.DBRA("tango_core_model:Indicator",$B185,"Source_Indicator")</f>
        <v>calc</v>
      </c>
      <c r="E185" s="22">
        <f ca="1">_xll.DBRW($B$9,$E$11,$E$19,E$20,$E$12,$E$13,$E$14,$E$15,$E$16,$B185)</f>
        <v>0</v>
      </c>
      <c r="F185" s="22">
        <f ca="1">_xll.DBRW($B$9,$E$11,$E$19,F$20,$E$12,$E$13,$E$14,$E$15,$E$16,$B185)</f>
        <v>0</v>
      </c>
      <c r="G185" s="23">
        <f ca="1">_xll.DBRW($B$9,$E$11,$E$19,G$20,$E$12,$E$13,$E$14,$E$15,$E$16,$B185)</f>
        <v>0</v>
      </c>
      <c r="H185" s="2">
        <f ca="1">_xll.DBRW($B$9,$E$11,$H$19,H$20,$E$12,$E$13,$E$14,$E$15,$E$16,$B185)</f>
        <v>0</v>
      </c>
      <c r="I185" s="2">
        <f ca="1">_xll.DBRW($B$9,$E$11,$H$19,I$20,$E$12,$E$13,$E$14,$E$15,$E$16,$B185)</f>
        <v>0</v>
      </c>
      <c r="J185" s="2">
        <f ca="1">_xll.DBRW($B$9,$E$11,$H$19,J$20,$E$12,$E$13,$E$14,$E$15,$E$16,$B185)</f>
        <v>0</v>
      </c>
    </row>
    <row r="186" spans="1:10">
      <c r="A186" s="2" t="str">
        <f ca="1">IF(_xll.TM1RPTELISCONSOLIDATED($B$21,$B186),IF(_xll.TM1RPTELLEV($B$21,$B186)&lt;=3,_xll.TM1RPTELLEV($B$21,$B186),"D"),"N")</f>
        <v>N</v>
      </c>
      <c r="B186" s="14" t="s">
        <v>200</v>
      </c>
      <c r="C186" s="2" t="str">
        <f ca="1">_xll.DBRA("tango_core_model:Indicator",$B186,$E$17)</f>
        <v>Energy - Cost Work Unit</v>
      </c>
      <c r="D186" s="2" t="str">
        <f ca="1">_xll.DBRA("tango_core_model:Indicator",$B186,"Source_Indicator")</f>
        <v>calc</v>
      </c>
      <c r="E186" s="22">
        <f ca="1">_xll.DBRW($B$9,$E$11,$E$19,E$20,$E$12,$E$13,$E$14,$E$15,$E$16,$B186)</f>
        <v>0</v>
      </c>
      <c r="F186" s="22">
        <f ca="1">_xll.DBRW($B$9,$E$11,$E$19,F$20,$E$12,$E$13,$E$14,$E$15,$E$16,$B186)</f>
        <v>0</v>
      </c>
      <c r="G186" s="23">
        <f ca="1">_xll.DBRW($B$9,$E$11,$E$19,G$20,$E$12,$E$13,$E$14,$E$15,$E$16,$B186)</f>
        <v>0</v>
      </c>
      <c r="H186" s="2">
        <f ca="1">_xll.DBRW($B$9,$E$11,$H$19,H$20,$E$12,$E$13,$E$14,$E$15,$E$16,$B186)</f>
        <v>0</v>
      </c>
      <c r="I186" s="2">
        <f ca="1">_xll.DBRW($B$9,$E$11,$H$19,I$20,$E$12,$E$13,$E$14,$E$15,$E$16,$B186)</f>
        <v>0</v>
      </c>
      <c r="J186" s="2">
        <f ca="1">_xll.DBRW($B$9,$E$11,$H$19,J$20,$E$12,$E$13,$E$14,$E$15,$E$16,$B186)</f>
        <v>0</v>
      </c>
    </row>
    <row r="187" spans="1:10">
      <c r="A187" s="2" t="str">
        <f ca="1">IF(_xll.TM1RPTELISCONSOLIDATED($B$21,$B187),IF(_xll.TM1RPTELLEV($B$21,$B187)&lt;=3,_xll.TM1RPTELLEV($B$21,$B187),"D"),"N")</f>
        <v>N</v>
      </c>
      <c r="B187" s="14" t="s">
        <v>201</v>
      </c>
      <c r="C187" s="2" t="str">
        <f ca="1">_xll.DBRA("tango_core_model:Indicator",$B187,$E$17)</f>
        <v>Energy - Price Work Unit</v>
      </c>
      <c r="D187" s="2" t="str">
        <f ca="1">_xll.DBRA("tango_core_model:Indicator",$B187,"Source_Indicator")</f>
        <v>calc</v>
      </c>
      <c r="E187" s="22">
        <f ca="1">_xll.DBRW($B$9,$E$11,$E$19,E$20,$E$12,$E$13,$E$14,$E$15,$E$16,$B187)</f>
        <v>0</v>
      </c>
      <c r="F187" s="22">
        <f ca="1">_xll.DBRW($B$9,$E$11,$E$19,F$20,$E$12,$E$13,$E$14,$E$15,$E$16,$B187)</f>
        <v>0</v>
      </c>
      <c r="G187" s="23">
        <f ca="1">_xll.DBRW($B$9,$E$11,$E$19,G$20,$E$12,$E$13,$E$14,$E$15,$E$16,$B187)</f>
        <v>0</v>
      </c>
      <c r="H187" s="2">
        <f ca="1">_xll.DBRW($B$9,$E$11,$H$19,H$20,$E$12,$E$13,$E$14,$E$15,$E$16,$B187)</f>
        <v>0</v>
      </c>
      <c r="I187" s="2">
        <f ca="1">_xll.DBRW($B$9,$E$11,$H$19,I$20,$E$12,$E$13,$E$14,$E$15,$E$16,$B187)</f>
        <v>0</v>
      </c>
      <c r="J187" s="2">
        <f ca="1">_xll.DBRW($B$9,$E$11,$H$19,J$20,$E$12,$E$13,$E$14,$E$15,$E$16,$B187)</f>
        <v>0</v>
      </c>
    </row>
    <row r="188" spans="1:10">
      <c r="A188" s="2">
        <f ca="1">IF(_xll.TM1RPTELISCONSOLIDATED($B$21,$B188),IF(_xll.TM1RPTELLEV($B$21,$B188)&lt;=3,_xll.TM1RPTELLEV($B$21,$B188),"D"),"N")</f>
        <v>1</v>
      </c>
      <c r="B188" s="42" t="s">
        <v>202</v>
      </c>
      <c r="C188" s="7" t="str">
        <f ca="1">_xll.DBRA("tango_core_model:Indicator",$B188,$E$17)</f>
        <v>F - Fleet Cost as % of revenue</v>
      </c>
      <c r="D188" s="7" t="str">
        <f ca="1">_xll.DBRA("tango_core_model:Indicator",$B188,"Source_Indicator")</f>
        <v/>
      </c>
      <c r="E188" s="20">
        <f ca="1">_xll.DBRW($B$9,$E$11,$E$19,E$20,$E$12,$E$13,$E$14,$E$15,$E$16,$B188)</f>
        <v>0</v>
      </c>
      <c r="F188" s="20">
        <f ca="1">_xll.DBRW($B$9,$E$11,$E$19,F$20,$E$12,$E$13,$E$14,$E$15,$E$16,$B188)</f>
        <v>0</v>
      </c>
      <c r="G188" s="21">
        <f ca="1">_xll.DBRW($B$9,$E$11,$E$19,G$20,$E$12,$E$13,$E$14,$E$15,$E$16,$B188)</f>
        <v>0</v>
      </c>
      <c r="H188" s="7">
        <f ca="1">_xll.DBRW($B$9,$E$11,$H$19,H$20,$E$12,$E$13,$E$14,$E$15,$E$16,$B188)</f>
        <v>0</v>
      </c>
      <c r="I188" s="7">
        <f ca="1">_xll.DBRW($B$9,$E$11,$H$19,I$20,$E$12,$E$13,$E$14,$E$15,$E$16,$B188)</f>
        <v>0</v>
      </c>
      <c r="J188" s="7">
        <f ca="1">_xll.DBRW($B$9,$E$11,$H$19,J$20,$E$12,$E$13,$E$14,$E$15,$E$16,$B188)</f>
        <v>0</v>
      </c>
    </row>
    <row r="189" spans="1:10">
      <c r="A189" s="2" t="str">
        <f ca="1">IF(_xll.TM1RPTELISCONSOLIDATED($B$21,$B189),IF(_xll.TM1RPTELLEV($B$21,$B189)&lt;=3,_xll.TM1RPTELLEV($B$21,$B189),"D"),"N")</f>
        <v>N</v>
      </c>
      <c r="B189" s="14" t="s">
        <v>203</v>
      </c>
      <c r="C189" s="2" t="str">
        <f ca="1">_xll.DBRA("tango_core_model:Indicator",$B189,$E$17)</f>
        <v>F1 - Fleet Cost per cost work unit</v>
      </c>
      <c r="D189" s="2" t="str">
        <f ca="1">_xll.DBRA("tango_core_model:Indicator",$B189,"Source_Indicator")</f>
        <v>calc</v>
      </c>
      <c r="E189" s="22">
        <f ca="1">_xll.DBRW($B$9,$E$11,$E$19,E$20,$E$12,$E$13,$E$14,$E$15,$E$16,$B189)</f>
        <v>0</v>
      </c>
      <c r="F189" s="22">
        <f ca="1">_xll.DBRW($B$9,$E$11,$E$19,F$20,$E$12,$E$13,$E$14,$E$15,$E$16,$B189)</f>
        <v>0</v>
      </c>
      <c r="G189" s="23">
        <f ca="1">_xll.DBRW($B$9,$E$11,$E$19,G$20,$E$12,$E$13,$E$14,$E$15,$E$16,$B189)</f>
        <v>0</v>
      </c>
      <c r="H189" s="2">
        <f ca="1">_xll.DBRW($B$9,$E$11,$H$19,H$20,$E$12,$E$13,$E$14,$E$15,$E$16,$B189)</f>
        <v>0</v>
      </c>
      <c r="I189" s="2">
        <f ca="1">_xll.DBRW($B$9,$E$11,$H$19,I$20,$E$12,$E$13,$E$14,$E$15,$E$16,$B189)</f>
        <v>0</v>
      </c>
      <c r="J189" s="2">
        <f ca="1">_xll.DBRW($B$9,$E$11,$H$19,J$20,$E$12,$E$13,$E$14,$E$15,$E$16,$B189)</f>
        <v>0</v>
      </c>
    </row>
    <row r="190" spans="1:10">
      <c r="A190" s="2" t="str">
        <f ca="1">IF(_xll.TM1RPTELISCONSOLIDATED($B$21,$B190),IF(_xll.TM1RPTELLEV($B$21,$B190)&lt;=3,_xll.TM1RPTELLEV($B$21,$B190),"D"),"N")</f>
        <v>N</v>
      </c>
      <c r="B190" s="14" t="s">
        <v>204</v>
      </c>
      <c r="C190" s="2" t="str">
        <f ca="1">_xll.DBRA("tango_core_model:Indicator",$B190,$E$17)</f>
        <v>F2 - Fleet efficiency</v>
      </c>
      <c r="D190" s="2" t="str">
        <f ca="1">_xll.DBRA("tango_core_model:Indicator",$B190,"Source_Indicator")</f>
        <v>calc</v>
      </c>
      <c r="E190" s="22">
        <f ca="1">_xll.DBRW($B$9,$E$11,$E$19,E$20,$E$12,$E$13,$E$14,$E$15,$E$16,$B190)</f>
        <v>0</v>
      </c>
      <c r="F190" s="22">
        <f ca="1">_xll.DBRW($B$9,$E$11,$E$19,F$20,$E$12,$E$13,$E$14,$E$15,$E$16,$B190)</f>
        <v>0</v>
      </c>
      <c r="G190" s="23">
        <f ca="1">_xll.DBRW($B$9,$E$11,$E$19,G$20,$E$12,$E$13,$E$14,$E$15,$E$16,$B190)</f>
        <v>0</v>
      </c>
      <c r="H190" s="2">
        <f ca="1">_xll.DBRW($B$9,$E$11,$H$19,H$20,$E$12,$E$13,$E$14,$E$15,$E$16,$B190)</f>
        <v>0</v>
      </c>
      <c r="I190" s="2">
        <f ca="1">_xll.DBRW($B$9,$E$11,$H$19,I$20,$E$12,$E$13,$E$14,$E$15,$E$16,$B190)</f>
        <v>0</v>
      </c>
      <c r="J190" s="2">
        <f ca="1">_xll.DBRW($B$9,$E$11,$H$19,J$20,$E$12,$E$13,$E$14,$E$15,$E$16,$B190)</f>
        <v>0</v>
      </c>
    </row>
    <row r="191" spans="1:10">
      <c r="A191" s="2" t="str">
        <f ca="1">IF(_xll.TM1RPTELISCONSOLIDATED($B$21,$B191),IF(_xll.TM1RPTELLEV($B$21,$B191)&lt;=3,_xll.TM1RPTELLEV($B$21,$B191),"D"),"N")</f>
        <v>N</v>
      </c>
      <c r="B191" s="14" t="s">
        <v>205</v>
      </c>
      <c r="C191" s="2" t="str">
        <f ca="1">_xll.DBRA("tango_core_model:Indicator",$B191,$E$17)</f>
        <v>F3 - Revenue per price work unit</v>
      </c>
      <c r="D191" s="2" t="str">
        <f ca="1">_xll.DBRA("tango_core_model:Indicator",$B191,"Source_Indicator")</f>
        <v>calc</v>
      </c>
      <c r="E191" s="22">
        <f ca="1">_xll.DBRW($B$9,$E$11,$E$19,E$20,$E$12,$E$13,$E$14,$E$15,$E$16,$B191)</f>
        <v>0</v>
      </c>
      <c r="F191" s="22">
        <f ca="1">_xll.DBRW($B$9,$E$11,$E$19,F$20,$E$12,$E$13,$E$14,$E$15,$E$16,$B191)</f>
        <v>0</v>
      </c>
      <c r="G191" s="23">
        <f ca="1">_xll.DBRW($B$9,$E$11,$E$19,G$20,$E$12,$E$13,$E$14,$E$15,$E$16,$B191)</f>
        <v>0</v>
      </c>
      <c r="H191" s="2">
        <f ca="1">_xll.DBRW($B$9,$E$11,$H$19,H$20,$E$12,$E$13,$E$14,$E$15,$E$16,$B191)</f>
        <v>0</v>
      </c>
      <c r="I191" s="2">
        <f ca="1">_xll.DBRW($B$9,$E$11,$H$19,I$20,$E$12,$E$13,$E$14,$E$15,$E$16,$B191)</f>
        <v>0</v>
      </c>
      <c r="J191" s="2">
        <f ca="1">_xll.DBRW($B$9,$E$11,$H$19,J$20,$E$12,$E$13,$E$14,$E$15,$E$16,$B191)</f>
        <v>0</v>
      </c>
    </row>
    <row r="192" spans="1:10">
      <c r="A192" s="2" t="str">
        <f ca="1">IF(_xll.TM1RPTELISCONSOLIDATED($B$21,$B192),IF(_xll.TM1RPTELLEV($B$21,$B192)&lt;=3,_xll.TM1RPTELLEV($B$21,$B192),"D"),"N")</f>
        <v>N</v>
      </c>
      <c r="B192" s="14" t="s">
        <v>206</v>
      </c>
      <c r="C192" s="2" t="str">
        <f ca="1">_xll.DBRA("tango_core_model:Indicator",$B192,$E$17)</f>
        <v>Fleet - Cost Work Unit</v>
      </c>
      <c r="D192" s="2" t="str">
        <f ca="1">_xll.DBRA("tango_core_model:Indicator",$B192,"Source_Indicator")</f>
        <v>calc</v>
      </c>
      <c r="E192" s="22">
        <f ca="1">_xll.DBRW($B$9,$E$11,$E$19,E$20,$E$12,$E$13,$E$14,$E$15,$E$16,$B192)</f>
        <v>0</v>
      </c>
      <c r="F192" s="22">
        <f ca="1">_xll.DBRW($B$9,$E$11,$E$19,F$20,$E$12,$E$13,$E$14,$E$15,$E$16,$B192)</f>
        <v>0</v>
      </c>
      <c r="G192" s="23">
        <f ca="1">_xll.DBRW($B$9,$E$11,$E$19,G$20,$E$12,$E$13,$E$14,$E$15,$E$16,$B192)</f>
        <v>0</v>
      </c>
      <c r="H192" s="2">
        <f ca="1">_xll.DBRW($B$9,$E$11,$H$19,H$20,$E$12,$E$13,$E$14,$E$15,$E$16,$B192)</f>
        <v>0</v>
      </c>
      <c r="I192" s="2">
        <f ca="1">_xll.DBRW($B$9,$E$11,$H$19,I$20,$E$12,$E$13,$E$14,$E$15,$E$16,$B192)</f>
        <v>0</v>
      </c>
      <c r="J192" s="2">
        <f ca="1">_xll.DBRW($B$9,$E$11,$H$19,J$20,$E$12,$E$13,$E$14,$E$15,$E$16,$B192)</f>
        <v>0</v>
      </c>
    </row>
    <row r="193" spans="1:10">
      <c r="A193" s="2" t="str">
        <f ca="1">IF(_xll.TM1RPTELISCONSOLIDATED($B$21,$B193),IF(_xll.TM1RPTELLEV($B$21,$B193)&lt;=3,_xll.TM1RPTELLEV($B$21,$B193),"D"),"N")</f>
        <v>N</v>
      </c>
      <c r="B193" s="14" t="s">
        <v>207</v>
      </c>
      <c r="C193" s="2" t="str">
        <f ca="1">_xll.DBRA("tango_core_model:Indicator",$B193,$E$17)</f>
        <v>Fleet - Price Work Unit</v>
      </c>
      <c r="D193" s="2" t="str">
        <f ca="1">_xll.DBRA("tango_core_model:Indicator",$B193,"Source_Indicator")</f>
        <v>calc</v>
      </c>
      <c r="E193" s="22">
        <f ca="1">_xll.DBRW($B$9,$E$11,$E$19,E$20,$E$12,$E$13,$E$14,$E$15,$E$16,$B193)</f>
        <v>0</v>
      </c>
      <c r="F193" s="22">
        <f ca="1">_xll.DBRW($B$9,$E$11,$E$19,F$20,$E$12,$E$13,$E$14,$E$15,$E$16,$B193)</f>
        <v>0</v>
      </c>
      <c r="G193" s="23">
        <f ca="1">_xll.DBRW($B$9,$E$11,$E$19,G$20,$E$12,$E$13,$E$14,$E$15,$E$16,$B193)</f>
        <v>0</v>
      </c>
      <c r="H193" s="2">
        <f ca="1">_xll.DBRW($B$9,$E$11,$H$19,H$20,$E$12,$E$13,$E$14,$E$15,$E$16,$B193)</f>
        <v>0</v>
      </c>
      <c r="I193" s="2">
        <f ca="1">_xll.DBRW($B$9,$E$11,$H$19,I$20,$E$12,$E$13,$E$14,$E$15,$E$16,$B193)</f>
        <v>0</v>
      </c>
      <c r="J193" s="2">
        <f ca="1">_xll.DBRW($B$9,$E$11,$H$19,J$20,$E$12,$E$13,$E$14,$E$15,$E$16,$B193)</f>
        <v>0</v>
      </c>
    </row>
    <row r="194" spans="1:10">
      <c r="A194" s="2">
        <f ca="1">IF(_xll.TM1RPTELISCONSOLIDATED($B$21,$B194),IF(_xll.TM1RPTELLEV($B$21,$B194)&lt;=3,_xll.TM1RPTELLEV($B$21,$B194),"D"),"N")</f>
        <v>1</v>
      </c>
      <c r="B194" s="42" t="s">
        <v>208</v>
      </c>
      <c r="C194" s="7" t="str">
        <f ca="1">_xll.DBRA("tango_core_model:Indicator",$B194,$E$17)</f>
        <v>O - Other op. Cost as % of revenue</v>
      </c>
      <c r="D194" s="7" t="str">
        <f ca="1">_xll.DBRA("tango_core_model:Indicator",$B194,"Source_Indicator")</f>
        <v/>
      </c>
      <c r="E194" s="20">
        <f ca="1">_xll.DBRW($B$9,$E$11,$E$19,E$20,$E$12,$E$13,$E$14,$E$15,$E$16,$B194)</f>
        <v>0</v>
      </c>
      <c r="F194" s="20">
        <f ca="1">_xll.DBRW($B$9,$E$11,$E$19,F$20,$E$12,$E$13,$E$14,$E$15,$E$16,$B194)</f>
        <v>0</v>
      </c>
      <c r="G194" s="21">
        <f ca="1">_xll.DBRW($B$9,$E$11,$E$19,G$20,$E$12,$E$13,$E$14,$E$15,$E$16,$B194)</f>
        <v>0</v>
      </c>
      <c r="H194" s="7">
        <f ca="1">_xll.DBRW($B$9,$E$11,$H$19,H$20,$E$12,$E$13,$E$14,$E$15,$E$16,$B194)</f>
        <v>0</v>
      </c>
      <c r="I194" s="7">
        <f ca="1">_xll.DBRW($B$9,$E$11,$H$19,I$20,$E$12,$E$13,$E$14,$E$15,$E$16,$B194)</f>
        <v>0</v>
      </c>
      <c r="J194" s="7">
        <f ca="1">_xll.DBRW($B$9,$E$11,$H$19,J$20,$E$12,$E$13,$E$14,$E$15,$E$16,$B194)</f>
        <v>0</v>
      </c>
    </row>
    <row r="195" spans="1:10">
      <c r="A195" s="2" t="str">
        <f ca="1">IF(_xll.TM1RPTELISCONSOLIDATED($B$21,$B195),IF(_xll.TM1RPTELLEV($B$21,$B195)&lt;=3,_xll.TM1RPTELLEV($B$21,$B195),"D"),"N")</f>
        <v>N</v>
      </c>
      <c r="B195" s="14" t="s">
        <v>209</v>
      </c>
      <c r="C195" s="2" t="str">
        <f ca="1">_xll.DBRA("tango_core_model:Indicator",$B195,$E$17)</f>
        <v>O1 - Other Op. Cost per cost work unit</v>
      </c>
      <c r="D195" s="2" t="str">
        <f ca="1">_xll.DBRA("tango_core_model:Indicator",$B195,"Source_Indicator")</f>
        <v>calc</v>
      </c>
      <c r="E195" s="22">
        <f ca="1">_xll.DBRW($B$9,$E$11,$E$19,E$20,$E$12,$E$13,$E$14,$E$15,$E$16,$B195)</f>
        <v>0</v>
      </c>
      <c r="F195" s="22">
        <f ca="1">_xll.DBRW($B$9,$E$11,$E$19,F$20,$E$12,$E$13,$E$14,$E$15,$E$16,$B195)</f>
        <v>0</v>
      </c>
      <c r="G195" s="23">
        <f ca="1">_xll.DBRW($B$9,$E$11,$E$19,G$20,$E$12,$E$13,$E$14,$E$15,$E$16,$B195)</f>
        <v>0</v>
      </c>
      <c r="H195" s="2">
        <f ca="1">_xll.DBRW($B$9,$E$11,$H$19,H$20,$E$12,$E$13,$E$14,$E$15,$E$16,$B195)</f>
        <v>0</v>
      </c>
      <c r="I195" s="2">
        <f ca="1">_xll.DBRW($B$9,$E$11,$H$19,I$20,$E$12,$E$13,$E$14,$E$15,$E$16,$B195)</f>
        <v>0</v>
      </c>
      <c r="J195" s="2">
        <f ca="1">_xll.DBRW($B$9,$E$11,$H$19,J$20,$E$12,$E$13,$E$14,$E$15,$E$16,$B195)</f>
        <v>0</v>
      </c>
    </row>
    <row r="196" spans="1:10">
      <c r="A196" s="2" t="str">
        <f ca="1">IF(_xll.TM1RPTELISCONSOLIDATED($B$21,$B196),IF(_xll.TM1RPTELLEV($B$21,$B196)&lt;=3,_xll.TM1RPTELLEV($B$21,$B196),"D"),"N")</f>
        <v>N</v>
      </c>
      <c r="B196" s="14" t="s">
        <v>210</v>
      </c>
      <c r="C196" s="2" t="str">
        <f ca="1">_xll.DBRA("tango_core_model:Indicator",$B196,$E$17)</f>
        <v>O2 - Other Op. efficiency</v>
      </c>
      <c r="D196" s="2" t="str">
        <f ca="1">_xll.DBRA("tango_core_model:Indicator",$B196,"Source_Indicator")</f>
        <v>calc</v>
      </c>
      <c r="E196" s="22">
        <f ca="1">_xll.DBRW($B$9,$E$11,$E$19,E$20,$E$12,$E$13,$E$14,$E$15,$E$16,$B196)</f>
        <v>0</v>
      </c>
      <c r="F196" s="22">
        <f ca="1">_xll.DBRW($B$9,$E$11,$E$19,F$20,$E$12,$E$13,$E$14,$E$15,$E$16,$B196)</f>
        <v>0</v>
      </c>
      <c r="G196" s="23">
        <f ca="1">_xll.DBRW($B$9,$E$11,$E$19,G$20,$E$12,$E$13,$E$14,$E$15,$E$16,$B196)</f>
        <v>0</v>
      </c>
      <c r="H196" s="2">
        <f ca="1">_xll.DBRW($B$9,$E$11,$H$19,H$20,$E$12,$E$13,$E$14,$E$15,$E$16,$B196)</f>
        <v>0</v>
      </c>
      <c r="I196" s="2">
        <f ca="1">_xll.DBRW($B$9,$E$11,$H$19,I$20,$E$12,$E$13,$E$14,$E$15,$E$16,$B196)</f>
        <v>0</v>
      </c>
      <c r="J196" s="2">
        <f ca="1">_xll.DBRW($B$9,$E$11,$H$19,J$20,$E$12,$E$13,$E$14,$E$15,$E$16,$B196)</f>
        <v>0</v>
      </c>
    </row>
    <row r="197" spans="1:10">
      <c r="A197" s="2" t="str">
        <f ca="1">IF(_xll.TM1RPTELISCONSOLIDATED($B$21,$B197),IF(_xll.TM1RPTELLEV($B$21,$B197)&lt;=3,_xll.TM1RPTELLEV($B$21,$B197),"D"),"N")</f>
        <v>N</v>
      </c>
      <c r="B197" s="14" t="s">
        <v>211</v>
      </c>
      <c r="C197" s="2" t="str">
        <f ca="1">_xll.DBRA("tango_core_model:Indicator",$B197,$E$17)</f>
        <v>O3 - Revenue per price work unit</v>
      </c>
      <c r="D197" s="2" t="str">
        <f ca="1">_xll.DBRA("tango_core_model:Indicator",$B197,"Source_Indicator")</f>
        <v>calc</v>
      </c>
      <c r="E197" s="22">
        <f ca="1">_xll.DBRW($B$9,$E$11,$E$19,E$20,$E$12,$E$13,$E$14,$E$15,$E$16,$B197)</f>
        <v>0</v>
      </c>
      <c r="F197" s="22">
        <f ca="1">_xll.DBRW($B$9,$E$11,$E$19,F$20,$E$12,$E$13,$E$14,$E$15,$E$16,$B197)</f>
        <v>0</v>
      </c>
      <c r="G197" s="23">
        <f ca="1">_xll.DBRW($B$9,$E$11,$E$19,G$20,$E$12,$E$13,$E$14,$E$15,$E$16,$B197)</f>
        <v>0</v>
      </c>
      <c r="H197" s="2">
        <f ca="1">_xll.DBRW($B$9,$E$11,$H$19,H$20,$E$12,$E$13,$E$14,$E$15,$E$16,$B197)</f>
        <v>0</v>
      </c>
      <c r="I197" s="2">
        <f ca="1">_xll.DBRW($B$9,$E$11,$H$19,I$20,$E$12,$E$13,$E$14,$E$15,$E$16,$B197)</f>
        <v>0</v>
      </c>
      <c r="J197" s="2">
        <f ca="1">_xll.DBRW($B$9,$E$11,$H$19,J$20,$E$12,$E$13,$E$14,$E$15,$E$16,$B197)</f>
        <v>0</v>
      </c>
    </row>
    <row r="198" spans="1:10">
      <c r="A198" s="2" t="str">
        <f ca="1">IF(_xll.TM1RPTELISCONSOLIDATED($B$21,$B198),IF(_xll.TM1RPTELLEV($B$21,$B198)&lt;=3,_xll.TM1RPTELLEV($B$21,$B198),"D"),"N")</f>
        <v>N</v>
      </c>
      <c r="B198" s="14" t="s">
        <v>212</v>
      </c>
      <c r="C198" s="2" t="str">
        <f ca="1">_xll.DBRA("tango_core_model:Indicator",$B198,$E$17)</f>
        <v>Other Op. - Cost Work Unit</v>
      </c>
      <c r="D198" s="2" t="str">
        <f ca="1">_xll.DBRA("tango_core_model:Indicator",$B198,"Source_Indicator")</f>
        <v>calc</v>
      </c>
      <c r="E198" s="22">
        <f ca="1">_xll.DBRW($B$9,$E$11,$E$19,E$20,$E$12,$E$13,$E$14,$E$15,$E$16,$B198)</f>
        <v>0</v>
      </c>
      <c r="F198" s="22">
        <f ca="1">_xll.DBRW($B$9,$E$11,$E$19,F$20,$E$12,$E$13,$E$14,$E$15,$E$16,$B198)</f>
        <v>0</v>
      </c>
      <c r="G198" s="23">
        <f ca="1">_xll.DBRW($B$9,$E$11,$E$19,G$20,$E$12,$E$13,$E$14,$E$15,$E$16,$B198)</f>
        <v>0</v>
      </c>
      <c r="H198" s="2">
        <f ca="1">_xll.DBRW($B$9,$E$11,$H$19,H$20,$E$12,$E$13,$E$14,$E$15,$E$16,$B198)</f>
        <v>0</v>
      </c>
      <c r="I198" s="2">
        <f ca="1">_xll.DBRW($B$9,$E$11,$H$19,I$20,$E$12,$E$13,$E$14,$E$15,$E$16,$B198)</f>
        <v>0</v>
      </c>
      <c r="J198" s="2">
        <f ca="1">_xll.DBRW($B$9,$E$11,$H$19,J$20,$E$12,$E$13,$E$14,$E$15,$E$16,$B198)</f>
        <v>0</v>
      </c>
    </row>
    <row r="199" spans="1:10">
      <c r="A199" s="2" t="str">
        <f ca="1">IF(_xll.TM1RPTELISCONSOLIDATED($B$21,$B199),IF(_xll.TM1RPTELLEV($B$21,$B199)&lt;=3,_xll.TM1RPTELLEV($B$21,$B199),"D"),"N")</f>
        <v>N</v>
      </c>
      <c r="B199" s="14" t="s">
        <v>213</v>
      </c>
      <c r="C199" s="2" t="str">
        <f ca="1">_xll.DBRA("tango_core_model:Indicator",$B199,$E$17)</f>
        <v>Other Op. - Price Work Unit</v>
      </c>
      <c r="D199" s="2" t="str">
        <f ca="1">_xll.DBRA("tango_core_model:Indicator",$B199,"Source_Indicator")</f>
        <v>calc</v>
      </c>
      <c r="E199" s="22">
        <f ca="1">_xll.DBRW($B$9,$E$11,$E$19,E$20,$E$12,$E$13,$E$14,$E$15,$E$16,$B199)</f>
        <v>0</v>
      </c>
      <c r="F199" s="22">
        <f ca="1">_xll.DBRW($B$9,$E$11,$E$19,F$20,$E$12,$E$13,$E$14,$E$15,$E$16,$B199)</f>
        <v>0</v>
      </c>
      <c r="G199" s="23">
        <f ca="1">_xll.DBRW($B$9,$E$11,$E$19,G$20,$E$12,$E$13,$E$14,$E$15,$E$16,$B199)</f>
        <v>0</v>
      </c>
      <c r="H199" s="2">
        <f ca="1">_xll.DBRW($B$9,$E$11,$H$19,H$20,$E$12,$E$13,$E$14,$E$15,$E$16,$B199)</f>
        <v>0</v>
      </c>
      <c r="I199" s="2">
        <f ca="1">_xll.DBRW($B$9,$E$11,$H$19,I$20,$E$12,$E$13,$E$14,$E$15,$E$16,$B199)</f>
        <v>0</v>
      </c>
      <c r="J199" s="2">
        <f ca="1">_xll.DBRW($B$9,$E$11,$H$19,J$20,$E$12,$E$13,$E$14,$E$15,$E$16,$B199)</f>
        <v>0</v>
      </c>
    </row>
    <row r="200" spans="1:10">
      <c r="A200" s="2">
        <f ca="1">IF(_xll.TM1RPTELISCONSOLIDATED($B$21,$B200),IF(_xll.TM1RPTELLEV($B$21,$B200)&lt;=3,_xll.TM1RPTELLEV($B$21,$B200),"D"),"N")</f>
        <v>1</v>
      </c>
      <c r="B200" s="42" t="s">
        <v>214</v>
      </c>
      <c r="C200" s="7" t="str">
        <f ca="1">_xll.DBRA("tango_core_model:Indicator",$B200,$E$17)</f>
        <v>D - Part of Driving cost variance due to Level 2 ratios change</v>
      </c>
      <c r="D200" s="7" t="str">
        <f ca="1">_xll.DBRA("tango_core_model:Indicator",$B200,"Source_Indicator")</f>
        <v/>
      </c>
      <c r="E200" s="20">
        <f ca="1">_xll.DBRW($B$9,$E$11,$E$19,E$20,$E$12,$E$13,$E$14,$E$15,$E$16,$B200)</f>
        <v>0</v>
      </c>
      <c r="F200" s="20">
        <f ca="1">_xll.DBRW($B$9,$E$11,$E$19,F$20,$E$12,$E$13,$E$14,$E$15,$E$16,$B200)</f>
        <v>0</v>
      </c>
      <c r="G200" s="21">
        <f ca="1">_xll.DBRW($B$9,$E$11,$E$19,G$20,$E$12,$E$13,$E$14,$E$15,$E$16,$B200)</f>
        <v>0</v>
      </c>
      <c r="H200" s="7">
        <f ca="1">_xll.DBRW($B$9,$E$11,$H$19,H$20,$E$12,$E$13,$E$14,$E$15,$E$16,$B200)</f>
        <v>0</v>
      </c>
      <c r="I200" s="7">
        <f ca="1">_xll.DBRW($B$9,$E$11,$H$19,I$20,$E$12,$E$13,$E$14,$E$15,$E$16,$B200)</f>
        <v>0</v>
      </c>
      <c r="J200" s="7">
        <f ca="1">_xll.DBRW($B$9,$E$11,$H$19,J$20,$E$12,$E$13,$E$14,$E$15,$E$16,$B200)</f>
        <v>0</v>
      </c>
    </row>
    <row r="201" spans="1:10">
      <c r="A201" s="2" t="str">
        <f ca="1">IF(_xll.TM1RPTELISCONSOLIDATED($B$21,$B201),IF(_xll.TM1RPTELLEV($B$21,$B201)&lt;=3,_xll.TM1RPTELLEV($B$21,$B201),"D"),"N")</f>
        <v>N</v>
      </c>
      <c r="B201" s="14" t="s">
        <v>215</v>
      </c>
      <c r="C201" s="2" t="str">
        <f ca="1">_xll.DBRA("tango_core_model:Indicator",$B201,$E$17)</f>
        <v>D1 - Driving cost variance - Cost effect</v>
      </c>
      <c r="D201" s="2" t="str">
        <f ca="1">_xll.DBRA("tango_core_model:Indicator",$B201,"Source_Indicator")</f>
        <v>calc</v>
      </c>
      <c r="E201" s="22">
        <f ca="1">_xll.DBRW($B$9,$E$11,$E$19,E$20,$E$12,$E$13,$E$14,$E$15,$E$16,$B201)</f>
        <v>0</v>
      </c>
      <c r="F201" s="22">
        <f ca="1">_xll.DBRW($B$9,$E$11,$E$19,F$20,$E$12,$E$13,$E$14,$E$15,$E$16,$B201)</f>
        <v>0</v>
      </c>
      <c r="G201" s="23">
        <f ca="1">_xll.DBRW($B$9,$E$11,$E$19,G$20,$E$12,$E$13,$E$14,$E$15,$E$16,$B201)</f>
        <v>0</v>
      </c>
      <c r="H201" s="2">
        <f ca="1">_xll.DBRW($B$9,$E$11,$H$19,H$20,$E$12,$E$13,$E$14,$E$15,$E$16,$B201)</f>
        <v>0</v>
      </c>
      <c r="I201" s="2">
        <f ca="1">_xll.DBRW($B$9,$E$11,$H$19,I$20,$E$12,$E$13,$E$14,$E$15,$E$16,$B201)</f>
        <v>0</v>
      </c>
      <c r="J201" s="2">
        <f ca="1">_xll.DBRW($B$9,$E$11,$H$19,J$20,$E$12,$E$13,$E$14,$E$15,$E$16,$B201)</f>
        <v>0</v>
      </c>
    </row>
    <row r="202" spans="1:10">
      <c r="A202" s="2" t="str">
        <f ca="1">IF(_xll.TM1RPTELISCONSOLIDATED($B$21,$B202),IF(_xll.TM1RPTELLEV($B$21,$B202)&lt;=3,_xll.TM1RPTELLEV($B$21,$B202),"D"),"N")</f>
        <v>N</v>
      </c>
      <c r="B202" s="14" t="s">
        <v>216</v>
      </c>
      <c r="C202" s="2" t="str">
        <f ca="1">_xll.DBRA("tango_core_model:Indicator",$B202,$E$17)</f>
        <v>D2 - Driving cost variance - Efficiency effect</v>
      </c>
      <c r="D202" s="2" t="str">
        <f ca="1">_xll.DBRA("tango_core_model:Indicator",$B202,"Source_Indicator")</f>
        <v>calc</v>
      </c>
      <c r="E202" s="22">
        <f ca="1">_xll.DBRW($B$9,$E$11,$E$19,E$20,$E$12,$E$13,$E$14,$E$15,$E$16,$B202)</f>
        <v>0</v>
      </c>
      <c r="F202" s="22">
        <f ca="1">_xll.DBRW($B$9,$E$11,$E$19,F$20,$E$12,$E$13,$E$14,$E$15,$E$16,$B202)</f>
        <v>0</v>
      </c>
      <c r="G202" s="23">
        <f ca="1">_xll.DBRW($B$9,$E$11,$E$19,G$20,$E$12,$E$13,$E$14,$E$15,$E$16,$B202)</f>
        <v>0</v>
      </c>
      <c r="H202" s="2">
        <f ca="1">_xll.DBRW($B$9,$E$11,$H$19,H$20,$E$12,$E$13,$E$14,$E$15,$E$16,$B202)</f>
        <v>0</v>
      </c>
      <c r="I202" s="2">
        <f ca="1">_xll.DBRW($B$9,$E$11,$H$19,I$20,$E$12,$E$13,$E$14,$E$15,$E$16,$B202)</f>
        <v>0</v>
      </c>
      <c r="J202" s="2">
        <f ca="1">_xll.DBRW($B$9,$E$11,$H$19,J$20,$E$12,$E$13,$E$14,$E$15,$E$16,$B202)</f>
        <v>0</v>
      </c>
    </row>
    <row r="203" spans="1:10">
      <c r="A203" s="2" t="str">
        <f ca="1">IF(_xll.TM1RPTELISCONSOLIDATED($B$21,$B203),IF(_xll.TM1RPTELLEV($B$21,$B203)&lt;=3,_xll.TM1RPTELLEV($B$21,$B203),"D"),"N")</f>
        <v>N</v>
      </c>
      <c r="B203" s="14" t="s">
        <v>217</v>
      </c>
      <c r="C203" s="2" t="str">
        <f ca="1">_xll.DBRA("tango_core_model:Indicator",$B203,$E$17)</f>
        <v>D3 - Driving cost variance - Price effect</v>
      </c>
      <c r="D203" s="2" t="str">
        <f ca="1">_xll.DBRA("tango_core_model:Indicator",$B203,"Source_Indicator")</f>
        <v>calc</v>
      </c>
      <c r="E203" s="22">
        <f ca="1">_xll.DBRW($B$9,$E$11,$E$19,E$20,$E$12,$E$13,$E$14,$E$15,$E$16,$B203)</f>
        <v>0</v>
      </c>
      <c r="F203" s="22">
        <f ca="1">_xll.DBRW($B$9,$E$11,$E$19,F$20,$E$12,$E$13,$E$14,$E$15,$E$16,$B203)</f>
        <v>0</v>
      </c>
      <c r="G203" s="23">
        <f ca="1">_xll.DBRW($B$9,$E$11,$E$19,G$20,$E$12,$E$13,$E$14,$E$15,$E$16,$B203)</f>
        <v>0</v>
      </c>
      <c r="H203" s="2">
        <f ca="1">_xll.DBRW($B$9,$E$11,$H$19,H$20,$E$12,$E$13,$E$14,$E$15,$E$16,$B203)</f>
        <v>0</v>
      </c>
      <c r="I203" s="2">
        <f ca="1">_xll.DBRW($B$9,$E$11,$H$19,I$20,$E$12,$E$13,$E$14,$E$15,$E$16,$B203)</f>
        <v>0</v>
      </c>
      <c r="J203" s="2">
        <f ca="1">_xll.DBRW($B$9,$E$11,$H$19,J$20,$E$12,$E$13,$E$14,$E$15,$E$16,$B203)</f>
        <v>0</v>
      </c>
    </row>
    <row r="204" spans="1:10">
      <c r="A204" s="2" t="str">
        <f ca="1">IF(_xll.TM1RPTELISCONSOLIDATED($B$21,$B204),IF(_xll.TM1RPTELLEV($B$21,$B204)&lt;=3,_xll.TM1RPTELLEV($B$21,$B204),"D"),"N")</f>
        <v>N</v>
      </c>
      <c r="B204" s="14" t="s">
        <v>218</v>
      </c>
      <c r="C204" s="2" t="str">
        <f ca="1">_xll.DBRA("tango_core_model:Indicator",$B204,$E$17)</f>
        <v>D - Compound</v>
      </c>
      <c r="D204" s="2" t="str">
        <f ca="1">_xll.DBRA("tango_core_model:Indicator",$B204,"Source_Indicator")</f>
        <v>calc</v>
      </c>
      <c r="E204" s="22">
        <f ca="1">_xll.DBRW($B$9,$E$11,$E$19,E$20,$E$12,$E$13,$E$14,$E$15,$E$16,$B204)</f>
        <v>0</v>
      </c>
      <c r="F204" s="22">
        <f ca="1">_xll.DBRW($B$9,$E$11,$E$19,F$20,$E$12,$E$13,$E$14,$E$15,$E$16,$B204)</f>
        <v>0</v>
      </c>
      <c r="G204" s="23">
        <f ca="1">_xll.DBRW($B$9,$E$11,$E$19,G$20,$E$12,$E$13,$E$14,$E$15,$E$16,$B204)</f>
        <v>0</v>
      </c>
      <c r="H204" s="2">
        <f ca="1">_xll.DBRW($B$9,$E$11,$H$19,H$20,$E$12,$E$13,$E$14,$E$15,$E$16,$B204)</f>
        <v>0</v>
      </c>
      <c r="I204" s="2">
        <f ca="1">_xll.DBRW($B$9,$E$11,$H$19,I$20,$E$12,$E$13,$E$14,$E$15,$E$16,$B204)</f>
        <v>0</v>
      </c>
      <c r="J204" s="2">
        <f ca="1">_xll.DBRW($B$9,$E$11,$H$19,J$20,$E$12,$E$13,$E$14,$E$15,$E$16,$B204)</f>
        <v>0</v>
      </c>
    </row>
    <row r="205" spans="1:10">
      <c r="A205" s="2" t="str">
        <f ca="1">IF(_xll.TM1RPTELISCONSOLIDATED($B$21,$B205),IF(_xll.TM1RPTELLEV($B$21,$B205)&lt;=3,_xll.TM1RPTELLEV($B$21,$B205),"D"),"N")</f>
        <v>N</v>
      </c>
      <c r="B205" s="14" t="s">
        <v>219</v>
      </c>
      <c r="C205" s="2" t="str">
        <f ca="1">_xll.DBRA("tango_core_model:Indicator",$B205,$E$17)</f>
        <v>D - Driving cost variance not addressed due to missing Work Unit(s)</v>
      </c>
      <c r="D205" s="2" t="str">
        <f ca="1">_xll.DBRA("tango_core_model:Indicator",$B205,"Source_Indicator")</f>
        <v>calc</v>
      </c>
      <c r="E205" s="22">
        <f ca="1">_xll.DBRW($B$9,$E$11,$E$19,E$20,$E$12,$E$13,$E$14,$E$15,$E$16,$B205)</f>
        <v>0</v>
      </c>
      <c r="F205" s="22">
        <f ca="1">_xll.DBRW($B$9,$E$11,$E$19,F$20,$E$12,$E$13,$E$14,$E$15,$E$16,$B205)</f>
        <v>0</v>
      </c>
      <c r="G205" s="23">
        <f ca="1">_xll.DBRW($B$9,$E$11,$E$19,G$20,$E$12,$E$13,$E$14,$E$15,$E$16,$B205)</f>
        <v>0</v>
      </c>
      <c r="H205" s="2">
        <f ca="1">_xll.DBRW($B$9,$E$11,$H$19,H$20,$E$12,$E$13,$E$14,$E$15,$E$16,$B205)</f>
        <v>0</v>
      </c>
      <c r="I205" s="2">
        <f ca="1">_xll.DBRW($B$9,$E$11,$H$19,I$20,$E$12,$E$13,$E$14,$E$15,$E$16,$B205)</f>
        <v>0</v>
      </c>
      <c r="J205" s="2">
        <f ca="1">_xll.DBRW($B$9,$E$11,$H$19,J$20,$E$12,$E$13,$E$14,$E$15,$E$16,$B205)</f>
        <v>0</v>
      </c>
    </row>
    <row r="206" spans="1:10">
      <c r="A206" s="2">
        <f ca="1">IF(_xll.TM1RPTELISCONSOLIDATED($B$21,$B206),IF(_xll.TM1RPTELLEV($B$21,$B206)&lt;=3,_xll.TM1RPTELLEV($B$21,$B206),"D"),"N")</f>
        <v>1</v>
      </c>
      <c r="B206" s="42" t="s">
        <v>220</v>
      </c>
      <c r="C206" s="7" t="str">
        <f ca="1">_xll.DBRA("tango_core_model:Indicator",$B206,$E$17)</f>
        <v>M - Part of Maintenance cost variance due to Level 2 ratios change</v>
      </c>
      <c r="D206" s="7" t="str">
        <f ca="1">_xll.DBRA("tango_core_model:Indicator",$B206,"Source_Indicator")</f>
        <v/>
      </c>
      <c r="E206" s="20">
        <f ca="1">_xll.DBRW($B$9,$E$11,$E$19,E$20,$E$12,$E$13,$E$14,$E$15,$E$16,$B206)</f>
        <v>0</v>
      </c>
      <c r="F206" s="20">
        <f ca="1">_xll.DBRW($B$9,$E$11,$E$19,F$20,$E$12,$E$13,$E$14,$E$15,$E$16,$B206)</f>
        <v>0</v>
      </c>
      <c r="G206" s="21">
        <f ca="1">_xll.DBRW($B$9,$E$11,$E$19,G$20,$E$12,$E$13,$E$14,$E$15,$E$16,$B206)</f>
        <v>0</v>
      </c>
      <c r="H206" s="7">
        <f ca="1">_xll.DBRW($B$9,$E$11,$H$19,H$20,$E$12,$E$13,$E$14,$E$15,$E$16,$B206)</f>
        <v>0</v>
      </c>
      <c r="I206" s="7">
        <f ca="1">_xll.DBRW($B$9,$E$11,$H$19,I$20,$E$12,$E$13,$E$14,$E$15,$E$16,$B206)</f>
        <v>0</v>
      </c>
      <c r="J206" s="7">
        <f ca="1">_xll.DBRW($B$9,$E$11,$H$19,J$20,$E$12,$E$13,$E$14,$E$15,$E$16,$B206)</f>
        <v>0</v>
      </c>
    </row>
    <row r="207" spans="1:10">
      <c r="A207" s="2" t="str">
        <f ca="1">IF(_xll.TM1RPTELISCONSOLIDATED($B$21,$B207),IF(_xll.TM1RPTELLEV($B$21,$B207)&lt;=3,_xll.TM1RPTELLEV($B$21,$B207),"D"),"N")</f>
        <v>N</v>
      </c>
      <c r="B207" s="14" t="s">
        <v>221</v>
      </c>
      <c r="C207" s="2" t="str">
        <f ca="1">_xll.DBRA("tango_core_model:Indicator",$B207,$E$17)</f>
        <v>M1 - Maintenance cost variance - Cost effect</v>
      </c>
      <c r="D207" s="2" t="str">
        <f ca="1">_xll.DBRA("tango_core_model:Indicator",$B207,"Source_Indicator")</f>
        <v>calc</v>
      </c>
      <c r="E207" s="22">
        <f ca="1">_xll.DBRW($B$9,$E$11,$E$19,E$20,$E$12,$E$13,$E$14,$E$15,$E$16,$B207)</f>
        <v>0</v>
      </c>
      <c r="F207" s="22">
        <f ca="1">_xll.DBRW($B$9,$E$11,$E$19,F$20,$E$12,$E$13,$E$14,$E$15,$E$16,$B207)</f>
        <v>0</v>
      </c>
      <c r="G207" s="23">
        <f ca="1">_xll.DBRW($B$9,$E$11,$E$19,G$20,$E$12,$E$13,$E$14,$E$15,$E$16,$B207)</f>
        <v>0</v>
      </c>
      <c r="H207" s="2">
        <f ca="1">_xll.DBRW($B$9,$E$11,$H$19,H$20,$E$12,$E$13,$E$14,$E$15,$E$16,$B207)</f>
        <v>0</v>
      </c>
      <c r="I207" s="2">
        <f ca="1">_xll.DBRW($B$9,$E$11,$H$19,I$20,$E$12,$E$13,$E$14,$E$15,$E$16,$B207)</f>
        <v>0</v>
      </c>
      <c r="J207" s="2">
        <f ca="1">_xll.DBRW($B$9,$E$11,$H$19,J$20,$E$12,$E$13,$E$14,$E$15,$E$16,$B207)</f>
        <v>0</v>
      </c>
    </row>
    <row r="208" spans="1:10">
      <c r="A208" s="2" t="str">
        <f ca="1">IF(_xll.TM1RPTELISCONSOLIDATED($B$21,$B208),IF(_xll.TM1RPTELLEV($B$21,$B208)&lt;=3,_xll.TM1RPTELLEV($B$21,$B208),"D"),"N")</f>
        <v>N</v>
      </c>
      <c r="B208" s="14" t="s">
        <v>222</v>
      </c>
      <c r="C208" s="2" t="str">
        <f ca="1">_xll.DBRA("tango_core_model:Indicator",$B208,$E$17)</f>
        <v>M2 - Maintenance cost variance - Efficiency effect</v>
      </c>
      <c r="D208" s="2" t="str">
        <f ca="1">_xll.DBRA("tango_core_model:Indicator",$B208,"Source_Indicator")</f>
        <v>calc</v>
      </c>
      <c r="E208" s="22">
        <f ca="1">_xll.DBRW($B$9,$E$11,$E$19,E$20,$E$12,$E$13,$E$14,$E$15,$E$16,$B208)</f>
        <v>0</v>
      </c>
      <c r="F208" s="22">
        <f ca="1">_xll.DBRW($B$9,$E$11,$E$19,F$20,$E$12,$E$13,$E$14,$E$15,$E$16,$B208)</f>
        <v>0</v>
      </c>
      <c r="G208" s="23">
        <f ca="1">_xll.DBRW($B$9,$E$11,$E$19,G$20,$E$12,$E$13,$E$14,$E$15,$E$16,$B208)</f>
        <v>0</v>
      </c>
      <c r="H208" s="2">
        <f ca="1">_xll.DBRW($B$9,$E$11,$H$19,H$20,$E$12,$E$13,$E$14,$E$15,$E$16,$B208)</f>
        <v>0</v>
      </c>
      <c r="I208" s="2">
        <f ca="1">_xll.DBRW($B$9,$E$11,$H$19,I$20,$E$12,$E$13,$E$14,$E$15,$E$16,$B208)</f>
        <v>0</v>
      </c>
      <c r="J208" s="2">
        <f ca="1">_xll.DBRW($B$9,$E$11,$H$19,J$20,$E$12,$E$13,$E$14,$E$15,$E$16,$B208)</f>
        <v>0</v>
      </c>
    </row>
    <row r="209" spans="1:10">
      <c r="A209" s="2" t="str">
        <f ca="1">IF(_xll.TM1RPTELISCONSOLIDATED($B$21,$B209),IF(_xll.TM1RPTELLEV($B$21,$B209)&lt;=3,_xll.TM1RPTELLEV($B$21,$B209),"D"),"N")</f>
        <v>N</v>
      </c>
      <c r="B209" s="14" t="s">
        <v>223</v>
      </c>
      <c r="C209" s="2" t="str">
        <f ca="1">_xll.DBRA("tango_core_model:Indicator",$B209,$E$17)</f>
        <v>M3 - Maintenance cost variance - Price effect</v>
      </c>
      <c r="D209" s="2" t="str">
        <f ca="1">_xll.DBRA("tango_core_model:Indicator",$B209,"Source_Indicator")</f>
        <v>calc</v>
      </c>
      <c r="E209" s="22">
        <f ca="1">_xll.DBRW($B$9,$E$11,$E$19,E$20,$E$12,$E$13,$E$14,$E$15,$E$16,$B209)</f>
        <v>0</v>
      </c>
      <c r="F209" s="22">
        <f ca="1">_xll.DBRW($B$9,$E$11,$E$19,F$20,$E$12,$E$13,$E$14,$E$15,$E$16,$B209)</f>
        <v>0</v>
      </c>
      <c r="G209" s="23">
        <f ca="1">_xll.DBRW($B$9,$E$11,$E$19,G$20,$E$12,$E$13,$E$14,$E$15,$E$16,$B209)</f>
        <v>0</v>
      </c>
      <c r="H209" s="2">
        <f ca="1">_xll.DBRW($B$9,$E$11,$H$19,H$20,$E$12,$E$13,$E$14,$E$15,$E$16,$B209)</f>
        <v>0</v>
      </c>
      <c r="I209" s="2">
        <f ca="1">_xll.DBRW($B$9,$E$11,$H$19,I$20,$E$12,$E$13,$E$14,$E$15,$E$16,$B209)</f>
        <v>0</v>
      </c>
      <c r="J209" s="2">
        <f ca="1">_xll.DBRW($B$9,$E$11,$H$19,J$20,$E$12,$E$13,$E$14,$E$15,$E$16,$B209)</f>
        <v>0</v>
      </c>
    </row>
    <row r="210" spans="1:10">
      <c r="A210" s="2" t="str">
        <f ca="1">IF(_xll.TM1RPTELISCONSOLIDATED($B$21,$B210),IF(_xll.TM1RPTELLEV($B$21,$B210)&lt;=3,_xll.TM1RPTELLEV($B$21,$B210),"D"),"N")</f>
        <v>N</v>
      </c>
      <c r="B210" s="14" t="s">
        <v>224</v>
      </c>
      <c r="C210" s="2" t="str">
        <f ca="1">_xll.DBRA("tango_core_model:Indicator",$B210,$E$17)</f>
        <v>M - Compound</v>
      </c>
      <c r="D210" s="2" t="str">
        <f ca="1">_xll.DBRA("tango_core_model:Indicator",$B210,"Source_Indicator")</f>
        <v>calc</v>
      </c>
      <c r="E210" s="22">
        <f ca="1">_xll.DBRW($B$9,$E$11,$E$19,E$20,$E$12,$E$13,$E$14,$E$15,$E$16,$B210)</f>
        <v>0</v>
      </c>
      <c r="F210" s="22">
        <f ca="1">_xll.DBRW($B$9,$E$11,$E$19,F$20,$E$12,$E$13,$E$14,$E$15,$E$16,$B210)</f>
        <v>0</v>
      </c>
      <c r="G210" s="23">
        <f ca="1">_xll.DBRW($B$9,$E$11,$E$19,G$20,$E$12,$E$13,$E$14,$E$15,$E$16,$B210)</f>
        <v>0</v>
      </c>
      <c r="H210" s="2">
        <f ca="1">_xll.DBRW($B$9,$E$11,$H$19,H$20,$E$12,$E$13,$E$14,$E$15,$E$16,$B210)</f>
        <v>0</v>
      </c>
      <c r="I210" s="2">
        <f ca="1">_xll.DBRW($B$9,$E$11,$H$19,I$20,$E$12,$E$13,$E$14,$E$15,$E$16,$B210)</f>
        <v>0</v>
      </c>
      <c r="J210" s="2">
        <f ca="1">_xll.DBRW($B$9,$E$11,$H$19,J$20,$E$12,$E$13,$E$14,$E$15,$E$16,$B210)</f>
        <v>0</v>
      </c>
    </row>
    <row r="211" spans="1:10">
      <c r="A211" s="2" t="str">
        <f ca="1">IF(_xll.TM1RPTELISCONSOLIDATED($B$21,$B211),IF(_xll.TM1RPTELLEV($B$21,$B211)&lt;=3,_xll.TM1RPTELLEV($B$21,$B211),"D"),"N")</f>
        <v>N</v>
      </c>
      <c r="B211" s="14" t="s">
        <v>225</v>
      </c>
      <c r="C211" s="2" t="str">
        <f ca="1">_xll.DBRA("tango_core_model:Indicator",$B211,$E$17)</f>
        <v>M - Maintenance cost variance not addressed due to missing Work Unit(s)</v>
      </c>
      <c r="D211" s="2" t="str">
        <f ca="1">_xll.DBRA("tango_core_model:Indicator",$B211,"Source_Indicator")</f>
        <v>calc</v>
      </c>
      <c r="E211" s="22">
        <f ca="1">_xll.DBRW($B$9,$E$11,$E$19,E$20,$E$12,$E$13,$E$14,$E$15,$E$16,$B211)</f>
        <v>0</v>
      </c>
      <c r="F211" s="22">
        <f ca="1">_xll.DBRW($B$9,$E$11,$E$19,F$20,$E$12,$E$13,$E$14,$E$15,$E$16,$B211)</f>
        <v>0</v>
      </c>
      <c r="G211" s="23">
        <f ca="1">_xll.DBRW($B$9,$E$11,$E$19,G$20,$E$12,$E$13,$E$14,$E$15,$E$16,$B211)</f>
        <v>0</v>
      </c>
      <c r="H211" s="2">
        <f ca="1">_xll.DBRW($B$9,$E$11,$H$19,H$20,$E$12,$E$13,$E$14,$E$15,$E$16,$B211)</f>
        <v>0</v>
      </c>
      <c r="I211" s="2">
        <f ca="1">_xll.DBRW($B$9,$E$11,$H$19,I$20,$E$12,$E$13,$E$14,$E$15,$E$16,$B211)</f>
        <v>0</v>
      </c>
      <c r="J211" s="2">
        <f ca="1">_xll.DBRW($B$9,$E$11,$H$19,J$20,$E$12,$E$13,$E$14,$E$15,$E$16,$B211)</f>
        <v>0</v>
      </c>
    </row>
    <row r="212" spans="1:10">
      <c r="A212" s="2">
        <f ca="1">IF(_xll.TM1RPTELISCONSOLIDATED($B$21,$B212),IF(_xll.TM1RPTELLEV($B$21,$B212)&lt;=3,_xll.TM1RPTELLEV($B$21,$B212),"D"),"N")</f>
        <v>1</v>
      </c>
      <c r="B212" s="42" t="s">
        <v>226</v>
      </c>
      <c r="C212" s="7" t="str">
        <f ca="1">_xll.DBRA("tango_core_model:Indicator",$B212,$E$17)</f>
        <v>E - Part of Energy cost variance due to Level 2 ratios change</v>
      </c>
      <c r="D212" s="7" t="str">
        <f ca="1">_xll.DBRA("tango_core_model:Indicator",$B212,"Source_Indicator")</f>
        <v/>
      </c>
      <c r="E212" s="20">
        <f ca="1">_xll.DBRW($B$9,$E$11,$E$19,E$20,$E$12,$E$13,$E$14,$E$15,$E$16,$B212)</f>
        <v>0</v>
      </c>
      <c r="F212" s="20">
        <f ca="1">_xll.DBRW($B$9,$E$11,$E$19,F$20,$E$12,$E$13,$E$14,$E$15,$E$16,$B212)</f>
        <v>0</v>
      </c>
      <c r="G212" s="21">
        <f ca="1">_xll.DBRW($B$9,$E$11,$E$19,G$20,$E$12,$E$13,$E$14,$E$15,$E$16,$B212)</f>
        <v>0</v>
      </c>
      <c r="H212" s="7">
        <f ca="1">_xll.DBRW($B$9,$E$11,$H$19,H$20,$E$12,$E$13,$E$14,$E$15,$E$16,$B212)</f>
        <v>0</v>
      </c>
      <c r="I212" s="7">
        <f ca="1">_xll.DBRW($B$9,$E$11,$H$19,I$20,$E$12,$E$13,$E$14,$E$15,$E$16,$B212)</f>
        <v>0</v>
      </c>
      <c r="J212" s="7">
        <f ca="1">_xll.DBRW($B$9,$E$11,$H$19,J$20,$E$12,$E$13,$E$14,$E$15,$E$16,$B212)</f>
        <v>0</v>
      </c>
    </row>
    <row r="213" spans="1:10">
      <c r="A213" s="2" t="str">
        <f ca="1">IF(_xll.TM1RPTELISCONSOLIDATED($B$21,$B213),IF(_xll.TM1RPTELLEV($B$21,$B213)&lt;=3,_xll.TM1RPTELLEV($B$21,$B213),"D"),"N")</f>
        <v>N</v>
      </c>
      <c r="B213" s="14" t="s">
        <v>227</v>
      </c>
      <c r="C213" s="2" t="str">
        <f ca="1">_xll.DBRA("tango_core_model:Indicator",$B213,$E$17)</f>
        <v>E1 - Energy cost variance - Cost effect</v>
      </c>
      <c r="D213" s="2" t="str">
        <f ca="1">_xll.DBRA("tango_core_model:Indicator",$B213,"Source_Indicator")</f>
        <v>calc</v>
      </c>
      <c r="E213" s="22">
        <f ca="1">_xll.DBRW($B$9,$E$11,$E$19,E$20,$E$12,$E$13,$E$14,$E$15,$E$16,$B213)</f>
        <v>0</v>
      </c>
      <c r="F213" s="22">
        <f ca="1">_xll.DBRW($B$9,$E$11,$E$19,F$20,$E$12,$E$13,$E$14,$E$15,$E$16,$B213)</f>
        <v>0</v>
      </c>
      <c r="G213" s="23">
        <f ca="1">_xll.DBRW($B$9,$E$11,$E$19,G$20,$E$12,$E$13,$E$14,$E$15,$E$16,$B213)</f>
        <v>0</v>
      </c>
      <c r="H213" s="2">
        <f ca="1">_xll.DBRW($B$9,$E$11,$H$19,H$20,$E$12,$E$13,$E$14,$E$15,$E$16,$B213)</f>
        <v>0</v>
      </c>
      <c r="I213" s="2">
        <f ca="1">_xll.DBRW($B$9,$E$11,$H$19,I$20,$E$12,$E$13,$E$14,$E$15,$E$16,$B213)</f>
        <v>0</v>
      </c>
      <c r="J213" s="2">
        <f ca="1">_xll.DBRW($B$9,$E$11,$H$19,J$20,$E$12,$E$13,$E$14,$E$15,$E$16,$B213)</f>
        <v>0</v>
      </c>
    </row>
    <row r="214" spans="1:10">
      <c r="A214" s="2" t="str">
        <f ca="1">IF(_xll.TM1RPTELISCONSOLIDATED($B$21,$B214),IF(_xll.TM1RPTELLEV($B$21,$B214)&lt;=3,_xll.TM1RPTELLEV($B$21,$B214),"D"),"N")</f>
        <v>N</v>
      </c>
      <c r="B214" s="14" t="s">
        <v>228</v>
      </c>
      <c r="C214" s="2" t="str">
        <f ca="1">_xll.DBRA("tango_core_model:Indicator",$B214,$E$17)</f>
        <v>E2 - Energy cost variance - Efficiency effect</v>
      </c>
      <c r="D214" s="2" t="str">
        <f ca="1">_xll.DBRA("tango_core_model:Indicator",$B214,"Source_Indicator")</f>
        <v>calc</v>
      </c>
      <c r="E214" s="22">
        <f ca="1">_xll.DBRW($B$9,$E$11,$E$19,E$20,$E$12,$E$13,$E$14,$E$15,$E$16,$B214)</f>
        <v>0</v>
      </c>
      <c r="F214" s="22">
        <f ca="1">_xll.DBRW($B$9,$E$11,$E$19,F$20,$E$12,$E$13,$E$14,$E$15,$E$16,$B214)</f>
        <v>0</v>
      </c>
      <c r="G214" s="23">
        <f ca="1">_xll.DBRW($B$9,$E$11,$E$19,G$20,$E$12,$E$13,$E$14,$E$15,$E$16,$B214)</f>
        <v>0</v>
      </c>
      <c r="H214" s="2">
        <f ca="1">_xll.DBRW($B$9,$E$11,$H$19,H$20,$E$12,$E$13,$E$14,$E$15,$E$16,$B214)</f>
        <v>0</v>
      </c>
      <c r="I214" s="2">
        <f ca="1">_xll.DBRW($B$9,$E$11,$H$19,I$20,$E$12,$E$13,$E$14,$E$15,$E$16,$B214)</f>
        <v>0</v>
      </c>
      <c r="J214" s="2">
        <f ca="1">_xll.DBRW($B$9,$E$11,$H$19,J$20,$E$12,$E$13,$E$14,$E$15,$E$16,$B214)</f>
        <v>0</v>
      </c>
    </row>
    <row r="215" spans="1:10">
      <c r="A215" s="2" t="str">
        <f ca="1">IF(_xll.TM1RPTELISCONSOLIDATED($B$21,$B215),IF(_xll.TM1RPTELLEV($B$21,$B215)&lt;=3,_xll.TM1RPTELLEV($B$21,$B215),"D"),"N")</f>
        <v>N</v>
      </c>
      <c r="B215" s="14" t="s">
        <v>229</v>
      </c>
      <c r="C215" s="2" t="str">
        <f ca="1">_xll.DBRA("tango_core_model:Indicator",$B215,$E$17)</f>
        <v>E3 - Energy cost variance - Price effect</v>
      </c>
      <c r="D215" s="2" t="str">
        <f ca="1">_xll.DBRA("tango_core_model:Indicator",$B215,"Source_Indicator")</f>
        <v>calc</v>
      </c>
      <c r="E215" s="22">
        <f ca="1">_xll.DBRW($B$9,$E$11,$E$19,E$20,$E$12,$E$13,$E$14,$E$15,$E$16,$B215)</f>
        <v>0</v>
      </c>
      <c r="F215" s="22">
        <f ca="1">_xll.DBRW($B$9,$E$11,$E$19,F$20,$E$12,$E$13,$E$14,$E$15,$E$16,$B215)</f>
        <v>0</v>
      </c>
      <c r="G215" s="23">
        <f ca="1">_xll.DBRW($B$9,$E$11,$E$19,G$20,$E$12,$E$13,$E$14,$E$15,$E$16,$B215)</f>
        <v>0</v>
      </c>
      <c r="H215" s="2">
        <f ca="1">_xll.DBRW($B$9,$E$11,$H$19,H$20,$E$12,$E$13,$E$14,$E$15,$E$16,$B215)</f>
        <v>0</v>
      </c>
      <c r="I215" s="2">
        <f ca="1">_xll.DBRW($B$9,$E$11,$H$19,I$20,$E$12,$E$13,$E$14,$E$15,$E$16,$B215)</f>
        <v>0</v>
      </c>
      <c r="J215" s="2">
        <f ca="1">_xll.DBRW($B$9,$E$11,$H$19,J$20,$E$12,$E$13,$E$14,$E$15,$E$16,$B215)</f>
        <v>0</v>
      </c>
    </row>
    <row r="216" spans="1:10">
      <c r="A216" s="2" t="str">
        <f ca="1">IF(_xll.TM1RPTELISCONSOLIDATED($B$21,$B216),IF(_xll.TM1RPTELLEV($B$21,$B216)&lt;=3,_xll.TM1RPTELLEV($B$21,$B216),"D"),"N")</f>
        <v>N</v>
      </c>
      <c r="B216" s="14" t="s">
        <v>230</v>
      </c>
      <c r="C216" s="2" t="str">
        <f ca="1">_xll.DBRA("tango_core_model:Indicator",$B216,$E$17)</f>
        <v>E - Compound</v>
      </c>
      <c r="D216" s="2" t="str">
        <f ca="1">_xll.DBRA("tango_core_model:Indicator",$B216,"Source_Indicator")</f>
        <v>calc</v>
      </c>
      <c r="E216" s="22">
        <f ca="1">_xll.DBRW($B$9,$E$11,$E$19,E$20,$E$12,$E$13,$E$14,$E$15,$E$16,$B216)</f>
        <v>0</v>
      </c>
      <c r="F216" s="22">
        <f ca="1">_xll.DBRW($B$9,$E$11,$E$19,F$20,$E$12,$E$13,$E$14,$E$15,$E$16,$B216)</f>
        <v>0</v>
      </c>
      <c r="G216" s="23">
        <f ca="1">_xll.DBRW($B$9,$E$11,$E$19,G$20,$E$12,$E$13,$E$14,$E$15,$E$16,$B216)</f>
        <v>0</v>
      </c>
      <c r="H216" s="2">
        <f ca="1">_xll.DBRW($B$9,$E$11,$H$19,H$20,$E$12,$E$13,$E$14,$E$15,$E$16,$B216)</f>
        <v>0</v>
      </c>
      <c r="I216" s="2">
        <f ca="1">_xll.DBRW($B$9,$E$11,$H$19,I$20,$E$12,$E$13,$E$14,$E$15,$E$16,$B216)</f>
        <v>0</v>
      </c>
      <c r="J216" s="2">
        <f ca="1">_xll.DBRW($B$9,$E$11,$H$19,J$20,$E$12,$E$13,$E$14,$E$15,$E$16,$B216)</f>
        <v>0</v>
      </c>
    </row>
    <row r="217" spans="1:10">
      <c r="A217" s="2" t="str">
        <f ca="1">IF(_xll.TM1RPTELISCONSOLIDATED($B$21,$B217),IF(_xll.TM1RPTELLEV($B$21,$B217)&lt;=3,_xll.TM1RPTELLEV($B$21,$B217),"D"),"N")</f>
        <v>N</v>
      </c>
      <c r="B217" s="14" t="s">
        <v>231</v>
      </c>
      <c r="C217" s="2" t="str">
        <f ca="1">_xll.DBRA("tango_core_model:Indicator",$B217,$E$17)</f>
        <v>E - Energy cost variance not addressed due to missing Work Unit(s)</v>
      </c>
      <c r="D217" s="2" t="str">
        <f ca="1">_xll.DBRA("tango_core_model:Indicator",$B217,"Source_Indicator")</f>
        <v>calc</v>
      </c>
      <c r="E217" s="22">
        <f ca="1">_xll.DBRW($B$9,$E$11,$E$19,E$20,$E$12,$E$13,$E$14,$E$15,$E$16,$B217)</f>
        <v>0</v>
      </c>
      <c r="F217" s="22">
        <f ca="1">_xll.DBRW($B$9,$E$11,$E$19,F$20,$E$12,$E$13,$E$14,$E$15,$E$16,$B217)</f>
        <v>0</v>
      </c>
      <c r="G217" s="23">
        <f ca="1">_xll.DBRW($B$9,$E$11,$E$19,G$20,$E$12,$E$13,$E$14,$E$15,$E$16,$B217)</f>
        <v>0</v>
      </c>
      <c r="H217" s="2">
        <f ca="1">_xll.DBRW($B$9,$E$11,$H$19,H$20,$E$12,$E$13,$E$14,$E$15,$E$16,$B217)</f>
        <v>0</v>
      </c>
      <c r="I217" s="2">
        <f ca="1">_xll.DBRW($B$9,$E$11,$H$19,I$20,$E$12,$E$13,$E$14,$E$15,$E$16,$B217)</f>
        <v>0</v>
      </c>
      <c r="J217" s="2">
        <f ca="1">_xll.DBRW($B$9,$E$11,$H$19,J$20,$E$12,$E$13,$E$14,$E$15,$E$16,$B217)</f>
        <v>0</v>
      </c>
    </row>
    <row r="218" spans="1:10">
      <c r="A218" s="2">
        <f ca="1">IF(_xll.TM1RPTELISCONSOLIDATED($B$21,$B218),IF(_xll.TM1RPTELLEV($B$21,$B218)&lt;=3,_xll.TM1RPTELLEV($B$21,$B218),"D"),"N")</f>
        <v>1</v>
      </c>
      <c r="B218" s="42" t="s">
        <v>232</v>
      </c>
      <c r="C218" s="7" t="str">
        <f ca="1">_xll.DBRA("tango_core_model:Indicator",$B218,$E$17)</f>
        <v>F - Part of Fleet cost variance due to Level 2 ratios change</v>
      </c>
      <c r="D218" s="7" t="str">
        <f ca="1">_xll.DBRA("tango_core_model:Indicator",$B218,"Source_Indicator")</f>
        <v/>
      </c>
      <c r="E218" s="20">
        <f ca="1">_xll.DBRW($B$9,$E$11,$E$19,E$20,$E$12,$E$13,$E$14,$E$15,$E$16,$B218)</f>
        <v>0</v>
      </c>
      <c r="F218" s="20">
        <f ca="1">_xll.DBRW($B$9,$E$11,$E$19,F$20,$E$12,$E$13,$E$14,$E$15,$E$16,$B218)</f>
        <v>0</v>
      </c>
      <c r="G218" s="21">
        <f ca="1">_xll.DBRW($B$9,$E$11,$E$19,G$20,$E$12,$E$13,$E$14,$E$15,$E$16,$B218)</f>
        <v>0</v>
      </c>
      <c r="H218" s="7">
        <f ca="1">_xll.DBRW($B$9,$E$11,$H$19,H$20,$E$12,$E$13,$E$14,$E$15,$E$16,$B218)</f>
        <v>0</v>
      </c>
      <c r="I218" s="7">
        <f ca="1">_xll.DBRW($B$9,$E$11,$H$19,I$20,$E$12,$E$13,$E$14,$E$15,$E$16,$B218)</f>
        <v>0</v>
      </c>
      <c r="J218" s="7">
        <f ca="1">_xll.DBRW($B$9,$E$11,$H$19,J$20,$E$12,$E$13,$E$14,$E$15,$E$16,$B218)</f>
        <v>0</v>
      </c>
    </row>
    <row r="219" spans="1:10">
      <c r="A219" s="2" t="str">
        <f ca="1">IF(_xll.TM1RPTELISCONSOLIDATED($B$21,$B219),IF(_xll.TM1RPTELLEV($B$21,$B219)&lt;=3,_xll.TM1RPTELLEV($B$21,$B219),"D"),"N")</f>
        <v>N</v>
      </c>
      <c r="B219" s="14" t="s">
        <v>233</v>
      </c>
      <c r="C219" s="2" t="str">
        <f ca="1">_xll.DBRA("tango_core_model:Indicator",$B219,$E$17)</f>
        <v>F1 - Fleet cost variance - Cost effect</v>
      </c>
      <c r="D219" s="2" t="str">
        <f ca="1">_xll.DBRA("tango_core_model:Indicator",$B219,"Source_Indicator")</f>
        <v>calc</v>
      </c>
      <c r="E219" s="22">
        <f ca="1">_xll.DBRW($B$9,$E$11,$E$19,E$20,$E$12,$E$13,$E$14,$E$15,$E$16,$B219)</f>
        <v>0</v>
      </c>
      <c r="F219" s="22">
        <f ca="1">_xll.DBRW($B$9,$E$11,$E$19,F$20,$E$12,$E$13,$E$14,$E$15,$E$16,$B219)</f>
        <v>0</v>
      </c>
      <c r="G219" s="23">
        <f ca="1">_xll.DBRW($B$9,$E$11,$E$19,G$20,$E$12,$E$13,$E$14,$E$15,$E$16,$B219)</f>
        <v>0</v>
      </c>
      <c r="H219" s="2">
        <f ca="1">_xll.DBRW($B$9,$E$11,$H$19,H$20,$E$12,$E$13,$E$14,$E$15,$E$16,$B219)</f>
        <v>0</v>
      </c>
      <c r="I219" s="2">
        <f ca="1">_xll.DBRW($B$9,$E$11,$H$19,I$20,$E$12,$E$13,$E$14,$E$15,$E$16,$B219)</f>
        <v>0</v>
      </c>
      <c r="J219" s="2">
        <f ca="1">_xll.DBRW($B$9,$E$11,$H$19,J$20,$E$12,$E$13,$E$14,$E$15,$E$16,$B219)</f>
        <v>0</v>
      </c>
    </row>
    <row r="220" spans="1:10">
      <c r="A220" s="2" t="str">
        <f ca="1">IF(_xll.TM1RPTELISCONSOLIDATED($B$21,$B220),IF(_xll.TM1RPTELLEV($B$21,$B220)&lt;=3,_xll.TM1RPTELLEV($B$21,$B220),"D"),"N")</f>
        <v>N</v>
      </c>
      <c r="B220" s="14" t="s">
        <v>234</v>
      </c>
      <c r="C220" s="2" t="str">
        <f ca="1">_xll.DBRA("tango_core_model:Indicator",$B220,$E$17)</f>
        <v>F2 - Fleet cost variance - Efficiency effect</v>
      </c>
      <c r="D220" s="2" t="str">
        <f ca="1">_xll.DBRA("tango_core_model:Indicator",$B220,"Source_Indicator")</f>
        <v>calc</v>
      </c>
      <c r="E220" s="22">
        <f ca="1">_xll.DBRW($B$9,$E$11,$E$19,E$20,$E$12,$E$13,$E$14,$E$15,$E$16,$B220)</f>
        <v>0</v>
      </c>
      <c r="F220" s="22">
        <f ca="1">_xll.DBRW($B$9,$E$11,$E$19,F$20,$E$12,$E$13,$E$14,$E$15,$E$16,$B220)</f>
        <v>0</v>
      </c>
      <c r="G220" s="23">
        <f ca="1">_xll.DBRW($B$9,$E$11,$E$19,G$20,$E$12,$E$13,$E$14,$E$15,$E$16,$B220)</f>
        <v>0</v>
      </c>
      <c r="H220" s="2">
        <f ca="1">_xll.DBRW($B$9,$E$11,$H$19,H$20,$E$12,$E$13,$E$14,$E$15,$E$16,$B220)</f>
        <v>0</v>
      </c>
      <c r="I220" s="2">
        <f ca="1">_xll.DBRW($B$9,$E$11,$H$19,I$20,$E$12,$E$13,$E$14,$E$15,$E$16,$B220)</f>
        <v>0</v>
      </c>
      <c r="J220" s="2">
        <f ca="1">_xll.DBRW($B$9,$E$11,$H$19,J$20,$E$12,$E$13,$E$14,$E$15,$E$16,$B220)</f>
        <v>0</v>
      </c>
    </row>
    <row r="221" spans="1:10">
      <c r="A221" s="2" t="str">
        <f ca="1">IF(_xll.TM1RPTELISCONSOLIDATED($B$21,$B221),IF(_xll.TM1RPTELLEV($B$21,$B221)&lt;=3,_xll.TM1RPTELLEV($B$21,$B221),"D"),"N")</f>
        <v>N</v>
      </c>
      <c r="B221" s="14" t="s">
        <v>235</v>
      </c>
      <c r="C221" s="2" t="str">
        <f ca="1">_xll.DBRA("tango_core_model:Indicator",$B221,$E$17)</f>
        <v>F3 - Fleet cost variance - Price effect</v>
      </c>
      <c r="D221" s="2" t="str">
        <f ca="1">_xll.DBRA("tango_core_model:Indicator",$B221,"Source_Indicator")</f>
        <v>calc</v>
      </c>
      <c r="E221" s="22">
        <f ca="1">_xll.DBRW($B$9,$E$11,$E$19,E$20,$E$12,$E$13,$E$14,$E$15,$E$16,$B221)</f>
        <v>0</v>
      </c>
      <c r="F221" s="22">
        <f ca="1">_xll.DBRW($B$9,$E$11,$E$19,F$20,$E$12,$E$13,$E$14,$E$15,$E$16,$B221)</f>
        <v>0</v>
      </c>
      <c r="G221" s="23">
        <f ca="1">_xll.DBRW($B$9,$E$11,$E$19,G$20,$E$12,$E$13,$E$14,$E$15,$E$16,$B221)</f>
        <v>0</v>
      </c>
      <c r="H221" s="2">
        <f ca="1">_xll.DBRW($B$9,$E$11,$H$19,H$20,$E$12,$E$13,$E$14,$E$15,$E$16,$B221)</f>
        <v>0</v>
      </c>
      <c r="I221" s="2">
        <f ca="1">_xll.DBRW($B$9,$E$11,$H$19,I$20,$E$12,$E$13,$E$14,$E$15,$E$16,$B221)</f>
        <v>0</v>
      </c>
      <c r="J221" s="2">
        <f ca="1">_xll.DBRW($B$9,$E$11,$H$19,J$20,$E$12,$E$13,$E$14,$E$15,$E$16,$B221)</f>
        <v>0</v>
      </c>
    </row>
    <row r="222" spans="1:10">
      <c r="A222" s="2" t="str">
        <f ca="1">IF(_xll.TM1RPTELISCONSOLIDATED($B$21,$B222),IF(_xll.TM1RPTELLEV($B$21,$B222)&lt;=3,_xll.TM1RPTELLEV($B$21,$B222),"D"),"N")</f>
        <v>N</v>
      </c>
      <c r="B222" s="14" t="s">
        <v>236</v>
      </c>
      <c r="C222" s="2" t="str">
        <f ca="1">_xll.DBRA("tango_core_model:Indicator",$B222,$E$17)</f>
        <v>F - Compound</v>
      </c>
      <c r="D222" s="2" t="str">
        <f ca="1">_xll.DBRA("tango_core_model:Indicator",$B222,"Source_Indicator")</f>
        <v>calc</v>
      </c>
      <c r="E222" s="22">
        <f ca="1">_xll.DBRW($B$9,$E$11,$E$19,E$20,$E$12,$E$13,$E$14,$E$15,$E$16,$B222)</f>
        <v>0</v>
      </c>
      <c r="F222" s="22">
        <f ca="1">_xll.DBRW($B$9,$E$11,$E$19,F$20,$E$12,$E$13,$E$14,$E$15,$E$16,$B222)</f>
        <v>0</v>
      </c>
      <c r="G222" s="23">
        <f ca="1">_xll.DBRW($B$9,$E$11,$E$19,G$20,$E$12,$E$13,$E$14,$E$15,$E$16,$B222)</f>
        <v>0</v>
      </c>
      <c r="H222" s="2">
        <f ca="1">_xll.DBRW($B$9,$E$11,$H$19,H$20,$E$12,$E$13,$E$14,$E$15,$E$16,$B222)</f>
        <v>0</v>
      </c>
      <c r="I222" s="2">
        <f ca="1">_xll.DBRW($B$9,$E$11,$H$19,I$20,$E$12,$E$13,$E$14,$E$15,$E$16,$B222)</f>
        <v>0</v>
      </c>
      <c r="J222" s="2">
        <f ca="1">_xll.DBRW($B$9,$E$11,$H$19,J$20,$E$12,$E$13,$E$14,$E$15,$E$16,$B222)</f>
        <v>0</v>
      </c>
    </row>
    <row r="223" spans="1:10">
      <c r="A223" s="2" t="str">
        <f ca="1">IF(_xll.TM1RPTELISCONSOLIDATED($B$21,$B223),IF(_xll.TM1RPTELLEV($B$21,$B223)&lt;=3,_xll.TM1RPTELLEV($B$21,$B223),"D"),"N")</f>
        <v>N</v>
      </c>
      <c r="B223" s="14" t="s">
        <v>237</v>
      </c>
      <c r="C223" s="2" t="str">
        <f ca="1">_xll.DBRA("tango_core_model:Indicator",$B223,$E$17)</f>
        <v>F - Fleet cost variance not addressed due to missing Work Unit(s)</v>
      </c>
      <c r="D223" s="2" t="str">
        <f ca="1">_xll.DBRA("tango_core_model:Indicator",$B223,"Source_Indicator")</f>
        <v>calc</v>
      </c>
      <c r="E223" s="22">
        <f ca="1">_xll.DBRW($B$9,$E$11,$E$19,E$20,$E$12,$E$13,$E$14,$E$15,$E$16,$B223)</f>
        <v>0</v>
      </c>
      <c r="F223" s="22">
        <f ca="1">_xll.DBRW($B$9,$E$11,$E$19,F$20,$E$12,$E$13,$E$14,$E$15,$E$16,$B223)</f>
        <v>0</v>
      </c>
      <c r="G223" s="23">
        <f ca="1">_xll.DBRW($B$9,$E$11,$E$19,G$20,$E$12,$E$13,$E$14,$E$15,$E$16,$B223)</f>
        <v>0</v>
      </c>
      <c r="H223" s="2">
        <f ca="1">_xll.DBRW($B$9,$E$11,$H$19,H$20,$E$12,$E$13,$E$14,$E$15,$E$16,$B223)</f>
        <v>0</v>
      </c>
      <c r="I223" s="2">
        <f ca="1">_xll.DBRW($B$9,$E$11,$H$19,I$20,$E$12,$E$13,$E$14,$E$15,$E$16,$B223)</f>
        <v>0</v>
      </c>
      <c r="J223" s="2">
        <f ca="1">_xll.DBRW($B$9,$E$11,$H$19,J$20,$E$12,$E$13,$E$14,$E$15,$E$16,$B223)</f>
        <v>0</v>
      </c>
    </row>
    <row r="224" spans="1:10">
      <c r="A224" s="2">
        <f ca="1">IF(_xll.TM1RPTELISCONSOLIDATED($B$21,$B224),IF(_xll.TM1RPTELLEV($B$21,$B224)&lt;=3,_xll.TM1RPTELLEV($B$21,$B224),"D"),"N")</f>
        <v>1</v>
      </c>
      <c r="B224" s="42" t="s">
        <v>238</v>
      </c>
      <c r="C224" s="7" t="str">
        <f ca="1">_xll.DBRA("tango_core_model:Indicator",$B224,$E$17)</f>
        <v>O - Part of Other op. cost variance due to Level 2 ratios change</v>
      </c>
      <c r="D224" s="7" t="str">
        <f ca="1">_xll.DBRA("tango_core_model:Indicator",$B224,"Source_Indicator")</f>
        <v/>
      </c>
      <c r="E224" s="20">
        <f ca="1">_xll.DBRW($B$9,$E$11,$E$19,E$20,$E$12,$E$13,$E$14,$E$15,$E$16,$B224)</f>
        <v>0</v>
      </c>
      <c r="F224" s="20">
        <f ca="1">_xll.DBRW($B$9,$E$11,$E$19,F$20,$E$12,$E$13,$E$14,$E$15,$E$16,$B224)</f>
        <v>0</v>
      </c>
      <c r="G224" s="21">
        <f ca="1">_xll.DBRW($B$9,$E$11,$E$19,G$20,$E$12,$E$13,$E$14,$E$15,$E$16,$B224)</f>
        <v>0</v>
      </c>
      <c r="H224" s="7">
        <f ca="1">_xll.DBRW($B$9,$E$11,$H$19,H$20,$E$12,$E$13,$E$14,$E$15,$E$16,$B224)</f>
        <v>0</v>
      </c>
      <c r="I224" s="7">
        <f ca="1">_xll.DBRW($B$9,$E$11,$H$19,I$20,$E$12,$E$13,$E$14,$E$15,$E$16,$B224)</f>
        <v>0</v>
      </c>
      <c r="J224" s="7">
        <f ca="1">_xll.DBRW($B$9,$E$11,$H$19,J$20,$E$12,$E$13,$E$14,$E$15,$E$16,$B224)</f>
        <v>0</v>
      </c>
    </row>
    <row r="225" spans="1:10">
      <c r="A225" s="2" t="str">
        <f ca="1">IF(_xll.TM1RPTELISCONSOLIDATED($B$21,$B225),IF(_xll.TM1RPTELLEV($B$21,$B225)&lt;=3,_xll.TM1RPTELLEV($B$21,$B225),"D"),"N")</f>
        <v>N</v>
      </c>
      <c r="B225" s="14" t="s">
        <v>239</v>
      </c>
      <c r="C225" s="2" t="str">
        <f ca="1">_xll.DBRA("tango_core_model:Indicator",$B225,$E$17)</f>
        <v>O1 - Other op. cost variance - Costs effect</v>
      </c>
      <c r="D225" s="2" t="str">
        <f ca="1">_xll.DBRA("tango_core_model:Indicator",$B225,"Source_Indicator")</f>
        <v>calc</v>
      </c>
      <c r="E225" s="22">
        <f ca="1">_xll.DBRW($B$9,$E$11,$E$19,E$20,$E$12,$E$13,$E$14,$E$15,$E$16,$B225)</f>
        <v>0</v>
      </c>
      <c r="F225" s="22">
        <f ca="1">_xll.DBRW($B$9,$E$11,$E$19,F$20,$E$12,$E$13,$E$14,$E$15,$E$16,$B225)</f>
        <v>0</v>
      </c>
      <c r="G225" s="23">
        <f ca="1">_xll.DBRW($B$9,$E$11,$E$19,G$20,$E$12,$E$13,$E$14,$E$15,$E$16,$B225)</f>
        <v>0</v>
      </c>
      <c r="H225" s="2">
        <f ca="1">_xll.DBRW($B$9,$E$11,$H$19,H$20,$E$12,$E$13,$E$14,$E$15,$E$16,$B225)</f>
        <v>0</v>
      </c>
      <c r="I225" s="2">
        <f ca="1">_xll.DBRW($B$9,$E$11,$H$19,I$20,$E$12,$E$13,$E$14,$E$15,$E$16,$B225)</f>
        <v>0</v>
      </c>
      <c r="J225" s="2">
        <f ca="1">_xll.DBRW($B$9,$E$11,$H$19,J$20,$E$12,$E$13,$E$14,$E$15,$E$16,$B225)</f>
        <v>0</v>
      </c>
    </row>
    <row r="226" spans="1:10">
      <c r="A226" s="2" t="str">
        <f ca="1">IF(_xll.TM1RPTELISCONSOLIDATED($B$21,$B226),IF(_xll.TM1RPTELLEV($B$21,$B226)&lt;=3,_xll.TM1RPTELLEV($B$21,$B226),"D"),"N")</f>
        <v>N</v>
      </c>
      <c r="B226" s="14" t="s">
        <v>240</v>
      </c>
      <c r="C226" s="2" t="str">
        <f ca="1">_xll.DBRA("tango_core_model:Indicator",$B226,$E$17)</f>
        <v>O2 - Other op. cost variance - Costs efficiency effect</v>
      </c>
      <c r="D226" s="2" t="str">
        <f ca="1">_xll.DBRA("tango_core_model:Indicator",$B226,"Source_Indicator")</f>
        <v>calc</v>
      </c>
      <c r="E226" s="22">
        <f ca="1">_xll.DBRW($B$9,$E$11,$E$19,E$20,$E$12,$E$13,$E$14,$E$15,$E$16,$B226)</f>
        <v>0</v>
      </c>
      <c r="F226" s="22">
        <f ca="1">_xll.DBRW($B$9,$E$11,$E$19,F$20,$E$12,$E$13,$E$14,$E$15,$E$16,$B226)</f>
        <v>0</v>
      </c>
      <c r="G226" s="23">
        <f ca="1">_xll.DBRW($B$9,$E$11,$E$19,G$20,$E$12,$E$13,$E$14,$E$15,$E$16,$B226)</f>
        <v>0</v>
      </c>
      <c r="H226" s="2">
        <f ca="1">_xll.DBRW($B$9,$E$11,$H$19,H$20,$E$12,$E$13,$E$14,$E$15,$E$16,$B226)</f>
        <v>0</v>
      </c>
      <c r="I226" s="2">
        <f ca="1">_xll.DBRW($B$9,$E$11,$H$19,I$20,$E$12,$E$13,$E$14,$E$15,$E$16,$B226)</f>
        <v>0</v>
      </c>
      <c r="J226" s="2">
        <f ca="1">_xll.DBRW($B$9,$E$11,$H$19,J$20,$E$12,$E$13,$E$14,$E$15,$E$16,$B226)</f>
        <v>0</v>
      </c>
    </row>
    <row r="227" spans="1:10">
      <c r="A227" s="2" t="str">
        <f ca="1">IF(_xll.TM1RPTELISCONSOLIDATED($B$21,$B227),IF(_xll.TM1RPTELLEV($B$21,$B227)&lt;=3,_xll.TM1RPTELLEV($B$21,$B227),"D"),"N")</f>
        <v>N</v>
      </c>
      <c r="B227" s="14" t="s">
        <v>241</v>
      </c>
      <c r="C227" s="2" t="str">
        <f ca="1">_xll.DBRA("tango_core_model:Indicator",$B227,$E$17)</f>
        <v>O3 - Other op. cost variance - Price effect</v>
      </c>
      <c r="D227" s="2" t="str">
        <f ca="1">_xll.DBRA("tango_core_model:Indicator",$B227,"Source_Indicator")</f>
        <v>calc</v>
      </c>
      <c r="E227" s="22">
        <f ca="1">_xll.DBRW($B$9,$E$11,$E$19,E$20,$E$12,$E$13,$E$14,$E$15,$E$16,$B227)</f>
        <v>0</v>
      </c>
      <c r="F227" s="22">
        <f ca="1">_xll.DBRW($B$9,$E$11,$E$19,F$20,$E$12,$E$13,$E$14,$E$15,$E$16,$B227)</f>
        <v>0</v>
      </c>
      <c r="G227" s="23">
        <f ca="1">_xll.DBRW($B$9,$E$11,$E$19,G$20,$E$12,$E$13,$E$14,$E$15,$E$16,$B227)</f>
        <v>0</v>
      </c>
      <c r="H227" s="2">
        <f ca="1">_xll.DBRW($B$9,$E$11,$H$19,H$20,$E$12,$E$13,$E$14,$E$15,$E$16,$B227)</f>
        <v>0</v>
      </c>
      <c r="I227" s="2">
        <f ca="1">_xll.DBRW($B$9,$E$11,$H$19,I$20,$E$12,$E$13,$E$14,$E$15,$E$16,$B227)</f>
        <v>0</v>
      </c>
      <c r="J227" s="2">
        <f ca="1">_xll.DBRW($B$9,$E$11,$H$19,J$20,$E$12,$E$13,$E$14,$E$15,$E$16,$B227)</f>
        <v>0</v>
      </c>
    </row>
    <row r="228" spans="1:10">
      <c r="A228" s="2" t="str">
        <f ca="1">IF(_xll.TM1RPTELISCONSOLIDATED($B$21,$B228),IF(_xll.TM1RPTELLEV($B$21,$B228)&lt;=3,_xll.TM1RPTELLEV($B$21,$B228),"D"),"N")</f>
        <v>N</v>
      </c>
      <c r="B228" s="14" t="s">
        <v>242</v>
      </c>
      <c r="C228" s="2" t="str">
        <f ca="1">_xll.DBRA("tango_core_model:Indicator",$B228,$E$17)</f>
        <v>O - Compound</v>
      </c>
      <c r="D228" s="2" t="str">
        <f ca="1">_xll.DBRA("tango_core_model:Indicator",$B228,"Source_Indicator")</f>
        <v>calc</v>
      </c>
      <c r="E228" s="22">
        <f ca="1">_xll.DBRW($B$9,$E$11,$E$19,E$20,$E$12,$E$13,$E$14,$E$15,$E$16,$B228)</f>
        <v>0</v>
      </c>
      <c r="F228" s="22">
        <f ca="1">_xll.DBRW($B$9,$E$11,$E$19,F$20,$E$12,$E$13,$E$14,$E$15,$E$16,$B228)</f>
        <v>0</v>
      </c>
      <c r="G228" s="23">
        <f ca="1">_xll.DBRW($B$9,$E$11,$E$19,G$20,$E$12,$E$13,$E$14,$E$15,$E$16,$B228)</f>
        <v>0</v>
      </c>
      <c r="H228" s="2">
        <f ca="1">_xll.DBRW($B$9,$E$11,$H$19,H$20,$E$12,$E$13,$E$14,$E$15,$E$16,$B228)</f>
        <v>0</v>
      </c>
      <c r="I228" s="2">
        <f ca="1">_xll.DBRW($B$9,$E$11,$H$19,I$20,$E$12,$E$13,$E$14,$E$15,$E$16,$B228)</f>
        <v>0</v>
      </c>
      <c r="J228" s="2">
        <f ca="1">_xll.DBRW($B$9,$E$11,$H$19,J$20,$E$12,$E$13,$E$14,$E$15,$E$16,$B228)</f>
        <v>0</v>
      </c>
    </row>
    <row r="229" spans="1:10">
      <c r="A229" s="2" t="str">
        <f ca="1">IF(_xll.TM1RPTELISCONSOLIDATED($B$21,$B229),IF(_xll.TM1RPTELLEV($B$21,$B229)&lt;=3,_xll.TM1RPTELLEV($B$21,$B229),"D"),"N")</f>
        <v>N</v>
      </c>
      <c r="B229" s="14" t="s">
        <v>243</v>
      </c>
      <c r="C229" s="2" t="str">
        <f ca="1">_xll.DBRA("tango_core_model:Indicator",$B229,$E$17)</f>
        <v>O - Other op. cost variance not addressed due to missing Work Unit(s)</v>
      </c>
      <c r="D229" s="2" t="str">
        <f ca="1">_xll.DBRA("tango_core_model:Indicator",$B229,"Source_Indicator")</f>
        <v>calc</v>
      </c>
      <c r="E229" s="22">
        <f ca="1">_xll.DBRW($B$9,$E$11,$E$19,E$20,$E$12,$E$13,$E$14,$E$15,$E$16,$B229)</f>
        <v>0</v>
      </c>
      <c r="F229" s="22">
        <f ca="1">_xll.DBRW($B$9,$E$11,$E$19,F$20,$E$12,$E$13,$E$14,$E$15,$E$16,$B229)</f>
        <v>0</v>
      </c>
      <c r="G229" s="23">
        <f ca="1">_xll.DBRW($B$9,$E$11,$E$19,G$20,$E$12,$E$13,$E$14,$E$15,$E$16,$B229)</f>
        <v>0</v>
      </c>
      <c r="H229" s="2">
        <f ca="1">_xll.DBRW($B$9,$E$11,$H$19,H$20,$E$12,$E$13,$E$14,$E$15,$E$16,$B229)</f>
        <v>0</v>
      </c>
      <c r="I229" s="2">
        <f ca="1">_xll.DBRW($B$9,$E$11,$H$19,I$20,$E$12,$E$13,$E$14,$E$15,$E$16,$B229)</f>
        <v>0</v>
      </c>
      <c r="J229" s="2">
        <f ca="1">_xll.DBRW($B$9,$E$11,$H$19,J$20,$E$12,$E$13,$E$14,$E$15,$E$16,$B229)</f>
        <v>0</v>
      </c>
    </row>
    <row r="230" spans="1:10">
      <c r="A230" s="2">
        <f ca="1">IF(_xll.TM1RPTELISCONSOLIDATED($B$21,$B230),IF(_xll.TM1RPTELLEV($B$21,$B230)&lt;=3,_xll.TM1RPTELLEV($B$21,$B230),"D"),"N")</f>
        <v>1</v>
      </c>
      <c r="B230" s="42" t="s">
        <v>244</v>
      </c>
      <c r="C230" s="7" t="str">
        <f ca="1">_xll.DBRA("tango_core_model:Indicator",$B230,$E$17)</f>
        <v>Total - Part of cost variance due to ROA change</v>
      </c>
      <c r="D230" s="7" t="str">
        <f ca="1">_xll.DBRA("tango_core_model:Indicator",$B230,"Source_Indicator")</f>
        <v/>
      </c>
      <c r="E230" s="20">
        <f ca="1">_xll.DBRW($B$9,$E$11,$E$19,E$20,$E$12,$E$13,$E$14,$E$15,$E$16,$B230)</f>
        <v>0</v>
      </c>
      <c r="F230" s="20">
        <f ca="1">_xll.DBRW($B$9,$E$11,$E$19,F$20,$E$12,$E$13,$E$14,$E$15,$E$16,$B230)</f>
        <v>0</v>
      </c>
      <c r="G230" s="21">
        <f ca="1">_xll.DBRW($B$9,$E$11,$E$19,G$20,$E$12,$E$13,$E$14,$E$15,$E$16,$B230)</f>
        <v>0</v>
      </c>
      <c r="H230" s="7">
        <f ca="1">_xll.DBRW($B$9,$E$11,$H$19,H$20,$E$12,$E$13,$E$14,$E$15,$E$16,$B230)</f>
        <v>0</v>
      </c>
      <c r="I230" s="7">
        <f ca="1">_xll.DBRW($B$9,$E$11,$H$19,I$20,$E$12,$E$13,$E$14,$E$15,$E$16,$B230)</f>
        <v>0</v>
      </c>
      <c r="J230" s="7">
        <f ca="1">_xll.DBRW($B$9,$E$11,$H$19,J$20,$E$12,$E$13,$E$14,$E$15,$E$16,$B230)</f>
        <v>0</v>
      </c>
    </row>
    <row r="231" spans="1:10">
      <c r="A231" s="2" t="str">
        <f ca="1">IF(_xll.TM1RPTELISCONSOLIDATED($B$21,$B231),IF(_xll.TM1RPTELLEV($B$21,$B231)&lt;=3,_xll.TM1RPTELLEV($B$21,$B231),"D"),"N")</f>
        <v>N</v>
      </c>
      <c r="B231" s="14" t="s">
        <v>245</v>
      </c>
      <c r="C231" s="2" t="str">
        <f ca="1">_xll.DBRA("tango_core_model:Indicator",$B231,$E$17)</f>
        <v>D - Part of Driving cost variance due to ROA change</v>
      </c>
      <c r="D231" s="2" t="str">
        <f ca="1">_xll.DBRA("tango_core_model:Indicator",$B231,"Source_Indicator")</f>
        <v>calc</v>
      </c>
      <c r="E231" s="22">
        <f ca="1">_xll.DBRW($B$9,$E$11,$E$19,E$20,$E$12,$E$13,$E$14,$E$15,$E$16,$B231)</f>
        <v>0</v>
      </c>
      <c r="F231" s="22">
        <f ca="1">_xll.DBRW($B$9,$E$11,$E$19,F$20,$E$12,$E$13,$E$14,$E$15,$E$16,$B231)</f>
        <v>0</v>
      </c>
      <c r="G231" s="23">
        <f ca="1">_xll.DBRW($B$9,$E$11,$E$19,G$20,$E$12,$E$13,$E$14,$E$15,$E$16,$B231)</f>
        <v>0</v>
      </c>
      <c r="H231" s="2">
        <f ca="1">_xll.DBRW($B$9,$E$11,$H$19,H$20,$E$12,$E$13,$E$14,$E$15,$E$16,$B231)</f>
        <v>0</v>
      </c>
      <c r="I231" s="2">
        <f ca="1">_xll.DBRW($B$9,$E$11,$H$19,I$20,$E$12,$E$13,$E$14,$E$15,$E$16,$B231)</f>
        <v>0</v>
      </c>
      <c r="J231" s="2">
        <f ca="1">_xll.DBRW($B$9,$E$11,$H$19,J$20,$E$12,$E$13,$E$14,$E$15,$E$16,$B231)</f>
        <v>0</v>
      </c>
    </row>
    <row r="232" spans="1:10">
      <c r="A232" s="2" t="str">
        <f ca="1">IF(_xll.TM1RPTELISCONSOLIDATED($B$21,$B232),IF(_xll.TM1RPTELLEV($B$21,$B232)&lt;=3,_xll.TM1RPTELLEV($B$21,$B232),"D"),"N")</f>
        <v>N</v>
      </c>
      <c r="B232" s="14" t="s">
        <v>246</v>
      </c>
      <c r="C232" s="2" t="str">
        <f ca="1">_xll.DBRA("tango_core_model:Indicator",$B232,$E$17)</f>
        <v>M - Part of Maintenance cost variance due to ROA change</v>
      </c>
      <c r="D232" s="2" t="str">
        <f ca="1">_xll.DBRA("tango_core_model:Indicator",$B232,"Source_Indicator")</f>
        <v>calc</v>
      </c>
      <c r="E232" s="22">
        <f ca="1">_xll.DBRW($B$9,$E$11,$E$19,E$20,$E$12,$E$13,$E$14,$E$15,$E$16,$B232)</f>
        <v>0</v>
      </c>
      <c r="F232" s="22">
        <f ca="1">_xll.DBRW($B$9,$E$11,$E$19,F$20,$E$12,$E$13,$E$14,$E$15,$E$16,$B232)</f>
        <v>0</v>
      </c>
      <c r="G232" s="23">
        <f ca="1">_xll.DBRW($B$9,$E$11,$E$19,G$20,$E$12,$E$13,$E$14,$E$15,$E$16,$B232)</f>
        <v>0</v>
      </c>
      <c r="H232" s="2">
        <f ca="1">_xll.DBRW($B$9,$E$11,$H$19,H$20,$E$12,$E$13,$E$14,$E$15,$E$16,$B232)</f>
        <v>0</v>
      </c>
      <c r="I232" s="2">
        <f ca="1">_xll.DBRW($B$9,$E$11,$H$19,I$20,$E$12,$E$13,$E$14,$E$15,$E$16,$B232)</f>
        <v>0</v>
      </c>
      <c r="J232" s="2">
        <f ca="1">_xll.DBRW($B$9,$E$11,$H$19,J$20,$E$12,$E$13,$E$14,$E$15,$E$16,$B232)</f>
        <v>0</v>
      </c>
    </row>
    <row r="233" spans="1:10">
      <c r="A233" s="2" t="str">
        <f ca="1">IF(_xll.TM1RPTELISCONSOLIDATED($B$21,$B233),IF(_xll.TM1RPTELLEV($B$21,$B233)&lt;=3,_xll.TM1RPTELLEV($B$21,$B233),"D"),"N")</f>
        <v>N</v>
      </c>
      <c r="B233" s="14" t="s">
        <v>247</v>
      </c>
      <c r="C233" s="2" t="str">
        <f ca="1">_xll.DBRA("tango_core_model:Indicator",$B233,$E$17)</f>
        <v>E - Part of Energy cost variance due to ROA change</v>
      </c>
      <c r="D233" s="2" t="str">
        <f ca="1">_xll.DBRA("tango_core_model:Indicator",$B233,"Source_Indicator")</f>
        <v>calc</v>
      </c>
      <c r="E233" s="22">
        <f ca="1">_xll.DBRW($B$9,$E$11,$E$19,E$20,$E$12,$E$13,$E$14,$E$15,$E$16,$B233)</f>
        <v>0</v>
      </c>
      <c r="F233" s="22">
        <f ca="1">_xll.DBRW($B$9,$E$11,$E$19,F$20,$E$12,$E$13,$E$14,$E$15,$E$16,$B233)</f>
        <v>0</v>
      </c>
      <c r="G233" s="23">
        <f ca="1">_xll.DBRW($B$9,$E$11,$E$19,G$20,$E$12,$E$13,$E$14,$E$15,$E$16,$B233)</f>
        <v>0</v>
      </c>
      <c r="H233" s="2">
        <f ca="1">_xll.DBRW($B$9,$E$11,$H$19,H$20,$E$12,$E$13,$E$14,$E$15,$E$16,$B233)</f>
        <v>0</v>
      </c>
      <c r="I233" s="2">
        <f ca="1">_xll.DBRW($B$9,$E$11,$H$19,I$20,$E$12,$E$13,$E$14,$E$15,$E$16,$B233)</f>
        <v>0</v>
      </c>
      <c r="J233" s="2">
        <f ca="1">_xll.DBRW($B$9,$E$11,$H$19,J$20,$E$12,$E$13,$E$14,$E$15,$E$16,$B233)</f>
        <v>0</v>
      </c>
    </row>
    <row r="234" spans="1:10">
      <c r="A234" s="2" t="str">
        <f ca="1">IF(_xll.TM1RPTELISCONSOLIDATED($B$21,$B234),IF(_xll.TM1RPTELLEV($B$21,$B234)&lt;=3,_xll.TM1RPTELLEV($B$21,$B234),"D"),"N")</f>
        <v>N</v>
      </c>
      <c r="B234" s="14" t="s">
        <v>248</v>
      </c>
      <c r="C234" s="2" t="str">
        <f ca="1">_xll.DBRA("tango_core_model:Indicator",$B234,$E$17)</f>
        <v>F - Part of Fleet cost variance due to ROA change</v>
      </c>
      <c r="D234" s="2" t="str">
        <f ca="1">_xll.DBRA("tango_core_model:Indicator",$B234,"Source_Indicator")</f>
        <v>calc</v>
      </c>
      <c r="E234" s="22">
        <f ca="1">_xll.DBRW($B$9,$E$11,$E$19,E$20,$E$12,$E$13,$E$14,$E$15,$E$16,$B234)</f>
        <v>0</v>
      </c>
      <c r="F234" s="22">
        <f ca="1">_xll.DBRW($B$9,$E$11,$E$19,F$20,$E$12,$E$13,$E$14,$E$15,$E$16,$B234)</f>
        <v>0</v>
      </c>
      <c r="G234" s="23">
        <f ca="1">_xll.DBRW($B$9,$E$11,$E$19,G$20,$E$12,$E$13,$E$14,$E$15,$E$16,$B234)</f>
        <v>0</v>
      </c>
      <c r="H234" s="2">
        <f ca="1">_xll.DBRW($B$9,$E$11,$H$19,H$20,$E$12,$E$13,$E$14,$E$15,$E$16,$B234)</f>
        <v>0</v>
      </c>
      <c r="I234" s="2">
        <f ca="1">_xll.DBRW($B$9,$E$11,$H$19,I$20,$E$12,$E$13,$E$14,$E$15,$E$16,$B234)</f>
        <v>0</v>
      </c>
      <c r="J234" s="2">
        <f ca="1">_xll.DBRW($B$9,$E$11,$H$19,J$20,$E$12,$E$13,$E$14,$E$15,$E$16,$B234)</f>
        <v>0</v>
      </c>
    </row>
    <row r="235" spans="1:10">
      <c r="A235" s="2" t="str">
        <f ca="1">IF(_xll.TM1RPTELISCONSOLIDATED($B$21,$B235),IF(_xll.TM1RPTELLEV($B$21,$B235)&lt;=3,_xll.TM1RPTELLEV($B$21,$B235),"D"),"N")</f>
        <v>N</v>
      </c>
      <c r="B235" s="14" t="s">
        <v>249</v>
      </c>
      <c r="C235" s="2" t="str">
        <f ca="1">_xll.DBRA("tango_core_model:Indicator",$B235,$E$17)</f>
        <v>O - Part of Other op. cost variance due to ROA change</v>
      </c>
      <c r="D235" s="2" t="str">
        <f ca="1">_xll.DBRA("tango_core_model:Indicator",$B235,"Source_Indicator")</f>
        <v>calc</v>
      </c>
      <c r="E235" s="22">
        <f ca="1">_xll.DBRW($B$9,$E$11,$E$19,E$20,$E$12,$E$13,$E$14,$E$15,$E$16,$B235)</f>
        <v>0</v>
      </c>
      <c r="F235" s="22">
        <f ca="1">_xll.DBRW($B$9,$E$11,$E$19,F$20,$E$12,$E$13,$E$14,$E$15,$E$16,$B235)</f>
        <v>0</v>
      </c>
      <c r="G235" s="23">
        <f ca="1">_xll.DBRW($B$9,$E$11,$E$19,G$20,$E$12,$E$13,$E$14,$E$15,$E$16,$B235)</f>
        <v>0</v>
      </c>
      <c r="H235" s="2">
        <f ca="1">_xll.DBRW($B$9,$E$11,$H$19,H$20,$E$12,$E$13,$E$14,$E$15,$E$16,$B235)</f>
        <v>0</v>
      </c>
      <c r="I235" s="2">
        <f ca="1">_xll.DBRW($B$9,$E$11,$H$19,I$20,$E$12,$E$13,$E$14,$E$15,$E$16,$B235)</f>
        <v>0</v>
      </c>
      <c r="J235" s="2">
        <f ca="1">_xll.DBRW($B$9,$E$11,$H$19,J$20,$E$12,$E$13,$E$14,$E$15,$E$16,$B235)</f>
        <v>0</v>
      </c>
    </row>
  </sheetData>
  <dataValidations disablePrompts="1" count="2">
    <dataValidation type="list" allowBlank="1" showInputMessage="1" showErrorMessage="1" sqref="E17">
      <formula1>"French,English"</formula1>
    </dataValidation>
    <dataValidation type="list" allowBlank="1" showInputMessage="1" showErrorMessage="1" sqref="E16">
      <formula1>"ACT_TOT,BUDG_VC_TOT,FC_1_VC_TOT,FC_2_VC_TOT"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19</vt:i4>
      </vt:variant>
    </vt:vector>
  </HeadingPairs>
  <TitlesOfParts>
    <vt:vector size="25" baseType="lpstr">
      <vt:lpstr>BDD</vt:lpstr>
      <vt:lpstr>PLDestination</vt:lpstr>
      <vt:lpstr>PLNature_Vector</vt:lpstr>
      <vt:lpstr>Synthesis</vt:lpstr>
      <vt:lpstr>Delta Vector per entity</vt:lpstr>
      <vt:lpstr>KPI</vt:lpstr>
      <vt:lpstr>Actual_Month</vt:lpstr>
      <vt:lpstr>KPI!TM1RPTDATARNG1</vt:lpstr>
      <vt:lpstr>PLDestination!TM1RPTDATARNG1</vt:lpstr>
      <vt:lpstr>PLNature_Vector!TM1RPTDATARNG1</vt:lpstr>
      <vt:lpstr>Synthesis!TM1RPTDATARNG1</vt:lpstr>
      <vt:lpstr>'Delta Vector per entity'!TM1RPTDATARNG3</vt:lpstr>
      <vt:lpstr>'Delta Vector per entity'!TM1RPTFMTIDCOL</vt:lpstr>
      <vt:lpstr>KPI!TM1RPTFMTIDCOL</vt:lpstr>
      <vt:lpstr>PLDestination!TM1RPTFMTIDCOL</vt:lpstr>
      <vt:lpstr>PLNature_Vector!TM1RPTFMTIDCOL</vt:lpstr>
      <vt:lpstr>Synthesis!TM1RPTFMTIDCOL</vt:lpstr>
      <vt:lpstr>'Delta Vector per entity'!TM1RPTFMTRNG</vt:lpstr>
      <vt:lpstr>KPI!TM1RPTFMTRNG</vt:lpstr>
      <vt:lpstr>PLDestination!TM1RPTFMTRNG</vt:lpstr>
      <vt:lpstr>PLNature_Vector!TM1RPTFMTRNG</vt:lpstr>
      <vt:lpstr>Synthesis!TM1RPTFMTRNG</vt:lpstr>
      <vt:lpstr>PLDestination!Zone</vt:lpstr>
      <vt:lpstr>PLNature_Vector!Zone</vt:lpstr>
      <vt:lpstr>Synthesis!Zone</vt:lpstr>
    </vt:vector>
  </TitlesOfParts>
  <Company>Veolia Transport - 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fabienne.caussidou</dc:creator>
  <cp:lastModifiedBy>CAUSSIDOU, Fabienne</cp:lastModifiedBy>
  <dcterms:created xsi:type="dcterms:W3CDTF">2015-02-06T09:50:00Z</dcterms:created>
  <dcterms:modified xsi:type="dcterms:W3CDTF">2016-09-15T09:09:14Z</dcterms:modified>
</cp:coreProperties>
</file>