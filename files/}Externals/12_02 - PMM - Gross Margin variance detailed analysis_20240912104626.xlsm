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laBarki\AppData\Local\Temp\"/>
    </mc:Choice>
  </mc:AlternateContent>
  <xr:revisionPtr revIDLastSave="0" documentId="8_{6A6401E1-3B54-4A42-B8DB-02A912833263}" xr6:coauthVersionLast="47" xr6:coauthVersionMax="47" xr10:uidLastSave="{00000000-0000-0000-0000-000000000000}"/>
  <bookViews>
    <workbookView xWindow="-90" yWindow="-90" windowWidth="19380" windowHeight="11460" firstSheet="1" activeTab="1" xr2:uid="{00000000-000D-0000-FFFF-FFFF00000000}"/>
  </bookViews>
  <sheets>
    <sheet name="Context" sheetId="2" state="hidden" r:id="rId1"/>
    <sheet name="PMM Analysis Report" sheetId="1" r:id="rId2"/>
    <sheet name="{PL}PickLst" sheetId="6" state="hidden" r:id="rId3"/>
    <sheet name="PMM Bridge" sheetId="7" r:id="rId4"/>
  </sheets>
  <functionGroups builtInGroupCount="19"/>
  <definedNames>
    <definedName name="ActualBudget">Context!$B$16</definedName>
    <definedName name="ActualForecast">Context!$B$17</definedName>
    <definedName name="ActualMonth">Context!$B$15</definedName>
    <definedName name="ActualYear">Context!$B$14</definedName>
    <definedName name="Auto_Fit">'PMM Analysis Report'!$Q$29:$BV$587</definedName>
    <definedName name="Cube1">Context!$B$11</definedName>
    <definedName name="Cube2">Context!$B$12</definedName>
    <definedName name="Cube3">Context!$B$13</definedName>
    <definedName name="DEFAULT_ACTIVITY">'PMM Analysis Report'!$F$15</definedName>
    <definedName name="DEFAULT_CURRENCY">'PMM Analysis Report'!$F$16</definedName>
    <definedName name="DEFAULT_GAAP">'PMM Analysis Report'!$F$17</definedName>
    <definedName name="DEFAULT_INTEGRATION_RATE">'PMM Analysis Report'!$F$18</definedName>
    <definedName name="DEFAULT_LEGAL_ORGANIZATION">'PMM Analysis Report'!$F$14</definedName>
    <definedName name="DEFAULT_MANAGEMENT_ORGANIZATION">'PMM Analysis Report'!$F$13</definedName>
    <definedName name="DEFAULT_PERIOD">'PMM Analysis Report'!$F$11</definedName>
    <definedName name="DEFAULT_PHASE">'PMM Analysis Report'!$F$20</definedName>
    <definedName name="Desc_Rev_km_E">Context!$E$7</definedName>
    <definedName name="Desc_Rev_km_F">Context!$F$7</definedName>
    <definedName name="Desc_Tot_Driv_Hours_E">Context!$E$8</definedName>
    <definedName name="Desc_Tot_Driv_Hours_F">Context!$F$8</definedName>
    <definedName name="Desc_Tot_km_E">Context!$E$5</definedName>
    <definedName name="Desc_Tot_km_F">Context!$F$5</definedName>
    <definedName name="Desc_Tot_nb_vehicle_E">Context!$E$6</definedName>
    <definedName name="Desc_Tot_nb_vehicle_F">Context!$F$6</definedName>
    <definedName name="Host_Serveur">_xll.DBRW("tango_core_model:z_Admin_Param","SERVER_NAME","STR_VAR1")</definedName>
    <definedName name="ID" localSheetId="2" hidden="1">"bc424357-dbdf-4418-a769-1811983d5337"</definedName>
    <definedName name="ID" localSheetId="0" hidden="1">"de3e2779-e03a-48aa-9f61-35fcf66b2c8f"</definedName>
    <definedName name="ID" localSheetId="1" hidden="1">"919870bf-9d72-4c10-8f8e-ff8bc8e6776f"</definedName>
    <definedName name="ID" localSheetId="3" hidden="1">"d2357727-ce67-4823-a454-e380407baf65"</definedName>
    <definedName name="Languages">Context!$B$19:$B$20</definedName>
    <definedName name="LIST_PHASES">'PMM Analysis Report'!$D$20:$D$23</definedName>
    <definedName name="LIST_YEARS">'PMM Analysis Report'!$D$24:$D$27</definedName>
    <definedName name="Locallanguage">Context!$B$18</definedName>
    <definedName name="Print_Area" localSheetId="1">'PMM Analysis Report'!$J$6:$BX$589</definedName>
    <definedName name="Print_Area" localSheetId="3">'PMM Bridge'!$F$3:$V$13</definedName>
    <definedName name="Server">Context!$B$4</definedName>
    <definedName name="V_ACTIVITY">'PMM Analysis Report'!$N$15</definedName>
    <definedName name="V_LANG">'PMM Analysis Report'!$N$19</definedName>
    <definedName name="xServer">Context!$B$5</definedName>
    <definedName name="Z_83BB5152_01BA_42DF_B23D_4001406CC674_.wvu.Cols" localSheetId="3" hidden="1">'PMM Bridge'!$A:$D</definedName>
    <definedName name="Z_83BB5152_01BA_42DF_B23D_4001406CC674_.wvu.PrintArea" localSheetId="1" hidden="1">'PMM Analysis Report'!$J$6:$BX$589</definedName>
    <definedName name="Z_83BB5152_01BA_42DF_B23D_4001406CC674_.wvu.PrintArea" localSheetId="3" hidden="1">'PMM Bridge'!$F$3:$V$13</definedName>
    <definedName name="Z_83BB5152_01BA_42DF_B23D_4001406CC674_.wvu.Rows" localSheetId="3" hidden="1">'PMM Bridge'!$8:$9</definedName>
    <definedName name="Z_97DA177E_F101_4CD5_8BC6_6997082DB660_.wvu.Cols" localSheetId="1" hidden="1">'PMM Analysis Report'!$A:$H,'PMM Analysis Report'!$R:$R,'PMM Analysis Report'!$V:$V,'PMM Analysis Report'!$AA:$BW</definedName>
    <definedName name="Z_97DA177E_F101_4CD5_8BC6_6997082DB660_.wvu.Cols" localSheetId="3" hidden="1">'PMM Bridge'!$A:$D</definedName>
    <definedName name="Z_97DA177E_F101_4CD5_8BC6_6997082DB660_.wvu.PrintArea" localSheetId="1" hidden="1">'PMM Analysis Report'!$J$6:$BX$589</definedName>
    <definedName name="Z_97DA177E_F101_4CD5_8BC6_6997082DB660_.wvu.PrintArea" localSheetId="3" hidden="1">'PMM Bridge'!$F$3:$V$13</definedName>
    <definedName name="Z_97DA177E_F101_4CD5_8BC6_6997082DB660_.wvu.Rows" localSheetId="1" hidden="1">'PMM Analysis Report'!$1:$4,'PMM Analysis Report'!$14:$14,'PMM Analysis Report'!$17:$18,'PMM Analysis Report'!$24:$28,'PMM Analysis Report'!$35:$35,'PMM Analysis Report'!$37:$50,'PMM Analysis Report'!$52:$52,'PMM Analysis Report'!$54:$59,'PMM Analysis Report'!$61:$61,'PMM Analysis Report'!$63:$78,'PMM Analysis Report'!$80:$80,'PMM Analysis Report'!$82:$95,'PMM Analysis Report'!$97:$97,'PMM Analysis Report'!$99:$109,'PMM Analysis Report'!$112:$118,'PMM Analysis Report'!$251:$314,'PMM Analysis Report'!$321:$326,'PMM Analysis Report'!$330:$333,'PMM Analysis Report'!$335:$376,'PMM Analysis Report'!$384:$389,'PMM Analysis Report'!$393:$396,'PMM Analysis Report'!$398:$439,'PMM Analysis Report'!$447:$452,'PMM Analysis Report'!$456:$459,'PMM Analysis Report'!$461:$502,'PMM Analysis Report'!$511:$516,'PMM Analysis Report'!$520:$523,'PMM Analysis Report'!$525:$566,'PMM Analysis Report'!$574:$579,'PMM Analysis Report'!$583:$586</definedName>
    <definedName name="Z_97DA177E_F101_4CD5_8BC6_6997082DB660_.wvu.Rows" localSheetId="3" hidden="1">'PMM Bridge'!$8:$9</definedName>
  </definedNames>
  <calcPr calcId="191029" calcOnSave="0"/>
  <customWorkbookViews>
    <customWorkbookView name="Prod" guid="{97DA177E-F101-4CD5-8BC6-6997082DB660}" maximized="1" windowWidth="1362" windowHeight="569" activeSheetId="1" showFormulaBar="0"/>
    <customWorkbookView name="Dev" guid="{83BB5152-01BA-42DF-B23D-4001406CC674}" maximized="1" windowWidth="1276" windowHeight="79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2" l="1"/>
  <c r="G22" i="1"/>
  <c r="O21" i="1" s="1"/>
  <c r="E20" i="1"/>
  <c r="F22" i="1"/>
  <c r="N21" i="1" s="1"/>
  <c r="N216" i="1"/>
  <c r="N244" i="1"/>
  <c r="K215" i="1"/>
  <c r="K246" i="1"/>
  <c r="N245" i="1"/>
  <c r="M244" i="1"/>
  <c r="M216" i="1"/>
  <c r="O210" i="1"/>
  <c r="M21" i="1"/>
  <c r="M20" i="1"/>
  <c r="M12" i="1"/>
  <c r="AX45" i="7"/>
  <c r="AX42" i="7"/>
  <c r="A540" i="1"/>
  <c r="A526" i="1"/>
  <c r="A476" i="1"/>
  <c r="A462" i="1"/>
  <c r="A413" i="1"/>
  <c r="A399" i="1"/>
  <c r="A350" i="1"/>
  <c r="A336" i="1"/>
  <c r="A288" i="1"/>
  <c r="BT29" i="1"/>
  <c r="BP29" i="1"/>
  <c r="BL29" i="1"/>
  <c r="BH29" i="1"/>
  <c r="BD29" i="1"/>
  <c r="AZ29" i="1"/>
  <c r="AV29" i="1"/>
  <c r="AR29" i="1"/>
  <c r="AN29" i="1"/>
  <c r="AJ29" i="1"/>
  <c r="AF29" i="1"/>
  <c r="AB29" i="1"/>
  <c r="A260" i="1"/>
  <c r="A274" i="1"/>
  <c r="D10" i="1"/>
  <c r="BP55" i="7"/>
  <c r="BB69" i="7" s="1"/>
  <c r="BC69" i="7" s="1"/>
  <c r="AV55" i="7"/>
  <c r="BN68" i="7"/>
  <c r="BL68" i="7"/>
  <c r="BJ68" i="7"/>
  <c r="BH68" i="7"/>
  <c r="BF68" i="7"/>
  <c r="BD68" i="7"/>
  <c r="BB68" i="7"/>
  <c r="AZ68" i="7"/>
  <c r="AT68" i="7"/>
  <c r="AR68" i="7"/>
  <c r="AP68" i="7"/>
  <c r="AN68" i="7"/>
  <c r="AL68" i="7"/>
  <c r="AJ68" i="7"/>
  <c r="AH68" i="7"/>
  <c r="AF68" i="7"/>
  <c r="AR69" i="7"/>
  <c r="AS69" i="7" s="1"/>
  <c r="AN69" i="7"/>
  <c r="AO69" i="7" s="1"/>
  <c r="AJ69" i="7"/>
  <c r="AK69" i="7" s="1"/>
  <c r="AF69" i="7"/>
  <c r="AG69" i="7" s="1"/>
  <c r="AT69" i="7"/>
  <c r="AU69" i="7" s="1"/>
  <c r="AP69" i="7"/>
  <c r="AQ69" i="7" s="1"/>
  <c r="AL69" i="7"/>
  <c r="AM69" i="7"/>
  <c r="AH69" i="7"/>
  <c r="AI69" i="7" s="1"/>
  <c r="B6" i="2"/>
  <c r="B21" i="1"/>
  <c r="N15" i="1"/>
  <c r="N16" i="1"/>
  <c r="D20" i="1"/>
  <c r="B205" i="1"/>
  <c r="B199" i="1"/>
  <c r="B193" i="1"/>
  <c r="B189" i="1"/>
  <c r="B185" i="1"/>
  <c r="B181" i="1"/>
  <c r="B175" i="1"/>
  <c r="B171" i="1"/>
  <c r="B167" i="1"/>
  <c r="B163" i="1"/>
  <c r="B139" i="1"/>
  <c r="N222" i="1"/>
  <c r="N17" i="1"/>
  <c r="L107" i="1"/>
  <c r="L45" i="1"/>
  <c r="B204" i="1"/>
  <c r="B184" i="1"/>
  <c r="B166" i="1"/>
  <c r="B156" i="1"/>
  <c r="B134" i="1"/>
  <c r="L108" i="1"/>
  <c r="L44" i="1"/>
  <c r="B200" i="1"/>
  <c r="B182" i="1"/>
  <c r="B164" i="1"/>
  <c r="B144" i="1"/>
  <c r="N18" i="1"/>
  <c r="B15" i="2"/>
  <c r="B186" i="1"/>
  <c r="B177" i="1"/>
  <c r="B158" i="1"/>
  <c r="B152" i="1"/>
  <c r="B131" i="1"/>
  <c r="N220" i="1"/>
  <c r="N237" i="1"/>
  <c r="N234" i="1"/>
  <c r="L69" i="1"/>
  <c r="L64" i="1"/>
  <c r="B170" i="1"/>
  <c r="B154" i="1"/>
  <c r="B150" i="1"/>
  <c r="B146" i="1"/>
  <c r="N232" i="1"/>
  <c r="B198" i="1"/>
  <c r="B173" i="1"/>
  <c r="B209" i="1"/>
  <c r="N231" i="1"/>
  <c r="L105" i="1"/>
  <c r="B203" i="1"/>
  <c r="B192" i="1"/>
  <c r="B176" i="1"/>
  <c r="B149" i="1"/>
  <c r="N217" i="1"/>
  <c r="F14" i="1"/>
  <c r="N14" i="1" s="1"/>
  <c r="L43" i="1"/>
  <c r="B194" i="1"/>
  <c r="B169" i="1"/>
  <c r="B162" i="1"/>
  <c r="B137" i="1"/>
  <c r="B132" i="1"/>
  <c r="N239" i="1"/>
  <c r="N219" i="1"/>
  <c r="L71" i="1"/>
  <c r="B143" i="1"/>
  <c r="B142" i="1"/>
  <c r="B135" i="1"/>
  <c r="N238" i="1"/>
  <c r="L74" i="1"/>
  <c r="L73" i="1"/>
  <c r="L89" i="1"/>
  <c r="F13" i="1"/>
  <c r="N13" i="1" s="1"/>
  <c r="B206" i="1"/>
  <c r="B187" i="1"/>
  <c r="B159" i="1"/>
  <c r="N236" i="1"/>
  <c r="B202" i="1"/>
  <c r="B180" i="1"/>
  <c r="B129" i="1"/>
  <c r="B62" i="1"/>
  <c r="L65" i="1"/>
  <c r="D13" i="1"/>
  <c r="A393" i="1"/>
  <c r="B98" i="1"/>
  <c r="L39" i="1"/>
  <c r="B178" i="1"/>
  <c r="N229" i="1"/>
  <c r="L88" i="1"/>
  <c r="L68" i="1"/>
  <c r="C583" i="1"/>
  <c r="B197" i="1"/>
  <c r="B140" i="1"/>
  <c r="B153" i="1"/>
  <c r="B148" i="1"/>
  <c r="N227" i="1"/>
  <c r="N226" i="1"/>
  <c r="K62" i="1"/>
  <c r="L104" i="1"/>
  <c r="O125" i="1"/>
  <c r="M389" i="1"/>
  <c r="L40" i="1"/>
  <c r="B16" i="2"/>
  <c r="L570" i="1"/>
  <c r="L63" i="1"/>
  <c r="M578" i="1"/>
  <c r="L86" i="1"/>
  <c r="M385" i="1"/>
  <c r="B17" i="2"/>
  <c r="B14" i="2"/>
  <c r="B172" i="1"/>
  <c r="N223" i="1"/>
  <c r="L116" i="1"/>
  <c r="B196" i="1"/>
  <c r="A330" i="1"/>
  <c r="B151" i="1"/>
  <c r="N241" i="1"/>
  <c r="L76" i="1"/>
  <c r="L99" i="1"/>
  <c r="G14" i="1"/>
  <c r="A456" i="1"/>
  <c r="B183" i="1"/>
  <c r="N218" i="1"/>
  <c r="C330" i="1"/>
  <c r="A522" i="1"/>
  <c r="B130" i="1"/>
  <c r="L90" i="1"/>
  <c r="C395" i="1"/>
  <c r="L380" i="1"/>
  <c r="L48" i="1"/>
  <c r="M579" i="1"/>
  <c r="M387" i="1"/>
  <c r="M575" i="1"/>
  <c r="M451" i="1"/>
  <c r="B147" i="1"/>
  <c r="L70" i="1"/>
  <c r="C332" i="1"/>
  <c r="A585" i="1"/>
  <c r="B53" i="1"/>
  <c r="A583" i="1"/>
  <c r="M324" i="1"/>
  <c r="B124" i="1"/>
  <c r="L72" i="1"/>
  <c r="L103" i="1"/>
  <c r="L114" i="1"/>
  <c r="M11" i="1"/>
  <c r="B191" i="1"/>
  <c r="B174" i="1"/>
  <c r="N235" i="1"/>
  <c r="B23" i="1"/>
  <c r="L57" i="1"/>
  <c r="L91" i="1"/>
  <c r="L58" i="1"/>
  <c r="M18" i="1"/>
  <c r="L519" i="1"/>
  <c r="M323" i="1"/>
  <c r="L37" i="1"/>
  <c r="L55" i="1"/>
  <c r="L113" i="1"/>
  <c r="L38" i="1"/>
  <c r="L56" i="1"/>
  <c r="B165" i="1"/>
  <c r="N233" i="1"/>
  <c r="C585" i="1"/>
  <c r="M577" i="1"/>
  <c r="M14" i="1"/>
  <c r="B18" i="2"/>
  <c r="M514" i="1"/>
  <c r="M452" i="1"/>
  <c r="L102" i="1"/>
  <c r="B190" i="1"/>
  <c r="B136" i="1"/>
  <c r="N230" i="1"/>
  <c r="C393" i="1"/>
  <c r="C520" i="1"/>
  <c r="A332" i="1"/>
  <c r="M391" i="1"/>
  <c r="L318" i="1"/>
  <c r="M332" i="1"/>
  <c r="M393" i="1"/>
  <c r="BA47" i="7"/>
  <c r="L41" i="1"/>
  <c r="K8" i="1"/>
  <c r="L117" i="1"/>
  <c r="M19" i="1"/>
  <c r="B168" i="1"/>
  <c r="B138" i="1"/>
  <c r="M583" i="1"/>
  <c r="L82" i="1"/>
  <c r="L84" i="1"/>
  <c r="AG47" i="7"/>
  <c r="L106" i="1"/>
  <c r="B157" i="1"/>
  <c r="B145" i="1"/>
  <c r="L77" i="1"/>
  <c r="B155" i="1"/>
  <c r="L78" i="1"/>
  <c r="C522" i="1"/>
  <c r="M585" i="1"/>
  <c r="M581" i="1"/>
  <c r="D14" i="1"/>
  <c r="M16" i="1"/>
  <c r="L317" i="1"/>
  <c r="L42" i="1"/>
  <c r="M512" i="1"/>
  <c r="M15" i="1"/>
  <c r="L392" i="1"/>
  <c r="L455" i="1"/>
  <c r="M449" i="1"/>
  <c r="L109" i="1"/>
  <c r="N221" i="1"/>
  <c r="M388" i="1"/>
  <c r="L115" i="1"/>
  <c r="L507" i="1"/>
  <c r="M448" i="1"/>
  <c r="K120" i="1"/>
  <c r="D17" i="1"/>
  <c r="L571" i="1"/>
  <c r="L85" i="1"/>
  <c r="N243" i="1"/>
  <c r="L112" i="1"/>
  <c r="L582" i="1"/>
  <c r="L95" i="1"/>
  <c r="M325" i="1"/>
  <c r="M326" i="1"/>
  <c r="M327" i="1"/>
  <c r="M17" i="1"/>
  <c r="M10" i="1"/>
  <c r="B188" i="1"/>
  <c r="N240" i="1"/>
  <c r="M453" i="1"/>
  <c r="M386" i="1"/>
  <c r="Q13" i="1"/>
  <c r="L329" i="1"/>
  <c r="L49" i="1"/>
  <c r="B133" i="1"/>
  <c r="N228" i="1"/>
  <c r="B161" i="1"/>
  <c r="G11" i="1"/>
  <c r="M520" i="1"/>
  <c r="M458" i="1"/>
  <c r="L50" i="1"/>
  <c r="M516" i="1"/>
  <c r="N224" i="1"/>
  <c r="L101" i="1"/>
  <c r="L66" i="1"/>
  <c r="L83" i="1"/>
  <c r="L46" i="1"/>
  <c r="M515" i="1"/>
  <c r="M330" i="1"/>
  <c r="N225" i="1"/>
  <c r="D16" i="1"/>
  <c r="L47" i="1"/>
  <c r="A458" i="1"/>
  <c r="L92" i="1"/>
  <c r="L75" i="1"/>
  <c r="D18" i="1"/>
  <c r="M576" i="1"/>
  <c r="B141" i="1"/>
  <c r="L87" i="1"/>
  <c r="A395" i="1"/>
  <c r="M522" i="1"/>
  <c r="M456" i="1"/>
  <c r="L54" i="1"/>
  <c r="L67" i="1"/>
  <c r="B22" i="1"/>
  <c r="M322" i="1"/>
  <c r="M13" i="1"/>
  <c r="K7" i="1"/>
  <c r="M518" i="1"/>
  <c r="K111" i="1"/>
  <c r="M450" i="1"/>
  <c r="L381" i="1"/>
  <c r="H5" i="7"/>
  <c r="L59" i="1"/>
  <c r="D15" i="1"/>
  <c r="L100" i="1"/>
  <c r="C458" i="1"/>
  <c r="K81" i="1"/>
  <c r="L443" i="1"/>
  <c r="M513" i="1"/>
  <c r="M328" i="1"/>
  <c r="M580" i="1"/>
  <c r="L444" i="1"/>
  <c r="K36" i="1"/>
  <c r="M390" i="1"/>
  <c r="L94" i="1"/>
  <c r="M395" i="1"/>
  <c r="M454" i="1"/>
  <c r="L506" i="1"/>
  <c r="M517" i="1"/>
  <c r="L93" i="1"/>
  <c r="A520" i="1"/>
  <c r="C456" i="1"/>
  <c r="O457" i="1" l="1"/>
  <c r="A255" i="1"/>
  <c r="O459" i="1"/>
  <c r="A253" i="1"/>
  <c r="C22" i="1"/>
  <c r="L141" i="1"/>
  <c r="L161" i="1"/>
  <c r="L133" i="1"/>
  <c r="L188" i="1"/>
  <c r="O523" i="1"/>
  <c r="L155" i="1"/>
  <c r="L145" i="1"/>
  <c r="L157" i="1"/>
  <c r="L138" i="1"/>
  <c r="L168" i="1"/>
  <c r="H6" i="7"/>
  <c r="O521" i="1"/>
  <c r="O394" i="1"/>
  <c r="L136" i="1"/>
  <c r="L190" i="1"/>
  <c r="O586" i="1"/>
  <c r="L165" i="1"/>
  <c r="C23" i="1"/>
  <c r="L174" i="1"/>
  <c r="L191" i="1"/>
  <c r="L124" i="1"/>
  <c r="A252" i="1" s="1"/>
  <c r="K53" i="1"/>
  <c r="A257" i="1" s="1"/>
  <c r="O333" i="1"/>
  <c r="L147" i="1"/>
  <c r="O396" i="1"/>
  <c r="L130" i="1"/>
  <c r="O331" i="1"/>
  <c r="L183" i="1"/>
  <c r="L151" i="1"/>
  <c r="L196" i="1"/>
  <c r="L172" i="1"/>
  <c r="E26" i="1"/>
  <c r="C26" i="1" s="1"/>
  <c r="E25" i="1"/>
  <c r="C25" i="1" s="1"/>
  <c r="E27" i="1"/>
  <c r="C27" i="1" s="1"/>
  <c r="C35" i="2"/>
  <c r="C34" i="2"/>
  <c r="E24" i="1"/>
  <c r="C24" i="1" s="1"/>
  <c r="Q3" i="1"/>
  <c r="C33" i="2"/>
  <c r="K276" i="1"/>
  <c r="A256" i="1"/>
  <c r="L148" i="1"/>
  <c r="L153" i="1"/>
  <c r="L140" i="1"/>
  <c r="L197" i="1"/>
  <c r="O584" i="1"/>
  <c r="L178" i="1"/>
  <c r="K98" i="1"/>
  <c r="A254" i="1" s="1"/>
  <c r="L129" i="1"/>
  <c r="L180" i="1"/>
  <c r="L202" i="1"/>
  <c r="L159" i="1"/>
  <c r="L187" i="1"/>
  <c r="L206" i="1"/>
  <c r="L135" i="1"/>
  <c r="L142" i="1"/>
  <c r="L143" i="1"/>
  <c r="L132" i="1"/>
  <c r="L137" i="1"/>
  <c r="L162" i="1"/>
  <c r="L169" i="1"/>
  <c r="L194" i="1"/>
  <c r="L149" i="1"/>
  <c r="L176" i="1"/>
  <c r="L192" i="1"/>
  <c r="L203" i="1"/>
  <c r="L209" i="1"/>
  <c r="L173" i="1"/>
  <c r="L198" i="1"/>
  <c r="L146" i="1"/>
  <c r="L150" i="1"/>
  <c r="L154" i="1"/>
  <c r="L170" i="1"/>
  <c r="L131" i="1"/>
  <c r="L152" i="1"/>
  <c r="L158" i="1"/>
  <c r="L177" i="1"/>
  <c r="L186" i="1"/>
  <c r="F11" i="1"/>
  <c r="L144" i="1"/>
  <c r="L164" i="1"/>
  <c r="L182" i="1"/>
  <c r="L200" i="1"/>
  <c r="L134" i="1"/>
  <c r="L156" i="1"/>
  <c r="L166" i="1"/>
  <c r="L184" i="1"/>
  <c r="L204" i="1"/>
  <c r="L139" i="1"/>
  <c r="L163" i="1"/>
  <c r="L167" i="1"/>
  <c r="L171" i="1"/>
  <c r="L175" i="1"/>
  <c r="L181" i="1"/>
  <c r="L185" i="1"/>
  <c r="L189" i="1"/>
  <c r="L193" i="1"/>
  <c r="L199" i="1"/>
  <c r="L205" i="1"/>
  <c r="F20" i="1"/>
  <c r="N12" i="1" s="1"/>
  <c r="G21" i="1"/>
  <c r="O20" i="1" s="1"/>
  <c r="C21" i="1"/>
  <c r="BD69" i="7"/>
  <c r="BE69" i="7" s="1"/>
  <c r="AZ69" i="7"/>
  <c r="BA69" i="7" s="1"/>
  <c r="BN69" i="7"/>
  <c r="BO69" i="7" s="1"/>
  <c r="BL69" i="7"/>
  <c r="BM69" i="7" s="1"/>
  <c r="BH69" i="7"/>
  <c r="BI69" i="7" s="1"/>
  <c r="BF69" i="7"/>
  <c r="BG69" i="7" s="1"/>
  <c r="BJ69" i="7"/>
  <c r="BK69" i="7" s="1"/>
  <c r="O522" i="1"/>
  <c r="D21" i="1"/>
  <c r="D23" i="1"/>
  <c r="O393" i="1"/>
  <c r="G16" i="1"/>
  <c r="N11" i="1"/>
  <c r="D22" i="1"/>
  <c r="O456" i="1"/>
  <c r="O395" i="1"/>
  <c r="O583" i="1"/>
  <c r="O330" i="1"/>
  <c r="O458" i="1"/>
  <c r="O332" i="1"/>
  <c r="O585" i="1"/>
  <c r="O520" i="1"/>
  <c r="D11" i="1"/>
  <c r="Q29" i="1"/>
  <c r="N2" i="1"/>
  <c r="Q2" i="1"/>
  <c r="V2" i="1"/>
  <c r="S3" i="1" l="1"/>
  <c r="AD2" i="1" s="1"/>
  <c r="R2" i="1"/>
  <c r="F21" i="1"/>
  <c r="N20" i="1" s="1"/>
  <c r="V32" i="1"/>
  <c r="D335" i="1"/>
  <c r="V1" i="1"/>
  <c r="D250" i="1"/>
  <c r="D287" i="1"/>
  <c r="D539" i="1"/>
  <c r="D525" i="1"/>
  <c r="D412" i="1"/>
  <c r="D349" i="1"/>
  <c r="D259" i="1"/>
  <c r="D475" i="1"/>
  <c r="D461" i="1"/>
  <c r="D398" i="1"/>
  <c r="D273" i="1"/>
  <c r="E22" i="1"/>
  <c r="R3" i="1"/>
  <c r="BP2" i="1"/>
  <c r="AZ2" i="1"/>
  <c r="AJ2" i="1"/>
  <c r="BH2" i="1"/>
  <c r="AF2" i="1"/>
  <c r="AB2" i="1"/>
  <c r="BT2" i="1"/>
  <c r="BD2" i="1"/>
  <c r="AN2" i="1"/>
  <c r="AV2" i="1"/>
  <c r="AR2" i="1"/>
  <c r="BL2" i="1"/>
  <c r="Q1" i="1"/>
  <c r="Q32" i="1"/>
  <c r="B250" i="1"/>
  <c r="B273" i="1"/>
  <c r="B287" i="1"/>
  <c r="B398" i="1"/>
  <c r="B259" i="1"/>
  <c r="B539" i="1"/>
  <c r="B475" i="1"/>
  <c r="B461" i="1"/>
  <c r="B412" i="1"/>
  <c r="B525" i="1"/>
  <c r="B349" i="1"/>
  <c r="B335" i="1"/>
  <c r="E23" i="1"/>
  <c r="E21" i="1"/>
  <c r="M446" i="1"/>
  <c r="M508" i="1"/>
  <c r="M445" i="1"/>
  <c r="M320" i="1"/>
  <c r="K295" i="1"/>
  <c r="M319" i="1"/>
  <c r="V108" i="1"/>
  <c r="V184" i="1"/>
  <c r="V142" i="1"/>
  <c r="V81" i="1"/>
  <c r="V77" i="1"/>
  <c r="V175" i="1"/>
  <c r="V155" i="1"/>
  <c r="V137" i="1"/>
  <c r="V320" i="1"/>
  <c r="V573" i="1"/>
  <c r="V508" i="1"/>
  <c r="V90" i="1"/>
  <c r="V99" i="1"/>
  <c r="V64" i="1"/>
  <c r="V107" i="1"/>
  <c r="V191" i="1"/>
  <c r="V168" i="1"/>
  <c r="V164" i="1"/>
  <c r="V583" i="1"/>
  <c r="V37" i="1"/>
  <c r="V48" i="1"/>
  <c r="V70" i="1"/>
  <c r="V109" i="1"/>
  <c r="V46" i="1"/>
  <c r="V197" i="1"/>
  <c r="V153" i="1"/>
  <c r="V381" i="1"/>
  <c r="V147" i="1"/>
  <c r="V445" i="1"/>
  <c r="V78" i="1"/>
  <c r="V89" i="1"/>
  <c r="V383" i="1"/>
  <c r="V162" i="1"/>
  <c r="V146" i="1"/>
  <c r="V136" i="1"/>
  <c r="V129" i="1"/>
  <c r="V101" i="1"/>
  <c r="V104" i="1"/>
  <c r="V63" i="1"/>
  <c r="V49" i="1"/>
  <c r="V40" i="1"/>
  <c r="V82" i="1"/>
  <c r="V520" i="1"/>
  <c r="V68" i="1"/>
  <c r="V58" i="1"/>
  <c r="V45" i="1"/>
  <c r="V181" i="1"/>
  <c r="V124" i="1"/>
  <c r="V395" i="1"/>
  <c r="V87" i="1"/>
  <c r="V42" i="1"/>
  <c r="V380" i="1"/>
  <c r="V200" i="1"/>
  <c r="V159" i="1"/>
  <c r="V330" i="1"/>
  <c r="V209" i="1"/>
  <c r="V85" i="1"/>
  <c r="V84" i="1"/>
  <c r="V443" i="1"/>
  <c r="V65" i="1"/>
  <c r="V150" i="1"/>
  <c r="V318" i="1"/>
  <c r="V458" i="1"/>
  <c r="V50" i="1"/>
  <c r="V92" i="1"/>
  <c r="V73" i="1"/>
  <c r="V171" i="1"/>
  <c r="V55" i="1"/>
  <c r="V132" i="1"/>
  <c r="V161" i="1"/>
  <c r="V66" i="1"/>
  <c r="V36" i="1"/>
  <c r="V144" i="1"/>
  <c r="V100" i="1"/>
  <c r="V71" i="1"/>
  <c r="V72" i="1"/>
  <c r="V83" i="1"/>
  <c r="V39" i="1"/>
  <c r="V202" i="1"/>
  <c r="V95" i="1"/>
  <c r="V91" i="1"/>
  <c r="V67" i="1"/>
  <c r="V47" i="1"/>
  <c r="V506" i="1"/>
  <c r="V206" i="1"/>
  <c r="V120" i="1"/>
  <c r="V41" i="1"/>
  <c r="V113" i="1"/>
  <c r="V180" i="1"/>
  <c r="V116" i="1"/>
  <c r="V86" i="1"/>
  <c r="V393" i="1"/>
  <c r="V102" i="1"/>
  <c r="V94" i="1"/>
  <c r="V133" i="1"/>
  <c r="V141" i="1"/>
  <c r="V59" i="1"/>
  <c r="V112" i="1"/>
  <c r="V69" i="1"/>
  <c r="V38" i="1"/>
  <c r="V194" i="1"/>
  <c r="V76" i="1"/>
  <c r="V115" i="1"/>
  <c r="V56" i="1"/>
  <c r="V117" i="1"/>
  <c r="V93" i="1"/>
  <c r="V54" i="1"/>
  <c r="V178" i="1"/>
  <c r="V114" i="1"/>
  <c r="V317" i="1"/>
  <c r="V103" i="1"/>
  <c r="V145" i="1"/>
  <c r="V570" i="1"/>
  <c r="V57" i="1"/>
  <c r="V149" i="1"/>
  <c r="V154" i="1"/>
  <c r="V167" i="1"/>
  <c r="V170" i="1"/>
  <c r="V185" i="1"/>
  <c r="V188" i="1"/>
  <c r="V205" i="1"/>
  <c r="V106" i="1"/>
  <c r="V382" i="1"/>
  <c r="V456" i="1"/>
  <c r="V572" i="1"/>
  <c r="V585" i="1"/>
  <c r="V332" i="1"/>
  <c r="V143" i="1"/>
  <c r="V148" i="1"/>
  <c r="V169" i="1"/>
  <c r="V187" i="1"/>
  <c r="V444" i="1"/>
  <c r="V62" i="1"/>
  <c r="V130" i="1"/>
  <c r="V135" i="1"/>
  <c r="V157" i="1"/>
  <c r="V140" i="1"/>
  <c r="V174" i="1"/>
  <c r="V183" i="1"/>
  <c r="V190" i="1"/>
  <c r="V446" i="1"/>
  <c r="V134" i="1"/>
  <c r="V182" i="1"/>
  <c r="V189" i="1"/>
  <c r="V44" i="1"/>
  <c r="V105" i="1"/>
  <c r="V131" i="1"/>
  <c r="V152" i="1"/>
  <c r="V156" i="1"/>
  <c r="V158" i="1"/>
  <c r="V163" i="1"/>
  <c r="V177" i="1"/>
  <c r="V186" i="1"/>
  <c r="V193" i="1"/>
  <c r="V204" i="1"/>
  <c r="V43" i="1"/>
  <c r="V74" i="1"/>
  <c r="V88" i="1"/>
  <c r="V111" i="1"/>
  <c r="V138" i="1"/>
  <c r="V165" i="1"/>
  <c r="V172" i="1"/>
  <c r="V507" i="1"/>
  <c r="V199" i="1"/>
  <c r="V98" i="1"/>
  <c r="V319" i="1"/>
  <c r="V151" i="1"/>
  <c r="V139" i="1"/>
  <c r="V166" i="1"/>
  <c r="V173" i="1"/>
  <c r="V198" i="1"/>
  <c r="V75" i="1"/>
  <c r="V196" i="1"/>
  <c r="V510" i="1"/>
  <c r="V522" i="1"/>
  <c r="V571" i="1"/>
  <c r="V53" i="1"/>
  <c r="V176" i="1"/>
  <c r="V192" i="1"/>
  <c r="V203" i="1"/>
  <c r="Q176" i="1"/>
  <c r="Q81" i="1"/>
  <c r="Q383" i="1"/>
  <c r="Q203" i="1"/>
  <c r="Q169" i="1"/>
  <c r="Q62" i="1"/>
  <c r="Q116" i="1"/>
  <c r="Q101" i="1"/>
  <c r="Q78" i="1"/>
  <c r="Q104" i="1"/>
  <c r="Q98" i="1"/>
  <c r="Q161" i="1"/>
  <c r="Q67" i="1"/>
  <c r="Q49" i="1"/>
  <c r="Q114" i="1"/>
  <c r="Q72" i="1"/>
  <c r="Q164" i="1"/>
  <c r="Q444" i="1"/>
  <c r="Q88" i="1"/>
  <c r="Q74" i="1"/>
  <c r="AB120" i="1"/>
  <c r="Q120" i="1"/>
  <c r="Q65" i="1"/>
  <c r="Q194" i="1"/>
  <c r="Q171" i="1"/>
  <c r="Q95" i="1"/>
  <c r="Q44" i="1"/>
  <c r="Q36" i="1"/>
  <c r="Q206" i="1"/>
  <c r="Q192" i="1"/>
  <c r="Q186" i="1"/>
  <c r="Q446" i="1"/>
  <c r="Q202" i="1"/>
  <c r="Q75" i="1"/>
  <c r="Q59" i="1"/>
  <c r="Q50" i="1"/>
  <c r="Q205" i="1"/>
  <c r="Q166" i="1"/>
  <c r="Q155" i="1"/>
  <c r="Q196" i="1"/>
  <c r="Q91" i="1"/>
  <c r="Q42" i="1"/>
  <c r="Q69" i="1"/>
  <c r="Q139" i="1"/>
  <c r="Q147" i="1"/>
  <c r="Q53" i="1"/>
  <c r="Q507" i="1"/>
  <c r="Q99" i="1"/>
  <c r="Q64" i="1"/>
  <c r="Q113" i="1"/>
  <c r="Q71" i="1"/>
  <c r="Q100" i="1"/>
  <c r="Q63" i="1"/>
  <c r="Q57" i="1"/>
  <c r="Q111" i="1"/>
  <c r="Q458" i="1"/>
  <c r="Q93" i="1"/>
  <c r="Q103" i="1"/>
  <c r="Q115" i="1"/>
  <c r="Q82" i="1"/>
  <c r="Q200" i="1"/>
  <c r="Q90" i="1"/>
  <c r="Q77" i="1"/>
  <c r="Q85" i="1"/>
  <c r="Q37" i="1"/>
  <c r="Q41" i="1"/>
  <c r="Q92" i="1"/>
  <c r="Q158" i="1"/>
  <c r="Q150" i="1"/>
  <c r="Q445" i="1"/>
  <c r="Q129" i="1"/>
  <c r="Q66" i="1"/>
  <c r="Q83" i="1"/>
  <c r="Q146" i="1"/>
  <c r="Q70" i="1"/>
  <c r="Q56" i="1"/>
  <c r="Q94" i="1"/>
  <c r="Q45" i="1"/>
  <c r="Q382" i="1"/>
  <c r="Q187" i="1"/>
  <c r="Q163" i="1"/>
  <c r="Q58" i="1"/>
  <c r="Q109" i="1"/>
  <c r="Q143" i="1"/>
  <c r="Q209" i="1"/>
  <c r="Q73" i="1"/>
  <c r="Q55" i="1"/>
  <c r="Q40" i="1"/>
  <c r="Q180" i="1"/>
  <c r="Q330" i="1"/>
  <c r="Q89" i="1"/>
  <c r="Q443" i="1"/>
  <c r="Q76" i="1"/>
  <c r="Q68" i="1"/>
  <c r="Q54" i="1"/>
  <c r="Q48" i="1"/>
  <c r="Q152" i="1"/>
  <c r="Q583" i="1"/>
  <c r="Q198" i="1"/>
  <c r="Q162" i="1"/>
  <c r="Q177" i="1"/>
  <c r="Q87" i="1"/>
  <c r="Q102" i="1"/>
  <c r="Q43" i="1"/>
  <c r="Q193" i="1"/>
  <c r="Q84" i="1"/>
  <c r="Q39" i="1"/>
  <c r="Q47" i="1"/>
  <c r="Q86" i="1"/>
  <c r="Q117" i="1"/>
  <c r="Q570" i="1"/>
  <c r="Q38" i="1"/>
  <c r="Q112" i="1"/>
  <c r="Q108" i="1"/>
  <c r="Q105" i="1"/>
  <c r="Q506" i="1"/>
  <c r="Q573" i="1"/>
  <c r="Q124" i="1"/>
  <c r="Q132" i="1"/>
  <c r="Q135" i="1"/>
  <c r="Q142" i="1"/>
  <c r="Q145" i="1"/>
  <c r="Q148" i="1"/>
  <c r="Q151" i="1"/>
  <c r="Q154" i="1"/>
  <c r="Q157" i="1"/>
  <c r="Q137" i="1"/>
  <c r="Q159" i="1"/>
  <c r="Q173" i="1"/>
  <c r="Q191" i="1"/>
  <c r="Q46" i="1"/>
  <c r="Q393" i="1"/>
  <c r="Q520" i="1"/>
  <c r="Q318" i="1"/>
  <c r="Q131" i="1"/>
  <c r="Q153" i="1"/>
  <c r="Q172" i="1"/>
  <c r="Q190" i="1"/>
  <c r="Q522" i="1"/>
  <c r="Q571" i="1"/>
  <c r="Q144" i="1"/>
  <c r="Q167" i="1"/>
  <c r="Q199" i="1"/>
  <c r="Q106" i="1"/>
  <c r="Q381" i="1"/>
  <c r="Q510" i="1"/>
  <c r="Q585" i="1"/>
  <c r="Q317" i="1"/>
  <c r="Q136" i="1"/>
  <c r="Q141" i="1"/>
  <c r="Q168" i="1"/>
  <c r="Q175" i="1"/>
  <c r="Q184" i="1"/>
  <c r="Q319" i="1"/>
  <c r="Q332" i="1"/>
  <c r="Q138" i="1"/>
  <c r="Q165" i="1"/>
  <c r="Q456" i="1"/>
  <c r="Q508" i="1"/>
  <c r="Q133" i="1"/>
  <c r="Q181" i="1"/>
  <c r="Q188" i="1"/>
  <c r="Q197" i="1"/>
  <c r="Q380" i="1"/>
  <c r="Q572" i="1"/>
  <c r="Q156" i="1"/>
  <c r="Q170" i="1"/>
  <c r="Q204" i="1"/>
  <c r="Q134" i="1"/>
  <c r="Q178" i="1"/>
  <c r="Q182" i="1"/>
  <c r="Q189" i="1"/>
  <c r="Q107" i="1"/>
  <c r="Q395" i="1"/>
  <c r="Q320" i="1"/>
  <c r="Q130" i="1"/>
  <c r="Q149" i="1"/>
  <c r="Q140" i="1"/>
  <c r="Q174" i="1"/>
  <c r="Q183" i="1"/>
  <c r="Q185" i="1"/>
  <c r="M510" i="1"/>
  <c r="M444" i="1"/>
  <c r="M573" i="1"/>
  <c r="M572" i="1"/>
  <c r="M509" i="1"/>
  <c r="M381" i="1"/>
  <c r="M507" i="1"/>
  <c r="M383" i="1"/>
  <c r="M382" i="1"/>
  <c r="M318" i="1"/>
  <c r="M571" i="1"/>
  <c r="BJ2" i="1" l="1"/>
  <c r="AT2" i="1"/>
  <c r="AH2" i="1"/>
  <c r="BF2" i="1"/>
  <c r="AX2" i="1"/>
  <c r="BN2" i="1"/>
  <c r="AP2" i="1"/>
  <c r="BR2" i="1"/>
  <c r="BV2" i="1"/>
  <c r="BB2" i="1"/>
  <c r="AL2" i="1"/>
  <c r="M335" i="1"/>
  <c r="M419" i="1"/>
  <c r="M525" i="1"/>
  <c r="M398" i="1"/>
  <c r="M546" i="1"/>
  <c r="M461" i="1"/>
  <c r="W185" i="1"/>
  <c r="W183" i="1"/>
  <c r="X183" i="1" s="1"/>
  <c r="W174" i="1"/>
  <c r="X174" i="1" s="1"/>
  <c r="W140" i="1"/>
  <c r="X140" i="1" s="1"/>
  <c r="W149" i="1"/>
  <c r="X149" i="1" s="1"/>
  <c r="W130" i="1"/>
  <c r="X130" i="1" s="1"/>
  <c r="W320" i="1"/>
  <c r="F388" i="1"/>
  <c r="F387" i="1"/>
  <c r="F386" i="1"/>
  <c r="F389" i="1"/>
  <c r="W395" i="1"/>
  <c r="X395" i="1" s="1"/>
  <c r="W107" i="1"/>
  <c r="X107" i="1" s="1"/>
  <c r="W189" i="1"/>
  <c r="X189" i="1" s="1"/>
  <c r="W182" i="1"/>
  <c r="X182" i="1" s="1"/>
  <c r="W178" i="1"/>
  <c r="X178" i="1" s="1"/>
  <c r="W134" i="1"/>
  <c r="X134" i="1" s="1"/>
  <c r="W204" i="1"/>
  <c r="X204" i="1" s="1"/>
  <c r="W170" i="1"/>
  <c r="X170" i="1" s="1"/>
  <c r="W156" i="1"/>
  <c r="X156" i="1" s="1"/>
  <c r="W572" i="1"/>
  <c r="X390" i="1"/>
  <c r="X380" i="1"/>
  <c r="W380" i="1" s="1"/>
  <c r="W197" i="1"/>
  <c r="X197" i="1" s="1"/>
  <c r="W188" i="1"/>
  <c r="X188" i="1" s="1"/>
  <c r="W181" i="1"/>
  <c r="W133" i="1"/>
  <c r="X133" i="1" s="1"/>
  <c r="W508" i="1"/>
  <c r="Q509" i="1"/>
  <c r="F448" i="1"/>
  <c r="W456" i="1"/>
  <c r="X456" i="1" s="1"/>
  <c r="W165" i="1"/>
  <c r="X165" i="1" s="1"/>
  <c r="W138" i="1"/>
  <c r="X138" i="1" s="1"/>
  <c r="F324" i="1"/>
  <c r="F323" i="1"/>
  <c r="F325" i="1"/>
  <c r="W332" i="1"/>
  <c r="X332" i="1" s="1"/>
  <c r="F326" i="1"/>
  <c r="W319" i="1"/>
  <c r="W184" i="1"/>
  <c r="X184" i="1" s="1"/>
  <c r="W175" i="1"/>
  <c r="X175" i="1" s="1"/>
  <c r="W168" i="1"/>
  <c r="X168" i="1" s="1"/>
  <c r="W141" i="1"/>
  <c r="X141" i="1" s="1"/>
  <c r="W136" i="1"/>
  <c r="X136" i="1" s="1"/>
  <c r="X317" i="1"/>
  <c r="W317" i="1" s="1"/>
  <c r="X327" i="1"/>
  <c r="F578" i="1"/>
  <c r="F576" i="1"/>
  <c r="F579" i="1"/>
  <c r="W585" i="1"/>
  <c r="X585" i="1" s="1"/>
  <c r="F577" i="1"/>
  <c r="W510" i="1"/>
  <c r="W381" i="1"/>
  <c r="W106" i="1"/>
  <c r="W199" i="1"/>
  <c r="X199" i="1" s="1"/>
  <c r="W167" i="1"/>
  <c r="X167" i="1" s="1"/>
  <c r="W144" i="1"/>
  <c r="X144" i="1" s="1"/>
  <c r="W571" i="1"/>
  <c r="F515" i="1"/>
  <c r="F514" i="1"/>
  <c r="F513" i="1"/>
  <c r="F516" i="1"/>
  <c r="W522" i="1"/>
  <c r="X522" i="1" s="1"/>
  <c r="W190" i="1"/>
  <c r="W172" i="1"/>
  <c r="X172" i="1" s="1"/>
  <c r="W153" i="1"/>
  <c r="X153" i="1" s="1"/>
  <c r="W131" i="1"/>
  <c r="X131" i="1" s="1"/>
  <c r="W318" i="1"/>
  <c r="F512" i="1"/>
  <c r="W520" i="1"/>
  <c r="X520" i="1" s="1"/>
  <c r="F385" i="1"/>
  <c r="W393" i="1"/>
  <c r="X393" i="1" s="1"/>
  <c r="W46" i="1"/>
  <c r="X46" i="1" s="1"/>
  <c r="W191" i="1"/>
  <c r="W173" i="1"/>
  <c r="X173" i="1" s="1"/>
  <c r="W159" i="1"/>
  <c r="X159" i="1" s="1"/>
  <c r="W137" i="1"/>
  <c r="X137" i="1" s="1"/>
  <c r="W157" i="1"/>
  <c r="X157" i="1" s="1"/>
  <c r="W154" i="1"/>
  <c r="X154" i="1" s="1"/>
  <c r="W151" i="1"/>
  <c r="X151" i="1" s="1"/>
  <c r="W148" i="1"/>
  <c r="X148" i="1" s="1"/>
  <c r="W145" i="1"/>
  <c r="W142" i="1"/>
  <c r="X142" i="1" s="1"/>
  <c r="W135" i="1"/>
  <c r="X135" i="1" s="1"/>
  <c r="W132" i="1"/>
  <c r="X132" i="1" s="1"/>
  <c r="R246" i="1"/>
  <c r="V246" i="1"/>
  <c r="BH40" i="7"/>
  <c r="AN49" i="7"/>
  <c r="Q125" i="1"/>
  <c r="BH49" i="7"/>
  <c r="AN40" i="7"/>
  <c r="W124" i="1"/>
  <c r="X124" i="1" s="1"/>
  <c r="W573" i="1"/>
  <c r="X517" i="1"/>
  <c r="X506" i="1"/>
  <c r="W506" i="1" s="1"/>
  <c r="W105" i="1"/>
  <c r="X105" i="1" s="1"/>
  <c r="W108" i="1"/>
  <c r="X108" i="1" s="1"/>
  <c r="W112" i="1"/>
  <c r="X112" i="1" s="1"/>
  <c r="W38" i="1"/>
  <c r="X38" i="1" s="1"/>
  <c r="X580" i="1"/>
  <c r="X570" i="1"/>
  <c r="W570" i="1" s="1"/>
  <c r="W117" i="1"/>
  <c r="X117" i="1" s="1"/>
  <c r="W86" i="1"/>
  <c r="X86" i="1" s="1"/>
  <c r="W47" i="1"/>
  <c r="X47" i="1" s="1"/>
  <c r="W39" i="1"/>
  <c r="X39" i="1" s="1"/>
  <c r="W84" i="1"/>
  <c r="X84" i="1" s="1"/>
  <c r="W193" i="1"/>
  <c r="X193" i="1" s="1"/>
  <c r="W43" i="1"/>
  <c r="X43" i="1" s="1"/>
  <c r="W102" i="1"/>
  <c r="X102" i="1" s="1"/>
  <c r="W87" i="1"/>
  <c r="X87" i="1" s="1"/>
  <c r="W177" i="1"/>
  <c r="X177" i="1" s="1"/>
  <c r="W162" i="1"/>
  <c r="X162" i="1" s="1"/>
  <c r="W198" i="1"/>
  <c r="X198" i="1" s="1"/>
  <c r="F575" i="1"/>
  <c r="W583" i="1"/>
  <c r="X583" i="1" s="1"/>
  <c r="W152" i="1"/>
  <c r="X152" i="1" s="1"/>
  <c r="W48" i="1"/>
  <c r="X48" i="1" s="1"/>
  <c r="W54" i="1"/>
  <c r="X54" i="1" s="1"/>
  <c r="W68" i="1"/>
  <c r="X68" i="1" s="1"/>
  <c r="W76" i="1"/>
  <c r="X76" i="1" s="1"/>
  <c r="X453" i="1"/>
  <c r="X443" i="1"/>
  <c r="W443" i="1" s="1"/>
  <c r="W89" i="1"/>
  <c r="X89" i="1" s="1"/>
  <c r="F322" i="1"/>
  <c r="W330" i="1"/>
  <c r="X330" i="1" s="1"/>
  <c r="W180" i="1"/>
  <c r="X180" i="1" s="1"/>
  <c r="W40" i="1"/>
  <c r="X40" i="1" s="1"/>
  <c r="W55" i="1"/>
  <c r="X55" i="1" s="1"/>
  <c r="W73" i="1"/>
  <c r="X73" i="1" s="1"/>
  <c r="Q210" i="1"/>
  <c r="W209" i="1"/>
  <c r="X209" i="1" s="1"/>
  <c r="W143" i="1"/>
  <c r="X143" i="1" s="1"/>
  <c r="W109" i="1"/>
  <c r="X109" i="1" s="1"/>
  <c r="W58" i="1"/>
  <c r="X58" i="1" s="1"/>
  <c r="W163" i="1"/>
  <c r="X163" i="1" s="1"/>
  <c r="W187" i="1"/>
  <c r="X187" i="1" s="1"/>
  <c r="W382" i="1"/>
  <c r="W45" i="1"/>
  <c r="X45" i="1" s="1"/>
  <c r="W94" i="1"/>
  <c r="X94" i="1" s="1"/>
  <c r="W56" i="1"/>
  <c r="X56" i="1" s="1"/>
  <c r="W70" i="1"/>
  <c r="X70" i="1" s="1"/>
  <c r="W146" i="1"/>
  <c r="X146" i="1" s="1"/>
  <c r="W83" i="1"/>
  <c r="X83" i="1" s="1"/>
  <c r="W66" i="1"/>
  <c r="X66" i="1" s="1"/>
  <c r="W129" i="1"/>
  <c r="X129" i="1" s="1"/>
  <c r="W445" i="1"/>
  <c r="W150" i="1"/>
  <c r="X150" i="1" s="1"/>
  <c r="W158" i="1"/>
  <c r="X158" i="1" s="1"/>
  <c r="W92" i="1"/>
  <c r="X92" i="1" s="1"/>
  <c r="W41" i="1"/>
  <c r="X41" i="1" s="1"/>
  <c r="W37" i="1"/>
  <c r="X37" i="1" s="1"/>
  <c r="W85" i="1"/>
  <c r="X85" i="1" s="1"/>
  <c r="W77" i="1"/>
  <c r="X77" i="1" s="1"/>
  <c r="W90" i="1"/>
  <c r="X90" i="1" s="1"/>
  <c r="W200" i="1"/>
  <c r="W82" i="1"/>
  <c r="X82" i="1" s="1"/>
  <c r="W115" i="1"/>
  <c r="X115" i="1" s="1"/>
  <c r="W103" i="1"/>
  <c r="X103" i="1" s="1"/>
  <c r="W93" i="1"/>
  <c r="X93" i="1" s="1"/>
  <c r="F451" i="1"/>
  <c r="F449" i="1"/>
  <c r="F450" i="1"/>
  <c r="W458" i="1"/>
  <c r="X458" i="1" s="1"/>
  <c r="F452" i="1"/>
  <c r="W111" i="1"/>
  <c r="X111" i="1" s="1"/>
  <c r="W57" i="1"/>
  <c r="X57" i="1" s="1"/>
  <c r="W63" i="1"/>
  <c r="X63" i="1" s="1"/>
  <c r="W100" i="1"/>
  <c r="X100" i="1" s="1"/>
  <c r="W71" i="1"/>
  <c r="X71" i="1" s="1"/>
  <c r="W113" i="1"/>
  <c r="X113" i="1" s="1"/>
  <c r="W64" i="1"/>
  <c r="X64" i="1" s="1"/>
  <c r="W99" i="1"/>
  <c r="X99" i="1" s="1"/>
  <c r="W507" i="1"/>
  <c r="W53" i="1"/>
  <c r="X53" i="1" s="1"/>
  <c r="W147" i="1"/>
  <c r="X147" i="1" s="1"/>
  <c r="W139" i="1"/>
  <c r="X139" i="1" s="1"/>
  <c r="W69" i="1"/>
  <c r="X69" i="1" s="1"/>
  <c r="W42" i="1"/>
  <c r="X42" i="1" s="1"/>
  <c r="W91" i="1"/>
  <c r="X91" i="1" s="1"/>
  <c r="W196" i="1"/>
  <c r="X196" i="1" s="1"/>
  <c r="W155" i="1"/>
  <c r="X155" i="1" s="1"/>
  <c r="W166" i="1"/>
  <c r="X166" i="1" s="1"/>
  <c r="W205" i="1"/>
  <c r="X205" i="1" s="1"/>
  <c r="W50" i="1"/>
  <c r="X50" i="1" s="1"/>
  <c r="W59" i="1"/>
  <c r="X59" i="1" s="1"/>
  <c r="W75" i="1"/>
  <c r="X75" i="1" s="1"/>
  <c r="W202" i="1"/>
  <c r="X202" i="1" s="1"/>
  <c r="W446" i="1"/>
  <c r="W186" i="1"/>
  <c r="X186" i="1" s="1"/>
  <c r="W192" i="1"/>
  <c r="X192" i="1" s="1"/>
  <c r="W206" i="1"/>
  <c r="X206" i="1" s="1"/>
  <c r="W36" i="1"/>
  <c r="W454" i="1" s="1"/>
  <c r="B251" i="1"/>
  <c r="W44" i="1"/>
  <c r="X44" i="1" s="1"/>
  <c r="W95" i="1"/>
  <c r="X95" i="1" s="1"/>
  <c r="W171" i="1"/>
  <c r="X171" i="1" s="1"/>
  <c r="W194" i="1"/>
  <c r="X194" i="1" s="1"/>
  <c r="W65" i="1"/>
  <c r="X65" i="1" s="1"/>
  <c r="W120" i="1"/>
  <c r="X120" i="1" s="1"/>
  <c r="W74" i="1"/>
  <c r="X74" i="1" s="1"/>
  <c r="W88" i="1"/>
  <c r="X88" i="1" s="1"/>
  <c r="W444" i="1"/>
  <c r="W164" i="1"/>
  <c r="X164" i="1" s="1"/>
  <c r="W72" i="1"/>
  <c r="X72" i="1" s="1"/>
  <c r="W114" i="1"/>
  <c r="X114" i="1" s="1"/>
  <c r="W49" i="1"/>
  <c r="X49" i="1" s="1"/>
  <c r="W67" i="1"/>
  <c r="X67" i="1" s="1"/>
  <c r="W161" i="1"/>
  <c r="X161" i="1" s="1"/>
  <c r="W98" i="1"/>
  <c r="X98" i="1" s="1"/>
  <c r="W104" i="1"/>
  <c r="X104" i="1" s="1"/>
  <c r="W78" i="1"/>
  <c r="X78" i="1" s="1"/>
  <c r="W101" i="1"/>
  <c r="X101" i="1" s="1"/>
  <c r="W116" i="1"/>
  <c r="X116" i="1" s="1"/>
  <c r="W62" i="1"/>
  <c r="X62" i="1" s="1"/>
  <c r="W169" i="1"/>
  <c r="X169" i="1" s="1"/>
  <c r="W203" i="1"/>
  <c r="X203" i="1" s="1"/>
  <c r="W383" i="1"/>
  <c r="W81" i="1"/>
  <c r="X81" i="1" s="1"/>
  <c r="W176" i="1"/>
  <c r="X176" i="1" s="1"/>
  <c r="X190" i="1"/>
  <c r="X106" i="1"/>
  <c r="X185" i="1"/>
  <c r="X145" i="1"/>
  <c r="D251" i="1"/>
  <c r="V210" i="1"/>
  <c r="X200" i="1"/>
  <c r="V215" i="1"/>
  <c r="AZ49" i="7"/>
  <c r="AZ40" i="7"/>
  <c r="V125" i="1"/>
  <c r="X181" i="1"/>
  <c r="X191" i="1"/>
  <c r="V509" i="1"/>
  <c r="M356" i="1"/>
  <c r="M482" i="1"/>
  <c r="R1" i="1"/>
  <c r="C250" i="1"/>
  <c r="C287" i="1"/>
  <c r="C349" i="1"/>
  <c r="C412" i="1"/>
  <c r="C273" i="1"/>
  <c r="C335" i="1"/>
  <c r="C539" i="1"/>
  <c r="C461" i="1"/>
  <c r="C525" i="1"/>
  <c r="C475" i="1"/>
  <c r="C398" i="1"/>
  <c r="R32" i="1"/>
  <c r="S32" i="1" s="1"/>
  <c r="H10" i="7" s="1"/>
  <c r="C259" i="1"/>
  <c r="V214" i="1"/>
  <c r="AZ47" i="7"/>
  <c r="V247" i="1"/>
  <c r="AN47" i="7"/>
  <c r="R247" i="1"/>
  <c r="W32" i="1"/>
  <c r="N10" i="7" s="1"/>
  <c r="BH47" i="7"/>
  <c r="AB1" i="1"/>
  <c r="BE2" i="1"/>
  <c r="AO2" i="1"/>
  <c r="AC2" i="1"/>
  <c r="BA2" i="1"/>
  <c r="AS2" i="1"/>
  <c r="AK2" i="1"/>
  <c r="BU2" i="1"/>
  <c r="BI2" i="1"/>
  <c r="BM2" i="1"/>
  <c r="AW2" i="1"/>
  <c r="AG2" i="1"/>
  <c r="BQ2" i="1"/>
  <c r="AD1" i="1"/>
  <c r="AD43" i="1"/>
  <c r="AD101" i="1"/>
  <c r="AD90" i="1"/>
  <c r="AD104" i="1"/>
  <c r="AD64" i="1"/>
  <c r="AD89" i="1"/>
  <c r="AD36" i="1"/>
  <c r="AD320" i="1"/>
  <c r="AD72" i="1"/>
  <c r="AD58" i="1"/>
  <c r="AD77" i="1"/>
  <c r="AD65" i="1"/>
  <c r="AD380" i="1"/>
  <c r="AD103" i="1"/>
  <c r="AD102" i="1"/>
  <c r="AD116" i="1"/>
  <c r="AD100" i="1"/>
  <c r="AD68" i="1"/>
  <c r="AD73" i="1"/>
  <c r="AD319" i="1"/>
  <c r="AD317" i="1"/>
  <c r="AD114" i="1"/>
  <c r="AD88" i="1"/>
  <c r="AD507" i="1"/>
  <c r="AD109" i="1"/>
  <c r="AD508" i="1"/>
  <c r="AD330" i="1"/>
  <c r="AD57" i="1"/>
  <c r="AD583" i="1"/>
  <c r="AD120" i="1"/>
  <c r="AD63" i="1"/>
  <c r="AD42" i="1"/>
  <c r="AD113" i="1"/>
  <c r="AD83" i="1"/>
  <c r="AD48" i="1"/>
  <c r="AD446" i="1"/>
  <c r="AD56" i="1"/>
  <c r="AD115" i="1"/>
  <c r="AD95" i="1"/>
  <c r="AD522" i="1"/>
  <c r="AD572" i="1"/>
  <c r="AD393" i="1"/>
  <c r="AD40" i="1"/>
  <c r="AD381" i="1"/>
  <c r="AD37" i="1"/>
  <c r="AD571" i="1"/>
  <c r="AD585" i="1"/>
  <c r="AD318" i="1"/>
  <c r="AD84" i="1"/>
  <c r="AD506" i="1"/>
  <c r="AD85" i="1"/>
  <c r="AD81" i="1"/>
  <c r="AD383" i="1"/>
  <c r="AD395" i="1"/>
  <c r="AD54" i="1"/>
  <c r="AD69" i="1"/>
  <c r="AD443" i="1"/>
  <c r="AD573" i="1"/>
  <c r="AD70" i="1"/>
  <c r="AD67" i="1"/>
  <c r="AD111" i="1"/>
  <c r="AD94" i="1"/>
  <c r="AD82" i="1"/>
  <c r="AD458" i="1"/>
  <c r="AD49" i="1"/>
  <c r="AD117" i="1"/>
  <c r="AD93" i="1"/>
  <c r="AD510" i="1"/>
  <c r="AD98" i="1"/>
  <c r="AD444" i="1"/>
  <c r="AD520" i="1"/>
  <c r="AD66" i="1"/>
  <c r="AD71" i="1"/>
  <c r="AD445" i="1"/>
  <c r="AD50" i="1"/>
  <c r="AD456" i="1"/>
  <c r="AD86" i="1"/>
  <c r="AD41" i="1"/>
  <c r="AD47" i="1"/>
  <c r="AD59" i="1"/>
  <c r="AD570" i="1"/>
  <c r="AD55" i="1"/>
  <c r="AD53" i="1"/>
  <c r="AD112" i="1"/>
  <c r="AD62" i="1"/>
  <c r="AD92" i="1"/>
  <c r="AD38" i="1"/>
  <c r="AD76" i="1"/>
  <c r="AD106" i="1"/>
  <c r="AD108" i="1"/>
  <c r="AD39" i="1"/>
  <c r="AD46" i="1"/>
  <c r="AD105" i="1"/>
  <c r="AD107" i="1"/>
  <c r="AD45" i="1"/>
  <c r="AD44" i="1"/>
  <c r="AD87" i="1"/>
  <c r="AD91" i="1"/>
  <c r="AD332" i="1"/>
  <c r="AD382" i="1"/>
  <c r="AD124" i="1"/>
  <c r="AD78" i="1"/>
  <c r="AD74" i="1"/>
  <c r="AD75" i="1"/>
  <c r="AD99" i="1"/>
  <c r="AB444" i="1"/>
  <c r="AB107" i="1"/>
  <c r="AB108" i="1"/>
  <c r="AB46" i="1"/>
  <c r="AB88" i="1"/>
  <c r="AB74" i="1"/>
  <c r="AB506" i="1"/>
  <c r="AB381" i="1"/>
  <c r="AB393" i="1"/>
  <c r="AB446" i="1"/>
  <c r="AB73" i="1"/>
  <c r="AB55" i="1"/>
  <c r="AB69" i="1"/>
  <c r="AB115" i="1"/>
  <c r="AB106" i="1"/>
  <c r="AB585" i="1"/>
  <c r="AB111" i="1"/>
  <c r="AB583" i="1"/>
  <c r="AB83" i="1"/>
  <c r="AB41" i="1"/>
  <c r="AB44" i="1"/>
  <c r="AB93" i="1"/>
  <c r="AB63" i="1"/>
  <c r="AB68" i="1"/>
  <c r="AB49" i="1"/>
  <c r="AB318" i="1"/>
  <c r="AB317" i="1"/>
  <c r="AB64" i="1"/>
  <c r="AB124" i="1"/>
  <c r="AB522" i="1"/>
  <c r="AB116" i="1"/>
  <c r="AB510" i="1"/>
  <c r="AB47" i="1"/>
  <c r="AB445" i="1"/>
  <c r="AB101" i="1"/>
  <c r="AB99" i="1"/>
  <c r="AB87" i="1"/>
  <c r="AB36" i="1"/>
  <c r="AB82" i="1"/>
  <c r="AB570" i="1"/>
  <c r="AB78" i="1"/>
  <c r="AB319" i="1"/>
  <c r="AB94" i="1"/>
  <c r="AB117" i="1"/>
  <c r="AB382" i="1"/>
  <c r="AB95" i="1"/>
  <c r="AB54" i="1"/>
  <c r="AB48" i="1"/>
  <c r="AB90" i="1"/>
  <c r="AB104" i="1"/>
  <c r="AB380" i="1"/>
  <c r="AB85" i="1"/>
  <c r="AB572" i="1"/>
  <c r="AB53" i="1"/>
  <c r="AB332" i="1"/>
  <c r="AB66" i="1"/>
  <c r="AB42" i="1"/>
  <c r="AB86" i="1"/>
  <c r="AB330" i="1"/>
  <c r="AB65" i="1"/>
  <c r="AB112" i="1"/>
  <c r="AB37" i="1"/>
  <c r="AB75" i="1"/>
  <c r="AB57" i="1"/>
  <c r="AB320" i="1"/>
  <c r="AB40" i="1"/>
  <c r="AB50" i="1"/>
  <c r="AB81" i="1"/>
  <c r="AB383" i="1"/>
  <c r="AB573" i="1"/>
  <c r="AB38" i="1"/>
  <c r="AB89" i="1"/>
  <c r="AB84" i="1"/>
  <c r="AB113" i="1"/>
  <c r="AB70" i="1"/>
  <c r="AB92" i="1"/>
  <c r="AB458" i="1"/>
  <c r="AB91" i="1"/>
  <c r="AB59" i="1"/>
  <c r="AB56" i="1"/>
  <c r="AB58" i="1"/>
  <c r="AB98" i="1"/>
  <c r="AB76" i="1"/>
  <c r="AB395" i="1"/>
  <c r="AB520" i="1"/>
  <c r="AB67" i="1"/>
  <c r="AB102" i="1"/>
  <c r="AB100" i="1"/>
  <c r="AB72" i="1"/>
  <c r="AB443" i="1"/>
  <c r="AB114" i="1"/>
  <c r="AB62" i="1"/>
  <c r="AB507" i="1"/>
  <c r="AB571" i="1"/>
  <c r="AB103" i="1"/>
  <c r="AB71" i="1"/>
  <c r="AB456" i="1"/>
  <c r="AB109" i="1"/>
  <c r="AB45" i="1"/>
  <c r="AB39" i="1"/>
  <c r="AB43" i="1"/>
  <c r="AB508" i="1"/>
  <c r="AB77" i="1"/>
  <c r="AB105" i="1"/>
  <c r="R105" i="1"/>
  <c r="R164" i="1"/>
  <c r="R141" i="1"/>
  <c r="R320" i="1"/>
  <c r="R393" i="1"/>
  <c r="R62" i="1"/>
  <c r="R583" i="1"/>
  <c r="R87" i="1"/>
  <c r="R198" i="1"/>
  <c r="R159" i="1"/>
  <c r="R456" i="1"/>
  <c r="R95" i="1"/>
  <c r="R77" i="1"/>
  <c r="R144" i="1"/>
  <c r="R318" i="1"/>
  <c r="R75" i="1"/>
  <c r="R68" i="1"/>
  <c r="R83" i="1"/>
  <c r="R108" i="1"/>
  <c r="R177" i="1"/>
  <c r="R148" i="1"/>
  <c r="R381" i="1"/>
  <c r="R99" i="1"/>
  <c r="R45" i="1"/>
  <c r="R182" i="1"/>
  <c r="R139" i="1"/>
  <c r="R157" i="1"/>
  <c r="R134" i="1"/>
  <c r="R572" i="1"/>
  <c r="R175" i="1"/>
  <c r="R458" i="1"/>
  <c r="R111" i="1"/>
  <c r="R181" i="1"/>
  <c r="R153" i="1"/>
  <c r="R395" i="1"/>
  <c r="AC120" i="1"/>
  <c r="R48" i="1"/>
  <c r="R37" i="1"/>
  <c r="R189" i="1"/>
  <c r="R508" i="1"/>
  <c r="R116" i="1"/>
  <c r="R102" i="1"/>
  <c r="R173" i="1"/>
  <c r="R136" i="1"/>
  <c r="R82" i="1"/>
  <c r="R69" i="1"/>
  <c r="R59" i="1"/>
  <c r="R103" i="1"/>
  <c r="R44" i="1"/>
  <c r="R142" i="1"/>
  <c r="R383" i="1"/>
  <c r="R161" i="1"/>
  <c r="R78" i="1"/>
  <c r="R84" i="1"/>
  <c r="R317" i="1"/>
  <c r="R73" i="1"/>
  <c r="R113" i="1"/>
  <c r="R506" i="1"/>
  <c r="R200" i="1"/>
  <c r="R98" i="1"/>
  <c r="R104" i="1"/>
  <c r="R443" i="1"/>
  <c r="R58" i="1"/>
  <c r="R120" i="1"/>
  <c r="R36" i="1"/>
  <c r="R63" i="1"/>
  <c r="R55" i="1"/>
  <c r="R205" i="1"/>
  <c r="R573" i="1"/>
  <c r="R129" i="1"/>
  <c r="R115" i="1"/>
  <c r="R93" i="1"/>
  <c r="R100" i="1"/>
  <c r="R47" i="1"/>
  <c r="R117" i="1"/>
  <c r="R92" i="1"/>
  <c r="R585" i="1"/>
  <c r="R196" i="1"/>
  <c r="R72" i="1"/>
  <c r="R86" i="1"/>
  <c r="R171" i="1"/>
  <c r="R64" i="1"/>
  <c r="R180" i="1"/>
  <c r="R209" i="1"/>
  <c r="R54" i="1"/>
  <c r="R66" i="1"/>
  <c r="R56" i="1"/>
  <c r="R41" i="1"/>
  <c r="R71" i="1"/>
  <c r="R114" i="1"/>
  <c r="R91" i="1"/>
  <c r="R112" i="1"/>
  <c r="R445" i="1"/>
  <c r="R40" i="1"/>
  <c r="R38" i="1"/>
  <c r="R380" i="1"/>
  <c r="R76" i="1"/>
  <c r="R57" i="1"/>
  <c r="R520" i="1"/>
  <c r="R70" i="1"/>
  <c r="R94" i="1"/>
  <c r="R507" i="1"/>
  <c r="R109" i="1"/>
  <c r="R85" i="1"/>
  <c r="R151" i="1"/>
  <c r="R50" i="1"/>
  <c r="R49" i="1"/>
  <c r="R202" i="1"/>
  <c r="R178" i="1"/>
  <c r="R74" i="1"/>
  <c r="R570" i="1"/>
  <c r="R65" i="1"/>
  <c r="R101" i="1"/>
  <c r="R150" i="1"/>
  <c r="R42" i="1"/>
  <c r="R145" i="1"/>
  <c r="R67" i="1"/>
  <c r="R107" i="1"/>
  <c r="R143" i="1"/>
  <c r="R166" i="1"/>
  <c r="R169" i="1"/>
  <c r="R184" i="1"/>
  <c r="R187" i="1"/>
  <c r="R204" i="1"/>
  <c r="R133" i="1"/>
  <c r="R155" i="1"/>
  <c r="R168" i="1"/>
  <c r="R186" i="1"/>
  <c r="R206" i="1"/>
  <c r="R444" i="1"/>
  <c r="R53" i="1"/>
  <c r="R138" i="1"/>
  <c r="R165" i="1"/>
  <c r="R172" i="1"/>
  <c r="R197" i="1"/>
  <c r="R571" i="1"/>
  <c r="R510" i="1"/>
  <c r="R382" i="1"/>
  <c r="R330" i="1"/>
  <c r="R131" i="1"/>
  <c r="R154" i="1"/>
  <c r="R156" i="1"/>
  <c r="R158" i="1"/>
  <c r="R163" i="1"/>
  <c r="R170" i="1"/>
  <c r="R193" i="1"/>
  <c r="R43" i="1"/>
  <c r="R135" i="1"/>
  <c r="R140" i="1"/>
  <c r="R167" i="1"/>
  <c r="R174" i="1"/>
  <c r="R183" i="1"/>
  <c r="R190" i="1"/>
  <c r="R46" i="1"/>
  <c r="R89" i="1"/>
  <c r="R124" i="1"/>
  <c r="R137" i="1"/>
  <c r="R147" i="1"/>
  <c r="R199" i="1"/>
  <c r="R88" i="1"/>
  <c r="R522" i="1"/>
  <c r="R446" i="1"/>
  <c r="R319" i="1"/>
  <c r="R332" i="1"/>
  <c r="R132" i="1"/>
  <c r="R188" i="1"/>
  <c r="R191" i="1"/>
  <c r="R194" i="1"/>
  <c r="R130" i="1"/>
  <c r="R146" i="1"/>
  <c r="R149" i="1"/>
  <c r="R162" i="1"/>
  <c r="R176" i="1"/>
  <c r="R185" i="1"/>
  <c r="R192" i="1"/>
  <c r="R203" i="1"/>
  <c r="R39" i="1"/>
  <c r="R90" i="1"/>
  <c r="R81" i="1"/>
  <c r="R152" i="1"/>
  <c r="R106" i="1"/>
  <c r="AD125" i="1" l="1"/>
  <c r="D413" i="1"/>
  <c r="D274" i="1"/>
  <c r="D288" i="1" s="1"/>
  <c r="D476" i="1"/>
  <c r="D462" i="1"/>
  <c r="D336" i="1"/>
  <c r="D399" i="1"/>
  <c r="AD509" i="1"/>
  <c r="D540" i="1" s="1"/>
  <c r="D526" i="1"/>
  <c r="D350" i="1"/>
  <c r="D260" i="1"/>
  <c r="W513" i="1"/>
  <c r="X513" i="1" s="1"/>
  <c r="W514" i="1"/>
  <c r="V235" i="1" s="1"/>
  <c r="W328" i="1"/>
  <c r="W387" i="1"/>
  <c r="X387" i="1" s="1"/>
  <c r="X36" i="1"/>
  <c r="W391" i="1"/>
  <c r="W323" i="1"/>
  <c r="V219" i="1" s="1"/>
  <c r="W581" i="1"/>
  <c r="W518" i="1"/>
  <c r="W449" i="1"/>
  <c r="V229" i="1" s="1"/>
  <c r="W576" i="1"/>
  <c r="V239" i="1" s="1"/>
  <c r="W575" i="1"/>
  <c r="V238" i="1" s="1"/>
  <c r="S106" i="1"/>
  <c r="T106" i="1" s="1"/>
  <c r="S152" i="1"/>
  <c r="T152" i="1" s="1"/>
  <c r="S81" i="1"/>
  <c r="T81" i="1" s="1"/>
  <c r="S90" i="1"/>
  <c r="T90" i="1" s="1"/>
  <c r="S39" i="1"/>
  <c r="T39" i="1" s="1"/>
  <c r="S203" i="1"/>
  <c r="T203" i="1" s="1"/>
  <c r="S192" i="1"/>
  <c r="T192" i="1" s="1"/>
  <c r="S185" i="1"/>
  <c r="T185" i="1" s="1"/>
  <c r="S176" i="1"/>
  <c r="T176" i="1" s="1"/>
  <c r="S162" i="1"/>
  <c r="T162" i="1" s="1"/>
  <c r="S149" i="1"/>
  <c r="T149" i="1" s="1"/>
  <c r="S146" i="1"/>
  <c r="T146" i="1" s="1"/>
  <c r="S130" i="1"/>
  <c r="T130" i="1" s="1"/>
  <c r="S194" i="1"/>
  <c r="T194" i="1" s="1"/>
  <c r="S191" i="1"/>
  <c r="T191" i="1" s="1"/>
  <c r="S188" i="1"/>
  <c r="T188" i="1" s="1"/>
  <c r="S132" i="1"/>
  <c r="T132" i="1" s="1"/>
  <c r="S332" i="1"/>
  <c r="T332" i="1" s="1"/>
  <c r="D325" i="1"/>
  <c r="D326" i="1"/>
  <c r="D323" i="1"/>
  <c r="D324" i="1"/>
  <c r="S319" i="1"/>
  <c r="S446" i="1"/>
  <c r="S522" i="1"/>
  <c r="T522" i="1" s="1"/>
  <c r="D515" i="1"/>
  <c r="D514" i="1"/>
  <c r="D513" i="1"/>
  <c r="D516" i="1"/>
  <c r="S88" i="1"/>
  <c r="T88" i="1" s="1"/>
  <c r="S199" i="1"/>
  <c r="T199" i="1" s="1"/>
  <c r="S147" i="1"/>
  <c r="T147" i="1" s="1"/>
  <c r="S137" i="1"/>
  <c r="T137" i="1" s="1"/>
  <c r="R215" i="1"/>
  <c r="T217" i="1" s="1"/>
  <c r="R125" i="1"/>
  <c r="S125" i="1" s="1"/>
  <c r="AF40" i="7"/>
  <c r="AF49" i="7"/>
  <c r="S124" i="1"/>
  <c r="T124" i="1" s="1"/>
  <c r="S89" i="1"/>
  <c r="T89" i="1" s="1"/>
  <c r="S46" i="1"/>
  <c r="T46" i="1" s="1"/>
  <c r="S190" i="1"/>
  <c r="T190" i="1" s="1"/>
  <c r="S183" i="1"/>
  <c r="T183" i="1" s="1"/>
  <c r="S174" i="1"/>
  <c r="T174" i="1" s="1"/>
  <c r="S167" i="1"/>
  <c r="T167" i="1" s="1"/>
  <c r="S140" i="1"/>
  <c r="T140" i="1" s="1"/>
  <c r="S135" i="1"/>
  <c r="T135" i="1" s="1"/>
  <c r="S43" i="1"/>
  <c r="T43" i="1" s="1"/>
  <c r="S193" i="1"/>
  <c r="T193" i="1" s="1"/>
  <c r="S170" i="1"/>
  <c r="T170" i="1" s="1"/>
  <c r="S163" i="1"/>
  <c r="T163" i="1" s="1"/>
  <c r="S158" i="1"/>
  <c r="T158" i="1" s="1"/>
  <c r="S156" i="1"/>
  <c r="T156" i="1" s="1"/>
  <c r="S154" i="1"/>
  <c r="T154" i="1" s="1"/>
  <c r="S131" i="1"/>
  <c r="T131" i="1" s="1"/>
  <c r="S330" i="1"/>
  <c r="T330" i="1" s="1"/>
  <c r="D322" i="1"/>
  <c r="S382" i="1"/>
  <c r="S510" i="1"/>
  <c r="S571" i="1"/>
  <c r="S197" i="1"/>
  <c r="T197" i="1" s="1"/>
  <c r="S172" i="1"/>
  <c r="T172" i="1" s="1"/>
  <c r="S165" i="1"/>
  <c r="T165" i="1" s="1"/>
  <c r="S138" i="1"/>
  <c r="T138" i="1" s="1"/>
  <c r="S53" i="1"/>
  <c r="T53" i="1" s="1"/>
  <c r="S444" i="1"/>
  <c r="S206" i="1"/>
  <c r="T206" i="1" s="1"/>
  <c r="S186" i="1"/>
  <c r="T186" i="1" s="1"/>
  <c r="S168" i="1"/>
  <c r="T168" i="1" s="1"/>
  <c r="S155" i="1"/>
  <c r="T155" i="1" s="1"/>
  <c r="S133" i="1"/>
  <c r="T133" i="1" s="1"/>
  <c r="S204" i="1"/>
  <c r="T204" i="1" s="1"/>
  <c r="S187" i="1"/>
  <c r="T187" i="1" s="1"/>
  <c r="S184" i="1"/>
  <c r="T184" i="1" s="1"/>
  <c r="S169" i="1"/>
  <c r="T169" i="1" s="1"/>
  <c r="S166" i="1"/>
  <c r="T166" i="1" s="1"/>
  <c r="S143" i="1"/>
  <c r="T143" i="1" s="1"/>
  <c r="S107" i="1"/>
  <c r="T107" i="1" s="1"/>
  <c r="S67" i="1"/>
  <c r="T67" i="1" s="1"/>
  <c r="S145" i="1"/>
  <c r="T145" i="1" s="1"/>
  <c r="S42" i="1"/>
  <c r="T42" i="1" s="1"/>
  <c r="S150" i="1"/>
  <c r="T150" i="1" s="1"/>
  <c r="S101" i="1"/>
  <c r="T101" i="1" s="1"/>
  <c r="S65" i="1"/>
  <c r="T65" i="1" s="1"/>
  <c r="T570" i="1"/>
  <c r="S570" i="1" s="1"/>
  <c r="T580" i="1"/>
  <c r="S74" i="1"/>
  <c r="T74" i="1" s="1"/>
  <c r="S178" i="1"/>
  <c r="T178" i="1" s="1"/>
  <c r="S202" i="1"/>
  <c r="T202" i="1" s="1"/>
  <c r="S49" i="1"/>
  <c r="T49" i="1" s="1"/>
  <c r="S50" i="1"/>
  <c r="T50" i="1" s="1"/>
  <c r="S151" i="1"/>
  <c r="T151" i="1" s="1"/>
  <c r="S85" i="1"/>
  <c r="T85" i="1" s="1"/>
  <c r="S109" i="1"/>
  <c r="T109" i="1" s="1"/>
  <c r="S507" i="1"/>
  <c r="S94" i="1"/>
  <c r="T94" i="1" s="1"/>
  <c r="S70" i="1"/>
  <c r="T70" i="1" s="1"/>
  <c r="D512" i="1"/>
  <c r="S520" i="1"/>
  <c r="T520" i="1" s="1"/>
  <c r="S57" i="1"/>
  <c r="T57" i="1" s="1"/>
  <c r="S76" i="1"/>
  <c r="T76" i="1" s="1"/>
  <c r="T380" i="1"/>
  <c r="S380" i="1" s="1"/>
  <c r="T390" i="1"/>
  <c r="S38" i="1"/>
  <c r="T38" i="1" s="1"/>
  <c r="S40" i="1"/>
  <c r="T40" i="1" s="1"/>
  <c r="S445" i="1"/>
  <c r="S112" i="1"/>
  <c r="T112" i="1" s="1"/>
  <c r="S91" i="1"/>
  <c r="T91" i="1" s="1"/>
  <c r="S114" i="1"/>
  <c r="T114" i="1" s="1"/>
  <c r="S71" i="1"/>
  <c r="T71" i="1" s="1"/>
  <c r="S41" i="1"/>
  <c r="T41" i="1" s="1"/>
  <c r="S56" i="1"/>
  <c r="T56" i="1" s="1"/>
  <c r="S66" i="1"/>
  <c r="T66" i="1" s="1"/>
  <c r="S54" i="1"/>
  <c r="T54" i="1" s="1"/>
  <c r="R210" i="1"/>
  <c r="S210" i="1" s="1"/>
  <c r="S209" i="1"/>
  <c r="T209" i="1" s="1"/>
  <c r="S180" i="1"/>
  <c r="T180" i="1" s="1"/>
  <c r="S64" i="1"/>
  <c r="T64" i="1" s="1"/>
  <c r="S171" i="1"/>
  <c r="T171" i="1" s="1"/>
  <c r="S86" i="1"/>
  <c r="T86" i="1" s="1"/>
  <c r="S72" i="1"/>
  <c r="T72" i="1" s="1"/>
  <c r="S196" i="1"/>
  <c r="T196" i="1" s="1"/>
  <c r="D577" i="1"/>
  <c r="S585" i="1"/>
  <c r="T585" i="1" s="1"/>
  <c r="D576" i="1"/>
  <c r="D579" i="1"/>
  <c r="D578" i="1"/>
  <c r="S92" i="1"/>
  <c r="T92" i="1" s="1"/>
  <c r="S117" i="1"/>
  <c r="T117" i="1" s="1"/>
  <c r="S47" i="1"/>
  <c r="T47" i="1" s="1"/>
  <c r="S100" i="1"/>
  <c r="T100" i="1" s="1"/>
  <c r="S93" i="1"/>
  <c r="T93" i="1" s="1"/>
  <c r="S115" i="1"/>
  <c r="T115" i="1" s="1"/>
  <c r="S129" i="1"/>
  <c r="T129" i="1" s="1"/>
  <c r="S573" i="1"/>
  <c r="S205" i="1"/>
  <c r="T205" i="1" s="1"/>
  <c r="S55" i="1"/>
  <c r="T55" i="1" s="1"/>
  <c r="S63" i="1"/>
  <c r="T63" i="1" s="1"/>
  <c r="C251" i="1"/>
  <c r="S36" i="1"/>
  <c r="S454" i="1" s="1"/>
  <c r="S120" i="1"/>
  <c r="T120" i="1" s="1"/>
  <c r="S58" i="1"/>
  <c r="T58" i="1" s="1"/>
  <c r="T453" i="1"/>
  <c r="T443" i="1"/>
  <c r="S443" i="1" s="1"/>
  <c r="S104" i="1"/>
  <c r="T104" i="1" s="1"/>
  <c r="S98" i="1"/>
  <c r="T98" i="1" s="1"/>
  <c r="S200" i="1"/>
  <c r="T200" i="1" s="1"/>
  <c r="T506" i="1"/>
  <c r="S506" i="1" s="1"/>
  <c r="T517" i="1"/>
  <c r="S113" i="1"/>
  <c r="T113" i="1" s="1"/>
  <c r="S73" i="1"/>
  <c r="T73" i="1" s="1"/>
  <c r="T327" i="1"/>
  <c r="T317" i="1"/>
  <c r="S317" i="1" s="1"/>
  <c r="S84" i="1"/>
  <c r="T84" i="1" s="1"/>
  <c r="S78" i="1"/>
  <c r="T78" i="1" s="1"/>
  <c r="S161" i="1"/>
  <c r="T161" i="1" s="1"/>
  <c r="S383" i="1"/>
  <c r="S142" i="1"/>
  <c r="T142" i="1" s="1"/>
  <c r="S44" i="1"/>
  <c r="T44" i="1" s="1"/>
  <c r="S103" i="1"/>
  <c r="T103" i="1" s="1"/>
  <c r="S59" i="1"/>
  <c r="T59" i="1" s="1"/>
  <c r="S69" i="1"/>
  <c r="T69" i="1" s="1"/>
  <c r="S82" i="1"/>
  <c r="T82" i="1" s="1"/>
  <c r="S136" i="1"/>
  <c r="T136" i="1" s="1"/>
  <c r="S173" i="1"/>
  <c r="T173" i="1" s="1"/>
  <c r="S102" i="1"/>
  <c r="T102" i="1" s="1"/>
  <c r="S116" i="1"/>
  <c r="T116" i="1" s="1"/>
  <c r="R509" i="1"/>
  <c r="S509" i="1" s="1"/>
  <c r="S508" i="1"/>
  <c r="S189" i="1"/>
  <c r="T189" i="1" s="1"/>
  <c r="S37" i="1"/>
  <c r="T37" i="1" s="1"/>
  <c r="S48" i="1"/>
  <c r="T48" i="1" s="1"/>
  <c r="D388" i="1"/>
  <c r="D386" i="1"/>
  <c r="D387" i="1"/>
  <c r="D389" i="1"/>
  <c r="S395" i="1"/>
  <c r="T395" i="1" s="1"/>
  <c r="S153" i="1"/>
  <c r="T153" i="1" s="1"/>
  <c r="S181" i="1"/>
  <c r="T181" i="1" s="1"/>
  <c r="S111" i="1"/>
  <c r="T111" i="1" s="1"/>
  <c r="D451" i="1"/>
  <c r="D450" i="1"/>
  <c r="D449" i="1"/>
  <c r="D452" i="1"/>
  <c r="S458" i="1"/>
  <c r="T458" i="1" s="1"/>
  <c r="S175" i="1"/>
  <c r="T175" i="1" s="1"/>
  <c r="S572" i="1"/>
  <c r="S134" i="1"/>
  <c r="T134" i="1" s="1"/>
  <c r="S157" i="1"/>
  <c r="T157" i="1" s="1"/>
  <c r="S139" i="1"/>
  <c r="T139" i="1" s="1"/>
  <c r="S182" i="1"/>
  <c r="T182" i="1" s="1"/>
  <c r="S45" i="1"/>
  <c r="T45" i="1" s="1"/>
  <c r="S99" i="1"/>
  <c r="T99" i="1" s="1"/>
  <c r="S381" i="1"/>
  <c r="S148" i="1"/>
  <c r="T148" i="1" s="1"/>
  <c r="S177" i="1"/>
  <c r="T177" i="1" s="1"/>
  <c r="S108" i="1"/>
  <c r="T108" i="1" s="1"/>
  <c r="S83" i="1"/>
  <c r="T83" i="1" s="1"/>
  <c r="S68" i="1"/>
  <c r="T68" i="1" s="1"/>
  <c r="S75" i="1"/>
  <c r="T75" i="1" s="1"/>
  <c r="S318" i="1"/>
  <c r="S144" i="1"/>
  <c r="T144" i="1" s="1"/>
  <c r="S77" i="1"/>
  <c r="T77" i="1" s="1"/>
  <c r="S95" i="1"/>
  <c r="T95" i="1" s="1"/>
  <c r="D448" i="1"/>
  <c r="S456" i="1"/>
  <c r="T456" i="1" s="1"/>
  <c r="S159" i="1"/>
  <c r="T159" i="1" s="1"/>
  <c r="S198" i="1"/>
  <c r="T198" i="1" s="1"/>
  <c r="S87" i="1"/>
  <c r="T87" i="1" s="1"/>
  <c r="S583" i="1"/>
  <c r="T583" i="1" s="1"/>
  <c r="D575" i="1"/>
  <c r="S62" i="1"/>
  <c r="T62" i="1" s="1"/>
  <c r="S393" i="1"/>
  <c r="T393" i="1" s="1"/>
  <c r="D385" i="1"/>
  <c r="S320" i="1"/>
  <c r="S141" i="1"/>
  <c r="T141" i="1" s="1"/>
  <c r="S164" i="1"/>
  <c r="T164" i="1" s="1"/>
  <c r="S105" i="1"/>
  <c r="T105" i="1" s="1"/>
  <c r="AB509" i="1"/>
  <c r="B540" i="1" s="1"/>
  <c r="B526" i="1"/>
  <c r="B274" i="1"/>
  <c r="B288" i="1" s="1"/>
  <c r="B413" i="1"/>
  <c r="B350" i="1"/>
  <c r="B260" i="1"/>
  <c r="B476" i="1"/>
  <c r="AB125" i="1"/>
  <c r="B336" i="1"/>
  <c r="B399" i="1"/>
  <c r="B462" i="1"/>
  <c r="AC1" i="1"/>
  <c r="W509" i="1"/>
  <c r="W125" i="1"/>
  <c r="B256" i="1"/>
  <c r="B257" i="1"/>
  <c r="B252" i="1"/>
  <c r="B255" i="1"/>
  <c r="B253" i="1"/>
  <c r="B254" i="1"/>
  <c r="W450" i="1"/>
  <c r="AN51" i="7"/>
  <c r="AN42" i="7" s="1"/>
  <c r="AN64" i="7"/>
  <c r="AN39" i="7"/>
  <c r="AN63" i="7"/>
  <c r="W324" i="1"/>
  <c r="W386" i="1"/>
  <c r="BJ1" i="1"/>
  <c r="AT1" i="1"/>
  <c r="BF1" i="1"/>
  <c r="AX1" i="1"/>
  <c r="BB1" i="1"/>
  <c r="BR1" i="1"/>
  <c r="AP1" i="1"/>
  <c r="BN1" i="1"/>
  <c r="BV1" i="1"/>
  <c r="AH1" i="1"/>
  <c r="AD32" i="1"/>
  <c r="AL1" i="1"/>
  <c r="BP1" i="1"/>
  <c r="AZ1" i="1"/>
  <c r="AJ1" i="1"/>
  <c r="BT1" i="1"/>
  <c r="AR1" i="1"/>
  <c r="BH1" i="1"/>
  <c r="AF1" i="1"/>
  <c r="AV1" i="1"/>
  <c r="AN1" i="1"/>
  <c r="BD1" i="1"/>
  <c r="BL1" i="1"/>
  <c r="AB32" i="1"/>
  <c r="W448" i="1"/>
  <c r="BH64" i="7"/>
  <c r="BH51" i="7"/>
  <c r="BH42" i="7" s="1"/>
  <c r="BH63" i="7"/>
  <c r="W385" i="1"/>
  <c r="W389" i="1" s="1"/>
  <c r="X389" i="1" s="1"/>
  <c r="V244" i="1"/>
  <c r="BA40" i="7"/>
  <c r="BA49" i="7"/>
  <c r="W512" i="1"/>
  <c r="W516" i="1" s="1"/>
  <c r="X516" i="1" s="1"/>
  <c r="W577" i="1"/>
  <c r="AZ63" i="7"/>
  <c r="AZ64" i="7"/>
  <c r="AZ51" i="7"/>
  <c r="D253" i="1"/>
  <c r="D257" i="1"/>
  <c r="D256" i="1"/>
  <c r="D252" i="1"/>
  <c r="D255" i="1"/>
  <c r="D254" i="1"/>
  <c r="X217" i="1"/>
  <c r="R214" i="1"/>
  <c r="AF47" i="7"/>
  <c r="W210" i="1"/>
  <c r="W322" i="1"/>
  <c r="AX39" i="1"/>
  <c r="AX101" i="1"/>
  <c r="AX90" i="1"/>
  <c r="AX75" i="1"/>
  <c r="AX74" i="1"/>
  <c r="AX104" i="1"/>
  <c r="AX64" i="1"/>
  <c r="AX443" i="1"/>
  <c r="AX113" i="1"/>
  <c r="AX44" i="1"/>
  <c r="AX45" i="1"/>
  <c r="AX105" i="1"/>
  <c r="AX106" i="1"/>
  <c r="AX107" i="1"/>
  <c r="AX46" i="1"/>
  <c r="AX43" i="1"/>
  <c r="AX36" i="1"/>
  <c r="AX40" i="1"/>
  <c r="AX111" i="1"/>
  <c r="AX380" i="1"/>
  <c r="AX70" i="1"/>
  <c r="AX510" i="1"/>
  <c r="AX458" i="1"/>
  <c r="AX78" i="1"/>
  <c r="AX76" i="1"/>
  <c r="AX381" i="1"/>
  <c r="AX573" i="1"/>
  <c r="AX112" i="1"/>
  <c r="AX444" i="1"/>
  <c r="AX85" i="1"/>
  <c r="AX446" i="1"/>
  <c r="AX507" i="1"/>
  <c r="AX41" i="1"/>
  <c r="AX55" i="1"/>
  <c r="AX37" i="1"/>
  <c r="AX50" i="1"/>
  <c r="AX109" i="1"/>
  <c r="AX77" i="1"/>
  <c r="AX73" i="1"/>
  <c r="AX49" i="1"/>
  <c r="AX92" i="1"/>
  <c r="AX68" i="1"/>
  <c r="AX59" i="1"/>
  <c r="AX571" i="1"/>
  <c r="AX332" i="1"/>
  <c r="AX103" i="1"/>
  <c r="AX102" i="1"/>
  <c r="AX320" i="1"/>
  <c r="AX100" i="1"/>
  <c r="AX71" i="1"/>
  <c r="AX69" i="1"/>
  <c r="AX522" i="1"/>
  <c r="AX583" i="1"/>
  <c r="AX63" i="1"/>
  <c r="AX81" i="1"/>
  <c r="AX330" i="1"/>
  <c r="AX395" i="1"/>
  <c r="AX87" i="1"/>
  <c r="AX72" i="1"/>
  <c r="AX572" i="1"/>
  <c r="AX445" i="1"/>
  <c r="AX93" i="1"/>
  <c r="AX47" i="1"/>
  <c r="AX65" i="1"/>
  <c r="AX82" i="1"/>
  <c r="AX116" i="1"/>
  <c r="AX124" i="1"/>
  <c r="AX54" i="1"/>
  <c r="AX38" i="1"/>
  <c r="AX94" i="1"/>
  <c r="AX114" i="1"/>
  <c r="AX57" i="1"/>
  <c r="AX117" i="1"/>
  <c r="AX456" i="1"/>
  <c r="AX120" i="1"/>
  <c r="AX42" i="1"/>
  <c r="AX86" i="1"/>
  <c r="AX95" i="1"/>
  <c r="AX319" i="1"/>
  <c r="AX66" i="1"/>
  <c r="AX53" i="1"/>
  <c r="AX520" i="1"/>
  <c r="AX382" i="1"/>
  <c r="AX383" i="1"/>
  <c r="AX67" i="1"/>
  <c r="AX115" i="1"/>
  <c r="AX570" i="1"/>
  <c r="AX108" i="1"/>
  <c r="AX317" i="1"/>
  <c r="AX62" i="1"/>
  <c r="AX393" i="1"/>
  <c r="AX89" i="1"/>
  <c r="AX84" i="1"/>
  <c r="AX58" i="1"/>
  <c r="AX48" i="1"/>
  <c r="AX56" i="1"/>
  <c r="AX83" i="1"/>
  <c r="AX98" i="1"/>
  <c r="AX318" i="1"/>
  <c r="AX91" i="1"/>
  <c r="AX585" i="1"/>
  <c r="AX506" i="1"/>
  <c r="AX88" i="1"/>
  <c r="AX508" i="1"/>
  <c r="AX99" i="1"/>
  <c r="BB88" i="1"/>
  <c r="BB78" i="1"/>
  <c r="BB317" i="1"/>
  <c r="BB380" i="1"/>
  <c r="BB109" i="1"/>
  <c r="BB393" i="1"/>
  <c r="BB112" i="1"/>
  <c r="BB58" i="1"/>
  <c r="BB116" i="1"/>
  <c r="BB90" i="1"/>
  <c r="BB445" i="1"/>
  <c r="BB108" i="1"/>
  <c r="BB105" i="1"/>
  <c r="BB456" i="1"/>
  <c r="BB65" i="1"/>
  <c r="BB82" i="1"/>
  <c r="BB81" i="1"/>
  <c r="BB113" i="1"/>
  <c r="BB522" i="1"/>
  <c r="BB40" i="1"/>
  <c r="BB92" i="1"/>
  <c r="BB37" i="1"/>
  <c r="BB102" i="1"/>
  <c r="BB57" i="1"/>
  <c r="BB381" i="1"/>
  <c r="BB572" i="1"/>
  <c r="BB49" i="1"/>
  <c r="BB41" i="1"/>
  <c r="BB124" i="1"/>
  <c r="BB318" i="1"/>
  <c r="BB103" i="1"/>
  <c r="BB50" i="1"/>
  <c r="BB38" i="1"/>
  <c r="BB56" i="1"/>
  <c r="BB115" i="1"/>
  <c r="BB36" i="1"/>
  <c r="BB101" i="1"/>
  <c r="BB44" i="1"/>
  <c r="BB120" i="1"/>
  <c r="BB47" i="1"/>
  <c r="BB85" i="1"/>
  <c r="BB585" i="1"/>
  <c r="BB330" i="1"/>
  <c r="BB77" i="1"/>
  <c r="BB48" i="1"/>
  <c r="BB332" i="1"/>
  <c r="BB55" i="1"/>
  <c r="BB382" i="1"/>
  <c r="BB319" i="1"/>
  <c r="BB573" i="1"/>
  <c r="BB53" i="1"/>
  <c r="BB68" i="1"/>
  <c r="BB94" i="1"/>
  <c r="BB583" i="1"/>
  <c r="BB93" i="1"/>
  <c r="BB510" i="1"/>
  <c r="BB62" i="1"/>
  <c r="BB70" i="1"/>
  <c r="BB508" i="1"/>
  <c r="BB107" i="1"/>
  <c r="BB59" i="1"/>
  <c r="BB443" i="1"/>
  <c r="BB67" i="1"/>
  <c r="BB117" i="1"/>
  <c r="BB95" i="1"/>
  <c r="BB395" i="1"/>
  <c r="BB104" i="1"/>
  <c r="BB73" i="1"/>
  <c r="BB571" i="1"/>
  <c r="BB64" i="1"/>
  <c r="BB320" i="1"/>
  <c r="BB54" i="1"/>
  <c r="BB100" i="1"/>
  <c r="BB71" i="1"/>
  <c r="BB458" i="1"/>
  <c r="BB87" i="1"/>
  <c r="BB66" i="1"/>
  <c r="BB111" i="1"/>
  <c r="BB86" i="1"/>
  <c r="BB75" i="1"/>
  <c r="BB45" i="1"/>
  <c r="BB72" i="1"/>
  <c r="BB84" i="1"/>
  <c r="BB76" i="1"/>
  <c r="BB98" i="1"/>
  <c r="BB444" i="1"/>
  <c r="BB83" i="1"/>
  <c r="BB446" i="1"/>
  <c r="BB507" i="1"/>
  <c r="BB99" i="1"/>
  <c r="BB91" i="1"/>
  <c r="BB383" i="1"/>
  <c r="BB46" i="1"/>
  <c r="BB114" i="1"/>
  <c r="BB506" i="1"/>
  <c r="BB42" i="1"/>
  <c r="BB63" i="1"/>
  <c r="BB570" i="1"/>
  <c r="BB520" i="1"/>
  <c r="BB69" i="1"/>
  <c r="BB74" i="1"/>
  <c r="BB43" i="1"/>
  <c r="BB39" i="1"/>
  <c r="BB89" i="1"/>
  <c r="BB106" i="1"/>
  <c r="AT105" i="1"/>
  <c r="AT107" i="1"/>
  <c r="AT395" i="1"/>
  <c r="AT318" i="1"/>
  <c r="AT112" i="1"/>
  <c r="AT76" i="1"/>
  <c r="AT58" i="1"/>
  <c r="AT87" i="1"/>
  <c r="AT44" i="1"/>
  <c r="AT46" i="1"/>
  <c r="AT43" i="1"/>
  <c r="AT45" i="1"/>
  <c r="AT108" i="1"/>
  <c r="AT39" i="1"/>
  <c r="AT106" i="1"/>
  <c r="AT98" i="1"/>
  <c r="AT585" i="1"/>
  <c r="AT40" i="1"/>
  <c r="AT49" i="1"/>
  <c r="AT42" i="1"/>
  <c r="AT54" i="1"/>
  <c r="AT104" i="1"/>
  <c r="AT94" i="1"/>
  <c r="AT572" i="1"/>
  <c r="AT101" i="1"/>
  <c r="AT82" i="1"/>
  <c r="AT113" i="1"/>
  <c r="AT571" i="1"/>
  <c r="AT383" i="1"/>
  <c r="AT71" i="1"/>
  <c r="AT68" i="1"/>
  <c r="AT583" i="1"/>
  <c r="AT522" i="1"/>
  <c r="AT381" i="1"/>
  <c r="AT443" i="1"/>
  <c r="AT55" i="1"/>
  <c r="AT120" i="1"/>
  <c r="AT446" i="1"/>
  <c r="AT59" i="1"/>
  <c r="AT124" i="1"/>
  <c r="AT66" i="1"/>
  <c r="AT380" i="1"/>
  <c r="AT65" i="1"/>
  <c r="AT92" i="1"/>
  <c r="AT111" i="1"/>
  <c r="AT64" i="1"/>
  <c r="AT73" i="1"/>
  <c r="AT116" i="1"/>
  <c r="AT37" i="1"/>
  <c r="AT63" i="1"/>
  <c r="AT41" i="1"/>
  <c r="AT56" i="1"/>
  <c r="AT506" i="1"/>
  <c r="AT319" i="1"/>
  <c r="AT81" i="1"/>
  <c r="AT67" i="1"/>
  <c r="AT95" i="1"/>
  <c r="AT458" i="1"/>
  <c r="AT36" i="1"/>
  <c r="AT382" i="1"/>
  <c r="AT83" i="1"/>
  <c r="AT114" i="1"/>
  <c r="AT507" i="1"/>
  <c r="AT85" i="1"/>
  <c r="AT520" i="1"/>
  <c r="AT103" i="1"/>
  <c r="AT332" i="1"/>
  <c r="AT53" i="1"/>
  <c r="AT117" i="1"/>
  <c r="AT77" i="1"/>
  <c r="AT115" i="1"/>
  <c r="AT510" i="1"/>
  <c r="AT393" i="1"/>
  <c r="AT89" i="1"/>
  <c r="AT88" i="1"/>
  <c r="AT70" i="1"/>
  <c r="AT38" i="1"/>
  <c r="AT48" i="1"/>
  <c r="AT86" i="1"/>
  <c r="AT330" i="1"/>
  <c r="AT74" i="1"/>
  <c r="AT508" i="1"/>
  <c r="AT78" i="1"/>
  <c r="AT57" i="1"/>
  <c r="AT570" i="1"/>
  <c r="AT62" i="1"/>
  <c r="AT102" i="1"/>
  <c r="AT317" i="1"/>
  <c r="AT573" i="1"/>
  <c r="AT47" i="1"/>
  <c r="AT84" i="1"/>
  <c r="AT69" i="1"/>
  <c r="AT91" i="1"/>
  <c r="AT99" i="1"/>
  <c r="AT90" i="1"/>
  <c r="AT72" i="1"/>
  <c r="AT93" i="1"/>
  <c r="AT50" i="1"/>
  <c r="AT109" i="1"/>
  <c r="AT320" i="1"/>
  <c r="AT456" i="1"/>
  <c r="AT444" i="1"/>
  <c r="AT75" i="1"/>
  <c r="AT445" i="1"/>
  <c r="AT100" i="1"/>
  <c r="BR44" i="1"/>
  <c r="BR39" i="1"/>
  <c r="BR101" i="1"/>
  <c r="BR99" i="1"/>
  <c r="BR395" i="1"/>
  <c r="BR443" i="1"/>
  <c r="BR573" i="1"/>
  <c r="BR116" i="1"/>
  <c r="BR84" i="1"/>
  <c r="BR66" i="1"/>
  <c r="BR107" i="1"/>
  <c r="BR43" i="1"/>
  <c r="BR90" i="1"/>
  <c r="BR330" i="1"/>
  <c r="BR105" i="1"/>
  <c r="BR46" i="1"/>
  <c r="BR45" i="1"/>
  <c r="BR106" i="1"/>
  <c r="BR48" i="1"/>
  <c r="BR69" i="1"/>
  <c r="BR382" i="1"/>
  <c r="BR57" i="1"/>
  <c r="BR103" i="1"/>
  <c r="BR89" i="1"/>
  <c r="BR37" i="1"/>
  <c r="BR85" i="1"/>
  <c r="BR317" i="1"/>
  <c r="BR393" i="1"/>
  <c r="BR124" i="1"/>
  <c r="BR73" i="1"/>
  <c r="BR62" i="1"/>
  <c r="BR95" i="1"/>
  <c r="BR318" i="1"/>
  <c r="BR115" i="1"/>
  <c r="BR40" i="1"/>
  <c r="BR38" i="1"/>
  <c r="BR72" i="1"/>
  <c r="BR70" i="1"/>
  <c r="BR111" i="1"/>
  <c r="BR381" i="1"/>
  <c r="BR109" i="1"/>
  <c r="BR98" i="1"/>
  <c r="BR456" i="1"/>
  <c r="BR572" i="1"/>
  <c r="BR47" i="1"/>
  <c r="BR91" i="1"/>
  <c r="BR320" i="1"/>
  <c r="BR332" i="1"/>
  <c r="BR446" i="1"/>
  <c r="BR583" i="1"/>
  <c r="BR83" i="1"/>
  <c r="BR63" i="1"/>
  <c r="BR520" i="1"/>
  <c r="BR74" i="1"/>
  <c r="BR49" i="1"/>
  <c r="BR88" i="1"/>
  <c r="BR108" i="1"/>
  <c r="BR104" i="1"/>
  <c r="BR58" i="1"/>
  <c r="BR570" i="1"/>
  <c r="BR506" i="1"/>
  <c r="BR71" i="1"/>
  <c r="BR41" i="1"/>
  <c r="BR93" i="1"/>
  <c r="BR42" i="1"/>
  <c r="BR81" i="1"/>
  <c r="BR55" i="1"/>
  <c r="BR86" i="1"/>
  <c r="BR444" i="1"/>
  <c r="BR77" i="1"/>
  <c r="BR113" i="1"/>
  <c r="BR571" i="1"/>
  <c r="BR78" i="1"/>
  <c r="BR120" i="1"/>
  <c r="BR68" i="1"/>
  <c r="BR117" i="1"/>
  <c r="BR508" i="1"/>
  <c r="BR64" i="1"/>
  <c r="BR53" i="1"/>
  <c r="BR65" i="1"/>
  <c r="BR56" i="1"/>
  <c r="BR76" i="1"/>
  <c r="BR82" i="1"/>
  <c r="BR114" i="1"/>
  <c r="BR380" i="1"/>
  <c r="BR102" i="1"/>
  <c r="BR510" i="1"/>
  <c r="BR87" i="1"/>
  <c r="BR458" i="1"/>
  <c r="BR445" i="1"/>
  <c r="BR75" i="1"/>
  <c r="BR100" i="1"/>
  <c r="BR92" i="1"/>
  <c r="BR67" i="1"/>
  <c r="BR507" i="1"/>
  <c r="BR383" i="1"/>
  <c r="BR59" i="1"/>
  <c r="BR50" i="1"/>
  <c r="BR585" i="1"/>
  <c r="BR54" i="1"/>
  <c r="BR522" i="1"/>
  <c r="BR94" i="1"/>
  <c r="BR112" i="1"/>
  <c r="BR319" i="1"/>
  <c r="BR36" i="1"/>
  <c r="AL43" i="1"/>
  <c r="AL36" i="1"/>
  <c r="AL94" i="1"/>
  <c r="AL76" i="1"/>
  <c r="AL90" i="1"/>
  <c r="AL46" i="1"/>
  <c r="AL39" i="1"/>
  <c r="AL382" i="1"/>
  <c r="AL70" i="1"/>
  <c r="AL95" i="1"/>
  <c r="AL98" i="1"/>
  <c r="AL443" i="1"/>
  <c r="AL93" i="1"/>
  <c r="AL103" i="1"/>
  <c r="AL380" i="1"/>
  <c r="AL37" i="1"/>
  <c r="AL381" i="1"/>
  <c r="AL444" i="1"/>
  <c r="AL102" i="1"/>
  <c r="AL74" i="1"/>
  <c r="AL100" i="1"/>
  <c r="AL116" i="1"/>
  <c r="AL59" i="1"/>
  <c r="AL508" i="1"/>
  <c r="AL54" i="1"/>
  <c r="AL84" i="1"/>
  <c r="AL78" i="1"/>
  <c r="AL571" i="1"/>
  <c r="AL69" i="1"/>
  <c r="AL63" i="1"/>
  <c r="AL82" i="1"/>
  <c r="AL85" i="1"/>
  <c r="AL62" i="1"/>
  <c r="AL115" i="1"/>
  <c r="AL81" i="1"/>
  <c r="AL49" i="1"/>
  <c r="AL522" i="1"/>
  <c r="AL317" i="1"/>
  <c r="AL89" i="1"/>
  <c r="AL66" i="1"/>
  <c r="AL55" i="1"/>
  <c r="AL65" i="1"/>
  <c r="AL92" i="1"/>
  <c r="AL42" i="1"/>
  <c r="AL58" i="1"/>
  <c r="AL91" i="1"/>
  <c r="AL124" i="1"/>
  <c r="AL56" i="1"/>
  <c r="AL86" i="1"/>
  <c r="AL319" i="1"/>
  <c r="AL50" i="1"/>
  <c r="AL53" i="1"/>
  <c r="AL117" i="1"/>
  <c r="AL57" i="1"/>
  <c r="AL83" i="1"/>
  <c r="AL585" i="1"/>
  <c r="AL67" i="1"/>
  <c r="AL48" i="1"/>
  <c r="AL120" i="1"/>
  <c r="AL395" i="1"/>
  <c r="AL114" i="1"/>
  <c r="AL99" i="1"/>
  <c r="AL583" i="1"/>
  <c r="AL38" i="1"/>
  <c r="AL456" i="1"/>
  <c r="AL332" i="1"/>
  <c r="AL41" i="1"/>
  <c r="AL71" i="1"/>
  <c r="AL68" i="1"/>
  <c r="AL106" i="1"/>
  <c r="AL113" i="1"/>
  <c r="AL47" i="1"/>
  <c r="AL109" i="1"/>
  <c r="AL72" i="1"/>
  <c r="AL105" i="1"/>
  <c r="AL330" i="1"/>
  <c r="AL64" i="1"/>
  <c r="AL101" i="1"/>
  <c r="AL88" i="1"/>
  <c r="AL107" i="1"/>
  <c r="AL573" i="1"/>
  <c r="AL520" i="1"/>
  <c r="AL510" i="1"/>
  <c r="AL318" i="1"/>
  <c r="AL75" i="1"/>
  <c r="AL393" i="1"/>
  <c r="AL320" i="1"/>
  <c r="AL112" i="1"/>
  <c r="AL111" i="1"/>
  <c r="AL104" i="1"/>
  <c r="AL44" i="1"/>
  <c r="AL445" i="1"/>
  <c r="AL40" i="1"/>
  <c r="AL570" i="1"/>
  <c r="AL572" i="1"/>
  <c r="AL73" i="1"/>
  <c r="AL506" i="1"/>
  <c r="AL446" i="1"/>
  <c r="AL45" i="1"/>
  <c r="AL77" i="1"/>
  <c r="AL108" i="1"/>
  <c r="AL383" i="1"/>
  <c r="AL507" i="1"/>
  <c r="AL458" i="1"/>
  <c r="AL87" i="1"/>
  <c r="AP108" i="1"/>
  <c r="AP508" i="1"/>
  <c r="AP318" i="1"/>
  <c r="AP332" i="1"/>
  <c r="AP382" i="1"/>
  <c r="AP583" i="1"/>
  <c r="AP88" i="1"/>
  <c r="AP74" i="1"/>
  <c r="AP107" i="1"/>
  <c r="AP46" i="1"/>
  <c r="AP43" i="1"/>
  <c r="AP45" i="1"/>
  <c r="AP105" i="1"/>
  <c r="AP48" i="1"/>
  <c r="AP71" i="1"/>
  <c r="AP456" i="1"/>
  <c r="AP85" i="1"/>
  <c r="AP101" i="1"/>
  <c r="AP37" i="1"/>
  <c r="AP95" i="1"/>
  <c r="AP92" i="1"/>
  <c r="AP104" i="1"/>
  <c r="AP83" i="1"/>
  <c r="AP117" i="1"/>
  <c r="AP47" i="1"/>
  <c r="AP585" i="1"/>
  <c r="AP393" i="1"/>
  <c r="AP66" i="1"/>
  <c r="AP573" i="1"/>
  <c r="AP41" i="1"/>
  <c r="AP103" i="1"/>
  <c r="AP42" i="1"/>
  <c r="AP50" i="1"/>
  <c r="AP81" i="1"/>
  <c r="AP510" i="1"/>
  <c r="AP445" i="1"/>
  <c r="AP49" i="1"/>
  <c r="AP55" i="1"/>
  <c r="AP82" i="1"/>
  <c r="AP383" i="1"/>
  <c r="AP443" i="1"/>
  <c r="AP78" i="1"/>
  <c r="AP93" i="1"/>
  <c r="AP99" i="1"/>
  <c r="AP106" i="1"/>
  <c r="AP91" i="1"/>
  <c r="AP40" i="1"/>
  <c r="AP94" i="1"/>
  <c r="AP506" i="1"/>
  <c r="AP114" i="1"/>
  <c r="AP56" i="1"/>
  <c r="AP72" i="1"/>
  <c r="AP320" i="1"/>
  <c r="AP109" i="1"/>
  <c r="AP68" i="1"/>
  <c r="AP62" i="1"/>
  <c r="AP380" i="1"/>
  <c r="AP63" i="1"/>
  <c r="AP112" i="1"/>
  <c r="AP330" i="1"/>
  <c r="AP59" i="1"/>
  <c r="AP395" i="1"/>
  <c r="AP89" i="1"/>
  <c r="AP69" i="1"/>
  <c r="AP70" i="1"/>
  <c r="AP111" i="1"/>
  <c r="AP102" i="1"/>
  <c r="AP571" i="1"/>
  <c r="AP57" i="1"/>
  <c r="AP444" i="1"/>
  <c r="AP64" i="1"/>
  <c r="AP58" i="1"/>
  <c r="AP522" i="1"/>
  <c r="AP86" i="1"/>
  <c r="AP120" i="1"/>
  <c r="AP458" i="1"/>
  <c r="AP67" i="1"/>
  <c r="AP73" i="1"/>
  <c r="AP319" i="1"/>
  <c r="AP90" i="1"/>
  <c r="AP54" i="1"/>
  <c r="AP98" i="1"/>
  <c r="AP38" i="1"/>
  <c r="AP570" i="1"/>
  <c r="AP77" i="1"/>
  <c r="AP113" i="1"/>
  <c r="AP84" i="1"/>
  <c r="AP36" i="1"/>
  <c r="AP116" i="1"/>
  <c r="AP520" i="1"/>
  <c r="AP53" i="1"/>
  <c r="AP124" i="1"/>
  <c r="AP87" i="1"/>
  <c r="AP100" i="1"/>
  <c r="AP76" i="1"/>
  <c r="AP115" i="1"/>
  <c r="AP65" i="1"/>
  <c r="AP317" i="1"/>
  <c r="AP446" i="1"/>
  <c r="AP507" i="1"/>
  <c r="AP572" i="1"/>
  <c r="AP381" i="1"/>
  <c r="AP75" i="1"/>
  <c r="AP39" i="1"/>
  <c r="AP44" i="1"/>
  <c r="BN74" i="1"/>
  <c r="BN92" i="1"/>
  <c r="BN585" i="1"/>
  <c r="BN44" i="1"/>
  <c r="BN39" i="1"/>
  <c r="BN107" i="1"/>
  <c r="BN46" i="1"/>
  <c r="BN43" i="1"/>
  <c r="BN63" i="1"/>
  <c r="BN70" i="1"/>
  <c r="BN69" i="1"/>
  <c r="BN120" i="1"/>
  <c r="BN319" i="1"/>
  <c r="BN37" i="1"/>
  <c r="BN36" i="1"/>
  <c r="BN395" i="1"/>
  <c r="BN75" i="1"/>
  <c r="BN103" i="1"/>
  <c r="BN382" i="1"/>
  <c r="BN317" i="1"/>
  <c r="BN113" i="1"/>
  <c r="BN40" i="1"/>
  <c r="BN95" i="1"/>
  <c r="BN67" i="1"/>
  <c r="BN381" i="1"/>
  <c r="BN98" i="1"/>
  <c r="BN71" i="1"/>
  <c r="BN82" i="1"/>
  <c r="BN84" i="1"/>
  <c r="BN57" i="1"/>
  <c r="BN573" i="1"/>
  <c r="BN56" i="1"/>
  <c r="BN86" i="1"/>
  <c r="BN111" i="1"/>
  <c r="BN81" i="1"/>
  <c r="BN106" i="1"/>
  <c r="BN66" i="1"/>
  <c r="BN572" i="1"/>
  <c r="BN116" i="1"/>
  <c r="BN88" i="1"/>
  <c r="BN320" i="1"/>
  <c r="BN48" i="1"/>
  <c r="BN58" i="1"/>
  <c r="BN115" i="1"/>
  <c r="BN65" i="1"/>
  <c r="BN383" i="1"/>
  <c r="BN62" i="1"/>
  <c r="BN456" i="1"/>
  <c r="BN445" i="1"/>
  <c r="BN124" i="1"/>
  <c r="BN89" i="1"/>
  <c r="BN45" i="1"/>
  <c r="BN38" i="1"/>
  <c r="BN50" i="1"/>
  <c r="BN72" i="1"/>
  <c r="BN510" i="1"/>
  <c r="BN83" i="1"/>
  <c r="BN520" i="1"/>
  <c r="BN443" i="1"/>
  <c r="BN77" i="1"/>
  <c r="BN90" i="1"/>
  <c r="BN47" i="1"/>
  <c r="BN73" i="1"/>
  <c r="BN54" i="1"/>
  <c r="BN59" i="1"/>
  <c r="BN93" i="1"/>
  <c r="BN112" i="1"/>
  <c r="BN49" i="1"/>
  <c r="BN446" i="1"/>
  <c r="BN68" i="1"/>
  <c r="BN117" i="1"/>
  <c r="BN506" i="1"/>
  <c r="BN508" i="1"/>
  <c r="BN114" i="1"/>
  <c r="BN42" i="1"/>
  <c r="BN109" i="1"/>
  <c r="BN102" i="1"/>
  <c r="BN330" i="1"/>
  <c r="BN393" i="1"/>
  <c r="BN522" i="1"/>
  <c r="BN41" i="1"/>
  <c r="BN55" i="1"/>
  <c r="BN100" i="1"/>
  <c r="BN507" i="1"/>
  <c r="BN99" i="1"/>
  <c r="BN76" i="1"/>
  <c r="BN53" i="1"/>
  <c r="BN108" i="1"/>
  <c r="BN91" i="1"/>
  <c r="BN444" i="1"/>
  <c r="BN318" i="1"/>
  <c r="BN94" i="1"/>
  <c r="BN571" i="1"/>
  <c r="BN380" i="1"/>
  <c r="BN583" i="1"/>
  <c r="BN85" i="1"/>
  <c r="BN87" i="1"/>
  <c r="BN104" i="1"/>
  <c r="BN101" i="1"/>
  <c r="BN458" i="1"/>
  <c r="BN570" i="1"/>
  <c r="BN332" i="1"/>
  <c r="BN64" i="1"/>
  <c r="BN78" i="1"/>
  <c r="BN105" i="1"/>
  <c r="AH101" i="1"/>
  <c r="AH382" i="1"/>
  <c r="AH520" i="1"/>
  <c r="AH115" i="1"/>
  <c r="AH108" i="1"/>
  <c r="AH45" i="1"/>
  <c r="AH44" i="1"/>
  <c r="AH107" i="1"/>
  <c r="AH46" i="1"/>
  <c r="AH43" i="1"/>
  <c r="AH572" i="1"/>
  <c r="AH50" i="1"/>
  <c r="AH58" i="1"/>
  <c r="AH443" i="1"/>
  <c r="AH585" i="1"/>
  <c r="AH67" i="1"/>
  <c r="AH446" i="1"/>
  <c r="AH113" i="1"/>
  <c r="AH65" i="1"/>
  <c r="AH85" i="1"/>
  <c r="AH38" i="1"/>
  <c r="AH71" i="1"/>
  <c r="AH83" i="1"/>
  <c r="AH573" i="1"/>
  <c r="AH55" i="1"/>
  <c r="AH380" i="1"/>
  <c r="AH456" i="1"/>
  <c r="AH318" i="1"/>
  <c r="AH93" i="1"/>
  <c r="AH86" i="1"/>
  <c r="AH40" i="1"/>
  <c r="AH117" i="1"/>
  <c r="AH99" i="1"/>
  <c r="AH90" i="1"/>
  <c r="AH106" i="1"/>
  <c r="AH94" i="1"/>
  <c r="AH92" i="1"/>
  <c r="AH393" i="1"/>
  <c r="AH82" i="1"/>
  <c r="AH62" i="1"/>
  <c r="AH317" i="1"/>
  <c r="AH506" i="1"/>
  <c r="AH111" i="1"/>
  <c r="AH70" i="1"/>
  <c r="AH583" i="1"/>
  <c r="AH75" i="1"/>
  <c r="AH330" i="1"/>
  <c r="AH66" i="1"/>
  <c r="AH63" i="1"/>
  <c r="AH64" i="1"/>
  <c r="AH41" i="1"/>
  <c r="AH112" i="1"/>
  <c r="AH103" i="1"/>
  <c r="AH114" i="1"/>
  <c r="AH124" i="1"/>
  <c r="AH74" i="1"/>
  <c r="AH76" i="1"/>
  <c r="AH68" i="1"/>
  <c r="AH395" i="1"/>
  <c r="AH81" i="1"/>
  <c r="AH53" i="1"/>
  <c r="AH105" i="1"/>
  <c r="AH383" i="1"/>
  <c r="AH508" i="1"/>
  <c r="AH47" i="1"/>
  <c r="AH98" i="1"/>
  <c r="AH57" i="1"/>
  <c r="AH571" i="1"/>
  <c r="AH570" i="1"/>
  <c r="AH332" i="1"/>
  <c r="AH73" i="1"/>
  <c r="AH42" i="1"/>
  <c r="AH49" i="1"/>
  <c r="AH48" i="1"/>
  <c r="AH320" i="1"/>
  <c r="AH319" i="1"/>
  <c r="AH91" i="1"/>
  <c r="AH507" i="1"/>
  <c r="AH72" i="1"/>
  <c r="AH84" i="1"/>
  <c r="AH56" i="1"/>
  <c r="AH37" i="1"/>
  <c r="AH102" i="1"/>
  <c r="AH36" i="1"/>
  <c r="AH458" i="1"/>
  <c r="AH381" i="1"/>
  <c r="AH77" i="1"/>
  <c r="AH39" i="1"/>
  <c r="AH95" i="1"/>
  <c r="AH100" i="1"/>
  <c r="AH444" i="1"/>
  <c r="AH104" i="1"/>
  <c r="AH510" i="1"/>
  <c r="AH116" i="1"/>
  <c r="AH120" i="1"/>
  <c r="AH522" i="1"/>
  <c r="AH54" i="1"/>
  <c r="AH59" i="1"/>
  <c r="AH69" i="1"/>
  <c r="AH109" i="1"/>
  <c r="AH78" i="1"/>
  <c r="AH87" i="1"/>
  <c r="AH88" i="1"/>
  <c r="AH445" i="1"/>
  <c r="AH89" i="1"/>
  <c r="BJ77" i="1"/>
  <c r="BJ116" i="1"/>
  <c r="BJ66" i="1"/>
  <c r="BJ87" i="1"/>
  <c r="BJ446" i="1"/>
  <c r="BJ43" i="1"/>
  <c r="BJ46" i="1"/>
  <c r="BJ108" i="1"/>
  <c r="BJ39" i="1"/>
  <c r="BJ106" i="1"/>
  <c r="BJ45" i="1"/>
  <c r="BJ70" i="1"/>
  <c r="BJ73" i="1"/>
  <c r="BJ93" i="1"/>
  <c r="BJ111" i="1"/>
  <c r="BJ88" i="1"/>
  <c r="BJ86" i="1"/>
  <c r="BJ55" i="1"/>
  <c r="BJ113" i="1"/>
  <c r="BJ395" i="1"/>
  <c r="BJ89" i="1"/>
  <c r="BJ330" i="1"/>
  <c r="BJ443" i="1"/>
  <c r="BJ63" i="1"/>
  <c r="BJ94" i="1"/>
  <c r="BJ67" i="1"/>
  <c r="BJ59" i="1"/>
  <c r="BJ124" i="1"/>
  <c r="BJ104" i="1"/>
  <c r="BJ54" i="1"/>
  <c r="BJ50" i="1"/>
  <c r="BJ69" i="1"/>
  <c r="BJ76" i="1"/>
  <c r="BJ44" i="1"/>
  <c r="BJ42" i="1"/>
  <c r="BJ570" i="1"/>
  <c r="BJ583" i="1"/>
  <c r="BJ319" i="1"/>
  <c r="BJ90" i="1"/>
  <c r="BJ98" i="1"/>
  <c r="BJ58" i="1"/>
  <c r="BJ572" i="1"/>
  <c r="BJ112" i="1"/>
  <c r="BJ49" i="1"/>
  <c r="BJ83" i="1"/>
  <c r="BJ85" i="1"/>
  <c r="BJ82" i="1"/>
  <c r="BJ65" i="1"/>
  <c r="BJ84" i="1"/>
  <c r="BJ506" i="1"/>
  <c r="BJ62" i="1"/>
  <c r="BJ585" i="1"/>
  <c r="BJ101" i="1"/>
  <c r="BJ380" i="1"/>
  <c r="BJ520" i="1"/>
  <c r="BJ56" i="1"/>
  <c r="BJ99" i="1"/>
  <c r="BJ107" i="1"/>
  <c r="BJ320" i="1"/>
  <c r="BJ510" i="1"/>
  <c r="BJ71" i="1"/>
  <c r="BJ53" i="1"/>
  <c r="BJ41" i="1"/>
  <c r="BJ102" i="1"/>
  <c r="BJ318" i="1"/>
  <c r="BJ92" i="1"/>
  <c r="BJ47" i="1"/>
  <c r="BJ68" i="1"/>
  <c r="BJ522" i="1"/>
  <c r="BJ381" i="1"/>
  <c r="BJ458" i="1"/>
  <c r="BJ95" i="1"/>
  <c r="BJ573" i="1"/>
  <c r="BJ105" i="1"/>
  <c r="BJ40" i="1"/>
  <c r="BJ72" i="1"/>
  <c r="BJ81" i="1"/>
  <c r="BJ332" i="1"/>
  <c r="BJ508" i="1"/>
  <c r="BJ114" i="1"/>
  <c r="BJ38" i="1"/>
  <c r="BJ57" i="1"/>
  <c r="BJ117" i="1"/>
  <c r="BJ571" i="1"/>
  <c r="BJ456" i="1"/>
  <c r="BJ100" i="1"/>
  <c r="BJ36" i="1"/>
  <c r="BJ383" i="1"/>
  <c r="BJ64" i="1"/>
  <c r="BJ382" i="1"/>
  <c r="BJ48" i="1"/>
  <c r="BJ103" i="1"/>
  <c r="BJ37" i="1"/>
  <c r="BJ393" i="1"/>
  <c r="BJ120" i="1"/>
  <c r="BJ91" i="1"/>
  <c r="BJ507" i="1"/>
  <c r="BJ109" i="1"/>
  <c r="BJ445" i="1"/>
  <c r="BJ317" i="1"/>
  <c r="BJ444" i="1"/>
  <c r="BJ78" i="1"/>
  <c r="BJ74" i="1"/>
  <c r="BJ75" i="1"/>
  <c r="BJ115" i="1"/>
  <c r="BF104" i="1"/>
  <c r="BF108" i="1"/>
  <c r="BF382" i="1"/>
  <c r="BF507" i="1"/>
  <c r="BF88" i="1"/>
  <c r="BF74" i="1"/>
  <c r="BF106" i="1"/>
  <c r="BF44" i="1"/>
  <c r="BF43" i="1"/>
  <c r="BF105" i="1"/>
  <c r="BF86" i="1"/>
  <c r="BF70" i="1"/>
  <c r="BF48" i="1"/>
  <c r="BF72" i="1"/>
  <c r="BF393" i="1"/>
  <c r="BF42" i="1"/>
  <c r="BF93" i="1"/>
  <c r="BF75" i="1"/>
  <c r="BF94" i="1"/>
  <c r="BF76" i="1"/>
  <c r="BF317" i="1"/>
  <c r="BF510" i="1"/>
  <c r="BF56" i="1"/>
  <c r="BF92" i="1"/>
  <c r="BF90" i="1"/>
  <c r="BF583" i="1"/>
  <c r="BF115" i="1"/>
  <c r="BF116" i="1"/>
  <c r="BF49" i="1"/>
  <c r="BF114" i="1"/>
  <c r="BF84" i="1"/>
  <c r="BF63" i="1"/>
  <c r="BF81" i="1"/>
  <c r="BF395" i="1"/>
  <c r="BF318" i="1"/>
  <c r="BF41" i="1"/>
  <c r="BF572" i="1"/>
  <c r="BF67" i="1"/>
  <c r="BF383" i="1"/>
  <c r="BF50" i="1"/>
  <c r="BF585" i="1"/>
  <c r="BF117" i="1"/>
  <c r="BF54" i="1"/>
  <c r="BF456" i="1"/>
  <c r="BF99" i="1"/>
  <c r="BF38" i="1"/>
  <c r="BF37" i="1"/>
  <c r="BF65" i="1"/>
  <c r="BF446" i="1"/>
  <c r="BF332" i="1"/>
  <c r="BF85" i="1"/>
  <c r="BF57" i="1"/>
  <c r="BF98" i="1"/>
  <c r="BF109" i="1"/>
  <c r="BF112" i="1"/>
  <c r="BF381" i="1"/>
  <c r="BF59" i="1"/>
  <c r="BF66" i="1"/>
  <c r="BF107" i="1"/>
  <c r="BF69" i="1"/>
  <c r="BF40" i="1"/>
  <c r="BF53" i="1"/>
  <c r="BF330" i="1"/>
  <c r="BF77" i="1"/>
  <c r="BF55" i="1"/>
  <c r="BF570" i="1"/>
  <c r="BF445" i="1"/>
  <c r="BF73" i="1"/>
  <c r="BF102" i="1"/>
  <c r="BF68" i="1"/>
  <c r="BF83" i="1"/>
  <c r="BF522" i="1"/>
  <c r="BF62" i="1"/>
  <c r="BF91" i="1"/>
  <c r="BF444" i="1"/>
  <c r="BF87" i="1"/>
  <c r="BF39" i="1"/>
  <c r="BF82" i="1"/>
  <c r="BF103" i="1"/>
  <c r="BF113" i="1"/>
  <c r="BF71" i="1"/>
  <c r="BF95" i="1"/>
  <c r="BF100" i="1"/>
  <c r="BF571" i="1"/>
  <c r="BF443" i="1"/>
  <c r="BF506" i="1"/>
  <c r="BF46" i="1"/>
  <c r="BF64" i="1"/>
  <c r="BF36" i="1"/>
  <c r="BF89" i="1"/>
  <c r="BF120" i="1"/>
  <c r="BF508" i="1"/>
  <c r="BF380" i="1"/>
  <c r="BF101" i="1"/>
  <c r="BF111" i="1"/>
  <c r="BF573" i="1"/>
  <c r="BF124" i="1"/>
  <c r="BF78" i="1"/>
  <c r="BF458" i="1"/>
  <c r="BF58" i="1"/>
  <c r="BF47" i="1"/>
  <c r="BF320" i="1"/>
  <c r="BF319" i="1"/>
  <c r="BF520" i="1"/>
  <c r="BF45" i="1"/>
  <c r="BV46" i="1"/>
  <c r="BV43" i="1"/>
  <c r="BV90" i="1"/>
  <c r="BV89" i="1"/>
  <c r="BV87" i="1"/>
  <c r="BV319" i="1"/>
  <c r="BV506" i="1"/>
  <c r="BV106" i="1"/>
  <c r="BV44" i="1"/>
  <c r="BV88" i="1"/>
  <c r="BV74" i="1"/>
  <c r="BV381" i="1"/>
  <c r="BV39" i="1"/>
  <c r="BV105" i="1"/>
  <c r="BV114" i="1"/>
  <c r="BV53" i="1"/>
  <c r="BV54" i="1"/>
  <c r="BV382" i="1"/>
  <c r="BV111" i="1"/>
  <c r="BV124" i="1"/>
  <c r="BV113" i="1"/>
  <c r="BV508" i="1"/>
  <c r="BV65" i="1"/>
  <c r="BV64" i="1"/>
  <c r="BV57" i="1"/>
  <c r="BV56" i="1"/>
  <c r="BV117" i="1"/>
  <c r="BV86" i="1"/>
  <c r="BV49" i="1"/>
  <c r="BV71" i="1"/>
  <c r="BV571" i="1"/>
  <c r="BV330" i="1"/>
  <c r="BV100" i="1"/>
  <c r="BV38" i="1"/>
  <c r="BV85" i="1"/>
  <c r="BV317" i="1"/>
  <c r="BV458" i="1"/>
  <c r="BV73" i="1"/>
  <c r="BV383" i="1"/>
  <c r="BV66" i="1"/>
  <c r="BV507" i="1"/>
  <c r="BV445" i="1"/>
  <c r="BV116" i="1"/>
  <c r="BV120" i="1"/>
  <c r="BV572" i="1"/>
  <c r="BV318" i="1"/>
  <c r="BV75" i="1"/>
  <c r="BV115" i="1"/>
  <c r="BV63" i="1"/>
  <c r="BV95" i="1"/>
  <c r="BV510" i="1"/>
  <c r="BV69" i="1"/>
  <c r="BV109" i="1"/>
  <c r="BV112" i="1"/>
  <c r="BV583" i="1"/>
  <c r="BV42" i="1"/>
  <c r="BV94" i="1"/>
  <c r="BV40" i="1"/>
  <c r="BV82" i="1"/>
  <c r="BV395" i="1"/>
  <c r="BV62" i="1"/>
  <c r="BV108" i="1"/>
  <c r="BV104" i="1"/>
  <c r="BV47" i="1"/>
  <c r="BV59" i="1"/>
  <c r="BV91" i="1"/>
  <c r="BV103" i="1"/>
  <c r="BV48" i="1"/>
  <c r="BV93" i="1"/>
  <c r="BV573" i="1"/>
  <c r="BV520" i="1"/>
  <c r="BV36" i="1"/>
  <c r="BV92" i="1"/>
  <c r="BV55" i="1"/>
  <c r="BV446" i="1"/>
  <c r="BV320" i="1"/>
  <c r="BV78" i="1"/>
  <c r="BV107" i="1"/>
  <c r="BV67" i="1"/>
  <c r="BV68" i="1"/>
  <c r="BV58" i="1"/>
  <c r="BV70" i="1"/>
  <c r="BV380" i="1"/>
  <c r="BV101" i="1"/>
  <c r="BV522" i="1"/>
  <c r="BV81" i="1"/>
  <c r="BV45" i="1"/>
  <c r="BV98" i="1"/>
  <c r="BV443" i="1"/>
  <c r="BV99" i="1"/>
  <c r="BV83" i="1"/>
  <c r="BV76" i="1"/>
  <c r="BV72" i="1"/>
  <c r="BV585" i="1"/>
  <c r="BV50" i="1"/>
  <c r="BV102" i="1"/>
  <c r="BV41" i="1"/>
  <c r="BV37" i="1"/>
  <c r="BV84" i="1"/>
  <c r="BV570" i="1"/>
  <c r="BV393" i="1"/>
  <c r="BV444" i="1"/>
  <c r="BV77" i="1"/>
  <c r="BV456" i="1"/>
  <c r="BV332" i="1"/>
  <c r="AJ381" i="1"/>
  <c r="AJ382" i="1"/>
  <c r="AJ111" i="1"/>
  <c r="AJ507" i="1"/>
  <c r="AJ58" i="1"/>
  <c r="AJ40" i="1"/>
  <c r="AJ53" i="1"/>
  <c r="AJ38" i="1"/>
  <c r="AJ317" i="1"/>
  <c r="AJ101" i="1"/>
  <c r="AJ87" i="1"/>
  <c r="AJ64" i="1"/>
  <c r="AJ114" i="1"/>
  <c r="AJ48" i="1"/>
  <c r="AJ42" i="1"/>
  <c r="AJ75" i="1"/>
  <c r="AJ395" i="1"/>
  <c r="AJ330" i="1"/>
  <c r="AJ62" i="1"/>
  <c r="AJ445" i="1"/>
  <c r="AJ93" i="1"/>
  <c r="AJ380" i="1"/>
  <c r="AJ39" i="1"/>
  <c r="AJ120" i="1"/>
  <c r="AJ67" i="1"/>
  <c r="AJ59" i="1"/>
  <c r="AJ37" i="1"/>
  <c r="AJ124" i="1"/>
  <c r="AJ508" i="1"/>
  <c r="AJ320" i="1"/>
  <c r="AJ69" i="1"/>
  <c r="AJ109" i="1"/>
  <c r="AJ63" i="1"/>
  <c r="AJ41" i="1"/>
  <c r="AJ520" i="1"/>
  <c r="AJ103" i="1"/>
  <c r="AJ50" i="1"/>
  <c r="AJ86" i="1"/>
  <c r="AJ66" i="1"/>
  <c r="AJ72" i="1"/>
  <c r="AJ105" i="1"/>
  <c r="AJ573" i="1"/>
  <c r="AJ98" i="1"/>
  <c r="AJ57" i="1"/>
  <c r="AJ571" i="1"/>
  <c r="AJ47" i="1"/>
  <c r="AJ88" i="1"/>
  <c r="AJ99" i="1"/>
  <c r="AJ332" i="1"/>
  <c r="AJ36" i="1"/>
  <c r="AJ446" i="1"/>
  <c r="AJ510" i="1"/>
  <c r="AJ55" i="1"/>
  <c r="AJ65" i="1"/>
  <c r="AJ443" i="1"/>
  <c r="AJ82" i="1"/>
  <c r="AJ81" i="1"/>
  <c r="AJ43" i="1"/>
  <c r="AJ383" i="1"/>
  <c r="AJ112" i="1"/>
  <c r="AJ92" i="1"/>
  <c r="AJ319" i="1"/>
  <c r="AJ102" i="1"/>
  <c r="AJ117" i="1"/>
  <c r="AJ91" i="1"/>
  <c r="AJ77" i="1"/>
  <c r="AJ115" i="1"/>
  <c r="AJ570" i="1"/>
  <c r="AJ100" i="1"/>
  <c r="AJ458" i="1"/>
  <c r="AJ94" i="1"/>
  <c r="AJ585" i="1"/>
  <c r="AJ83" i="1"/>
  <c r="AJ572" i="1"/>
  <c r="AJ85" i="1"/>
  <c r="AJ444" i="1"/>
  <c r="AJ70" i="1"/>
  <c r="AJ95" i="1"/>
  <c r="AJ90" i="1"/>
  <c r="AJ522" i="1"/>
  <c r="AJ583" i="1"/>
  <c r="AJ44" i="1"/>
  <c r="AJ84" i="1"/>
  <c r="AJ393" i="1"/>
  <c r="AJ71" i="1"/>
  <c r="AJ68" i="1"/>
  <c r="AJ113" i="1"/>
  <c r="AJ73" i="1"/>
  <c r="AJ74" i="1"/>
  <c r="AJ54" i="1"/>
  <c r="AJ56" i="1"/>
  <c r="AJ506" i="1"/>
  <c r="AJ49" i="1"/>
  <c r="AJ104" i="1"/>
  <c r="AJ46" i="1"/>
  <c r="AJ107" i="1"/>
  <c r="AJ108" i="1"/>
  <c r="AJ106" i="1"/>
  <c r="AJ45" i="1"/>
  <c r="AJ318" i="1"/>
  <c r="AJ78" i="1"/>
  <c r="AJ76" i="1"/>
  <c r="AJ456" i="1"/>
  <c r="AJ116" i="1"/>
  <c r="AJ89" i="1"/>
  <c r="BT108" i="1"/>
  <c r="BT124" i="1"/>
  <c r="BT117" i="1"/>
  <c r="BT37" i="1"/>
  <c r="BT72" i="1"/>
  <c r="BT383" i="1"/>
  <c r="BT75" i="1"/>
  <c r="BT319" i="1"/>
  <c r="BT94" i="1"/>
  <c r="BT74" i="1"/>
  <c r="BT382" i="1"/>
  <c r="BT572" i="1"/>
  <c r="BT82" i="1"/>
  <c r="BT39" i="1"/>
  <c r="BT88" i="1"/>
  <c r="BT64" i="1"/>
  <c r="BT320" i="1"/>
  <c r="BT43" i="1"/>
  <c r="BT63" i="1"/>
  <c r="BT103" i="1"/>
  <c r="BT86" i="1"/>
  <c r="BT101" i="1"/>
  <c r="BT85" i="1"/>
  <c r="BT41" i="1"/>
  <c r="BT38" i="1"/>
  <c r="BT58" i="1"/>
  <c r="BT395" i="1"/>
  <c r="BT62" i="1"/>
  <c r="BT120" i="1"/>
  <c r="BT36" i="1"/>
  <c r="BT71" i="1"/>
  <c r="BT573" i="1"/>
  <c r="BT69" i="1"/>
  <c r="BT90" i="1"/>
  <c r="BT456" i="1"/>
  <c r="BT332" i="1"/>
  <c r="BT91" i="1"/>
  <c r="BT56" i="1"/>
  <c r="BT50" i="1"/>
  <c r="BT47" i="1"/>
  <c r="BT104" i="1"/>
  <c r="BT393" i="1"/>
  <c r="BT506" i="1"/>
  <c r="BT585" i="1"/>
  <c r="BT95" i="1"/>
  <c r="BT100" i="1"/>
  <c r="BT70" i="1"/>
  <c r="BT54" i="1"/>
  <c r="BT381" i="1"/>
  <c r="BT520" i="1"/>
  <c r="BT73" i="1"/>
  <c r="BT68" i="1"/>
  <c r="BT444" i="1"/>
  <c r="BT446" i="1"/>
  <c r="BT102" i="1"/>
  <c r="BT67" i="1"/>
  <c r="BT458" i="1"/>
  <c r="BT46" i="1"/>
  <c r="BT84" i="1"/>
  <c r="BT81" i="1"/>
  <c r="BT106" i="1"/>
  <c r="BT83" i="1"/>
  <c r="BT571" i="1"/>
  <c r="BT522" i="1"/>
  <c r="BT57" i="1"/>
  <c r="BT65" i="1"/>
  <c r="BT317" i="1"/>
  <c r="BT93" i="1"/>
  <c r="BT49" i="1"/>
  <c r="BT111" i="1"/>
  <c r="BT59" i="1"/>
  <c r="BT87" i="1"/>
  <c r="BT330" i="1"/>
  <c r="BT48" i="1"/>
  <c r="BT98" i="1"/>
  <c r="BT114" i="1"/>
  <c r="BT445" i="1"/>
  <c r="BT318" i="1"/>
  <c r="BT66" i="1"/>
  <c r="BT40" i="1"/>
  <c r="BT112" i="1"/>
  <c r="BT76" i="1"/>
  <c r="BT89" i="1"/>
  <c r="BT53" i="1"/>
  <c r="BT42" i="1"/>
  <c r="BT116" i="1"/>
  <c r="BT55" i="1"/>
  <c r="BT510" i="1"/>
  <c r="BT380" i="1"/>
  <c r="BT570" i="1"/>
  <c r="BT508" i="1"/>
  <c r="BT113" i="1"/>
  <c r="BT44" i="1"/>
  <c r="BT105" i="1"/>
  <c r="BT45" i="1"/>
  <c r="BT107" i="1"/>
  <c r="BT507" i="1"/>
  <c r="BT77" i="1"/>
  <c r="BT99" i="1"/>
  <c r="BT583" i="1"/>
  <c r="BT92" i="1"/>
  <c r="BT109" i="1"/>
  <c r="BT115" i="1"/>
  <c r="BT443" i="1"/>
  <c r="BT78" i="1"/>
  <c r="AV75" i="1"/>
  <c r="AV74" i="1"/>
  <c r="AV78" i="1"/>
  <c r="AV64" i="1"/>
  <c r="AV382" i="1"/>
  <c r="AV318" i="1"/>
  <c r="AV90" i="1"/>
  <c r="AV86" i="1"/>
  <c r="AV395" i="1"/>
  <c r="AV92" i="1"/>
  <c r="AV40" i="1"/>
  <c r="AV63" i="1"/>
  <c r="AV77" i="1"/>
  <c r="AV83" i="1"/>
  <c r="AV317" i="1"/>
  <c r="AV70" i="1"/>
  <c r="AV508" i="1"/>
  <c r="AV446" i="1"/>
  <c r="AV330" i="1"/>
  <c r="AV49" i="1"/>
  <c r="AV114" i="1"/>
  <c r="AV59" i="1"/>
  <c r="AV41" i="1"/>
  <c r="AV73" i="1"/>
  <c r="AV85" i="1"/>
  <c r="AV115" i="1"/>
  <c r="AV104" i="1"/>
  <c r="AV583" i="1"/>
  <c r="AV510" i="1"/>
  <c r="AV50" i="1"/>
  <c r="AV68" i="1"/>
  <c r="AV71" i="1"/>
  <c r="AV72" i="1"/>
  <c r="AV107" i="1"/>
  <c r="AV393" i="1"/>
  <c r="AV320" i="1"/>
  <c r="AV585" i="1"/>
  <c r="AV108" i="1"/>
  <c r="AV88" i="1"/>
  <c r="AV89" i="1"/>
  <c r="AV456" i="1"/>
  <c r="AV82" i="1"/>
  <c r="AV45" i="1"/>
  <c r="AV81" i="1"/>
  <c r="AV54" i="1"/>
  <c r="AV93" i="1"/>
  <c r="AV570" i="1"/>
  <c r="AV38" i="1"/>
  <c r="AV100" i="1"/>
  <c r="AV84" i="1"/>
  <c r="AV62" i="1"/>
  <c r="AV113" i="1"/>
  <c r="AV53" i="1"/>
  <c r="AV58" i="1"/>
  <c r="AV65" i="1"/>
  <c r="AV57" i="1"/>
  <c r="AV124" i="1"/>
  <c r="AV383" i="1"/>
  <c r="AV42" i="1"/>
  <c r="AV443" i="1"/>
  <c r="AV112" i="1"/>
  <c r="AV116" i="1"/>
  <c r="AV69" i="1"/>
  <c r="AV67" i="1"/>
  <c r="AV120" i="1"/>
  <c r="AV55" i="1"/>
  <c r="AV520" i="1"/>
  <c r="AV95" i="1"/>
  <c r="AV522" i="1"/>
  <c r="AV102" i="1"/>
  <c r="AV573" i="1"/>
  <c r="AV445" i="1"/>
  <c r="AV47" i="1"/>
  <c r="AV87" i="1"/>
  <c r="AV332" i="1"/>
  <c r="AV458" i="1"/>
  <c r="AV506" i="1"/>
  <c r="AV571" i="1"/>
  <c r="AV101" i="1"/>
  <c r="AV319" i="1"/>
  <c r="AV117" i="1"/>
  <c r="AV103" i="1"/>
  <c r="AV56" i="1"/>
  <c r="AV36" i="1"/>
  <c r="AV76" i="1"/>
  <c r="AV507" i="1"/>
  <c r="AV37" i="1"/>
  <c r="AV94" i="1"/>
  <c r="AV91" i="1"/>
  <c r="AV111" i="1"/>
  <c r="AV381" i="1"/>
  <c r="AV48" i="1"/>
  <c r="AV98" i="1"/>
  <c r="AV66" i="1"/>
  <c r="AV572" i="1"/>
  <c r="AV109" i="1"/>
  <c r="AV106" i="1"/>
  <c r="AV105" i="1"/>
  <c r="AV43" i="1"/>
  <c r="AV39" i="1"/>
  <c r="AV444" i="1"/>
  <c r="AV380" i="1"/>
  <c r="AV44" i="1"/>
  <c r="AV46" i="1"/>
  <c r="AV99" i="1"/>
  <c r="AN46" i="1"/>
  <c r="AN88" i="1"/>
  <c r="AN318" i="1"/>
  <c r="AN381" i="1"/>
  <c r="AN443" i="1"/>
  <c r="AN106" i="1"/>
  <c r="AN507" i="1"/>
  <c r="AN104" i="1"/>
  <c r="AN506" i="1"/>
  <c r="AN445" i="1"/>
  <c r="AN113" i="1"/>
  <c r="AN102" i="1"/>
  <c r="AN571" i="1"/>
  <c r="AN383" i="1"/>
  <c r="AN101" i="1"/>
  <c r="AN64" i="1"/>
  <c r="AN456" i="1"/>
  <c r="AN320" i="1"/>
  <c r="AN508" i="1"/>
  <c r="AN319" i="1"/>
  <c r="AN330" i="1"/>
  <c r="AN100" i="1"/>
  <c r="AN583" i="1"/>
  <c r="AN393" i="1"/>
  <c r="AN395" i="1"/>
  <c r="AN382" i="1"/>
  <c r="AN111" i="1"/>
  <c r="AN45" i="1"/>
  <c r="AN444" i="1"/>
  <c r="AN78" i="1"/>
  <c r="AN570" i="1"/>
  <c r="AN317" i="1"/>
  <c r="AN84" i="1"/>
  <c r="AN75" i="1"/>
  <c r="AN103" i="1"/>
  <c r="AN72" i="1"/>
  <c r="AN40" i="1"/>
  <c r="AN585" i="1"/>
  <c r="AN91" i="1"/>
  <c r="AN50" i="1"/>
  <c r="AN109" i="1"/>
  <c r="AN83" i="1"/>
  <c r="AN41" i="1"/>
  <c r="AN37" i="1"/>
  <c r="AN124" i="1"/>
  <c r="AN69" i="1"/>
  <c r="AN116" i="1"/>
  <c r="AN71" i="1"/>
  <c r="AN42" i="1"/>
  <c r="AN56" i="1"/>
  <c r="AN49" i="1"/>
  <c r="AN107" i="1"/>
  <c r="AN458" i="1"/>
  <c r="AN85" i="1"/>
  <c r="AN95" i="1"/>
  <c r="AN76" i="1"/>
  <c r="AN48" i="1"/>
  <c r="AN573" i="1"/>
  <c r="AN98" i="1"/>
  <c r="AN114" i="1"/>
  <c r="AN38" i="1"/>
  <c r="AN510" i="1"/>
  <c r="AN59" i="1"/>
  <c r="AN112" i="1"/>
  <c r="AN520" i="1"/>
  <c r="AN572" i="1"/>
  <c r="AN58" i="1"/>
  <c r="AN63" i="1"/>
  <c r="AN332" i="1"/>
  <c r="AN54" i="1"/>
  <c r="AN57" i="1"/>
  <c r="AN117" i="1"/>
  <c r="AN47" i="1"/>
  <c r="AN36" i="1"/>
  <c r="AN82" i="1"/>
  <c r="AN446" i="1"/>
  <c r="AN73" i="1"/>
  <c r="AN66" i="1"/>
  <c r="AN67" i="1"/>
  <c r="AN70" i="1"/>
  <c r="AN115" i="1"/>
  <c r="AN81" i="1"/>
  <c r="AN65" i="1"/>
  <c r="AN74" i="1"/>
  <c r="AN86" i="1"/>
  <c r="AN522" i="1"/>
  <c r="AN120" i="1"/>
  <c r="AN92" i="1"/>
  <c r="AN43" i="1"/>
  <c r="AN55" i="1"/>
  <c r="AN94" i="1"/>
  <c r="AN93" i="1"/>
  <c r="AN380" i="1"/>
  <c r="AN68" i="1"/>
  <c r="AN44" i="1"/>
  <c r="AN105" i="1"/>
  <c r="AN39" i="1"/>
  <c r="AN77" i="1"/>
  <c r="AN99" i="1"/>
  <c r="AN53" i="1"/>
  <c r="AN62" i="1"/>
  <c r="AN87" i="1"/>
  <c r="AN108" i="1"/>
  <c r="AN89" i="1"/>
  <c r="AN90" i="1"/>
  <c r="BD87" i="1"/>
  <c r="BD507" i="1"/>
  <c r="BD43" i="1"/>
  <c r="BD319" i="1"/>
  <c r="BD383" i="1"/>
  <c r="BD114" i="1"/>
  <c r="BD109" i="1"/>
  <c r="BD62" i="1"/>
  <c r="BD92" i="1"/>
  <c r="BD54" i="1"/>
  <c r="BD124" i="1"/>
  <c r="BD508" i="1"/>
  <c r="BD444" i="1"/>
  <c r="BD506" i="1"/>
  <c r="BD332" i="1"/>
  <c r="BD330" i="1"/>
  <c r="BD94" i="1"/>
  <c r="BD393" i="1"/>
  <c r="BD571" i="1"/>
  <c r="BD95" i="1"/>
  <c r="BD116" i="1"/>
  <c r="BD58" i="1"/>
  <c r="BD120" i="1"/>
  <c r="BD76" i="1"/>
  <c r="BD382" i="1"/>
  <c r="BD91" i="1"/>
  <c r="BD66" i="1"/>
  <c r="BD38" i="1"/>
  <c r="BD70" i="1"/>
  <c r="BD108" i="1"/>
  <c r="BD74" i="1"/>
  <c r="BD573" i="1"/>
  <c r="BD71" i="1"/>
  <c r="BD583" i="1"/>
  <c r="BD458" i="1"/>
  <c r="BD55" i="1"/>
  <c r="BD103" i="1"/>
  <c r="BD102" i="1"/>
  <c r="BD570" i="1"/>
  <c r="BD53" i="1"/>
  <c r="BD81" i="1"/>
  <c r="BD85" i="1"/>
  <c r="BD49" i="1"/>
  <c r="BD101" i="1"/>
  <c r="BD112" i="1"/>
  <c r="BD57" i="1"/>
  <c r="BD73" i="1"/>
  <c r="BD115" i="1"/>
  <c r="BD113" i="1"/>
  <c r="BD456" i="1"/>
  <c r="BD522" i="1"/>
  <c r="BD446" i="1"/>
  <c r="BD40" i="1"/>
  <c r="BD41" i="1"/>
  <c r="BD510" i="1"/>
  <c r="BD50" i="1"/>
  <c r="BD82" i="1"/>
  <c r="BD78" i="1"/>
  <c r="BD380" i="1"/>
  <c r="BD90" i="1"/>
  <c r="BD320" i="1"/>
  <c r="BD585" i="1"/>
  <c r="BD84" i="1"/>
  <c r="BD65" i="1"/>
  <c r="BD86" i="1"/>
  <c r="BD83" i="1"/>
  <c r="BD48" i="1"/>
  <c r="BD63" i="1"/>
  <c r="BD68" i="1"/>
  <c r="BD100" i="1"/>
  <c r="BD93" i="1"/>
  <c r="BD67" i="1"/>
  <c r="BD72" i="1"/>
  <c r="BD572" i="1"/>
  <c r="BD56" i="1"/>
  <c r="BD445" i="1"/>
  <c r="BD88" i="1"/>
  <c r="BD75" i="1"/>
  <c r="BD59" i="1"/>
  <c r="BD47" i="1"/>
  <c r="BD104" i="1"/>
  <c r="BD318" i="1"/>
  <c r="BD37" i="1"/>
  <c r="BD381" i="1"/>
  <c r="BD46" i="1"/>
  <c r="BD443" i="1"/>
  <c r="BD69" i="1"/>
  <c r="BD395" i="1"/>
  <c r="BD520" i="1"/>
  <c r="BD317" i="1"/>
  <c r="BD117" i="1"/>
  <c r="BD64" i="1"/>
  <c r="BD111" i="1"/>
  <c r="BD98" i="1"/>
  <c r="BD42" i="1"/>
  <c r="BD44" i="1"/>
  <c r="BD105" i="1"/>
  <c r="BD107" i="1"/>
  <c r="BD39" i="1"/>
  <c r="BD106" i="1"/>
  <c r="BD45" i="1"/>
  <c r="BD36" i="1"/>
  <c r="BD77" i="1"/>
  <c r="BD99" i="1"/>
  <c r="BD89" i="1"/>
  <c r="BL101" i="1"/>
  <c r="BL90" i="1"/>
  <c r="BL104" i="1"/>
  <c r="BL99" i="1"/>
  <c r="BL508" i="1"/>
  <c r="BL64" i="1"/>
  <c r="BL507" i="1"/>
  <c r="BL53" i="1"/>
  <c r="BL585" i="1"/>
  <c r="BL70" i="1"/>
  <c r="BL572" i="1"/>
  <c r="BL573" i="1"/>
  <c r="BL42" i="1"/>
  <c r="BL105" i="1"/>
  <c r="BL75" i="1"/>
  <c r="BL84" i="1"/>
  <c r="BL62" i="1"/>
  <c r="BL36" i="1"/>
  <c r="BL88" i="1"/>
  <c r="BL583" i="1"/>
  <c r="BL111" i="1"/>
  <c r="BL114" i="1"/>
  <c r="BL87" i="1"/>
  <c r="BL381" i="1"/>
  <c r="BL319" i="1"/>
  <c r="BL318" i="1"/>
  <c r="BL81" i="1"/>
  <c r="BL120" i="1"/>
  <c r="BL95" i="1"/>
  <c r="BL50" i="1"/>
  <c r="BL109" i="1"/>
  <c r="BL68" i="1"/>
  <c r="BL506" i="1"/>
  <c r="BL383" i="1"/>
  <c r="BL458" i="1"/>
  <c r="BL86" i="1"/>
  <c r="BL71" i="1"/>
  <c r="BL91" i="1"/>
  <c r="BL571" i="1"/>
  <c r="BL74" i="1"/>
  <c r="BL395" i="1"/>
  <c r="BL510" i="1"/>
  <c r="BL76" i="1"/>
  <c r="BL49" i="1"/>
  <c r="BL113" i="1"/>
  <c r="BL37" i="1"/>
  <c r="BL85" i="1"/>
  <c r="BL48" i="1"/>
  <c r="BL78" i="1"/>
  <c r="BL39" i="1"/>
  <c r="BL67" i="1"/>
  <c r="BL112" i="1"/>
  <c r="BL382" i="1"/>
  <c r="BL65" i="1"/>
  <c r="BL56" i="1"/>
  <c r="BL63" i="1"/>
  <c r="BL320" i="1"/>
  <c r="BL393" i="1"/>
  <c r="BL47" i="1"/>
  <c r="BL40" i="1"/>
  <c r="BL92" i="1"/>
  <c r="BL317" i="1"/>
  <c r="BL98" i="1"/>
  <c r="BL55" i="1"/>
  <c r="BL444" i="1"/>
  <c r="BL59" i="1"/>
  <c r="BL117" i="1"/>
  <c r="BL443" i="1"/>
  <c r="BL38" i="1"/>
  <c r="BL41" i="1"/>
  <c r="BL100" i="1"/>
  <c r="BL124" i="1"/>
  <c r="BL103" i="1"/>
  <c r="BL520" i="1"/>
  <c r="BL94" i="1"/>
  <c r="BL93" i="1"/>
  <c r="BL54" i="1"/>
  <c r="BL58" i="1"/>
  <c r="BL102" i="1"/>
  <c r="BL456" i="1"/>
  <c r="BL57" i="1"/>
  <c r="BL445" i="1"/>
  <c r="BL77" i="1"/>
  <c r="BL116" i="1"/>
  <c r="BL115" i="1"/>
  <c r="BL66" i="1"/>
  <c r="BL82" i="1"/>
  <c r="BL83" i="1"/>
  <c r="BL73" i="1"/>
  <c r="BL330" i="1"/>
  <c r="BL89" i="1"/>
  <c r="BL69" i="1"/>
  <c r="BL380" i="1"/>
  <c r="BL522" i="1"/>
  <c r="BL332" i="1"/>
  <c r="BL72" i="1"/>
  <c r="BL106" i="1"/>
  <c r="BL43" i="1"/>
  <c r="BL108" i="1"/>
  <c r="BL570" i="1"/>
  <c r="BL446" i="1"/>
  <c r="BL44" i="1"/>
  <c r="BL45" i="1"/>
  <c r="BL46" i="1"/>
  <c r="BL107" i="1"/>
  <c r="BP101" i="1"/>
  <c r="BP90" i="1"/>
  <c r="BP75" i="1"/>
  <c r="BP74" i="1"/>
  <c r="BP104" i="1"/>
  <c r="BP395" i="1"/>
  <c r="BP44" i="1"/>
  <c r="BP89" i="1"/>
  <c r="BP456" i="1"/>
  <c r="BP69" i="1"/>
  <c r="BP81" i="1"/>
  <c r="BP86" i="1"/>
  <c r="BP506" i="1"/>
  <c r="BP83" i="1"/>
  <c r="BP444" i="1"/>
  <c r="BP103" i="1"/>
  <c r="BP55" i="1"/>
  <c r="BP88" i="1"/>
  <c r="BP381" i="1"/>
  <c r="BP115" i="1"/>
  <c r="BP319" i="1"/>
  <c r="BP443" i="1"/>
  <c r="BP458" i="1"/>
  <c r="BP508" i="1"/>
  <c r="BP95" i="1"/>
  <c r="BP72" i="1"/>
  <c r="BP38" i="1"/>
  <c r="BP99" i="1"/>
  <c r="BP522" i="1"/>
  <c r="BP49" i="1"/>
  <c r="BP92" i="1"/>
  <c r="BP510" i="1"/>
  <c r="BP59" i="1"/>
  <c r="BP42" i="1"/>
  <c r="BP114" i="1"/>
  <c r="BP583" i="1"/>
  <c r="BP84" i="1"/>
  <c r="BP98" i="1"/>
  <c r="BP520" i="1"/>
  <c r="BP41" i="1"/>
  <c r="BP116" i="1"/>
  <c r="BP77" i="1"/>
  <c r="BP382" i="1"/>
  <c r="BP320" i="1"/>
  <c r="BP67" i="1"/>
  <c r="BP507" i="1"/>
  <c r="BP87" i="1"/>
  <c r="BP54" i="1"/>
  <c r="BP53" i="1"/>
  <c r="BP109" i="1"/>
  <c r="BP37" i="1"/>
  <c r="BP113" i="1"/>
  <c r="BP66" i="1"/>
  <c r="BP62" i="1"/>
  <c r="BP82" i="1"/>
  <c r="BP50" i="1"/>
  <c r="BP102" i="1"/>
  <c r="BP45" i="1"/>
  <c r="BP383" i="1"/>
  <c r="BP585" i="1"/>
  <c r="BP58" i="1"/>
  <c r="BP573" i="1"/>
  <c r="BP572" i="1"/>
  <c r="BP76" i="1"/>
  <c r="BP380" i="1"/>
  <c r="BP393" i="1"/>
  <c r="BP73" i="1"/>
  <c r="BP57" i="1"/>
  <c r="BP446" i="1"/>
  <c r="BP63" i="1"/>
  <c r="BP445" i="1"/>
  <c r="BP94" i="1"/>
  <c r="BP48" i="1"/>
  <c r="BP68" i="1"/>
  <c r="BP85" i="1"/>
  <c r="BP112" i="1"/>
  <c r="BP65" i="1"/>
  <c r="BP56" i="1"/>
  <c r="BP317" i="1"/>
  <c r="BP71" i="1"/>
  <c r="BP70" i="1"/>
  <c r="BP571" i="1"/>
  <c r="BP93" i="1"/>
  <c r="BP330" i="1"/>
  <c r="BP332" i="1"/>
  <c r="BP117" i="1"/>
  <c r="BP40" i="1"/>
  <c r="BP47" i="1"/>
  <c r="BP318" i="1"/>
  <c r="BP91" i="1"/>
  <c r="BP111" i="1"/>
  <c r="BP46" i="1"/>
  <c r="BP107" i="1"/>
  <c r="BP108" i="1"/>
  <c r="BP106" i="1"/>
  <c r="BP124" i="1"/>
  <c r="BP78" i="1"/>
  <c r="BP39" i="1"/>
  <c r="BP570" i="1"/>
  <c r="BP120" i="1"/>
  <c r="BP100" i="1"/>
  <c r="BP36" i="1"/>
  <c r="BP64" i="1"/>
  <c r="BP105" i="1"/>
  <c r="BP43" i="1"/>
  <c r="AC75" i="1"/>
  <c r="AC74" i="1"/>
  <c r="AC78" i="1"/>
  <c r="AC572" i="1"/>
  <c r="AC46" i="1"/>
  <c r="AC105" i="1"/>
  <c r="AC39" i="1"/>
  <c r="AC318" i="1"/>
  <c r="AC381" i="1"/>
  <c r="AC393" i="1"/>
  <c r="AC65" i="1"/>
  <c r="AC66" i="1"/>
  <c r="AC67" i="1"/>
  <c r="AC48" i="1"/>
  <c r="AC38" i="1"/>
  <c r="AC93" i="1"/>
  <c r="AC445" i="1"/>
  <c r="AC508" i="1"/>
  <c r="AC395" i="1"/>
  <c r="AC102" i="1"/>
  <c r="AC583" i="1"/>
  <c r="AC86" i="1"/>
  <c r="AC90" i="1"/>
  <c r="AC99" i="1"/>
  <c r="AC571" i="1"/>
  <c r="AC62" i="1"/>
  <c r="AC112" i="1"/>
  <c r="AC82" i="1"/>
  <c r="AC41" i="1"/>
  <c r="AC50" i="1"/>
  <c r="AC64" i="1"/>
  <c r="AC456" i="1"/>
  <c r="AC49" i="1"/>
  <c r="AC100" i="1"/>
  <c r="AC77" i="1"/>
  <c r="AC585" i="1"/>
  <c r="AC81" i="1"/>
  <c r="AC54" i="1"/>
  <c r="AC47" i="1"/>
  <c r="AC446" i="1"/>
  <c r="AC109" i="1"/>
  <c r="AC520" i="1"/>
  <c r="AC92" i="1"/>
  <c r="AC85" i="1"/>
  <c r="AC510" i="1"/>
  <c r="AC91" i="1"/>
  <c r="AC83" i="1"/>
  <c r="AC56" i="1"/>
  <c r="AC42" i="1"/>
  <c r="AC88" i="1"/>
  <c r="AC332" i="1"/>
  <c r="AC95" i="1"/>
  <c r="AC70" i="1"/>
  <c r="AC320" i="1"/>
  <c r="AC71" i="1"/>
  <c r="AC84" i="1"/>
  <c r="AC72" i="1"/>
  <c r="AC114" i="1"/>
  <c r="AC76" i="1"/>
  <c r="AC444" i="1"/>
  <c r="AC63" i="1"/>
  <c r="AC573" i="1"/>
  <c r="AC68" i="1"/>
  <c r="AC69" i="1"/>
  <c r="AC117" i="1"/>
  <c r="AC53" i="1"/>
  <c r="AC570" i="1"/>
  <c r="AC443" i="1"/>
  <c r="AC115" i="1"/>
  <c r="AC330" i="1"/>
  <c r="AC98" i="1"/>
  <c r="AC57" i="1"/>
  <c r="AC319" i="1"/>
  <c r="AC522" i="1"/>
  <c r="AC55" i="1"/>
  <c r="AC113" i="1"/>
  <c r="AC44" i="1"/>
  <c r="AC94" i="1"/>
  <c r="AC73" i="1"/>
  <c r="AC380" i="1"/>
  <c r="AC124" i="1"/>
  <c r="AC116" i="1"/>
  <c r="AC507" i="1"/>
  <c r="AC317" i="1"/>
  <c r="AC36" i="1"/>
  <c r="AC89" i="1"/>
  <c r="AC108" i="1"/>
  <c r="AC458" i="1"/>
  <c r="AC383" i="1"/>
  <c r="AC59" i="1"/>
  <c r="AC111" i="1"/>
  <c r="AC87" i="1"/>
  <c r="AC37" i="1"/>
  <c r="AC40" i="1"/>
  <c r="AC58" i="1"/>
  <c r="AC45" i="1"/>
  <c r="AC106" i="1"/>
  <c r="AC43" i="1"/>
  <c r="AC382" i="1"/>
  <c r="AC104" i="1"/>
  <c r="AC101" i="1"/>
  <c r="AC103" i="1"/>
  <c r="AC506" i="1"/>
  <c r="AC107" i="1"/>
  <c r="AR77" i="1"/>
  <c r="AR101" i="1"/>
  <c r="AR74" i="1"/>
  <c r="AR78" i="1"/>
  <c r="AR104" i="1"/>
  <c r="AR64" i="1"/>
  <c r="AR87" i="1"/>
  <c r="AR85" i="1"/>
  <c r="AR573" i="1"/>
  <c r="AR320" i="1"/>
  <c r="AR380" i="1"/>
  <c r="AR65" i="1"/>
  <c r="AR510" i="1"/>
  <c r="AR69" i="1"/>
  <c r="AR50" i="1"/>
  <c r="AR445" i="1"/>
  <c r="AR83" i="1"/>
  <c r="AR59" i="1"/>
  <c r="AR124" i="1"/>
  <c r="AR319" i="1"/>
  <c r="AR395" i="1"/>
  <c r="AR317" i="1"/>
  <c r="AR95" i="1"/>
  <c r="AR73" i="1"/>
  <c r="AR72" i="1"/>
  <c r="AR84" i="1"/>
  <c r="AR45" i="1"/>
  <c r="AR90" i="1"/>
  <c r="AR382" i="1"/>
  <c r="AR103" i="1"/>
  <c r="AR393" i="1"/>
  <c r="AR82" i="1"/>
  <c r="AR102" i="1"/>
  <c r="AR381" i="1"/>
  <c r="AR88" i="1"/>
  <c r="AR89" i="1"/>
  <c r="AR571" i="1"/>
  <c r="AR115" i="1"/>
  <c r="AR67" i="1"/>
  <c r="AR585" i="1"/>
  <c r="AR520" i="1"/>
  <c r="AR71" i="1"/>
  <c r="AR105" i="1"/>
  <c r="AR443" i="1"/>
  <c r="AR572" i="1"/>
  <c r="AR68" i="1"/>
  <c r="AR56" i="1"/>
  <c r="AR506" i="1"/>
  <c r="AR458" i="1"/>
  <c r="AR444" i="1"/>
  <c r="AR42" i="1"/>
  <c r="AR570" i="1"/>
  <c r="AR47" i="1"/>
  <c r="AR383" i="1"/>
  <c r="AR113" i="1"/>
  <c r="AR318" i="1"/>
  <c r="AR109" i="1"/>
  <c r="AR40" i="1"/>
  <c r="AR49" i="1"/>
  <c r="AR583" i="1"/>
  <c r="AR446" i="1"/>
  <c r="AR94" i="1"/>
  <c r="AR53" i="1"/>
  <c r="AR62" i="1"/>
  <c r="AR48" i="1"/>
  <c r="AR112" i="1"/>
  <c r="AR99" i="1"/>
  <c r="AR91" i="1"/>
  <c r="AR36" i="1"/>
  <c r="AR81" i="1"/>
  <c r="AR456" i="1"/>
  <c r="AR508" i="1"/>
  <c r="AR114" i="1"/>
  <c r="AR37" i="1"/>
  <c r="AR111" i="1"/>
  <c r="AR54" i="1"/>
  <c r="AR116" i="1"/>
  <c r="AR117" i="1"/>
  <c r="AR100" i="1"/>
  <c r="AR58" i="1"/>
  <c r="AR507" i="1"/>
  <c r="AR92" i="1"/>
  <c r="AR120" i="1"/>
  <c r="AR66" i="1"/>
  <c r="AR41" i="1"/>
  <c r="AR43" i="1"/>
  <c r="AR93" i="1"/>
  <c r="AR38" i="1"/>
  <c r="AR522" i="1"/>
  <c r="AR76" i="1"/>
  <c r="AR63" i="1"/>
  <c r="AR98" i="1"/>
  <c r="AR55" i="1"/>
  <c r="AR70" i="1"/>
  <c r="AR57" i="1"/>
  <c r="AR39" i="1"/>
  <c r="AR46" i="1"/>
  <c r="AR332" i="1"/>
  <c r="AR107" i="1"/>
  <c r="AR86" i="1"/>
  <c r="AR330" i="1"/>
  <c r="AR108" i="1"/>
  <c r="AR106" i="1"/>
  <c r="AR75" i="1"/>
  <c r="AR44" i="1"/>
  <c r="AF99" i="1"/>
  <c r="AF382" i="1"/>
  <c r="AF320" i="1"/>
  <c r="AF381" i="1"/>
  <c r="AF77" i="1"/>
  <c r="AF393" i="1"/>
  <c r="AF111" i="1"/>
  <c r="AF83" i="1"/>
  <c r="AF103" i="1"/>
  <c r="AF45" i="1"/>
  <c r="AF39" i="1"/>
  <c r="AF89" i="1"/>
  <c r="AF380" i="1"/>
  <c r="AF319" i="1"/>
  <c r="AF317" i="1"/>
  <c r="AF508" i="1"/>
  <c r="AF62" i="1"/>
  <c r="AF332" i="1"/>
  <c r="AF37" i="1"/>
  <c r="AF117" i="1"/>
  <c r="AF65" i="1"/>
  <c r="AF78" i="1"/>
  <c r="AF444" i="1"/>
  <c r="AF520" i="1"/>
  <c r="AF573" i="1"/>
  <c r="AF49" i="1"/>
  <c r="AF456" i="1"/>
  <c r="AF507" i="1"/>
  <c r="AF445" i="1"/>
  <c r="AF55" i="1"/>
  <c r="AF510" i="1"/>
  <c r="AF94" i="1"/>
  <c r="AF114" i="1"/>
  <c r="AF571" i="1"/>
  <c r="AF67" i="1"/>
  <c r="AF36" i="1"/>
  <c r="AF58" i="1"/>
  <c r="AF100" i="1"/>
  <c r="AF56" i="1"/>
  <c r="AF76" i="1"/>
  <c r="AF73" i="1"/>
  <c r="AF112" i="1"/>
  <c r="AF318" i="1"/>
  <c r="AF98" i="1"/>
  <c r="AF72" i="1"/>
  <c r="AF53" i="1"/>
  <c r="AF583" i="1"/>
  <c r="AF95" i="1"/>
  <c r="AF68" i="1"/>
  <c r="AF75" i="1"/>
  <c r="AF572" i="1"/>
  <c r="AF82" i="1"/>
  <c r="AF91" i="1"/>
  <c r="AF40" i="1"/>
  <c r="AF41" i="1"/>
  <c r="AF522" i="1"/>
  <c r="AF71" i="1"/>
  <c r="AF116" i="1"/>
  <c r="AF395" i="1"/>
  <c r="AF443" i="1"/>
  <c r="AF63" i="1"/>
  <c r="AF88" i="1"/>
  <c r="AF383" i="1"/>
  <c r="AF124" i="1"/>
  <c r="AF59" i="1"/>
  <c r="AF54" i="1"/>
  <c r="AF47" i="1"/>
  <c r="AF585" i="1"/>
  <c r="AF120" i="1"/>
  <c r="AF93" i="1"/>
  <c r="AF48" i="1"/>
  <c r="AF102" i="1"/>
  <c r="AF115" i="1"/>
  <c r="AF70" i="1"/>
  <c r="AF92" i="1"/>
  <c r="AF57" i="1"/>
  <c r="AF446" i="1"/>
  <c r="AF109" i="1"/>
  <c r="AF42" i="1"/>
  <c r="AF330" i="1"/>
  <c r="AF113" i="1"/>
  <c r="AF84" i="1"/>
  <c r="AF38" i="1"/>
  <c r="AF46" i="1"/>
  <c r="AF458" i="1"/>
  <c r="AF66" i="1"/>
  <c r="AF506" i="1"/>
  <c r="AF570" i="1"/>
  <c r="AF69" i="1"/>
  <c r="AF87" i="1"/>
  <c r="AF50" i="1"/>
  <c r="AF85" i="1"/>
  <c r="AF106" i="1"/>
  <c r="AF107" i="1"/>
  <c r="AF105" i="1"/>
  <c r="AF44" i="1"/>
  <c r="AF86" i="1"/>
  <c r="AF81" i="1"/>
  <c r="AF64" i="1"/>
  <c r="AF104" i="1"/>
  <c r="AF90" i="1"/>
  <c r="AF101" i="1"/>
  <c r="AF43" i="1"/>
  <c r="AF74" i="1"/>
  <c r="AF108" i="1"/>
  <c r="BH88" i="1"/>
  <c r="BH444" i="1"/>
  <c r="BH508" i="1"/>
  <c r="BH78" i="1"/>
  <c r="BH383" i="1"/>
  <c r="BH111" i="1"/>
  <c r="BH112" i="1"/>
  <c r="BH115" i="1"/>
  <c r="BH91" i="1"/>
  <c r="BH85" i="1"/>
  <c r="BH570" i="1"/>
  <c r="BH380" i="1"/>
  <c r="BH89" i="1"/>
  <c r="BH458" i="1"/>
  <c r="BH94" i="1"/>
  <c r="BH332" i="1"/>
  <c r="BH84" i="1"/>
  <c r="BH95" i="1"/>
  <c r="BH57" i="1"/>
  <c r="BH87" i="1"/>
  <c r="BH100" i="1"/>
  <c r="BH116" i="1"/>
  <c r="BH506" i="1"/>
  <c r="BH38" i="1"/>
  <c r="BH108" i="1"/>
  <c r="BH74" i="1"/>
  <c r="BH320" i="1"/>
  <c r="BH381" i="1"/>
  <c r="BH101" i="1"/>
  <c r="BH104" i="1"/>
  <c r="BH120" i="1"/>
  <c r="BH109" i="1"/>
  <c r="BH507" i="1"/>
  <c r="BH69" i="1"/>
  <c r="BH42" i="1"/>
  <c r="BH571" i="1"/>
  <c r="BH65" i="1"/>
  <c r="BH319" i="1"/>
  <c r="BH510" i="1"/>
  <c r="BH82" i="1"/>
  <c r="BH54" i="1"/>
  <c r="BH522" i="1"/>
  <c r="BH55" i="1"/>
  <c r="BH71" i="1"/>
  <c r="BH583" i="1"/>
  <c r="BH76" i="1"/>
  <c r="BH124" i="1"/>
  <c r="BH520" i="1"/>
  <c r="BH58" i="1"/>
  <c r="BH117" i="1"/>
  <c r="BH62" i="1"/>
  <c r="BH43" i="1"/>
  <c r="BH39" i="1"/>
  <c r="BH86" i="1"/>
  <c r="BH56" i="1"/>
  <c r="BH41" i="1"/>
  <c r="BH66" i="1"/>
  <c r="BH102" i="1"/>
  <c r="BH443" i="1"/>
  <c r="BH113" i="1"/>
  <c r="BH99" i="1"/>
  <c r="BH317" i="1"/>
  <c r="BH72" i="1"/>
  <c r="BH67" i="1"/>
  <c r="BH44" i="1"/>
  <c r="BH90" i="1"/>
  <c r="BH98" i="1"/>
  <c r="BH81" i="1"/>
  <c r="BH77" i="1"/>
  <c r="BH446" i="1"/>
  <c r="BH59" i="1"/>
  <c r="BH40" i="1"/>
  <c r="BH445" i="1"/>
  <c r="BH318" i="1"/>
  <c r="BH37" i="1"/>
  <c r="BH92" i="1"/>
  <c r="BH393" i="1"/>
  <c r="BH572" i="1"/>
  <c r="BH456" i="1"/>
  <c r="BH382" i="1"/>
  <c r="BH63" i="1"/>
  <c r="BH573" i="1"/>
  <c r="BH48" i="1"/>
  <c r="BH50" i="1"/>
  <c r="BH75" i="1"/>
  <c r="BH73" i="1"/>
  <c r="BH114" i="1"/>
  <c r="BH64" i="1"/>
  <c r="BH68" i="1"/>
  <c r="BH70" i="1"/>
  <c r="BH36" i="1"/>
  <c r="BH53" i="1"/>
  <c r="BH47" i="1"/>
  <c r="BH83" i="1"/>
  <c r="BH93" i="1"/>
  <c r="BH49" i="1"/>
  <c r="BH103" i="1"/>
  <c r="BH46" i="1"/>
  <c r="BH107" i="1"/>
  <c r="BH105" i="1"/>
  <c r="BH585" i="1"/>
  <c r="BH395" i="1"/>
  <c r="BH330" i="1"/>
  <c r="BH45" i="1"/>
  <c r="BH106" i="1"/>
  <c r="AZ383" i="1"/>
  <c r="AZ87" i="1"/>
  <c r="AZ317" i="1"/>
  <c r="AZ100" i="1"/>
  <c r="AZ443" i="1"/>
  <c r="AZ69" i="1"/>
  <c r="AZ77" i="1"/>
  <c r="AZ382" i="1"/>
  <c r="AZ117" i="1"/>
  <c r="AZ571" i="1"/>
  <c r="AZ111" i="1"/>
  <c r="AZ91" i="1"/>
  <c r="AZ66" i="1"/>
  <c r="AZ49" i="1"/>
  <c r="AZ47" i="1"/>
  <c r="AZ444" i="1"/>
  <c r="AZ445" i="1"/>
  <c r="AZ70" i="1"/>
  <c r="AZ37" i="1"/>
  <c r="AZ54" i="1"/>
  <c r="AZ62" i="1"/>
  <c r="AZ332" i="1"/>
  <c r="AZ112" i="1"/>
  <c r="AZ330" i="1"/>
  <c r="AZ113" i="1"/>
  <c r="AZ104" i="1"/>
  <c r="AZ319" i="1"/>
  <c r="AZ65" i="1"/>
  <c r="AZ39" i="1"/>
  <c r="AZ115" i="1"/>
  <c r="AZ583" i="1"/>
  <c r="AZ456" i="1"/>
  <c r="AZ109" i="1"/>
  <c r="AZ88" i="1"/>
  <c r="AZ89" i="1"/>
  <c r="AZ124" i="1"/>
  <c r="AZ458" i="1"/>
  <c r="AZ36" i="1"/>
  <c r="AZ395" i="1"/>
  <c r="AZ67" i="1"/>
  <c r="AZ572" i="1"/>
  <c r="AZ81" i="1"/>
  <c r="AZ72" i="1"/>
  <c r="AZ75" i="1"/>
  <c r="AZ74" i="1"/>
  <c r="AZ94" i="1"/>
  <c r="AZ95" i="1"/>
  <c r="AZ114" i="1"/>
  <c r="AZ63" i="1"/>
  <c r="AZ57" i="1"/>
  <c r="AZ38" i="1"/>
  <c r="AZ102" i="1"/>
  <c r="AZ507" i="1"/>
  <c r="AZ506" i="1"/>
  <c r="AZ85" i="1"/>
  <c r="AZ73" i="1"/>
  <c r="AZ42" i="1"/>
  <c r="AZ92" i="1"/>
  <c r="AZ71" i="1"/>
  <c r="AZ53" i="1"/>
  <c r="AZ570" i="1"/>
  <c r="AZ83" i="1"/>
  <c r="AZ48" i="1"/>
  <c r="AZ84" i="1"/>
  <c r="AZ55" i="1"/>
  <c r="AZ56" i="1"/>
  <c r="AZ585" i="1"/>
  <c r="AZ120" i="1"/>
  <c r="AZ59" i="1"/>
  <c r="AZ86" i="1"/>
  <c r="AZ90" i="1"/>
  <c r="AZ393" i="1"/>
  <c r="AZ522" i="1"/>
  <c r="AZ40" i="1"/>
  <c r="AZ98" i="1"/>
  <c r="AZ103" i="1"/>
  <c r="AZ508" i="1"/>
  <c r="AZ573" i="1"/>
  <c r="AZ320" i="1"/>
  <c r="AZ116" i="1"/>
  <c r="AZ76" i="1"/>
  <c r="AZ68" i="1"/>
  <c r="AZ510" i="1"/>
  <c r="AZ105" i="1"/>
  <c r="AZ64" i="1"/>
  <c r="AZ58" i="1"/>
  <c r="AZ50" i="1"/>
  <c r="AZ82" i="1"/>
  <c r="AZ520" i="1"/>
  <c r="AZ41" i="1"/>
  <c r="AZ381" i="1"/>
  <c r="AZ380" i="1"/>
  <c r="AZ46" i="1"/>
  <c r="AZ107" i="1"/>
  <c r="AZ108" i="1"/>
  <c r="AZ44" i="1"/>
  <c r="AZ45" i="1"/>
  <c r="AZ43" i="1"/>
  <c r="AZ78" i="1"/>
  <c r="AZ106" i="1"/>
  <c r="AZ93" i="1"/>
  <c r="AZ446" i="1"/>
  <c r="AZ318" i="1"/>
  <c r="AZ99" i="1"/>
  <c r="AZ101" i="1"/>
  <c r="W452" i="1" l="1"/>
  <c r="X452" i="1" s="1"/>
  <c r="W326" i="1"/>
  <c r="X326" i="1" s="1"/>
  <c r="V234" i="1"/>
  <c r="W579" i="1"/>
  <c r="X579" i="1" s="1"/>
  <c r="D285" i="1"/>
  <c r="D299" i="1" s="1"/>
  <c r="D473" i="1"/>
  <c r="D271" i="1"/>
  <c r="D347" i="1"/>
  <c r="D487" i="1"/>
  <c r="D537" i="1"/>
  <c r="BV509" i="1"/>
  <c r="D551" i="1" s="1"/>
  <c r="BV125" i="1"/>
  <c r="D424" i="1"/>
  <c r="D410" i="1"/>
  <c r="D361" i="1"/>
  <c r="D357" i="1"/>
  <c r="BF125" i="1"/>
  <c r="BF509" i="1"/>
  <c r="D547" i="1" s="1"/>
  <c r="D267" i="1"/>
  <c r="D469" i="1"/>
  <c r="D483" i="1"/>
  <c r="D406" i="1"/>
  <c r="D281" i="1"/>
  <c r="D295" i="1" s="1"/>
  <c r="D343" i="1"/>
  <c r="D533" i="1"/>
  <c r="D420" i="1"/>
  <c r="D470" i="1"/>
  <c r="D484" i="1"/>
  <c r="D534" i="1"/>
  <c r="D421" i="1"/>
  <c r="D268" i="1"/>
  <c r="BJ509" i="1"/>
  <c r="D548" i="1" s="1"/>
  <c r="D282" i="1"/>
  <c r="D296" i="1" s="1"/>
  <c r="D407" i="1"/>
  <c r="D344" i="1"/>
  <c r="D358" i="1"/>
  <c r="BJ125" i="1"/>
  <c r="D477" i="1"/>
  <c r="D463" i="1"/>
  <c r="D400" i="1"/>
  <c r="D261" i="1"/>
  <c r="D527" i="1"/>
  <c r="D351" i="1"/>
  <c r="D275" i="1"/>
  <c r="D289" i="1" s="1"/>
  <c r="AH509" i="1"/>
  <c r="D541" i="1" s="1"/>
  <c r="AH125" i="1"/>
  <c r="D337" i="1"/>
  <c r="D414" i="1"/>
  <c r="D283" i="1"/>
  <c r="D297" i="1" s="1"/>
  <c r="D345" i="1"/>
  <c r="D471" i="1"/>
  <c r="D535" i="1"/>
  <c r="BN509" i="1"/>
  <c r="D549" i="1" s="1"/>
  <c r="BN125" i="1"/>
  <c r="D485" i="1"/>
  <c r="D408" i="1"/>
  <c r="D422" i="1"/>
  <c r="D269" i="1"/>
  <c r="D359" i="1"/>
  <c r="D402" i="1"/>
  <c r="D529" i="1"/>
  <c r="AP125" i="1"/>
  <c r="D263" i="1"/>
  <c r="D353" i="1"/>
  <c r="D465" i="1"/>
  <c r="D479" i="1"/>
  <c r="D416" i="1"/>
  <c r="D277" i="1"/>
  <c r="D291" i="1" s="1"/>
  <c r="D339" i="1"/>
  <c r="AP509" i="1"/>
  <c r="D543" i="1" s="1"/>
  <c r="D528" i="1"/>
  <c r="D478" i="1"/>
  <c r="D338" i="1"/>
  <c r="D276" i="1"/>
  <c r="D290" i="1" s="1"/>
  <c r="D352" i="1"/>
  <c r="AL125" i="1"/>
  <c r="AL509" i="1"/>
  <c r="D542" i="1" s="1"/>
  <c r="D464" i="1"/>
  <c r="D401" i="1"/>
  <c r="D415" i="1"/>
  <c r="D262" i="1"/>
  <c r="D270" i="1"/>
  <c r="D360" i="1"/>
  <c r="D536" i="1"/>
  <c r="D486" i="1"/>
  <c r="BR509" i="1"/>
  <c r="D550" i="1" s="1"/>
  <c r="D472" i="1"/>
  <c r="D284" i="1"/>
  <c r="D298" i="1" s="1"/>
  <c r="D409" i="1"/>
  <c r="D346" i="1"/>
  <c r="BR125" i="1"/>
  <c r="D423" i="1"/>
  <c r="D480" i="1"/>
  <c r="D466" i="1"/>
  <c r="AT509" i="1"/>
  <c r="D544" i="1" s="1"/>
  <c r="D278" i="1"/>
  <c r="D292" i="1" s="1"/>
  <c r="D530" i="1"/>
  <c r="D417" i="1"/>
  <c r="D264" i="1"/>
  <c r="D354" i="1"/>
  <c r="AT125" i="1"/>
  <c r="D403" i="1"/>
  <c r="D340" i="1"/>
  <c r="D532" i="1"/>
  <c r="D468" i="1"/>
  <c r="BB509" i="1"/>
  <c r="D546" i="1" s="1"/>
  <c r="D356" i="1"/>
  <c r="D419" i="1"/>
  <c r="D280" i="1"/>
  <c r="D294" i="1" s="1"/>
  <c r="D266" i="1"/>
  <c r="D342" i="1"/>
  <c r="BB125" i="1"/>
  <c r="D405" i="1"/>
  <c r="D482" i="1"/>
  <c r="AX509" i="1"/>
  <c r="D545" i="1" s="1"/>
  <c r="D341" i="1"/>
  <c r="D418" i="1"/>
  <c r="D355" i="1"/>
  <c r="AX125" i="1"/>
  <c r="D481" i="1"/>
  <c r="D279" i="1"/>
  <c r="D293" i="1" s="1"/>
  <c r="D531" i="1"/>
  <c r="D467" i="1"/>
  <c r="D404" i="1"/>
  <c r="D265" i="1"/>
  <c r="X449" i="1"/>
  <c r="BV32" i="1"/>
  <c r="BF32" i="1"/>
  <c r="BJ32" i="1"/>
  <c r="AH32" i="1"/>
  <c r="BN32" i="1"/>
  <c r="AP32" i="1"/>
  <c r="AL32" i="1"/>
  <c r="BR32" i="1"/>
  <c r="AT32" i="1"/>
  <c r="BB32" i="1"/>
  <c r="AX32" i="1"/>
  <c r="V225" i="1"/>
  <c r="X514" i="1"/>
  <c r="S514" i="1"/>
  <c r="T514" i="1" s="1"/>
  <c r="X576" i="1"/>
  <c r="W325" i="1"/>
  <c r="V221" i="1" s="1"/>
  <c r="S386" i="1"/>
  <c r="R224" i="1" s="1"/>
  <c r="W578" i="1"/>
  <c r="V241" i="1" s="1"/>
  <c r="BG49" i="7"/>
  <c r="BG54" i="7" s="1"/>
  <c r="W451" i="1"/>
  <c r="X451" i="1" s="1"/>
  <c r="X323" i="1"/>
  <c r="S449" i="1"/>
  <c r="R229" i="1" s="1"/>
  <c r="V245" i="1"/>
  <c r="X575" i="1"/>
  <c r="W515" i="1"/>
  <c r="X515" i="1" s="1"/>
  <c r="BG40" i="7"/>
  <c r="S448" i="1"/>
  <c r="S452" i="1" s="1"/>
  <c r="T452" i="1" s="1"/>
  <c r="S387" i="1"/>
  <c r="R225" i="1" s="1"/>
  <c r="S385" i="1"/>
  <c r="R223" i="1" s="1"/>
  <c r="W388" i="1"/>
  <c r="V226" i="1" s="1"/>
  <c r="S575" i="1"/>
  <c r="T575" i="1" s="1"/>
  <c r="S450" i="1"/>
  <c r="R230" i="1" s="1"/>
  <c r="S322" i="1"/>
  <c r="T322" i="1" s="1"/>
  <c r="B342" i="1"/>
  <c r="B405" i="1"/>
  <c r="AZ509" i="1"/>
  <c r="B546" i="1" s="1"/>
  <c r="B532" i="1"/>
  <c r="B266" i="1"/>
  <c r="AZ125" i="1"/>
  <c r="B356" i="1"/>
  <c r="B280" i="1"/>
  <c r="B294" i="1" s="1"/>
  <c r="B482" i="1"/>
  <c r="B468" i="1"/>
  <c r="B419" i="1"/>
  <c r="B268" i="1"/>
  <c r="B421" i="1"/>
  <c r="B344" i="1"/>
  <c r="B484" i="1"/>
  <c r="BH125" i="1"/>
  <c r="B358" i="1"/>
  <c r="B534" i="1"/>
  <c r="B407" i="1"/>
  <c r="B282" i="1"/>
  <c r="B296" i="1" s="1"/>
  <c r="BH509" i="1"/>
  <c r="B548" i="1" s="1"/>
  <c r="B470" i="1"/>
  <c r="AF125" i="1"/>
  <c r="B337" i="1"/>
  <c r="B261" i="1"/>
  <c r="B477" i="1"/>
  <c r="B527" i="1"/>
  <c r="B463" i="1"/>
  <c r="B275" i="1"/>
  <c r="B289" i="1" s="1"/>
  <c r="AF509" i="1"/>
  <c r="B541" i="1" s="1"/>
  <c r="B351" i="1"/>
  <c r="B400" i="1"/>
  <c r="B414" i="1"/>
  <c r="B278" i="1"/>
  <c r="B292" i="1" s="1"/>
  <c r="B530" i="1"/>
  <c r="AR509" i="1"/>
  <c r="B544" i="1" s="1"/>
  <c r="B264" i="1"/>
  <c r="B340" i="1"/>
  <c r="B466" i="1"/>
  <c r="B403" i="1"/>
  <c r="B417" i="1"/>
  <c r="B354" i="1"/>
  <c r="AR125" i="1"/>
  <c r="B480" i="1"/>
  <c r="C413" i="1"/>
  <c r="C260" i="1"/>
  <c r="C526" i="1"/>
  <c r="AC125" i="1"/>
  <c r="C350" i="1"/>
  <c r="C462" i="1"/>
  <c r="C274" i="1"/>
  <c r="C288" i="1" s="1"/>
  <c r="AC509" i="1"/>
  <c r="C540" i="1" s="1"/>
  <c r="C476" i="1"/>
  <c r="C399" i="1"/>
  <c r="C336" i="1"/>
  <c r="B270" i="1"/>
  <c r="BP125" i="1"/>
  <c r="B346" i="1"/>
  <c r="B284" i="1"/>
  <c r="B298" i="1" s="1"/>
  <c r="B486" i="1"/>
  <c r="B536" i="1"/>
  <c r="B423" i="1"/>
  <c r="BP509" i="1"/>
  <c r="B550" i="1" s="1"/>
  <c r="B360" i="1"/>
  <c r="B409" i="1"/>
  <c r="B472" i="1"/>
  <c r="B283" i="1"/>
  <c r="B297" i="1" s="1"/>
  <c r="B485" i="1"/>
  <c r="BL125" i="1"/>
  <c r="B471" i="1"/>
  <c r="B422" i="1"/>
  <c r="B345" i="1"/>
  <c r="B359" i="1"/>
  <c r="B408" i="1"/>
  <c r="B269" i="1"/>
  <c r="B535" i="1"/>
  <c r="BL509" i="1"/>
  <c r="B549" i="1" s="1"/>
  <c r="B267" i="1"/>
  <c r="B406" i="1"/>
  <c r="B343" i="1"/>
  <c r="B483" i="1"/>
  <c r="B420" i="1"/>
  <c r="B281" i="1"/>
  <c r="B295" i="1" s="1"/>
  <c r="B469" i="1"/>
  <c r="BD509" i="1"/>
  <c r="B547" i="1" s="1"/>
  <c r="BD125" i="1"/>
  <c r="B357" i="1"/>
  <c r="B533" i="1"/>
  <c r="B263" i="1"/>
  <c r="B277" i="1"/>
  <c r="B291" i="1" s="1"/>
  <c r="AN125" i="1"/>
  <c r="B465" i="1"/>
  <c r="B416" i="1"/>
  <c r="B353" i="1"/>
  <c r="AN509" i="1"/>
  <c r="B543" i="1" s="1"/>
  <c r="B479" i="1"/>
  <c r="B529" i="1"/>
  <c r="B402" i="1"/>
  <c r="B339" i="1"/>
  <c r="B467" i="1"/>
  <c r="B404" i="1"/>
  <c r="B531" i="1"/>
  <c r="B265" i="1"/>
  <c r="B355" i="1"/>
  <c r="B279" i="1"/>
  <c r="B293" i="1" s="1"/>
  <c r="B481" i="1"/>
  <c r="AV125" i="1"/>
  <c r="AV509" i="1"/>
  <c r="B545" i="1" s="1"/>
  <c r="B341" i="1"/>
  <c r="B418" i="1"/>
  <c r="B537" i="1"/>
  <c r="BT509" i="1"/>
  <c r="B551" i="1" s="1"/>
  <c r="B347" i="1"/>
  <c r="B487" i="1"/>
  <c r="B473" i="1"/>
  <c r="B410" i="1"/>
  <c r="B285" i="1"/>
  <c r="B299" i="1" s="1"/>
  <c r="B271" i="1"/>
  <c r="B424" i="1"/>
  <c r="B361" i="1"/>
  <c r="BT125" i="1"/>
  <c r="B338" i="1"/>
  <c r="B464" i="1"/>
  <c r="B352" i="1"/>
  <c r="B262" i="1"/>
  <c r="B276" i="1"/>
  <c r="B290" i="1" s="1"/>
  <c r="AJ509" i="1"/>
  <c r="B542" i="1" s="1"/>
  <c r="AJ125" i="1"/>
  <c r="B478" i="1"/>
  <c r="B528" i="1"/>
  <c r="B415" i="1"/>
  <c r="B401" i="1"/>
  <c r="V231" i="1"/>
  <c r="AZ32" i="1"/>
  <c r="V224" i="1"/>
  <c r="X386" i="1"/>
  <c r="V220" i="1"/>
  <c r="X324" i="1"/>
  <c r="T36" i="1"/>
  <c r="V218" i="1"/>
  <c r="X322" i="1"/>
  <c r="BH32" i="1"/>
  <c r="S328" i="1"/>
  <c r="S512" i="1"/>
  <c r="S324" i="1"/>
  <c r="AF51" i="7"/>
  <c r="AF39" i="7"/>
  <c r="AF64" i="7"/>
  <c r="AF63" i="7"/>
  <c r="V223" i="1"/>
  <c r="X385" i="1"/>
  <c r="V228" i="1"/>
  <c r="W453" i="1"/>
  <c r="X448" i="1"/>
  <c r="S513" i="1"/>
  <c r="V230" i="1"/>
  <c r="X450" i="1"/>
  <c r="C257" i="1"/>
  <c r="C252" i="1"/>
  <c r="C255" i="1"/>
  <c r="C253" i="1"/>
  <c r="C254" i="1"/>
  <c r="C256" i="1"/>
  <c r="AF32" i="1"/>
  <c r="S581" i="1"/>
  <c r="AR32" i="1"/>
  <c r="BE1" i="1"/>
  <c r="AO1" i="1"/>
  <c r="BM1" i="1"/>
  <c r="AK1" i="1"/>
  <c r="AS1" i="1"/>
  <c r="BQ1" i="1"/>
  <c r="BA1" i="1"/>
  <c r="BI1" i="1"/>
  <c r="AC32" i="1"/>
  <c r="AG1" i="1"/>
  <c r="BU1" i="1"/>
  <c r="AW1" i="1"/>
  <c r="S576" i="1"/>
  <c r="S323" i="1"/>
  <c r="S326" i="1" s="1"/>
  <c r="T326" i="1" s="1"/>
  <c r="BP32" i="1"/>
  <c r="BL32" i="1"/>
  <c r="BD32" i="1"/>
  <c r="BA55" i="7"/>
  <c r="BA54" i="7"/>
  <c r="BA51" i="7"/>
  <c r="BA42" i="7" s="1"/>
  <c r="BA64" i="7"/>
  <c r="BA63" i="7"/>
  <c r="BA41" i="7"/>
  <c r="AG49" i="7"/>
  <c r="R244" i="1"/>
  <c r="AG40" i="7"/>
  <c r="S518" i="1"/>
  <c r="V240" i="1"/>
  <c r="X577" i="1"/>
  <c r="AN32" i="1"/>
  <c r="S391" i="1"/>
  <c r="V233" i="1"/>
  <c r="X512" i="1"/>
  <c r="AV32" i="1"/>
  <c r="AZ42" i="7"/>
  <c r="BT32" i="1"/>
  <c r="AJ32" i="1"/>
  <c r="S577" i="1"/>
  <c r="AW101" i="1"/>
  <c r="AW90" i="1"/>
  <c r="AW104" i="1"/>
  <c r="AW124" i="1"/>
  <c r="AW446" i="1"/>
  <c r="AW45" i="1"/>
  <c r="AW89" i="1"/>
  <c r="AW445" i="1"/>
  <c r="AW44" i="1"/>
  <c r="AW99" i="1"/>
  <c r="AW383" i="1"/>
  <c r="AW111" i="1"/>
  <c r="AW41" i="1"/>
  <c r="AW95" i="1"/>
  <c r="AW88" i="1"/>
  <c r="AW571" i="1"/>
  <c r="AW112" i="1"/>
  <c r="AW84" i="1"/>
  <c r="AW456" i="1"/>
  <c r="AW585" i="1"/>
  <c r="AW94" i="1"/>
  <c r="AW330" i="1"/>
  <c r="AW510" i="1"/>
  <c r="AW116" i="1"/>
  <c r="AW572" i="1"/>
  <c r="AW87" i="1"/>
  <c r="AW320" i="1"/>
  <c r="AW81" i="1"/>
  <c r="AW393" i="1"/>
  <c r="AW77" i="1"/>
  <c r="AW573" i="1"/>
  <c r="AW85" i="1"/>
  <c r="AW117" i="1"/>
  <c r="AW54" i="1"/>
  <c r="AW444" i="1"/>
  <c r="AW508" i="1"/>
  <c r="AW102" i="1"/>
  <c r="AW522" i="1"/>
  <c r="AW68" i="1"/>
  <c r="AW108" i="1"/>
  <c r="AW66" i="1"/>
  <c r="AW506" i="1"/>
  <c r="AW86" i="1"/>
  <c r="AW583" i="1"/>
  <c r="AW67" i="1"/>
  <c r="AW570" i="1"/>
  <c r="AW55" i="1"/>
  <c r="AW109" i="1"/>
  <c r="AW115" i="1"/>
  <c r="AW62" i="1"/>
  <c r="AW42" i="1"/>
  <c r="AW395" i="1"/>
  <c r="AW70" i="1"/>
  <c r="AW56" i="1"/>
  <c r="AW48" i="1"/>
  <c r="AW83" i="1"/>
  <c r="AW332" i="1"/>
  <c r="AW73" i="1"/>
  <c r="AW53" i="1"/>
  <c r="AW91" i="1"/>
  <c r="AW38" i="1"/>
  <c r="AW443" i="1"/>
  <c r="AW317" i="1"/>
  <c r="AW49" i="1"/>
  <c r="AW381" i="1"/>
  <c r="AW92" i="1"/>
  <c r="AW458" i="1"/>
  <c r="AW318" i="1"/>
  <c r="AW76" i="1"/>
  <c r="AW47" i="1"/>
  <c r="AW382" i="1"/>
  <c r="AW72" i="1"/>
  <c r="AW71" i="1"/>
  <c r="AW113" i="1"/>
  <c r="AW50" i="1"/>
  <c r="AW103" i="1"/>
  <c r="AW40" i="1"/>
  <c r="AW520" i="1"/>
  <c r="AW65" i="1"/>
  <c r="AW37" i="1"/>
  <c r="AW319" i="1"/>
  <c r="AW98" i="1"/>
  <c r="AW507" i="1"/>
  <c r="AW107" i="1"/>
  <c r="AW100" i="1"/>
  <c r="AW63" i="1"/>
  <c r="AW57" i="1"/>
  <c r="AW69" i="1"/>
  <c r="AW58" i="1"/>
  <c r="AW59" i="1"/>
  <c r="AW46" i="1"/>
  <c r="AW105" i="1"/>
  <c r="AW39" i="1"/>
  <c r="AW106" i="1"/>
  <c r="AW64" i="1"/>
  <c r="AW75" i="1"/>
  <c r="AW43" i="1"/>
  <c r="AW93" i="1"/>
  <c r="AW82" i="1"/>
  <c r="AW114" i="1"/>
  <c r="AW380" i="1"/>
  <c r="AW120" i="1"/>
  <c r="AW36" i="1"/>
  <c r="AW78" i="1"/>
  <c r="AW74" i="1"/>
  <c r="BE446" i="1"/>
  <c r="BE77" i="1"/>
  <c r="BE317" i="1"/>
  <c r="BE330" i="1"/>
  <c r="BE117" i="1"/>
  <c r="BE65" i="1"/>
  <c r="BE91" i="1"/>
  <c r="BE104" i="1"/>
  <c r="BE64" i="1"/>
  <c r="BE395" i="1"/>
  <c r="BE82" i="1"/>
  <c r="BE332" i="1"/>
  <c r="BE381" i="1"/>
  <c r="BE382" i="1"/>
  <c r="BE116" i="1"/>
  <c r="BE92" i="1"/>
  <c r="BE120" i="1"/>
  <c r="BE75" i="1"/>
  <c r="BE95" i="1"/>
  <c r="BE58" i="1"/>
  <c r="BE67" i="1"/>
  <c r="BE94" i="1"/>
  <c r="BE73" i="1"/>
  <c r="BE81" i="1"/>
  <c r="BE74" i="1"/>
  <c r="BE69" i="1"/>
  <c r="BE113" i="1"/>
  <c r="BE115" i="1"/>
  <c r="BE506" i="1"/>
  <c r="BE46" i="1"/>
  <c r="BE36" i="1"/>
  <c r="BE520" i="1"/>
  <c r="BE63" i="1"/>
  <c r="BE47" i="1"/>
  <c r="BE72" i="1"/>
  <c r="BE57" i="1"/>
  <c r="BE109" i="1"/>
  <c r="BE83" i="1"/>
  <c r="BE393" i="1"/>
  <c r="BE101" i="1"/>
  <c r="BE55" i="1"/>
  <c r="BE66" i="1"/>
  <c r="BE37" i="1"/>
  <c r="BE43" i="1"/>
  <c r="BE318" i="1"/>
  <c r="BE444" i="1"/>
  <c r="BE112" i="1"/>
  <c r="BE570" i="1"/>
  <c r="BE456" i="1"/>
  <c r="BE49" i="1"/>
  <c r="BE443" i="1"/>
  <c r="BE76" i="1"/>
  <c r="BE78" i="1"/>
  <c r="BE86" i="1"/>
  <c r="BE85" i="1"/>
  <c r="BE68" i="1"/>
  <c r="BE508" i="1"/>
  <c r="BE100" i="1"/>
  <c r="BE98" i="1"/>
  <c r="BE50" i="1"/>
  <c r="BE41" i="1"/>
  <c r="BE320" i="1"/>
  <c r="BE445" i="1"/>
  <c r="BE510" i="1"/>
  <c r="BE585" i="1"/>
  <c r="BE571" i="1"/>
  <c r="BE99" i="1"/>
  <c r="BE383" i="1"/>
  <c r="BE59" i="1"/>
  <c r="BE70" i="1"/>
  <c r="BE44" i="1"/>
  <c r="BE583" i="1"/>
  <c r="BE522" i="1"/>
  <c r="BE102" i="1"/>
  <c r="BE84" i="1"/>
  <c r="BE38" i="1"/>
  <c r="BE507" i="1"/>
  <c r="BE114" i="1"/>
  <c r="BE572" i="1"/>
  <c r="BE54" i="1"/>
  <c r="BE111" i="1"/>
  <c r="BE53" i="1"/>
  <c r="BE380" i="1"/>
  <c r="BE48" i="1"/>
  <c r="BE56" i="1"/>
  <c r="BE573" i="1"/>
  <c r="BE42" i="1"/>
  <c r="BE458" i="1"/>
  <c r="BE39" i="1"/>
  <c r="BE88" i="1"/>
  <c r="BE319" i="1"/>
  <c r="BE105" i="1"/>
  <c r="BE108" i="1"/>
  <c r="BE124" i="1"/>
  <c r="BE45" i="1"/>
  <c r="BE40" i="1"/>
  <c r="BE71" i="1"/>
  <c r="BE62" i="1"/>
  <c r="BE103" i="1"/>
  <c r="BE93" i="1"/>
  <c r="BE87" i="1"/>
  <c r="BE107" i="1"/>
  <c r="BE89" i="1"/>
  <c r="BE90" i="1"/>
  <c r="BE106" i="1"/>
  <c r="AO319" i="1"/>
  <c r="AO382" i="1"/>
  <c r="AO445" i="1"/>
  <c r="AO507" i="1"/>
  <c r="AO101" i="1"/>
  <c r="AO64" i="1"/>
  <c r="AO332" i="1"/>
  <c r="AO446" i="1"/>
  <c r="AO571" i="1"/>
  <c r="AO92" i="1"/>
  <c r="AO85" i="1"/>
  <c r="AO56" i="1"/>
  <c r="AO48" i="1"/>
  <c r="AO67" i="1"/>
  <c r="AO65" i="1"/>
  <c r="AO510" i="1"/>
  <c r="AO36" i="1"/>
  <c r="AO109" i="1"/>
  <c r="AO91" i="1"/>
  <c r="AO456" i="1"/>
  <c r="AO62" i="1"/>
  <c r="AO585" i="1"/>
  <c r="AO37" i="1"/>
  <c r="AO82" i="1"/>
  <c r="AO90" i="1"/>
  <c r="AO99" i="1"/>
  <c r="AO115" i="1"/>
  <c r="AO81" i="1"/>
  <c r="AO522" i="1"/>
  <c r="AO320" i="1"/>
  <c r="AO63" i="1"/>
  <c r="AO318" i="1"/>
  <c r="AO508" i="1"/>
  <c r="AO116" i="1"/>
  <c r="AO444" i="1"/>
  <c r="AO117" i="1"/>
  <c r="AO93" i="1"/>
  <c r="AO47" i="1"/>
  <c r="AO572" i="1"/>
  <c r="AO381" i="1"/>
  <c r="AO66" i="1"/>
  <c r="AO41" i="1"/>
  <c r="AO113" i="1"/>
  <c r="AO380" i="1"/>
  <c r="AO53" i="1"/>
  <c r="AO68" i="1"/>
  <c r="AO38" i="1"/>
  <c r="AO40" i="1"/>
  <c r="AO383" i="1"/>
  <c r="AO103" i="1"/>
  <c r="AO506" i="1"/>
  <c r="AO102" i="1"/>
  <c r="AO71" i="1"/>
  <c r="AO120" i="1"/>
  <c r="AO49" i="1"/>
  <c r="AO58" i="1"/>
  <c r="AO100" i="1"/>
  <c r="AO583" i="1"/>
  <c r="AO59" i="1"/>
  <c r="AO89" i="1"/>
  <c r="AO87" i="1"/>
  <c r="AO54" i="1"/>
  <c r="AO70" i="1"/>
  <c r="AO95" i="1"/>
  <c r="AO76" i="1"/>
  <c r="AO317" i="1"/>
  <c r="AO42" i="1"/>
  <c r="AO78" i="1"/>
  <c r="AO69" i="1"/>
  <c r="AO573" i="1"/>
  <c r="AO393" i="1"/>
  <c r="AO98" i="1"/>
  <c r="AO77" i="1"/>
  <c r="AO570" i="1"/>
  <c r="AO330" i="1"/>
  <c r="AO74" i="1"/>
  <c r="AO111" i="1"/>
  <c r="AO73" i="1"/>
  <c r="AO86" i="1"/>
  <c r="AO75" i="1"/>
  <c r="AO84" i="1"/>
  <c r="AO72" i="1"/>
  <c r="AO520" i="1"/>
  <c r="AO55" i="1"/>
  <c r="AO50" i="1"/>
  <c r="AO114" i="1"/>
  <c r="AO458" i="1"/>
  <c r="AO83" i="1"/>
  <c r="AO105" i="1"/>
  <c r="AO108" i="1"/>
  <c r="AO43" i="1"/>
  <c r="AO44" i="1"/>
  <c r="AO107" i="1"/>
  <c r="AO106" i="1"/>
  <c r="AO124" i="1"/>
  <c r="AO443" i="1"/>
  <c r="AO57" i="1"/>
  <c r="AO94" i="1"/>
  <c r="AO112" i="1"/>
  <c r="AO395" i="1"/>
  <c r="AO88" i="1"/>
  <c r="AO104" i="1"/>
  <c r="AO39" i="1"/>
  <c r="AO45" i="1"/>
  <c r="AO46" i="1"/>
  <c r="AG36" i="1"/>
  <c r="AG44" i="1"/>
  <c r="AG106" i="1"/>
  <c r="AG89" i="1"/>
  <c r="AG95" i="1"/>
  <c r="AG120" i="1"/>
  <c r="AG85" i="1"/>
  <c r="AG102" i="1"/>
  <c r="AG58" i="1"/>
  <c r="AG53" i="1"/>
  <c r="AG78" i="1"/>
  <c r="AG381" i="1"/>
  <c r="AG444" i="1"/>
  <c r="AG507" i="1"/>
  <c r="AG69" i="1"/>
  <c r="AG510" i="1"/>
  <c r="AG83" i="1"/>
  <c r="AG93" i="1"/>
  <c r="AG116" i="1"/>
  <c r="AG112" i="1"/>
  <c r="AG84" i="1"/>
  <c r="AG124" i="1"/>
  <c r="AG109" i="1"/>
  <c r="AG319" i="1"/>
  <c r="AG522" i="1"/>
  <c r="AG446" i="1"/>
  <c r="AG383" i="1"/>
  <c r="AG55" i="1"/>
  <c r="AG40" i="1"/>
  <c r="AG456" i="1"/>
  <c r="AG111" i="1"/>
  <c r="AG65" i="1"/>
  <c r="AG54" i="1"/>
  <c r="AG86" i="1"/>
  <c r="AG382" i="1"/>
  <c r="AG330" i="1"/>
  <c r="AG91" i="1"/>
  <c r="AG113" i="1"/>
  <c r="AG571" i="1"/>
  <c r="AG59" i="1"/>
  <c r="AG42" i="1"/>
  <c r="AG114" i="1"/>
  <c r="AG506" i="1"/>
  <c r="AG72" i="1"/>
  <c r="AG572" i="1"/>
  <c r="AG458" i="1"/>
  <c r="AG508" i="1"/>
  <c r="AG92" i="1"/>
  <c r="AG41" i="1"/>
  <c r="AG90" i="1"/>
  <c r="AG318" i="1"/>
  <c r="AG76" i="1"/>
  <c r="AG43" i="1"/>
  <c r="AG101" i="1"/>
  <c r="AG74" i="1"/>
  <c r="AG87" i="1"/>
  <c r="AG117" i="1"/>
  <c r="AG67" i="1"/>
  <c r="AG38" i="1"/>
  <c r="AG49" i="1"/>
  <c r="AG63" i="1"/>
  <c r="AG70" i="1"/>
  <c r="AG66" i="1"/>
  <c r="AG56" i="1"/>
  <c r="AG57" i="1"/>
  <c r="AG73" i="1"/>
  <c r="AG520" i="1"/>
  <c r="AG573" i="1"/>
  <c r="AG37" i="1"/>
  <c r="AG445" i="1"/>
  <c r="AG77" i="1"/>
  <c r="AG395" i="1"/>
  <c r="AG317" i="1"/>
  <c r="AG332" i="1"/>
  <c r="AG104" i="1"/>
  <c r="AG82" i="1"/>
  <c r="AG47" i="1"/>
  <c r="AG68" i="1"/>
  <c r="AG570" i="1"/>
  <c r="AG81" i="1"/>
  <c r="AG62" i="1"/>
  <c r="AG50" i="1"/>
  <c r="AG88" i="1"/>
  <c r="AG443" i="1"/>
  <c r="AG94" i="1"/>
  <c r="AG380" i="1"/>
  <c r="AG100" i="1"/>
  <c r="AG108" i="1"/>
  <c r="AG48" i="1"/>
  <c r="AG583" i="1"/>
  <c r="AG71" i="1"/>
  <c r="AG393" i="1"/>
  <c r="AG115" i="1"/>
  <c r="AG320" i="1"/>
  <c r="AG39" i="1"/>
  <c r="AG107" i="1"/>
  <c r="AG64" i="1"/>
  <c r="AG75" i="1"/>
  <c r="AG105" i="1"/>
  <c r="AG98" i="1"/>
  <c r="AG103" i="1"/>
  <c r="AG585" i="1"/>
  <c r="AG99" i="1"/>
  <c r="AG45" i="1"/>
  <c r="AG46" i="1"/>
  <c r="BU89" i="1"/>
  <c r="BU87" i="1"/>
  <c r="BU508" i="1"/>
  <c r="BU446" i="1"/>
  <c r="BU46" i="1"/>
  <c r="BU332" i="1"/>
  <c r="BU319" i="1"/>
  <c r="BU382" i="1"/>
  <c r="BU444" i="1"/>
  <c r="BU507" i="1"/>
  <c r="BU75" i="1"/>
  <c r="BU117" i="1"/>
  <c r="BU91" i="1"/>
  <c r="BU111" i="1"/>
  <c r="BU66" i="1"/>
  <c r="BU115" i="1"/>
  <c r="BU47" i="1"/>
  <c r="BU65" i="1"/>
  <c r="BU90" i="1"/>
  <c r="BU317" i="1"/>
  <c r="BU53" i="1"/>
  <c r="BU395" i="1"/>
  <c r="BU120" i="1"/>
  <c r="BU107" i="1"/>
  <c r="BU506" i="1"/>
  <c r="BU56" i="1"/>
  <c r="BU456" i="1"/>
  <c r="BU104" i="1"/>
  <c r="BU77" i="1"/>
  <c r="BU318" i="1"/>
  <c r="BU393" i="1"/>
  <c r="BU522" i="1"/>
  <c r="BU78" i="1"/>
  <c r="BU93" i="1"/>
  <c r="BU520" i="1"/>
  <c r="BU59" i="1"/>
  <c r="BU58" i="1"/>
  <c r="BU101" i="1"/>
  <c r="BU113" i="1"/>
  <c r="BU43" i="1"/>
  <c r="BU330" i="1"/>
  <c r="BU95" i="1"/>
  <c r="BU112" i="1"/>
  <c r="BU102" i="1"/>
  <c r="BU86" i="1"/>
  <c r="BU85" i="1"/>
  <c r="BU72" i="1"/>
  <c r="BU48" i="1"/>
  <c r="BU71" i="1"/>
  <c r="BU445" i="1"/>
  <c r="BU383" i="1"/>
  <c r="BU458" i="1"/>
  <c r="BU37" i="1"/>
  <c r="BU81" i="1"/>
  <c r="BU99" i="1"/>
  <c r="BU114" i="1"/>
  <c r="BU76" i="1"/>
  <c r="BU74" i="1"/>
  <c r="BU109" i="1"/>
  <c r="BU380" i="1"/>
  <c r="BU67" i="1"/>
  <c r="BU84" i="1"/>
  <c r="BU98" i="1"/>
  <c r="BU570" i="1"/>
  <c r="BU68" i="1"/>
  <c r="BU42" i="1"/>
  <c r="BU62" i="1"/>
  <c r="BU585" i="1"/>
  <c r="BU381" i="1"/>
  <c r="BU63" i="1"/>
  <c r="BU57" i="1"/>
  <c r="BU100" i="1"/>
  <c r="BU36" i="1"/>
  <c r="BU103" i="1"/>
  <c r="BU40" i="1"/>
  <c r="BU320" i="1"/>
  <c r="BU92" i="1"/>
  <c r="BU572" i="1"/>
  <c r="BU94" i="1"/>
  <c r="BU54" i="1"/>
  <c r="BU83" i="1"/>
  <c r="BU73" i="1"/>
  <c r="BU510" i="1"/>
  <c r="BU64" i="1"/>
  <c r="BU55" i="1"/>
  <c r="BU571" i="1"/>
  <c r="BU443" i="1"/>
  <c r="BU69" i="1"/>
  <c r="BU38" i="1"/>
  <c r="BU116" i="1"/>
  <c r="BU573" i="1"/>
  <c r="BU41" i="1"/>
  <c r="BU82" i="1"/>
  <c r="BU50" i="1"/>
  <c r="BU105" i="1"/>
  <c r="BU39" i="1"/>
  <c r="BU108" i="1"/>
  <c r="BU45" i="1"/>
  <c r="BU44" i="1"/>
  <c r="BU106" i="1"/>
  <c r="BU124" i="1"/>
  <c r="BU49" i="1"/>
  <c r="BU70" i="1"/>
  <c r="BU583" i="1"/>
  <c r="BU88" i="1"/>
  <c r="BM332" i="1"/>
  <c r="BM318" i="1"/>
  <c r="BM381" i="1"/>
  <c r="BM444" i="1"/>
  <c r="BM510" i="1"/>
  <c r="BM330" i="1"/>
  <c r="BM585" i="1"/>
  <c r="BM443" i="1"/>
  <c r="BM65" i="1"/>
  <c r="BM69" i="1"/>
  <c r="BM84" i="1"/>
  <c r="BM68" i="1"/>
  <c r="BM50" i="1"/>
  <c r="BM66" i="1"/>
  <c r="BM49" i="1"/>
  <c r="BM101" i="1"/>
  <c r="BM104" i="1"/>
  <c r="BM87" i="1"/>
  <c r="BM111" i="1"/>
  <c r="BM114" i="1"/>
  <c r="BM86" i="1"/>
  <c r="BM90" i="1"/>
  <c r="BM573" i="1"/>
  <c r="BM67" i="1"/>
  <c r="BM71" i="1"/>
  <c r="BM36" i="1"/>
  <c r="BM446" i="1"/>
  <c r="BM106" i="1"/>
  <c r="BM44" i="1"/>
  <c r="BM77" i="1"/>
  <c r="BM85" i="1"/>
  <c r="BM112" i="1"/>
  <c r="BM55" i="1"/>
  <c r="BM458" i="1"/>
  <c r="BM81" i="1"/>
  <c r="BM54" i="1"/>
  <c r="BM115" i="1"/>
  <c r="BM95" i="1"/>
  <c r="BM456" i="1"/>
  <c r="BM395" i="1"/>
  <c r="BM117" i="1"/>
  <c r="BM40" i="1"/>
  <c r="BM47" i="1"/>
  <c r="BM78" i="1"/>
  <c r="BM94" i="1"/>
  <c r="BM42" i="1"/>
  <c r="BM70" i="1"/>
  <c r="BM53" i="1"/>
  <c r="BM92" i="1"/>
  <c r="BM113" i="1"/>
  <c r="BM109" i="1"/>
  <c r="BM59" i="1"/>
  <c r="BM393" i="1"/>
  <c r="BM571" i="1"/>
  <c r="BM320" i="1"/>
  <c r="BM58" i="1"/>
  <c r="BM89" i="1"/>
  <c r="BM522" i="1"/>
  <c r="BM37" i="1"/>
  <c r="BM93" i="1"/>
  <c r="BM39" i="1"/>
  <c r="BM63" i="1"/>
  <c r="BM57" i="1"/>
  <c r="BM98" i="1"/>
  <c r="BM74" i="1"/>
  <c r="BM73" i="1"/>
  <c r="BM41" i="1"/>
  <c r="BM380" i="1"/>
  <c r="BM48" i="1"/>
  <c r="BM383" i="1"/>
  <c r="BM56" i="1"/>
  <c r="BM38" i="1"/>
  <c r="BM520" i="1"/>
  <c r="BM583" i="1"/>
  <c r="BM100" i="1"/>
  <c r="BM317" i="1"/>
  <c r="BM76" i="1"/>
  <c r="BM83" i="1"/>
  <c r="BM62" i="1"/>
  <c r="BM103" i="1"/>
  <c r="BM508" i="1"/>
  <c r="BM72" i="1"/>
  <c r="BM102" i="1"/>
  <c r="BM572" i="1"/>
  <c r="BM570" i="1"/>
  <c r="BM120" i="1"/>
  <c r="BM82" i="1"/>
  <c r="BM116" i="1"/>
  <c r="BM88" i="1"/>
  <c r="BM45" i="1"/>
  <c r="BM105" i="1"/>
  <c r="BM46" i="1"/>
  <c r="BM107" i="1"/>
  <c r="BM64" i="1"/>
  <c r="BM75" i="1"/>
  <c r="BM91" i="1"/>
  <c r="BM506" i="1"/>
  <c r="BM507" i="1"/>
  <c r="BM445" i="1"/>
  <c r="BM382" i="1"/>
  <c r="BM319" i="1"/>
  <c r="BM124" i="1"/>
  <c r="BM43" i="1"/>
  <c r="BM99" i="1"/>
  <c r="BM108" i="1"/>
  <c r="BQ99" i="1"/>
  <c r="BQ380" i="1"/>
  <c r="BQ443" i="1"/>
  <c r="BQ446" i="1"/>
  <c r="BQ108" i="1"/>
  <c r="BQ87" i="1"/>
  <c r="BQ507" i="1"/>
  <c r="BQ458" i="1"/>
  <c r="BQ49" i="1"/>
  <c r="BQ91" i="1"/>
  <c r="BQ585" i="1"/>
  <c r="BQ69" i="1"/>
  <c r="BQ86" i="1"/>
  <c r="BQ318" i="1"/>
  <c r="BQ381" i="1"/>
  <c r="BQ444" i="1"/>
  <c r="BQ508" i="1"/>
  <c r="BQ456" i="1"/>
  <c r="BQ570" i="1"/>
  <c r="BQ106" i="1"/>
  <c r="BQ77" i="1"/>
  <c r="BQ124" i="1"/>
  <c r="BQ317" i="1"/>
  <c r="BQ506" i="1"/>
  <c r="BQ319" i="1"/>
  <c r="BQ583" i="1"/>
  <c r="BQ332" i="1"/>
  <c r="BQ66" i="1"/>
  <c r="BQ95" i="1"/>
  <c r="BQ82" i="1"/>
  <c r="BQ109" i="1"/>
  <c r="BQ59" i="1"/>
  <c r="BQ64" i="1"/>
  <c r="BQ62" i="1"/>
  <c r="BQ320" i="1"/>
  <c r="BQ330" i="1"/>
  <c r="BQ102" i="1"/>
  <c r="BQ67" i="1"/>
  <c r="BQ93" i="1"/>
  <c r="BQ48" i="1"/>
  <c r="BQ72" i="1"/>
  <c r="BQ71" i="1"/>
  <c r="BQ393" i="1"/>
  <c r="BQ41" i="1"/>
  <c r="BQ115" i="1"/>
  <c r="BQ36" i="1"/>
  <c r="BQ85" i="1"/>
  <c r="BQ383" i="1"/>
  <c r="BQ81" i="1"/>
  <c r="BQ572" i="1"/>
  <c r="BQ68" i="1"/>
  <c r="BQ522" i="1"/>
  <c r="BQ111" i="1"/>
  <c r="BQ510" i="1"/>
  <c r="BQ47" i="1"/>
  <c r="BQ76" i="1"/>
  <c r="BQ63" i="1"/>
  <c r="BQ94" i="1"/>
  <c r="BQ395" i="1"/>
  <c r="BQ103" i="1"/>
  <c r="BQ42" i="1"/>
  <c r="BQ117" i="1"/>
  <c r="BQ56" i="1"/>
  <c r="BQ520" i="1"/>
  <c r="BQ116" i="1"/>
  <c r="BQ73" i="1"/>
  <c r="BQ571" i="1"/>
  <c r="BQ58" i="1"/>
  <c r="BQ112" i="1"/>
  <c r="BQ573" i="1"/>
  <c r="BQ382" i="1"/>
  <c r="BQ98" i="1"/>
  <c r="BQ50" i="1"/>
  <c r="BQ113" i="1"/>
  <c r="BQ54" i="1"/>
  <c r="BQ100" i="1"/>
  <c r="BQ55" i="1"/>
  <c r="BQ65" i="1"/>
  <c r="BQ38" i="1"/>
  <c r="BQ84" i="1"/>
  <c r="BQ70" i="1"/>
  <c r="BQ114" i="1"/>
  <c r="BQ57" i="1"/>
  <c r="BQ40" i="1"/>
  <c r="BQ120" i="1"/>
  <c r="BQ37" i="1"/>
  <c r="BQ92" i="1"/>
  <c r="BQ83" i="1"/>
  <c r="BQ107" i="1"/>
  <c r="BQ44" i="1"/>
  <c r="BQ88" i="1"/>
  <c r="BQ39" i="1"/>
  <c r="BQ43" i="1"/>
  <c r="BQ445" i="1"/>
  <c r="BQ89" i="1"/>
  <c r="BQ46" i="1"/>
  <c r="BQ53" i="1"/>
  <c r="BQ104" i="1"/>
  <c r="BQ78" i="1"/>
  <c r="BQ74" i="1"/>
  <c r="BQ75" i="1"/>
  <c r="BQ90" i="1"/>
  <c r="BQ105" i="1"/>
  <c r="BQ101" i="1"/>
  <c r="BQ45" i="1"/>
  <c r="BA383" i="1"/>
  <c r="BA108" i="1"/>
  <c r="BA88" i="1"/>
  <c r="BA124" i="1"/>
  <c r="BA77" i="1"/>
  <c r="BA445" i="1"/>
  <c r="BA443" i="1"/>
  <c r="BA82" i="1"/>
  <c r="BA56" i="1"/>
  <c r="BA71" i="1"/>
  <c r="BA73" i="1"/>
  <c r="BA42" i="1"/>
  <c r="BA38" i="1"/>
  <c r="BA65" i="1"/>
  <c r="BA111" i="1"/>
  <c r="BA43" i="1"/>
  <c r="BA74" i="1"/>
  <c r="BA319" i="1"/>
  <c r="BA395" i="1"/>
  <c r="BA522" i="1"/>
  <c r="BA78" i="1"/>
  <c r="BA332" i="1"/>
  <c r="BA393" i="1"/>
  <c r="BA53" i="1"/>
  <c r="BA446" i="1"/>
  <c r="BA90" i="1"/>
  <c r="BA507" i="1"/>
  <c r="BA81" i="1"/>
  <c r="BA317" i="1"/>
  <c r="BA109" i="1"/>
  <c r="BA100" i="1"/>
  <c r="BA47" i="1"/>
  <c r="BA520" i="1"/>
  <c r="BA573" i="1"/>
  <c r="BA66" i="1"/>
  <c r="BA330" i="1"/>
  <c r="BA506" i="1"/>
  <c r="BA84" i="1"/>
  <c r="BA318" i="1"/>
  <c r="BA444" i="1"/>
  <c r="BA69" i="1"/>
  <c r="BA48" i="1"/>
  <c r="BA50" i="1"/>
  <c r="BA116" i="1"/>
  <c r="BA102" i="1"/>
  <c r="BA45" i="1"/>
  <c r="BA75" i="1"/>
  <c r="BA114" i="1"/>
  <c r="BA83" i="1"/>
  <c r="BA115" i="1"/>
  <c r="BA87" i="1"/>
  <c r="BA585" i="1"/>
  <c r="BA70" i="1"/>
  <c r="BA49" i="1"/>
  <c r="BA59" i="1"/>
  <c r="BA93" i="1"/>
  <c r="BA68" i="1"/>
  <c r="BA67" i="1"/>
  <c r="BA40" i="1"/>
  <c r="BA94" i="1"/>
  <c r="BA99" i="1"/>
  <c r="BA508" i="1"/>
  <c r="BA583" i="1"/>
  <c r="BA72" i="1"/>
  <c r="BA54" i="1"/>
  <c r="BA104" i="1"/>
  <c r="BA381" i="1"/>
  <c r="BA113" i="1"/>
  <c r="BA55" i="1"/>
  <c r="BA106" i="1"/>
  <c r="BA112" i="1"/>
  <c r="BA458" i="1"/>
  <c r="BA37" i="1"/>
  <c r="BA36" i="1"/>
  <c r="BA41" i="1"/>
  <c r="BA76" i="1"/>
  <c r="BA92" i="1"/>
  <c r="BA62" i="1"/>
  <c r="BA572" i="1"/>
  <c r="BA95" i="1"/>
  <c r="BA320" i="1"/>
  <c r="BA98" i="1"/>
  <c r="BA86" i="1"/>
  <c r="BA57" i="1"/>
  <c r="BA105" i="1"/>
  <c r="BA101" i="1"/>
  <c r="BA571" i="1"/>
  <c r="BA510" i="1"/>
  <c r="BA58" i="1"/>
  <c r="BA85" i="1"/>
  <c r="BA103" i="1"/>
  <c r="BA570" i="1"/>
  <c r="BA46" i="1"/>
  <c r="BA117" i="1"/>
  <c r="BA91" i="1"/>
  <c r="BA63" i="1"/>
  <c r="BA64" i="1"/>
  <c r="BA120" i="1"/>
  <c r="BA107" i="1"/>
  <c r="BA39" i="1"/>
  <c r="BA382" i="1"/>
  <c r="BA89" i="1"/>
  <c r="BA44" i="1"/>
  <c r="BA456" i="1"/>
  <c r="BA380" i="1"/>
  <c r="BI43" i="1"/>
  <c r="BI77" i="1"/>
  <c r="BI105" i="1"/>
  <c r="BI64" i="1"/>
  <c r="BI89" i="1"/>
  <c r="BI124" i="1"/>
  <c r="BI570" i="1"/>
  <c r="BI81" i="1"/>
  <c r="BI571" i="1"/>
  <c r="BI112" i="1"/>
  <c r="BI48" i="1"/>
  <c r="BI55" i="1"/>
  <c r="BI506" i="1"/>
  <c r="BI113" i="1"/>
  <c r="BI86" i="1"/>
  <c r="BI100" i="1"/>
  <c r="BI84" i="1"/>
  <c r="BI108" i="1"/>
  <c r="BI46" i="1"/>
  <c r="BI382" i="1"/>
  <c r="BI445" i="1"/>
  <c r="BI62" i="1"/>
  <c r="BI103" i="1"/>
  <c r="BI53" i="1"/>
  <c r="BI90" i="1"/>
  <c r="BI99" i="1"/>
  <c r="BI395" i="1"/>
  <c r="BI117" i="1"/>
  <c r="BI95" i="1"/>
  <c r="BI69" i="1"/>
  <c r="BI85" i="1"/>
  <c r="BI111" i="1"/>
  <c r="BI87" i="1"/>
  <c r="BI71" i="1"/>
  <c r="BI573" i="1"/>
  <c r="BI93" i="1"/>
  <c r="BI50" i="1"/>
  <c r="BI73" i="1"/>
  <c r="BI115" i="1"/>
  <c r="BI92" i="1"/>
  <c r="BI74" i="1"/>
  <c r="BI36" i="1"/>
  <c r="BI393" i="1"/>
  <c r="BI520" i="1"/>
  <c r="BI522" i="1"/>
  <c r="BI54" i="1"/>
  <c r="BI56" i="1"/>
  <c r="BI78" i="1"/>
  <c r="BI120" i="1"/>
  <c r="BI37" i="1"/>
  <c r="BI68" i="1"/>
  <c r="BI40" i="1"/>
  <c r="BI83" i="1"/>
  <c r="BI41" i="1"/>
  <c r="BI44" i="1"/>
  <c r="BI82" i="1"/>
  <c r="BI94" i="1"/>
  <c r="BI585" i="1"/>
  <c r="BI57" i="1"/>
  <c r="BI330" i="1"/>
  <c r="BI446" i="1"/>
  <c r="BI67" i="1"/>
  <c r="BI65" i="1"/>
  <c r="BI507" i="1"/>
  <c r="BI102" i="1"/>
  <c r="BI63" i="1"/>
  <c r="BI47" i="1"/>
  <c r="BI58" i="1"/>
  <c r="BI320" i="1"/>
  <c r="BI381" i="1"/>
  <c r="BI508" i="1"/>
  <c r="BI76" i="1"/>
  <c r="BI116" i="1"/>
  <c r="BI109" i="1"/>
  <c r="BI66" i="1"/>
  <c r="BI38" i="1"/>
  <c r="BI572" i="1"/>
  <c r="BI114" i="1"/>
  <c r="BI91" i="1"/>
  <c r="BI98" i="1"/>
  <c r="BI49" i="1"/>
  <c r="BI383" i="1"/>
  <c r="BI332" i="1"/>
  <c r="BI72" i="1"/>
  <c r="BI59" i="1"/>
  <c r="BI583" i="1"/>
  <c r="BI70" i="1"/>
  <c r="BI42" i="1"/>
  <c r="BI444" i="1"/>
  <c r="BI317" i="1"/>
  <c r="BI45" i="1"/>
  <c r="BI106" i="1"/>
  <c r="BI39" i="1"/>
  <c r="BI107" i="1"/>
  <c r="BI319" i="1"/>
  <c r="BI104" i="1"/>
  <c r="BI101" i="1"/>
  <c r="BI458" i="1"/>
  <c r="BI443" i="1"/>
  <c r="BI510" i="1"/>
  <c r="BI380" i="1"/>
  <c r="BI456" i="1"/>
  <c r="BI318" i="1"/>
  <c r="BI88" i="1"/>
  <c r="BI75" i="1"/>
  <c r="AK318" i="1"/>
  <c r="AK380" i="1"/>
  <c r="AK36" i="1"/>
  <c r="AK69" i="1"/>
  <c r="AK91" i="1"/>
  <c r="AK93" i="1"/>
  <c r="AK510" i="1"/>
  <c r="AK330" i="1"/>
  <c r="AK41" i="1"/>
  <c r="AK82" i="1"/>
  <c r="AK50" i="1"/>
  <c r="AK393" i="1"/>
  <c r="AK456" i="1"/>
  <c r="AK85" i="1"/>
  <c r="AK43" i="1"/>
  <c r="AK317" i="1"/>
  <c r="AK104" i="1"/>
  <c r="AK87" i="1"/>
  <c r="AK443" i="1"/>
  <c r="AK81" i="1"/>
  <c r="AK522" i="1"/>
  <c r="AK382" i="1"/>
  <c r="AK458" i="1"/>
  <c r="AK120" i="1"/>
  <c r="AK76" i="1"/>
  <c r="AK103" i="1"/>
  <c r="AK68" i="1"/>
  <c r="AK106" i="1"/>
  <c r="AK75" i="1"/>
  <c r="AK98" i="1"/>
  <c r="AK48" i="1"/>
  <c r="AK570" i="1"/>
  <c r="AK65" i="1"/>
  <c r="AK53" i="1"/>
  <c r="AK58" i="1"/>
  <c r="AK112" i="1"/>
  <c r="AK56" i="1"/>
  <c r="AK99" i="1"/>
  <c r="AK84" i="1"/>
  <c r="AK57" i="1"/>
  <c r="AK55" i="1"/>
  <c r="AK100" i="1"/>
  <c r="AK573" i="1"/>
  <c r="AK64" i="1"/>
  <c r="AK42" i="1"/>
  <c r="AK109" i="1"/>
  <c r="AK101" i="1"/>
  <c r="AK320" i="1"/>
  <c r="AK585" i="1"/>
  <c r="AK67" i="1"/>
  <c r="AK94" i="1"/>
  <c r="AK73" i="1"/>
  <c r="AK77" i="1"/>
  <c r="AK116" i="1"/>
  <c r="AK70" i="1"/>
  <c r="AK63" i="1"/>
  <c r="AK571" i="1"/>
  <c r="AK395" i="1"/>
  <c r="AK124" i="1"/>
  <c r="AK72" i="1"/>
  <c r="AK62" i="1"/>
  <c r="AK114" i="1"/>
  <c r="AK92" i="1"/>
  <c r="AK59" i="1"/>
  <c r="AK54" i="1"/>
  <c r="AK47" i="1"/>
  <c r="AK38" i="1"/>
  <c r="AK115" i="1"/>
  <c r="AK37" i="1"/>
  <c r="AK90" i="1"/>
  <c r="AK83" i="1"/>
  <c r="AK40" i="1"/>
  <c r="AK49" i="1"/>
  <c r="AK445" i="1"/>
  <c r="AK111" i="1"/>
  <c r="AK583" i="1"/>
  <c r="AK113" i="1"/>
  <c r="AK86" i="1"/>
  <c r="AK74" i="1"/>
  <c r="AK102" i="1"/>
  <c r="AK506" i="1"/>
  <c r="AK46" i="1"/>
  <c r="AK95" i="1"/>
  <c r="AK572" i="1"/>
  <c r="AK66" i="1"/>
  <c r="AK117" i="1"/>
  <c r="AK71" i="1"/>
  <c r="AK107" i="1"/>
  <c r="AK108" i="1"/>
  <c r="AK319" i="1"/>
  <c r="AK89" i="1"/>
  <c r="AK45" i="1"/>
  <c r="AK383" i="1"/>
  <c r="AK446" i="1"/>
  <c r="AK520" i="1"/>
  <c r="AK508" i="1"/>
  <c r="AK507" i="1"/>
  <c r="AK444" i="1"/>
  <c r="AK381" i="1"/>
  <c r="AK332" i="1"/>
  <c r="AK39" i="1"/>
  <c r="AK44" i="1"/>
  <c r="AK105" i="1"/>
  <c r="AK78" i="1"/>
  <c r="AK88" i="1"/>
  <c r="AS107" i="1"/>
  <c r="AS90" i="1"/>
  <c r="AS99" i="1"/>
  <c r="AS332" i="1"/>
  <c r="AS318" i="1"/>
  <c r="AS381" i="1"/>
  <c r="AS444" i="1"/>
  <c r="AS393" i="1"/>
  <c r="AS508" i="1"/>
  <c r="AS50" i="1"/>
  <c r="AS571" i="1"/>
  <c r="AS69" i="1"/>
  <c r="AS40" i="1"/>
  <c r="AS75" i="1"/>
  <c r="AS458" i="1"/>
  <c r="AS112" i="1"/>
  <c r="AS39" i="1"/>
  <c r="AS88" i="1"/>
  <c r="AS74" i="1"/>
  <c r="AS124" i="1"/>
  <c r="AS507" i="1"/>
  <c r="AS443" i="1"/>
  <c r="AS520" i="1"/>
  <c r="AS89" i="1"/>
  <c r="AS36" i="1"/>
  <c r="AS506" i="1"/>
  <c r="AS572" i="1"/>
  <c r="AS115" i="1"/>
  <c r="AS82" i="1"/>
  <c r="AS42" i="1"/>
  <c r="AS395" i="1"/>
  <c r="AS53" i="1"/>
  <c r="AS102" i="1"/>
  <c r="AS114" i="1"/>
  <c r="AS117" i="1"/>
  <c r="AS65" i="1"/>
  <c r="AS100" i="1"/>
  <c r="AS64" i="1"/>
  <c r="AS456" i="1"/>
  <c r="AS583" i="1"/>
  <c r="AS522" i="1"/>
  <c r="AS54" i="1"/>
  <c r="AS38" i="1"/>
  <c r="AS63" i="1"/>
  <c r="AS56" i="1"/>
  <c r="AS49" i="1"/>
  <c r="AS380" i="1"/>
  <c r="AS383" i="1"/>
  <c r="AS68" i="1"/>
  <c r="AS72" i="1"/>
  <c r="AS382" i="1"/>
  <c r="AS83" i="1"/>
  <c r="AS85" i="1"/>
  <c r="AS66" i="1"/>
  <c r="AS510" i="1"/>
  <c r="AS317" i="1"/>
  <c r="AS81" i="1"/>
  <c r="AS103" i="1"/>
  <c r="AS573" i="1"/>
  <c r="AS47" i="1"/>
  <c r="AS78" i="1"/>
  <c r="AS93" i="1"/>
  <c r="AS76" i="1"/>
  <c r="AS73" i="1"/>
  <c r="AS62" i="1"/>
  <c r="AS94" i="1"/>
  <c r="AS59" i="1"/>
  <c r="AS70" i="1"/>
  <c r="AS57" i="1"/>
  <c r="AS41" i="1"/>
  <c r="AS116" i="1"/>
  <c r="AS55" i="1"/>
  <c r="AS585" i="1"/>
  <c r="AS113" i="1"/>
  <c r="AS98" i="1"/>
  <c r="AS37" i="1"/>
  <c r="AS319" i="1"/>
  <c r="AS120" i="1"/>
  <c r="AS320" i="1"/>
  <c r="AS111" i="1"/>
  <c r="AS67" i="1"/>
  <c r="AS330" i="1"/>
  <c r="AS48" i="1"/>
  <c r="AS84" i="1"/>
  <c r="AS71" i="1"/>
  <c r="AS87" i="1"/>
  <c r="AS92" i="1"/>
  <c r="AS446" i="1"/>
  <c r="AS86" i="1"/>
  <c r="AS95" i="1"/>
  <c r="AS109" i="1"/>
  <c r="AS91" i="1"/>
  <c r="AS58" i="1"/>
  <c r="AS45" i="1"/>
  <c r="AS106" i="1"/>
  <c r="AS105" i="1"/>
  <c r="AS44" i="1"/>
  <c r="AS108" i="1"/>
  <c r="AS445" i="1"/>
  <c r="AS104" i="1"/>
  <c r="AS101" i="1"/>
  <c r="AS46" i="1"/>
  <c r="AS570" i="1"/>
  <c r="AS77" i="1"/>
  <c r="AS43" i="1"/>
  <c r="BG64" i="7" l="1"/>
  <c r="BG41" i="7"/>
  <c r="BG55" i="7"/>
  <c r="T386" i="1"/>
  <c r="S516" i="1"/>
  <c r="T516" i="1" s="1"/>
  <c r="W390" i="1"/>
  <c r="T450" i="1"/>
  <c r="T385" i="1"/>
  <c r="W517" i="1"/>
  <c r="BE40" i="7" s="1"/>
  <c r="S389" i="1"/>
  <c r="T389" i="1" s="1"/>
  <c r="R235" i="1"/>
  <c r="W327" i="1"/>
  <c r="W329" i="1" s="1"/>
  <c r="W580" i="1"/>
  <c r="X325" i="1"/>
  <c r="S579" i="1"/>
  <c r="T579" i="1" s="1"/>
  <c r="R228" i="1"/>
  <c r="T387" i="1"/>
  <c r="BG63" i="7"/>
  <c r="T448" i="1"/>
  <c r="X388" i="1"/>
  <c r="X578" i="1"/>
  <c r="T449" i="1"/>
  <c r="V236" i="1"/>
  <c r="V243" i="1" s="1"/>
  <c r="S327" i="1"/>
  <c r="S329" i="1" s="1"/>
  <c r="S451" i="1"/>
  <c r="T451" i="1" s="1"/>
  <c r="R218" i="1"/>
  <c r="S388" i="1"/>
  <c r="T388" i="1" s="1"/>
  <c r="R238" i="1"/>
  <c r="S515" i="1"/>
  <c r="R236" i="1" s="1"/>
  <c r="S578" i="1"/>
  <c r="T578" i="1" s="1"/>
  <c r="V242" i="1"/>
  <c r="C480" i="1"/>
  <c r="C354" i="1"/>
  <c r="C417" i="1"/>
  <c r="C264" i="1"/>
  <c r="C530" i="1"/>
  <c r="AS125" i="1"/>
  <c r="AS509" i="1"/>
  <c r="C544" i="1" s="1"/>
  <c r="C466" i="1"/>
  <c r="C403" i="1"/>
  <c r="C340" i="1"/>
  <c r="C278" i="1"/>
  <c r="C292" i="1" s="1"/>
  <c r="C276" i="1"/>
  <c r="C290" i="1" s="1"/>
  <c r="C401" i="1"/>
  <c r="C464" i="1"/>
  <c r="C528" i="1"/>
  <c r="AK509" i="1"/>
  <c r="C542" i="1" s="1"/>
  <c r="C352" i="1"/>
  <c r="C478" i="1"/>
  <c r="AK125" i="1"/>
  <c r="C415" i="1"/>
  <c r="C262" i="1"/>
  <c r="C338" i="1"/>
  <c r="C344" i="1"/>
  <c r="C358" i="1"/>
  <c r="C470" i="1"/>
  <c r="C282" i="1"/>
  <c r="C296" i="1" s="1"/>
  <c r="BI509" i="1"/>
  <c r="C548" i="1" s="1"/>
  <c r="C407" i="1"/>
  <c r="C534" i="1"/>
  <c r="C268" i="1"/>
  <c r="C484" i="1"/>
  <c r="C421" i="1"/>
  <c r="BI125" i="1"/>
  <c r="C419" i="1"/>
  <c r="C266" i="1"/>
  <c r="C405" i="1"/>
  <c r="BA509" i="1"/>
  <c r="C546" i="1" s="1"/>
  <c r="C468" i="1"/>
  <c r="C342" i="1"/>
  <c r="C532" i="1"/>
  <c r="C280" i="1"/>
  <c r="C294" i="1" s="1"/>
  <c r="C356" i="1"/>
  <c r="C482" i="1"/>
  <c r="BA125" i="1"/>
  <c r="C486" i="1"/>
  <c r="C423" i="1"/>
  <c r="C270" i="1"/>
  <c r="C284" i="1"/>
  <c r="C298" i="1" s="1"/>
  <c r="C360" i="1"/>
  <c r="BQ125" i="1"/>
  <c r="BQ509" i="1"/>
  <c r="C550" i="1" s="1"/>
  <c r="C472" i="1"/>
  <c r="C409" i="1"/>
  <c r="C346" i="1"/>
  <c r="C536" i="1"/>
  <c r="BM125" i="1"/>
  <c r="C359" i="1"/>
  <c r="C422" i="1"/>
  <c r="C485" i="1"/>
  <c r="C535" i="1"/>
  <c r="BM509" i="1"/>
  <c r="C549" i="1" s="1"/>
  <c r="C269" i="1"/>
  <c r="C471" i="1"/>
  <c r="C408" i="1"/>
  <c r="C345" i="1"/>
  <c r="C283" i="1"/>
  <c r="C297" i="1" s="1"/>
  <c r="BU125" i="1"/>
  <c r="C271" i="1"/>
  <c r="C410" i="1"/>
  <c r="C487" i="1"/>
  <c r="C347" i="1"/>
  <c r="C537" i="1"/>
  <c r="C473" i="1"/>
  <c r="C424" i="1"/>
  <c r="C361" i="1"/>
  <c r="C285" i="1"/>
  <c r="C299" i="1" s="1"/>
  <c r="BU509" i="1"/>
  <c r="C551" i="1" s="1"/>
  <c r="C275" i="1"/>
  <c r="C289" i="1" s="1"/>
  <c r="C477" i="1"/>
  <c r="C337" i="1"/>
  <c r="AG509" i="1"/>
  <c r="C541" i="1" s="1"/>
  <c r="C414" i="1"/>
  <c r="C351" i="1"/>
  <c r="AG125" i="1"/>
  <c r="C527" i="1"/>
  <c r="C463" i="1"/>
  <c r="C400" i="1"/>
  <c r="C261" i="1"/>
  <c r="AO125" i="1"/>
  <c r="C402" i="1"/>
  <c r="C465" i="1"/>
  <c r="AO509" i="1"/>
  <c r="C543" i="1" s="1"/>
  <c r="C339" i="1"/>
  <c r="C263" i="1"/>
  <c r="C277" i="1"/>
  <c r="C291" i="1" s="1"/>
  <c r="C529" i="1"/>
  <c r="C479" i="1"/>
  <c r="C416" i="1"/>
  <c r="C353" i="1"/>
  <c r="BE125" i="1"/>
  <c r="C357" i="1"/>
  <c r="C533" i="1"/>
  <c r="C483" i="1"/>
  <c r="BE509" i="1"/>
  <c r="C547" i="1" s="1"/>
  <c r="C469" i="1"/>
  <c r="C343" i="1"/>
  <c r="C267" i="1"/>
  <c r="C420" i="1"/>
  <c r="C406" i="1"/>
  <c r="C281" i="1"/>
  <c r="C295" i="1" s="1"/>
  <c r="C265" i="1"/>
  <c r="C531" i="1"/>
  <c r="C355" i="1"/>
  <c r="C418" i="1"/>
  <c r="C341" i="1"/>
  <c r="C404" i="1"/>
  <c r="C279" i="1"/>
  <c r="C293" i="1" s="1"/>
  <c r="AW509" i="1"/>
  <c r="C545" i="1" s="1"/>
  <c r="C467" i="1"/>
  <c r="C481" i="1"/>
  <c r="AW125" i="1"/>
  <c r="R234" i="1"/>
  <c r="T513" i="1"/>
  <c r="W455" i="1"/>
  <c r="BD49" i="7"/>
  <c r="BD40" i="7"/>
  <c r="AH49" i="7"/>
  <c r="AG55" i="7"/>
  <c r="AG54" i="7"/>
  <c r="AG39" i="7"/>
  <c r="AG63" i="7"/>
  <c r="AG41" i="7"/>
  <c r="AG64" i="7"/>
  <c r="AG51" i="7"/>
  <c r="AG42" i="7" s="1"/>
  <c r="R219" i="1"/>
  <c r="T323" i="1"/>
  <c r="AS32" i="1"/>
  <c r="AF42" i="7"/>
  <c r="T576" i="1"/>
  <c r="R239" i="1"/>
  <c r="AK32" i="1"/>
  <c r="BC49" i="7"/>
  <c r="W392" i="1"/>
  <c r="BC40" i="7"/>
  <c r="R245" i="1"/>
  <c r="AM49" i="7"/>
  <c r="AM40" i="7"/>
  <c r="S325" i="1"/>
  <c r="BI32" i="1"/>
  <c r="BA32" i="1"/>
  <c r="BQ32" i="1"/>
  <c r="BB40" i="7"/>
  <c r="BB49" i="7"/>
  <c r="R240" i="1"/>
  <c r="T577" i="1"/>
  <c r="BM32" i="1"/>
  <c r="W519" i="1"/>
  <c r="BU32" i="1"/>
  <c r="AG32" i="1"/>
  <c r="AO32" i="1"/>
  <c r="BE32" i="1"/>
  <c r="T324" i="1"/>
  <c r="R220" i="1"/>
  <c r="AW32" i="1"/>
  <c r="T512" i="1"/>
  <c r="R233" i="1"/>
  <c r="S390" i="1" l="1"/>
  <c r="S392" i="1" s="1"/>
  <c r="T515" i="1"/>
  <c r="V216" i="1"/>
  <c r="AI49" i="7"/>
  <c r="AI39" i="7" s="1"/>
  <c r="BF49" i="7"/>
  <c r="W582" i="1"/>
  <c r="BF40" i="7"/>
  <c r="AI40" i="7"/>
  <c r="S517" i="1"/>
  <c r="AK49" i="7" s="1"/>
  <c r="S580" i="1"/>
  <c r="AL40" i="7" s="1"/>
  <c r="S453" i="1"/>
  <c r="BE49" i="7"/>
  <c r="BE55" i="7" s="1"/>
  <c r="AH40" i="7"/>
  <c r="R231" i="1"/>
  <c r="B9" i="1"/>
  <c r="R241" i="1"/>
  <c r="A3" i="1"/>
  <c r="R226" i="1"/>
  <c r="R242" i="1"/>
  <c r="B6" i="1"/>
  <c r="AM54" i="7"/>
  <c r="AM64" i="7"/>
  <c r="AM41" i="7"/>
  <c r="AM39" i="7"/>
  <c r="AM63" i="7"/>
  <c r="AM55" i="7"/>
  <c r="B7" i="1"/>
  <c r="BC55" i="7"/>
  <c r="BC41" i="7"/>
  <c r="BC64" i="7"/>
  <c r="BC63" i="7"/>
  <c r="BC54" i="7"/>
  <c r="BD41" i="7"/>
  <c r="BD64" i="7"/>
  <c r="BD55" i="7"/>
  <c r="BD54" i="7"/>
  <c r="BD63" i="7"/>
  <c r="B8" i="1"/>
  <c r="BB63" i="7"/>
  <c r="BB51" i="7"/>
  <c r="BB55" i="7"/>
  <c r="BB54" i="7"/>
  <c r="BB64" i="7"/>
  <c r="BB41" i="7"/>
  <c r="AI41" i="7"/>
  <c r="AI54" i="7"/>
  <c r="AI63" i="7"/>
  <c r="AI55" i="7"/>
  <c r="AI64" i="7"/>
  <c r="R221" i="1"/>
  <c r="T325" i="1"/>
  <c r="AH54" i="7"/>
  <c r="AH64" i="7"/>
  <c r="AH39" i="7"/>
  <c r="AH55" i="7"/>
  <c r="AH41" i="7"/>
  <c r="AH51" i="7"/>
  <c r="AH42" i="7" s="1"/>
  <c r="AH63" i="7"/>
  <c r="BE54" i="7" l="1"/>
  <c r="S455" i="1"/>
  <c r="AJ40" i="7"/>
  <c r="AJ49" i="7"/>
  <c r="BB42" i="7"/>
  <c r="BE41" i="7"/>
  <c r="AY23" i="7" s="1"/>
  <c r="AY28" i="7" s="1"/>
  <c r="R243" i="1"/>
  <c r="AK40" i="7"/>
  <c r="S582" i="1"/>
  <c r="S519" i="1"/>
  <c r="BF63" i="7"/>
  <c r="BF55" i="7"/>
  <c r="BF64" i="7"/>
  <c r="BF54" i="7"/>
  <c r="BF41" i="7"/>
  <c r="BE63" i="7"/>
  <c r="BE64" i="7"/>
  <c r="AL49" i="7"/>
  <c r="R216" i="1"/>
  <c r="AK55" i="7"/>
  <c r="AK63" i="7"/>
  <c r="AK64" i="7"/>
  <c r="AK54" i="7"/>
  <c r="AK39" i="7"/>
  <c r="AK41" i="7"/>
  <c r="BC51" i="7"/>
  <c r="AI51" i="7"/>
  <c r="AL64" i="7" l="1"/>
  <c r="AL63" i="7"/>
  <c r="AL55" i="7"/>
  <c r="AL54" i="7"/>
  <c r="AL41" i="7"/>
  <c r="AJ41" i="7"/>
  <c r="AJ64" i="7"/>
  <c r="AJ54" i="7"/>
  <c r="AJ63" i="7"/>
  <c r="AJ55" i="7"/>
  <c r="AJ39" i="7"/>
  <c r="AL39" i="7"/>
  <c r="AI42" i="7"/>
  <c r="AJ51" i="7"/>
  <c r="BC42" i="7"/>
  <c r="BD51" i="7"/>
  <c r="AW23" i="7" l="1"/>
  <c r="AW28" i="7" s="1"/>
  <c r="AJ42" i="7"/>
  <c r="AK51" i="7"/>
  <c r="BD42" i="7"/>
  <c r="BE51" i="7"/>
  <c r="AK42" i="7" l="1"/>
  <c r="AL51" i="7"/>
  <c r="BE42" i="7"/>
  <c r="BF51" i="7"/>
  <c r="BF42" i="7" l="1"/>
  <c r="BG51" i="7"/>
  <c r="BG42" i="7" s="1"/>
  <c r="AL42" i="7"/>
  <c r="AM51" i="7"/>
  <c r="AM42" i="7" s="1"/>
  <c r="AW24" i="7" s="1"/>
  <c r="AW25" i="7" s="1"/>
  <c r="AY35" i="7" l="1"/>
  <c r="AW35" i="7"/>
  <c r="AX35" i="7" s="1"/>
  <c r="AW34" i="7"/>
  <c r="AY24" i="7"/>
  <c r="AY25" i="7" s="1"/>
  <c r="AY34" i="7"/>
  <c r="AX34" i="7" l="1"/>
  <c r="BP57" i="7"/>
  <c r="AV57" i="7"/>
  <c r="BP56" i="7" l="1"/>
  <c r="AV56" i="7"/>
  <c r="AV59" i="7" l="1"/>
  <c r="AV61" i="7" s="1"/>
  <c r="AV48" i="7"/>
  <c r="AW29" i="7"/>
  <c r="AW30" i="7"/>
  <c r="AY30" i="7"/>
  <c r="BP48" i="7"/>
  <c r="BP59" i="7"/>
  <c r="BP61" i="7" s="1"/>
  <c r="AY29" i="7"/>
  <c r="AX30" i="7" l="1"/>
  <c r="AX29" i="7"/>
  <c r="BA29" i="7" l="1"/>
  <c r="AU29" i="7"/>
  <c r="BA30" i="7"/>
  <c r="AU30" i="7"/>
  <c r="AN55" i="7" l="1"/>
  <c r="AF55" i="7"/>
  <c r="BH55" i="7"/>
  <c r="AZ55" i="7"/>
  <c r="AN50" i="7"/>
  <c r="AF50" i="7"/>
  <c r="AU31" i="7"/>
  <c r="AN54" i="7"/>
  <c r="AF54" i="7"/>
  <c r="AV50" i="7"/>
  <c r="AF57" i="7" s="1"/>
  <c r="BA31" i="7"/>
  <c r="BH54" i="7"/>
  <c r="AZ50" i="7"/>
  <c r="AZ54" i="7"/>
  <c r="BH50" i="7"/>
  <c r="BP50" i="7"/>
  <c r="BC57" i="7" l="1"/>
  <c r="BD57" i="7"/>
  <c r="BB52" i="7"/>
  <c r="BF57" i="7"/>
  <c r="AZ52" i="7"/>
  <c r="BC52" i="7"/>
  <c r="BE57" i="7"/>
  <c r="BP64" i="7"/>
  <c r="BG57" i="7"/>
  <c r="BA52" i="7"/>
  <c r="BH52" i="7"/>
  <c r="BG52" i="7"/>
  <c r="BF52" i="7"/>
  <c r="BE52" i="7"/>
  <c r="BD52" i="7"/>
  <c r="BB57" i="7"/>
  <c r="BA57" i="7"/>
  <c r="AZ70" i="7"/>
  <c r="BA50" i="7"/>
  <c r="AZ56" i="7"/>
  <c r="AZ53" i="7"/>
  <c r="BH57" i="7"/>
  <c r="AZ57" i="7"/>
  <c r="AF52" i="7"/>
  <c r="AL57" i="7"/>
  <c r="AH57" i="7"/>
  <c r="AK52" i="7"/>
  <c r="AN52" i="7"/>
  <c r="AL52" i="7"/>
  <c r="AI52" i="7"/>
  <c r="AV64" i="7"/>
  <c r="AG57" i="7"/>
  <c r="AM52" i="7"/>
  <c r="AG52" i="7"/>
  <c r="AJ52" i="7"/>
  <c r="AM57" i="7"/>
  <c r="AJ57" i="7"/>
  <c r="AK57" i="7"/>
  <c r="AH52" i="7"/>
  <c r="AI57" i="7"/>
  <c r="BH56" i="7"/>
  <c r="BH53" i="7"/>
  <c r="AF56" i="7"/>
  <c r="AF70" i="7"/>
  <c r="AG50" i="7"/>
  <c r="AF53" i="7"/>
  <c r="AN53" i="7"/>
  <c r="AN56" i="7"/>
  <c r="AN57" i="7"/>
  <c r="BA70" i="7" l="1"/>
  <c r="BE60" i="7"/>
  <c r="BA60" i="7"/>
  <c r="BF60" i="7"/>
  <c r="BG60" i="7"/>
  <c r="BH60" i="7"/>
  <c r="AZ60" i="7"/>
  <c r="BD60" i="7"/>
  <c r="BB60" i="7"/>
  <c r="BC60" i="7"/>
  <c r="BP65" i="7"/>
  <c r="BP63" i="7"/>
  <c r="BA56" i="7"/>
  <c r="BB70" i="7"/>
  <c r="BB50" i="7"/>
  <c r="BA53" i="7"/>
  <c r="AG56" i="7"/>
  <c r="AH70" i="7"/>
  <c r="AH50" i="7"/>
  <c r="AG53" i="7"/>
  <c r="AG70" i="7"/>
  <c r="AL60" i="7"/>
  <c r="AH60" i="7"/>
  <c r="AI60" i="7"/>
  <c r="AG60" i="7"/>
  <c r="AK60" i="7"/>
  <c r="AJ60" i="7"/>
  <c r="AM60" i="7"/>
  <c r="AN60" i="7"/>
  <c r="AF60" i="7"/>
  <c r="AV63" i="7"/>
  <c r="AV65" i="7"/>
  <c r="AI70" i="7" l="1"/>
  <c r="BG61" i="7"/>
  <c r="BC61" i="7"/>
  <c r="BF61" i="7"/>
  <c r="BA61" i="7"/>
  <c r="BH61" i="7"/>
  <c r="BB61" i="7"/>
  <c r="BD61" i="7"/>
  <c r="AZ61" i="7"/>
  <c r="BE61" i="7"/>
  <c r="AH83" i="7"/>
  <c r="BA79" i="7"/>
  <c r="BB56" i="7"/>
  <c r="BD70" i="7"/>
  <c r="BC50" i="7"/>
  <c r="BB53" i="7"/>
  <c r="AK61" i="7"/>
  <c r="AG61" i="7"/>
  <c r="AN61" i="7"/>
  <c r="AJ61" i="7"/>
  <c r="AF61" i="7"/>
  <c r="AH61" i="7"/>
  <c r="AM61" i="7"/>
  <c r="AL61" i="7"/>
  <c r="AI61" i="7"/>
  <c r="AH59" i="7"/>
  <c r="AM59" i="7"/>
  <c r="AG59" i="7"/>
  <c r="AN59" i="7"/>
  <c r="AV53" i="7"/>
  <c r="AG90" i="7" s="1"/>
  <c r="AF59" i="7"/>
  <c r="AF82" i="7" s="1"/>
  <c r="AK59" i="7"/>
  <c r="AJ59" i="7"/>
  <c r="AI59" i="7"/>
  <c r="AL59" i="7"/>
  <c r="AZ59" i="7"/>
  <c r="BG59" i="7"/>
  <c r="BA59" i="7"/>
  <c r="BC59" i="7"/>
  <c r="BB59" i="7"/>
  <c r="BF59" i="7"/>
  <c r="BP53" i="7"/>
  <c r="BC83" i="7" s="1"/>
  <c r="BH59" i="7"/>
  <c r="BH82" i="7" s="1"/>
  <c r="BE59" i="7"/>
  <c r="BD59" i="7"/>
  <c r="AH56" i="7"/>
  <c r="AJ70" i="7"/>
  <c r="AI50" i="7"/>
  <c r="AH53" i="7"/>
  <c r="BC70" i="7"/>
  <c r="BH84" i="7" l="1"/>
  <c r="BB84" i="7"/>
  <c r="AG76" i="7"/>
  <c r="BA84" i="7"/>
  <c r="AM84" i="7"/>
  <c r="BF84" i="7"/>
  <c r="AI82" i="7"/>
  <c r="BH83" i="7"/>
  <c r="BB79" i="7"/>
  <c r="AL84" i="7"/>
  <c r="AH79" i="7"/>
  <c r="AH84" i="7"/>
  <c r="BD82" i="7"/>
  <c r="AJ82" i="7"/>
  <c r="AF84" i="7"/>
  <c r="AN83" i="7"/>
  <c r="AL82" i="7"/>
  <c r="AL83" i="7"/>
  <c r="BE82" i="7"/>
  <c r="AK82" i="7"/>
  <c r="AJ84" i="7"/>
  <c r="BA83" i="7"/>
  <c r="BA90" i="7"/>
  <c r="BF82" i="7"/>
  <c r="AN84" i="7"/>
  <c r="BG84" i="7"/>
  <c r="AN82" i="7"/>
  <c r="AI83" i="7"/>
  <c r="AK84" i="7"/>
  <c r="BD83" i="7"/>
  <c r="AG79" i="7"/>
  <c r="BA82" i="7"/>
  <c r="AH76" i="7"/>
  <c r="AH82" i="7"/>
  <c r="BE84" i="7"/>
  <c r="BC84" i="7"/>
  <c r="AK78" i="7"/>
  <c r="AK77" i="7"/>
  <c r="AG77" i="7"/>
  <c r="AM77" i="7"/>
  <c r="AG78" i="7"/>
  <c r="AJ78" i="7"/>
  <c r="AI77" i="7"/>
  <c r="AH78" i="7"/>
  <c r="AJ77" i="7"/>
  <c r="AI78" i="7"/>
  <c r="AM78" i="7"/>
  <c r="AV52" i="7"/>
  <c r="AH66" i="7" s="1"/>
  <c r="AH87" i="7" s="1"/>
  <c r="AH77" i="7"/>
  <c r="AL77" i="7"/>
  <c r="AL78" i="7"/>
  <c r="AN78" i="7"/>
  <c r="AN77" i="7"/>
  <c r="AF80" i="7"/>
  <c r="AF77" i="7"/>
  <c r="AF78" i="7"/>
  <c r="AL80" i="7"/>
  <c r="AI80" i="7"/>
  <c r="AN80" i="7"/>
  <c r="AL75" i="7"/>
  <c r="AK75" i="7"/>
  <c r="AN79" i="7"/>
  <c r="AG75" i="7"/>
  <c r="AF76" i="7"/>
  <c r="AF75" i="7"/>
  <c r="AH75" i="7"/>
  <c r="AM75" i="7"/>
  <c r="AH80" i="7"/>
  <c r="AN76" i="7"/>
  <c r="AI75" i="7"/>
  <c r="AM80" i="7"/>
  <c r="AN75" i="7"/>
  <c r="AJ75" i="7"/>
  <c r="AF90" i="7"/>
  <c r="AG80" i="7"/>
  <c r="AJ80" i="7"/>
  <c r="AF79" i="7"/>
  <c r="AK80" i="7"/>
  <c r="AG83" i="7"/>
  <c r="BC90" i="7"/>
  <c r="AG84" i="7"/>
  <c r="BB83" i="7"/>
  <c r="AF83" i="7"/>
  <c r="BC82" i="7"/>
  <c r="AG82" i="7"/>
  <c r="AJ83" i="7"/>
  <c r="AM82" i="7"/>
  <c r="BG83" i="7"/>
  <c r="BP76" i="7"/>
  <c r="AH90" i="7"/>
  <c r="BG82" i="7"/>
  <c r="BB76" i="7"/>
  <c r="AK83" i="7"/>
  <c r="AI90" i="7"/>
  <c r="AI56" i="7"/>
  <c r="AI79" i="7" s="1"/>
  <c r="AI53" i="7"/>
  <c r="AI76" i="7" s="1"/>
  <c r="AL70" i="7"/>
  <c r="AJ50" i="7"/>
  <c r="AZ82" i="7"/>
  <c r="AV76" i="7"/>
  <c r="BC56" i="7"/>
  <c r="BC79" i="7" s="1"/>
  <c r="BC53" i="7"/>
  <c r="BC76" i="7" s="1"/>
  <c r="BF70" i="7"/>
  <c r="BD50" i="7"/>
  <c r="AZ84" i="7"/>
  <c r="BF83" i="7"/>
  <c r="BG77" i="7"/>
  <c r="BB77" i="7"/>
  <c r="BG78" i="7"/>
  <c r="BF78" i="7"/>
  <c r="BE77" i="7"/>
  <c r="BC78" i="7"/>
  <c r="BE78" i="7"/>
  <c r="BA78" i="7"/>
  <c r="BB78" i="7"/>
  <c r="BC77" i="7"/>
  <c r="BF77" i="7"/>
  <c r="BD77" i="7"/>
  <c r="BP52" i="7"/>
  <c r="BB65" i="7" s="1"/>
  <c r="BB86" i="7" s="1"/>
  <c r="BA77" i="7"/>
  <c r="BD78" i="7"/>
  <c r="AZ77" i="7"/>
  <c r="BH77" i="7"/>
  <c r="AZ78" i="7"/>
  <c r="BH78" i="7"/>
  <c r="AZ79" i="7"/>
  <c r="BD80" i="7"/>
  <c r="BG75" i="7"/>
  <c r="BE75" i="7"/>
  <c r="BC75" i="7"/>
  <c r="BH75" i="7"/>
  <c r="BA80" i="7"/>
  <c r="BF80" i="7"/>
  <c r="AZ76" i="7"/>
  <c r="BD75" i="7"/>
  <c r="BF75" i="7"/>
  <c r="BG80" i="7"/>
  <c r="BH76" i="7"/>
  <c r="BH80" i="7"/>
  <c r="AZ80" i="7"/>
  <c r="BA75" i="7"/>
  <c r="AZ90" i="7"/>
  <c r="BE80" i="7"/>
  <c r="BB80" i="7"/>
  <c r="BB75" i="7"/>
  <c r="BC80" i="7"/>
  <c r="AZ75" i="7"/>
  <c r="BH79" i="7"/>
  <c r="BA76" i="7"/>
  <c r="BB90" i="7"/>
  <c r="AZ83" i="7"/>
  <c r="BB82" i="7"/>
  <c r="AK70" i="7"/>
  <c r="AK90" i="7" s="1"/>
  <c r="AJ90" i="7"/>
  <c r="BE83" i="7"/>
  <c r="AI84" i="7"/>
  <c r="BE70" i="7"/>
  <c r="BE90" i="7" s="1"/>
  <c r="BD90" i="7"/>
  <c r="AM83" i="7"/>
  <c r="BD84" i="7"/>
  <c r="AH65" i="7" l="1"/>
  <c r="AH86" i="7" s="1"/>
  <c r="BB66" i="7"/>
  <c r="BB87" i="7" s="1"/>
  <c r="BD56" i="7"/>
  <c r="BD79" i="7" s="1"/>
  <c r="BD53" i="7"/>
  <c r="BD76" i="7" s="1"/>
  <c r="BH70" i="7"/>
  <c r="BE50" i="7"/>
  <c r="AJ56" i="7"/>
  <c r="AJ79" i="7" s="1"/>
  <c r="AJ53" i="7"/>
  <c r="AJ76" i="7" s="1"/>
  <c r="AN70" i="7"/>
  <c r="AK50" i="7"/>
  <c r="BC65" i="7"/>
  <c r="BC86" i="7" s="1"/>
  <c r="BC66" i="7"/>
  <c r="BC87" i="7" s="1"/>
  <c r="BF90" i="7"/>
  <c r="BG70" i="7"/>
  <c r="BG90" i="7" s="1"/>
  <c r="AI65" i="7"/>
  <c r="AI86" i="7" s="1"/>
  <c r="AI66" i="7"/>
  <c r="AI87" i="7" s="1"/>
  <c r="AM70" i="7"/>
  <c r="AM90" i="7" s="1"/>
  <c r="AL90" i="7"/>
  <c r="AF66" i="7"/>
  <c r="AF87" i="7" s="1"/>
  <c r="AF65" i="7"/>
  <c r="AF86" i="7" s="1"/>
  <c r="AG65" i="7"/>
  <c r="AG86" i="7" s="1"/>
  <c r="AG66" i="7"/>
  <c r="AG87" i="7" s="1"/>
  <c r="AZ66" i="7"/>
  <c r="AZ87" i="7" s="1"/>
  <c r="AZ65" i="7"/>
  <c r="AZ86" i="7" s="1"/>
  <c r="BA65" i="7"/>
  <c r="BA86" i="7" s="1"/>
  <c r="BA66" i="7"/>
  <c r="BA87" i="7" s="1"/>
  <c r="AJ66" i="7" l="1"/>
  <c r="AJ87" i="7" s="1"/>
  <c r="AJ65" i="7"/>
  <c r="AJ86" i="7" s="1"/>
  <c r="AN90" i="7"/>
  <c r="AO70" i="7"/>
  <c r="AO90" i="7" s="1"/>
  <c r="AK56" i="7"/>
  <c r="AK79" i="7" s="1"/>
  <c r="AK53" i="7"/>
  <c r="AK76" i="7" s="1"/>
  <c r="AP70" i="7"/>
  <c r="AL50" i="7"/>
  <c r="BE56" i="7"/>
  <c r="BE79" i="7" s="1"/>
  <c r="BE53" i="7"/>
  <c r="BE76" i="7" s="1"/>
  <c r="BJ70" i="7"/>
  <c r="BF50" i="7"/>
  <c r="BD66" i="7"/>
  <c r="BD87" i="7" s="1"/>
  <c r="BD65" i="7"/>
  <c r="BD86" i="7" s="1"/>
  <c r="BI70" i="7"/>
  <c r="BI90" i="7" s="1"/>
  <c r="BH90" i="7"/>
  <c r="BF56" i="7" l="1"/>
  <c r="BF79" i="7" s="1"/>
  <c r="BF53" i="7"/>
  <c r="BF76" i="7" s="1"/>
  <c r="BL70" i="7"/>
  <c r="BG50" i="7"/>
  <c r="BE66" i="7"/>
  <c r="BE87" i="7" s="1"/>
  <c r="BE65" i="7"/>
  <c r="BE86" i="7" s="1"/>
  <c r="BJ90" i="7"/>
  <c r="BK70" i="7"/>
  <c r="BK90" i="7" s="1"/>
  <c r="AL56" i="7"/>
  <c r="AL79" i="7" s="1"/>
  <c r="AL53" i="7"/>
  <c r="AL76" i="7" s="1"/>
  <c r="AR70" i="7"/>
  <c r="AM50" i="7"/>
  <c r="AK65" i="7"/>
  <c r="AK86" i="7" s="1"/>
  <c r="AK66" i="7"/>
  <c r="AK87" i="7" s="1"/>
  <c r="AQ70" i="7"/>
  <c r="AQ90" i="7" s="1"/>
  <c r="AP90" i="7"/>
  <c r="AT70" i="7" l="1"/>
  <c r="AM56" i="7"/>
  <c r="AM79" i="7" s="1"/>
  <c r="AM53" i="7"/>
  <c r="AM76" i="7" s="1"/>
  <c r="AL65" i="7"/>
  <c r="AL86" i="7" s="1"/>
  <c r="AL66" i="7"/>
  <c r="AL87" i="7" s="1"/>
  <c r="AR90" i="7"/>
  <c r="AS70" i="7"/>
  <c r="AS90" i="7" s="1"/>
  <c r="BN70" i="7"/>
  <c r="BG56" i="7"/>
  <c r="BG79" i="7" s="1"/>
  <c r="BG53" i="7"/>
  <c r="BG76" i="7" s="1"/>
  <c r="BF66" i="7"/>
  <c r="BF87" i="7" s="1"/>
  <c r="BF65" i="7"/>
  <c r="BF86" i="7" s="1"/>
  <c r="BL90" i="7"/>
  <c r="BM70" i="7"/>
  <c r="BM90" i="7" s="1"/>
  <c r="BG66" i="7" l="1"/>
  <c r="BG87" i="7" s="1"/>
  <c r="BG65" i="7"/>
  <c r="BG86" i="7" s="1"/>
  <c r="BN90" i="7"/>
  <c r="BO70" i="7"/>
  <c r="AM65" i="7"/>
  <c r="AM86" i="7" s="1"/>
  <c r="AM66" i="7"/>
  <c r="AM87" i="7" s="1"/>
  <c r="AU70" i="7"/>
  <c r="AT90" i="7"/>
  <c r="AU90" i="7" l="1"/>
  <c r="AN65" i="7"/>
  <c r="AN86" i="7" s="1"/>
  <c r="AN66" i="7"/>
  <c r="AN87" i="7" s="1"/>
  <c r="BH66" i="7"/>
  <c r="BH87" i="7" s="1"/>
  <c r="BO90" i="7"/>
  <c r="BH65" i="7"/>
  <c r="BH86" i="7" s="1"/>
</calcChain>
</file>

<file path=xl/sharedStrings.xml><?xml version="1.0" encoding="utf-8"?>
<sst xmlns="http://schemas.openxmlformats.org/spreadsheetml/2006/main" count="813" uniqueCount="435">
  <si>
    <t>Phase</t>
  </si>
  <si>
    <t>ACT_TOT</t>
  </si>
  <si>
    <t>Period</t>
  </si>
  <si>
    <t>Legal organization</t>
  </si>
  <si>
    <t>Activity</t>
  </si>
  <si>
    <t>Currency</t>
  </si>
  <si>
    <t>Gaap</t>
  </si>
  <si>
    <t>Integration rate</t>
  </si>
  <si>
    <t>Language</t>
  </si>
  <si>
    <t>English</t>
  </si>
  <si>
    <t>Period_Year_Month</t>
  </si>
  <si>
    <t>output</t>
  </si>
  <si>
    <t>Indicator</t>
  </si>
  <si>
    <t xml:space="preserve"> </t>
  </si>
  <si>
    <t>PL0000_ST</t>
  </si>
  <si>
    <t>PL0000_DO</t>
  </si>
  <si>
    <t>D - Driving Cost as % of revenue</t>
  </si>
  <si>
    <t>z_Translate_Report</t>
  </si>
  <si>
    <t>Context_selection</t>
  </si>
  <si>
    <t>P&amp;L Aggregated Context :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</si>
  <si>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</si>
  <si>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</si>
  <si>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</si>
  <si>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</si>
  <si>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</si>
  <si>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</si>
  <si>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</si>
  <si>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</si>
  <si>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</si>
  <si>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</si>
  <si>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</si>
  <si>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</si>
  <si>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</si>
  <si>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</si>
  <si>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</si>
  <si>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Note List :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</si>
  <si>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</si>
  <si>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</si>
  <si>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</si>
  <si>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</si>
  <si>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</si>
  <si>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French</t>
  </si>
  <si>
    <t>A</t>
  </si>
  <si>
    <t>B</t>
  </si>
  <si>
    <t>C</t>
  </si>
  <si>
    <t>PL1110_DO_10</t>
  </si>
  <si>
    <t>PL1115_DO_20</t>
  </si>
  <si>
    <t>PL1115_DO_99</t>
  </si>
  <si>
    <t>PL1155_DO_10</t>
  </si>
  <si>
    <t>PL1140_DO_10</t>
  </si>
  <si>
    <t>PL0000_DO_IM</t>
  </si>
  <si>
    <t>PL1110_MF_10</t>
  </si>
  <si>
    <t>PL1115_MF_20</t>
  </si>
  <si>
    <t>PL1115_MF_11</t>
  </si>
  <si>
    <t>PL1115_MF_12</t>
  </si>
  <si>
    <t>PL1115_MF_25</t>
  </si>
  <si>
    <t>PL1115_MF_30</t>
  </si>
  <si>
    <t>PL1115_MF_31</t>
  </si>
  <si>
    <t>PL1115_MF_32</t>
  </si>
  <si>
    <t>PL1115_MF_99</t>
  </si>
  <si>
    <t>PL1155_MF_99</t>
  </si>
  <si>
    <t>PL0000_MF_IM</t>
  </si>
  <si>
    <t>PL1115_ET_80</t>
  </si>
  <si>
    <t>PL1115_ET_81</t>
  </si>
  <si>
    <t>PL1115_ET_82</t>
  </si>
  <si>
    <t>PL1115_ET_83</t>
  </si>
  <si>
    <t>PL1115_ET_99</t>
  </si>
  <si>
    <t>PL1155_ET_15</t>
  </si>
  <si>
    <t>PL1155_ET_16</t>
  </si>
  <si>
    <t>PL1155_ET_17</t>
  </si>
  <si>
    <t>PL1155_ET_18</t>
  </si>
  <si>
    <t>PL1155_ET_99</t>
  </si>
  <si>
    <t>PL1155_FL_99</t>
  </si>
  <si>
    <t>PL1150_FL_10</t>
  </si>
  <si>
    <t>PL1140_FL_05</t>
  </si>
  <si>
    <t>PL1160_FL_10</t>
  </si>
  <si>
    <t>PL0000_MI</t>
  </si>
  <si>
    <t>PL0000_CD</t>
  </si>
  <si>
    <t>PL0000_CS</t>
  </si>
  <si>
    <t>PL0000_DS</t>
  </si>
  <si>
    <t>PL0000_AC</t>
  </si>
  <si>
    <t>TPL10_dest_nosub</t>
  </si>
  <si>
    <t>PL0000_OT</t>
  </si>
  <si>
    <t>PMM_D1</t>
  </si>
  <si>
    <t>PMM_D2</t>
  </si>
  <si>
    <t>PMM_D3</t>
  </si>
  <si>
    <t>PMM_GM_IMPACT_D</t>
  </si>
  <si>
    <t>PMM_GM_IMPACT_M1</t>
  </si>
  <si>
    <t>PMM_GM_IMPACT_M2</t>
  </si>
  <si>
    <t>PMM_GM_IMPACT_M3</t>
  </si>
  <si>
    <t>PMM_GM_IMPACT_D1</t>
  </si>
  <si>
    <t>PMM_GM_IMPACT_D2</t>
  </si>
  <si>
    <t>PMM_GM_IMPACT_D3</t>
  </si>
  <si>
    <t>PMM_GM_IMPACT_DCOMP</t>
  </si>
  <si>
    <t>PMM_GM_IMPACT_DVOL</t>
  </si>
  <si>
    <t>PMM_M</t>
  </si>
  <si>
    <t>PMM_D</t>
  </si>
  <si>
    <t>PMM_M1</t>
  </si>
  <si>
    <t>PMM_M2</t>
  </si>
  <si>
    <t>PMM_M3</t>
  </si>
  <si>
    <t>PMM_D_CWU</t>
  </si>
  <si>
    <t>PMM_D_PWU</t>
  </si>
  <si>
    <t>PMM_GM_IMPACT_MCOMP</t>
  </si>
  <si>
    <t>PMM_GM_IMPACT_MVOL</t>
  </si>
  <si>
    <t>PMM_GM_IMPACT_M</t>
  </si>
  <si>
    <t>PMM_M_CWU</t>
  </si>
  <si>
    <t>PMM_M_PWU</t>
  </si>
  <si>
    <t>PMM_E1</t>
  </si>
  <si>
    <t>PMM_E2</t>
  </si>
  <si>
    <t>PMM_E3</t>
  </si>
  <si>
    <t>PMM_E</t>
  </si>
  <si>
    <t>PMM_E_CWU</t>
  </si>
  <si>
    <t>PMM_E_PWU</t>
  </si>
  <si>
    <t>PMM_GM_IMPACT_E1</t>
  </si>
  <si>
    <t>PMM_GM_IMPACT_E2</t>
  </si>
  <si>
    <t>PMM_GM_IMPACT_E3</t>
  </si>
  <si>
    <t>PMM_GM_IMPACT_ECOMP</t>
  </si>
  <si>
    <t>PMM_GM_IMPACT_EVOL</t>
  </si>
  <si>
    <t>PMM_GM_IMPACT_E</t>
  </si>
  <si>
    <t>PMM_F1</t>
  </si>
  <si>
    <t>PMM_F2</t>
  </si>
  <si>
    <t>PMM_F3</t>
  </si>
  <si>
    <t>PMM_F</t>
  </si>
  <si>
    <t>PMM_F_CWU</t>
  </si>
  <si>
    <t>PMM_F_PWU</t>
  </si>
  <si>
    <t>PMM_GM_IMPACT_F1</t>
  </si>
  <si>
    <t>PMM_GM_IMPACT_F2</t>
  </si>
  <si>
    <t>PMM_GM_IMPACT_F3</t>
  </si>
  <si>
    <t>PMM_GM_IMPACT_FCOMP</t>
  </si>
  <si>
    <t>PMM_GM_IMPACT_F</t>
  </si>
  <si>
    <t>PMM_GM_IMPACT_FVOL</t>
  </si>
  <si>
    <t>PMM_O</t>
  </si>
  <si>
    <t>PMM_O1</t>
  </si>
  <si>
    <t>PMM_O2</t>
  </si>
  <si>
    <t>PMM_O3</t>
  </si>
  <si>
    <t>PMM_GM_IMPACT_O1</t>
  </si>
  <si>
    <t>PMM_GM_IMPACT_O2</t>
  </si>
  <si>
    <t>PMM_GM_IMPACT_O3</t>
  </si>
  <si>
    <t>PMM_GM_IMPACT_OCOMP</t>
  </si>
  <si>
    <t>PMM_GM_IMPACT_OVOL</t>
  </si>
  <si>
    <t>PMM_GM_IMPACT_O</t>
  </si>
  <si>
    <t>GROSS_MARGIN_dest</t>
  </si>
  <si>
    <t>PMM_GM_IMPACT_DMISS</t>
  </si>
  <si>
    <t>PMM_GM_IMPACT_MMISS</t>
  </si>
  <si>
    <t>PMM_GM_IMPACT_EMISS</t>
  </si>
  <si>
    <t>PMM_GM_IMPACT_FMISS</t>
  </si>
  <si>
    <t>PMM_GM_IMPACT_OMISS</t>
  </si>
  <si>
    <t>Calc excel</t>
  </si>
  <si>
    <t>Management_organization</t>
  </si>
  <si>
    <t>PMM_O_CWU</t>
  </si>
  <si>
    <t>PMM_O_PWU</t>
  </si>
  <si>
    <t>Cube n°3 :</t>
  </si>
  <si>
    <t>TPL11_dest_nosub</t>
  </si>
  <si>
    <t>PMM_detailed_analysis</t>
  </si>
  <si>
    <t>PMM_Level2</t>
  </si>
  <si>
    <t>M1_Maint_Cost_per</t>
  </si>
  <si>
    <t>M3_Revenue_per</t>
  </si>
  <si>
    <t>D1_Driv_Cost_per</t>
  </si>
  <si>
    <t>D3_Revenue_per</t>
  </si>
  <si>
    <t>E3_Revenue_per</t>
  </si>
  <si>
    <t>E1_Energ_Cost_per</t>
  </si>
  <si>
    <t>F3_Revenue_per</t>
  </si>
  <si>
    <t>F1_Fleet_Cost_per</t>
  </si>
  <si>
    <t>O1_Other_Cost_per</t>
  </si>
  <si>
    <t>O3_Revenue_per</t>
  </si>
  <si>
    <t>TOT_D_Impact</t>
  </si>
  <si>
    <t>TOT_M_Impact</t>
  </si>
  <si>
    <t>TOT_E_Impact</t>
  </si>
  <si>
    <t>TOT_F_Impact</t>
  </si>
  <si>
    <t>TOT_O_Impact</t>
  </si>
  <si>
    <t>ROA_Var</t>
  </si>
  <si>
    <t>Yes</t>
  </si>
  <si>
    <t>Charts synchronizaton</t>
  </si>
  <si>
    <t>Charts zoom</t>
  </si>
  <si>
    <t>yWater</t>
  </si>
  <si>
    <t>yTitle</t>
  </si>
  <si>
    <t>yLabel</t>
  </si>
  <si>
    <t>axis-</t>
  </si>
  <si>
    <t>axis</t>
  </si>
  <si>
    <t>axis+</t>
  </si>
  <si>
    <t>Bottom margin</t>
  </si>
  <si>
    <t>Space-</t>
  </si>
  <si>
    <t>Var-</t>
  </si>
  <si>
    <t>Var+</t>
  </si>
  <si>
    <t>Space+</t>
  </si>
  <si>
    <t>Top margin</t>
  </si>
  <si>
    <t>Tech Values</t>
  </si>
  <si>
    <t>xWater</t>
  </si>
  <si>
    <t>Water</t>
  </si>
  <si>
    <t>Axis- size</t>
  </si>
  <si>
    <t>Axis size</t>
  </si>
  <si>
    <t>Label Red</t>
  </si>
  <si>
    <t>Axis+ size</t>
  </si>
  <si>
    <t>Label Green</t>
  </si>
  <si>
    <t>Axis ratio</t>
  </si>
  <si>
    <t>ValDiv</t>
  </si>
  <si>
    <t>AbsMax</t>
  </si>
  <si>
    <t>Max</t>
  </si>
  <si>
    <t>Min</t>
  </si>
  <si>
    <t>xWater gap</t>
  </si>
  <si>
    <t>Bar space</t>
  </si>
  <si>
    <t>Size</t>
  </si>
  <si>
    <t>Label margin</t>
  </si>
  <si>
    <t>Label margin ratio</t>
  </si>
  <si>
    <t>Val2</t>
  </si>
  <si>
    <t>top/bottom margin</t>
  </si>
  <si>
    <t>Val</t>
  </si>
  <si>
    <t>Min top/bottom margin</t>
  </si>
  <si>
    <t>Var</t>
  </si>
  <si>
    <t>top/bottom margin ratio</t>
  </si>
  <si>
    <t>Global ratio</t>
  </si>
  <si>
    <t>Vol.</t>
  </si>
  <si>
    <t>O</t>
  </si>
  <si>
    <t>F</t>
  </si>
  <si>
    <t>E</t>
  </si>
  <si>
    <t>M</t>
  </si>
  <si>
    <t>D</t>
  </si>
  <si>
    <t>ROA</t>
  </si>
  <si>
    <t>Synchro</t>
  </si>
  <si>
    <t>-</t>
  </si>
  <si>
    <t>Zoom</t>
  </si>
  <si>
    <t>+</t>
  </si>
  <si>
    <t>ZoomVal</t>
  </si>
  <si>
    <t>Cut-</t>
  </si>
  <si>
    <t>Cut+</t>
  </si>
  <si>
    <t>Round</t>
  </si>
  <si>
    <t>maxFactor</t>
  </si>
  <si>
    <t>SizeFactor+</t>
  </si>
  <si>
    <t>maxVal</t>
  </si>
  <si>
    <t>maxVar</t>
  </si>
  <si>
    <t>GM_Var_Bridge</t>
  </si>
  <si>
    <t>Actual_N_1</t>
  </si>
  <si>
    <t>Warning_work_unit</t>
  </si>
  <si>
    <t>Not_defined</t>
  </si>
  <si>
    <t>Management_Organization</t>
  </si>
  <si>
    <t>PL1003_RC_PR</t>
  </si>
  <si>
    <t>PL1003_RC_30</t>
  </si>
  <si>
    <t>PL1003_RC_SA</t>
  </si>
  <si>
    <t>PL1003_RC_45</t>
  </si>
  <si>
    <t>PL1007_RC_OG</t>
  </si>
  <si>
    <t>PL0000_RP</t>
  </si>
  <si>
    <t>PL0000_AR</t>
  </si>
  <si>
    <t>Gross_Margin_percentage_ROA_nosub</t>
  </si>
  <si>
    <t>Integration_Rate</t>
  </si>
  <si>
    <t>Legal_Organization</t>
  </si>
  <si>
    <t>Default values</t>
  </si>
  <si>
    <t>PMM_TRANSIT</t>
  </si>
  <si>
    <t>LCL</t>
  </si>
  <si>
    <t>Local_Gaap_Mgmt_tool</t>
  </si>
  <si>
    <t>NO_APP</t>
  </si>
  <si>
    <t>Years</t>
  </si>
  <si>
    <t>V8</t>
  </si>
  <si>
    <t>V9</t>
  </si>
  <si>
    <t>VF</t>
  </si>
  <si>
    <t>Phase BUD</t>
  </si>
  <si>
    <t>Phase FC1</t>
  </si>
  <si>
    <t>Phase FC2</t>
  </si>
  <si>
    <t>N</t>
  </si>
  <si>
    <t>N+1</t>
  </si>
  <si>
    <t>N-1</t>
  </si>
  <si>
    <t>Prior year</t>
  </si>
  <si>
    <t>Next year</t>
  </si>
  <si>
    <t>REV</t>
  </si>
  <si>
    <t>J</t>
  </si>
  <si>
    <t>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</si>
  <si>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</si>
  <si>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</si>
  <si>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</si>
  <si>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</si>
  <si>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</si>
  <si>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</si>
  <si>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</si>
  <si>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</si>
  <si>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</si>
  <si>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</si>
  <si>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</si>
  <si>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</si>
  <si>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D_PWU</t>
  </si>
  <si>
    <t>D3</t>
  </si>
  <si>
    <t>AB</t>
  </si>
  <si>
    <t>AF</t>
  </si>
  <si>
    <t>AJ</t>
  </si>
  <si>
    <t>AN</t>
  </si>
  <si>
    <t>AR</t>
  </si>
  <si>
    <t>AV</t>
  </si>
  <si>
    <t>AZ</t>
  </si>
  <si>
    <t>BD</t>
  </si>
  <si>
    <t>BH</t>
  </si>
  <si>
    <t>BL</t>
  </si>
  <si>
    <t>BP</t>
  </si>
  <si>
    <t>BT</t>
  </si>
  <si>
    <t xml:space="preserve">Business Model : </t>
  </si>
  <si>
    <t>PAYS</t>
  </si>
  <si>
    <t>BM</t>
  </si>
  <si>
    <t>LABEL_BM</t>
  </si>
  <si>
    <t>D1</t>
  </si>
  <si>
    <t>D2</t>
  </si>
  <si>
    <t>M1</t>
  </si>
  <si>
    <t>M2</t>
  </si>
  <si>
    <t>E1</t>
  </si>
  <si>
    <t>E2</t>
  </si>
  <si>
    <t>F1</t>
  </si>
  <si>
    <t>F2</t>
  </si>
  <si>
    <t>SUBNM(Server&amp;A11;"";DEFAULT_PERIOD;$N$18)</t>
  </si>
  <si>
    <t>tango_core_model:</t>
  </si>
  <si>
    <t>REPORT_PL</t>
  </si>
  <si>
    <t>TC_PMM_BM_WU</t>
  </si>
  <si>
    <t>Specific descriptions</t>
  </si>
  <si>
    <t>Tot_km</t>
  </si>
  <si>
    <t>Total km : Total number of kilometers, revenue and non revenue, run over the considered period by a trainset</t>
  </si>
  <si>
    <t>Km totaux : Les kilomètres totaux correspondent au nombre total de kilomètres commerciaux et non commerciaux parcourus par les trains</t>
  </si>
  <si>
    <t>Tot_nb_vehicle</t>
  </si>
  <si>
    <t>Total number of vehicles : Total number of vessels at the end of a period within the operating fleet to deliver services</t>
  </si>
  <si>
    <t>Nombre total de véhicules : Le nombre total de véhicules correspond au nombre total de navires dans la flotte d'exploitation</t>
  </si>
  <si>
    <t>Rev_km</t>
  </si>
  <si>
    <t>Revenue km : Total number of kilometers run over the considered period on commercial services by a trainset</t>
  </si>
  <si>
    <t>Km Commerciaux : Nombre total de kilomètres parcourus par les trains en service commercial pendant la période concernée</t>
  </si>
  <si>
    <t>Tot_driv_hours</t>
  </si>
  <si>
    <t>Total driving paid hours : Total number of hours paid to crew members</t>
  </si>
  <si>
    <t>Total heures payées : Nombre total d'heures payées aux membres d'équipage</t>
  </si>
  <si>
    <t/>
  </si>
  <si>
    <t>Driv_rev_hours</t>
  </si>
  <si>
    <t>Nb_act_vandalism</t>
  </si>
  <si>
    <t>Tot_work_days</t>
  </si>
  <si>
    <t>Nb_op_serv</t>
  </si>
  <si>
    <t>Nb_pass</t>
  </si>
  <si>
    <t>Elec_consu</t>
  </si>
  <si>
    <t>Variable description for context selection</t>
  </si>
  <si>
    <t>Tot_km :</t>
  </si>
  <si>
    <t>Tot_nb_vehicle :</t>
  </si>
  <si>
    <t>Rev_km :</t>
  </si>
  <si>
    <t>Tot_driv_hours :</t>
  </si>
  <si>
    <t>N-2</t>
  </si>
  <si>
    <t>PL1002_FL_HG</t>
  </si>
  <si>
    <t>PL1002_MF_HG</t>
  </si>
  <si>
    <t>PL1003_MF_HG</t>
  </si>
  <si>
    <t>PL1006_FL</t>
  </si>
  <si>
    <t>PL1116_MF</t>
  </si>
  <si>
    <t>PL1145_MF</t>
  </si>
  <si>
    <t>PL1115_ET_801</t>
  </si>
  <si>
    <t>PL1115_ET_802</t>
  </si>
  <si>
    <t>PL1116_FL</t>
  </si>
  <si>
    <t>PL1151_FL_10</t>
  </si>
  <si>
    <t>PL0000_RC_PMM</t>
  </si>
  <si>
    <t>PL0000_ET_PMM</t>
  </si>
  <si>
    <t>PL0000_MF_PMM</t>
  </si>
  <si>
    <t>PL0000_FL_PMM</t>
  </si>
  <si>
    <t>PL0000_IN_PMM</t>
  </si>
  <si>
    <t>PL1140_MF_10</t>
  </si>
  <si>
    <t>PL1003_RC_55</t>
  </si>
  <si>
    <t>TPL12_dest</t>
  </si>
  <si>
    <t>TPL13_dest</t>
  </si>
  <si>
    <t>TPL14_dest</t>
  </si>
  <si>
    <t>TPL15_dest</t>
  </si>
  <si>
    <t>TPL16_dest</t>
  </si>
  <si>
    <t>TPL1_dest</t>
  </si>
  <si>
    <t>Bridge PMM</t>
  </si>
  <si>
    <t>∑ D3+M3+E3+F3+O3</t>
  </si>
  <si>
    <t>PL0000_BD</t>
  </si>
  <si>
    <t>PL0000_BD_CAFOP</t>
  </si>
  <si>
    <t>PL1210_BD</t>
  </si>
  <si>
    <t>PL1210_BD_20</t>
  </si>
  <si>
    <t>PL1216_BD</t>
  </si>
  <si>
    <t>PL1255_BD</t>
  </si>
  <si>
    <t>PL1265_BD</t>
  </si>
  <si>
    <t>PL0000_BD_OE</t>
  </si>
  <si>
    <t>PL0000_BD_RESOP</t>
  </si>
  <si>
    <t>PL1211_BD</t>
  </si>
  <si>
    <t>PL1240_BD</t>
  </si>
  <si>
    <t>PL1260_BD</t>
  </si>
  <si>
    <t>PL1270_BD</t>
  </si>
  <si>
    <t>PL0000_BD_IM</t>
  </si>
  <si>
    <t>PL0000_TPL12</t>
  </si>
  <si>
    <t>PL1210_XX</t>
  </si>
  <si>
    <t>PL1211_XX</t>
  </si>
  <si>
    <t>PL1215_XX</t>
  </si>
  <si>
    <t>PL1216_XX</t>
  </si>
  <si>
    <t>PL1240_XX</t>
  </si>
  <si>
    <t>PL1245_XX</t>
  </si>
  <si>
    <t>PL1250_XX</t>
  </si>
  <si>
    <t>PL1255_XX</t>
  </si>
  <si>
    <t>PL1260_XX</t>
  </si>
  <si>
    <t>PL1265_XX</t>
  </si>
  <si>
    <t>PL1270_XX</t>
  </si>
  <si>
    <t>PL1215_BD_20</t>
  </si>
  <si>
    <t>PL1215_BD_70</t>
  </si>
  <si>
    <t>PL1215_BD_75</t>
  </si>
  <si>
    <t>PL1215_BD_99</t>
  </si>
  <si>
    <t>PL0000_TPL13</t>
  </si>
  <si>
    <t>TPL13_dest_GA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</si>
  <si>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</si>
  <si>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</si>
  <si>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</si>
  <si>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</si>
  <si>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</si>
  <si>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</si>
  <si>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</si>
  <si>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</si>
  <si>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PL0000_MGF</t>
  </si>
  <si>
    <t>PL0000_PU</t>
  </si>
  <si>
    <t>PL0000_RD</t>
  </si>
  <si>
    <t>PL0000_RM</t>
  </si>
  <si>
    <t>PL0000_SE</t>
  </si>
  <si>
    <t>PL0000_TD</t>
  </si>
  <si>
    <t>PL0000_TM</t>
  </si>
  <si>
    <t>PL0000_OO</t>
  </si>
  <si>
    <t>PL10L_OO</t>
  </si>
  <si>
    <t>PL119L_OO</t>
  </si>
  <si>
    <t>PL129L_OO</t>
  </si>
  <si>
    <t>PL139L_OO</t>
  </si>
  <si>
    <t>PL1400_OO</t>
  </si>
  <si>
    <t>PL1410_OO</t>
  </si>
  <si>
    <t>PL1415_OO</t>
  </si>
  <si>
    <t>PL1420_OO</t>
  </si>
  <si>
    <t>PL1425_OO</t>
  </si>
  <si>
    <t>PL1430_OO</t>
  </si>
  <si>
    <t>PL1440_OO</t>
  </si>
  <si>
    <t>PL149L_OO</t>
  </si>
  <si>
    <t>PL0000_TPL14</t>
  </si>
  <si>
    <t>PL0000_JV</t>
  </si>
  <si>
    <t>PL1500_JV</t>
  </si>
  <si>
    <t>PL1520_JV</t>
  </si>
  <si>
    <t>PL0000_TPL15</t>
  </si>
  <si>
    <t>PL0000_AS</t>
  </si>
  <si>
    <t>PL1600_AS</t>
  </si>
  <si>
    <t>PL1620_AS</t>
  </si>
  <si>
    <t>PL0000_TPL16</t>
  </si>
  <si>
    <t>PL1003_RC_150</t>
  </si>
  <si>
    <t>PL1003_RC_160</t>
  </si>
  <si>
    <t>PL1003_RC_170</t>
  </si>
  <si>
    <t>PL1003_RC_180</t>
  </si>
  <si>
    <t>PL1115_FL_56</t>
  </si>
  <si>
    <t>PL1115_FL_65</t>
  </si>
  <si>
    <t>PL1115_FL_70</t>
  </si>
  <si>
    <t>PL1115_FL_55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</si>
</sst>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#,##0.0"/>
    <numFmt numFmtId="166" formatCode="0.0%"/>
    <numFmt numFmtId="167" formatCode="#,##0.0&quot; pts&quot;"/>
    <numFmt numFmtId="168" formatCode="#,##0.00_ ;\-#,##0.00\ "/>
    <numFmt numFmtId="169" formatCode="0.0"/>
    <numFmt numFmtId="170" formatCode="\+#,##0.0;\-#,##0.0;0"/>
    <numFmt numFmtId="171" formatCode="\+#,##0.0;\-#,##0.0;0;"/>
    <numFmt numFmtId="172" formatCode="#,##0;\-#,##0;;"/>
    <numFmt numFmtId="173" formatCode="#,##0.0000"/>
    <numFmt numFmtId="174" formatCode="0.0000"/>
    <numFmt numFmtId="175" formatCode="0.0000000"/>
  </numFmts>
  <fonts count="1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0"/>
      <color indexed="10"/>
      <name val="Calibri"/>
      <family val="2"/>
    </font>
    <font>
      <sz val="10"/>
      <color indexed="12"/>
      <name val="Calibri"/>
      <family val="2"/>
    </font>
    <font>
      <b/>
      <sz val="14"/>
      <name val="Calibri"/>
      <family val="2"/>
    </font>
    <font>
      <b/>
      <sz val="32"/>
      <color indexed="9"/>
      <name val="Calibri"/>
      <family val="2"/>
    </font>
    <font>
      <b/>
      <i/>
      <sz val="20"/>
      <color indexed="9"/>
      <name val="Calibri"/>
      <family val="2"/>
    </font>
    <font>
      <sz val="10"/>
      <name val="Wingdings"/>
      <charset val="2"/>
    </font>
    <font>
      <b/>
      <sz val="16"/>
      <name val="Calibri"/>
      <family val="2"/>
    </font>
    <font>
      <b/>
      <sz val="10"/>
      <color indexed="53"/>
      <name val="Calibri"/>
      <family val="2"/>
    </font>
    <font>
      <b/>
      <sz val="10"/>
      <color indexed="9"/>
      <name val="Calibri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sz val="15"/>
      <name val="Calibri"/>
      <family val="2"/>
    </font>
    <font>
      <b/>
      <sz val="16"/>
      <color indexed="57"/>
      <name val="Wingdings"/>
      <charset val="2"/>
    </font>
    <font>
      <sz val="18"/>
      <color indexed="9"/>
      <name val="Calibri"/>
      <family val="2"/>
    </font>
    <font>
      <b/>
      <sz val="16"/>
      <color indexed="23"/>
      <name val="Calibri"/>
      <family val="2"/>
    </font>
    <font>
      <b/>
      <sz val="22"/>
      <name val="Calibri"/>
      <family val="2"/>
    </font>
    <font>
      <b/>
      <sz val="15"/>
      <name val="Calibri"/>
      <family val="2"/>
    </font>
    <font>
      <b/>
      <sz val="18"/>
      <name val="Wingdings"/>
      <charset val="2"/>
    </font>
    <font>
      <sz val="10"/>
      <color indexed="9"/>
      <name val="Wingdings"/>
      <charset val="2"/>
    </font>
    <font>
      <b/>
      <sz val="18"/>
      <color indexed="23"/>
      <name val="Calibri"/>
      <family val="2"/>
    </font>
    <font>
      <b/>
      <sz val="16"/>
      <color indexed="52"/>
      <name val="Wingdings"/>
      <charset val="2"/>
    </font>
    <font>
      <b/>
      <sz val="18"/>
      <color indexed="52"/>
      <name val="Wingdings"/>
      <charset val="2"/>
    </font>
    <font>
      <b/>
      <sz val="12"/>
      <color indexed="61"/>
      <name val="Calibri"/>
      <family val="2"/>
    </font>
    <font>
      <sz val="11"/>
      <name val="Calibri"/>
      <family val="2"/>
    </font>
    <font>
      <sz val="26"/>
      <name val="Calibri"/>
      <family val="2"/>
    </font>
    <font>
      <i/>
      <sz val="15"/>
      <name val="Calibri"/>
      <family val="2"/>
    </font>
    <font>
      <b/>
      <sz val="11"/>
      <name val="Calibri"/>
      <family val="2"/>
    </font>
    <font>
      <b/>
      <sz val="11"/>
      <color indexed="17"/>
      <name val="Calibri"/>
      <family val="2"/>
    </font>
    <font>
      <b/>
      <sz val="10"/>
      <name val="Arial"/>
      <family val="2"/>
    </font>
    <font>
      <sz val="10"/>
      <color indexed="53"/>
      <name val="Calibri"/>
      <family val="2"/>
    </font>
    <font>
      <sz val="10"/>
      <color indexed="23"/>
      <name val="Calibri"/>
      <family val="2"/>
    </font>
    <font>
      <i/>
      <sz val="10"/>
      <name val="Calibri"/>
      <family val="2"/>
    </font>
    <font>
      <sz val="12"/>
      <name val="Arial"/>
      <family val="2"/>
    </font>
    <font>
      <b/>
      <sz val="16"/>
      <color indexed="9"/>
      <name val="Calibri"/>
      <family val="2"/>
    </font>
    <font>
      <sz val="14"/>
      <color indexed="61"/>
      <name val="Calibri"/>
      <family val="2"/>
    </font>
    <font>
      <i/>
      <sz val="14"/>
      <color indexed="23"/>
      <name val="Calibri"/>
      <family val="2"/>
    </font>
    <font>
      <sz val="11"/>
      <color theme="1"/>
      <name val="Calibri"/>
      <family val="2"/>
      <scheme val="minor"/>
    </font>
    <font>
      <sz val="22"/>
      <color theme="1" tint="0.14999847407452621"/>
      <name val="Calibri"/>
      <family val="2"/>
    </font>
    <font>
      <b/>
      <sz val="16"/>
      <color theme="0"/>
      <name val="Calibri"/>
      <family val="2"/>
    </font>
    <font>
      <sz val="14"/>
      <color rgb="FFFF0000"/>
      <name val="Calibri"/>
      <family val="2"/>
    </font>
    <font>
      <sz val="11"/>
      <name val="Calibri"/>
      <family val="2"/>
      <scheme val="minor"/>
    </font>
    <font>
      <b/>
      <sz val="14"/>
      <color theme="3"/>
      <name val="Arial"/>
      <family val="2"/>
    </font>
    <font>
      <sz val="10"/>
      <color rgb="FFFF0000"/>
      <name val="Calibri"/>
      <family val="2"/>
    </font>
    <font>
      <b/>
      <sz val="16"/>
      <color theme="1" tint="0.249977111117893"/>
      <name val="Calibri"/>
      <family val="2"/>
    </font>
    <font>
      <b/>
      <i/>
      <sz val="11"/>
      <color theme="0" tint="-0.14999847407452621"/>
      <name val="Calibri"/>
      <family val="2"/>
      <scheme val="minor"/>
    </font>
    <font>
      <sz val="14"/>
      <color rgb="FF222222"/>
      <name val="Arial"/>
      <family val="2"/>
    </font>
    <font>
      <sz val="24"/>
      <color rgb="FFFF0000"/>
      <name val="Wingdings"/>
      <charset val="2"/>
    </font>
    <font>
      <sz val="14"/>
      <color rgb="FFFF0000"/>
      <name val="Arial"/>
      <family val="2"/>
    </font>
    <font>
      <sz val="24"/>
      <color theme="0"/>
      <name val="Wingdings"/>
      <charset val="2"/>
    </font>
    <font>
      <sz val="12"/>
      <color theme="0"/>
      <name val="Calibri"/>
      <family val="2"/>
    </font>
    <font>
      <sz val="10"/>
      <color theme="0"/>
      <name val="Calibri"/>
      <family val="2"/>
    </font>
    <font>
      <sz val="20"/>
      <color indexed="9"/>
      <name val="Calibri"/>
      <family val="2"/>
    </font>
    <font>
      <b/>
      <sz val="18"/>
      <color theme="1" tint="0.499984740745262"/>
      <name val="Calibri"/>
      <family val="2"/>
    </font>
    <font>
      <sz val="10"/>
      <color theme="0" tint="-4.9989318521683403E-2"/>
      <name val="Calibri"/>
      <family val="2"/>
    </font>
    <font>
      <sz val="12"/>
      <name val="Calibri"/>
      <family val="2"/>
    </font>
    <font>
      <b/>
      <sz val="20"/>
      <color indexed="9"/>
      <name val="Calibri"/>
      <family val="2"/>
    </font>
    <font>
      <b/>
      <i/>
      <sz val="16"/>
      <color indexed="9"/>
      <name val="Calibri"/>
      <family val="2"/>
    </font>
    <font>
      <sz val="11"/>
      <color indexed="63"/>
      <name val="Calibri"/>
      <family val="2"/>
    </font>
    <font>
      <b/>
      <sz val="12"/>
      <color indexed="23"/>
      <name val="Calibri"/>
      <family val="2"/>
    </font>
    <font>
      <b/>
      <sz val="12"/>
      <color theme="0"/>
      <name val="Calibri"/>
      <family val="2"/>
    </font>
    <font>
      <b/>
      <sz val="12"/>
      <color indexed="10"/>
      <name val="Calibri"/>
      <family val="2"/>
    </font>
    <font>
      <b/>
      <sz val="12"/>
      <color indexed="57"/>
      <name val="Wingdings"/>
      <charset val="2"/>
    </font>
    <font>
      <sz val="12"/>
      <color indexed="9"/>
      <name val="Calibri"/>
      <family val="2"/>
    </font>
    <font>
      <sz val="12"/>
      <color indexed="61"/>
      <name val="Calibri"/>
      <family val="2"/>
    </font>
    <font>
      <b/>
      <sz val="12"/>
      <color theme="1" tint="0.249977111117893"/>
      <name val="Calibri"/>
      <family val="2"/>
    </font>
    <font>
      <sz val="12"/>
      <color theme="1" tint="0.499984740745262"/>
      <name val="Calibri"/>
      <family val="2"/>
    </font>
    <font>
      <b/>
      <sz val="12"/>
      <color indexed="52"/>
      <name val="Wingdings"/>
      <charset val="2"/>
    </font>
    <font>
      <i/>
      <sz val="12"/>
      <color rgb="FF6C6C6C"/>
      <name val="Calibri"/>
      <family val="2"/>
    </font>
    <font>
      <i/>
      <sz val="12"/>
      <color indexed="23"/>
      <name val="Calibri"/>
      <family val="2"/>
    </font>
    <font>
      <sz val="12"/>
      <color theme="6" tint="-0.249977111117893"/>
      <name val="Calibri"/>
      <family val="2"/>
    </font>
    <font>
      <i/>
      <sz val="12"/>
      <color theme="0" tint="-0.499984740745262"/>
      <name val="Calibri"/>
      <family val="2"/>
    </font>
    <font>
      <i/>
      <sz val="12"/>
      <color theme="1" tint="0.499984740745262"/>
      <name val="Calibri"/>
      <family val="2"/>
    </font>
    <font>
      <sz val="12"/>
      <color theme="1" tint="0.249977111117893"/>
      <name val="Calibri"/>
      <family val="2"/>
    </font>
    <font>
      <b/>
      <sz val="14"/>
      <color theme="1" tint="0.499984740745262"/>
      <name val="Calibri"/>
      <family val="2"/>
    </font>
    <font>
      <i/>
      <sz val="11"/>
      <color theme="1" tint="0.34998626667073579"/>
      <name val="Calibri"/>
      <family val="2"/>
    </font>
    <font>
      <b/>
      <sz val="16"/>
      <color theme="0"/>
      <name val="Wingdings"/>
      <charset val="2"/>
    </font>
    <font>
      <b/>
      <i/>
      <sz val="12"/>
      <color rgb="FF808080"/>
      <name val="Calibri"/>
      <family val="2"/>
    </font>
    <font>
      <b/>
      <sz val="15"/>
      <color theme="1" tint="0.249977111117893"/>
      <name val="Calibri"/>
      <family val="2"/>
    </font>
    <font>
      <b/>
      <sz val="18"/>
      <color theme="1" tint="0.249977111117893"/>
      <name val="Wingdings"/>
      <charset val="2"/>
    </font>
    <font>
      <i/>
      <sz val="12"/>
      <color theme="1" tint="0.249977111117893"/>
      <name val="Calibri"/>
      <family val="2"/>
    </font>
    <font>
      <b/>
      <sz val="12"/>
      <color theme="1" tint="0.249977111117893"/>
      <name val="Wingdings"/>
      <charset val="2"/>
    </font>
    <font>
      <b/>
      <sz val="12"/>
      <color indexed="9"/>
      <name val="Calibri"/>
      <family val="2"/>
    </font>
    <font>
      <i/>
      <sz val="14"/>
      <color indexed="61"/>
      <name val="Calibri"/>
      <family val="2"/>
    </font>
    <font>
      <b/>
      <i/>
      <sz val="12"/>
      <name val="Calibri"/>
      <family val="2"/>
    </font>
    <font>
      <b/>
      <i/>
      <sz val="16"/>
      <color indexed="52"/>
      <name val="Wingdings"/>
      <charset val="2"/>
    </font>
    <font>
      <i/>
      <sz val="22"/>
      <color theme="1" tint="0.14999847407452621"/>
      <name val="Calibri"/>
      <family val="2"/>
    </font>
    <font>
      <b/>
      <i/>
      <sz val="16"/>
      <color indexed="23"/>
      <name val="Calibri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8"/>
      <color theme="1" tint="0.249977111117893"/>
      <name val="Calibri"/>
      <family val="2"/>
    </font>
    <font>
      <sz val="10"/>
      <name val="Calibri"/>
      <family val="2"/>
      <scheme val="minor"/>
    </font>
    <font>
      <b/>
      <sz val="16"/>
      <color rgb="FFFF0000"/>
      <name val="Calibri"/>
      <family val="2"/>
    </font>
    <font>
      <b/>
      <sz val="14"/>
      <color rgb="FF6C6C6C"/>
      <name val="Calibri"/>
      <family val="2"/>
    </font>
    <font>
      <b/>
      <sz val="16"/>
      <color theme="0"/>
      <name val="Calibri"/>
      <family val="2"/>
      <scheme val="minor"/>
    </font>
    <font>
      <sz val="9"/>
      <color theme="1" tint="0.34998626667073579"/>
      <name val="Segoe UI"/>
      <family val="2"/>
    </font>
    <font>
      <b/>
      <sz val="12"/>
      <color theme="1" tint="0.34998626667073579"/>
      <name val="Calibri"/>
      <family val="2"/>
      <scheme val="minor"/>
    </font>
    <font>
      <b/>
      <u val="singleAccounting"/>
      <sz val="12"/>
      <color theme="1" tint="0.34998626667073579"/>
      <name val="Calibri"/>
      <family val="2"/>
      <scheme val="minor"/>
    </font>
    <font>
      <b/>
      <i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0"/>
      <color indexed="23"/>
      <name val="Calibri"/>
      <family val="2"/>
    </font>
    <font>
      <b/>
      <sz val="11"/>
      <color indexed="63"/>
      <name val="Calibri"/>
      <family val="2"/>
    </font>
    <font>
      <sz val="16"/>
      <color indexed="23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9F9F9"/>
        <bgColor indexed="64"/>
      </patternFill>
    </fill>
    <fill>
      <gradientFill degree="90">
        <stop position="0">
          <color rgb="FF959AA3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gradientFill>
        <stop position="0">
          <color theme="0"/>
        </stop>
        <stop position="1">
          <color rgb="FFFF6565"/>
        </stop>
      </gradientFill>
    </fill>
    <fill>
      <gradientFill degree="90">
        <stop position="0">
          <color rgb="FFABAFB5"/>
        </stop>
        <stop position="1">
          <color theme="0" tint="-0.25098422193060094"/>
        </stop>
      </gradientFill>
    </fill>
    <fill>
      <patternFill patternType="solid">
        <fgColor rgb="FFC5C5C5"/>
        <bgColor indexed="64"/>
      </patternFill>
    </fill>
    <fill>
      <patternFill patternType="solid">
        <fgColor rgb="FFF5F5F5"/>
        <bgColor indexed="64"/>
      </patternFill>
    </fill>
    <fill>
      <gradientFill degree="270">
        <stop position="0">
          <color rgb="FFC5C5C5"/>
        </stop>
        <stop position="1">
          <color theme="0" tint="-0.1490218817712943"/>
        </stop>
      </gradientFill>
    </fill>
    <fill>
      <gradientFill degree="270">
        <stop position="0">
          <color rgb="FFDAD8DA"/>
        </stop>
        <stop position="1">
          <color theme="0" tint="-5.0965910824915313E-2"/>
        </stop>
      </gradientFill>
    </fill>
    <fill>
      <gradientFill degree="90">
        <stop position="0">
          <color theme="0" tint="-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9"/>
      </patternFill>
    </fill>
    <fill>
      <patternFill patternType="gray0625">
        <fgColor theme="0" tint="-0.499984740745262"/>
        <bgColor rgb="FFD9D9D9"/>
      </patternFill>
    </fill>
    <fill>
      <patternFill patternType="gray0625">
        <fgColor theme="0" tint="-0.499984740745262"/>
        <bgColor rgb="FFC5C5C5"/>
      </patternFill>
    </fill>
    <fill>
      <gradientFill degree="90">
        <stop position="0">
          <color theme="0" tint="-0.1490218817712943"/>
        </stop>
        <stop position="1">
          <color theme="0" tint="-0.25098422193060094"/>
        </stop>
      </gradientFill>
    </fill>
    <fill>
      <patternFill patternType="solid">
        <fgColor rgb="FFF3F3F3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 style="medium">
        <color indexed="9"/>
      </left>
      <right/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499984740745262"/>
      </bottom>
      <diagonal/>
    </border>
    <border>
      <left/>
      <right/>
      <top/>
      <bottom style="hair">
        <color rgb="FFFF0000"/>
      </bottom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/>
      <right/>
      <top style="hair">
        <color rgb="FFFF0000"/>
      </top>
      <bottom style="thin">
        <color theme="1" tint="0.499984740745262"/>
      </bottom>
      <diagonal/>
    </border>
    <border>
      <left/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0"/>
      </left>
      <right/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rgb="FFF9F9F9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1" tint="0.499984740745262"/>
      </bottom>
      <diagonal/>
    </border>
    <border>
      <left/>
      <right style="medium">
        <color rgb="FFF9F9F9"/>
      </right>
      <top style="thin">
        <color theme="1" tint="0.499984740745262"/>
      </top>
      <bottom style="thin">
        <color theme="0"/>
      </bottom>
      <diagonal/>
    </border>
    <border>
      <left style="medium">
        <color rgb="FFF9F9F9"/>
      </left>
      <right/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0"/>
      </top>
      <bottom/>
      <diagonal/>
    </border>
    <border>
      <left/>
      <right style="medium">
        <color rgb="FFF9F9F9"/>
      </right>
      <top/>
      <bottom style="thin">
        <color theme="0"/>
      </bottom>
      <diagonal/>
    </border>
    <border>
      <left/>
      <right style="thin">
        <color theme="1" tint="0.499984740745262"/>
      </right>
      <top/>
      <bottom style="thin">
        <color theme="0"/>
      </bottom>
      <diagonal/>
    </border>
    <border>
      <left/>
      <right style="medium">
        <color rgb="FFF9F9F9"/>
      </right>
      <top style="thin">
        <color theme="0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rgb="FFF9F9F9"/>
      </right>
      <top/>
      <bottom style="thin">
        <color theme="1" tint="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/>
      <bottom style="thin">
        <color theme="0"/>
      </bottom>
      <diagonal/>
    </border>
    <border>
      <left style="thin">
        <color theme="1" tint="0.499984740745262"/>
      </left>
      <right/>
      <top style="thin">
        <color theme="0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0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/>
      <right/>
      <top style="thin">
        <color theme="0"/>
      </top>
      <bottom style="double">
        <color theme="0" tint="-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double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double">
        <color theme="0" tint="-0.499984740745262"/>
      </bottom>
      <diagonal/>
    </border>
    <border>
      <left style="thin">
        <color theme="0"/>
      </left>
      <right/>
      <top style="thin">
        <color theme="0"/>
      </top>
      <bottom style="double">
        <color theme="0" tint="-0.499984740745262"/>
      </bottom>
      <diagonal/>
    </border>
    <border>
      <left/>
      <right style="thin">
        <color theme="1" tint="0.499984740745262"/>
      </right>
      <top style="thin">
        <color theme="0"/>
      </top>
      <bottom style="double">
        <color theme="0" tint="-0.499984740745262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double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/>
      <diagonal/>
    </border>
    <border>
      <left style="thin">
        <color theme="1" tint="0.499984740745262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/>
      <right/>
      <top/>
      <bottom style="dashed">
        <color rgb="FFFF0000"/>
      </bottom>
      <diagonal/>
    </border>
    <border>
      <left style="medium">
        <color indexed="64"/>
      </left>
      <right style="medium">
        <color indexed="64"/>
      </right>
      <top/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ashed">
        <color rgb="FFFF0000"/>
      </left>
      <right style="dashed">
        <color rgb="FFFF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rgb="FFFF0000"/>
      </left>
      <right style="medium">
        <color indexed="64"/>
      </right>
      <top/>
      <bottom/>
      <diagonal/>
    </border>
    <border>
      <left style="dotted">
        <color rgb="FFFF0000"/>
      </left>
      <right style="medium">
        <color indexed="64"/>
      </right>
      <top/>
      <bottom style="dashed">
        <color rgb="FFFF0000"/>
      </bottom>
      <diagonal/>
    </border>
    <border>
      <left style="dotted">
        <color rgb="FFFF0000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dotted">
        <color rgb="FFFF0000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rgb="FFFF0000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7">
    <xf numFmtId="0" fontId="0" fillId="0" borderId="0"/>
    <xf numFmtId="164" fontId="4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47" fillId="0" borderId="0" applyFont="0" applyFill="0" applyBorder="0" applyAlignment="0" applyProtection="0"/>
  </cellStyleXfs>
  <cellXfs count="596">
    <xf numFmtId="0" fontId="0" fillId="0" borderId="0" xfId="0"/>
    <xf numFmtId="0" fontId="2" fillId="0" borderId="0" xfId="4" applyFont="1" applyAlignment="1">
      <alignment horizontal="center" vertical="center"/>
    </xf>
    <xf numFmtId="0" fontId="2" fillId="3" borderId="0" xfId="4" applyFont="1" applyFill="1" applyAlignment="1">
      <alignment horizontal="center" vertical="center"/>
    </xf>
    <xf numFmtId="0" fontId="3" fillId="3" borderId="0" xfId="3" applyFont="1" applyFill="1" applyAlignment="1">
      <alignment horizontal="center"/>
    </xf>
    <xf numFmtId="0" fontId="4" fillId="3" borderId="0" xfId="3" applyFont="1" applyFill="1" applyAlignment="1">
      <alignment horizontal="right"/>
    </xf>
    <xf numFmtId="0" fontId="5" fillId="3" borderId="0" xfId="4" applyFont="1" applyFill="1" applyAlignment="1">
      <alignment vertical="center"/>
    </xf>
    <xf numFmtId="0" fontId="1" fillId="3" borderId="1" xfId="3" applyFill="1" applyBorder="1"/>
    <xf numFmtId="0" fontId="6" fillId="3" borderId="0" xfId="4" applyFont="1" applyFill="1" applyAlignment="1">
      <alignment vertical="center"/>
    </xf>
    <xf numFmtId="0" fontId="7" fillId="3" borderId="0" xfId="4" applyFont="1" applyFill="1" applyAlignment="1">
      <alignment vertical="center"/>
    </xf>
    <xf numFmtId="0" fontId="5" fillId="0" borderId="0" xfId="4" applyFont="1" applyAlignment="1">
      <alignment vertical="center"/>
    </xf>
    <xf numFmtId="0" fontId="5" fillId="3" borderId="0" xfId="4" applyFont="1" applyFill="1" applyAlignment="1">
      <alignment horizontal="left" vertical="center"/>
    </xf>
    <xf numFmtId="0" fontId="4" fillId="3" borderId="0" xfId="0" applyFont="1" applyFill="1" applyAlignment="1">
      <alignment horizontal="right"/>
    </xf>
    <xf numFmtId="0" fontId="0" fillId="3" borderId="0" xfId="0" applyFill="1"/>
    <xf numFmtId="0" fontId="5" fillId="3" borderId="0" xfId="5" applyFont="1" applyFill="1" applyAlignment="1">
      <alignment vertical="center"/>
    </xf>
    <xf numFmtId="0" fontId="2" fillId="3" borderId="0" xfId="4" applyFont="1" applyFill="1" applyAlignment="1">
      <alignment vertical="center"/>
    </xf>
    <xf numFmtId="0" fontId="8" fillId="3" borderId="0" xfId="5" applyFont="1" applyFill="1" applyAlignment="1">
      <alignment horizontal="right" vertical="center"/>
    </xf>
    <xf numFmtId="165" fontId="8" fillId="3" borderId="0" xfId="5" applyNumberFormat="1" applyFont="1" applyFill="1" applyAlignment="1">
      <alignment horizontal="right" vertical="center"/>
    </xf>
    <xf numFmtId="2" fontId="9" fillId="3" borderId="0" xfId="5" applyNumberFormat="1" applyFont="1" applyFill="1" applyAlignment="1">
      <alignment vertical="center"/>
    </xf>
    <xf numFmtId="0" fontId="2" fillId="0" borderId="6" xfId="4" applyFont="1" applyBorder="1" applyAlignment="1">
      <alignment horizontal="center" vertical="center"/>
    </xf>
    <xf numFmtId="0" fontId="2" fillId="0" borderId="7" xfId="4" applyFont="1" applyBorder="1" applyAlignment="1">
      <alignment horizontal="center" vertical="center"/>
    </xf>
    <xf numFmtId="0" fontId="5" fillId="0" borderId="7" xfId="4" applyFont="1" applyBorder="1" applyAlignment="1">
      <alignment horizontal="left" vertical="center"/>
    </xf>
    <xf numFmtId="0" fontId="5" fillId="0" borderId="7" xfId="3" applyFont="1" applyBorder="1" applyAlignment="1">
      <alignment horizontal="left" indent="1"/>
    </xf>
    <xf numFmtId="0" fontId="5" fillId="0" borderId="7" xfId="4" applyFont="1" applyBorder="1" applyAlignment="1">
      <alignment vertical="center"/>
    </xf>
    <xf numFmtId="0" fontId="6" fillId="2" borderId="7" xfId="4" applyFont="1" applyFill="1" applyBorder="1" applyAlignment="1">
      <alignment vertical="center"/>
    </xf>
    <xf numFmtId="0" fontId="6" fillId="0" borderId="7" xfId="4" applyFont="1" applyBorder="1" applyAlignment="1">
      <alignment vertical="center"/>
    </xf>
    <xf numFmtId="0" fontId="7" fillId="0" borderId="7" xfId="4" applyFont="1" applyBorder="1" applyAlignment="1">
      <alignment vertical="center"/>
    </xf>
    <xf numFmtId="0" fontId="7" fillId="0" borderId="8" xfId="4" applyFont="1" applyBorder="1" applyAlignment="1">
      <alignment vertical="center"/>
    </xf>
    <xf numFmtId="0" fontId="11" fillId="0" borderId="9" xfId="3" applyFont="1" applyBorder="1" applyAlignment="1">
      <alignment vertical="center"/>
    </xf>
    <xf numFmtId="0" fontId="7" fillId="0" borderId="10" xfId="4" applyFont="1" applyBorder="1" applyAlignment="1">
      <alignment vertical="center"/>
    </xf>
    <xf numFmtId="0" fontId="12" fillId="0" borderId="9" xfId="3" applyFont="1" applyBorder="1" applyAlignment="1">
      <alignment vertical="center"/>
    </xf>
    <xf numFmtId="0" fontId="2" fillId="0" borderId="9" xfId="4" applyFont="1" applyBorder="1" applyAlignment="1">
      <alignment horizontal="center" vertical="center"/>
    </xf>
    <xf numFmtId="0" fontId="5" fillId="0" borderId="0" xfId="3" applyFont="1" applyAlignment="1">
      <alignment horizontal="left" indent="1"/>
    </xf>
    <xf numFmtId="0" fontId="1" fillId="0" borderId="0" xfId="3"/>
    <xf numFmtId="0" fontId="13" fillId="0" borderId="0" xfId="3" applyFont="1"/>
    <xf numFmtId="0" fontId="7" fillId="0" borderId="0" xfId="4" applyFont="1" applyAlignment="1">
      <alignment vertical="center"/>
    </xf>
    <xf numFmtId="0" fontId="15" fillId="0" borderId="0" xfId="4" applyFont="1" applyAlignment="1">
      <alignment horizontal="center" vertical="center"/>
    </xf>
    <xf numFmtId="0" fontId="16" fillId="0" borderId="0" xfId="2" applyFont="1" applyAlignment="1">
      <alignment horizontal="center" vertical="center" wrapText="1"/>
    </xf>
    <xf numFmtId="0" fontId="17" fillId="0" borderId="0" xfId="3" applyFont="1" applyAlignment="1">
      <alignment horizontal="center" vertical="center" wrapText="1"/>
    </xf>
    <xf numFmtId="0" fontId="4" fillId="0" borderId="0" xfId="3" applyFont="1" applyAlignment="1">
      <alignment horizontal="left"/>
    </xf>
    <xf numFmtId="0" fontId="18" fillId="0" borderId="0" xfId="3" applyFont="1" applyAlignment="1">
      <alignment horizontal="left"/>
    </xf>
    <xf numFmtId="0" fontId="2" fillId="5" borderId="0" xfId="4" applyFont="1" applyFill="1" applyAlignment="1">
      <alignment horizontal="center" vertical="center"/>
    </xf>
    <xf numFmtId="0" fontId="4" fillId="5" borderId="0" xfId="3" applyFont="1" applyFill="1" applyAlignment="1">
      <alignment horizontal="left"/>
    </xf>
    <xf numFmtId="0" fontId="5" fillId="5" borderId="0" xfId="4" applyFont="1" applyFill="1" applyAlignment="1">
      <alignment vertical="center"/>
    </xf>
    <xf numFmtId="0" fontId="16" fillId="5" borderId="0" xfId="2" applyFont="1" applyFill="1" applyAlignment="1">
      <alignment horizontal="center" vertical="center" wrapText="1"/>
    </xf>
    <xf numFmtId="0" fontId="17" fillId="5" borderId="0" xfId="3" applyFont="1" applyFill="1" applyAlignment="1">
      <alignment vertical="center" wrapText="1"/>
    </xf>
    <xf numFmtId="0" fontId="5" fillId="5" borderId="0" xfId="3" applyFont="1" applyFill="1" applyAlignment="1">
      <alignment vertical="center"/>
    </xf>
    <xf numFmtId="0" fontId="17" fillId="5" borderId="0" xfId="3" applyFont="1" applyFill="1" applyAlignment="1">
      <alignment horizontal="center" vertical="center" wrapText="1"/>
    </xf>
    <xf numFmtId="0" fontId="7" fillId="5" borderId="10" xfId="4" applyFont="1" applyFill="1" applyBorder="1" applyAlignment="1">
      <alignment vertical="center"/>
    </xf>
    <xf numFmtId="0" fontId="5" fillId="0" borderId="0" xfId="3" applyFont="1" applyAlignment="1">
      <alignment vertical="center" wrapText="1"/>
    </xf>
    <xf numFmtId="0" fontId="19" fillId="0" borderId="0" xfId="3" applyFont="1" applyAlignment="1">
      <alignment horizontal="center" vertical="center" wrapText="1"/>
    </xf>
    <xf numFmtId="0" fontId="20" fillId="0" borderId="0" xfId="3" applyFont="1" applyAlignment="1">
      <alignment horizontal="center" vertical="center" wrapText="1"/>
    </xf>
    <xf numFmtId="0" fontId="21" fillId="0" borderId="0" xfId="4" applyFont="1" applyAlignment="1">
      <alignment horizontal="left" vertical="center"/>
    </xf>
    <xf numFmtId="0" fontId="21" fillId="0" borderId="0" xfId="4" applyFont="1" applyAlignment="1">
      <alignment vertical="center"/>
    </xf>
    <xf numFmtId="0" fontId="2" fillId="0" borderId="9" xfId="5" applyFont="1" applyBorder="1" applyAlignment="1">
      <alignment horizontal="left" vertical="center"/>
    </xf>
    <xf numFmtId="0" fontId="5" fillId="0" borderId="0" xfId="5" applyFont="1" applyAlignment="1">
      <alignment horizontal="left" vertical="center"/>
    </xf>
    <xf numFmtId="0" fontId="23" fillId="0" borderId="0" xfId="2" applyFont="1" applyAlignment="1">
      <alignment horizontal="center" vertical="center"/>
    </xf>
    <xf numFmtId="0" fontId="5" fillId="0" borderId="0" xfId="4" applyFont="1" applyAlignment="1">
      <alignment horizontal="left" vertical="center"/>
    </xf>
    <xf numFmtId="0" fontId="25" fillId="0" borderId="9" xfId="5" applyFont="1" applyBorder="1" applyAlignment="1">
      <alignment horizontal="center" vertical="center" textRotation="90"/>
    </xf>
    <xf numFmtId="0" fontId="48" fillId="8" borderId="0" xfId="5" applyFont="1" applyFill="1" applyAlignment="1">
      <alignment vertical="center" textRotation="90" wrapText="1"/>
    </xf>
    <xf numFmtId="0" fontId="26" fillId="0" borderId="0" xfId="5" applyFont="1" applyAlignment="1">
      <alignment horizontal="center" vertical="center"/>
    </xf>
    <xf numFmtId="0" fontId="14" fillId="0" borderId="0" xfId="5" applyFont="1" applyAlignment="1">
      <alignment horizontal="left" vertical="center" wrapText="1"/>
    </xf>
    <xf numFmtId="0" fontId="18" fillId="0" borderId="0" xfId="2" applyFont="1" applyAlignment="1">
      <alignment horizontal="center"/>
    </xf>
    <xf numFmtId="166" fontId="14" fillId="0" borderId="0" xfId="6" applyNumberFormat="1" applyFont="1" applyFill="1" applyBorder="1" applyAlignment="1">
      <alignment horizontal="right" vertical="center" wrapText="1" indent="1"/>
    </xf>
    <xf numFmtId="167" fontId="27" fillId="0" borderId="0" xfId="5" applyNumberFormat="1" applyFont="1" applyAlignment="1">
      <alignment vertical="center" wrapText="1"/>
    </xf>
    <xf numFmtId="0" fontId="28" fillId="0" borderId="0" xfId="2" applyFont="1" applyAlignment="1">
      <alignment horizontal="center" vertical="center"/>
    </xf>
    <xf numFmtId="165" fontId="27" fillId="0" borderId="0" xfId="4" applyNumberFormat="1" applyFont="1" applyAlignment="1">
      <alignment horizontal="right" vertical="center" indent="1"/>
    </xf>
    <xf numFmtId="0" fontId="30" fillId="0" borderId="9" xfId="5" applyFont="1" applyBorder="1" applyAlignment="1">
      <alignment horizontal="center" vertical="center" textRotation="90"/>
    </xf>
    <xf numFmtId="0" fontId="5" fillId="0" borderId="1" xfId="4" applyFont="1" applyBorder="1" applyAlignment="1">
      <alignment vertical="center"/>
    </xf>
    <xf numFmtId="0" fontId="2" fillId="0" borderId="0" xfId="5" applyFont="1" applyAlignment="1">
      <alignment horizontal="left" vertical="center"/>
    </xf>
    <xf numFmtId="3" fontId="5" fillId="0" borderId="0" xfId="5" applyNumberFormat="1" applyFont="1" applyAlignment="1">
      <alignment horizontal="left" vertical="center"/>
    </xf>
    <xf numFmtId="166" fontId="5" fillId="0" borderId="0" xfId="5" applyNumberFormat="1" applyFont="1" applyAlignment="1">
      <alignment horizontal="left" vertical="center"/>
    </xf>
    <xf numFmtId="166" fontId="31" fillId="0" borderId="0" xfId="5" applyNumberFormat="1" applyFont="1" applyAlignment="1">
      <alignment horizontal="center" vertical="center" wrapText="1"/>
    </xf>
    <xf numFmtId="0" fontId="2" fillId="8" borderId="18" xfId="5" applyFont="1" applyFill="1" applyBorder="1" applyAlignment="1">
      <alignment horizontal="left" vertical="center"/>
    </xf>
    <xf numFmtId="0" fontId="2" fillId="8" borderId="19" xfId="5" applyFont="1" applyFill="1" applyBorder="1" applyAlignment="1">
      <alignment horizontal="left" vertical="center"/>
    </xf>
    <xf numFmtId="0" fontId="5" fillId="8" borderId="19" xfId="5" applyFont="1" applyFill="1" applyBorder="1" applyAlignment="1">
      <alignment horizontal="left" vertical="center"/>
    </xf>
    <xf numFmtId="3" fontId="5" fillId="8" borderId="19" xfId="5" applyNumberFormat="1" applyFont="1" applyFill="1" applyBorder="1" applyAlignment="1">
      <alignment horizontal="left" vertical="center"/>
    </xf>
    <xf numFmtId="166" fontId="5" fillId="8" borderId="19" xfId="5" applyNumberFormat="1" applyFont="1" applyFill="1" applyBorder="1" applyAlignment="1">
      <alignment horizontal="left" vertical="center"/>
    </xf>
    <xf numFmtId="0" fontId="5" fillId="8" borderId="20" xfId="5" applyFont="1" applyFill="1" applyBorder="1" applyAlignment="1">
      <alignment horizontal="left" vertical="center"/>
    </xf>
    <xf numFmtId="0" fontId="5" fillId="0" borderId="10" xfId="5" applyFont="1" applyBorder="1" applyAlignment="1">
      <alignment horizontal="left" vertical="center"/>
    </xf>
    <xf numFmtId="0" fontId="21" fillId="8" borderId="21" xfId="4" applyFont="1" applyFill="1" applyBorder="1" applyAlignment="1">
      <alignment vertical="center"/>
    </xf>
    <xf numFmtId="166" fontId="32" fillId="8" borderId="22" xfId="5" applyNumberFormat="1" applyFont="1" applyFill="1" applyBorder="1" applyAlignment="1">
      <alignment horizontal="center" vertical="center" wrapText="1"/>
    </xf>
    <xf numFmtId="0" fontId="24" fillId="0" borderId="10" xfId="4" applyFont="1" applyBorder="1" applyAlignment="1">
      <alignment vertical="center"/>
    </xf>
    <xf numFmtId="0" fontId="5" fillId="0" borderId="0" xfId="4" applyFont="1"/>
    <xf numFmtId="0" fontId="2" fillId="0" borderId="0" xfId="4" applyFont="1" applyAlignment="1">
      <alignment horizontal="center"/>
    </xf>
    <xf numFmtId="0" fontId="5" fillId="0" borderId="0" xfId="4" applyFont="1" applyAlignment="1">
      <alignment horizontal="left"/>
    </xf>
    <xf numFmtId="0" fontId="25" fillId="0" borderId="9" xfId="5" applyFont="1" applyBorder="1" applyAlignment="1">
      <alignment horizontal="center" textRotation="90"/>
    </xf>
    <xf numFmtId="0" fontId="25" fillId="8" borderId="21" xfId="5" applyFont="1" applyFill="1" applyBorder="1" applyAlignment="1">
      <alignment horizontal="center" textRotation="90"/>
    </xf>
    <xf numFmtId="0" fontId="25" fillId="8" borderId="0" xfId="5" applyFont="1" applyFill="1" applyAlignment="1">
      <alignment horizontal="center" textRotation="90"/>
    </xf>
    <xf numFmtId="0" fontId="25" fillId="8" borderId="22" xfId="5" applyFont="1" applyFill="1" applyBorder="1" applyAlignment="1">
      <alignment horizontal="center" textRotation="90"/>
    </xf>
    <xf numFmtId="0" fontId="7" fillId="0" borderId="10" xfId="4" applyFont="1" applyBorder="1"/>
    <xf numFmtId="0" fontId="7" fillId="0" borderId="0" xfId="4" applyFont="1"/>
    <xf numFmtId="0" fontId="25" fillId="8" borderId="23" xfId="5" applyFont="1" applyFill="1" applyBorder="1" applyAlignment="1">
      <alignment horizontal="center" vertical="center" textRotation="90"/>
    </xf>
    <xf numFmtId="0" fontId="25" fillId="8" borderId="17" xfId="5" applyFont="1" applyFill="1" applyBorder="1" applyAlignment="1">
      <alignment horizontal="center" vertical="center" textRotation="90"/>
    </xf>
    <xf numFmtId="0" fontId="25" fillId="8" borderId="24" xfId="5" applyFont="1" applyFill="1" applyBorder="1" applyAlignment="1">
      <alignment horizontal="center" vertical="center" textRotation="90"/>
    </xf>
    <xf numFmtId="0" fontId="25" fillId="0" borderId="0" xfId="5" applyFont="1" applyAlignment="1">
      <alignment horizontal="center" vertical="center" textRotation="90"/>
    </xf>
    <xf numFmtId="0" fontId="25" fillId="8" borderId="18" xfId="5" applyFont="1" applyFill="1" applyBorder="1" applyAlignment="1">
      <alignment horizontal="center" vertical="center" textRotation="90"/>
    </xf>
    <xf numFmtId="0" fontId="25" fillId="8" borderId="19" xfId="5" applyFont="1" applyFill="1" applyBorder="1" applyAlignment="1">
      <alignment horizontal="center" vertical="center" textRotation="90"/>
    </xf>
    <xf numFmtId="0" fontId="25" fillId="8" borderId="25" xfId="5" applyFont="1" applyFill="1" applyBorder="1" applyAlignment="1">
      <alignment vertical="center"/>
    </xf>
    <xf numFmtId="0" fontId="25" fillId="8" borderId="20" xfId="5" applyFont="1" applyFill="1" applyBorder="1" applyAlignment="1">
      <alignment horizontal="center" vertical="center" textRotation="90"/>
    </xf>
    <xf numFmtId="0" fontId="48" fillId="8" borderId="21" xfId="5" applyFont="1" applyFill="1" applyBorder="1" applyAlignment="1">
      <alignment vertical="center" textRotation="90" wrapText="1"/>
    </xf>
    <xf numFmtId="166" fontId="31" fillId="8" borderId="22" xfId="5" applyNumberFormat="1" applyFont="1" applyFill="1" applyBorder="1" applyAlignment="1">
      <alignment horizontal="center" vertical="center" wrapText="1"/>
    </xf>
    <xf numFmtId="0" fontId="28" fillId="0" borderId="28" xfId="2" applyFont="1" applyBorder="1" applyAlignment="1">
      <alignment horizontal="center" vertical="center"/>
    </xf>
    <xf numFmtId="0" fontId="35" fillId="8" borderId="0" xfId="4" applyFont="1" applyFill="1" applyAlignment="1">
      <alignment vertical="center" textRotation="90" wrapText="1"/>
    </xf>
    <xf numFmtId="0" fontId="25" fillId="8" borderId="21" xfId="5" applyFont="1" applyFill="1" applyBorder="1" applyAlignment="1">
      <alignment horizontal="center" vertical="center" textRotation="90"/>
    </xf>
    <xf numFmtId="0" fontId="25" fillId="8" borderId="0" xfId="5" applyFont="1" applyFill="1" applyAlignment="1">
      <alignment horizontal="center" vertical="center" textRotation="90"/>
    </xf>
    <xf numFmtId="0" fontId="25" fillId="8" borderId="22" xfId="5" applyFont="1" applyFill="1" applyBorder="1" applyAlignment="1">
      <alignment horizontal="center" vertical="center" textRotation="90"/>
    </xf>
    <xf numFmtId="0" fontId="2" fillId="8" borderId="21" xfId="5" applyFont="1" applyFill="1" applyBorder="1" applyAlignment="1">
      <alignment horizontal="left" vertical="center"/>
    </xf>
    <xf numFmtId="0" fontId="2" fillId="8" borderId="0" xfId="5" applyFont="1" applyFill="1" applyAlignment="1">
      <alignment horizontal="left" vertical="center"/>
    </xf>
    <xf numFmtId="0" fontId="25" fillId="8" borderId="17" xfId="5" applyFont="1" applyFill="1" applyBorder="1" applyAlignment="1">
      <alignment vertical="center"/>
    </xf>
    <xf numFmtId="0" fontId="15" fillId="3" borderId="0" xfId="5" applyFont="1" applyFill="1" applyAlignment="1">
      <alignment horizontal="center" vertical="center"/>
    </xf>
    <xf numFmtId="0" fontId="15" fillId="0" borderId="9" xfId="5" applyFont="1" applyBorder="1" applyAlignment="1">
      <alignment horizontal="center" vertical="center"/>
    </xf>
    <xf numFmtId="0" fontId="15" fillId="0" borderId="0" xfId="5" applyFont="1" applyAlignment="1">
      <alignment horizontal="center" vertical="center"/>
    </xf>
    <xf numFmtId="0" fontId="34" fillId="0" borderId="0" xfId="5" applyFont="1" applyAlignment="1">
      <alignment horizontal="left" vertical="center"/>
    </xf>
    <xf numFmtId="0" fontId="37" fillId="0" borderId="0" xfId="5" applyFont="1" applyAlignment="1">
      <alignment horizontal="left" vertical="center"/>
    </xf>
    <xf numFmtId="0" fontId="38" fillId="0" borderId="0" xfId="2" applyFont="1" applyAlignment="1">
      <alignment horizontal="center"/>
    </xf>
    <xf numFmtId="9" fontId="34" fillId="0" borderId="0" xfId="5" applyNumberFormat="1" applyFont="1" applyAlignment="1">
      <alignment horizontal="right" vertical="center" indent="1"/>
    </xf>
    <xf numFmtId="3" fontId="2" fillId="0" borderId="0" xfId="5" applyNumberFormat="1" applyFont="1" applyAlignment="1">
      <alignment horizontal="right" vertical="center" indent="1"/>
    </xf>
    <xf numFmtId="9" fontId="2" fillId="0" borderId="0" xfId="5" applyNumberFormat="1" applyFont="1" applyAlignment="1">
      <alignment horizontal="right" vertical="center" indent="1"/>
    </xf>
    <xf numFmtId="0" fontId="2" fillId="0" borderId="0" xfId="4" applyFont="1" applyAlignment="1">
      <alignment horizontal="right" vertical="center" indent="1"/>
    </xf>
    <xf numFmtId="9" fontId="2" fillId="0" borderId="0" xfId="5" applyNumberFormat="1" applyFont="1" applyAlignment="1">
      <alignment vertical="center"/>
    </xf>
    <xf numFmtId="0" fontId="2" fillId="0" borderId="34" xfId="4" applyFont="1" applyBorder="1" applyAlignment="1">
      <alignment horizontal="center" vertical="center"/>
    </xf>
    <xf numFmtId="0" fontId="2" fillId="0" borderId="35" xfId="4" applyFont="1" applyBorder="1" applyAlignment="1">
      <alignment horizontal="center" vertical="center"/>
    </xf>
    <xf numFmtId="0" fontId="5" fillId="0" borderId="35" xfId="4" applyFont="1" applyBorder="1" applyAlignment="1">
      <alignment horizontal="left" vertical="center"/>
    </xf>
    <xf numFmtId="0" fontId="5" fillId="0" borderId="35" xfId="4" applyFont="1" applyBorder="1" applyAlignment="1">
      <alignment vertical="center"/>
    </xf>
    <xf numFmtId="0" fontId="7" fillId="0" borderId="36" xfId="4" applyFont="1" applyBorder="1" applyAlignment="1">
      <alignment vertical="center"/>
    </xf>
    <xf numFmtId="0" fontId="6" fillId="0" borderId="0" xfId="4" applyFont="1" applyAlignment="1">
      <alignment vertical="center"/>
    </xf>
    <xf numFmtId="0" fontId="2" fillId="12" borderId="1" xfId="4" applyFont="1" applyFill="1" applyBorder="1" applyAlignment="1">
      <alignment horizontal="center" vertical="center"/>
    </xf>
    <xf numFmtId="0" fontId="1" fillId="0" borderId="0" xfId="3" applyProtection="1">
      <protection locked="0"/>
    </xf>
    <xf numFmtId="0" fontId="51" fillId="0" borderId="0" xfId="0" applyFont="1"/>
    <xf numFmtId="0" fontId="3" fillId="3" borderId="2" xfId="3" applyFont="1" applyFill="1" applyBorder="1" applyAlignment="1" applyProtection="1">
      <alignment horizontal="left"/>
      <protection locked="0"/>
    </xf>
    <xf numFmtId="0" fontId="39" fillId="13" borderId="3" xfId="3" applyFont="1" applyFill="1" applyBorder="1" applyProtection="1">
      <protection locked="0"/>
    </xf>
    <xf numFmtId="0" fontId="39" fillId="0" borderId="1" xfId="3" applyFont="1" applyBorder="1" applyAlignment="1" applyProtection="1">
      <alignment horizontal="center"/>
      <protection locked="0"/>
    </xf>
    <xf numFmtId="0" fontId="39" fillId="14" borderId="1" xfId="3" applyFont="1" applyFill="1" applyBorder="1" applyAlignment="1" applyProtection="1">
      <alignment horizontal="center"/>
      <protection locked="0"/>
    </xf>
    <xf numFmtId="0" fontId="39" fillId="0" borderId="1" xfId="3" applyFont="1" applyBorder="1" applyAlignment="1">
      <alignment horizontal="center"/>
    </xf>
    <xf numFmtId="0" fontId="52" fillId="0" borderId="0" xfId="3" applyFont="1" applyAlignment="1" applyProtection="1">
      <alignment horizontal="center"/>
      <protection locked="0"/>
    </xf>
    <xf numFmtId="0" fontId="5" fillId="3" borderId="0" xfId="5" applyFont="1" applyFill="1" applyAlignment="1">
      <alignment horizontal="left" vertical="center"/>
    </xf>
    <xf numFmtId="0" fontId="41" fillId="3" borderId="0" xfId="5" applyFont="1" applyFill="1" applyAlignment="1">
      <alignment horizontal="left" vertical="center" textRotation="90"/>
    </xf>
    <xf numFmtId="0" fontId="40" fillId="3" borderId="0" xfId="5" applyFont="1" applyFill="1" applyAlignment="1">
      <alignment horizontal="left" vertical="center"/>
    </xf>
    <xf numFmtId="0" fontId="36" fillId="3" borderId="0" xfId="4" applyFont="1" applyFill="1" applyAlignment="1">
      <alignment horizontal="left" vertical="center"/>
    </xf>
    <xf numFmtId="0" fontId="42" fillId="3" borderId="0" xfId="4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5" fillId="5" borderId="0" xfId="5" applyFont="1" applyFill="1" applyAlignment="1">
      <alignment horizontal="left" vertical="center"/>
    </xf>
    <xf numFmtId="0" fontId="1" fillId="3" borderId="4" xfId="3" applyFill="1" applyBorder="1"/>
    <xf numFmtId="4" fontId="39" fillId="0" borderId="1" xfId="3" applyNumberFormat="1" applyFont="1" applyBorder="1" applyAlignment="1" applyProtection="1">
      <alignment horizontal="center"/>
      <protection locked="0"/>
    </xf>
    <xf numFmtId="0" fontId="43" fillId="0" borderId="0" xfId="3" applyFont="1" applyAlignment="1">
      <alignment vertical="center"/>
    </xf>
    <xf numFmtId="0" fontId="39" fillId="0" borderId="1" xfId="3" applyFont="1" applyBorder="1" applyAlignment="1" applyProtection="1">
      <alignment horizontal="left"/>
      <protection locked="0"/>
    </xf>
    <xf numFmtId="0" fontId="20" fillId="0" borderId="0" xfId="5" applyFont="1" applyAlignment="1">
      <alignment horizontal="left" vertical="center"/>
    </xf>
    <xf numFmtId="0" fontId="0" fillId="0" borderId="1" xfId="0" applyBorder="1"/>
    <xf numFmtId="0" fontId="37" fillId="3" borderId="13" xfId="3" applyFont="1" applyFill="1" applyBorder="1" applyAlignment="1" applyProtection="1">
      <alignment horizontal="left" vertical="center"/>
      <protection locked="0"/>
    </xf>
    <xf numFmtId="0" fontId="37" fillId="4" borderId="12" xfId="3" applyFont="1" applyFill="1" applyBorder="1" applyAlignment="1">
      <alignment horizontal="left" vertical="center"/>
    </xf>
    <xf numFmtId="0" fontId="55" fillId="0" borderId="0" xfId="0" applyFont="1"/>
    <xf numFmtId="0" fontId="56" fillId="0" borderId="0" xfId="0" applyFont="1"/>
    <xf numFmtId="0" fontId="57" fillId="0" borderId="0" xfId="3" applyFont="1" applyAlignment="1">
      <alignment horizontal="right"/>
    </xf>
    <xf numFmtId="0" fontId="58" fillId="0" borderId="0" xfId="3" applyFont="1" applyAlignment="1">
      <alignment vertical="center"/>
    </xf>
    <xf numFmtId="0" fontId="49" fillId="8" borderId="21" xfId="5" applyFont="1" applyFill="1" applyBorder="1" applyAlignment="1">
      <alignment horizontal="center" vertical="center" textRotation="90"/>
    </xf>
    <xf numFmtId="0" fontId="60" fillId="8" borderId="0" xfId="5" applyFont="1" applyFill="1" applyAlignment="1">
      <alignment horizontal="left" vertical="center"/>
    </xf>
    <xf numFmtId="0" fontId="60" fillId="8" borderId="17" xfId="5" applyFont="1" applyFill="1" applyBorder="1" applyAlignment="1">
      <alignment horizontal="left" vertical="center"/>
    </xf>
    <xf numFmtId="0" fontId="22" fillId="3" borderId="0" xfId="4" applyFont="1" applyFill="1" applyAlignment="1">
      <alignment vertical="center"/>
    </xf>
    <xf numFmtId="0" fontId="27" fillId="3" borderId="0" xfId="4" applyFont="1" applyFill="1" applyAlignment="1">
      <alignment horizontal="right" vertical="center"/>
    </xf>
    <xf numFmtId="0" fontId="27" fillId="3" borderId="0" xfId="4" applyFont="1" applyFill="1" applyAlignment="1">
      <alignment vertical="center"/>
    </xf>
    <xf numFmtId="0" fontId="22" fillId="3" borderId="0" xfId="4" applyFont="1" applyFill="1" applyAlignment="1">
      <alignment horizontal="left" vertical="center"/>
    </xf>
    <xf numFmtId="0" fontId="27" fillId="3" borderId="0" xfId="4" applyFont="1" applyFill="1" applyAlignment="1">
      <alignment horizontal="center" vertical="center"/>
    </xf>
    <xf numFmtId="3" fontId="22" fillId="3" borderId="0" xfId="4" applyNumberFormat="1" applyFont="1" applyFill="1" applyAlignment="1">
      <alignment horizontal="left" vertical="center"/>
    </xf>
    <xf numFmtId="2" fontId="22" fillId="3" borderId="0" xfId="4" applyNumberFormat="1" applyFont="1" applyFill="1" applyAlignment="1">
      <alignment horizontal="left" vertical="center"/>
    </xf>
    <xf numFmtId="0" fontId="22" fillId="3" borderId="0" xfId="4" applyFont="1" applyFill="1" applyAlignment="1">
      <alignment horizontal="right" vertical="center"/>
    </xf>
    <xf numFmtId="170" fontId="22" fillId="3" borderId="0" xfId="4" applyNumberFormat="1" applyFont="1" applyFill="1" applyAlignment="1">
      <alignment horizontal="right" vertical="center"/>
    </xf>
    <xf numFmtId="171" fontId="22" fillId="3" borderId="0" xfId="4" applyNumberFormat="1" applyFont="1" applyFill="1" applyAlignment="1">
      <alignment horizontal="center" vertical="center"/>
    </xf>
    <xf numFmtId="0" fontId="22" fillId="3" borderId="0" xfId="4" applyFont="1" applyFill="1" applyAlignment="1">
      <alignment horizontal="center" vertical="center"/>
    </xf>
    <xf numFmtId="3" fontId="22" fillId="3" borderId="0" xfId="4" applyNumberFormat="1" applyFont="1" applyFill="1" applyAlignment="1">
      <alignment horizontal="center" vertical="center"/>
    </xf>
    <xf numFmtId="0" fontId="20" fillId="3" borderId="0" xfId="4" applyFont="1" applyFill="1" applyAlignment="1">
      <alignment vertical="center"/>
    </xf>
    <xf numFmtId="3" fontId="20" fillId="3" borderId="0" xfId="4" applyNumberFormat="1" applyFont="1" applyFill="1" applyAlignment="1">
      <alignment vertical="center"/>
    </xf>
    <xf numFmtId="3" fontId="5" fillId="3" borderId="0" xfId="4" applyNumberFormat="1" applyFont="1" applyFill="1" applyAlignment="1">
      <alignment horizontal="center" vertical="center"/>
    </xf>
    <xf numFmtId="0" fontId="10" fillId="3" borderId="0" xfId="4" applyFont="1" applyFill="1" applyAlignment="1">
      <alignment horizontal="right" vertical="center"/>
    </xf>
    <xf numFmtId="0" fontId="10" fillId="3" borderId="0" xfId="4" applyFont="1" applyFill="1" applyAlignment="1">
      <alignment vertical="center"/>
    </xf>
    <xf numFmtId="0" fontId="61" fillId="3" borderId="0" xfId="4" applyFont="1" applyFill="1" applyAlignment="1">
      <alignment vertical="center"/>
    </xf>
    <xf numFmtId="172" fontId="20" fillId="3" borderId="0" xfId="4" applyNumberFormat="1" applyFont="1" applyFill="1" applyAlignment="1">
      <alignment vertical="center"/>
    </xf>
    <xf numFmtId="169" fontId="20" fillId="3" borderId="0" xfId="4" applyNumberFormat="1" applyFont="1" applyFill="1" applyAlignment="1">
      <alignment vertical="center"/>
    </xf>
    <xf numFmtId="3" fontId="5" fillId="3" borderId="0" xfId="4" applyNumberFormat="1" applyFont="1" applyFill="1" applyAlignment="1">
      <alignment vertical="center"/>
    </xf>
    <xf numFmtId="0" fontId="26" fillId="3" borderId="0" xfId="4" applyFont="1" applyFill="1" applyAlignment="1">
      <alignment horizontal="center" vertical="center"/>
    </xf>
    <xf numFmtId="9" fontId="22" fillId="3" borderId="0" xfId="4" applyNumberFormat="1" applyFont="1" applyFill="1" applyAlignment="1">
      <alignment vertical="center"/>
    </xf>
    <xf numFmtId="10" fontId="22" fillId="3" borderId="0" xfId="4" applyNumberFormat="1" applyFont="1" applyFill="1" applyAlignment="1">
      <alignment vertical="center"/>
    </xf>
    <xf numFmtId="2" fontId="22" fillId="3" borderId="0" xfId="4" applyNumberFormat="1" applyFont="1" applyFill="1" applyAlignment="1">
      <alignment vertical="center"/>
    </xf>
    <xf numFmtId="3" fontId="22" fillId="3" borderId="0" xfId="4" applyNumberFormat="1" applyFont="1" applyFill="1" applyAlignment="1">
      <alignment vertical="center"/>
    </xf>
    <xf numFmtId="170" fontId="22" fillId="3" borderId="0" xfId="4" applyNumberFormat="1" applyFont="1" applyFill="1" applyAlignment="1">
      <alignment horizontal="center" vertical="center"/>
    </xf>
    <xf numFmtId="0" fontId="0" fillId="15" borderId="1" xfId="0" applyFill="1" applyBorder="1"/>
    <xf numFmtId="0" fontId="15" fillId="0" borderId="34" xfId="5" applyFont="1" applyBorder="1" applyAlignment="1">
      <alignment horizontal="center" vertical="center"/>
    </xf>
    <xf numFmtId="0" fontId="15" fillId="0" borderId="35" xfId="5" applyFont="1" applyBorder="1" applyAlignment="1">
      <alignment horizontal="center" vertical="center"/>
    </xf>
    <xf numFmtId="0" fontId="34" fillId="0" borderId="35" xfId="5" applyFont="1" applyBorder="1" applyAlignment="1">
      <alignment horizontal="left" vertical="center"/>
    </xf>
    <xf numFmtId="0" fontId="37" fillId="0" borderId="35" xfId="5" applyFont="1" applyBorder="1" applyAlignment="1">
      <alignment horizontal="left" vertical="center"/>
    </xf>
    <xf numFmtId="0" fontId="38" fillId="0" borderId="35" xfId="2" applyFont="1" applyBorder="1" applyAlignment="1">
      <alignment horizontal="center"/>
    </xf>
    <xf numFmtId="9" fontId="34" fillId="0" borderId="35" xfId="5" applyNumberFormat="1" applyFont="1" applyBorder="1" applyAlignment="1">
      <alignment horizontal="right" vertical="center" indent="1"/>
    </xf>
    <xf numFmtId="3" fontId="2" fillId="0" borderId="35" xfId="5" applyNumberFormat="1" applyFont="1" applyBorder="1" applyAlignment="1">
      <alignment horizontal="right" vertical="center" indent="1"/>
    </xf>
    <xf numFmtId="9" fontId="2" fillId="0" borderId="35" xfId="5" applyNumberFormat="1" applyFont="1" applyBorder="1" applyAlignment="1">
      <alignment horizontal="right" vertical="center" indent="1"/>
    </xf>
    <xf numFmtId="0" fontId="2" fillId="0" borderId="35" xfId="4" applyFont="1" applyBorder="1" applyAlignment="1">
      <alignment horizontal="right" vertical="center" indent="1"/>
    </xf>
    <xf numFmtId="9" fontId="2" fillId="0" borderId="35" xfId="5" applyNumberFormat="1" applyFont="1" applyBorder="1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64" fillId="3" borderId="0" xfId="4" applyFont="1" applyFill="1" applyAlignment="1">
      <alignment vertical="center"/>
    </xf>
    <xf numFmtId="0" fontId="2" fillId="24" borderId="23" xfId="4" applyFont="1" applyFill="1" applyBorder="1" applyAlignment="1">
      <alignment horizontal="center" vertical="center"/>
    </xf>
    <xf numFmtId="0" fontId="2" fillId="24" borderId="17" xfId="4" applyFont="1" applyFill="1" applyBorder="1" applyAlignment="1">
      <alignment horizontal="center" vertical="center"/>
    </xf>
    <xf numFmtId="0" fontId="2" fillId="24" borderId="24" xfId="4" applyFont="1" applyFill="1" applyBorder="1" applyAlignment="1">
      <alignment horizontal="center" vertical="center"/>
    </xf>
    <xf numFmtId="166" fontId="5" fillId="0" borderId="40" xfId="5" applyNumberFormat="1" applyFont="1" applyBorder="1" applyAlignment="1">
      <alignment horizontal="left" vertical="center"/>
    </xf>
    <xf numFmtId="0" fontId="5" fillId="0" borderId="58" xfId="5" applyFont="1" applyBorder="1" applyAlignment="1">
      <alignment horizontal="left" vertical="center"/>
    </xf>
    <xf numFmtId="0" fontId="45" fillId="8" borderId="43" xfId="2" applyFont="1" applyFill="1" applyBorder="1" applyAlignment="1">
      <alignment horizontal="center"/>
    </xf>
    <xf numFmtId="0" fontId="33" fillId="8" borderId="43" xfId="2" applyFont="1" applyFill="1" applyBorder="1" applyAlignment="1">
      <alignment horizontal="center"/>
    </xf>
    <xf numFmtId="166" fontId="14" fillId="0" borderId="62" xfId="6" applyNumberFormat="1" applyFont="1" applyFill="1" applyBorder="1" applyAlignment="1">
      <alignment horizontal="right" vertical="center" wrapText="1" indent="1"/>
    </xf>
    <xf numFmtId="0" fontId="5" fillId="8" borderId="22" xfId="5" applyFont="1" applyFill="1" applyBorder="1" applyAlignment="1">
      <alignment horizontal="left" vertical="center"/>
    </xf>
    <xf numFmtId="165" fontId="27" fillId="0" borderId="68" xfId="4" applyNumberFormat="1" applyFont="1" applyBorder="1" applyAlignment="1">
      <alignment horizontal="right" vertical="center" indent="1"/>
    </xf>
    <xf numFmtId="3" fontId="65" fillId="0" borderId="0" xfId="4" applyNumberFormat="1" applyFont="1" applyAlignment="1">
      <alignment horizontal="right" vertical="center" indent="1"/>
    </xf>
    <xf numFmtId="0" fontId="18" fillId="4" borderId="11" xfId="3" applyFont="1" applyFill="1" applyBorder="1" applyAlignment="1">
      <alignment horizontal="left" vertical="center"/>
    </xf>
    <xf numFmtId="0" fontId="18" fillId="4" borderId="12" xfId="3" applyFont="1" applyFill="1" applyBorder="1" applyAlignment="1">
      <alignment horizontal="left" vertical="center"/>
    </xf>
    <xf numFmtId="0" fontId="54" fillId="0" borderId="0" xfId="4" applyFont="1" applyAlignment="1">
      <alignment horizontal="left" vertical="center"/>
    </xf>
    <xf numFmtId="3" fontId="34" fillId="29" borderId="14" xfId="5" applyNumberFormat="1" applyFont="1" applyFill="1" applyBorder="1" applyAlignment="1">
      <alignment horizontal="right" vertical="center" wrapText="1" indent="1"/>
    </xf>
    <xf numFmtId="3" fontId="34" fillId="28" borderId="15" xfId="5" applyNumberFormat="1" applyFont="1" applyFill="1" applyBorder="1" applyAlignment="1">
      <alignment horizontal="right" vertical="center" wrapText="1" indent="1"/>
    </xf>
    <xf numFmtId="166" fontId="34" fillId="28" borderId="14" xfId="5" applyNumberFormat="1" applyFont="1" applyFill="1" applyBorder="1" applyAlignment="1">
      <alignment horizontal="right" vertical="center" wrapText="1" indent="1"/>
    </xf>
    <xf numFmtId="3" fontId="34" fillId="0" borderId="0" xfId="4" applyNumberFormat="1" applyFont="1" applyAlignment="1">
      <alignment horizontal="right" vertical="center" indent="1"/>
    </xf>
    <xf numFmtId="0" fontId="65" fillId="0" borderId="0" xfId="4" applyFont="1" applyAlignment="1">
      <alignment vertical="center"/>
    </xf>
    <xf numFmtId="0" fontId="65" fillId="0" borderId="0" xfId="4" applyFont="1" applyAlignment="1">
      <alignment horizontal="left" vertical="center"/>
    </xf>
    <xf numFmtId="0" fontId="65" fillId="3" borderId="0" xfId="5" applyFont="1" applyFill="1" applyAlignment="1">
      <alignment horizontal="left" vertical="center"/>
    </xf>
    <xf numFmtId="0" fontId="69" fillId="0" borderId="9" xfId="5" applyFont="1" applyBorder="1" applyAlignment="1">
      <alignment horizontal="center" vertical="center" textRotation="90"/>
    </xf>
    <xf numFmtId="0" fontId="71" fillId="0" borderId="0" xfId="2" applyFont="1" applyAlignment="1">
      <alignment horizontal="center"/>
    </xf>
    <xf numFmtId="3" fontId="70" fillId="9" borderId="37" xfId="3" applyNumberFormat="1" applyFont="1" applyFill="1" applyBorder="1" applyAlignment="1">
      <alignment horizontal="right" vertical="center" wrapText="1" indent="1"/>
    </xf>
    <xf numFmtId="3" fontId="70" fillId="9" borderId="26" xfId="3" applyNumberFormat="1" applyFont="1" applyFill="1" applyBorder="1" applyAlignment="1">
      <alignment horizontal="right" vertical="center" wrapText="1" indent="1"/>
    </xf>
    <xf numFmtId="3" fontId="70" fillId="18" borderId="32" xfId="3" applyNumberFormat="1" applyFont="1" applyFill="1" applyBorder="1" applyAlignment="1">
      <alignment horizontal="right" vertical="center" wrapText="1" indent="1"/>
    </xf>
    <xf numFmtId="0" fontId="72" fillId="0" borderId="0" xfId="2" applyFont="1" applyAlignment="1">
      <alignment horizontal="center" vertical="center"/>
    </xf>
    <xf numFmtId="0" fontId="73" fillId="0" borderId="10" xfId="4" applyFont="1" applyBorder="1" applyAlignment="1">
      <alignment vertical="center"/>
    </xf>
    <xf numFmtId="3" fontId="34" fillId="6" borderId="14" xfId="5" applyNumberFormat="1" applyFont="1" applyFill="1" applyBorder="1" applyAlignment="1">
      <alignment horizontal="right" vertical="center" wrapText="1" indent="1"/>
    </xf>
    <xf numFmtId="3" fontId="34" fillId="7" borderId="15" xfId="5" applyNumberFormat="1" applyFont="1" applyFill="1" applyBorder="1" applyAlignment="1">
      <alignment horizontal="right" vertical="center" wrapText="1" indent="1"/>
    </xf>
    <xf numFmtId="166" fontId="34" fillId="7" borderId="14" xfId="5" applyNumberFormat="1" applyFont="1" applyFill="1" applyBorder="1" applyAlignment="1">
      <alignment horizontal="right" vertical="center" wrapText="1" indent="1"/>
    </xf>
    <xf numFmtId="166" fontId="34" fillId="7" borderId="15" xfId="5" applyNumberFormat="1" applyFont="1" applyFill="1" applyBorder="1" applyAlignment="1">
      <alignment horizontal="right" vertical="center" wrapText="1" indent="1"/>
    </xf>
    <xf numFmtId="3" fontId="34" fillId="6" borderId="16" xfId="5" applyNumberFormat="1" applyFont="1" applyFill="1" applyBorder="1" applyAlignment="1">
      <alignment horizontal="right" vertical="center" wrapText="1" indent="1"/>
    </xf>
    <xf numFmtId="0" fontId="74" fillId="0" borderId="0" xfId="2" applyFont="1" applyAlignment="1">
      <alignment horizontal="center"/>
    </xf>
    <xf numFmtId="3" fontId="75" fillId="19" borderId="40" xfId="5" applyNumberFormat="1" applyFont="1" applyFill="1" applyBorder="1" applyAlignment="1">
      <alignment horizontal="right" vertical="center" wrapText="1" indent="1"/>
    </xf>
    <xf numFmtId="3" fontId="65" fillId="6" borderId="0" xfId="5" applyNumberFormat="1" applyFont="1" applyFill="1" applyAlignment="1">
      <alignment horizontal="right" vertical="center" wrapText="1" indent="1"/>
    </xf>
    <xf numFmtId="166" fontId="76" fillId="6" borderId="0" xfId="3" applyNumberFormat="1" applyFont="1" applyFill="1" applyAlignment="1">
      <alignment horizontal="right" vertical="center" wrapText="1" indent="1"/>
    </xf>
    <xf numFmtId="166" fontId="77" fillId="0" borderId="0" xfId="5" applyNumberFormat="1" applyFont="1" applyAlignment="1">
      <alignment horizontal="center" vertical="center" wrapText="1"/>
    </xf>
    <xf numFmtId="165" fontId="65" fillId="8" borderId="68" xfId="4" applyNumberFormat="1" applyFont="1" applyFill="1" applyBorder="1" applyAlignment="1">
      <alignment horizontal="right" vertical="center" indent="1"/>
    </xf>
    <xf numFmtId="0" fontId="74" fillId="8" borderId="43" xfId="2" applyFont="1" applyFill="1" applyBorder="1" applyAlignment="1">
      <alignment horizontal="center"/>
    </xf>
    <xf numFmtId="165" fontId="18" fillId="8" borderId="68" xfId="4" applyNumberFormat="1" applyFont="1" applyFill="1" applyBorder="1" applyAlignment="1">
      <alignment horizontal="right" vertical="center" indent="1"/>
    </xf>
    <xf numFmtId="165" fontId="18" fillId="0" borderId="68" xfId="4" applyNumberFormat="1" applyFont="1" applyBorder="1" applyAlignment="1">
      <alignment horizontal="right" vertical="center" indent="1"/>
    </xf>
    <xf numFmtId="164" fontId="65" fillId="25" borderId="63" xfId="1" applyFont="1" applyFill="1" applyBorder="1" applyAlignment="1">
      <alignment horizontal="right" vertical="center" wrapText="1" indent="1"/>
    </xf>
    <xf numFmtId="168" fontId="65" fillId="25" borderId="14" xfId="1" applyNumberFormat="1" applyFont="1" applyFill="1" applyBorder="1" applyAlignment="1">
      <alignment horizontal="right" vertical="center" wrapText="1" indent="1"/>
    </xf>
    <xf numFmtId="3" fontId="76" fillId="11" borderId="15" xfId="5" applyNumberFormat="1" applyFont="1" applyFill="1" applyBorder="1" applyAlignment="1">
      <alignment vertical="center" wrapText="1"/>
    </xf>
    <xf numFmtId="164" fontId="65" fillId="25" borderId="65" xfId="1" applyFont="1" applyFill="1" applyBorder="1" applyAlignment="1">
      <alignment horizontal="right" vertical="center" wrapText="1" indent="1"/>
    </xf>
    <xf numFmtId="164" fontId="65" fillId="25" borderId="14" xfId="1" applyFont="1" applyFill="1" applyBorder="1" applyAlignment="1">
      <alignment horizontal="right" vertical="center" wrapText="1" indent="1"/>
    </xf>
    <xf numFmtId="3" fontId="76" fillId="11" borderId="0" xfId="5" applyNumberFormat="1" applyFont="1" applyFill="1" applyAlignment="1">
      <alignment vertical="center" wrapText="1"/>
    </xf>
    <xf numFmtId="3" fontId="82" fillId="11" borderId="48" xfId="5" applyNumberFormat="1" applyFont="1" applyFill="1" applyBorder="1" applyAlignment="1">
      <alignment vertical="center" wrapText="1"/>
    </xf>
    <xf numFmtId="0" fontId="81" fillId="8" borderId="43" xfId="2" applyFont="1" applyFill="1" applyBorder="1" applyAlignment="1">
      <alignment horizontal="center"/>
    </xf>
    <xf numFmtId="164" fontId="81" fillId="25" borderId="64" xfId="1" applyFont="1" applyFill="1" applyBorder="1" applyAlignment="1">
      <alignment horizontal="right" vertical="center" wrapText="1" indent="1"/>
    </xf>
    <xf numFmtId="164" fontId="81" fillId="25" borderId="56" xfId="1" applyFont="1" applyFill="1" applyBorder="1" applyAlignment="1">
      <alignment horizontal="right" vertical="center" wrapText="1" indent="1"/>
    </xf>
    <xf numFmtId="3" fontId="82" fillId="11" borderId="54" xfId="5" applyNumberFormat="1" applyFont="1" applyFill="1" applyBorder="1" applyAlignment="1">
      <alignment vertical="center" wrapText="1"/>
    </xf>
    <xf numFmtId="165" fontId="81" fillId="8" borderId="68" xfId="4" applyNumberFormat="1" applyFont="1" applyFill="1" applyBorder="1" applyAlignment="1">
      <alignment horizontal="right" vertical="center" indent="1"/>
    </xf>
    <xf numFmtId="164" fontId="81" fillId="25" borderId="66" xfId="1" applyFont="1" applyFill="1" applyBorder="1" applyAlignment="1">
      <alignment horizontal="right" vertical="center" wrapText="1" indent="1"/>
    </xf>
    <xf numFmtId="0" fontId="74" fillId="8" borderId="43" xfId="2" applyFont="1" applyFill="1" applyBorder="1" applyAlignment="1">
      <alignment horizontal="center" vertical="center"/>
    </xf>
    <xf numFmtId="164" fontId="65" fillId="25" borderId="63" xfId="1" applyFont="1" applyFill="1" applyBorder="1" applyAlignment="1">
      <alignment horizontal="right" vertical="center" wrapText="1"/>
    </xf>
    <xf numFmtId="164" fontId="65" fillId="25" borderId="15" xfId="1" applyFont="1" applyFill="1" applyBorder="1" applyAlignment="1">
      <alignment horizontal="right" vertical="center" wrapText="1"/>
    </xf>
    <xf numFmtId="3" fontId="18" fillId="10" borderId="29" xfId="5" applyNumberFormat="1" applyFont="1" applyFill="1" applyBorder="1" applyAlignment="1">
      <alignment vertical="center" wrapText="1"/>
    </xf>
    <xf numFmtId="165" fontId="65" fillId="8" borderId="69" xfId="4" applyNumberFormat="1" applyFont="1" applyFill="1" applyBorder="1" applyAlignment="1">
      <alignment horizontal="right" vertical="center"/>
    </xf>
    <xf numFmtId="164" fontId="65" fillId="25" borderId="70" xfId="1" applyFont="1" applyFill="1" applyBorder="1" applyAlignment="1">
      <alignment horizontal="right" vertical="center" wrapText="1"/>
    </xf>
    <xf numFmtId="0" fontId="74" fillId="0" borderId="43" xfId="2" applyFont="1" applyBorder="1" applyAlignment="1">
      <alignment horizontal="center" vertical="center"/>
    </xf>
    <xf numFmtId="2" fontId="65" fillId="25" borderId="62" xfId="5" applyNumberFormat="1" applyFont="1" applyFill="1" applyBorder="1" applyAlignment="1">
      <alignment horizontal="right" vertical="center" wrapText="1"/>
    </xf>
    <xf numFmtId="2" fontId="65" fillId="25" borderId="0" xfId="5" applyNumberFormat="1" applyFont="1" applyFill="1" applyAlignment="1">
      <alignment horizontal="right" vertical="center" wrapText="1"/>
    </xf>
    <xf numFmtId="3" fontId="83" fillId="10" borderId="30" xfId="5" applyNumberFormat="1" applyFont="1" applyFill="1" applyBorder="1" applyAlignment="1">
      <alignment vertical="center" wrapText="1"/>
    </xf>
    <xf numFmtId="3" fontId="65" fillId="10" borderId="28" xfId="5" applyNumberFormat="1" applyFont="1" applyFill="1" applyBorder="1" applyAlignment="1">
      <alignment vertical="center" wrapText="1"/>
    </xf>
    <xf numFmtId="165" fontId="65" fillId="8" borderId="68" xfId="4" applyNumberFormat="1" applyFont="1" applyFill="1" applyBorder="1" applyAlignment="1">
      <alignment horizontal="right" vertical="center"/>
    </xf>
    <xf numFmtId="2" fontId="65" fillId="25" borderId="67" xfId="5" applyNumberFormat="1" applyFont="1" applyFill="1" applyBorder="1" applyAlignment="1">
      <alignment horizontal="right" vertical="center" wrapText="1"/>
    </xf>
    <xf numFmtId="166" fontId="70" fillId="26" borderId="31" xfId="5" applyNumberFormat="1" applyFont="1" applyFill="1" applyBorder="1" applyAlignment="1">
      <alignment horizontal="right" vertical="center" wrapText="1" indent="1"/>
    </xf>
    <xf numFmtId="166" fontId="70" fillId="26" borderId="32" xfId="5" applyNumberFormat="1" applyFont="1" applyFill="1" applyBorder="1" applyAlignment="1">
      <alignment horizontal="right" vertical="center" wrapText="1" indent="1"/>
    </xf>
    <xf numFmtId="3" fontId="75" fillId="10" borderId="27" xfId="5" applyNumberFormat="1" applyFont="1" applyFill="1" applyBorder="1" applyAlignment="1">
      <alignment vertical="center" wrapText="1"/>
    </xf>
    <xf numFmtId="3" fontId="18" fillId="10" borderId="33" xfId="5" applyNumberFormat="1" applyFont="1" applyFill="1" applyBorder="1" applyAlignment="1">
      <alignment vertical="center" wrapText="1"/>
    </xf>
    <xf numFmtId="166" fontId="70" fillId="26" borderId="37" xfId="5" applyNumberFormat="1" applyFont="1" applyFill="1" applyBorder="1" applyAlignment="1">
      <alignment horizontal="right" vertical="center" wrapText="1" indent="1"/>
    </xf>
    <xf numFmtId="165" fontId="75" fillId="11" borderId="65" xfId="1" applyNumberFormat="1" applyFont="1" applyFill="1" applyBorder="1" applyAlignment="1">
      <alignment horizontal="right" vertical="center" wrapText="1" indent="1"/>
    </xf>
    <xf numFmtId="165" fontId="75" fillId="11" borderId="14" xfId="1" applyNumberFormat="1" applyFont="1" applyFill="1" applyBorder="1" applyAlignment="1">
      <alignment horizontal="right" vertical="center" wrapText="1" indent="1"/>
    </xf>
    <xf numFmtId="165" fontId="65" fillId="20" borderId="15" xfId="1" applyNumberFormat="1" applyFont="1" applyFill="1" applyBorder="1" applyAlignment="1">
      <alignment horizontal="right" vertical="center" indent="1"/>
    </xf>
    <xf numFmtId="166" fontId="65" fillId="20" borderId="51" xfId="6" applyNumberFormat="1" applyFont="1" applyFill="1" applyBorder="1" applyAlignment="1">
      <alignment horizontal="right" vertical="center" indent="1"/>
    </xf>
    <xf numFmtId="165" fontId="75" fillId="11" borderId="59" xfId="1" applyNumberFormat="1" applyFont="1" applyFill="1" applyBorder="1" applyAlignment="1">
      <alignment horizontal="right" vertical="center" wrapText="1" indent="1"/>
    </xf>
    <xf numFmtId="165" fontId="75" fillId="11" borderId="41" xfId="1" applyNumberFormat="1" applyFont="1" applyFill="1" applyBorder="1" applyAlignment="1">
      <alignment horizontal="right" vertical="center" wrapText="1" indent="1"/>
    </xf>
    <xf numFmtId="165" fontId="65" fillId="20" borderId="54" xfId="1" applyNumberFormat="1" applyFont="1" applyFill="1" applyBorder="1" applyAlignment="1">
      <alignment horizontal="right" vertical="center" indent="1"/>
    </xf>
    <xf numFmtId="166" fontId="65" fillId="20" borderId="57" xfId="6" applyNumberFormat="1" applyFont="1" applyFill="1" applyBorder="1" applyAlignment="1">
      <alignment horizontal="right" vertical="center" indent="1"/>
    </xf>
    <xf numFmtId="0" fontId="75" fillId="21" borderId="40" xfId="3" applyFont="1" applyFill="1" applyBorder="1" applyAlignment="1">
      <alignment horizontal="center" vertical="center" wrapText="1"/>
    </xf>
    <xf numFmtId="0" fontId="65" fillId="0" borderId="0" xfId="3" applyFont="1" applyAlignment="1">
      <alignment vertical="center" wrapText="1"/>
    </xf>
    <xf numFmtId="0" fontId="85" fillId="8" borderId="0" xfId="5" applyFont="1" applyFill="1" applyAlignment="1">
      <alignment horizontal="right" vertical="center"/>
    </xf>
    <xf numFmtId="0" fontId="46" fillId="8" borderId="0" xfId="5" applyFont="1" applyFill="1" applyAlignment="1">
      <alignment horizontal="center" vertical="center" textRotation="90"/>
    </xf>
    <xf numFmtId="0" fontId="79" fillId="8" borderId="0" xfId="5" applyFont="1" applyFill="1" applyAlignment="1">
      <alignment horizontal="center" vertical="center" textRotation="90"/>
    </xf>
    <xf numFmtId="167" fontId="70" fillId="9" borderId="33" xfId="6" applyNumberFormat="1" applyFont="1" applyFill="1" applyBorder="1" applyAlignment="1">
      <alignment horizontal="right" vertical="center" wrapText="1" indent="1"/>
    </xf>
    <xf numFmtId="0" fontId="18" fillId="3" borderId="15" xfId="3" applyFont="1" applyFill="1" applyBorder="1" applyAlignment="1" applyProtection="1">
      <alignment horizontal="left" vertical="center" indent="1"/>
      <protection locked="0"/>
    </xf>
    <xf numFmtId="0" fontId="18" fillId="3" borderId="39" xfId="3" applyFont="1" applyFill="1" applyBorder="1" applyAlignment="1" applyProtection="1">
      <alignment horizontal="left" vertical="center" indent="1"/>
      <protection locked="0"/>
    </xf>
    <xf numFmtId="0" fontId="18" fillId="3" borderId="13" xfId="3" applyFont="1" applyFill="1" applyBorder="1" applyAlignment="1" applyProtection="1">
      <alignment horizontal="left" vertical="center" indent="1"/>
      <protection locked="0"/>
    </xf>
    <xf numFmtId="167" fontId="86" fillId="9" borderId="27" xfId="6" applyNumberFormat="1" applyFont="1" applyFill="1" applyBorder="1" applyAlignment="1">
      <alignment horizontal="right" vertical="center" wrapText="1"/>
    </xf>
    <xf numFmtId="167" fontId="86" fillId="9" borderId="32" xfId="6" applyNumberFormat="1" applyFont="1" applyFill="1" applyBorder="1" applyAlignment="1">
      <alignment horizontal="right" vertical="center" wrapText="1"/>
    </xf>
    <xf numFmtId="0" fontId="75" fillId="0" borderId="0" xfId="5" applyFont="1" applyAlignment="1">
      <alignment horizontal="left" vertical="center" wrapText="1"/>
    </xf>
    <xf numFmtId="0" fontId="83" fillId="20" borderId="15" xfId="5" applyFont="1" applyFill="1" applyBorder="1" applyAlignment="1">
      <alignment horizontal="left" vertical="center" indent="1"/>
    </xf>
    <xf numFmtId="0" fontId="83" fillId="20" borderId="0" xfId="5" applyFont="1" applyFill="1" applyAlignment="1">
      <alignment horizontal="left" vertical="center" indent="1"/>
    </xf>
    <xf numFmtId="0" fontId="54" fillId="0" borderId="0" xfId="5" applyFont="1" applyAlignment="1">
      <alignment horizontal="left" vertical="center" wrapText="1"/>
    </xf>
    <xf numFmtId="167" fontId="80" fillId="11" borderId="51" xfId="5" applyNumberFormat="1" applyFont="1" applyFill="1" applyBorder="1" applyAlignment="1">
      <alignment horizontal="right" vertical="center" wrapText="1" indent="1"/>
    </xf>
    <xf numFmtId="167" fontId="82" fillId="11" borderId="53" xfId="5" applyNumberFormat="1" applyFont="1" applyFill="1" applyBorder="1" applyAlignment="1">
      <alignment horizontal="right" vertical="center" wrapText="1" indent="1"/>
    </xf>
    <xf numFmtId="167" fontId="82" fillId="11" borderId="57" xfId="5" applyNumberFormat="1" applyFont="1" applyFill="1" applyBorder="1" applyAlignment="1">
      <alignment horizontal="right" vertical="center" wrapText="1" indent="1"/>
    </xf>
    <xf numFmtId="167" fontId="18" fillId="10" borderId="46" xfId="5" applyNumberFormat="1" applyFont="1" applyFill="1" applyBorder="1" applyAlignment="1">
      <alignment horizontal="right" vertical="center" wrapText="1" indent="1"/>
    </xf>
    <xf numFmtId="167" fontId="76" fillId="11" borderId="51" xfId="5" applyNumberFormat="1" applyFont="1" applyFill="1" applyBorder="1" applyAlignment="1">
      <alignment horizontal="right" vertical="center" wrapText="1" indent="1"/>
    </xf>
    <xf numFmtId="166" fontId="78" fillId="8" borderId="0" xfId="6" applyNumberFormat="1" applyFont="1" applyFill="1" applyBorder="1" applyAlignment="1" applyProtection="1">
      <alignment horizontal="right" vertical="center" indent="1"/>
    </xf>
    <xf numFmtId="166" fontId="70" fillId="9" borderId="37" xfId="6" applyNumberFormat="1" applyFont="1" applyFill="1" applyBorder="1" applyAlignment="1">
      <alignment horizontal="right" vertical="center" wrapText="1" indent="1"/>
    </xf>
    <xf numFmtId="166" fontId="70" fillId="9" borderId="26" xfId="6" applyNumberFormat="1" applyFont="1" applyFill="1" applyBorder="1" applyAlignment="1">
      <alignment horizontal="right" vertical="center" wrapText="1" indent="1"/>
    </xf>
    <xf numFmtId="166" fontId="70" fillId="18" borderId="33" xfId="3" applyNumberFormat="1" applyFont="1" applyFill="1" applyBorder="1" applyAlignment="1">
      <alignment horizontal="right" vertical="center" wrapText="1" indent="1"/>
    </xf>
    <xf numFmtId="165" fontId="18" fillId="8" borderId="0" xfId="4" applyNumberFormat="1" applyFont="1" applyFill="1" applyAlignment="1">
      <alignment horizontal="right" vertical="center"/>
    </xf>
    <xf numFmtId="0" fontId="33" fillId="8" borderId="0" xfId="2" applyFont="1" applyFill="1" applyAlignment="1">
      <alignment horizontal="center" vertical="center"/>
    </xf>
    <xf numFmtId="166" fontId="70" fillId="18" borderId="78" xfId="3" applyNumberFormat="1" applyFont="1" applyFill="1" applyBorder="1" applyAlignment="1">
      <alignment horizontal="right" vertical="center" wrapText="1" indent="1"/>
    </xf>
    <xf numFmtId="0" fontId="59" fillId="8" borderId="0" xfId="3" applyFont="1" applyFill="1" applyAlignment="1">
      <alignment horizontal="right" vertical="center"/>
    </xf>
    <xf numFmtId="0" fontId="59" fillId="8" borderId="17" xfId="3" applyFont="1" applyFill="1" applyBorder="1" applyAlignment="1">
      <alignment horizontal="right" vertical="center"/>
    </xf>
    <xf numFmtId="168" fontId="83" fillId="4" borderId="47" xfId="1" applyNumberFormat="1" applyFont="1" applyFill="1" applyBorder="1" applyAlignment="1">
      <alignment horizontal="right" vertical="center" wrapText="1" indent="1"/>
    </xf>
    <xf numFmtId="168" fontId="83" fillId="4" borderId="60" xfId="6" applyNumberFormat="1" applyFont="1" applyFill="1" applyBorder="1" applyAlignment="1">
      <alignment horizontal="right" vertical="center" wrapText="1" indent="1"/>
    </xf>
    <xf numFmtId="168" fontId="83" fillId="4" borderId="45" xfId="6" applyNumberFormat="1" applyFont="1" applyFill="1" applyBorder="1" applyAlignment="1">
      <alignment horizontal="right" vertical="center" wrapText="1" indent="1"/>
    </xf>
    <xf numFmtId="2" fontId="83" fillId="11" borderId="29" xfId="5" applyNumberFormat="1" applyFont="1" applyFill="1" applyBorder="1" applyAlignment="1">
      <alignment vertical="center" wrapText="1"/>
    </xf>
    <xf numFmtId="2" fontId="83" fillId="11" borderId="46" xfId="5" applyNumberFormat="1" applyFont="1" applyFill="1" applyBorder="1" applyAlignment="1">
      <alignment horizontal="left" vertical="center" wrapText="1" indent="1"/>
    </xf>
    <xf numFmtId="168" fontId="83" fillId="4" borderId="61" xfId="1" applyNumberFormat="1" applyFont="1" applyFill="1" applyBorder="1" applyAlignment="1">
      <alignment horizontal="right" vertical="center" wrapText="1" indent="1"/>
    </xf>
    <xf numFmtId="2" fontId="83" fillId="11" borderId="48" xfId="5" applyNumberFormat="1" applyFont="1" applyFill="1" applyBorder="1" applyAlignment="1">
      <alignment vertical="center" wrapText="1"/>
    </xf>
    <xf numFmtId="2" fontId="83" fillId="11" borderId="49" xfId="5" applyNumberFormat="1" applyFont="1" applyFill="1" applyBorder="1" applyAlignment="1">
      <alignment horizontal="left" vertical="center" wrapText="1" indent="1"/>
    </xf>
    <xf numFmtId="168" fontId="83" fillId="4" borderId="72" xfId="6" applyNumberFormat="1" applyFont="1" applyFill="1" applyBorder="1" applyAlignment="1">
      <alignment horizontal="right" vertical="center" wrapText="1" indent="1"/>
    </xf>
    <xf numFmtId="168" fontId="83" fillId="4" borderId="73" xfId="6" applyNumberFormat="1" applyFont="1" applyFill="1" applyBorder="1" applyAlignment="1">
      <alignment horizontal="right" vertical="center" wrapText="1" indent="1"/>
    </xf>
    <xf numFmtId="2" fontId="83" fillId="11" borderId="74" xfId="5" applyNumberFormat="1" applyFont="1" applyFill="1" applyBorder="1" applyAlignment="1">
      <alignment vertical="center" wrapText="1"/>
    </xf>
    <xf numFmtId="2" fontId="83" fillId="11" borderId="75" xfId="5" applyNumberFormat="1" applyFont="1" applyFill="1" applyBorder="1" applyAlignment="1">
      <alignment horizontal="left" vertical="center" wrapText="1" indent="1"/>
    </xf>
    <xf numFmtId="4" fontId="83" fillId="4" borderId="60" xfId="6" applyNumberFormat="1" applyFont="1" applyFill="1" applyBorder="1" applyAlignment="1">
      <alignment horizontal="right" vertical="center" wrapText="1" indent="1"/>
    </xf>
    <xf numFmtId="4" fontId="83" fillId="4" borderId="61" xfId="1" applyNumberFormat="1" applyFont="1" applyFill="1" applyBorder="1" applyAlignment="1">
      <alignment horizontal="right" vertical="center" wrapText="1" indent="1"/>
    </xf>
    <xf numFmtId="4" fontId="83" fillId="4" borderId="72" xfId="6" applyNumberFormat="1" applyFont="1" applyFill="1" applyBorder="1" applyAlignment="1">
      <alignment horizontal="right" vertical="center" wrapText="1" indent="1"/>
    </xf>
    <xf numFmtId="3" fontId="75" fillId="10" borderId="29" xfId="5" applyNumberFormat="1" applyFont="1" applyFill="1" applyBorder="1" applyAlignment="1">
      <alignment vertical="center" wrapText="1"/>
    </xf>
    <xf numFmtId="167" fontId="75" fillId="10" borderId="46" xfId="5" applyNumberFormat="1" applyFont="1" applyFill="1" applyBorder="1" applyAlignment="1">
      <alignment horizontal="right" vertical="center" wrapText="1" indent="1"/>
    </xf>
    <xf numFmtId="3" fontId="83" fillId="10" borderId="28" xfId="5" applyNumberFormat="1" applyFont="1" applyFill="1" applyBorder="1" applyAlignment="1">
      <alignment vertical="center" wrapText="1"/>
    </xf>
    <xf numFmtId="3" fontId="75" fillId="10" borderId="33" xfId="5" applyNumberFormat="1" applyFont="1" applyFill="1" applyBorder="1" applyAlignment="1">
      <alignment vertical="center" wrapText="1"/>
    </xf>
    <xf numFmtId="166" fontId="54" fillId="0" borderId="62" xfId="6" applyNumberFormat="1" applyFont="1" applyFill="1" applyBorder="1" applyAlignment="1">
      <alignment horizontal="right" vertical="center" wrapText="1" indent="1"/>
    </xf>
    <xf numFmtId="166" fontId="54" fillId="0" borderId="0" xfId="6" applyNumberFormat="1" applyFont="1" applyFill="1" applyBorder="1" applyAlignment="1">
      <alignment horizontal="right" vertical="center" wrapText="1" indent="1"/>
    </xf>
    <xf numFmtId="167" fontId="88" fillId="0" borderId="0" xfId="5" applyNumberFormat="1" applyFont="1" applyAlignment="1">
      <alignment vertical="center" wrapText="1"/>
    </xf>
    <xf numFmtId="0" fontId="89" fillId="0" borderId="28" xfId="2" applyFont="1" applyBorder="1" applyAlignment="1">
      <alignment horizontal="center" vertical="center"/>
    </xf>
    <xf numFmtId="164" fontId="83" fillId="25" borderId="63" xfId="1" applyFont="1" applyFill="1" applyBorder="1" applyAlignment="1">
      <alignment horizontal="right" vertical="center" wrapText="1" indent="1"/>
    </xf>
    <xf numFmtId="164" fontId="90" fillId="25" borderId="64" xfId="1" applyFont="1" applyFill="1" applyBorder="1" applyAlignment="1">
      <alignment horizontal="right" vertical="center" wrapText="1" indent="1"/>
    </xf>
    <xf numFmtId="164" fontId="83" fillId="25" borderId="63" xfId="1" applyFont="1" applyFill="1" applyBorder="1" applyAlignment="1">
      <alignment horizontal="right" vertical="center" wrapText="1"/>
    </xf>
    <xf numFmtId="164" fontId="83" fillId="25" borderId="15" xfId="1" applyFont="1" applyFill="1" applyBorder="1" applyAlignment="1">
      <alignment horizontal="right" vertical="center" wrapText="1"/>
    </xf>
    <xf numFmtId="2" fontId="83" fillId="25" borderId="62" xfId="5" applyNumberFormat="1" applyFont="1" applyFill="1" applyBorder="1" applyAlignment="1">
      <alignment horizontal="right" vertical="center" wrapText="1"/>
    </xf>
    <xf numFmtId="2" fontId="83" fillId="25" borderId="0" xfId="5" applyNumberFormat="1" applyFont="1" applyFill="1" applyAlignment="1">
      <alignment horizontal="right" vertical="center" wrapText="1"/>
    </xf>
    <xf numFmtId="166" fontId="75" fillId="26" borderId="31" xfId="5" applyNumberFormat="1" applyFont="1" applyFill="1" applyBorder="1" applyAlignment="1">
      <alignment horizontal="right" vertical="center" wrapText="1" indent="1"/>
    </xf>
    <xf numFmtId="166" fontId="75" fillId="26" borderId="32" xfId="5" applyNumberFormat="1" applyFont="1" applyFill="1" applyBorder="1" applyAlignment="1">
      <alignment horizontal="right" vertical="center" wrapText="1" indent="1"/>
    </xf>
    <xf numFmtId="164" fontId="83" fillId="25" borderId="70" xfId="1" applyFont="1" applyFill="1" applyBorder="1" applyAlignment="1">
      <alignment horizontal="right" vertical="center" wrapText="1"/>
    </xf>
    <xf numFmtId="2" fontId="83" fillId="25" borderId="67" xfId="5" applyNumberFormat="1" applyFont="1" applyFill="1" applyBorder="1" applyAlignment="1">
      <alignment horizontal="right" vertical="center" wrapText="1"/>
    </xf>
    <xf numFmtId="166" fontId="75" fillId="26" borderId="37" xfId="5" applyNumberFormat="1" applyFont="1" applyFill="1" applyBorder="1" applyAlignment="1">
      <alignment horizontal="right" vertical="center" wrapText="1" indent="1"/>
    </xf>
    <xf numFmtId="166" fontId="75" fillId="0" borderId="62" xfId="6" applyNumberFormat="1" applyFont="1" applyFill="1" applyBorder="1" applyAlignment="1">
      <alignment horizontal="right" vertical="center" wrapText="1" indent="1"/>
    </xf>
    <xf numFmtId="166" fontId="75" fillId="0" borderId="0" xfId="6" applyNumberFormat="1" applyFont="1" applyFill="1" applyBorder="1" applyAlignment="1">
      <alignment horizontal="right" vertical="center" wrapText="1" indent="1"/>
    </xf>
    <xf numFmtId="167" fontId="75" fillId="0" borderId="0" xfId="5" applyNumberFormat="1" applyFont="1" applyAlignment="1">
      <alignment vertical="center" wrapText="1"/>
    </xf>
    <xf numFmtId="0" fontId="91" fillId="0" borderId="28" xfId="2" applyFont="1" applyBorder="1" applyAlignment="1">
      <alignment horizontal="center" vertical="center"/>
    </xf>
    <xf numFmtId="0" fontId="18" fillId="30" borderId="12" xfId="3" applyFont="1" applyFill="1" applyBorder="1" applyAlignment="1">
      <alignment horizontal="left" vertical="center"/>
    </xf>
    <xf numFmtId="0" fontId="18" fillId="30" borderId="39" xfId="3" applyFont="1" applyFill="1" applyBorder="1" applyAlignment="1" applyProtection="1">
      <alignment horizontal="left" vertical="center" indent="1"/>
      <protection locked="0"/>
    </xf>
    <xf numFmtId="0" fontId="69" fillId="0" borderId="0" xfId="5" applyFont="1" applyAlignment="1">
      <alignment horizontal="center" vertical="center" textRotation="90"/>
    </xf>
    <xf numFmtId="0" fontId="30" fillId="0" borderId="0" xfId="5" applyFont="1" applyAlignment="1">
      <alignment horizontal="center" vertical="center" textRotation="90"/>
    </xf>
    <xf numFmtId="0" fontId="25" fillId="0" borderId="0" xfId="5" applyFont="1" applyAlignment="1">
      <alignment horizontal="center" textRotation="90"/>
    </xf>
    <xf numFmtId="0" fontId="10" fillId="0" borderId="0" xfId="4" applyFont="1" applyAlignment="1">
      <alignment horizontal="left" vertical="center"/>
    </xf>
    <xf numFmtId="0" fontId="8" fillId="0" borderId="0" xfId="5" applyFont="1" applyAlignment="1">
      <alignment horizontal="right" vertical="center"/>
    </xf>
    <xf numFmtId="0" fontId="5" fillId="0" borderId="0" xfId="3" applyFont="1" applyAlignment="1">
      <alignment vertical="center"/>
    </xf>
    <xf numFmtId="0" fontId="2" fillId="0" borderId="0" xfId="4" applyFont="1" applyAlignment="1">
      <alignment vertical="center"/>
    </xf>
    <xf numFmtId="0" fontId="29" fillId="0" borderId="0" xfId="4" applyFont="1" applyAlignment="1">
      <alignment vertical="center"/>
    </xf>
    <xf numFmtId="0" fontId="73" fillId="0" borderId="0" xfId="4" applyFont="1" applyAlignment="1">
      <alignment vertical="center"/>
    </xf>
    <xf numFmtId="0" fontId="24" fillId="0" borderId="0" xfId="4" applyFont="1" applyAlignment="1">
      <alignment vertical="center"/>
    </xf>
    <xf numFmtId="0" fontId="50" fillId="0" borderId="0" xfId="4" applyFont="1" applyAlignment="1">
      <alignment vertical="center"/>
    </xf>
    <xf numFmtId="10" fontId="50" fillId="0" borderId="0" xfId="6" applyNumberFormat="1" applyFont="1" applyFill="1" applyBorder="1" applyAlignment="1" applyProtection="1">
      <alignment vertical="center"/>
    </xf>
    <xf numFmtId="0" fontId="2" fillId="0" borderId="0" xfId="4" applyFont="1" applyAlignment="1">
      <alignment horizontal="left" vertical="center"/>
    </xf>
    <xf numFmtId="0" fontId="2" fillId="3" borderId="0" xfId="4" applyFont="1" applyFill="1" applyAlignment="1">
      <alignment horizontal="left" vertical="center"/>
    </xf>
    <xf numFmtId="0" fontId="5" fillId="3" borderId="1" xfId="4" applyFont="1" applyFill="1" applyBorder="1" applyAlignment="1">
      <alignment horizontal="left" vertical="center"/>
    </xf>
    <xf numFmtId="0" fontId="5" fillId="0" borderId="1" xfId="4" applyFont="1" applyBorder="1" applyAlignment="1">
      <alignment horizontal="left" vertical="center"/>
    </xf>
    <xf numFmtId="0" fontId="40" fillId="0" borderId="0" xfId="4" applyFont="1" applyAlignment="1">
      <alignment horizontal="left" vertical="center"/>
    </xf>
    <xf numFmtId="0" fontId="41" fillId="0" borderId="0" xfId="5" applyFont="1" applyAlignment="1">
      <alignment horizontal="left" vertical="center" textRotation="90"/>
    </xf>
    <xf numFmtId="0" fontId="65" fillId="0" borderId="0" xfId="5" applyFont="1" applyAlignment="1">
      <alignment horizontal="left" vertical="center"/>
    </xf>
    <xf numFmtId="0" fontId="41" fillId="0" borderId="0" xfId="5" applyFont="1" applyAlignment="1">
      <alignment horizontal="left" vertical="center"/>
    </xf>
    <xf numFmtId="0" fontId="53" fillId="0" borderId="0" xfId="5" applyFont="1" applyAlignment="1">
      <alignment horizontal="left" vertical="center"/>
    </xf>
    <xf numFmtId="0" fontId="40" fillId="0" borderId="0" xfId="5" applyFont="1" applyAlignment="1">
      <alignment horizontal="left" vertical="center"/>
    </xf>
    <xf numFmtId="0" fontId="2" fillId="0" borderId="1" xfId="4" applyFont="1" applyBorder="1" applyAlignment="1">
      <alignment horizontal="left" vertical="center"/>
    </xf>
    <xf numFmtId="0" fontId="18" fillId="3" borderId="0" xfId="5" applyFont="1" applyFill="1" applyAlignment="1">
      <alignment horizontal="left" vertical="center"/>
    </xf>
    <xf numFmtId="0" fontId="18" fillId="0" borderId="0" xfId="5" applyFont="1" applyAlignment="1">
      <alignment horizontal="left" vertical="center"/>
    </xf>
    <xf numFmtId="0" fontId="18" fillId="0" borderId="0" xfId="4" applyFont="1" applyAlignment="1">
      <alignment vertical="center"/>
    </xf>
    <xf numFmtId="0" fontId="18" fillId="0" borderId="0" xfId="4" applyFont="1" applyAlignment="1">
      <alignment horizontal="left" vertical="center"/>
    </xf>
    <xf numFmtId="3" fontId="18" fillId="0" borderId="0" xfId="4" applyNumberFormat="1" applyFont="1" applyAlignment="1">
      <alignment horizontal="right" vertical="center" indent="1"/>
    </xf>
    <xf numFmtId="0" fontId="92" fillId="0" borderId="10" xfId="4" applyFont="1" applyBorder="1" applyAlignment="1">
      <alignment vertical="center"/>
    </xf>
    <xf numFmtId="0" fontId="92" fillId="0" borderId="0" xfId="4" applyFont="1" applyAlignment="1">
      <alignment vertical="center"/>
    </xf>
    <xf numFmtId="0" fontId="0" fillId="30" borderId="0" xfId="0" applyFill="1"/>
    <xf numFmtId="165" fontId="5" fillId="30" borderId="0" xfId="1" applyNumberFormat="1" applyFont="1" applyFill="1" applyBorder="1" applyAlignment="1" applyProtection="1">
      <alignment horizontal="center" vertical="center" textRotation="91"/>
    </xf>
    <xf numFmtId="0" fontId="0" fillId="30" borderId="0" xfId="0" quotePrefix="1" applyFill="1"/>
    <xf numFmtId="3" fontId="5" fillId="30" borderId="0" xfId="5" applyNumberFormat="1" applyFont="1" applyFill="1" applyAlignment="1">
      <alignment horizontal="right" vertical="center"/>
    </xf>
    <xf numFmtId="0" fontId="7" fillId="5" borderId="0" xfId="4" applyFont="1" applyFill="1" applyAlignment="1">
      <alignment vertical="center"/>
    </xf>
    <xf numFmtId="0" fontId="5" fillId="8" borderId="0" xfId="5" applyFont="1" applyFill="1" applyAlignment="1">
      <alignment horizontal="left" vertical="center"/>
    </xf>
    <xf numFmtId="166" fontId="32" fillId="8" borderId="0" xfId="5" applyNumberFormat="1" applyFont="1" applyFill="1" applyAlignment="1">
      <alignment horizontal="center" vertical="center" wrapText="1"/>
    </xf>
    <xf numFmtId="166" fontId="31" fillId="8" borderId="0" xfId="5" applyNumberFormat="1" applyFont="1" applyFill="1" applyAlignment="1">
      <alignment horizontal="center" vertical="center" wrapText="1"/>
    </xf>
    <xf numFmtId="0" fontId="5" fillId="3" borderId="0" xfId="5" quotePrefix="1" applyFont="1" applyFill="1" applyAlignment="1">
      <alignment vertical="center"/>
    </xf>
    <xf numFmtId="0" fontId="10" fillId="5" borderId="0" xfId="3" applyFont="1" applyFill="1" applyAlignment="1">
      <alignment horizontal="center" vertical="center" wrapText="1"/>
    </xf>
    <xf numFmtId="166" fontId="70" fillId="9" borderId="79" xfId="6" applyNumberFormat="1" applyFont="1" applyFill="1" applyBorder="1" applyAlignment="1">
      <alignment horizontal="right" vertical="center" wrapText="1" indent="1"/>
    </xf>
    <xf numFmtId="168" fontId="83" fillId="4" borderId="80" xfId="6" applyNumberFormat="1" applyFont="1" applyFill="1" applyBorder="1" applyAlignment="1">
      <alignment horizontal="right" vertical="center" wrapText="1" indent="1"/>
    </xf>
    <xf numFmtId="168" fontId="83" fillId="4" borderId="81" xfId="1" applyNumberFormat="1" applyFont="1" applyFill="1" applyBorder="1" applyAlignment="1">
      <alignment horizontal="right" vertical="center" wrapText="1" indent="1"/>
    </xf>
    <xf numFmtId="168" fontId="83" fillId="4" borderId="82" xfId="6" applyNumberFormat="1" applyFont="1" applyFill="1" applyBorder="1" applyAlignment="1">
      <alignment horizontal="right" vertical="center" wrapText="1" indent="1"/>
    </xf>
    <xf numFmtId="166" fontId="75" fillId="0" borderId="68" xfId="6" applyNumberFormat="1" applyFont="1" applyFill="1" applyBorder="1" applyAlignment="1">
      <alignment horizontal="right" vertical="center" wrapText="1" indent="1"/>
    </xf>
    <xf numFmtId="164" fontId="83" fillId="25" borderId="69" xfId="1" applyFont="1" applyFill="1" applyBorder="1" applyAlignment="1">
      <alignment horizontal="right" vertical="center" wrapText="1" indent="1"/>
    </xf>
    <xf numFmtId="164" fontId="90" fillId="25" borderId="83" xfId="1" applyFont="1" applyFill="1" applyBorder="1" applyAlignment="1">
      <alignment horizontal="right" vertical="center" wrapText="1" indent="1"/>
    </xf>
    <xf numFmtId="164" fontId="83" fillId="25" borderId="69" xfId="1" applyFont="1" applyFill="1" applyBorder="1" applyAlignment="1">
      <alignment horizontal="right" vertical="center" wrapText="1"/>
    </xf>
    <xf numFmtId="2" fontId="83" fillId="25" borderId="68" xfId="5" applyNumberFormat="1" applyFont="1" applyFill="1" applyBorder="1" applyAlignment="1">
      <alignment horizontal="right" vertical="center" wrapText="1"/>
    </xf>
    <xf numFmtId="166" fontId="75" fillId="26" borderId="79" xfId="5" applyNumberFormat="1" applyFont="1" applyFill="1" applyBorder="1" applyAlignment="1">
      <alignment horizontal="right" vertical="center" wrapText="1" indent="1"/>
    </xf>
    <xf numFmtId="165" fontId="75" fillId="11" borderId="69" xfId="1" applyNumberFormat="1" applyFont="1" applyFill="1" applyBorder="1" applyAlignment="1">
      <alignment horizontal="right" vertical="center" wrapText="1" indent="1"/>
    </xf>
    <xf numFmtId="165" fontId="75" fillId="11" borderId="84" xfId="1" applyNumberFormat="1" applyFont="1" applyFill="1" applyBorder="1" applyAlignment="1">
      <alignment horizontal="right" vertical="center" wrapText="1" indent="1"/>
    </xf>
    <xf numFmtId="166" fontId="54" fillId="0" borderId="68" xfId="6" applyNumberFormat="1" applyFont="1" applyFill="1" applyBorder="1" applyAlignment="1">
      <alignment horizontal="right" vertical="center" wrapText="1" indent="1"/>
    </xf>
    <xf numFmtId="166" fontId="14" fillId="0" borderId="68" xfId="6" applyNumberFormat="1" applyFont="1" applyFill="1" applyBorder="1" applyAlignment="1">
      <alignment horizontal="right" vertical="center" wrapText="1" indent="1"/>
    </xf>
    <xf numFmtId="164" fontId="65" fillId="25" borderId="69" xfId="1" applyFont="1" applyFill="1" applyBorder="1" applyAlignment="1">
      <alignment horizontal="right" vertical="center" wrapText="1" indent="1"/>
    </xf>
    <xf numFmtId="164" fontId="81" fillId="25" borderId="83" xfId="1" applyFont="1" applyFill="1" applyBorder="1" applyAlignment="1">
      <alignment horizontal="right" vertical="center" wrapText="1" indent="1"/>
    </xf>
    <xf numFmtId="164" fontId="65" fillId="25" borderId="69" xfId="1" applyFont="1" applyFill="1" applyBorder="1" applyAlignment="1">
      <alignment horizontal="right" vertical="center" wrapText="1"/>
    </xf>
    <xf numFmtId="2" fontId="65" fillId="25" borderId="68" xfId="5" applyNumberFormat="1" applyFont="1" applyFill="1" applyBorder="1" applyAlignment="1">
      <alignment horizontal="right" vertical="center" wrapText="1"/>
    </xf>
    <xf numFmtId="166" fontId="70" fillId="26" borderId="79" xfId="5" applyNumberFormat="1" applyFont="1" applyFill="1" applyBorder="1" applyAlignment="1">
      <alignment horizontal="right" vertical="center" wrapText="1" indent="1"/>
    </xf>
    <xf numFmtId="173" fontId="5" fillId="30" borderId="0" xfId="5" applyNumberFormat="1" applyFont="1" applyFill="1" applyAlignment="1">
      <alignment horizontal="right" vertical="center"/>
    </xf>
    <xf numFmtId="4" fontId="5" fillId="30" borderId="0" xfId="5" quotePrefix="1" applyNumberFormat="1" applyFont="1" applyFill="1" applyAlignment="1">
      <alignment horizontal="right" vertical="center"/>
    </xf>
    <xf numFmtId="165" fontId="83" fillId="20" borderId="15" xfId="5" applyNumberFormat="1" applyFont="1" applyFill="1" applyBorder="1" applyAlignment="1">
      <alignment horizontal="right" vertical="center" indent="1"/>
    </xf>
    <xf numFmtId="165" fontId="83" fillId="20" borderId="0" xfId="5" applyNumberFormat="1" applyFont="1" applyFill="1" applyAlignment="1">
      <alignment horizontal="right" vertical="center" indent="1"/>
    </xf>
    <xf numFmtId="173" fontId="41" fillId="0" borderId="0" xfId="5" applyNumberFormat="1" applyFont="1" applyAlignment="1">
      <alignment horizontal="left" vertical="center" textRotation="90"/>
    </xf>
    <xf numFmtId="173" fontId="5" fillId="0" borderId="0" xfId="4" applyNumberFormat="1" applyFont="1" applyAlignment="1">
      <alignment vertical="center"/>
    </xf>
    <xf numFmtId="173" fontId="2" fillId="0" borderId="0" xfId="4" applyNumberFormat="1" applyFont="1" applyAlignment="1">
      <alignment horizontal="center" vertical="center"/>
    </xf>
    <xf numFmtId="173" fontId="0" fillId="0" borderId="0" xfId="0" applyNumberFormat="1"/>
    <xf numFmtId="175" fontId="50" fillId="0" borderId="0" xfId="6" applyNumberFormat="1" applyFont="1" applyFill="1" applyBorder="1" applyAlignment="1" applyProtection="1">
      <alignment vertical="center"/>
    </xf>
    <xf numFmtId="174" fontId="5" fillId="30" borderId="0" xfId="6" applyNumberFormat="1" applyFont="1" applyFill="1" applyBorder="1" applyAlignment="1" applyProtection="1">
      <alignment horizontal="center" vertical="center" textRotation="91"/>
    </xf>
    <xf numFmtId="4" fontId="83" fillId="11" borderId="29" xfId="5" applyNumberFormat="1" applyFont="1" applyFill="1" applyBorder="1" applyAlignment="1">
      <alignment vertical="center" wrapText="1"/>
    </xf>
    <xf numFmtId="0" fontId="51" fillId="0" borderId="0" xfId="3" applyFont="1" applyAlignment="1">
      <alignment horizontal="left" vertical="center"/>
    </xf>
    <xf numFmtId="0" fontId="18" fillId="0" borderId="0" xfId="4" applyFont="1" applyAlignment="1">
      <alignment horizontal="right" vertical="center"/>
    </xf>
    <xf numFmtId="0" fontId="93" fillId="8" borderId="43" xfId="2" applyFont="1" applyFill="1" applyBorder="1" applyAlignment="1">
      <alignment horizontal="center"/>
    </xf>
    <xf numFmtId="168" fontId="90" fillId="4" borderId="85" xfId="1" applyNumberFormat="1" applyFont="1" applyFill="1" applyBorder="1" applyAlignment="1">
      <alignment horizontal="right" vertical="center" wrapText="1" indent="1"/>
    </xf>
    <xf numFmtId="168" fontId="90" fillId="4" borderId="86" xfId="1" applyNumberFormat="1" applyFont="1" applyFill="1" applyBorder="1" applyAlignment="1">
      <alignment horizontal="right" vertical="center" wrapText="1" indent="1"/>
    </xf>
    <xf numFmtId="2" fontId="90" fillId="11" borderId="48" xfId="5" applyNumberFormat="1" applyFont="1" applyFill="1" applyBorder="1" applyAlignment="1">
      <alignment vertical="center" wrapText="1"/>
    </xf>
    <xf numFmtId="2" fontId="90" fillId="11" borderId="49" xfId="5" applyNumberFormat="1" applyFont="1" applyFill="1" applyBorder="1" applyAlignment="1">
      <alignment horizontal="left" vertical="center" wrapText="1" indent="1"/>
    </xf>
    <xf numFmtId="165" fontId="94" fillId="8" borderId="68" xfId="4" applyNumberFormat="1" applyFont="1" applyFill="1" applyBorder="1" applyAlignment="1">
      <alignment horizontal="right" vertical="center" indent="1"/>
    </xf>
    <xf numFmtId="4" fontId="90" fillId="4" borderId="85" xfId="1" applyNumberFormat="1" applyFont="1" applyFill="1" applyBorder="1" applyAlignment="1">
      <alignment horizontal="right" vertical="center" wrapText="1" indent="1"/>
    </xf>
    <xf numFmtId="166" fontId="95" fillId="8" borderId="22" xfId="5" applyNumberFormat="1" applyFont="1" applyFill="1" applyBorder="1" applyAlignment="1">
      <alignment horizontal="center" vertical="center" wrapText="1"/>
    </xf>
    <xf numFmtId="166" fontId="95" fillId="8" borderId="0" xfId="5" applyNumberFormat="1" applyFont="1" applyFill="1" applyAlignment="1">
      <alignment horizontal="center" vertical="center" wrapText="1"/>
    </xf>
    <xf numFmtId="0" fontId="96" fillId="8" borderId="21" xfId="5" applyFont="1" applyFill="1" applyBorder="1" applyAlignment="1">
      <alignment vertical="center" textRotation="90" wrapText="1"/>
    </xf>
    <xf numFmtId="168" fontId="90" fillId="4" borderId="87" xfId="1" applyNumberFormat="1" applyFont="1" applyFill="1" applyBorder="1" applyAlignment="1">
      <alignment horizontal="right" vertical="center" wrapText="1" indent="1"/>
    </xf>
    <xf numFmtId="0" fontId="97" fillId="8" borderId="0" xfId="5" applyFont="1" applyFill="1" applyAlignment="1">
      <alignment horizontal="center" vertical="center" textRotation="90"/>
    </xf>
    <xf numFmtId="0" fontId="98" fillId="0" borderId="0" xfId="0" applyFont="1"/>
    <xf numFmtId="0" fontId="99" fillId="0" borderId="0" xfId="0" applyFont="1"/>
    <xf numFmtId="0" fontId="65" fillId="8" borderId="0" xfId="5" applyFont="1" applyFill="1" applyAlignment="1">
      <alignment horizontal="left" vertical="center"/>
    </xf>
    <xf numFmtId="165" fontId="75" fillId="11" borderId="67" xfId="1" applyNumberFormat="1" applyFont="1" applyFill="1" applyBorder="1" applyAlignment="1">
      <alignment horizontal="right" vertical="center" wrapText="1" indent="1"/>
    </xf>
    <xf numFmtId="165" fontId="75" fillId="11" borderId="40" xfId="1" applyNumberFormat="1" applyFont="1" applyFill="1" applyBorder="1" applyAlignment="1">
      <alignment horizontal="right" vertical="center" wrapText="1" indent="1"/>
    </xf>
    <xf numFmtId="165" fontId="65" fillId="20" borderId="0" xfId="1" applyNumberFormat="1" applyFont="1" applyFill="1" applyBorder="1" applyAlignment="1">
      <alignment horizontal="right" vertical="center" indent="1"/>
    </xf>
    <xf numFmtId="166" fontId="65" fillId="20" borderId="28" xfId="6" applyNumberFormat="1" applyFont="1" applyFill="1" applyBorder="1" applyAlignment="1">
      <alignment horizontal="right" vertical="center" indent="1"/>
    </xf>
    <xf numFmtId="165" fontId="75" fillId="11" borderId="68" xfId="1" applyNumberFormat="1" applyFont="1" applyFill="1" applyBorder="1" applyAlignment="1">
      <alignment horizontal="right" vertical="center" wrapText="1" indent="1"/>
    </xf>
    <xf numFmtId="0" fontId="33" fillId="8" borderId="0" xfId="2" applyFont="1" applyFill="1" applyAlignment="1">
      <alignment horizontal="center"/>
    </xf>
    <xf numFmtId="165" fontId="75" fillId="11" borderId="0" xfId="1" applyNumberFormat="1" applyFont="1" applyFill="1" applyBorder="1" applyAlignment="1">
      <alignment horizontal="right" vertical="center" wrapText="1" indent="1"/>
    </xf>
    <xf numFmtId="166" fontId="65" fillId="20" borderId="0" xfId="6" applyNumberFormat="1" applyFont="1" applyFill="1" applyBorder="1" applyAlignment="1">
      <alignment horizontal="right" vertical="center" indent="1"/>
    </xf>
    <xf numFmtId="165" fontId="65" fillId="8" borderId="0" xfId="4" applyNumberFormat="1" applyFont="1" applyFill="1" applyAlignment="1">
      <alignment horizontal="right" vertical="center" indent="1"/>
    </xf>
    <xf numFmtId="0" fontId="5" fillId="0" borderId="4" xfId="4" applyFont="1" applyBorder="1" applyAlignment="1">
      <alignment vertical="center"/>
    </xf>
    <xf numFmtId="0" fontId="2" fillId="0" borderId="4" xfId="4" applyFont="1" applyBorder="1" applyAlignment="1">
      <alignment horizontal="center" vertical="center"/>
    </xf>
    <xf numFmtId="0" fontId="5" fillId="0" borderId="90" xfId="4" applyFont="1" applyBorder="1" applyAlignment="1">
      <alignment horizontal="left" vertical="center"/>
    </xf>
    <xf numFmtId="0" fontId="100" fillId="0" borderId="91" xfId="0" applyFont="1" applyBorder="1"/>
    <xf numFmtId="0" fontId="5" fillId="0" borderId="92" xfId="4" applyFont="1" applyBorder="1" applyAlignment="1">
      <alignment horizontal="left" vertical="center"/>
    </xf>
    <xf numFmtId="0" fontId="5" fillId="0" borderId="94" xfId="4" applyFont="1" applyBorder="1" applyAlignment="1">
      <alignment vertical="center"/>
    </xf>
    <xf numFmtId="0" fontId="2" fillId="0" borderId="94" xfId="4" applyFont="1" applyBorder="1" applyAlignment="1">
      <alignment horizontal="center" vertical="center"/>
    </xf>
    <xf numFmtId="0" fontId="5" fillId="0" borderId="95" xfId="4" applyFont="1" applyBorder="1" applyAlignment="1">
      <alignment horizontal="left" vertical="center"/>
    </xf>
    <xf numFmtId="0" fontId="2" fillId="0" borderId="89" xfId="4" applyFont="1" applyBorder="1" applyAlignment="1">
      <alignment vertical="center"/>
    </xf>
    <xf numFmtId="0" fontId="101" fillId="20" borderId="0" xfId="5" applyFont="1" applyFill="1" applyAlignment="1">
      <alignment horizontal="right" vertical="center" indent="1"/>
    </xf>
    <xf numFmtId="0" fontId="5" fillId="0" borderId="4" xfId="4" applyFont="1" applyBorder="1" applyAlignment="1">
      <alignment horizontal="left" vertical="center"/>
    </xf>
    <xf numFmtId="0" fontId="5" fillId="0" borderId="94" xfId="4" applyFont="1" applyBorder="1" applyAlignment="1">
      <alignment horizontal="left" vertical="center"/>
    </xf>
    <xf numFmtId="0" fontId="102" fillId="0" borderId="91" xfId="0" applyFont="1" applyBorder="1"/>
    <xf numFmtId="0" fontId="102" fillId="0" borderId="0" xfId="0" applyFont="1"/>
    <xf numFmtId="0" fontId="102" fillId="0" borderId="93" xfId="0" applyFont="1" applyBorder="1"/>
    <xf numFmtId="0" fontId="102" fillId="0" borderId="94" xfId="0" applyFont="1" applyBorder="1"/>
    <xf numFmtId="166" fontId="104" fillId="0" borderId="0" xfId="6" applyNumberFormat="1" applyFont="1" applyFill="1" applyBorder="1" applyAlignment="1" applyProtection="1">
      <alignment horizontal="center" vertical="center"/>
    </xf>
    <xf numFmtId="167" fontId="87" fillId="0" borderId="0" xfId="5" applyNumberFormat="1" applyFont="1" applyAlignment="1">
      <alignment horizontal="center" vertical="center" wrapText="1"/>
    </xf>
    <xf numFmtId="0" fontId="79" fillId="0" borderId="0" xfId="5" applyFont="1" applyAlignment="1">
      <alignment horizontal="center" vertical="center" textRotation="90"/>
    </xf>
    <xf numFmtId="3" fontId="105" fillId="31" borderId="0" xfId="1" applyNumberFormat="1" applyFont="1" applyFill="1" applyBorder="1" applyAlignment="1">
      <alignment horizontal="center" vertical="center"/>
    </xf>
    <xf numFmtId="0" fontId="25" fillId="0" borderId="97" xfId="5" applyFont="1" applyBorder="1" applyAlignment="1">
      <alignment horizontal="center" vertical="center" textRotation="90"/>
    </xf>
    <xf numFmtId="0" fontId="106" fillId="0" borderId="0" xfId="0" applyFont="1" applyAlignment="1">
      <alignment vertical="center" textRotation="90" wrapText="1"/>
    </xf>
    <xf numFmtId="0" fontId="109" fillId="0" borderId="0" xfId="0" applyFont="1" applyAlignment="1">
      <alignment vertical="center"/>
    </xf>
    <xf numFmtId="3" fontId="99" fillId="0" borderId="99" xfId="1" applyNumberFormat="1" applyFont="1" applyFill="1" applyBorder="1" applyAlignment="1">
      <alignment horizontal="center" vertical="center"/>
    </xf>
    <xf numFmtId="0" fontId="110" fillId="0" borderId="0" xfId="0" applyFont="1" applyAlignment="1">
      <alignment horizontal="left" vertical="center" indent="2"/>
    </xf>
    <xf numFmtId="3" fontId="51" fillId="0" borderId="99" xfId="1" applyNumberFormat="1" applyFont="1" applyFill="1" applyBorder="1" applyAlignment="1">
      <alignment horizontal="center" vertical="center"/>
    </xf>
    <xf numFmtId="0" fontId="111" fillId="0" borderId="101" xfId="0" applyFont="1" applyBorder="1" applyAlignment="1">
      <alignment vertical="center"/>
    </xf>
    <xf numFmtId="3" fontId="51" fillId="0" borderId="102" xfId="1" applyNumberFormat="1" applyFont="1" applyFill="1" applyBorder="1" applyAlignment="1">
      <alignment horizontal="center" vertical="center"/>
    </xf>
    <xf numFmtId="0" fontId="107" fillId="0" borderId="0" xfId="0" applyFont="1" applyAlignment="1">
      <alignment vertical="center"/>
    </xf>
    <xf numFmtId="0" fontId="25" fillId="0" borderId="104" xfId="5" applyFont="1" applyBorder="1" applyAlignment="1">
      <alignment horizontal="center" vertical="center" textRotation="90"/>
    </xf>
    <xf numFmtId="0" fontId="106" fillId="0" borderId="96" xfId="0" applyFont="1" applyBorder="1" applyAlignment="1">
      <alignment vertical="center" textRotation="90" wrapText="1"/>
    </xf>
    <xf numFmtId="3" fontId="51" fillId="0" borderId="106" xfId="1" applyNumberFormat="1" applyFont="1" applyFill="1" applyBorder="1" applyAlignment="1">
      <alignment horizontal="center" vertical="center"/>
    </xf>
    <xf numFmtId="3" fontId="105" fillId="31" borderId="107" xfId="1" applyNumberFormat="1" applyFont="1" applyFill="1" applyBorder="1" applyAlignment="1">
      <alignment horizontal="center" vertical="center"/>
    </xf>
    <xf numFmtId="0" fontId="105" fillId="0" borderId="0" xfId="0" applyFont="1" applyAlignment="1">
      <alignment horizontal="center" vertical="center" wrapText="1"/>
    </xf>
    <xf numFmtId="3" fontId="105" fillId="0" borderId="0" xfId="1" applyNumberFormat="1" applyFont="1" applyFill="1" applyBorder="1" applyAlignment="1">
      <alignment horizontal="center" vertical="center"/>
    </xf>
    <xf numFmtId="0" fontId="68" fillId="7" borderId="39" xfId="5" applyFont="1" applyFill="1" applyBorder="1" applyAlignment="1">
      <alignment horizontal="left" vertical="center"/>
    </xf>
    <xf numFmtId="0" fontId="25" fillId="0" borderId="0" xfId="5" applyFont="1" applyAlignment="1">
      <alignment horizontal="center" vertical="center"/>
    </xf>
    <xf numFmtId="3" fontId="51" fillId="0" borderId="101" xfId="1" applyNumberFormat="1" applyFont="1" applyFill="1" applyBorder="1" applyAlignment="1">
      <alignment horizontal="center" vertical="center"/>
    </xf>
    <xf numFmtId="3" fontId="99" fillId="0" borderId="108" xfId="1" applyNumberFormat="1" applyFont="1" applyFill="1" applyBorder="1" applyAlignment="1">
      <alignment horizontal="center" vertical="center"/>
    </xf>
    <xf numFmtId="3" fontId="51" fillId="0" borderId="108" xfId="1" applyNumberFormat="1" applyFont="1" applyFill="1" applyBorder="1" applyAlignment="1">
      <alignment horizontal="center" vertical="center"/>
    </xf>
    <xf numFmtId="3" fontId="51" fillId="0" borderId="109" xfId="1" applyNumberFormat="1" applyFont="1" applyFill="1" applyBorder="1" applyAlignment="1">
      <alignment horizontal="center" vertical="center"/>
    </xf>
    <xf numFmtId="3" fontId="51" fillId="0" borderId="110" xfId="1" applyNumberFormat="1" applyFont="1" applyFill="1" applyBorder="1" applyAlignment="1">
      <alignment horizontal="center" vertical="center"/>
    </xf>
    <xf numFmtId="0" fontId="7" fillId="0" borderId="111" xfId="4" applyFont="1" applyBorder="1" applyAlignment="1">
      <alignment vertical="center"/>
    </xf>
    <xf numFmtId="3" fontId="99" fillId="0" borderId="112" xfId="1" applyNumberFormat="1" applyFont="1" applyFill="1" applyBorder="1" applyAlignment="1">
      <alignment horizontal="center" vertical="center"/>
    </xf>
    <xf numFmtId="3" fontId="105" fillId="31" borderId="114" xfId="1" applyNumberFormat="1" applyFont="1" applyFill="1" applyBorder="1" applyAlignment="1">
      <alignment horizontal="center" vertical="center"/>
    </xf>
    <xf numFmtId="0" fontId="108" fillId="0" borderId="116" xfId="0" applyFont="1" applyBorder="1" applyAlignment="1">
      <alignment vertical="center"/>
    </xf>
    <xf numFmtId="0" fontId="7" fillId="0" borderId="94" xfId="4" applyFont="1" applyBorder="1" applyAlignment="1">
      <alignment vertical="center"/>
    </xf>
    <xf numFmtId="3" fontId="105" fillId="31" borderId="117" xfId="1" applyNumberFormat="1" applyFont="1" applyFill="1" applyBorder="1" applyAlignment="1">
      <alignment horizontal="center" vertical="center"/>
    </xf>
    <xf numFmtId="3" fontId="99" fillId="0" borderId="118" xfId="1" applyNumberFormat="1" applyFont="1" applyFill="1" applyBorder="1" applyAlignment="1">
      <alignment horizontal="center" vertical="center"/>
    </xf>
    <xf numFmtId="3" fontId="25" fillId="0" borderId="0" xfId="5" applyNumberFormat="1" applyFont="1" applyAlignment="1">
      <alignment vertical="center" textRotation="90"/>
    </xf>
    <xf numFmtId="0" fontId="68" fillId="7" borderId="39" xfId="5" applyFont="1" applyFill="1" applyBorder="1" applyAlignment="1">
      <alignment horizontal="left" vertical="center" indent="3"/>
    </xf>
    <xf numFmtId="0" fontId="68" fillId="7" borderId="39" xfId="5" applyFont="1" applyFill="1" applyBorder="1" applyAlignment="1">
      <alignment horizontal="left" vertical="center" indent="5"/>
    </xf>
    <xf numFmtId="0" fontId="68" fillId="7" borderId="39" xfId="5" applyFont="1" applyFill="1" applyBorder="1" applyAlignment="1">
      <alignment horizontal="left" vertical="center" indent="8"/>
    </xf>
    <xf numFmtId="0" fontId="112" fillId="0" borderId="0" xfId="5" applyFont="1" applyAlignment="1">
      <alignment horizontal="left" vertical="center"/>
    </xf>
    <xf numFmtId="0" fontId="16" fillId="0" borderId="0" xfId="4" applyFont="1" applyAlignment="1">
      <alignment vertical="center"/>
    </xf>
    <xf numFmtId="0" fontId="112" fillId="0" borderId="0" xfId="5" applyFont="1" applyAlignment="1">
      <alignment horizontal="left" vertical="center" textRotation="90"/>
    </xf>
    <xf numFmtId="0" fontId="113" fillId="7" borderId="39" xfId="5" applyFont="1" applyFill="1" applyBorder="1" applyAlignment="1">
      <alignment horizontal="left" vertical="center" indent="5"/>
    </xf>
    <xf numFmtId="0" fontId="113" fillId="7" borderId="39" xfId="5" applyFont="1" applyFill="1" applyBorder="1" applyAlignment="1">
      <alignment horizontal="left" vertical="center"/>
    </xf>
    <xf numFmtId="3" fontId="37" fillId="6" borderId="14" xfId="5" applyNumberFormat="1" applyFont="1" applyFill="1" applyBorder="1" applyAlignment="1">
      <alignment horizontal="right" vertical="center" wrapText="1" indent="1"/>
    </xf>
    <xf numFmtId="3" fontId="37" fillId="7" borderId="15" xfId="5" applyNumberFormat="1" applyFont="1" applyFill="1" applyBorder="1" applyAlignment="1">
      <alignment horizontal="right" vertical="center" wrapText="1" indent="1"/>
    </xf>
    <xf numFmtId="166" fontId="37" fillId="7" borderId="15" xfId="5" applyNumberFormat="1" applyFont="1" applyFill="1" applyBorder="1" applyAlignment="1">
      <alignment horizontal="right" vertical="center" wrapText="1" indent="1"/>
    </xf>
    <xf numFmtId="3" fontId="37" fillId="0" borderId="0" xfId="4" applyNumberFormat="1" applyFont="1" applyAlignment="1">
      <alignment horizontal="right" vertical="center" indent="1"/>
    </xf>
    <xf numFmtId="0" fontId="16" fillId="0" borderId="10" xfId="4" applyFont="1" applyBorder="1" applyAlignment="1">
      <alignment vertical="center"/>
    </xf>
    <xf numFmtId="0" fontId="5" fillId="0" borderId="0" xfId="4" applyFont="1" applyAlignment="1">
      <alignment horizontal="center" vertical="center"/>
    </xf>
    <xf numFmtId="0" fontId="114" fillId="0" borderId="0" xfId="5" applyFont="1" applyAlignment="1">
      <alignment horizontal="center" vertical="center" textRotation="90"/>
    </xf>
    <xf numFmtId="0" fontId="114" fillId="0" borderId="9" xfId="5" applyFont="1" applyBorder="1" applyAlignment="1">
      <alignment horizontal="center" vertical="center" textRotation="90"/>
    </xf>
    <xf numFmtId="0" fontId="114" fillId="8" borderId="0" xfId="5" applyFont="1" applyFill="1" applyAlignment="1">
      <alignment horizontal="center" vertical="center" textRotation="90"/>
    </xf>
    <xf numFmtId="0" fontId="113" fillId="7" borderId="39" xfId="5" applyFont="1" applyFill="1" applyBorder="1" applyAlignment="1">
      <alignment horizontal="left" vertical="center" indent="3"/>
    </xf>
    <xf numFmtId="0" fontId="113" fillId="7" borderId="39" xfId="5" applyFont="1" applyFill="1" applyBorder="1" applyAlignment="1">
      <alignment horizontal="left" vertical="center" indent="8"/>
    </xf>
    <xf numFmtId="0" fontId="68" fillId="7" borderId="39" xfId="5" applyFont="1" applyFill="1" applyBorder="1" applyAlignment="1">
      <alignment horizontal="left" vertical="center" indent="10"/>
    </xf>
    <xf numFmtId="0" fontId="39" fillId="13" borderId="3" xfId="3" applyFont="1" applyFill="1" applyBorder="1" applyAlignment="1" applyProtection="1">
      <alignment horizontal="left" vertical="center"/>
      <protection locked="0"/>
    </xf>
    <xf numFmtId="0" fontId="14" fillId="8" borderId="0" xfId="5" applyFont="1" applyFill="1" applyAlignment="1">
      <alignment horizontal="center" vertical="center"/>
    </xf>
    <xf numFmtId="0" fontId="83" fillId="11" borderId="13" xfId="5" applyFont="1" applyFill="1" applyBorder="1" applyAlignment="1">
      <alignment horizontal="left" vertical="center" wrapText="1" indent="2"/>
    </xf>
    <xf numFmtId="0" fontId="83" fillId="11" borderId="71" xfId="5" applyFont="1" applyFill="1" applyBorder="1" applyAlignment="1">
      <alignment horizontal="left" vertical="center" wrapText="1" indent="2"/>
    </xf>
    <xf numFmtId="0" fontId="83" fillId="11" borderId="15" xfId="5" applyFont="1" applyFill="1" applyBorder="1" applyAlignment="1">
      <alignment horizontal="left" vertical="center" wrapText="1" indent="4"/>
    </xf>
    <xf numFmtId="0" fontId="83" fillId="11" borderId="50" xfId="5" applyFont="1" applyFill="1" applyBorder="1" applyAlignment="1">
      <alignment horizontal="left" vertical="center" wrapText="1" indent="4"/>
    </xf>
    <xf numFmtId="0" fontId="83" fillId="11" borderId="39" xfId="5" applyFont="1" applyFill="1" applyBorder="1" applyAlignment="1">
      <alignment horizontal="left" vertical="center" wrapText="1" indent="4"/>
    </xf>
    <xf numFmtId="0" fontId="83" fillId="11" borderId="52" xfId="5" applyFont="1" applyFill="1" applyBorder="1" applyAlignment="1">
      <alignment horizontal="left" vertical="center" wrapText="1" indent="4"/>
    </xf>
    <xf numFmtId="0" fontId="75" fillId="27" borderId="31" xfId="5" applyFont="1" applyFill="1" applyBorder="1" applyAlignment="1">
      <alignment horizontal="right" vertical="center" wrapText="1" indent="1"/>
    </xf>
    <xf numFmtId="0" fontId="75" fillId="27" borderId="32" xfId="5" applyFont="1" applyFill="1" applyBorder="1" applyAlignment="1">
      <alignment horizontal="right" vertical="center" wrapText="1" indent="1"/>
    </xf>
    <xf numFmtId="0" fontId="75" fillId="27" borderId="38" xfId="5" applyFont="1" applyFill="1" applyBorder="1" applyAlignment="1">
      <alignment horizontal="right" vertical="center" wrapText="1" indent="1"/>
    </xf>
    <xf numFmtId="0" fontId="12" fillId="17" borderId="0" xfId="3" applyFont="1" applyFill="1" applyAlignment="1">
      <alignment horizontal="center" vertical="center"/>
    </xf>
    <xf numFmtId="0" fontId="70" fillId="18" borderId="31" xfId="3" applyFont="1" applyFill="1" applyBorder="1" applyAlignment="1">
      <alignment horizontal="left" vertical="center" indent="1"/>
    </xf>
    <xf numFmtId="0" fontId="70" fillId="18" borderId="32" xfId="3" applyFont="1" applyFill="1" applyBorder="1" applyAlignment="1">
      <alignment horizontal="left" vertical="center" indent="1"/>
    </xf>
    <xf numFmtId="0" fontId="70" fillId="18" borderId="38" xfId="3" applyFont="1" applyFill="1" applyBorder="1" applyAlignment="1">
      <alignment horizontal="left" vertical="center" indent="1"/>
    </xf>
    <xf numFmtId="0" fontId="84" fillId="8" borderId="77" xfId="5" applyFont="1" applyFill="1" applyBorder="1" applyAlignment="1">
      <alignment horizontal="center" vertical="center" textRotation="90" wrapText="1"/>
    </xf>
    <xf numFmtId="0" fontId="84" fillId="8" borderId="28" xfId="5" applyFont="1" applyFill="1" applyBorder="1" applyAlignment="1">
      <alignment horizontal="center" vertical="center" textRotation="90" wrapText="1"/>
    </xf>
    <xf numFmtId="0" fontId="84" fillId="8" borderId="57" xfId="5" applyFont="1" applyFill="1" applyBorder="1" applyAlignment="1">
      <alignment horizontal="center" vertical="center" textRotation="90" wrapText="1"/>
    </xf>
    <xf numFmtId="0" fontId="83" fillId="11" borderId="76" xfId="5" applyFont="1" applyFill="1" applyBorder="1" applyAlignment="1">
      <alignment horizontal="left" vertical="center" wrapText="1" indent="2"/>
    </xf>
    <xf numFmtId="0" fontId="83" fillId="11" borderId="42" xfId="5" applyFont="1" applyFill="1" applyBorder="1" applyAlignment="1">
      <alignment horizontal="left" vertical="center" wrapText="1" indent="2"/>
    </xf>
    <xf numFmtId="0" fontId="83" fillId="11" borderId="76" xfId="5" applyFont="1" applyFill="1" applyBorder="1" applyAlignment="1">
      <alignment horizontal="left" vertical="center" wrapText="1" indent="1"/>
    </xf>
    <xf numFmtId="0" fontId="83" fillId="11" borderId="42" xfId="5" applyFont="1" applyFill="1" applyBorder="1" applyAlignment="1">
      <alignment horizontal="left" vertical="center" wrapText="1" indent="1"/>
    </xf>
    <xf numFmtId="0" fontId="83" fillId="11" borderId="54" xfId="5" applyFont="1" applyFill="1" applyBorder="1" applyAlignment="1">
      <alignment horizontal="left" vertical="center" wrapText="1" indent="1"/>
    </xf>
    <xf numFmtId="0" fontId="83" fillId="11" borderId="55" xfId="5" applyFont="1" applyFill="1" applyBorder="1" applyAlignment="1">
      <alignment horizontal="left" vertical="center" wrapText="1" indent="1"/>
    </xf>
    <xf numFmtId="0" fontId="81" fillId="11" borderId="39" xfId="5" applyFont="1" applyFill="1" applyBorder="1" applyAlignment="1">
      <alignment horizontal="left" vertical="center" wrapText="1" indent="4"/>
    </xf>
    <xf numFmtId="0" fontId="81" fillId="11" borderId="52" xfId="5" applyFont="1" applyFill="1" applyBorder="1" applyAlignment="1">
      <alignment horizontal="left" vertical="center" wrapText="1" indent="4"/>
    </xf>
    <xf numFmtId="0" fontId="81" fillId="11" borderId="54" xfId="5" applyFont="1" applyFill="1" applyBorder="1" applyAlignment="1">
      <alignment horizontal="left" vertical="center" wrapText="1" indent="4"/>
    </xf>
    <xf numFmtId="0" fontId="81" fillId="11" borderId="55" xfId="5" applyFont="1" applyFill="1" applyBorder="1" applyAlignment="1">
      <alignment horizontal="left" vertical="center" wrapText="1" indent="4"/>
    </xf>
    <xf numFmtId="3" fontId="25" fillId="0" borderId="0" xfId="5" applyNumberFormat="1" applyFont="1" applyAlignment="1">
      <alignment horizontal="center" vertical="center" textRotation="90"/>
    </xf>
    <xf numFmtId="3" fontId="25" fillId="0" borderId="0" xfId="5" applyNumberFormat="1" applyFont="1" applyAlignment="1">
      <alignment horizontal="right" vertical="center" textRotation="90"/>
    </xf>
    <xf numFmtId="0" fontId="10" fillId="8" borderId="0" xfId="5" applyFont="1" applyFill="1" applyAlignment="1">
      <alignment horizontal="center" vertical="center"/>
    </xf>
    <xf numFmtId="0" fontId="105" fillId="31" borderId="107" xfId="0" applyFont="1" applyFill="1" applyBorder="1" applyAlignment="1">
      <alignment horizontal="center" vertical="center" wrapText="1"/>
    </xf>
    <xf numFmtId="0" fontId="17" fillId="23" borderId="30" xfId="3" applyFont="1" applyFill="1" applyBorder="1" applyAlignment="1">
      <alignment horizontal="center" vertical="center" wrapText="1"/>
    </xf>
    <xf numFmtId="0" fontId="17" fillId="23" borderId="0" xfId="3" applyFont="1" applyFill="1" applyAlignment="1">
      <alignment horizontal="center" vertical="center" wrapText="1"/>
    </xf>
    <xf numFmtId="0" fontId="17" fillId="23" borderId="40" xfId="3" applyFont="1" applyFill="1" applyBorder="1" applyAlignment="1">
      <alignment horizontal="center" vertical="center" wrapText="1"/>
    </xf>
    <xf numFmtId="0" fontId="68" fillId="7" borderId="39" xfId="5" applyFont="1" applyFill="1" applyBorder="1" applyAlignment="1">
      <alignment horizontal="left" vertical="center"/>
    </xf>
    <xf numFmtId="0" fontId="98" fillId="0" borderId="0" xfId="0" applyFont="1" applyAlignment="1">
      <alignment horizontal="center"/>
    </xf>
    <xf numFmtId="0" fontId="68" fillId="28" borderId="39" xfId="5" applyFont="1" applyFill="1" applyBorder="1" applyAlignment="1">
      <alignment horizontal="left" vertical="center" indent="4"/>
    </xf>
    <xf numFmtId="0" fontId="90" fillId="11" borderId="88" xfId="5" applyFont="1" applyFill="1" applyBorder="1" applyAlignment="1">
      <alignment horizontal="left" vertical="center" wrapText="1" indent="5"/>
    </xf>
    <xf numFmtId="0" fontId="90" fillId="11" borderId="39" xfId="5" applyFont="1" applyFill="1" applyBorder="1" applyAlignment="1">
      <alignment horizontal="left" vertical="center" wrapText="1" indent="5"/>
    </xf>
    <xf numFmtId="0" fontId="90" fillId="11" borderId="52" xfId="5" applyFont="1" applyFill="1" applyBorder="1" applyAlignment="1">
      <alignment horizontal="left" vertical="center" wrapText="1" indent="5"/>
    </xf>
    <xf numFmtId="167" fontId="87" fillId="8" borderId="44" xfId="5" applyNumberFormat="1" applyFont="1" applyFill="1" applyBorder="1" applyAlignment="1">
      <alignment horizontal="left" vertical="center" wrapText="1" indent="2"/>
    </xf>
    <xf numFmtId="167" fontId="87" fillId="8" borderId="44" xfId="5" applyNumberFormat="1" applyFont="1" applyFill="1" applyBorder="1" applyAlignment="1">
      <alignment horizontal="left" vertical="center" wrapText="1" indent="1"/>
    </xf>
    <xf numFmtId="0" fontId="75" fillId="6" borderId="0" xfId="5" applyFont="1" applyFill="1" applyAlignment="1">
      <alignment horizontal="left" vertical="center" wrapText="1" indent="3"/>
    </xf>
    <xf numFmtId="0" fontId="66" fillId="16" borderId="0" xfId="3" applyFont="1" applyFill="1" applyAlignment="1">
      <alignment horizontal="center" vertical="center"/>
    </xf>
    <xf numFmtId="0" fontId="67" fillId="16" borderId="0" xfId="3" applyFont="1" applyFill="1" applyAlignment="1">
      <alignment horizontal="center" vertical="center"/>
    </xf>
    <xf numFmtId="0" fontId="68" fillId="7" borderId="15" xfId="5" applyFont="1" applyFill="1" applyBorder="1" applyAlignment="1">
      <alignment horizontal="left" vertical="center"/>
    </xf>
    <xf numFmtId="0" fontId="75" fillId="22" borderId="30" xfId="3" applyFont="1" applyFill="1" applyBorder="1" applyAlignment="1">
      <alignment horizontal="center" vertical="center" wrapText="1"/>
    </xf>
    <xf numFmtId="0" fontId="75" fillId="22" borderId="0" xfId="3" applyFont="1" applyFill="1" applyAlignment="1">
      <alignment horizontal="center" vertical="center" wrapText="1"/>
    </xf>
    <xf numFmtId="0" fontId="75" fillId="22" borderId="5" xfId="3" applyFont="1" applyFill="1" applyBorder="1" applyAlignment="1">
      <alignment horizontal="center" vertical="center" wrapText="1"/>
    </xf>
    <xf numFmtId="3" fontId="70" fillId="9" borderId="31" xfId="3" applyNumberFormat="1" applyFont="1" applyFill="1" applyBorder="1" applyAlignment="1">
      <alignment horizontal="left" vertical="center" wrapText="1"/>
    </xf>
    <xf numFmtId="3" fontId="70" fillId="9" borderId="32" xfId="3" applyNumberFormat="1" applyFont="1" applyFill="1" applyBorder="1" applyAlignment="1">
      <alignment horizontal="left" vertical="center" wrapText="1"/>
    </xf>
    <xf numFmtId="0" fontId="68" fillId="28" borderId="39" xfId="5" applyFont="1" applyFill="1" applyBorder="1" applyAlignment="1">
      <alignment horizontal="left" vertical="center" indent="6"/>
    </xf>
    <xf numFmtId="0" fontId="103" fillId="0" borderId="0" xfId="5" applyFont="1" applyAlignment="1">
      <alignment horizontal="left"/>
    </xf>
    <xf numFmtId="0" fontId="107" fillId="0" borderId="98" xfId="0" applyFont="1" applyBorder="1" applyAlignment="1">
      <alignment horizontal="center" vertical="center" wrapText="1"/>
    </xf>
    <xf numFmtId="0" fontId="107" fillId="0" borderId="100" xfId="0" applyFont="1" applyBorder="1" applyAlignment="1">
      <alignment horizontal="center" vertical="center" wrapText="1"/>
    </xf>
    <xf numFmtId="0" fontId="113" fillId="7" borderId="39" xfId="5" applyFont="1" applyFill="1" applyBorder="1" applyAlignment="1">
      <alignment horizontal="left" vertical="center" indent="3"/>
    </xf>
    <xf numFmtId="0" fontId="105" fillId="31" borderId="115" xfId="0" applyFont="1" applyFill="1" applyBorder="1" applyAlignment="1">
      <alignment horizontal="center" vertical="center" wrapText="1"/>
    </xf>
    <xf numFmtId="0" fontId="105" fillId="31" borderId="113" xfId="0" applyFont="1" applyFill="1" applyBorder="1" applyAlignment="1">
      <alignment horizontal="center" vertical="center" wrapText="1"/>
    </xf>
    <xf numFmtId="0" fontId="75" fillId="6" borderId="0" xfId="5" applyFont="1" applyFill="1" applyAlignment="1">
      <alignment horizontal="left" vertical="center" wrapText="1" indent="1"/>
    </xf>
    <xf numFmtId="0" fontId="113" fillId="7" borderId="39" xfId="5" applyFont="1" applyFill="1" applyBorder="1" applyAlignment="1">
      <alignment horizontal="left" vertical="center" indent="5"/>
    </xf>
    <xf numFmtId="0" fontId="68" fillId="7" borderId="39" xfId="5" applyFont="1" applyFill="1" applyBorder="1" applyAlignment="1">
      <alignment horizontal="left" vertical="center" indent="5"/>
    </xf>
    <xf numFmtId="0" fontId="107" fillId="0" borderId="103" xfId="0" applyFont="1" applyBorder="1" applyAlignment="1">
      <alignment horizontal="center" vertical="center" wrapText="1"/>
    </xf>
    <xf numFmtId="0" fontId="107" fillId="0" borderId="105" xfId="0" applyFont="1" applyBorder="1" applyAlignment="1">
      <alignment horizontal="center" vertical="center" wrapText="1"/>
    </xf>
    <xf numFmtId="0" fontId="70" fillId="18" borderId="33" xfId="3" applyFont="1" applyFill="1" applyBorder="1" applyAlignment="1">
      <alignment horizontal="left" vertical="center" indent="1"/>
    </xf>
    <xf numFmtId="0" fontId="70" fillId="18" borderId="31" xfId="3" applyFont="1" applyFill="1" applyBorder="1" applyAlignment="1">
      <alignment horizontal="left" vertical="center"/>
    </xf>
    <xf numFmtId="0" fontId="70" fillId="18" borderId="32" xfId="3" applyFont="1" applyFill="1" applyBorder="1" applyAlignment="1">
      <alignment horizontal="left" vertical="center"/>
    </xf>
    <xf numFmtId="0" fontId="70" fillId="18" borderId="33" xfId="3" applyFont="1" applyFill="1" applyBorder="1" applyAlignment="1">
      <alignment horizontal="left" vertical="center"/>
    </xf>
    <xf numFmtId="0" fontId="70" fillId="18" borderId="119" xfId="3" applyFont="1" applyFill="1" applyBorder="1" applyAlignment="1">
      <alignment horizontal="left" vertical="center"/>
    </xf>
    <xf numFmtId="0" fontId="70" fillId="18" borderId="120" xfId="3" applyFont="1" applyFill="1" applyBorder="1" applyAlignment="1">
      <alignment horizontal="left" vertical="center"/>
    </xf>
    <xf numFmtId="0" fontId="70" fillId="18" borderId="121" xfId="3" applyFont="1" applyFill="1" applyBorder="1" applyAlignment="1">
      <alignment horizontal="left" vertical="center"/>
    </xf>
    <xf numFmtId="0" fontId="62" fillId="16" borderId="0" xfId="3" applyFont="1" applyFill="1" applyAlignment="1">
      <alignment horizontal="center" vertical="center"/>
    </xf>
    <xf numFmtId="0" fontId="44" fillId="16" borderId="0" xfId="3" applyFont="1" applyFill="1" applyAlignment="1">
      <alignment horizontal="center" vertical="center"/>
    </xf>
    <xf numFmtId="0" fontId="27" fillId="3" borderId="0" xfId="4" applyFont="1" applyFill="1" applyAlignment="1">
      <alignment horizontal="center" vertical="center"/>
    </xf>
    <xf numFmtId="0" fontId="2" fillId="24" borderId="18" xfId="4" applyFont="1" applyFill="1" applyBorder="1" applyAlignment="1">
      <alignment horizontal="center" vertical="center"/>
    </xf>
    <xf numFmtId="0" fontId="2" fillId="24" borderId="19" xfId="4" applyFont="1" applyFill="1" applyBorder="1" applyAlignment="1">
      <alignment horizontal="center" vertical="center"/>
    </xf>
    <xf numFmtId="0" fontId="2" fillId="24" borderId="20" xfId="4" applyFont="1" applyFill="1" applyBorder="1" applyAlignment="1">
      <alignment horizontal="center" vertical="center"/>
    </xf>
    <xf numFmtId="0" fontId="63" fillId="0" borderId="17" xfId="5" applyFont="1" applyBorder="1" applyAlignment="1">
      <alignment horizontal="center"/>
    </xf>
    <xf numFmtId="3" fontId="63" fillId="0" borderId="17" xfId="5" applyNumberFormat="1" applyFont="1" applyBorder="1" applyAlignment="1">
      <alignment horizontal="center"/>
    </xf>
  </cellXfs>
  <cellStyles count="7">
    <cellStyle name="Milliers" xfId="1" builtinId="3"/>
    <cellStyle name="Normal" xfId="0" builtinId="0"/>
    <cellStyle name="Normal 10" xfId="2" xr:uid="{00000000-0005-0000-0000-000002000000}"/>
    <cellStyle name="Normal 2" xfId="3" xr:uid="{00000000-0005-0000-0000-000003000000}"/>
    <cellStyle name="Normal 3 2" xfId="4" xr:uid="{00000000-0005-0000-0000-000004000000}"/>
    <cellStyle name="Normal_Copie de CRD_CRC_domaine TER_ergo" xfId="5" xr:uid="{00000000-0005-0000-0000-000005000000}"/>
    <cellStyle name="Pourcentage" xfId="6" builtinId="5"/>
  </cellStyles>
  <dxfs count="558"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</dxfs>
  <tableStyles count="0" defaultTableStyle="TableStyleMedium2" defaultPivotStyle="PivotStyleLight16"/>
  <colors>
    <mruColors>
      <color rgb="FFFFFFCC"/>
      <color rgb="FFF9F9F9"/>
      <color rgb="FFFF9F9F"/>
      <color rgb="FFFFD1D1"/>
      <color rgb="FFE2E2E2"/>
      <color rgb="FFF3F3F3"/>
      <color rgb="FFD9D9D9"/>
      <color rgb="FFDEDE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094400526782184E-2"/>
          <c:y val="3.312772506915608E-2"/>
          <c:w val="0.76073072376393003"/>
          <c:h val="0.892123090542662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'PMM Analysis Report'!$A$252</c:f>
              <c:strCache>
                <c:ptCount val="1"/>
                <c:pt idx="0">
                  <c:v>GROSS MARGIN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Report'!$B$252:$D$252</c:f>
              <c:numCache>
                <c:formatCode>0.0000</c:formatCode>
                <c:ptCount val="3"/>
                <c:pt idx="0">
                  <c:v>0.159633</c:v>
                </c:pt>
                <c:pt idx="1">
                  <c:v>0</c:v>
                </c:pt>
                <c:pt idx="2">
                  <c:v>5.6883000000000003E-2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5D-4AC6-AADA-FDE19D16777D}"/>
            </c:ext>
          </c:extLst>
        </c:ser>
        <c:ser>
          <c:idx val="1"/>
          <c:order val="1"/>
          <c:tx>
            <c:strRef>
              <c:f>'PMM Analysis Report'!$A$253</c:f>
              <c:strCache>
                <c:ptCount val="1"/>
                <c:pt idx="0">
                  <c:v>O - Other Operating cost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Report'!$B$253:$D$253</c:f>
              <c:numCache>
                <c:formatCode>0.0000</c:formatCode>
                <c:ptCount val="3"/>
                <c:pt idx="0">
                  <c:v>0.22225200000000001</c:v>
                </c:pt>
                <c:pt idx="1">
                  <c:v>0</c:v>
                </c:pt>
                <c:pt idx="2">
                  <c:v>0.17127300000000001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5D-4AC6-AADA-FDE19D16777D}"/>
            </c:ext>
          </c:extLst>
        </c:ser>
        <c:ser>
          <c:idx val="2"/>
          <c:order val="2"/>
          <c:tx>
            <c:strRef>
              <c:f>'PMM Analysis Report'!$A$254</c:f>
              <c:strCache>
                <c:ptCount val="1"/>
                <c:pt idx="0">
                  <c:v>F - Fleet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Report'!$B$254:$D$254</c:f>
              <c:numCache>
                <c:formatCode>0.0000</c:formatCode>
                <c:ptCount val="3"/>
                <c:pt idx="0">
                  <c:v>5.5428999999999999E-2</c:v>
                </c:pt>
                <c:pt idx="1">
                  <c:v>0</c:v>
                </c:pt>
                <c:pt idx="2">
                  <c:v>8.6130999999999999E-2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5D-4AC6-AADA-FDE19D16777D}"/>
            </c:ext>
          </c:extLst>
        </c:ser>
        <c:ser>
          <c:idx val="3"/>
          <c:order val="3"/>
          <c:tx>
            <c:strRef>
              <c:f>'PMM Analysis Report'!$A$255</c:f>
              <c:strCache>
                <c:ptCount val="1"/>
                <c:pt idx="0">
                  <c:v>E - Energy for traction PMM</c:v>
                </c:pt>
              </c:strCache>
            </c:strRef>
          </c:tx>
          <c:spPr>
            <a:solidFill>
              <a:srgbClr val="FFFFCC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Report'!$B$255:$D$255</c:f>
              <c:numCache>
                <c:formatCode>0.0000</c:formatCode>
                <c:ptCount val="3"/>
                <c:pt idx="0">
                  <c:v>0.111984</c:v>
                </c:pt>
                <c:pt idx="1">
                  <c:v>0</c:v>
                </c:pt>
                <c:pt idx="2">
                  <c:v>0.151339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5D-4AC6-AADA-FDE19D16777D}"/>
            </c:ext>
          </c:extLst>
        </c:ser>
        <c:ser>
          <c:idx val="4"/>
          <c:order val="4"/>
          <c:tx>
            <c:strRef>
              <c:f>'PMM Analysis Report'!$A$256</c:f>
              <c:strCache>
                <c:ptCount val="1"/>
                <c:pt idx="0">
                  <c:v>M - Maintenance &amp; cleaning of fleet PMM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Report'!$B$256:$D$256</c:f>
              <c:numCache>
                <c:formatCode>0.0000</c:formatCode>
                <c:ptCount val="3"/>
                <c:pt idx="0">
                  <c:v>0.10643900000000001</c:v>
                </c:pt>
                <c:pt idx="1">
                  <c:v>0</c:v>
                </c:pt>
                <c:pt idx="2">
                  <c:v>0.112096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5D-4AC6-AADA-FDE19D16777D}"/>
            </c:ext>
          </c:extLst>
        </c:ser>
        <c:ser>
          <c:idx val="5"/>
          <c:order val="5"/>
          <c:tx>
            <c:strRef>
              <c:f>'PMM Analysis Report'!$A$257</c:f>
              <c:strCache>
                <c:ptCount val="1"/>
                <c:pt idx="0">
                  <c:v>D - Driving/operating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Report'!$B$257:$D$257</c:f>
              <c:numCache>
                <c:formatCode>0.0000</c:formatCode>
                <c:ptCount val="3"/>
                <c:pt idx="0">
                  <c:v>0.35864699999999999</c:v>
                </c:pt>
                <c:pt idx="1">
                  <c:v>0</c:v>
                </c:pt>
                <c:pt idx="2">
                  <c:v>0.42330899999999999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5D-4AC6-AADA-FDE19D167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424704"/>
        <c:axId val="182426624"/>
      </c:barChart>
      <c:catAx>
        <c:axId val="18242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426624"/>
        <c:crosses val="autoZero"/>
        <c:auto val="1"/>
        <c:lblAlgn val="ctr"/>
        <c:lblOffset val="100"/>
        <c:noMultiLvlLbl val="0"/>
      </c:catAx>
      <c:valAx>
        <c:axId val="18242662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82424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879657924063809"/>
          <c:y val="0.18360557870725261"/>
          <c:w val="0.17253332884616984"/>
          <c:h val="0.73604231417859478"/>
        </c:manualLayout>
      </c:layout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Report'!$B$259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Report'!$A$260:$A$271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Report'!$B$260:$B$271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0.15963341767099795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44-4556-9E01-86DA2DA491CB}"/>
            </c:ext>
          </c:extLst>
        </c:ser>
        <c:ser>
          <c:idx val="1"/>
          <c:order val="1"/>
          <c:tx>
            <c:strRef>
              <c:f>'PMM Analysis Report'!$C$259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Report'!$A$260:$A$271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Report'!$C$260:$C$271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44-4556-9E01-86DA2DA491CB}"/>
            </c:ext>
          </c:extLst>
        </c:ser>
        <c:ser>
          <c:idx val="2"/>
          <c:order val="2"/>
          <c:tx>
            <c:strRef>
              <c:f>'PMM Analysis Report'!$D$259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Report'!$A$260:$A$271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Report'!$D$260:$D$271</c:f>
              <c:numCache>
                <c:formatCode>#\ ##0.0000</c:formatCode>
                <c:ptCount val="12"/>
                <c:pt idx="0">
                  <c:v>6.8728156008785651E-2</c:v>
                </c:pt>
                <c:pt idx="1">
                  <c:v>0.29830553975877333</c:v>
                </c:pt>
                <c:pt idx="2">
                  <c:v>0.14657555929319027</c:v>
                </c:pt>
                <c:pt idx="3">
                  <c:v>0.19192924752440002</c:v>
                </c:pt>
                <c:pt idx="4">
                  <c:v>0.16192977783619522</c:v>
                </c:pt>
                <c:pt idx="5">
                  <c:v>0.10373038196601575</c:v>
                </c:pt>
                <c:pt idx="6">
                  <c:v>0.12241283392853931</c:v>
                </c:pt>
                <c:pt idx="7">
                  <c:v>0.15081947833977083</c:v>
                </c:pt>
                <c:pt idx="8">
                  <c:v>0.13211565372122874</c:v>
                </c:pt>
                <c:pt idx="9">
                  <c:v>0.16565916560405816</c:v>
                </c:pt>
                <c:pt idx="10">
                  <c:v>0.12207150550717717</c:v>
                </c:pt>
                <c:pt idx="11">
                  <c:v>-1.5004668726008138E-2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44-4556-9E01-86DA2DA49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056128"/>
        <c:axId val="189058432"/>
      </c:lineChart>
      <c:catAx>
        <c:axId val="1890561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9058432"/>
        <c:crosses val="autoZero"/>
        <c:auto val="1"/>
        <c:lblAlgn val="ctr"/>
        <c:lblOffset val="100"/>
        <c:noMultiLvlLbl val="0"/>
      </c:catAx>
      <c:valAx>
        <c:axId val="18905843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89056128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Report'!$B$287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Report'!$A$288:$A$299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Report'!$B$288:$B$299</c:f>
              <c:numCache>
                <c:formatCode>#,##0.00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9E-4662-942A-A21F42D2BF0D}"/>
            </c:ext>
          </c:extLst>
        </c:ser>
        <c:ser>
          <c:idx val="1"/>
          <c:order val="1"/>
          <c:tx>
            <c:strRef>
              <c:f>'PMM Analysis Report'!$C$287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Report'!$A$288:$A$299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Report'!$C$288:$C$299</c:f>
              <c:numCache>
                <c:formatCode>#,##0.00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9E-4662-942A-A21F42D2BF0D}"/>
            </c:ext>
          </c:extLst>
        </c:ser>
        <c:ser>
          <c:idx val="2"/>
          <c:order val="2"/>
          <c:tx>
            <c:strRef>
              <c:f>'PMM Analysis Report'!$D$287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Report'!$A$288:$A$299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Report'!$D$288:$D$299</c:f>
              <c:numCache>
                <c:formatCode>#,##0.00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9E-4662-942A-A21F42D2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733696"/>
        <c:axId val="190760832"/>
      </c:lineChart>
      <c:catAx>
        <c:axId val="190733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0760832"/>
        <c:crosses val="autoZero"/>
        <c:auto val="1"/>
        <c:lblAlgn val="ctr"/>
        <c:lblOffset val="100"/>
        <c:noMultiLvlLbl val="0"/>
      </c:catAx>
      <c:valAx>
        <c:axId val="190760832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9073369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Report'!$B$335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Report'!$A$336:$A$347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Report'!$B$336:$B$347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7-4F02-B2CE-F9DD373856DB}"/>
            </c:ext>
          </c:extLst>
        </c:ser>
        <c:ser>
          <c:idx val="1"/>
          <c:order val="1"/>
          <c:tx>
            <c:strRef>
              <c:f>'PMM Analysis Report'!$C$335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Report'!$A$336:$A$347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Report'!$C$336:$C$347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7-4F02-B2CE-F9DD373856DB}"/>
            </c:ext>
          </c:extLst>
        </c:ser>
        <c:ser>
          <c:idx val="2"/>
          <c:order val="2"/>
          <c:tx>
            <c:strRef>
              <c:f>'PMM Analysis Report'!$D$335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Report'!$A$336:$A$347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Report'!$D$336:$D$347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7-4F02-B2CE-F9DD37385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047616"/>
        <c:axId val="280031616"/>
      </c:lineChart>
      <c:catAx>
        <c:axId val="238047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0031616"/>
        <c:crosses val="autoZero"/>
        <c:auto val="1"/>
        <c:lblAlgn val="ctr"/>
        <c:lblOffset val="100"/>
        <c:noMultiLvlLbl val="0"/>
      </c:catAx>
      <c:valAx>
        <c:axId val="280031616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3804761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Report'!$B$349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Report'!$A$350:$A$361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Report'!$B$350:$B$361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5-4383-87CE-2D42D2AAA675}"/>
            </c:ext>
          </c:extLst>
        </c:ser>
        <c:ser>
          <c:idx val="1"/>
          <c:order val="1"/>
          <c:tx>
            <c:strRef>
              <c:f>'PMM Analysis Report'!$C$349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Report'!$A$350:$A$361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Report'!$C$350:$C$361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5-4383-87CE-2D42D2AAA675}"/>
            </c:ext>
          </c:extLst>
        </c:ser>
        <c:ser>
          <c:idx val="2"/>
          <c:order val="2"/>
          <c:tx>
            <c:strRef>
              <c:f>'PMM Analysis Report'!$D$349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Report'!$A$350:$A$361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Report'!$D$350:$D$361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15-4383-87CE-2D42D2AAA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75904"/>
        <c:axId val="205698176"/>
      </c:lineChart>
      <c:catAx>
        <c:axId val="2056759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5698176"/>
        <c:crosses val="autoZero"/>
        <c:auto val="1"/>
        <c:lblAlgn val="ctr"/>
        <c:lblOffset val="100"/>
        <c:noMultiLvlLbl val="0"/>
      </c:catAx>
      <c:valAx>
        <c:axId val="205698176"/>
        <c:scaling>
          <c:orientation val="minMax"/>
        </c:scaling>
        <c:delete val="0"/>
        <c:axPos val="l"/>
        <c:majorGridlines/>
        <c:numFmt formatCode="#,##0.0000" sourceLinked="0"/>
        <c:majorTickMark val="out"/>
        <c:minorTickMark val="none"/>
        <c:tickLblPos val="nextTo"/>
        <c:crossAx val="205675904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Report'!$B$398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Report'!$A$399:$A$410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Report'!$B$399:$B$410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1-4C24-92BB-82BFFA908D6C}"/>
            </c:ext>
          </c:extLst>
        </c:ser>
        <c:ser>
          <c:idx val="1"/>
          <c:order val="1"/>
          <c:tx>
            <c:strRef>
              <c:f>'PMM Analysis Report'!$C$398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Report'!$A$399:$A$410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Report'!$C$399:$C$410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1-4C24-92BB-82BFFA908D6C}"/>
            </c:ext>
          </c:extLst>
        </c:ser>
        <c:ser>
          <c:idx val="2"/>
          <c:order val="2"/>
          <c:tx>
            <c:strRef>
              <c:f>'PMM Analysis Report'!$D$398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Report'!$A$399:$A$410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Report'!$D$399:$D$410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61-4C24-92BB-82BFFA908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11616"/>
        <c:axId val="205713408"/>
      </c:lineChart>
      <c:catAx>
        <c:axId val="205711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5713408"/>
        <c:crosses val="autoZero"/>
        <c:auto val="1"/>
        <c:lblAlgn val="ctr"/>
        <c:lblOffset val="100"/>
        <c:noMultiLvlLbl val="0"/>
      </c:catAx>
      <c:valAx>
        <c:axId val="205713408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0571161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Report'!$B$412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Report'!$A$413:$A$424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Report'!$B$413:$B$424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2-4A28-A680-89A1614B5138}"/>
            </c:ext>
          </c:extLst>
        </c:ser>
        <c:ser>
          <c:idx val="1"/>
          <c:order val="1"/>
          <c:tx>
            <c:strRef>
              <c:f>'PMM Analysis Report'!$C$412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Report'!$A$413:$A$424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Report'!$C$413:$C$424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C2-4A28-A680-89A1614B5138}"/>
            </c:ext>
          </c:extLst>
        </c:ser>
        <c:ser>
          <c:idx val="2"/>
          <c:order val="2"/>
          <c:tx>
            <c:strRef>
              <c:f>'PMM Analysis Report'!$D$412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Report'!$A$413:$A$424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Report'!$D$413:$D$424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C2-4A28-A680-89A1614B5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803584"/>
        <c:axId val="214805120"/>
      </c:lineChart>
      <c:catAx>
        <c:axId val="2148035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4805120"/>
        <c:crosses val="autoZero"/>
        <c:auto val="1"/>
        <c:lblAlgn val="ctr"/>
        <c:lblOffset val="100"/>
        <c:noMultiLvlLbl val="0"/>
      </c:catAx>
      <c:valAx>
        <c:axId val="214805120"/>
        <c:scaling>
          <c:orientation val="minMax"/>
        </c:scaling>
        <c:delete val="0"/>
        <c:axPos val="l"/>
        <c:majorGridlines/>
        <c:numFmt formatCode="#,##0.0000" sourceLinked="0"/>
        <c:majorTickMark val="out"/>
        <c:minorTickMark val="none"/>
        <c:tickLblPos val="nextTo"/>
        <c:crossAx val="214803584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Report'!$B$461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Report'!$A$462:$A$473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Report'!$B$462:$B$473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2-4A99-96D6-38474C387441}"/>
            </c:ext>
          </c:extLst>
        </c:ser>
        <c:ser>
          <c:idx val="1"/>
          <c:order val="1"/>
          <c:tx>
            <c:strRef>
              <c:f>'PMM Analysis Report'!$C$461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Report'!$A$462:$A$473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Report'!$C$462:$C$473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2-4A99-96D6-38474C387441}"/>
            </c:ext>
          </c:extLst>
        </c:ser>
        <c:ser>
          <c:idx val="2"/>
          <c:order val="2"/>
          <c:tx>
            <c:strRef>
              <c:f>'PMM Analysis Report'!$D$461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Report'!$A$462:$A$473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Report'!$D$462:$D$473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72-4A99-96D6-38474C387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982656"/>
        <c:axId val="214984192"/>
      </c:lineChart>
      <c:catAx>
        <c:axId val="2149826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4984192"/>
        <c:crosses val="autoZero"/>
        <c:auto val="1"/>
        <c:lblAlgn val="ctr"/>
        <c:lblOffset val="100"/>
        <c:noMultiLvlLbl val="0"/>
      </c:catAx>
      <c:valAx>
        <c:axId val="214984192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498265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Report'!$B$475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Report'!$A$476:$A$487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Report'!$B$476:$B$487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1-4961-B79C-B5572047D2AB}"/>
            </c:ext>
          </c:extLst>
        </c:ser>
        <c:ser>
          <c:idx val="1"/>
          <c:order val="1"/>
          <c:tx>
            <c:strRef>
              <c:f>'PMM Analysis Report'!$C$475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Report'!$A$476:$A$487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Report'!$C$476:$C$487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F1-4961-B79C-B5572047D2AB}"/>
            </c:ext>
          </c:extLst>
        </c:ser>
        <c:ser>
          <c:idx val="2"/>
          <c:order val="2"/>
          <c:tx>
            <c:strRef>
              <c:f>'PMM Analysis Report'!$D$475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Report'!$A$476:$A$487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Report'!$D$476:$D$487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F1-4961-B79C-B5572047D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005824"/>
        <c:axId val="215019904"/>
      </c:lineChart>
      <c:catAx>
        <c:axId val="215005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5019904"/>
        <c:crosses val="autoZero"/>
        <c:auto val="1"/>
        <c:lblAlgn val="ctr"/>
        <c:lblOffset val="100"/>
        <c:noMultiLvlLbl val="0"/>
      </c:catAx>
      <c:valAx>
        <c:axId val="215019904"/>
        <c:scaling>
          <c:orientation val="minMax"/>
        </c:scaling>
        <c:delete val="0"/>
        <c:axPos val="l"/>
        <c:majorGridlines/>
        <c:numFmt formatCode="#,##0.0000" sourceLinked="0"/>
        <c:majorTickMark val="out"/>
        <c:minorTickMark val="none"/>
        <c:tickLblPos val="nextTo"/>
        <c:crossAx val="215005824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Report'!$B$525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Report'!$A$526:$A$537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Report'!$B$526:$B$537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F-4653-81E9-4BB29AF909E5}"/>
            </c:ext>
          </c:extLst>
        </c:ser>
        <c:ser>
          <c:idx val="1"/>
          <c:order val="1"/>
          <c:tx>
            <c:strRef>
              <c:f>'PMM Analysis Report'!$C$525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Report'!$A$526:$A$537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Report'!$C$526:$C$537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EF-4653-81E9-4BB29AF909E5}"/>
            </c:ext>
          </c:extLst>
        </c:ser>
        <c:ser>
          <c:idx val="2"/>
          <c:order val="2"/>
          <c:tx>
            <c:strRef>
              <c:f>'PMM Analysis Report'!$D$525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Report'!$A$526:$A$537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Report'!$D$526:$D$537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EF-4653-81E9-4BB29AF90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246336"/>
        <c:axId val="215247872"/>
      </c:lineChart>
      <c:catAx>
        <c:axId val="215246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5247872"/>
        <c:crosses val="autoZero"/>
        <c:auto val="1"/>
        <c:lblAlgn val="ctr"/>
        <c:lblOffset val="100"/>
        <c:noMultiLvlLbl val="0"/>
      </c:catAx>
      <c:valAx>
        <c:axId val="215247872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524633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Report'!$B$539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Report'!$A$540:$A$551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Report'!$B$540:$B$551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BA-4E3D-B307-E6499541661B}"/>
            </c:ext>
          </c:extLst>
        </c:ser>
        <c:ser>
          <c:idx val="1"/>
          <c:order val="1"/>
          <c:tx>
            <c:strRef>
              <c:f>'PMM Analysis Report'!$C$539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Report'!$A$540:$A$551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Report'!$C$540:$C$551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BA-4E3D-B307-E6499541661B}"/>
            </c:ext>
          </c:extLst>
        </c:ser>
        <c:ser>
          <c:idx val="2"/>
          <c:order val="2"/>
          <c:tx>
            <c:strRef>
              <c:f>'PMM Analysis Report'!$D$539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Report'!$A$540:$A$551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Report'!$D$540:$D$551</c:f>
              <c:numCache>
                <c:formatCode>#\ 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BA-4E3D-B307-E64995416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560576"/>
        <c:axId val="215562112"/>
      </c:lineChart>
      <c:catAx>
        <c:axId val="2155605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5562112"/>
        <c:crosses val="autoZero"/>
        <c:auto val="1"/>
        <c:lblAlgn val="ctr"/>
        <c:lblOffset val="100"/>
        <c:noMultiLvlLbl val="0"/>
      </c:catAx>
      <c:valAx>
        <c:axId val="21556211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1556057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'PMM Bridge'!$AE$84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Bridge'!$AF$84:$AN$84</c:f>
              <c:numCache>
                <c:formatCode>General</c:formatCode>
                <c:ptCount val="9"/>
                <c:pt idx="0">
                  <c:v>78.503372506695484</c:v>
                </c:pt>
                <c:pt idx="1">
                  <c:v>78.503372506695484</c:v>
                </c:pt>
                <c:pt idx="2">
                  <c:v>78.503372506695484</c:v>
                </c:pt>
                <c:pt idx="3">
                  <c:v>78.503372506695484</c:v>
                </c:pt>
                <c:pt idx="4">
                  <c:v>78.503372506695484</c:v>
                </c:pt>
                <c:pt idx="5">
                  <c:v>78.503372506695484</c:v>
                </c:pt>
                <c:pt idx="6">
                  <c:v>78.503372506695484</c:v>
                </c:pt>
                <c:pt idx="7">
                  <c:v>78.503372506695484</c:v>
                </c:pt>
                <c:pt idx="8">
                  <c:v>78.503372506695484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2B-4954-AF4C-425A5EF04AB6}"/>
            </c:ext>
          </c:extLst>
        </c:ser>
        <c:ser>
          <c:idx val="1"/>
          <c:order val="2"/>
          <c:tx>
            <c:strRef>
              <c:f>'PMM Bridge'!$AE$83</c:f>
              <c:strCache>
                <c:ptCount val="1"/>
                <c:pt idx="0">
                  <c:v>axis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val>
            <c:numRef>
              <c:f>'PMM Bridge'!$AF$83:$AN$83</c:f>
              <c:numCache>
                <c:formatCode>General</c:formatCode>
                <c:ptCount val="9"/>
                <c:pt idx="0">
                  <c:v>0.69238961554725875</c:v>
                </c:pt>
                <c:pt idx="1">
                  <c:v>0.69238961554725875</c:v>
                </c:pt>
                <c:pt idx="2">
                  <c:v>0.69238961554725875</c:v>
                </c:pt>
                <c:pt idx="3">
                  <c:v>0.69238961554725875</c:v>
                </c:pt>
                <c:pt idx="4">
                  <c:v>0.69238961554725875</c:v>
                </c:pt>
                <c:pt idx="5">
                  <c:v>0.69238961554725875</c:v>
                </c:pt>
                <c:pt idx="6">
                  <c:v>0.69238961554725875</c:v>
                </c:pt>
                <c:pt idx="7">
                  <c:v>0.69238961554725875</c:v>
                </c:pt>
                <c:pt idx="8">
                  <c:v>0.69238961554725875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2B-4954-AF4C-425A5EF04AB6}"/>
            </c:ext>
          </c:extLst>
        </c:ser>
        <c:ser>
          <c:idx val="0"/>
          <c:order val="3"/>
          <c:tx>
            <c:strRef>
              <c:f>'PMM Bridge'!$AE$82</c:f>
              <c:strCache>
                <c:ptCount val="1"/>
                <c:pt idx="0">
                  <c:v>axis+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Bridge'!$AF$82:$AN$82</c:f>
              <c:numCache>
                <c:formatCode>General</c:formatCode>
                <c:ptCount val="9"/>
                <c:pt idx="0">
                  <c:v>20.804237877757252</c:v>
                </c:pt>
                <c:pt idx="1">
                  <c:v>20.804237877757252</c:v>
                </c:pt>
                <c:pt idx="2">
                  <c:v>20.804237877757252</c:v>
                </c:pt>
                <c:pt idx="3">
                  <c:v>20.804237877757252</c:v>
                </c:pt>
                <c:pt idx="4">
                  <c:v>20.804237877757252</c:v>
                </c:pt>
                <c:pt idx="5">
                  <c:v>20.804237877757252</c:v>
                </c:pt>
                <c:pt idx="6">
                  <c:v>20.804237877757252</c:v>
                </c:pt>
                <c:pt idx="7">
                  <c:v>20.804237877757252</c:v>
                </c:pt>
                <c:pt idx="8">
                  <c:v>20.804237877757252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2B-4954-AF4C-425A5EF04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5335168"/>
        <c:axId val="225336704"/>
      </c:barChart>
      <c:barChart>
        <c:barDir val="col"/>
        <c:grouping val="stacked"/>
        <c:varyColors val="0"/>
        <c:ser>
          <c:idx val="3"/>
          <c:order val="4"/>
          <c:tx>
            <c:strRef>
              <c:f>'PMM Bridge'!$AE$80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Bridge'!$AF$80:$AN$80</c:f>
              <c:numCache>
                <c:formatCode>General</c:formatCode>
                <c:ptCount val="9"/>
                <c:pt idx="0">
                  <c:v>17.309740388681469</c:v>
                </c:pt>
                <c:pt idx="1">
                  <c:v>17.309740388681469</c:v>
                </c:pt>
                <c:pt idx="2">
                  <c:v>17.309740388681469</c:v>
                </c:pt>
                <c:pt idx="3">
                  <c:v>17.309740388681469</c:v>
                </c:pt>
                <c:pt idx="4">
                  <c:v>17.309740388681469</c:v>
                </c:pt>
                <c:pt idx="5">
                  <c:v>17.309740388681469</c:v>
                </c:pt>
                <c:pt idx="6">
                  <c:v>17.309740388681469</c:v>
                </c:pt>
                <c:pt idx="7">
                  <c:v>17.309740388681469</c:v>
                </c:pt>
                <c:pt idx="8">
                  <c:v>17.309740388681469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2B-4954-AF4C-425A5EF04AB6}"/>
            </c:ext>
          </c:extLst>
        </c:ser>
        <c:ser>
          <c:idx val="4"/>
          <c:order val="5"/>
          <c:tx>
            <c:strRef>
              <c:f>'PMM Bridge'!$AE$79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Bridge'!$AF$79:$AN$79</c:f>
              <c:numCache>
                <c:formatCode>General</c:formatCode>
                <c:ptCount val="9"/>
                <c:pt idx="0">
                  <c:v>61.539826925787644</c:v>
                </c:pt>
                <c:pt idx="1">
                  <c:v>61.539826925787644</c:v>
                </c:pt>
                <c:pt idx="2">
                  <c:v>62.911632780237085</c:v>
                </c:pt>
                <c:pt idx="3">
                  <c:v>62.68396737297234</c:v>
                </c:pt>
                <c:pt idx="4">
                  <c:v>62.444442094071405</c:v>
                </c:pt>
                <c:pt idx="5">
                  <c:v>62.325883749058605</c:v>
                </c:pt>
                <c:pt idx="6">
                  <c:v>61.850504299219487</c:v>
                </c:pt>
                <c:pt idx="7">
                  <c:v>61.850504299219487</c:v>
                </c:pt>
                <c:pt idx="8">
                  <c:v>61.539826925787644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2B-4954-AF4C-425A5EF04AB6}"/>
            </c:ext>
          </c:extLst>
        </c:ser>
        <c:ser>
          <c:idx val="5"/>
          <c:order val="6"/>
          <c:tx>
            <c:strRef>
              <c:f>'PMM Bridge'!$AE$78</c:f>
              <c:strCache>
                <c:ptCount val="1"/>
                <c:pt idx="0">
                  <c:v>Var-</c:v>
                </c:pt>
              </c:strCache>
            </c:strRef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502B-4954-AF4C-425A5EF04AB6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8-502B-4954-AF4C-425A5EF04AB6}"/>
              </c:ext>
            </c:extLst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A-502B-4954-AF4C-425A5EF04AB6}"/>
              </c:ext>
            </c:extLst>
          </c:dPt>
          <c:val>
            <c:numRef>
              <c:f>'PMM Bridge'!$AF$78:$AN$78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0.7671193929508977</c:v>
                </c:pt>
                <c:pt idx="3">
                  <c:v>0.22766540726472925</c:v>
                </c:pt>
                <c:pt idx="4">
                  <c:v>0.23952527890094588</c:v>
                </c:pt>
                <c:pt idx="5">
                  <c:v>0.11855834501279527</c:v>
                </c:pt>
                <c:pt idx="6">
                  <c:v>0.47537944983911384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02B-4954-AF4C-425A5EF04AB6}"/>
            </c:ext>
          </c:extLst>
        </c:ser>
        <c:ser>
          <c:idx val="6"/>
          <c:order val="7"/>
          <c:tx>
            <c:strRef>
              <c:f>'PMM Bridge'!$AE$77</c:f>
              <c:strCache>
                <c:ptCount val="1"/>
                <c:pt idx="0">
                  <c:v>Var+</c:v>
                </c:pt>
              </c:strCache>
            </c:strRef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D-502B-4954-AF4C-425A5EF04AB6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F-502B-4954-AF4C-425A5EF04AB6}"/>
              </c:ext>
            </c:extLst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1-502B-4954-AF4C-425A5EF04AB6}"/>
              </c:ext>
            </c:extLst>
          </c:dPt>
          <c:val>
            <c:numRef>
              <c:f>'PMM Bridge'!$AF$77:$AN$77</c:f>
              <c:numCache>
                <c:formatCode>General</c:formatCode>
                <c:ptCount val="9"/>
                <c:pt idx="0">
                  <c:v>0</c:v>
                </c:pt>
                <c:pt idx="1">
                  <c:v>2.13892524740033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0.34144394738529993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02B-4954-AF4C-425A5EF04AB6}"/>
            </c:ext>
          </c:extLst>
        </c:ser>
        <c:ser>
          <c:idx val="7"/>
          <c:order val="8"/>
          <c:tx>
            <c:strRef>
              <c:f>'PMM Bridge'!$AE$76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Bridge'!$AF$76:$AN$76</c:f>
              <c:numCache>
                <c:formatCode>General</c:formatCode>
                <c:ptCount val="9"/>
                <c:pt idx="0">
                  <c:v>3.8406922968494119</c:v>
                </c:pt>
                <c:pt idx="1">
                  <c:v>1.7017670494490822</c:v>
                </c:pt>
                <c:pt idx="2">
                  <c:v>1.7017670494490822</c:v>
                </c:pt>
                <c:pt idx="3">
                  <c:v>2.4688864423999801</c:v>
                </c:pt>
                <c:pt idx="4">
                  <c:v>2.6965518496647096</c:v>
                </c:pt>
                <c:pt idx="5">
                  <c:v>2.9360771285656551</c:v>
                </c:pt>
                <c:pt idx="6">
                  <c:v>3.0546354735784504</c:v>
                </c:pt>
                <c:pt idx="7">
                  <c:v>3.5300149234175646</c:v>
                </c:pt>
                <c:pt idx="8">
                  <c:v>3.4992483494641125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02B-4954-AF4C-425A5EF04AB6}"/>
            </c:ext>
          </c:extLst>
        </c:ser>
        <c:ser>
          <c:idx val="8"/>
          <c:order val="9"/>
          <c:tx>
            <c:strRef>
              <c:f>'PMM Bridge'!$AE$75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Bridge'!$AF$75:$AN$75</c:f>
              <c:numCache>
                <c:formatCode>General</c:formatCode>
                <c:ptCount val="9"/>
                <c:pt idx="0">
                  <c:v>17.309740388681469</c:v>
                </c:pt>
                <c:pt idx="1">
                  <c:v>17.309740388681469</c:v>
                </c:pt>
                <c:pt idx="2">
                  <c:v>17.309740388681469</c:v>
                </c:pt>
                <c:pt idx="3">
                  <c:v>17.309740388681469</c:v>
                </c:pt>
                <c:pt idx="4">
                  <c:v>17.309740388681469</c:v>
                </c:pt>
                <c:pt idx="5">
                  <c:v>17.309740388681469</c:v>
                </c:pt>
                <c:pt idx="6">
                  <c:v>17.309740388681469</c:v>
                </c:pt>
                <c:pt idx="7">
                  <c:v>17.309740388681469</c:v>
                </c:pt>
                <c:pt idx="8">
                  <c:v>17.309740388681469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02B-4954-AF4C-425A5EF04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5367168"/>
        <c:axId val="225368704"/>
      </c:barChart>
      <c:scatterChart>
        <c:scatterStyle val="lineMarker"/>
        <c:varyColors val="0"/>
        <c:ser>
          <c:idx val="13"/>
          <c:order val="0"/>
          <c:tx>
            <c:v>ZoomVal</c:v>
          </c:tx>
          <c:spPr>
            <a:ln w="25400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Bridge'!$AU$31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{DF65791D-14B2-4142-AEEC-115741CECC0E}</c15:txfldGUID>
                      <c15:f>'PMM Bridge'!$AU$31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502B-4954-AF4C-425A5EF04AB6}"/>
                </c:ext>
              </c:extLst>
            </c:dLbl>
            <c:spPr>
              <a:solidFill>
                <a:schemeClr val="bg1"/>
              </a:solidFill>
              <a:ln w="12700">
                <a:solidFill>
                  <a:srgbClr val="FF0000"/>
                </a:solidFill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Bridge'!$AV$76</c:f>
              <c:numCache>
                <c:formatCode>General</c:formatCode>
                <c:ptCount val="1"/>
                <c:pt idx="0">
                  <c:v>-78.84956731446907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02B-4954-AF4C-425A5EF04AB6}"/>
            </c:ext>
          </c:extLst>
        </c:ser>
        <c:ser>
          <c:idx val="9"/>
          <c:order val="10"/>
          <c:tx>
            <c:strRef>
              <c:f>'PMM Bridge'!$AE$63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82.349567314469112</c:v>
                </c:pt>
                <c:pt idx="1">
                  <c:v>84.48849256186945</c:v>
                </c:pt>
                <c:pt idx="2">
                  <c:v>76.721373168918547</c:v>
                </c:pt>
                <c:pt idx="3">
                  <c:v>76.493707761653823</c:v>
                </c:pt>
                <c:pt idx="4">
                  <c:v>76.254182482752881</c:v>
                </c:pt>
                <c:pt idx="5">
                  <c:v>76.135624137740081</c:v>
                </c:pt>
                <c:pt idx="6">
                  <c:v>75.660244687900956</c:v>
                </c:pt>
                <c:pt idx="7">
                  <c:v>82.660244687900956</c:v>
                </c:pt>
                <c:pt idx="8">
                  <c:v>82.660244687900956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02B-4954-AF4C-425A5EF04AB6}"/>
            </c:ext>
          </c:extLst>
        </c:ser>
        <c:ser>
          <c:idx val="10"/>
          <c:order val="11"/>
          <c:tx>
            <c:strRef>
              <c:f>'PMM Bridge'!$AE$64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82.349567314469112</c:v>
                </c:pt>
                <c:pt idx="1">
                  <c:v>84.48849256186945</c:v>
                </c:pt>
                <c:pt idx="2">
                  <c:v>76.721373168918547</c:v>
                </c:pt>
                <c:pt idx="3">
                  <c:v>76.493707761653823</c:v>
                </c:pt>
                <c:pt idx="4">
                  <c:v>76.254182482752881</c:v>
                </c:pt>
                <c:pt idx="5">
                  <c:v>76.135624137740081</c:v>
                </c:pt>
                <c:pt idx="6">
                  <c:v>75.660244687900956</c:v>
                </c:pt>
                <c:pt idx="7">
                  <c:v>82.660244687900956</c:v>
                </c:pt>
                <c:pt idx="8">
                  <c:v>82.660244687900956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02B-4954-AF4C-425A5EF04AB6}"/>
            </c:ext>
          </c:extLst>
        </c:ser>
        <c:ser>
          <c:idx val="11"/>
          <c:order val="12"/>
          <c:tx>
            <c:strRef>
              <c:f>'PMM Bridge'!$AE$66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Bridge'!$AF$47</c:f>
                  <c:strCache>
                    <c:ptCount val="1"/>
                    <c:pt idx="0">
                      <c:v>Budget V current N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{C0406972-4345-4186-8635-C87DC6FF03F4}</c15:txfldGUID>
                      <c15:f>'PMM Bridge'!$AF$47</c15:f>
                      <c15:dlblFieldTableCache>
                        <c:ptCount val="1"/>
                        <c:pt idx="0">
                          <c:v>Budget V current 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502B-4954-AF4C-425A5EF04AB6}"/>
                </c:ext>
              </c:extLst>
            </c:dLbl>
            <c:dLbl>
              <c:idx val="1"/>
              <c:tx>
                <c:strRef>
                  <c:f>'PMM Bridge'!$AG$47</c:f>
                  <c:strCache>
                    <c:ptCount val="1"/>
                    <c:pt idx="0">
                      <c:v>ROA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{C04C1735-08DB-45B6-85F3-AE52CBE15847}</c15:txfldGUID>
                      <c15:f>'PMM Bridge'!$AG$47</c15:f>
                      <c15:dlblFieldTableCache>
                        <c:ptCount val="1"/>
                        <c:pt idx="0">
                          <c:v>ROA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02B-4954-AF4C-425A5EF04AB6}"/>
                </c:ext>
              </c:extLst>
            </c:dLbl>
            <c:dLbl>
              <c:idx val="2"/>
              <c:tx>
                <c:strRef>
                  <c:f>'PMM Bridge'!$AH$47</c:f>
                  <c:strCache>
                    <c:ptCount val="1"/>
                    <c:pt idx="0">
                      <c:v>D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{0D4FD672-B883-45BC-BF65-05D4AFF285DD}</c15:txfldGUID>
                      <c15:f>'PMM Bridge'!$AH$47</c15:f>
                      <c15:dlblFieldTableCache>
                        <c:ptCount val="1"/>
                        <c:pt idx="0">
                          <c:v>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02B-4954-AF4C-425A5EF04AB6}"/>
                </c:ext>
              </c:extLst>
            </c:dLbl>
            <c:dLbl>
              <c:idx val="3"/>
              <c:tx>
                <c:strRef>
                  <c:f>'PMM Bridge'!$AI$47</c:f>
                  <c:strCache>
                    <c:ptCount val="1"/>
                    <c:pt idx="0">
                      <c:v>M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{AA1905E8-9D07-4989-BBD4-693DEF1C811F}</c15:txfldGUID>
                      <c15:f>'PMM Bridge'!$AI$47</c15:f>
                      <c15:dlblFieldTableCache>
                        <c:ptCount val="1"/>
                        <c:pt idx="0">
                          <c:v>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502B-4954-AF4C-425A5EF04AB6}"/>
                </c:ext>
              </c:extLst>
            </c:dLbl>
            <c:dLbl>
              <c:idx val="4"/>
              <c:tx>
                <c:strRef>
                  <c:f>'PMM Bridge'!$AJ$47</c:f>
                  <c:strCache>
                    <c:ptCount val="1"/>
                    <c:pt idx="0">
                      <c:v>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{30A05DFF-B8F1-4237-A091-60477ED691AA}</c15:txfldGUID>
                      <c15:f>'PMM Bridge'!$AJ$47</c15:f>
                      <c15:dlblFieldTableCache>
                        <c:ptCount val="1"/>
                        <c:pt idx="0">
                          <c:v>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502B-4954-AF4C-425A5EF04AB6}"/>
                </c:ext>
              </c:extLst>
            </c:dLbl>
            <c:dLbl>
              <c:idx val="5"/>
              <c:tx>
                <c:strRef>
                  <c:f>'PMM Bridge'!$AK$47</c:f>
                  <c:strCache>
                    <c:ptCount val="1"/>
                    <c:pt idx="0">
                      <c:v>F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{64D5B695-842C-46C1-9D45-A322EF3DA6EE}</c15:txfldGUID>
                      <c15:f>'PMM Bridge'!$AK$47</c15:f>
                      <c15:dlblFieldTableCache>
                        <c:ptCount val="1"/>
                        <c:pt idx="0">
                          <c:v>F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502B-4954-AF4C-425A5EF04AB6}"/>
                </c:ext>
              </c:extLst>
            </c:dLbl>
            <c:dLbl>
              <c:idx val="6"/>
              <c:tx>
                <c:strRef>
                  <c:f>'PMM Bridge'!$AL$47</c:f>
                  <c:strCache>
                    <c:ptCount val="1"/>
                    <c:pt idx="0">
                      <c:v>O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{63E120E3-8051-427B-AF9B-48C01A76856B}</c15:txfldGUID>
                      <c15:f>'PMM Bridge'!$AL$47</c15:f>
                      <c15:dlblFieldTableCache>
                        <c:ptCount val="1"/>
                        <c:pt idx="0">
                          <c:v>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502B-4954-AF4C-425A5EF04AB6}"/>
                </c:ext>
              </c:extLst>
            </c:dLbl>
            <c:dLbl>
              <c:idx val="7"/>
              <c:tx>
                <c:strRef>
                  <c:f>'PMM Bridge'!$AM$47</c:f>
                  <c:strCache>
                    <c:ptCount val="1"/>
                    <c:pt idx="0">
                      <c:v>Vol.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{FB05EE1B-6066-434E-8D95-B0E198F8B840}</c15:txfldGUID>
                      <c15:f>'PMM Bridge'!$AM$47</c15:f>
                      <c15:dlblFieldTableCache>
                        <c:ptCount val="1"/>
                        <c:pt idx="0">
                          <c:v>Vol.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502B-4954-AF4C-425A5EF04AB6}"/>
                </c:ext>
              </c:extLst>
            </c:dLbl>
            <c:dLbl>
              <c:idx val="8"/>
              <c:tx>
                <c:strRef>
                  <c:f>'PMM Bridge'!$AN$47</c:f>
                  <c:strCache>
                    <c:ptCount val="1"/>
                    <c:pt idx="0">
                      <c:v>Actual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{C29A2693-4DA0-48DE-8235-CB5F60C8C9E1}</c15:txfldGUID>
                      <c15:f>'PMM Bridge'!$AN$47</c15:f>
                      <c15:dlblFieldTableCache>
                        <c:ptCount val="1"/>
                        <c:pt idx="0">
                          <c:v>Actual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502B-4954-AF4C-425A5EF04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'PMM Bridge'!$AF$87:$AN$87</c:f>
              <c:numCache>
                <c:formatCode>General</c:formatCode>
                <c:ptCount val="9"/>
                <c:pt idx="0">
                  <c:v>87.599567314469056</c:v>
                </c:pt>
                <c:pt idx="1">
                  <c:v>89.738492561869393</c:v>
                </c:pt>
                <c:pt idx="2">
                  <c:v>71.47137316891849</c:v>
                </c:pt>
                <c:pt idx="3">
                  <c:v>71.243707761653766</c:v>
                </c:pt>
                <c:pt idx="4">
                  <c:v>71.004182482752825</c:v>
                </c:pt>
                <c:pt idx="5">
                  <c:v>70.885624137740038</c:v>
                </c:pt>
                <c:pt idx="6">
                  <c:v>70.410244687900914</c:v>
                </c:pt>
                <c:pt idx="7">
                  <c:v>87.910244687900914</c:v>
                </c:pt>
                <c:pt idx="8">
                  <c:v>87.910244687900914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02B-4954-AF4C-425A5EF04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67168"/>
        <c:axId val="225368704"/>
      </c:scatterChart>
      <c:catAx>
        <c:axId val="225335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25336704"/>
        <c:crosses val="autoZero"/>
        <c:auto val="1"/>
        <c:lblAlgn val="ctr"/>
        <c:lblOffset val="100"/>
        <c:noMultiLvlLbl val="0"/>
      </c:catAx>
      <c:valAx>
        <c:axId val="22533670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5335168"/>
        <c:crosses val="autoZero"/>
        <c:crossBetween val="between"/>
      </c:valAx>
      <c:catAx>
        <c:axId val="225367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25368704"/>
        <c:crosses val="autoZero"/>
        <c:auto val="1"/>
        <c:lblAlgn val="ctr"/>
        <c:lblOffset val="100"/>
        <c:noMultiLvlLbl val="0"/>
      </c:catAx>
      <c:valAx>
        <c:axId val="225368704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53671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'PMM Bridge'!$AE$84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Bridge'!$AF$84:$AN$84</c:f>
              <c:numCache>
                <c:formatCode>General</c:formatCode>
                <c:ptCount val="9"/>
                <c:pt idx="0">
                  <c:v>78.503372506695484</c:v>
                </c:pt>
                <c:pt idx="1">
                  <c:v>78.503372506695484</c:v>
                </c:pt>
                <c:pt idx="2">
                  <c:v>78.503372506695484</c:v>
                </c:pt>
                <c:pt idx="3">
                  <c:v>78.503372506695484</c:v>
                </c:pt>
                <c:pt idx="4">
                  <c:v>78.503372506695484</c:v>
                </c:pt>
                <c:pt idx="5">
                  <c:v>78.503372506695484</c:v>
                </c:pt>
                <c:pt idx="6">
                  <c:v>78.503372506695484</c:v>
                </c:pt>
                <c:pt idx="7">
                  <c:v>78.503372506695484</c:v>
                </c:pt>
                <c:pt idx="8">
                  <c:v>78.503372506695484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AA-4BA1-B3A8-8BC2B9A24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6567680"/>
        <c:axId val="226569216"/>
      </c:barChart>
      <c:barChart>
        <c:barDir val="col"/>
        <c:grouping val="stacked"/>
        <c:varyColors val="0"/>
        <c:ser>
          <c:idx val="3"/>
          <c:order val="3"/>
          <c:tx>
            <c:strRef>
              <c:f>'PMM Bridge'!$AE$80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Bridge'!$AF$80:$AN$80</c:f>
              <c:numCache>
                <c:formatCode>General</c:formatCode>
                <c:ptCount val="9"/>
                <c:pt idx="0">
                  <c:v>17.309740388681469</c:v>
                </c:pt>
                <c:pt idx="1">
                  <c:v>17.309740388681469</c:v>
                </c:pt>
                <c:pt idx="2">
                  <c:v>17.309740388681469</c:v>
                </c:pt>
                <c:pt idx="3">
                  <c:v>17.309740388681469</c:v>
                </c:pt>
                <c:pt idx="4">
                  <c:v>17.309740388681469</c:v>
                </c:pt>
                <c:pt idx="5">
                  <c:v>17.309740388681469</c:v>
                </c:pt>
                <c:pt idx="6">
                  <c:v>17.309740388681469</c:v>
                </c:pt>
                <c:pt idx="7">
                  <c:v>17.309740388681469</c:v>
                </c:pt>
                <c:pt idx="8">
                  <c:v>17.309740388681469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AA-4BA1-B3A8-8BC2B9A24C57}"/>
            </c:ext>
          </c:extLst>
        </c:ser>
        <c:ser>
          <c:idx val="4"/>
          <c:order val="4"/>
          <c:tx>
            <c:strRef>
              <c:f>'PMM Bridge'!$AE$79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Bridge'!$AF$79:$AN$79</c:f>
              <c:numCache>
                <c:formatCode>General</c:formatCode>
                <c:ptCount val="9"/>
                <c:pt idx="0">
                  <c:v>61.539826925787644</c:v>
                </c:pt>
                <c:pt idx="1">
                  <c:v>61.539826925787644</c:v>
                </c:pt>
                <c:pt idx="2">
                  <c:v>62.911632780237085</c:v>
                </c:pt>
                <c:pt idx="3">
                  <c:v>62.68396737297234</c:v>
                </c:pt>
                <c:pt idx="4">
                  <c:v>62.444442094071405</c:v>
                </c:pt>
                <c:pt idx="5">
                  <c:v>62.325883749058605</c:v>
                </c:pt>
                <c:pt idx="6">
                  <c:v>61.850504299219487</c:v>
                </c:pt>
                <c:pt idx="7">
                  <c:v>61.850504299219487</c:v>
                </c:pt>
                <c:pt idx="8">
                  <c:v>61.539826925787644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AA-4BA1-B3A8-8BC2B9A24C57}"/>
            </c:ext>
          </c:extLst>
        </c:ser>
        <c:ser>
          <c:idx val="5"/>
          <c:order val="5"/>
          <c:tx>
            <c:strRef>
              <c:f>'PMM Bridge'!$AE$78</c:f>
              <c:strCache>
                <c:ptCount val="1"/>
                <c:pt idx="0">
                  <c:v>Var-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85000"/>
                      <a:shade val="30000"/>
                      <a:satMod val="115000"/>
                    </a:schemeClr>
                  </a:gs>
                  <a:gs pos="50000">
                    <a:schemeClr val="bg1">
                      <a:lumMod val="8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8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86AA-4BA1-B3A8-8BC2B9A24C57}"/>
              </c:ext>
            </c:extLst>
          </c:dPt>
          <c:val>
            <c:numRef>
              <c:f>'PMM Bridge'!$AF$78:$AN$78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0.7671193929508977</c:v>
                </c:pt>
                <c:pt idx="3">
                  <c:v>0.22766540726472925</c:v>
                </c:pt>
                <c:pt idx="4">
                  <c:v>0.23952527890094588</c:v>
                </c:pt>
                <c:pt idx="5">
                  <c:v>0.11855834501279527</c:v>
                </c:pt>
                <c:pt idx="6">
                  <c:v>0.47537944983911384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AA-4BA1-B3A8-8BC2B9A24C57}"/>
            </c:ext>
          </c:extLst>
        </c:ser>
        <c:ser>
          <c:idx val="6"/>
          <c:order val="6"/>
          <c:tx>
            <c:strRef>
              <c:f>'PMM Bridge'!$AE$77</c:f>
              <c:strCache>
                <c:ptCount val="1"/>
                <c:pt idx="0">
                  <c:v>Var+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val>
            <c:numRef>
              <c:f>'PMM Bridge'!$AF$77:$AN$77</c:f>
              <c:numCache>
                <c:formatCode>General</c:formatCode>
                <c:ptCount val="9"/>
                <c:pt idx="0">
                  <c:v>0</c:v>
                </c:pt>
                <c:pt idx="1">
                  <c:v>2.13892524740033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0.34144394738529993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AA-4BA1-B3A8-8BC2B9A24C57}"/>
            </c:ext>
          </c:extLst>
        </c:ser>
        <c:ser>
          <c:idx val="7"/>
          <c:order val="7"/>
          <c:tx>
            <c:strRef>
              <c:f>'PMM Bridge'!$AE$76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Bridge'!$AF$76:$AN$76</c:f>
              <c:numCache>
                <c:formatCode>General</c:formatCode>
                <c:ptCount val="9"/>
                <c:pt idx="0">
                  <c:v>3.8406922968494119</c:v>
                </c:pt>
                <c:pt idx="1">
                  <c:v>1.7017670494490822</c:v>
                </c:pt>
                <c:pt idx="2">
                  <c:v>1.7017670494490822</c:v>
                </c:pt>
                <c:pt idx="3">
                  <c:v>2.4688864423999801</c:v>
                </c:pt>
                <c:pt idx="4">
                  <c:v>2.6965518496647096</c:v>
                </c:pt>
                <c:pt idx="5">
                  <c:v>2.9360771285656551</c:v>
                </c:pt>
                <c:pt idx="6">
                  <c:v>3.0546354735784504</c:v>
                </c:pt>
                <c:pt idx="7">
                  <c:v>3.5300149234175646</c:v>
                </c:pt>
                <c:pt idx="8">
                  <c:v>3.4992483494641125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AA-4BA1-B3A8-8BC2B9A24C57}"/>
            </c:ext>
          </c:extLst>
        </c:ser>
        <c:ser>
          <c:idx val="8"/>
          <c:order val="8"/>
          <c:tx>
            <c:strRef>
              <c:f>'PMM Bridge'!$AE$75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Bridge'!$AF$75:$AN$75</c:f>
              <c:numCache>
                <c:formatCode>General</c:formatCode>
                <c:ptCount val="9"/>
                <c:pt idx="0">
                  <c:v>17.309740388681469</c:v>
                </c:pt>
                <c:pt idx="1">
                  <c:v>17.309740388681469</c:v>
                </c:pt>
                <c:pt idx="2">
                  <c:v>17.309740388681469</c:v>
                </c:pt>
                <c:pt idx="3">
                  <c:v>17.309740388681469</c:v>
                </c:pt>
                <c:pt idx="4">
                  <c:v>17.309740388681469</c:v>
                </c:pt>
                <c:pt idx="5">
                  <c:v>17.309740388681469</c:v>
                </c:pt>
                <c:pt idx="6">
                  <c:v>17.309740388681469</c:v>
                </c:pt>
                <c:pt idx="7">
                  <c:v>17.309740388681469</c:v>
                </c:pt>
                <c:pt idx="8">
                  <c:v>17.309740388681469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AA-4BA1-B3A8-8BC2B9A24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6611968"/>
        <c:axId val="226613504"/>
      </c:barChart>
      <c:scatterChart>
        <c:scatterStyle val="lineMarker"/>
        <c:varyColors val="0"/>
        <c:ser>
          <c:idx val="12"/>
          <c:order val="0"/>
          <c:tx>
            <c:strRef>
              <c:f>'PMM Bridge'!$AE$68</c:f>
              <c:strCache>
                <c:ptCount val="1"/>
                <c:pt idx="0">
                  <c:v>Water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'PMM Bridge'!$AF$69:$AU$69</c:f>
              <c:numCache>
                <c:formatCode>0.00</c:formatCode>
                <c:ptCount val="16"/>
                <c:pt idx="0">
                  <c:v>0.6</c:v>
                </c:pt>
                <c:pt idx="1">
                  <c:v>1.6</c:v>
                </c:pt>
                <c:pt idx="2">
                  <c:v>1.6</c:v>
                </c:pt>
                <c:pt idx="3">
                  <c:v>2.6</c:v>
                </c:pt>
                <c:pt idx="4">
                  <c:v>2.6</c:v>
                </c:pt>
                <c:pt idx="5">
                  <c:v>3.6</c:v>
                </c:pt>
                <c:pt idx="6">
                  <c:v>3.6</c:v>
                </c:pt>
                <c:pt idx="7">
                  <c:v>4.5999999999999996</c:v>
                </c:pt>
                <c:pt idx="8">
                  <c:v>4.5999999999999996</c:v>
                </c:pt>
                <c:pt idx="9">
                  <c:v>5.6</c:v>
                </c:pt>
                <c:pt idx="10">
                  <c:v>5.6</c:v>
                </c:pt>
                <c:pt idx="11">
                  <c:v>6.6</c:v>
                </c:pt>
                <c:pt idx="12">
                  <c:v>6.6</c:v>
                </c:pt>
                <c:pt idx="13">
                  <c:v>7.6</c:v>
                </c:pt>
                <c:pt idx="14">
                  <c:v>7.6</c:v>
                </c:pt>
                <c:pt idx="15">
                  <c:v>8.6</c:v>
                </c:pt>
              </c:numCache>
            </c:numRef>
          </c:xVal>
          <c:yVal>
            <c:numRef>
              <c:f>'PMM Bridge'!$AF$90:$AU$90</c:f>
              <c:numCache>
                <c:formatCode>General</c:formatCode>
                <c:ptCount val="16"/>
                <c:pt idx="0">
                  <c:v>78.84956731446907</c:v>
                </c:pt>
                <c:pt idx="1">
                  <c:v>78.84956731446907</c:v>
                </c:pt>
                <c:pt idx="2">
                  <c:v>80.988492561869393</c:v>
                </c:pt>
                <c:pt idx="3">
                  <c:v>80.988492561869393</c:v>
                </c:pt>
                <c:pt idx="4">
                  <c:v>80.221373168918504</c:v>
                </c:pt>
                <c:pt idx="5">
                  <c:v>80.221373168918504</c:v>
                </c:pt>
                <c:pt idx="6">
                  <c:v>79.993707761653766</c:v>
                </c:pt>
                <c:pt idx="7">
                  <c:v>79.993707761653766</c:v>
                </c:pt>
                <c:pt idx="8">
                  <c:v>79.754182482752825</c:v>
                </c:pt>
                <c:pt idx="9">
                  <c:v>79.754182482752825</c:v>
                </c:pt>
                <c:pt idx="10">
                  <c:v>79.635624137740038</c:v>
                </c:pt>
                <c:pt idx="11">
                  <c:v>79.635624137740038</c:v>
                </c:pt>
                <c:pt idx="12">
                  <c:v>79.160244687900914</c:v>
                </c:pt>
                <c:pt idx="13">
                  <c:v>79.160244687900914</c:v>
                </c:pt>
                <c:pt idx="14">
                  <c:v>79.160244687900914</c:v>
                </c:pt>
                <c:pt idx="15">
                  <c:v>79.160244687900914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6AA-4BA1-B3A8-8BC2B9A24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67680"/>
        <c:axId val="226569216"/>
      </c:scatterChart>
      <c:scatterChart>
        <c:scatterStyle val="lineMarker"/>
        <c:varyColors val="0"/>
        <c:ser>
          <c:idx val="13"/>
          <c:order val="1"/>
          <c:tx>
            <c:v>ZoomVal</c:v>
          </c:tx>
          <c:spPr>
            <a:ln w="25400">
              <a:noFill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Bridge'!$AV$76</c:f>
              <c:numCache>
                <c:formatCode>General</c:formatCode>
                <c:ptCount val="1"/>
                <c:pt idx="0">
                  <c:v>-78.84956731446907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6AA-4BA1-B3A8-8BC2B9A24C57}"/>
            </c:ext>
          </c:extLst>
        </c:ser>
        <c:ser>
          <c:idx val="9"/>
          <c:order val="9"/>
          <c:tx>
            <c:strRef>
              <c:f>'PMM Bridge'!$AE$63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82.349567314469112</c:v>
                </c:pt>
                <c:pt idx="1">
                  <c:v>84.48849256186945</c:v>
                </c:pt>
                <c:pt idx="2">
                  <c:v>76.721373168918547</c:v>
                </c:pt>
                <c:pt idx="3">
                  <c:v>76.493707761653823</c:v>
                </c:pt>
                <c:pt idx="4">
                  <c:v>76.254182482752881</c:v>
                </c:pt>
                <c:pt idx="5">
                  <c:v>76.135624137740081</c:v>
                </c:pt>
                <c:pt idx="6">
                  <c:v>75.660244687900956</c:v>
                </c:pt>
                <c:pt idx="7">
                  <c:v>82.660244687900956</c:v>
                </c:pt>
                <c:pt idx="8">
                  <c:v>82.660244687900956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6AA-4BA1-B3A8-8BC2B9A24C57}"/>
            </c:ext>
          </c:extLst>
        </c:ser>
        <c:ser>
          <c:idx val="10"/>
          <c:order val="10"/>
          <c:tx>
            <c:strRef>
              <c:f>'PMM Bridge'!$AE$64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82.349567314469112</c:v>
                </c:pt>
                <c:pt idx="1">
                  <c:v>84.48849256186945</c:v>
                </c:pt>
                <c:pt idx="2">
                  <c:v>76.721373168918547</c:v>
                </c:pt>
                <c:pt idx="3">
                  <c:v>76.493707761653823</c:v>
                </c:pt>
                <c:pt idx="4">
                  <c:v>76.254182482752881</c:v>
                </c:pt>
                <c:pt idx="5">
                  <c:v>76.135624137740081</c:v>
                </c:pt>
                <c:pt idx="6">
                  <c:v>75.660244687900956</c:v>
                </c:pt>
                <c:pt idx="7">
                  <c:v>82.660244687900956</c:v>
                </c:pt>
                <c:pt idx="8">
                  <c:v>82.660244687900956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6AA-4BA1-B3A8-8BC2B9A24C57}"/>
            </c:ext>
          </c:extLst>
        </c:ser>
        <c:ser>
          <c:idx val="11"/>
          <c:order val="11"/>
          <c:tx>
            <c:strRef>
              <c:f>'PMM Bridge'!$AE$66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Bridge'!$AF$87:$AN$87</c:f>
              <c:numCache>
                <c:formatCode>General</c:formatCode>
                <c:ptCount val="9"/>
                <c:pt idx="0">
                  <c:v>87.599567314469056</c:v>
                </c:pt>
                <c:pt idx="1">
                  <c:v>89.738492561869393</c:v>
                </c:pt>
                <c:pt idx="2">
                  <c:v>71.47137316891849</c:v>
                </c:pt>
                <c:pt idx="3">
                  <c:v>71.243707761653766</c:v>
                </c:pt>
                <c:pt idx="4">
                  <c:v>71.004182482752825</c:v>
                </c:pt>
                <c:pt idx="5">
                  <c:v>70.885624137740038</c:v>
                </c:pt>
                <c:pt idx="6">
                  <c:v>70.410244687900914</c:v>
                </c:pt>
                <c:pt idx="7">
                  <c:v>87.910244687900914</c:v>
                </c:pt>
                <c:pt idx="8">
                  <c:v>87.910244687900914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6AA-4BA1-B3A8-8BC2B9A24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11968"/>
        <c:axId val="226613504"/>
      </c:scatterChart>
      <c:catAx>
        <c:axId val="226567680"/>
        <c:scaling>
          <c:orientation val="minMax"/>
        </c:scaling>
        <c:delete val="1"/>
        <c:axPos val="b"/>
        <c:majorTickMark val="out"/>
        <c:minorTickMark val="none"/>
        <c:tickLblPos val="nextTo"/>
        <c:crossAx val="226569216"/>
        <c:crosses val="autoZero"/>
        <c:auto val="1"/>
        <c:lblAlgn val="ctr"/>
        <c:lblOffset val="100"/>
        <c:noMultiLvlLbl val="0"/>
      </c:catAx>
      <c:valAx>
        <c:axId val="22656921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6567680"/>
        <c:crosses val="autoZero"/>
        <c:crossBetween val="between"/>
      </c:valAx>
      <c:catAx>
        <c:axId val="226611968"/>
        <c:scaling>
          <c:orientation val="minMax"/>
        </c:scaling>
        <c:delete val="1"/>
        <c:axPos val="b"/>
        <c:majorTickMark val="out"/>
        <c:minorTickMark val="none"/>
        <c:tickLblPos val="nextTo"/>
        <c:crossAx val="226613504"/>
        <c:crosses val="autoZero"/>
        <c:auto val="1"/>
        <c:lblAlgn val="ctr"/>
        <c:lblOffset val="100"/>
        <c:noMultiLvlLbl val="0"/>
      </c:catAx>
      <c:valAx>
        <c:axId val="226613504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66119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'PMM Bridge'!$AY$84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Bridge'!$AZ$84:$BH$84</c:f>
              <c:numCache>
                <c:formatCode>General</c:formatCode>
                <c:ptCount val="9"/>
                <c:pt idx="0">
                  <c:v>78.503372506695484</c:v>
                </c:pt>
                <c:pt idx="1">
                  <c:v>78.503372506695484</c:v>
                </c:pt>
                <c:pt idx="2">
                  <c:v>78.503372506695484</c:v>
                </c:pt>
                <c:pt idx="3">
                  <c:v>78.503372506695484</c:v>
                </c:pt>
                <c:pt idx="4">
                  <c:v>78.503372506695484</c:v>
                </c:pt>
                <c:pt idx="5">
                  <c:v>78.503372506695484</c:v>
                </c:pt>
                <c:pt idx="6">
                  <c:v>78.503372506695484</c:v>
                </c:pt>
                <c:pt idx="7">
                  <c:v>78.503372506695484</c:v>
                </c:pt>
                <c:pt idx="8">
                  <c:v>78.503372506695484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4-4C7C-8394-C815679F727D}"/>
            </c:ext>
          </c:extLst>
        </c:ser>
        <c:ser>
          <c:idx val="1"/>
          <c:order val="2"/>
          <c:tx>
            <c:strRef>
              <c:f>'PMM Bridge'!$AY$83</c:f>
              <c:strCache>
                <c:ptCount val="1"/>
                <c:pt idx="0">
                  <c:v>axis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val>
            <c:numRef>
              <c:f>'PMM Bridge'!$AZ$83:$BH$83</c:f>
              <c:numCache>
                <c:formatCode>General</c:formatCode>
                <c:ptCount val="9"/>
                <c:pt idx="0">
                  <c:v>0.69238961554725875</c:v>
                </c:pt>
                <c:pt idx="1">
                  <c:v>0.69238961554725875</c:v>
                </c:pt>
                <c:pt idx="2">
                  <c:v>0.69238961554725875</c:v>
                </c:pt>
                <c:pt idx="3">
                  <c:v>0.69238961554725875</c:v>
                </c:pt>
                <c:pt idx="4">
                  <c:v>0.69238961554725875</c:v>
                </c:pt>
                <c:pt idx="5">
                  <c:v>0.69238961554725875</c:v>
                </c:pt>
                <c:pt idx="6">
                  <c:v>0.69238961554725875</c:v>
                </c:pt>
                <c:pt idx="7">
                  <c:v>0.69238961554725875</c:v>
                </c:pt>
                <c:pt idx="8">
                  <c:v>0.69238961554725875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A4-4C7C-8394-C815679F727D}"/>
            </c:ext>
          </c:extLst>
        </c:ser>
        <c:ser>
          <c:idx val="0"/>
          <c:order val="3"/>
          <c:tx>
            <c:strRef>
              <c:f>'PMM Bridge'!$AY$82</c:f>
              <c:strCache>
                <c:ptCount val="1"/>
                <c:pt idx="0">
                  <c:v>axis+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Bridge'!$AZ$82:$BH$82</c:f>
              <c:numCache>
                <c:formatCode>General</c:formatCode>
                <c:ptCount val="9"/>
                <c:pt idx="0">
                  <c:v>20.804237877757252</c:v>
                </c:pt>
                <c:pt idx="1">
                  <c:v>20.804237877757252</c:v>
                </c:pt>
                <c:pt idx="2">
                  <c:v>20.804237877757252</c:v>
                </c:pt>
                <c:pt idx="3">
                  <c:v>20.804237877757252</c:v>
                </c:pt>
                <c:pt idx="4">
                  <c:v>20.804237877757252</c:v>
                </c:pt>
                <c:pt idx="5">
                  <c:v>20.804237877757252</c:v>
                </c:pt>
                <c:pt idx="6">
                  <c:v>20.804237877757252</c:v>
                </c:pt>
                <c:pt idx="7">
                  <c:v>20.804237877757252</c:v>
                </c:pt>
                <c:pt idx="8">
                  <c:v>20.804237877757252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A4-4C7C-8394-C815679F7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6680192"/>
        <c:axId val="226694272"/>
      </c:barChart>
      <c:barChart>
        <c:barDir val="col"/>
        <c:grouping val="stacked"/>
        <c:varyColors val="0"/>
        <c:ser>
          <c:idx val="3"/>
          <c:order val="4"/>
          <c:tx>
            <c:strRef>
              <c:f>'PMM Bridge'!$AY$80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Bridge'!$AZ$80:$BH$80</c:f>
              <c:numCache>
                <c:formatCode>General</c:formatCode>
                <c:ptCount val="9"/>
                <c:pt idx="0">
                  <c:v>17.309740388681469</c:v>
                </c:pt>
                <c:pt idx="1">
                  <c:v>17.309740388681469</c:v>
                </c:pt>
                <c:pt idx="2">
                  <c:v>17.309740388681469</c:v>
                </c:pt>
                <c:pt idx="3">
                  <c:v>17.309740388681469</c:v>
                </c:pt>
                <c:pt idx="4">
                  <c:v>17.309740388681469</c:v>
                </c:pt>
                <c:pt idx="5">
                  <c:v>17.309740388681469</c:v>
                </c:pt>
                <c:pt idx="6">
                  <c:v>17.309740388681469</c:v>
                </c:pt>
                <c:pt idx="7">
                  <c:v>17.309740388681469</c:v>
                </c:pt>
                <c:pt idx="8">
                  <c:v>17.309740388681469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A4-4C7C-8394-C815679F727D}"/>
            </c:ext>
          </c:extLst>
        </c:ser>
        <c:ser>
          <c:idx val="4"/>
          <c:order val="5"/>
          <c:tx>
            <c:strRef>
              <c:f>'PMM Bridge'!$AY$79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Bridge'!$AZ$79:$BH$79</c:f>
              <c:numCache>
                <c:formatCode>General</c:formatCode>
                <c:ptCount val="9"/>
                <c:pt idx="0">
                  <c:v>61.539826925787644</c:v>
                </c:pt>
                <c:pt idx="1">
                  <c:v>0</c:v>
                </c:pt>
                <c:pt idx="2">
                  <c:v>4.4954940130715065E-15</c:v>
                </c:pt>
                <c:pt idx="3">
                  <c:v>0.13830624408447023</c:v>
                </c:pt>
                <c:pt idx="4">
                  <c:v>0.15040503909924691</c:v>
                </c:pt>
                <c:pt idx="5">
                  <c:v>0.23458169029674369</c:v>
                </c:pt>
                <c:pt idx="6">
                  <c:v>0.19121274478468236</c:v>
                </c:pt>
                <c:pt idx="7">
                  <c:v>0.19121274478468236</c:v>
                </c:pt>
                <c:pt idx="8">
                  <c:v>61.539826925787644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A4-4C7C-8394-C815679F727D}"/>
            </c:ext>
          </c:extLst>
        </c:ser>
        <c:ser>
          <c:idx val="5"/>
          <c:order val="6"/>
          <c:tx>
            <c:strRef>
              <c:f>'PMM Bridge'!$AY$78</c:f>
              <c:strCache>
                <c:ptCount val="1"/>
                <c:pt idx="0">
                  <c:v>Var-</c:v>
                </c:pt>
              </c:strCache>
            </c:strRef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B7A4-4C7C-8394-C815679F72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B7A4-4C7C-8394-C815679F727D}"/>
              </c:ext>
            </c:extLst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B7A4-4C7C-8394-C815679F727D}"/>
              </c:ext>
            </c:extLst>
          </c:dPt>
          <c:val>
            <c:numRef>
              <c:f>'PMM Bridge'!$AZ$78:$BH$78</c:f>
              <c:numCache>
                <c:formatCode>General</c:formatCode>
                <c:ptCount val="9"/>
                <c:pt idx="0">
                  <c:v>0</c:v>
                </c:pt>
                <c:pt idx="1">
                  <c:v>65.380519222637062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0.10903828466872285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A4-4C7C-8394-C815679F727D}"/>
            </c:ext>
          </c:extLst>
        </c:ser>
        <c:ser>
          <c:idx val="6"/>
          <c:order val="7"/>
          <c:tx>
            <c:strRef>
              <c:f>'PMM Bridge'!$AY$77</c:f>
              <c:strCache>
                <c:ptCount val="1"/>
                <c:pt idx="0">
                  <c:v>Var+</c:v>
                </c:pt>
              </c:strCache>
            </c:strRef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B7A4-4C7C-8394-C815679F727D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E-B7A4-4C7C-8394-C815679F727D}"/>
              </c:ext>
            </c:extLst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0-B7A4-4C7C-8394-C815679F727D}"/>
              </c:ext>
            </c:extLst>
          </c:dPt>
          <c:val>
            <c:numRef>
              <c:f>'PMM Bridge'!$AZ$77:$BH$77</c:f>
              <c:numCache>
                <c:formatCode>General</c:formatCode>
                <c:ptCount val="9"/>
                <c:pt idx="0">
                  <c:v>3.8406922968494119</c:v>
                </c:pt>
                <c:pt idx="1">
                  <c:v>0</c:v>
                </c:pt>
                <c:pt idx="2">
                  <c:v>0.13830624408446349</c:v>
                </c:pt>
                <c:pt idx="3">
                  <c:v>1.2098795014776696E-2</c:v>
                </c:pt>
                <c:pt idx="4">
                  <c:v>8.4176651197500146E-2</c:v>
                </c:pt>
                <c:pt idx="5">
                  <c:v>6.5669339156663772E-2</c:v>
                </c:pt>
                <c:pt idx="6">
                  <c:v>0</c:v>
                </c:pt>
                <c:pt idx="7">
                  <c:v>61.728844411100724</c:v>
                </c:pt>
                <c:pt idx="8">
                  <c:v>0.34144394738529993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7A4-4C7C-8394-C815679F727D}"/>
            </c:ext>
          </c:extLst>
        </c:ser>
        <c:ser>
          <c:idx val="7"/>
          <c:order val="8"/>
          <c:tx>
            <c:strRef>
              <c:f>'PMM Bridge'!$AY$76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Bridge'!$AZ$76:$BH$76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65.242212978552587</c:v>
                </c:pt>
                <c:pt idx="3">
                  <c:v>65.230114183537808</c:v>
                </c:pt>
                <c:pt idx="4">
                  <c:v>65.145937532340298</c:v>
                </c:pt>
                <c:pt idx="5">
                  <c:v>65.080268193183642</c:v>
                </c:pt>
                <c:pt idx="6">
                  <c:v>65.080268193183642</c:v>
                </c:pt>
                <c:pt idx="7">
                  <c:v>3.4604620667516461</c:v>
                </c:pt>
                <c:pt idx="8">
                  <c:v>3.4992483494641125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7A4-4C7C-8394-C815679F727D}"/>
            </c:ext>
          </c:extLst>
        </c:ser>
        <c:ser>
          <c:idx val="8"/>
          <c:order val="9"/>
          <c:tx>
            <c:strRef>
              <c:f>'PMM Bridge'!$AY$75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Bridge'!$AZ$75:$BH$75</c:f>
              <c:numCache>
                <c:formatCode>General</c:formatCode>
                <c:ptCount val="9"/>
                <c:pt idx="0">
                  <c:v>17.309740388681469</c:v>
                </c:pt>
                <c:pt idx="1">
                  <c:v>17.309740388681469</c:v>
                </c:pt>
                <c:pt idx="2">
                  <c:v>17.309740388681469</c:v>
                </c:pt>
                <c:pt idx="3">
                  <c:v>17.309740388681469</c:v>
                </c:pt>
                <c:pt idx="4">
                  <c:v>17.309740388681469</c:v>
                </c:pt>
                <c:pt idx="5">
                  <c:v>17.309740388681469</c:v>
                </c:pt>
                <c:pt idx="6">
                  <c:v>17.309740388681469</c:v>
                </c:pt>
                <c:pt idx="7">
                  <c:v>17.309740388681469</c:v>
                </c:pt>
                <c:pt idx="8">
                  <c:v>17.309740388681469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7A4-4C7C-8394-C815679F7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6695808"/>
        <c:axId val="226701696"/>
      </c:barChart>
      <c:scatterChart>
        <c:scatterStyle val="lineMarker"/>
        <c:varyColors val="0"/>
        <c:ser>
          <c:idx val="13"/>
          <c:order val="0"/>
          <c:tx>
            <c:v>ZoomVal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Bridge'!$BA$31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{0CAA35AA-3027-4692-A3D6-6FA5E8C184C8}</c15:txfldGUID>
                      <c15:f>'PMM Bridge'!$BA$31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B7A4-4C7C-8394-C815679F727D}"/>
                </c:ext>
              </c:extLst>
            </c:dLbl>
            <c:spPr>
              <a:solidFill>
                <a:schemeClr val="bg1"/>
              </a:solidFill>
              <a:ln w="12700">
                <a:solidFill>
                  <a:srgbClr val="FF0000"/>
                </a:solidFill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Bridge'!$BP$76</c:f>
              <c:numCache>
                <c:formatCode>General</c:formatCode>
                <c:ptCount val="1"/>
                <c:pt idx="0">
                  <c:v>-78.84956731446907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7A4-4C7C-8394-C815679F727D}"/>
            </c:ext>
          </c:extLst>
        </c:ser>
        <c:ser>
          <c:idx val="9"/>
          <c:order val="10"/>
          <c:tx>
            <c:strRef>
              <c:f>'PMM Bridge'!$AY$63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86.190259611318552</c:v>
                </c:pt>
                <c:pt idx="1">
                  <c:v>13.809740388681446</c:v>
                </c:pt>
                <c:pt idx="2">
                  <c:v>20.948046632765912</c:v>
                </c:pt>
                <c:pt idx="3">
                  <c:v>20.960145427780692</c:v>
                </c:pt>
                <c:pt idx="4">
                  <c:v>21.04432207897819</c:v>
                </c:pt>
                <c:pt idx="5">
                  <c:v>21.10999141813485</c:v>
                </c:pt>
                <c:pt idx="6">
                  <c:v>14.000953133466126</c:v>
                </c:pt>
                <c:pt idx="7">
                  <c:v>82.729797544566864</c:v>
                </c:pt>
                <c:pt idx="8">
                  <c:v>82.729797544566864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7A4-4C7C-8394-C815679F727D}"/>
            </c:ext>
          </c:extLst>
        </c:ser>
        <c:ser>
          <c:idx val="10"/>
          <c:order val="11"/>
          <c:tx>
            <c:strRef>
              <c:f>'PMM Bridge'!$AY$64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86.190259611318552</c:v>
                </c:pt>
                <c:pt idx="1">
                  <c:v>13.809740388681446</c:v>
                </c:pt>
                <c:pt idx="2">
                  <c:v>20.948046632765912</c:v>
                </c:pt>
                <c:pt idx="3">
                  <c:v>20.960145427780692</c:v>
                </c:pt>
                <c:pt idx="4">
                  <c:v>21.04432207897819</c:v>
                </c:pt>
                <c:pt idx="5">
                  <c:v>21.10999141813485</c:v>
                </c:pt>
                <c:pt idx="6">
                  <c:v>14.000953133466126</c:v>
                </c:pt>
                <c:pt idx="7">
                  <c:v>82.729797544566864</c:v>
                </c:pt>
                <c:pt idx="8">
                  <c:v>82.729797544566864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7A4-4C7C-8394-C815679F727D}"/>
            </c:ext>
          </c:extLst>
        </c:ser>
        <c:ser>
          <c:idx val="11"/>
          <c:order val="12"/>
          <c:tx>
            <c:strRef>
              <c:f>'PMM Bridge'!$AY$66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Bridge'!$AZ$47</c:f>
                  <c:strCache>
                    <c:ptCount val="1"/>
                    <c:pt idx="0">
                      <c:v>Actual N-1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{A2A9E9BE-1AF9-4FFB-8920-97333E6FEE60}</c15:txfldGUID>
                      <c15:f>'PMM Bridge'!$AZ$47</c15:f>
                      <c15:dlblFieldTableCache>
                        <c:ptCount val="1"/>
                        <c:pt idx="0">
                          <c:v>Actual N-1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B7A4-4C7C-8394-C815679F727D}"/>
                </c:ext>
              </c:extLst>
            </c:dLbl>
            <c:dLbl>
              <c:idx val="1"/>
              <c:tx>
                <c:strRef>
                  <c:f>'PMM Bridge'!$BA$47</c:f>
                  <c:strCache>
                    <c:ptCount val="1"/>
                    <c:pt idx="0">
                      <c:v>ROA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{122594C5-25FC-438D-8EE1-5C6D878C6E48}</c15:txfldGUID>
                      <c15:f>'PMM Bridge'!$BA$47</c15:f>
                      <c15:dlblFieldTableCache>
                        <c:ptCount val="1"/>
                        <c:pt idx="0">
                          <c:v>ROA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B7A4-4C7C-8394-C815679F727D}"/>
                </c:ext>
              </c:extLst>
            </c:dLbl>
            <c:dLbl>
              <c:idx val="2"/>
              <c:tx>
                <c:strRef>
                  <c:f>'PMM Bridge'!$BB$47</c:f>
                  <c:strCache>
                    <c:ptCount val="1"/>
                    <c:pt idx="0">
                      <c:v>D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{1A1C1DD4-FAE5-48A5-B7B6-7E5A13420780}</c15:txfldGUID>
                      <c15:f>'PMM Bridge'!$BB$47</c15:f>
                      <c15:dlblFieldTableCache>
                        <c:ptCount val="1"/>
                        <c:pt idx="0">
                          <c:v>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B7A4-4C7C-8394-C815679F727D}"/>
                </c:ext>
              </c:extLst>
            </c:dLbl>
            <c:dLbl>
              <c:idx val="3"/>
              <c:tx>
                <c:strRef>
                  <c:f>'PMM Bridge'!$BC$47</c:f>
                  <c:strCache>
                    <c:ptCount val="1"/>
                    <c:pt idx="0">
                      <c:v>M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{01534FFA-FEA2-4124-84FD-C680A588B873}</c15:txfldGUID>
                      <c15:f>'PMM Bridge'!$BC$47</c15:f>
                      <c15:dlblFieldTableCache>
                        <c:ptCount val="1"/>
                        <c:pt idx="0">
                          <c:v>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B7A4-4C7C-8394-C815679F727D}"/>
                </c:ext>
              </c:extLst>
            </c:dLbl>
            <c:dLbl>
              <c:idx val="4"/>
              <c:tx>
                <c:strRef>
                  <c:f>'PMM Bridge'!$BD$47</c:f>
                  <c:strCache>
                    <c:ptCount val="1"/>
                    <c:pt idx="0">
                      <c:v>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{35A5CD9C-03C0-4702-99BE-5E6984925C31}</c15:txfldGUID>
                      <c15:f>'PMM Bridge'!$BD$47</c15:f>
                      <c15:dlblFieldTableCache>
                        <c:ptCount val="1"/>
                        <c:pt idx="0">
                          <c:v>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B7A4-4C7C-8394-C815679F727D}"/>
                </c:ext>
              </c:extLst>
            </c:dLbl>
            <c:dLbl>
              <c:idx val="5"/>
              <c:tx>
                <c:strRef>
                  <c:f>'PMM Bridge'!$BE$47</c:f>
                  <c:strCache>
                    <c:ptCount val="1"/>
                    <c:pt idx="0">
                      <c:v>F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{5FDF4222-1434-476E-A4AD-1AAD6770B16B}</c15:txfldGUID>
                      <c15:f>'PMM Bridge'!$BE$47</c15:f>
                      <c15:dlblFieldTableCache>
                        <c:ptCount val="1"/>
                        <c:pt idx="0">
                          <c:v>F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B7A4-4C7C-8394-C815679F727D}"/>
                </c:ext>
              </c:extLst>
            </c:dLbl>
            <c:dLbl>
              <c:idx val="6"/>
              <c:tx>
                <c:strRef>
                  <c:f>'PMM Bridge'!$BF$47</c:f>
                  <c:strCache>
                    <c:ptCount val="1"/>
                    <c:pt idx="0">
                      <c:v>O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{88579FCA-888F-48A7-A730-B2BD0F89D807}</c15:txfldGUID>
                      <c15:f>'PMM Bridge'!$BF$47</c15:f>
                      <c15:dlblFieldTableCache>
                        <c:ptCount val="1"/>
                        <c:pt idx="0">
                          <c:v>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B7A4-4C7C-8394-C815679F727D}"/>
                </c:ext>
              </c:extLst>
            </c:dLbl>
            <c:dLbl>
              <c:idx val="7"/>
              <c:tx>
                <c:strRef>
                  <c:f>'PMM Bridge'!$BG$47</c:f>
                  <c:strCache>
                    <c:ptCount val="1"/>
                    <c:pt idx="0">
                      <c:v>Vol.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{E5A3317E-5A83-4DA6-9809-D5E87272B018}</c15:txfldGUID>
                      <c15:f>'PMM Bridge'!$BG$47</c15:f>
                      <c15:dlblFieldTableCache>
                        <c:ptCount val="1"/>
                        <c:pt idx="0">
                          <c:v>Vol.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B7A4-4C7C-8394-C815679F727D}"/>
                </c:ext>
              </c:extLst>
            </c:dLbl>
            <c:dLbl>
              <c:idx val="8"/>
              <c:tx>
                <c:strRef>
                  <c:f>'PMM Bridge'!$BH$47</c:f>
                  <c:strCache>
                    <c:ptCount val="1"/>
                    <c:pt idx="0">
                      <c:v>Actual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{A0C7EBAB-0B59-469B-A81F-1869992D995C}</c15:txfldGUID>
                      <c15:f>'PMM Bridge'!$BH$47</c15:f>
                      <c15:dlblFieldTableCache>
                        <c:ptCount val="1"/>
                        <c:pt idx="0">
                          <c:v>Actual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B7A4-4C7C-8394-C815679F72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'PMM Bridge'!$AZ$87:$BH$87</c:f>
              <c:numCache>
                <c:formatCode>General</c:formatCode>
                <c:ptCount val="9"/>
                <c:pt idx="0">
                  <c:v>91.440259611318538</c:v>
                </c:pt>
                <c:pt idx="1">
                  <c:v>8.559740388681444</c:v>
                </c:pt>
                <c:pt idx="2">
                  <c:v>26.198046632765916</c:v>
                </c:pt>
                <c:pt idx="3">
                  <c:v>26.210145427780692</c:v>
                </c:pt>
                <c:pt idx="4">
                  <c:v>26.294322078978194</c:v>
                </c:pt>
                <c:pt idx="5">
                  <c:v>26.359991418134854</c:v>
                </c:pt>
                <c:pt idx="6">
                  <c:v>8.7509531334661261</c:v>
                </c:pt>
                <c:pt idx="7">
                  <c:v>87.97979754456685</c:v>
                </c:pt>
                <c:pt idx="8">
                  <c:v>87.97979754456685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7A4-4C7C-8394-C815679F7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95808"/>
        <c:axId val="226701696"/>
      </c:scatterChart>
      <c:catAx>
        <c:axId val="226680192"/>
        <c:scaling>
          <c:orientation val="minMax"/>
        </c:scaling>
        <c:delete val="1"/>
        <c:axPos val="b"/>
        <c:majorTickMark val="out"/>
        <c:minorTickMark val="none"/>
        <c:tickLblPos val="nextTo"/>
        <c:crossAx val="226694272"/>
        <c:crosses val="autoZero"/>
        <c:auto val="1"/>
        <c:lblAlgn val="ctr"/>
        <c:lblOffset val="100"/>
        <c:noMultiLvlLbl val="0"/>
      </c:catAx>
      <c:valAx>
        <c:axId val="22669427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6680192"/>
        <c:crosses val="autoZero"/>
        <c:crossBetween val="between"/>
      </c:valAx>
      <c:catAx>
        <c:axId val="226695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26701696"/>
        <c:crosses val="autoZero"/>
        <c:auto val="1"/>
        <c:lblAlgn val="ctr"/>
        <c:lblOffset val="100"/>
        <c:noMultiLvlLbl val="0"/>
      </c:catAx>
      <c:valAx>
        <c:axId val="226701696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66958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'PMM Bridge'!$AY$84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Bridge'!$AZ$84:$BH$84</c:f>
              <c:numCache>
                <c:formatCode>General</c:formatCode>
                <c:ptCount val="9"/>
                <c:pt idx="0">
                  <c:v>78.503372506695484</c:v>
                </c:pt>
                <c:pt idx="1">
                  <c:v>78.503372506695484</c:v>
                </c:pt>
                <c:pt idx="2">
                  <c:v>78.503372506695484</c:v>
                </c:pt>
                <c:pt idx="3">
                  <c:v>78.503372506695484</c:v>
                </c:pt>
                <c:pt idx="4">
                  <c:v>78.503372506695484</c:v>
                </c:pt>
                <c:pt idx="5">
                  <c:v>78.503372506695484</c:v>
                </c:pt>
                <c:pt idx="6">
                  <c:v>78.503372506695484</c:v>
                </c:pt>
                <c:pt idx="7">
                  <c:v>78.503372506695484</c:v>
                </c:pt>
                <c:pt idx="8">
                  <c:v>78.503372506695484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B-4393-B727-0AD2845DF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6777728"/>
        <c:axId val="226779520"/>
      </c:barChart>
      <c:barChart>
        <c:barDir val="col"/>
        <c:grouping val="stacked"/>
        <c:varyColors val="0"/>
        <c:ser>
          <c:idx val="3"/>
          <c:order val="3"/>
          <c:tx>
            <c:strRef>
              <c:f>'PMM Bridge'!$AY$80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Bridge'!$AZ$80:$BH$80</c:f>
              <c:numCache>
                <c:formatCode>General</c:formatCode>
                <c:ptCount val="9"/>
                <c:pt idx="0">
                  <c:v>17.309740388681469</c:v>
                </c:pt>
                <c:pt idx="1">
                  <c:v>17.309740388681469</c:v>
                </c:pt>
                <c:pt idx="2">
                  <c:v>17.309740388681469</c:v>
                </c:pt>
                <c:pt idx="3">
                  <c:v>17.309740388681469</c:v>
                </c:pt>
                <c:pt idx="4">
                  <c:v>17.309740388681469</c:v>
                </c:pt>
                <c:pt idx="5">
                  <c:v>17.309740388681469</c:v>
                </c:pt>
                <c:pt idx="6">
                  <c:v>17.309740388681469</c:v>
                </c:pt>
                <c:pt idx="7">
                  <c:v>17.309740388681469</c:v>
                </c:pt>
                <c:pt idx="8">
                  <c:v>17.309740388681469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B-4393-B727-0AD2845DFFAF}"/>
            </c:ext>
          </c:extLst>
        </c:ser>
        <c:ser>
          <c:idx val="4"/>
          <c:order val="4"/>
          <c:tx>
            <c:strRef>
              <c:f>'PMM Bridge'!$AY$79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Bridge'!$AZ$79:$BH$79</c:f>
              <c:numCache>
                <c:formatCode>General</c:formatCode>
                <c:ptCount val="9"/>
                <c:pt idx="0">
                  <c:v>61.539826925787644</c:v>
                </c:pt>
                <c:pt idx="1">
                  <c:v>0</c:v>
                </c:pt>
                <c:pt idx="2">
                  <c:v>4.4954940130715065E-15</c:v>
                </c:pt>
                <c:pt idx="3">
                  <c:v>0.13830624408447023</c:v>
                </c:pt>
                <c:pt idx="4">
                  <c:v>0.15040503909924691</c:v>
                </c:pt>
                <c:pt idx="5">
                  <c:v>0.23458169029674369</c:v>
                </c:pt>
                <c:pt idx="6">
                  <c:v>0.19121274478468236</c:v>
                </c:pt>
                <c:pt idx="7">
                  <c:v>0.19121274478468236</c:v>
                </c:pt>
                <c:pt idx="8">
                  <c:v>61.539826925787644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B-4393-B727-0AD2845DFFAF}"/>
            </c:ext>
          </c:extLst>
        </c:ser>
        <c:ser>
          <c:idx val="5"/>
          <c:order val="5"/>
          <c:tx>
            <c:strRef>
              <c:f>'PMM Bridge'!$AY$78</c:f>
              <c:strCache>
                <c:ptCount val="1"/>
                <c:pt idx="0">
                  <c:v>Var-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85000"/>
                      <a:shade val="30000"/>
                      <a:satMod val="115000"/>
                    </a:schemeClr>
                  </a:gs>
                  <a:gs pos="50000">
                    <a:schemeClr val="bg1">
                      <a:lumMod val="8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8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B99B-4393-B727-0AD2845DFFAF}"/>
              </c:ext>
            </c:extLst>
          </c:dPt>
          <c:val>
            <c:numRef>
              <c:f>'PMM Bridge'!$AZ$78:$BH$78</c:f>
              <c:numCache>
                <c:formatCode>General</c:formatCode>
                <c:ptCount val="9"/>
                <c:pt idx="0">
                  <c:v>0</c:v>
                </c:pt>
                <c:pt idx="1">
                  <c:v>65.380519222637062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0.10903828466872285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B-4393-B727-0AD2845DFFAF}"/>
            </c:ext>
          </c:extLst>
        </c:ser>
        <c:ser>
          <c:idx val="6"/>
          <c:order val="6"/>
          <c:tx>
            <c:strRef>
              <c:f>'PMM Bridge'!$AY$77</c:f>
              <c:strCache>
                <c:ptCount val="1"/>
                <c:pt idx="0">
                  <c:v>Var+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val>
            <c:numRef>
              <c:f>'PMM Bridge'!$AZ$77:$BH$77</c:f>
              <c:numCache>
                <c:formatCode>General</c:formatCode>
                <c:ptCount val="9"/>
                <c:pt idx="0">
                  <c:v>3.8406922968494119</c:v>
                </c:pt>
                <c:pt idx="1">
                  <c:v>0</c:v>
                </c:pt>
                <c:pt idx="2">
                  <c:v>0.13830624408446349</c:v>
                </c:pt>
                <c:pt idx="3">
                  <c:v>1.2098795014776696E-2</c:v>
                </c:pt>
                <c:pt idx="4">
                  <c:v>8.4176651197500146E-2</c:v>
                </c:pt>
                <c:pt idx="5">
                  <c:v>6.5669339156663772E-2</c:v>
                </c:pt>
                <c:pt idx="6">
                  <c:v>0</c:v>
                </c:pt>
                <c:pt idx="7">
                  <c:v>61.728844411100724</c:v>
                </c:pt>
                <c:pt idx="8">
                  <c:v>0.34144394738529993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B-4393-B727-0AD2845DFFAF}"/>
            </c:ext>
          </c:extLst>
        </c:ser>
        <c:ser>
          <c:idx val="7"/>
          <c:order val="7"/>
          <c:tx>
            <c:strRef>
              <c:f>'PMM Bridge'!$AY$76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Bridge'!$AZ$76:$BH$76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65.242212978552587</c:v>
                </c:pt>
                <c:pt idx="3">
                  <c:v>65.230114183537808</c:v>
                </c:pt>
                <c:pt idx="4">
                  <c:v>65.145937532340298</c:v>
                </c:pt>
                <c:pt idx="5">
                  <c:v>65.080268193183642</c:v>
                </c:pt>
                <c:pt idx="6">
                  <c:v>65.080268193183642</c:v>
                </c:pt>
                <c:pt idx="7">
                  <c:v>3.4604620667516461</c:v>
                </c:pt>
                <c:pt idx="8">
                  <c:v>3.4992483494641125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B-4393-B727-0AD2845DFFAF}"/>
            </c:ext>
          </c:extLst>
        </c:ser>
        <c:ser>
          <c:idx val="8"/>
          <c:order val="8"/>
          <c:tx>
            <c:strRef>
              <c:f>'PMM Bridge'!$AY$75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Bridge'!$AZ$75:$BH$75</c:f>
              <c:numCache>
                <c:formatCode>General</c:formatCode>
                <c:ptCount val="9"/>
                <c:pt idx="0">
                  <c:v>17.309740388681469</c:v>
                </c:pt>
                <c:pt idx="1">
                  <c:v>17.309740388681469</c:v>
                </c:pt>
                <c:pt idx="2">
                  <c:v>17.309740388681469</c:v>
                </c:pt>
                <c:pt idx="3">
                  <c:v>17.309740388681469</c:v>
                </c:pt>
                <c:pt idx="4">
                  <c:v>17.309740388681469</c:v>
                </c:pt>
                <c:pt idx="5">
                  <c:v>17.309740388681469</c:v>
                </c:pt>
                <c:pt idx="6">
                  <c:v>17.309740388681469</c:v>
                </c:pt>
                <c:pt idx="7">
                  <c:v>17.309740388681469</c:v>
                </c:pt>
                <c:pt idx="8">
                  <c:v>17.309740388681469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B-4393-B727-0AD2845DF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6781056"/>
        <c:axId val="226782592"/>
      </c:barChart>
      <c:scatterChart>
        <c:scatterStyle val="lineMarker"/>
        <c:varyColors val="0"/>
        <c:ser>
          <c:idx val="12"/>
          <c:order val="0"/>
          <c:tx>
            <c:strRef>
              <c:f>'PMM Bridge'!$AY$68</c:f>
              <c:strCache>
                <c:ptCount val="1"/>
                <c:pt idx="0">
                  <c:v>Water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'PMM Bridge'!$AZ$69:$BO$69</c:f>
              <c:numCache>
                <c:formatCode>0.00</c:formatCode>
                <c:ptCount val="16"/>
                <c:pt idx="0">
                  <c:v>0.6</c:v>
                </c:pt>
                <c:pt idx="1">
                  <c:v>1.6</c:v>
                </c:pt>
                <c:pt idx="2">
                  <c:v>1.6</c:v>
                </c:pt>
                <c:pt idx="3">
                  <c:v>2.6</c:v>
                </c:pt>
                <c:pt idx="4">
                  <c:v>2.6</c:v>
                </c:pt>
                <c:pt idx="5">
                  <c:v>3.6</c:v>
                </c:pt>
                <c:pt idx="6">
                  <c:v>3.6</c:v>
                </c:pt>
                <c:pt idx="7">
                  <c:v>4.5999999999999996</c:v>
                </c:pt>
                <c:pt idx="8">
                  <c:v>4.5999999999999996</c:v>
                </c:pt>
                <c:pt idx="9">
                  <c:v>5.6</c:v>
                </c:pt>
                <c:pt idx="10">
                  <c:v>5.6</c:v>
                </c:pt>
                <c:pt idx="11">
                  <c:v>6.6</c:v>
                </c:pt>
                <c:pt idx="12">
                  <c:v>6.6</c:v>
                </c:pt>
                <c:pt idx="13">
                  <c:v>7.6</c:v>
                </c:pt>
                <c:pt idx="14">
                  <c:v>7.6</c:v>
                </c:pt>
                <c:pt idx="15">
                  <c:v>8.6</c:v>
                </c:pt>
              </c:numCache>
            </c:numRef>
          </c:xVal>
          <c:yVal>
            <c:numRef>
              <c:f>'PMM Bridge'!$AZ$90:$BO$90</c:f>
              <c:numCache>
                <c:formatCode>General</c:formatCode>
                <c:ptCount val="16"/>
                <c:pt idx="0">
                  <c:v>82.690259611318552</c:v>
                </c:pt>
                <c:pt idx="1">
                  <c:v>82.690259611318552</c:v>
                </c:pt>
                <c:pt idx="2">
                  <c:v>17.309740388681448</c:v>
                </c:pt>
                <c:pt idx="3">
                  <c:v>17.309740388681448</c:v>
                </c:pt>
                <c:pt idx="4">
                  <c:v>17.448046632765912</c:v>
                </c:pt>
                <c:pt idx="5">
                  <c:v>17.448046632765912</c:v>
                </c:pt>
                <c:pt idx="6">
                  <c:v>17.460145427780695</c:v>
                </c:pt>
                <c:pt idx="7">
                  <c:v>17.460145427780695</c:v>
                </c:pt>
                <c:pt idx="8">
                  <c:v>17.54432207897819</c:v>
                </c:pt>
                <c:pt idx="9">
                  <c:v>17.54432207897819</c:v>
                </c:pt>
                <c:pt idx="10">
                  <c:v>17.60999141813485</c:v>
                </c:pt>
                <c:pt idx="11">
                  <c:v>17.60999141813485</c:v>
                </c:pt>
                <c:pt idx="12">
                  <c:v>17.500953133466126</c:v>
                </c:pt>
                <c:pt idx="13">
                  <c:v>17.500953133466126</c:v>
                </c:pt>
                <c:pt idx="14">
                  <c:v>79.229797544566864</c:v>
                </c:pt>
                <c:pt idx="15">
                  <c:v>79.229797544566864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99B-4393-B727-0AD2845DF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77728"/>
        <c:axId val="226779520"/>
      </c:scatterChart>
      <c:scatterChart>
        <c:scatterStyle val="lineMarker"/>
        <c:varyColors val="0"/>
        <c:ser>
          <c:idx val="13"/>
          <c:order val="1"/>
          <c:tx>
            <c:v>ZoomVal</c:v>
          </c:tx>
          <c:spPr>
            <a:ln w="28575">
              <a:noFill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Bridge'!$BP$76</c:f>
              <c:numCache>
                <c:formatCode>General</c:formatCode>
                <c:ptCount val="1"/>
                <c:pt idx="0">
                  <c:v>-78.84956731446907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99B-4393-B727-0AD2845DFFAF}"/>
            </c:ext>
          </c:extLst>
        </c:ser>
        <c:ser>
          <c:idx val="9"/>
          <c:order val="9"/>
          <c:tx>
            <c:strRef>
              <c:f>'PMM Bridge'!$AY$63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86.190259611318552</c:v>
                </c:pt>
                <c:pt idx="1">
                  <c:v>13.809740388681446</c:v>
                </c:pt>
                <c:pt idx="2">
                  <c:v>20.948046632765912</c:v>
                </c:pt>
                <c:pt idx="3">
                  <c:v>20.960145427780692</c:v>
                </c:pt>
                <c:pt idx="4">
                  <c:v>21.04432207897819</c:v>
                </c:pt>
                <c:pt idx="5">
                  <c:v>21.10999141813485</c:v>
                </c:pt>
                <c:pt idx="6">
                  <c:v>14.000953133466126</c:v>
                </c:pt>
                <c:pt idx="7">
                  <c:v>82.729797544566864</c:v>
                </c:pt>
                <c:pt idx="8">
                  <c:v>82.729797544566864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99B-4393-B727-0AD2845DFFAF}"/>
            </c:ext>
          </c:extLst>
        </c:ser>
        <c:ser>
          <c:idx val="10"/>
          <c:order val="10"/>
          <c:tx>
            <c:strRef>
              <c:f>'PMM Bridge'!$AY$64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86.190259611318552</c:v>
                </c:pt>
                <c:pt idx="1">
                  <c:v>13.809740388681446</c:v>
                </c:pt>
                <c:pt idx="2">
                  <c:v>20.948046632765912</c:v>
                </c:pt>
                <c:pt idx="3">
                  <c:v>20.960145427780692</c:v>
                </c:pt>
                <c:pt idx="4">
                  <c:v>21.04432207897819</c:v>
                </c:pt>
                <c:pt idx="5">
                  <c:v>21.10999141813485</c:v>
                </c:pt>
                <c:pt idx="6">
                  <c:v>14.000953133466126</c:v>
                </c:pt>
                <c:pt idx="7">
                  <c:v>82.729797544566864</c:v>
                </c:pt>
                <c:pt idx="8">
                  <c:v>82.729797544566864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99B-4393-B727-0AD2845DFFAF}"/>
            </c:ext>
          </c:extLst>
        </c:ser>
        <c:ser>
          <c:idx val="11"/>
          <c:order val="11"/>
          <c:tx>
            <c:strRef>
              <c:f>'PMM Bridge'!$AY$66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Bridge'!$AZ$87:$BH$87</c:f>
              <c:numCache>
                <c:formatCode>General</c:formatCode>
                <c:ptCount val="9"/>
                <c:pt idx="0">
                  <c:v>91.440259611318538</c:v>
                </c:pt>
                <c:pt idx="1">
                  <c:v>8.559740388681444</c:v>
                </c:pt>
                <c:pt idx="2">
                  <c:v>26.198046632765916</c:v>
                </c:pt>
                <c:pt idx="3">
                  <c:v>26.210145427780692</c:v>
                </c:pt>
                <c:pt idx="4">
                  <c:v>26.294322078978194</c:v>
                </c:pt>
                <c:pt idx="5">
                  <c:v>26.359991418134854</c:v>
                </c:pt>
                <c:pt idx="6">
                  <c:v>8.7509531334661261</c:v>
                </c:pt>
                <c:pt idx="7">
                  <c:v>87.97979754456685</c:v>
                </c:pt>
                <c:pt idx="8">
                  <c:v>87.97979754456685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99B-4393-B727-0AD2845DF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81056"/>
        <c:axId val="226782592"/>
      </c:scatterChart>
      <c:catAx>
        <c:axId val="226777728"/>
        <c:scaling>
          <c:orientation val="minMax"/>
        </c:scaling>
        <c:delete val="1"/>
        <c:axPos val="b"/>
        <c:majorTickMark val="out"/>
        <c:minorTickMark val="none"/>
        <c:tickLblPos val="nextTo"/>
        <c:crossAx val="226779520"/>
        <c:crosses val="autoZero"/>
        <c:auto val="1"/>
        <c:lblAlgn val="ctr"/>
        <c:lblOffset val="100"/>
        <c:noMultiLvlLbl val="0"/>
      </c:catAx>
      <c:valAx>
        <c:axId val="22677952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6777728"/>
        <c:crosses val="autoZero"/>
        <c:crossBetween val="between"/>
      </c:valAx>
      <c:catAx>
        <c:axId val="226781056"/>
        <c:scaling>
          <c:orientation val="minMax"/>
        </c:scaling>
        <c:delete val="1"/>
        <c:axPos val="b"/>
        <c:majorTickMark val="out"/>
        <c:minorTickMark val="none"/>
        <c:tickLblPos val="nextTo"/>
        <c:crossAx val="226782592"/>
        <c:crosses val="autoZero"/>
        <c:auto val="1"/>
        <c:lblAlgn val="ctr"/>
        <c:lblOffset val="100"/>
        <c:noMultiLvlLbl val="0"/>
      </c:catAx>
      <c:valAx>
        <c:axId val="226782592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678105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3.png"/><Relationship Id="rId5" Type="http://schemas.openxmlformats.org/officeDocument/2006/relationships/image" Target="../media/image5.png"/><Relationship Id="rId4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28</xdr:row>
          <xdr:rowOff>28574</xdr:rowOff>
        </xdr:from>
        <xdr:to>
          <xdr:col>12</xdr:col>
          <xdr:colOff>2670175</xdr:colOff>
          <xdr:row>31</xdr:row>
          <xdr:rowOff>57280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10</xdr:col>
      <xdr:colOff>103077</xdr:colOff>
      <xdr:row>6</xdr:row>
      <xdr:rowOff>33896</xdr:rowOff>
    </xdr:from>
    <xdr:ext cx="1400410" cy="479398"/>
    <xdr:pic>
      <xdr:nvPicPr>
        <xdr:cNvPr id="1702" name="Image 7">
          <a:extLst>
            <a:ext uri="{FF2B5EF4-FFF2-40B4-BE49-F238E27FC236}">
              <a16:creationId xmlns:a16="http://schemas.microsoft.com/office/drawing/2014/main" id="{00000000-0008-0000-01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006" y="619003"/>
          <a:ext cx="1400410" cy="479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23</xdr:col>
      <xdr:colOff>139024</xdr:colOff>
      <xdr:row>6</xdr:row>
      <xdr:rowOff>90424</xdr:rowOff>
    </xdr:from>
    <xdr:to>
      <xdr:col>23</xdr:col>
      <xdr:colOff>643162</xdr:colOff>
      <xdr:row>7</xdr:row>
      <xdr:rowOff>181862</xdr:rowOff>
    </xdr:to>
    <xdr:pic>
      <xdr:nvPicPr>
        <xdr:cNvPr id="1715" name="Picture 6" descr="http://www.iconlib.info/original/Misc_icon_kfilereplace_2700.jpg">
          <a:extLst>
            <a:ext uri="{FF2B5EF4-FFF2-40B4-BE49-F238E27FC236}">
              <a16:creationId xmlns:a16="http://schemas.microsoft.com/office/drawing/2014/main" id="{00000000-0008-0000-0100-0000B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7131" y="675531"/>
          <a:ext cx="512523" cy="5327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244929</xdr:colOff>
      <xdr:row>251</xdr:row>
      <xdr:rowOff>84364</xdr:rowOff>
    </xdr:from>
    <xdr:to>
      <xdr:col>18</xdr:col>
      <xdr:colOff>1074964</xdr:colOff>
      <xdr:row>273</xdr:row>
      <xdr:rowOff>122464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262616</xdr:colOff>
      <xdr:row>276</xdr:row>
      <xdr:rowOff>33618</xdr:rowOff>
    </xdr:from>
    <xdr:to>
      <xdr:col>19</xdr:col>
      <xdr:colOff>79</xdr:colOff>
      <xdr:row>293</xdr:row>
      <xdr:rowOff>13607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4080</xdr:colOff>
      <xdr:row>295</xdr:row>
      <xdr:rowOff>18566</xdr:rowOff>
    </xdr:from>
    <xdr:to>
      <xdr:col>18</xdr:col>
      <xdr:colOff>1102178</xdr:colOff>
      <xdr:row>313</xdr:row>
      <xdr:rowOff>97488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335</xdr:row>
      <xdr:rowOff>0</xdr:rowOff>
    </xdr:from>
    <xdr:to>
      <xdr:col>19</xdr:col>
      <xdr:colOff>365539</xdr:colOff>
      <xdr:row>354</xdr:row>
      <xdr:rowOff>17318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17318</xdr:colOff>
      <xdr:row>356</xdr:row>
      <xdr:rowOff>29413</xdr:rowOff>
    </xdr:from>
    <xdr:to>
      <xdr:col>19</xdr:col>
      <xdr:colOff>382857</xdr:colOff>
      <xdr:row>375</xdr:row>
      <xdr:rowOff>196102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398</xdr:row>
      <xdr:rowOff>0</xdr:rowOff>
    </xdr:from>
    <xdr:to>
      <xdr:col>19</xdr:col>
      <xdr:colOff>365539</xdr:colOff>
      <xdr:row>417</xdr:row>
      <xdr:rowOff>17318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6112</xdr:colOff>
      <xdr:row>418</xdr:row>
      <xdr:rowOff>369792</xdr:rowOff>
    </xdr:from>
    <xdr:to>
      <xdr:col>19</xdr:col>
      <xdr:colOff>371651</xdr:colOff>
      <xdr:row>438</xdr:row>
      <xdr:rowOff>78440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461</xdr:row>
      <xdr:rowOff>0</xdr:rowOff>
    </xdr:from>
    <xdr:to>
      <xdr:col>19</xdr:col>
      <xdr:colOff>365539</xdr:colOff>
      <xdr:row>480</xdr:row>
      <xdr:rowOff>17318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6112</xdr:colOff>
      <xdr:row>481</xdr:row>
      <xdr:rowOff>369792</xdr:rowOff>
    </xdr:from>
    <xdr:to>
      <xdr:col>19</xdr:col>
      <xdr:colOff>371651</xdr:colOff>
      <xdr:row>501</xdr:row>
      <xdr:rowOff>78440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525</xdr:row>
      <xdr:rowOff>0</xdr:rowOff>
    </xdr:from>
    <xdr:to>
      <xdr:col>19</xdr:col>
      <xdr:colOff>365539</xdr:colOff>
      <xdr:row>544</xdr:row>
      <xdr:rowOff>17318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6112</xdr:colOff>
      <xdr:row>545</xdr:row>
      <xdr:rowOff>369792</xdr:rowOff>
    </xdr:from>
    <xdr:to>
      <xdr:col>19</xdr:col>
      <xdr:colOff>371651</xdr:colOff>
      <xdr:row>565</xdr:row>
      <xdr:rowOff>78440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28</xdr:row>
          <xdr:rowOff>38100</xdr:rowOff>
        </xdr:from>
        <xdr:to>
          <xdr:col>14</xdr:col>
          <xdr:colOff>1495425</xdr:colOff>
          <xdr:row>31</xdr:row>
          <xdr:rowOff>123825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18</xdr:col>
      <xdr:colOff>341691</xdr:colOff>
      <xdr:row>214</xdr:row>
      <xdr:rowOff>37386</xdr:rowOff>
    </xdr:from>
    <xdr:to>
      <xdr:col>19</xdr:col>
      <xdr:colOff>7421</xdr:colOff>
      <xdr:row>245</xdr:row>
      <xdr:rowOff>100886</xdr:rowOff>
    </xdr:to>
    <xdr:sp macro="" textlink="">
      <xdr:nvSpPr>
        <xdr:cNvPr id="17" name="Flèche courbée vers la gauch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1096282" y="10410977"/>
          <a:ext cx="791412" cy="5189682"/>
        </a:xfrm>
        <a:prstGeom prst="curvedLeft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351588</xdr:colOff>
      <xdr:row>214</xdr:row>
      <xdr:rowOff>37386</xdr:rowOff>
    </xdr:from>
    <xdr:to>
      <xdr:col>23</xdr:col>
      <xdr:colOff>294409</xdr:colOff>
      <xdr:row>245</xdr:row>
      <xdr:rowOff>100886</xdr:rowOff>
    </xdr:to>
    <xdr:sp macro="" textlink="">
      <xdr:nvSpPr>
        <xdr:cNvPr id="18" name="Flèche courbée vers la gauch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5054724" y="10410977"/>
          <a:ext cx="670185" cy="5189682"/>
        </a:xfrm>
        <a:prstGeom prst="curvedLeft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22</xdr:row>
      <xdr:rowOff>0</xdr:rowOff>
    </xdr:from>
    <xdr:to>
      <xdr:col>23</xdr:col>
      <xdr:colOff>0</xdr:colOff>
      <xdr:row>22</xdr:row>
      <xdr:rowOff>0</xdr:rowOff>
    </xdr:to>
    <xdr:sp macro="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935700" y="38947725"/>
          <a:ext cx="0" cy="0"/>
        </a:xfrm>
        <a:prstGeom prst="roundRect">
          <a:avLst>
            <a:gd name="adj" fmla="val 1138"/>
          </a:avLst>
        </a:prstGeom>
        <a:solidFill>
          <a:schemeClr val="bg2">
            <a:alpha val="32000"/>
          </a:schemeClr>
        </a:solidFill>
        <a:ln>
          <a:solidFill>
            <a:schemeClr val="bg1">
              <a:lumMod val="85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36000" rIns="36000" rtlCol="0" anchor="ctr" anchorCtr="0"/>
        <a:lstStyle>
          <a:defPPr>
            <a:defRPr lang="fr-FR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82550" indent="-82550" algn="ctr" eaLnBrk="0" hangingPunct="0">
            <a:spcBef>
              <a:spcPts val="300"/>
            </a:spcBef>
            <a:spcAft>
              <a:spcPts val="300"/>
            </a:spcAft>
            <a:buFont typeface="Arial" pitchFamily="34" charset="0"/>
            <a:buChar char="•"/>
            <a:tabLst>
              <a:tab pos="7000875" algn="l"/>
            </a:tabLst>
          </a:pPr>
          <a:r>
            <a:rPr lang="en-US" sz="1600" b="1" kern="0">
              <a:solidFill>
                <a:srgbClr val="FF0000"/>
              </a:solidFill>
              <a:latin typeface="Arial"/>
              <a:ea typeface="Geneva" pitchFamily="126" charset="-128"/>
            </a:rPr>
            <a:t>F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13</xdr:col>
      <xdr:colOff>0</xdr:colOff>
      <xdr:row>12</xdr:row>
      <xdr:rowOff>0</xdr:rowOff>
    </xdr:to>
    <xdr:graphicFrame macro="">
      <xdr:nvGraphicFramePr>
        <xdr:cNvPr id="6" name="Graphique 1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13</xdr:col>
      <xdr:colOff>0</xdr:colOff>
      <xdr:row>12</xdr:row>
      <xdr:rowOff>0</xdr:rowOff>
    </xdr:to>
    <xdr:graphicFrame macro="">
      <xdr:nvGraphicFramePr>
        <xdr:cNvPr id="7" name="Graphique 1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899293</xdr:colOff>
      <xdr:row>11</xdr:row>
      <xdr:rowOff>165344</xdr:rowOff>
    </xdr:from>
    <xdr:to>
      <xdr:col>19</xdr:col>
      <xdr:colOff>0</xdr:colOff>
      <xdr:row>12</xdr:row>
      <xdr:rowOff>0</xdr:rowOff>
    </xdr:to>
    <xdr:graphicFrame macro="">
      <xdr:nvGraphicFramePr>
        <xdr:cNvPr id="9" name="Graphique 1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899293</xdr:colOff>
      <xdr:row>11</xdr:row>
      <xdr:rowOff>165344</xdr:rowOff>
    </xdr:from>
    <xdr:to>
      <xdr:col>19</xdr:col>
      <xdr:colOff>0</xdr:colOff>
      <xdr:row>12</xdr:row>
      <xdr:rowOff>2</xdr:rowOff>
    </xdr:to>
    <xdr:graphicFrame macro="">
      <xdr:nvGraphicFramePr>
        <xdr:cNvPr id="10" name="Graphique 1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869677</xdr:colOff>
      <xdr:row>4</xdr:row>
      <xdr:rowOff>125776</xdr:rowOff>
    </xdr:from>
    <xdr:to>
      <xdr:col>19</xdr:col>
      <xdr:colOff>301571</xdr:colOff>
      <xdr:row>5</xdr:row>
      <xdr:rowOff>187042</xdr:rowOff>
    </xdr:to>
    <xdr:pic>
      <xdr:nvPicPr>
        <xdr:cNvPr id="12" name="Picture 6" descr="http://www.iconlib.info/original/Misc_icon_kfilereplace_2700.jp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8530" y="966217"/>
          <a:ext cx="384394" cy="397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7</xdr:col>
      <xdr:colOff>11206</xdr:colOff>
      <xdr:row>4</xdr:row>
      <xdr:rowOff>33616</xdr:rowOff>
    </xdr:from>
    <xdr:ext cx="1400410" cy="479398"/>
    <xdr:pic>
      <xdr:nvPicPr>
        <xdr:cNvPr id="13" name="Image 7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235" y="874057"/>
          <a:ext cx="1400410" cy="479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6.bin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5" tint="0.79998168889431442"/>
  </sheetPr>
  <dimension ref="A1:F73"/>
  <sheetViews>
    <sheetView showGridLines="0" zoomScaleNormal="55" workbookViewId="0">
      <selection activeCell="C4" sqref="C4"/>
    </sheetView>
  </sheetViews>
  <sheetFormatPr baseColWidth="10" defaultColWidth="11.40625" defaultRowHeight="14.75" x14ac:dyDescent="0.75"/>
  <cols>
    <col min="1" max="1" width="48.1328125" style="128" customWidth="1"/>
    <col min="2" max="2" width="35.86328125" customWidth="1"/>
    <col min="3" max="3" width="33.86328125" bestFit="1" customWidth="1"/>
    <col min="4" max="4" width="19.26953125" bestFit="1" customWidth="1"/>
    <col min="5" max="5" width="107.1328125" bestFit="1" customWidth="1"/>
    <col min="6" max="6" width="125.86328125" bestFit="1" customWidth="1"/>
    <col min="7" max="7" width="113.54296875" bestFit="1" customWidth="1"/>
  </cols>
  <sheetData>
    <row r="1" spans="1:6" ht="18" x14ac:dyDescent="0.8">
      <c r="A1" s="134" t="s">
        <v>19</v>
      </c>
    </row>
    <row r="2" spans="1:6" x14ac:dyDescent="0.75">
      <c r="A2" s="127"/>
    </row>
    <row r="3" spans="1:6" ht="15.75" x14ac:dyDescent="0.75">
      <c r="A3" s="129" t="s">
        <v>20</v>
      </c>
      <c r="D3" s="436" t="s">
        <v>307</v>
      </c>
    </row>
    <row r="4" spans="1:6" x14ac:dyDescent="0.75">
      <c r="A4" s="130" t="s">
        <v>21</v>
      </c>
      <c r="B4" s="132" t="s">
        <v>304</v>
      </c>
      <c r="D4" s="126" t="s">
        <v>12</v>
      </c>
      <c r="E4" s="126" t="s">
        <v>9</v>
      </c>
      <c r="F4" s="126" t="s">
        <v>41</v>
      </c>
    </row>
    <row r="5" spans="1:6" x14ac:dyDescent="0.75">
      <c r="A5" s="130" t="s">
        <v>22</v>
      </c>
      <c r="B5" s="133" t="str">
        <f>LEFT(Server,LEN(Server)-1)</f>
        <v>tango_core_model</v>
      </c>
      <c r="D5" s="67" t="s">
        <v>308</v>
      </c>
      <c r="E5" s="147" t="s">
        <v>309</v>
      </c>
      <c r="F5" s="147" t="s">
        <v>310</v>
      </c>
    </row>
    <row r="6" spans="1:6" x14ac:dyDescent="0.75">
      <c r="A6" s="130" t="s">
        <v>23</v>
      </c>
      <c r="B6" s="131" t="str">
        <f>Host_Serveur</f>
        <v>91.236.254.119</v>
      </c>
      <c r="D6" s="67" t="s">
        <v>311</v>
      </c>
      <c r="E6" s="147" t="s">
        <v>312</v>
      </c>
      <c r="F6" s="147" t="s">
        <v>313</v>
      </c>
    </row>
    <row r="7" spans="1:6" x14ac:dyDescent="0.75">
      <c r="A7" s="130" t="s">
        <v>24</v>
      </c>
      <c r="B7" s="131">
        <v>0</v>
      </c>
      <c r="D7" s="67" t="s">
        <v>314</v>
      </c>
      <c r="E7" s="147" t="s">
        <v>315</v>
      </c>
      <c r="F7" s="147" t="s">
        <v>316</v>
      </c>
    </row>
    <row r="8" spans="1:6" x14ac:dyDescent="0.75">
      <c r="A8" s="130" t="s">
        <v>25</v>
      </c>
      <c r="B8" s="131">
        <v>0</v>
      </c>
      <c r="D8" s="67" t="s">
        <v>317</v>
      </c>
      <c r="E8" s="147" t="s">
        <v>318</v>
      </c>
      <c r="F8" s="147" t="s">
        <v>319</v>
      </c>
    </row>
    <row r="9" spans="1:6" ht="15.75" x14ac:dyDescent="0.75">
      <c r="A9" s="129" t="s">
        <v>26</v>
      </c>
    </row>
    <row r="11" spans="1:6" x14ac:dyDescent="0.75">
      <c r="A11" s="130" t="s">
        <v>27</v>
      </c>
      <c r="B11" s="131" t="s">
        <v>305</v>
      </c>
    </row>
    <row r="12" spans="1:6" x14ac:dyDescent="0.75">
      <c r="A12" s="130" t="s">
        <v>28</v>
      </c>
      <c r="B12" s="143" t="s">
        <v>306</v>
      </c>
    </row>
    <row r="13" spans="1:6" x14ac:dyDescent="0.75">
      <c r="A13" s="130" t="s">
        <v>151</v>
      </c>
      <c r="B13" s="131" t="s">
        <v>305</v>
      </c>
    </row>
    <row r="14" spans="1:6" x14ac:dyDescent="0.75">
      <c r="A14" s="130" t="s">
        <v>29</v>
      </c>
      <c r="B14" s="133" t="str">
        <f>_xll.DBR(Server&amp;"z_admin_Param","YEAR_ACTUAL","STR_VAR1")</f>
        <v>2023</v>
      </c>
    </row>
    <row r="15" spans="1:6" x14ac:dyDescent="0.75">
      <c r="A15" s="130" t="s">
        <v>30</v>
      </c>
      <c r="B15" s="133" t="str">
        <f>_xll.DBR(Server&amp;"z_admin_Param","MONTH_ACTUAL","STR_VAR1")</f>
        <v>2023.08</v>
      </c>
    </row>
    <row r="16" spans="1:6" x14ac:dyDescent="0.75">
      <c r="A16" s="130" t="s">
        <v>31</v>
      </c>
      <c r="B16" s="133" t="str">
        <f>_xll.DBR(Server&amp;"z_admin_Param","BUDGET_VERSION","STR_VAR1")</f>
        <v>BUDG_TOT</v>
      </c>
    </row>
    <row r="17" spans="1:3" x14ac:dyDescent="0.75">
      <c r="A17" s="130" t="s">
        <v>32</v>
      </c>
      <c r="B17" s="133" t="str">
        <f>_xll.DBR(Server&amp;"z_admin_Param","FORECAST_VERSION","STR_VAR1")</f>
        <v>FC_2_TOT</v>
      </c>
    </row>
    <row r="18" spans="1:3" x14ac:dyDescent="0.75">
      <c r="A18" s="130" t="s">
        <v>33</v>
      </c>
      <c r="B18" s="133" t="str">
        <f>_xll.DBR(Server&amp;"z_Client_Properties","Language",_xll.TM1USER(xServer))</f>
        <v>French</v>
      </c>
    </row>
    <row r="19" spans="1:3" x14ac:dyDescent="0.75">
      <c r="A19" s="517" t="s">
        <v>34</v>
      </c>
      <c r="B19" s="145" t="s">
        <v>9</v>
      </c>
    </row>
    <row r="20" spans="1:3" x14ac:dyDescent="0.75">
      <c r="A20" s="517"/>
      <c r="B20" s="145" t="s">
        <v>41</v>
      </c>
    </row>
    <row r="21" spans="1:3" x14ac:dyDescent="0.75">
      <c r="A21" s="517" t="s">
        <v>35</v>
      </c>
      <c r="B21" s="131" t="s">
        <v>42</v>
      </c>
    </row>
    <row r="22" spans="1:3" x14ac:dyDescent="0.75">
      <c r="A22" s="517"/>
      <c r="B22" s="131" t="s">
        <v>43</v>
      </c>
    </row>
    <row r="23" spans="1:3" x14ac:dyDescent="0.75">
      <c r="A23" s="517"/>
      <c r="B23" s="131" t="s">
        <v>44</v>
      </c>
    </row>
    <row r="24" spans="1:3" x14ac:dyDescent="0.75">
      <c r="A24" s="127"/>
    </row>
    <row r="25" spans="1:3" ht="15.75" x14ac:dyDescent="0.75">
      <c r="A25" s="129" t="s">
        <v>36</v>
      </c>
    </row>
    <row r="26" spans="1:3" x14ac:dyDescent="0.75">
      <c r="A26" s="127" t="s">
        <v>37</v>
      </c>
    </row>
    <row r="27" spans="1:3" x14ac:dyDescent="0.75">
      <c r="A27" s="127" t="s">
        <v>38</v>
      </c>
    </row>
    <row r="28" spans="1:3" x14ac:dyDescent="0.75">
      <c r="A28" s="127" t="s">
        <v>39</v>
      </c>
    </row>
    <row r="29" spans="1:3" x14ac:dyDescent="0.75">
      <c r="A29" s="127" t="s">
        <v>40</v>
      </c>
    </row>
    <row r="30" spans="1:3" x14ac:dyDescent="0.75">
      <c r="A30" s="150"/>
    </row>
    <row r="32" spans="1:3" x14ac:dyDescent="0.75">
      <c r="B32" s="126" t="s">
        <v>17</v>
      </c>
      <c r="C32" s="126" t="s">
        <v>250</v>
      </c>
    </row>
    <row r="33" spans="2:3" x14ac:dyDescent="0.75">
      <c r="B33" s="67" t="s">
        <v>18</v>
      </c>
      <c r="C33" s="147" t="str">
        <f>FIXED(ActualYear-1,0,TRUE)</f>
        <v>2022</v>
      </c>
    </row>
    <row r="34" spans="2:3" x14ac:dyDescent="0.75">
      <c r="B34" s="67" t="s">
        <v>10</v>
      </c>
      <c r="C34" s="147" t="str">
        <f>ActualYear</f>
        <v>2023</v>
      </c>
    </row>
    <row r="35" spans="2:3" x14ac:dyDescent="0.75">
      <c r="B35" s="67" t="s">
        <v>148</v>
      </c>
      <c r="C35" s="147" t="str">
        <f>FIXED(ActualYear+1,0,TRUE)</f>
        <v>2024</v>
      </c>
    </row>
    <row r="36" spans="2:3" x14ac:dyDescent="0.75">
      <c r="B36" s="67" t="s">
        <v>3</v>
      </c>
    </row>
    <row r="37" spans="2:3" x14ac:dyDescent="0.75">
      <c r="B37" s="67" t="s">
        <v>4</v>
      </c>
    </row>
    <row r="38" spans="2:3" x14ac:dyDescent="0.75">
      <c r="B38" s="67" t="s">
        <v>5</v>
      </c>
    </row>
    <row r="39" spans="2:3" x14ac:dyDescent="0.75">
      <c r="B39" s="67" t="s">
        <v>6</v>
      </c>
    </row>
    <row r="40" spans="2:3" x14ac:dyDescent="0.75">
      <c r="B40" s="67" t="s">
        <v>7</v>
      </c>
    </row>
    <row r="41" spans="2:3" x14ac:dyDescent="0.75">
      <c r="B41" s="67" t="s">
        <v>8</v>
      </c>
    </row>
    <row r="42" spans="2:3" x14ac:dyDescent="0.75">
      <c r="B42" s="67" t="s">
        <v>11</v>
      </c>
    </row>
    <row r="43" spans="2:3" x14ac:dyDescent="0.75">
      <c r="B43" s="67" t="s">
        <v>231</v>
      </c>
    </row>
    <row r="44" spans="2:3" x14ac:dyDescent="0.75">
      <c r="B44" s="67" t="s">
        <v>153</v>
      </c>
    </row>
    <row r="45" spans="2:3" x14ac:dyDescent="0.75">
      <c r="B45" s="147" t="s">
        <v>154</v>
      </c>
    </row>
    <row r="46" spans="2:3" x14ac:dyDescent="0.75">
      <c r="B46" s="147" t="s">
        <v>157</v>
      </c>
    </row>
    <row r="47" spans="2:3" x14ac:dyDescent="0.75">
      <c r="B47" s="147" t="s">
        <v>158</v>
      </c>
    </row>
    <row r="48" spans="2:3" x14ac:dyDescent="0.75">
      <c r="B48" s="147" t="s">
        <v>155</v>
      </c>
    </row>
    <row r="49" spans="2:2" x14ac:dyDescent="0.75">
      <c r="B49" s="147" t="s">
        <v>156</v>
      </c>
    </row>
    <row r="50" spans="2:2" x14ac:dyDescent="0.75">
      <c r="B50" s="147" t="s">
        <v>160</v>
      </c>
    </row>
    <row r="51" spans="2:2" x14ac:dyDescent="0.75">
      <c r="B51" s="147" t="s">
        <v>159</v>
      </c>
    </row>
    <row r="52" spans="2:2" x14ac:dyDescent="0.75">
      <c r="B52" s="147" t="s">
        <v>162</v>
      </c>
    </row>
    <row r="53" spans="2:2" x14ac:dyDescent="0.75">
      <c r="B53" s="147" t="s">
        <v>161</v>
      </c>
    </row>
    <row r="54" spans="2:2" x14ac:dyDescent="0.75">
      <c r="B54" s="147" t="s">
        <v>163</v>
      </c>
    </row>
    <row r="55" spans="2:2" x14ac:dyDescent="0.75">
      <c r="B55" s="147" t="s">
        <v>164</v>
      </c>
    </row>
    <row r="56" spans="2:2" x14ac:dyDescent="0.75">
      <c r="B56" s="147" t="s">
        <v>165</v>
      </c>
    </row>
    <row r="57" spans="2:2" x14ac:dyDescent="0.75">
      <c r="B57" s="147" t="s">
        <v>166</v>
      </c>
    </row>
    <row r="58" spans="2:2" x14ac:dyDescent="0.75">
      <c r="B58" s="147" t="s">
        <v>167</v>
      </c>
    </row>
    <row r="59" spans="2:2" x14ac:dyDescent="0.75">
      <c r="B59" s="147" t="s">
        <v>168</v>
      </c>
    </row>
    <row r="60" spans="2:2" x14ac:dyDescent="0.75">
      <c r="B60" s="147" t="s">
        <v>169</v>
      </c>
    </row>
    <row r="61" spans="2:2" x14ac:dyDescent="0.75">
      <c r="B61" s="147" t="s">
        <v>170</v>
      </c>
    </row>
    <row r="62" spans="2:2" x14ac:dyDescent="0.75">
      <c r="B62" s="147" t="s">
        <v>242</v>
      </c>
    </row>
    <row r="63" spans="2:2" x14ac:dyDescent="0.75">
      <c r="B63" s="147" t="s">
        <v>11</v>
      </c>
    </row>
    <row r="64" spans="2:2" x14ac:dyDescent="0.75">
      <c r="B64" s="147" t="s">
        <v>230</v>
      </c>
    </row>
    <row r="65" spans="1:2" ht="18" x14ac:dyDescent="0.8">
      <c r="A65" s="151"/>
      <c r="B65" s="147" t="s">
        <v>232</v>
      </c>
    </row>
    <row r="66" spans="1:2" x14ac:dyDescent="0.75">
      <c r="B66" s="184" t="s">
        <v>233</v>
      </c>
    </row>
    <row r="67" spans="1:2" x14ac:dyDescent="0.75">
      <c r="B67" t="s">
        <v>217</v>
      </c>
    </row>
    <row r="73" spans="1:2" ht="18" x14ac:dyDescent="0.8">
      <c r="A73" s="151"/>
    </row>
  </sheetData>
  <sheetProtection sheet="1" objects="1" scenarios="1"/>
  <customSheetViews>
    <customSheetView guid="{97DA177E-F101-4CD5-8BC6-6997082DB660}" showGridLines="0" state="hidden">
      <selection activeCell="B7" sqref="B7"/>
      <pageMargins left="0.7" right="0.7" top="0.75" bottom="0.75" header="0.3" footer="0.3"/>
      <pageSetup paperSize="9" orientation="portrait" r:id="rId1"/>
    </customSheetView>
    <customSheetView guid="{83BB5152-01BA-42DF-B23D-4001406CC674}" showGridLines="0" state="hidden">
      <selection activeCell="B7" sqref="B7"/>
      <pageMargins left="0.7" right="0.7" top="0.75" bottom="0.75" header="0.3" footer="0.3"/>
      <pageSetup paperSize="9" orientation="portrait" r:id="rId2"/>
    </customSheetView>
  </customSheetViews>
  <mergeCells count="2">
    <mergeCell ref="A19:A20"/>
    <mergeCell ref="A21:A23"/>
  </mergeCell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FF0000"/>
    <outlinePr summaryBelow="0" summaryRight="0"/>
    <pageSetUpPr autoPageBreaks="0" fitToPage="1"/>
  </sheetPr>
  <dimension ref="A1:CA1388"/>
  <sheetViews>
    <sheetView showGridLines="0" showRowColHeaders="0" tabSelected="1" topLeftCell="I5" zoomScale="73" zoomScaleNormal="85" zoomScaleSheetLayoutView="55" workbookViewId="0"/>
  </sheetViews>
  <sheetFormatPr baseColWidth="10" defaultColWidth="11.40625" defaultRowHeight="18" customHeight="1" outlineLevelRow="5" outlineLevelCol="1" x14ac:dyDescent="0.75"/>
  <cols>
    <col min="1" max="1" width="15.40625" style="9" hidden="1" customWidth="1"/>
    <col min="2" max="2" width="31" style="9" hidden="1" customWidth="1"/>
    <col min="3" max="3" width="9.40625" style="9" hidden="1" customWidth="1"/>
    <col min="4" max="4" width="21.54296875" style="1" hidden="1" customWidth="1"/>
    <col min="5" max="5" width="16" style="1" hidden="1" customWidth="1"/>
    <col min="6" max="6" width="16.26953125" style="1" hidden="1" customWidth="1"/>
    <col min="7" max="7" width="11" style="56" hidden="1" customWidth="1"/>
    <col min="8" max="8" width="10.7265625" style="56" hidden="1" customWidth="1"/>
    <col min="9" max="9" width="3.40625" style="1" customWidth="1"/>
    <col min="10" max="10" width="4" style="1" customWidth="1"/>
    <col min="11" max="11" width="2.40625" style="1" customWidth="1"/>
    <col min="12" max="12" width="3.26953125" style="1" customWidth="1"/>
    <col min="13" max="13" width="40.40625" style="56" customWidth="1"/>
    <col min="14" max="14" width="25.54296875" style="56" customWidth="1"/>
    <col min="15" max="15" width="36.40625" style="56" customWidth="1"/>
    <col min="16" max="16" width="5.54296875" style="9" customWidth="1"/>
    <col min="17" max="17" width="13.90625" style="9" bestFit="1" customWidth="1" collapsed="1"/>
    <col min="18" max="18" width="23.7265625" style="9" hidden="1" customWidth="1" outlineLevel="1"/>
    <col min="19" max="19" width="13.90625" style="125" bestFit="1" customWidth="1"/>
    <col min="20" max="20" width="10.76953125" style="125" bestFit="1" customWidth="1"/>
    <col min="21" max="21" width="12.26953125" style="125" customWidth="1"/>
    <col min="22" max="22" width="15.54296875" style="9" bestFit="1" customWidth="1" outlineLevel="1"/>
    <col min="23" max="23" width="15.54296875" style="125" bestFit="1" customWidth="1"/>
    <col min="24" max="24" width="9.6328125" style="34" bestFit="1" customWidth="1"/>
    <col min="25" max="25" width="2.40625" style="34" customWidth="1"/>
    <col min="26" max="26" width="2.40625" style="34" customWidth="1" collapsed="1"/>
    <col min="27" max="27" width="2.40625" style="34" hidden="1" customWidth="1" outlineLevel="1" collapsed="1"/>
    <col min="28" max="29" width="12.86328125" style="34" hidden="1" customWidth="1" outlineLevel="1"/>
    <col min="30" max="30" width="13.40625" style="34" hidden="1" customWidth="1" outlineLevel="1"/>
    <col min="31" max="31" width="1" style="34" hidden="1" customWidth="1" outlineLevel="1"/>
    <col min="32" max="33" width="12.26953125" style="34" hidden="1" customWidth="1" outlineLevel="1"/>
    <col min="34" max="34" width="12.40625" style="34" hidden="1" customWidth="1" outlineLevel="1"/>
    <col min="35" max="35" width="1" style="34" hidden="1" customWidth="1" outlineLevel="1"/>
    <col min="36" max="37" width="12.26953125" style="34" hidden="1" customWidth="1" outlineLevel="1"/>
    <col min="38" max="38" width="13.40625" style="34" hidden="1" customWidth="1" outlineLevel="1"/>
    <col min="39" max="39" width="1" style="34" hidden="1" customWidth="1" outlineLevel="1"/>
    <col min="40" max="41" width="12.26953125" style="34" hidden="1" customWidth="1" outlineLevel="1"/>
    <col min="42" max="42" width="13.40625" style="34" hidden="1" customWidth="1" outlineLevel="1"/>
    <col min="43" max="43" width="1" style="34" hidden="1" customWidth="1" outlineLevel="1"/>
    <col min="44" max="44" width="8.40625" style="34" hidden="1" customWidth="1" outlineLevel="1"/>
    <col min="45" max="45" width="12.26953125" style="34" hidden="1" customWidth="1" outlineLevel="1"/>
    <col min="46" max="46" width="13.40625" style="34" hidden="1" customWidth="1" outlineLevel="1"/>
    <col min="47" max="47" width="1" style="34" hidden="1" customWidth="1" outlineLevel="1"/>
    <col min="48" max="48" width="8.40625" style="34" hidden="1" customWidth="1" outlineLevel="1"/>
    <col min="49" max="49" width="12.26953125" style="34" hidden="1" customWidth="1" outlineLevel="1"/>
    <col min="50" max="50" width="13.40625" style="34" hidden="1" customWidth="1" outlineLevel="1"/>
    <col min="51" max="51" width="1" style="34" hidden="1" customWidth="1" outlineLevel="1"/>
    <col min="52" max="52" width="8.40625" style="34" hidden="1" customWidth="1" outlineLevel="1"/>
    <col min="53" max="53" width="12.26953125" style="34" hidden="1" customWidth="1" outlineLevel="1"/>
    <col min="54" max="54" width="13.40625" style="34" hidden="1" customWidth="1" outlineLevel="1"/>
    <col min="55" max="55" width="1" style="34" hidden="1" customWidth="1" outlineLevel="1"/>
    <col min="56" max="56" width="8.40625" style="34" hidden="1" customWidth="1" outlineLevel="1"/>
    <col min="57" max="57" width="12.26953125" style="34" hidden="1" customWidth="1" outlineLevel="1"/>
    <col min="58" max="58" width="13.40625" style="34" hidden="1" customWidth="1" outlineLevel="1"/>
    <col min="59" max="59" width="1" style="34" hidden="1" customWidth="1" outlineLevel="1"/>
    <col min="60" max="60" width="8.40625" style="34" hidden="1" customWidth="1" outlineLevel="1"/>
    <col min="61" max="61" width="12.26953125" style="34" hidden="1" customWidth="1" outlineLevel="1"/>
    <col min="62" max="62" width="13.40625" style="34" hidden="1" customWidth="1" outlineLevel="1"/>
    <col min="63" max="63" width="1" style="34" hidden="1" customWidth="1" outlineLevel="1"/>
    <col min="64" max="64" width="8.40625" style="34" hidden="1" customWidth="1" outlineLevel="1"/>
    <col min="65" max="65" width="12.26953125" style="34" hidden="1" customWidth="1" outlineLevel="1"/>
    <col min="66" max="66" width="13.40625" style="34" hidden="1" customWidth="1" outlineLevel="1"/>
    <col min="67" max="67" width="1" style="34" hidden="1" customWidth="1" outlineLevel="1"/>
    <col min="68" max="68" width="8.40625" style="34" hidden="1" customWidth="1" outlineLevel="1"/>
    <col min="69" max="69" width="12.26953125" style="34" hidden="1" customWidth="1" outlineLevel="1"/>
    <col min="70" max="70" width="13.40625" style="34" hidden="1" customWidth="1" outlineLevel="1"/>
    <col min="71" max="71" width="1" style="34" hidden="1" customWidth="1" outlineLevel="1"/>
    <col min="72" max="72" width="8.40625" style="34" hidden="1" customWidth="1" outlineLevel="1"/>
    <col min="73" max="73" width="12.26953125" style="34" hidden="1" customWidth="1" outlineLevel="1"/>
    <col min="74" max="74" width="13.40625" style="34" hidden="1" customWidth="1" outlineLevel="1"/>
    <col min="75" max="75" width="2.40625" style="34" hidden="1" customWidth="1" outlineLevel="1"/>
    <col min="76" max="76" width="1.7265625" style="34" customWidth="1"/>
    <col min="77" max="77" width="3.54296875" style="34" customWidth="1"/>
    <col min="78" max="78" width="38.40625" style="34" customWidth="1"/>
    <col min="79" max="79" width="17.86328125" style="9" bestFit="1" customWidth="1"/>
    <col min="80" max="16384" width="11.40625" style="9"/>
  </cols>
  <sheetData>
    <row r="1" spans="1:78" ht="37.5" hidden="1" customHeight="1" x14ac:dyDescent="0.7">
      <c r="D1" s="9"/>
      <c r="E1" s="9"/>
      <c r="I1" s="2"/>
      <c r="J1" s="2"/>
      <c r="K1" s="2"/>
      <c r="L1" s="2"/>
      <c r="M1" s="3"/>
      <c r="N1" s="3"/>
      <c r="O1" s="4" t="s">
        <v>0</v>
      </c>
      <c r="P1" s="5"/>
      <c r="Q1" s="6" t="str">
        <f>VLOOKUP($N$12,$D$20:$E$23,2,0)</f>
        <v>ACT_TOT</v>
      </c>
      <c r="R1" s="6" t="str">
        <f>VLOOKUP($N$20,$D$20:$E$23,2,0)</f>
        <v>BUDG_VC_TOT</v>
      </c>
      <c r="S1" s="6"/>
      <c r="T1" s="6"/>
      <c r="U1" s="7"/>
      <c r="V1" s="6" t="str">
        <f>VLOOKUP($O$20,$D$20:$E$23,2,0)</f>
        <v>ACT_TOT</v>
      </c>
      <c r="W1" s="6"/>
      <c r="X1" s="6"/>
      <c r="Y1" s="8"/>
      <c r="Z1" s="8"/>
      <c r="AA1" s="8"/>
      <c r="AB1" s="6" t="str">
        <f>Q1</f>
        <v>ACT_TOT</v>
      </c>
      <c r="AC1" s="6" t="str">
        <f>R1</f>
        <v>BUDG_VC_TOT</v>
      </c>
      <c r="AD1" s="6" t="str">
        <f>V1</f>
        <v>ACT_TOT</v>
      </c>
      <c r="AE1" s="6"/>
      <c r="AF1" s="6" t="str">
        <f>$AB$1</f>
        <v>ACT_TOT</v>
      </c>
      <c r="AG1" s="6" t="str">
        <f>$AC$1</f>
        <v>BUDG_VC_TOT</v>
      </c>
      <c r="AH1" s="6" t="str">
        <f>$AD$1</f>
        <v>ACT_TOT</v>
      </c>
      <c r="AI1" s="6"/>
      <c r="AJ1" s="6" t="str">
        <f>$AB$1</f>
        <v>ACT_TOT</v>
      </c>
      <c r="AK1" s="6" t="str">
        <f>$AC$1</f>
        <v>BUDG_VC_TOT</v>
      </c>
      <c r="AL1" s="6" t="str">
        <f>$AD$1</f>
        <v>ACT_TOT</v>
      </c>
      <c r="AM1" s="6"/>
      <c r="AN1" s="6" t="str">
        <f>$AB$1</f>
        <v>ACT_TOT</v>
      </c>
      <c r="AO1" s="6" t="str">
        <f>$AC$1</f>
        <v>BUDG_VC_TOT</v>
      </c>
      <c r="AP1" s="6" t="str">
        <f>$AD$1</f>
        <v>ACT_TOT</v>
      </c>
      <c r="AQ1" s="6"/>
      <c r="AR1" s="6" t="str">
        <f>$AB$1</f>
        <v>ACT_TOT</v>
      </c>
      <c r="AS1" s="6" t="str">
        <f>$AC$1</f>
        <v>BUDG_VC_TOT</v>
      </c>
      <c r="AT1" s="6" t="str">
        <f>$AD$1</f>
        <v>ACT_TOT</v>
      </c>
      <c r="AU1" s="6"/>
      <c r="AV1" s="6" t="str">
        <f>$AB$1</f>
        <v>ACT_TOT</v>
      </c>
      <c r="AW1" s="6" t="str">
        <f>$AC$1</f>
        <v>BUDG_VC_TOT</v>
      </c>
      <c r="AX1" s="6" t="str">
        <f>$AD$1</f>
        <v>ACT_TOT</v>
      </c>
      <c r="AY1" s="6"/>
      <c r="AZ1" s="6" t="str">
        <f>$AB$1</f>
        <v>ACT_TOT</v>
      </c>
      <c r="BA1" s="6" t="str">
        <f>$AC$1</f>
        <v>BUDG_VC_TOT</v>
      </c>
      <c r="BB1" s="6" t="str">
        <f>$AD$1</f>
        <v>ACT_TOT</v>
      </c>
      <c r="BC1" s="6"/>
      <c r="BD1" s="6" t="str">
        <f>$AB$1</f>
        <v>ACT_TOT</v>
      </c>
      <c r="BE1" s="6" t="str">
        <f>$AC$1</f>
        <v>BUDG_VC_TOT</v>
      </c>
      <c r="BF1" s="6" t="str">
        <f>$AD$1</f>
        <v>ACT_TOT</v>
      </c>
      <c r="BG1" s="6"/>
      <c r="BH1" s="6" t="str">
        <f>$AB$1</f>
        <v>ACT_TOT</v>
      </c>
      <c r="BI1" s="6" t="str">
        <f>$AC$1</f>
        <v>BUDG_VC_TOT</v>
      </c>
      <c r="BJ1" s="6" t="str">
        <f>$AD$1</f>
        <v>ACT_TOT</v>
      </c>
      <c r="BK1" s="6"/>
      <c r="BL1" s="6" t="str">
        <f>$AB$1</f>
        <v>ACT_TOT</v>
      </c>
      <c r="BM1" s="6" t="str">
        <f>$AC$1</f>
        <v>BUDG_VC_TOT</v>
      </c>
      <c r="BN1" s="6" t="str">
        <f>$AD$1</f>
        <v>ACT_TOT</v>
      </c>
      <c r="BO1" s="6"/>
      <c r="BP1" s="6" t="str">
        <f>$AB$1</f>
        <v>ACT_TOT</v>
      </c>
      <c r="BQ1" s="6" t="str">
        <f>$AC$1</f>
        <v>BUDG_VC_TOT</v>
      </c>
      <c r="BR1" s="6" t="str">
        <f>$AD$1</f>
        <v>ACT_TOT</v>
      </c>
      <c r="BS1" s="6"/>
      <c r="BT1" s="6" t="str">
        <f>$AB$1</f>
        <v>ACT_TOT</v>
      </c>
      <c r="BU1" s="6" t="str">
        <f>$AC$1</f>
        <v>BUDG_VC_TOT</v>
      </c>
      <c r="BV1" s="6" t="str">
        <f>$AD$1</f>
        <v>ACT_TOT</v>
      </c>
      <c r="BW1" s="8"/>
      <c r="BX1" s="8"/>
      <c r="BY1" s="8"/>
      <c r="BZ1" s="8"/>
    </row>
    <row r="2" spans="1:78" ht="37.5" hidden="1" customHeight="1" x14ac:dyDescent="0.75">
      <c r="D2" s="9"/>
      <c r="E2" s="9"/>
      <c r="I2" s="2"/>
      <c r="J2" s="2"/>
      <c r="K2" s="2"/>
      <c r="L2" s="2"/>
      <c r="M2" s="10"/>
      <c r="N2" s="10" t="str">
        <f>_xll.DBRA(Server&amp;$A11,$N11,F25)</f>
        <v>2022.08_YTD</v>
      </c>
      <c r="O2" s="11" t="s">
        <v>2</v>
      </c>
      <c r="P2" s="12"/>
      <c r="Q2" s="13" t="str">
        <f>_xll.SUBNM(Server&amp;"period","",$N$11)</f>
        <v>2023.08_YTD</v>
      </c>
      <c r="R2" s="13" t="str">
        <f>IF($N$21="N",Q2,_xll.DBRA(Server&amp;$O$2,IF($N$21="N-2",$N$2,$Q$2),VLOOKUP($N$21,$D$24:$G$27,3,FALSE)))</f>
        <v>2023.08_YTD</v>
      </c>
      <c r="S2" s="142"/>
      <c r="T2" s="7"/>
      <c r="U2" s="7"/>
      <c r="V2" s="13" t="str">
        <f>IF($O$21="N",Q2,_xll.DBRA(Server&amp;$O$2,IF($O$21="N-2",$N$2,$Q$2),VLOOKUP($O$21,$D$24:$G$27,3,FALSE)))</f>
        <v>2022.08_YTD</v>
      </c>
      <c r="W2" s="7"/>
      <c r="X2" s="8"/>
      <c r="Y2" s="8"/>
      <c r="Z2" s="8"/>
      <c r="AA2" s="8"/>
      <c r="AB2" s="5" t="str">
        <f>$Q$3&amp;"."&amp;AB3</f>
        <v>2023.01</v>
      </c>
      <c r="AC2" s="5" t="str">
        <f>$R$3&amp;"."&amp;AC3</f>
        <v>2023.01</v>
      </c>
      <c r="AD2" s="5" t="str">
        <f>$S$3&amp;"."&amp;AD3</f>
        <v>2022.01</v>
      </c>
      <c r="AE2" s="5"/>
      <c r="AF2" s="5" t="str">
        <f>$Q$3&amp;"."&amp;AF3</f>
        <v>2023.02</v>
      </c>
      <c r="AG2" s="5" t="str">
        <f>$R$3&amp;"."&amp;AG3</f>
        <v>2023.02</v>
      </c>
      <c r="AH2" s="5" t="str">
        <f>$S$3&amp;"."&amp;AH3</f>
        <v>2022.02</v>
      </c>
      <c r="AI2" s="5"/>
      <c r="AJ2" s="5" t="str">
        <f>$Q$3&amp;"."&amp;AJ3</f>
        <v>2023.03</v>
      </c>
      <c r="AK2" s="5" t="str">
        <f>$R$3&amp;"."&amp;AK3</f>
        <v>2023.03</v>
      </c>
      <c r="AL2" s="5" t="str">
        <f>$S$3&amp;"."&amp;AL3</f>
        <v>2022.03</v>
      </c>
      <c r="AM2" s="5"/>
      <c r="AN2" s="5" t="str">
        <f>$Q$3&amp;"."&amp;AN3</f>
        <v>2023.04</v>
      </c>
      <c r="AO2" s="5" t="str">
        <f>$R$3&amp;"."&amp;AO3</f>
        <v>2023.04</v>
      </c>
      <c r="AP2" s="5" t="str">
        <f>$S$3&amp;"."&amp;AP3</f>
        <v>2022.04</v>
      </c>
      <c r="AQ2" s="5"/>
      <c r="AR2" s="5" t="str">
        <f>$Q$3&amp;"."&amp;AR3</f>
        <v>2023.05</v>
      </c>
      <c r="AS2" s="5" t="str">
        <f>$R$3&amp;"."&amp;AS3</f>
        <v>2023.05</v>
      </c>
      <c r="AT2" s="5" t="str">
        <f>$S$3&amp;"."&amp;AT3</f>
        <v>2022.05</v>
      </c>
      <c r="AU2" s="5"/>
      <c r="AV2" s="5" t="str">
        <f>$Q$3&amp;"."&amp;AV3</f>
        <v>2023.06</v>
      </c>
      <c r="AW2" s="5" t="str">
        <f>$R$3&amp;"."&amp;AW3</f>
        <v>2023.06</v>
      </c>
      <c r="AX2" s="5" t="str">
        <f>$S$3&amp;"."&amp;AX3</f>
        <v>2022.06</v>
      </c>
      <c r="AY2" s="5"/>
      <c r="AZ2" s="5" t="str">
        <f>$Q$3&amp;"."&amp;AZ3</f>
        <v>2023.07</v>
      </c>
      <c r="BA2" s="5" t="str">
        <f>$R$3&amp;"."&amp;BA3</f>
        <v>2023.07</v>
      </c>
      <c r="BB2" s="5" t="str">
        <f>$S$3&amp;"."&amp;BB3</f>
        <v>2022.07</v>
      </c>
      <c r="BC2" s="5"/>
      <c r="BD2" s="5" t="str">
        <f>$Q$3&amp;"."&amp;BD3</f>
        <v>2023.08</v>
      </c>
      <c r="BE2" s="5" t="str">
        <f>$R$3&amp;"."&amp;BE3</f>
        <v>2023.08</v>
      </c>
      <c r="BF2" s="5" t="str">
        <f>$S$3&amp;"."&amp;BF3</f>
        <v>2022.08</v>
      </c>
      <c r="BG2" s="5"/>
      <c r="BH2" s="5" t="str">
        <f>$Q$3&amp;"."&amp;BH3</f>
        <v>2023.09</v>
      </c>
      <c r="BI2" s="5" t="str">
        <f>$R$3&amp;"."&amp;BI3</f>
        <v>2023.09</v>
      </c>
      <c r="BJ2" s="5" t="str">
        <f>$S$3&amp;"."&amp;BJ3</f>
        <v>2022.09</v>
      </c>
      <c r="BK2" s="5"/>
      <c r="BL2" s="5" t="str">
        <f>$Q$3&amp;"."&amp;BL3</f>
        <v>2023.10</v>
      </c>
      <c r="BM2" s="5" t="str">
        <f>$R$3&amp;"."&amp;BM3</f>
        <v>2023.10</v>
      </c>
      <c r="BN2" s="5" t="str">
        <f>$S$3&amp;"."&amp;BN3</f>
        <v>2022.10</v>
      </c>
      <c r="BO2" s="5"/>
      <c r="BP2" s="5" t="str">
        <f>$Q$3&amp;"."&amp;BP3</f>
        <v>2023.11</v>
      </c>
      <c r="BQ2" s="5" t="str">
        <f>$R$3&amp;"."&amp;BQ3</f>
        <v>2023.11</v>
      </c>
      <c r="BR2" s="5" t="str">
        <f>$S$3&amp;"."&amp;BR3</f>
        <v>2022.11</v>
      </c>
      <c r="BS2" s="5"/>
      <c r="BT2" s="5" t="str">
        <f>$Q$3&amp;"."&amp;BT3</f>
        <v>2023.12</v>
      </c>
      <c r="BU2" s="5" t="str">
        <f>$R$3&amp;"."&amp;BU3</f>
        <v>2023.12</v>
      </c>
      <c r="BV2" s="5" t="str">
        <f>$S$3&amp;"."&amp;BV3</f>
        <v>2022.12</v>
      </c>
      <c r="BW2" s="8"/>
      <c r="BX2" s="8"/>
      <c r="BY2" s="8"/>
      <c r="BZ2" s="8"/>
    </row>
    <row r="3" spans="1:78" ht="37.5" hidden="1" customHeight="1" x14ac:dyDescent="0.8">
      <c r="A3" s="450" t="str">
        <f>IF(AND(COUNTIF(V_ACTIVITY,"*Rail*"),COUNTIF(C:C,"*Tot_km*")),IF(V_LANG="French",Desc_Tot_km_F,Desc_Tot_km_E),"")</f>
        <v/>
      </c>
      <c r="D3" s="9"/>
      <c r="E3" s="9"/>
      <c r="I3" s="2"/>
      <c r="J3" s="2"/>
      <c r="K3" s="2"/>
      <c r="L3" s="2"/>
      <c r="M3" s="10"/>
      <c r="N3" s="10"/>
      <c r="O3" s="140"/>
      <c r="P3" s="15"/>
      <c r="Q3" s="13" t="str">
        <f>ActualYear</f>
        <v>2023</v>
      </c>
      <c r="R3" s="5" t="str">
        <f>VLOOKUP($N$21,$D$24:$E$27,2,0)</f>
        <v>2023</v>
      </c>
      <c r="S3" s="5" t="str">
        <f>VLOOKUP($O$21,$D$24:$E$27,2,0)</f>
        <v>2022</v>
      </c>
      <c r="T3" s="7"/>
      <c r="U3" s="7"/>
      <c r="V3" s="5"/>
      <c r="W3" s="7"/>
      <c r="X3" s="8"/>
      <c r="Y3" s="8"/>
      <c r="Z3" s="8"/>
      <c r="AA3" s="8"/>
      <c r="AB3" s="389" t="s">
        <v>265</v>
      </c>
      <c r="AC3" s="389" t="s">
        <v>265</v>
      </c>
      <c r="AD3" s="389" t="s">
        <v>265</v>
      </c>
      <c r="AE3" s="389"/>
      <c r="AF3" s="389" t="s">
        <v>266</v>
      </c>
      <c r="AG3" s="389" t="s">
        <v>266</v>
      </c>
      <c r="AH3" s="389" t="s">
        <v>266</v>
      </c>
      <c r="AI3" s="389"/>
      <c r="AJ3" s="389" t="s">
        <v>267</v>
      </c>
      <c r="AK3" s="389" t="s">
        <v>267</v>
      </c>
      <c r="AL3" s="389" t="s">
        <v>267</v>
      </c>
      <c r="AM3" s="389"/>
      <c r="AN3" s="389" t="s">
        <v>268</v>
      </c>
      <c r="AO3" s="389" t="s">
        <v>268</v>
      </c>
      <c r="AP3" s="389" t="s">
        <v>268</v>
      </c>
      <c r="AQ3" s="389"/>
      <c r="AR3" s="389" t="s">
        <v>269</v>
      </c>
      <c r="AS3" s="389" t="s">
        <v>269</v>
      </c>
      <c r="AT3" s="389" t="s">
        <v>269</v>
      </c>
      <c r="AU3" s="389"/>
      <c r="AV3" s="389" t="s">
        <v>270</v>
      </c>
      <c r="AW3" s="389" t="s">
        <v>270</v>
      </c>
      <c r="AX3" s="389" t="s">
        <v>270</v>
      </c>
      <c r="AY3" s="389"/>
      <c r="AZ3" s="389" t="s">
        <v>271</v>
      </c>
      <c r="BA3" s="389" t="s">
        <v>271</v>
      </c>
      <c r="BB3" s="389" t="s">
        <v>271</v>
      </c>
      <c r="BC3" s="389"/>
      <c r="BD3" s="389" t="s">
        <v>272</v>
      </c>
      <c r="BE3" s="389" t="s">
        <v>272</v>
      </c>
      <c r="BF3" s="389" t="s">
        <v>272</v>
      </c>
      <c r="BG3" s="389"/>
      <c r="BH3" s="389" t="s">
        <v>273</v>
      </c>
      <c r="BI3" s="389" t="s">
        <v>273</v>
      </c>
      <c r="BJ3" s="389" t="s">
        <v>273</v>
      </c>
      <c r="BK3" s="389"/>
      <c r="BL3" s="389" t="s">
        <v>274</v>
      </c>
      <c r="BM3" s="389" t="s">
        <v>274</v>
      </c>
      <c r="BN3" s="389" t="s">
        <v>274</v>
      </c>
      <c r="BO3" s="389"/>
      <c r="BP3" s="389" t="s">
        <v>275</v>
      </c>
      <c r="BQ3" s="389" t="s">
        <v>275</v>
      </c>
      <c r="BR3" s="389" t="s">
        <v>275</v>
      </c>
      <c r="BS3" s="389"/>
      <c r="BT3" s="389" t="s">
        <v>276</v>
      </c>
      <c r="BU3" s="389" t="s">
        <v>276</v>
      </c>
      <c r="BV3" s="389" t="s">
        <v>276</v>
      </c>
      <c r="BW3" s="8"/>
      <c r="BX3" s="8"/>
      <c r="BY3" s="8"/>
      <c r="BZ3" s="8"/>
    </row>
    <row r="4" spans="1:78" ht="45" hidden="1" customHeight="1" x14ac:dyDescent="0.75">
      <c r="D4" s="9" t="s">
        <v>303</v>
      </c>
      <c r="E4" s="9"/>
      <c r="I4" s="2"/>
      <c r="J4" s="2"/>
      <c r="K4" s="2"/>
      <c r="L4" s="2"/>
      <c r="M4" s="10"/>
      <c r="N4" s="10"/>
      <c r="O4" s="10"/>
      <c r="P4" s="16"/>
      <c r="Q4" s="17"/>
      <c r="R4" s="14"/>
      <c r="S4" s="7"/>
      <c r="T4" s="7"/>
      <c r="U4" s="7"/>
      <c r="V4" s="5"/>
      <c r="W4" s="7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</row>
    <row r="5" spans="1:78" ht="13.5" customHeight="1" x14ac:dyDescent="0.75">
      <c r="A5" s="455" t="s">
        <v>327</v>
      </c>
      <c r="B5" s="447"/>
      <c r="C5" s="447"/>
      <c r="D5" s="447"/>
      <c r="E5" s="447"/>
      <c r="F5" s="448"/>
      <c r="G5" s="457"/>
      <c r="H5" s="449"/>
      <c r="O5" s="354"/>
      <c r="P5" s="355"/>
      <c r="Q5" s="356"/>
      <c r="R5" s="357"/>
      <c r="S5" s="356"/>
      <c r="T5" s="356"/>
      <c r="U5" s="356"/>
      <c r="V5" s="356"/>
      <c r="W5" s="356"/>
      <c r="X5" s="356"/>
    </row>
    <row r="6" spans="1:78" ht="20.25" customHeight="1" x14ac:dyDescent="0.7">
      <c r="A6" s="459" t="s">
        <v>328</v>
      </c>
      <c r="B6" s="460" t="str">
        <f>IF(AND(COUNTIF(V_ACTIVITY,"*Rail*"),COUNTIF(C:C,"*Tot_km*")),IF(V_LANG="French",Desc_Tot_km_F,Desc_Tot_km_E),"")</f>
        <v/>
      </c>
      <c r="D6" s="9"/>
      <c r="E6" s="9"/>
      <c r="H6" s="451"/>
      <c r="J6" s="18"/>
      <c r="K6" s="19"/>
      <c r="L6" s="19"/>
      <c r="M6" s="20"/>
      <c r="N6" s="20"/>
      <c r="O6" s="21"/>
      <c r="P6" s="22"/>
      <c r="Q6" s="22"/>
      <c r="R6" s="22"/>
      <c r="S6" s="23"/>
      <c r="T6" s="23"/>
      <c r="U6" s="24"/>
      <c r="V6" s="22"/>
      <c r="W6" s="24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6"/>
    </row>
    <row r="7" spans="1:78" ht="33.75" customHeight="1" x14ac:dyDescent="0.7">
      <c r="A7" s="459" t="s">
        <v>329</v>
      </c>
      <c r="B7" s="460" t="str">
        <f>IF(AND(COUNTIF(V_ACTIVITY,"*Ferries*"),COUNTIF(C:C,"Tot_nb_vehicle")),IF(V_LANG="French",Desc_Tot_nb_vehicle_F,Desc_Tot_nb_vehicle_E),"")</f>
        <v/>
      </c>
      <c r="D7" s="9"/>
      <c r="E7" s="9"/>
      <c r="H7" s="451"/>
      <c r="J7" s="27"/>
      <c r="K7" s="561" t="str">
        <f>_xll.DBRA(Server&amp;Context!$B$32,Context!$B$44,$N$19)</f>
        <v>PMM - Gross Margin variance breakdown detailed analysis</v>
      </c>
      <c r="L7" s="561"/>
      <c r="M7" s="561"/>
      <c r="N7" s="561"/>
      <c r="O7" s="561"/>
      <c r="P7" s="561"/>
      <c r="Q7" s="561"/>
      <c r="R7" s="561"/>
      <c r="S7" s="561"/>
      <c r="T7" s="561"/>
      <c r="U7" s="561"/>
      <c r="V7" s="561"/>
      <c r="W7" s="561"/>
      <c r="X7" s="561"/>
      <c r="Y7" s="561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28"/>
    </row>
    <row r="8" spans="1:78" ht="21" customHeight="1" x14ac:dyDescent="0.7">
      <c r="A8" s="459" t="s">
        <v>330</v>
      </c>
      <c r="B8" s="460" t="str">
        <f>IF(AND(COUNTIF(V_ACTIVITY,"*Rail*"),COUNTIF(C:C,"Rev_km")),IF(V_LANG="French",Desc_Rev_km_F,Desc_Rev_km_E),"")</f>
        <v/>
      </c>
      <c r="D8" s="9"/>
      <c r="E8" s="9"/>
      <c r="H8" s="451"/>
      <c r="J8" s="29"/>
      <c r="K8" s="562" t="str">
        <f>_xll.DBRA(Server&amp;$A$13,$N13,$N$19)&amp;"  //  "&amp;_xll.DBRA(Server&amp;$A$15,$N15,$N$19)&amp;"  //  "&amp;_xll.DBRA(Server&amp;$A$16,$N16,$N$19)&amp;"  //  "&amp;_xll.DBRA(Server&amp;$A$17,$N17,$N$19)</f>
        <v>TRANSDEV All  //  PMM Transit activities  //  Local Currency  //  Local Gaap Management tool</v>
      </c>
      <c r="L8" s="562"/>
      <c r="M8" s="562"/>
      <c r="N8" s="562"/>
      <c r="O8" s="562"/>
      <c r="P8" s="562"/>
      <c r="Q8" s="562"/>
      <c r="R8" s="562"/>
      <c r="S8" s="562"/>
      <c r="T8" s="562"/>
      <c r="U8" s="562"/>
      <c r="V8" s="562"/>
      <c r="W8" s="562"/>
      <c r="X8" s="562"/>
      <c r="Y8" s="56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28"/>
    </row>
    <row r="9" spans="1:78" ht="35.15" customHeight="1" x14ac:dyDescent="0.7">
      <c r="A9" s="461" t="s">
        <v>331</v>
      </c>
      <c r="B9" s="462" t="str">
        <f>IF(AND(OR(COUNTIF(V_ACTIVITY,"*Rail*"),COUNTIF(V_ACTIVITY,"*Ferries*")),COUNTIF(C:C,"Tot_driv_hours")),IF(V_LANG="French",Desc_Tot_Driv_Hours_F,Desc_Tot_Driv_Hours_E),"")</f>
        <v/>
      </c>
      <c r="C9" s="452"/>
      <c r="D9" s="452"/>
      <c r="E9" s="452"/>
      <c r="F9" s="453"/>
      <c r="G9" s="458"/>
      <c r="H9" s="454"/>
      <c r="J9" s="30"/>
      <c r="M9" s="9"/>
      <c r="N9" s="9"/>
      <c r="O9" s="31"/>
      <c r="P9" s="31"/>
      <c r="Q9" s="32"/>
      <c r="R9" s="32"/>
      <c r="S9" s="32"/>
      <c r="T9" s="33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28"/>
    </row>
    <row r="10" spans="1:78" ht="21" customHeight="1" x14ac:dyDescent="0.7">
      <c r="A10" s="5"/>
      <c r="B10" s="5"/>
      <c r="D10" s="14" t="str">
        <f>N19</f>
        <v>English</v>
      </c>
      <c r="E10" s="14"/>
      <c r="F10" s="364" t="s">
        <v>245</v>
      </c>
      <c r="G10" s="363" t="s">
        <v>292</v>
      </c>
      <c r="J10" s="30"/>
      <c r="M10" s="214" t="str">
        <f>_xll.DBRA(Server&amp;Context!B32,Context!$B33,$N$19)</f>
        <v>Context selection</v>
      </c>
      <c r="N10" s="214"/>
      <c r="O10" s="31"/>
      <c r="P10" s="31"/>
      <c r="Q10" s="32"/>
      <c r="R10" s="32"/>
      <c r="S10" s="144"/>
      <c r="T10" s="33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28"/>
    </row>
    <row r="11" spans="1:78" ht="20.25" customHeight="1" x14ac:dyDescent="1.1499999999999999">
      <c r="A11" s="364" t="s">
        <v>2</v>
      </c>
      <c r="B11" s="364"/>
      <c r="D11" s="10" t="str">
        <f>_xll.DBRA(Server&amp;$A11,$N11,$N$19)</f>
        <v>August 2023 YTD</v>
      </c>
      <c r="E11" s="10"/>
      <c r="F11" s="10" t="str">
        <f>ActualMonth&amp;"_YTD"</f>
        <v>2023.08_YTD</v>
      </c>
      <c r="G11" s="56" t="str">
        <f>_xll.DBRA(Server&amp;A13,D13,"Country")</f>
        <v/>
      </c>
      <c r="J11" s="30"/>
      <c r="M11" s="212" t="str">
        <f>_xll.DBRA(Server&amp;Context!$B$32,Context!$B34,$N$19)</f>
        <v>Period : Year/Month</v>
      </c>
      <c r="N11" s="288" t="str">
        <f>_xll.SUBNM(Server&amp;A11,"default",DEFAULT_PERIOD,$N$19)</f>
        <v>August 2023 YTD</v>
      </c>
      <c r="O11" s="9"/>
      <c r="P11" s="31"/>
      <c r="Q11" s="32"/>
      <c r="R11" s="32"/>
      <c r="S11" s="32"/>
      <c r="T11" s="33"/>
      <c r="U11" s="32"/>
      <c r="V11" s="15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28"/>
    </row>
    <row r="12" spans="1:78" ht="20.25" customHeight="1" x14ac:dyDescent="1.1499999999999999">
      <c r="A12" s="364"/>
      <c r="B12" s="364"/>
      <c r="D12" s="10"/>
      <c r="E12" s="10"/>
      <c r="F12" s="10"/>
      <c r="J12" s="30"/>
      <c r="M12" s="213" t="str">
        <f>IF($N$19="English","Analysis Phase","Phase d'analyse")</f>
        <v>Analysis Phase</v>
      </c>
      <c r="N12" s="289" t="str">
        <f>DEFAULT_PHASE</f>
        <v>Actual</v>
      </c>
      <c r="O12" s="9"/>
      <c r="P12" s="31"/>
      <c r="Q12" s="32"/>
      <c r="R12" s="32"/>
      <c r="S12" s="32"/>
      <c r="T12" s="33"/>
      <c r="U12" s="32"/>
      <c r="V12" s="15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28"/>
    </row>
    <row r="13" spans="1:78" ht="20.25" customHeight="1" x14ac:dyDescent="0.7">
      <c r="A13" s="364" t="s">
        <v>234</v>
      </c>
      <c r="B13" s="364"/>
      <c r="D13" s="10" t="str">
        <f>_xll.DBRA(Server&amp;$A13,$N13,$N$19)</f>
        <v>TRANSDEV All</v>
      </c>
      <c r="E13" s="10"/>
      <c r="F13" s="10" t="str">
        <f>_xll.DBR(Server&amp;"z_Client_Properties","Default_Management_Organization",_xll.TM1USER(xServer))</f>
        <v>VTD_corp</v>
      </c>
      <c r="G13" s="363" t="s">
        <v>293</v>
      </c>
      <c r="J13" s="30"/>
      <c r="M13" s="213" t="str">
        <f>_xll.DBRA(Server&amp;Context!$B$32,Context!$B35,$N$19)</f>
        <v>Management organization</v>
      </c>
      <c r="N13" s="289" t="str">
        <f>_xll.SUBNM(Server&amp;A13,"TOUT",DEFAULT_MANAGEMENT_ORGANIZATION)</f>
        <v>VTD_corp</v>
      </c>
      <c r="O13" s="422" t="s">
        <v>291</v>
      </c>
      <c r="P13" s="31"/>
      <c r="Q13" s="421" t="str">
        <f>IF(_xll.ELLEV(Server&amp;$A$13,N13)=0,IF(G14&lt;&gt;"",G16,IF($N$19="English","Not PMM","Non PMM")),IF(_xll.ELISPAR(Server&amp;$A$13,"VTD_CORP_BM",RIGHT(N13,4)),_xll.DBR(Server&amp;"TC_BM_ACTIVITY_LABEL",$N$15,G11&amp;"_"&amp;RIGHT(N13,4),"STR_VAR1"),IF($N$19="English","Not Applicable","Non Applicable")))</f>
        <v>Not Applicable</v>
      </c>
      <c r="R13" s="32"/>
      <c r="S13" s="32"/>
      <c r="T13" s="33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28"/>
    </row>
    <row r="14" spans="1:78" ht="15.75" hidden="1" customHeight="1" x14ac:dyDescent="0.7">
      <c r="A14" s="364" t="s">
        <v>244</v>
      </c>
      <c r="B14" s="364"/>
      <c r="D14" s="10" t="str">
        <f>_xll.DBRA(Server&amp;$A14,$N14,$N$19)</f>
        <v>TRANSDEV All</v>
      </c>
      <c r="E14" s="10"/>
      <c r="F14" s="10" t="str">
        <f>_xll.DBR(Server&amp;"z_Client_Properties","Default_Legal_Organization",_xll.TM1USER(xServer))</f>
        <v>VTD_corp</v>
      </c>
      <c r="G14" s="56" t="str">
        <f>_xll.DBRA(Server&amp;A13,D13,"Business_Model")</f>
        <v/>
      </c>
      <c r="J14" s="30"/>
      <c r="M14" s="349" t="str">
        <f>_xll.DBRA(Server&amp;Context!$B$32,Context!$B36,$N$19)</f>
        <v>Legal organization</v>
      </c>
      <c r="N14" s="350" t="str">
        <f>_xll.SUBNM(Server&amp;A14,"",DEFAULT_LEGAL_ORGANIZATION,N19)</f>
        <v>TRANSDEV All</v>
      </c>
      <c r="O14" s="9"/>
      <c r="P14" s="31"/>
      <c r="Q14" s="32"/>
      <c r="R14" s="32"/>
      <c r="S14" s="32"/>
      <c r="T14" s="33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28"/>
    </row>
    <row r="15" spans="1:78" ht="20.25" customHeight="1" x14ac:dyDescent="0.75">
      <c r="A15" s="364" t="s">
        <v>4</v>
      </c>
      <c r="B15" s="364"/>
      <c r="D15" s="10" t="str">
        <f>_xll.DBRA(Server&amp;$A15,$N15,$N$19)</f>
        <v>PMM Transit activities</v>
      </c>
      <c r="E15" s="10"/>
      <c r="F15" s="10" t="s">
        <v>246</v>
      </c>
      <c r="G15" s="363" t="s">
        <v>294</v>
      </c>
      <c r="J15" s="30"/>
      <c r="M15" s="213" t="str">
        <f>_xll.DBRA(Server&amp;Context!$B$32,Context!$B37,$N$19)</f>
        <v>Activity</v>
      </c>
      <c r="N15" s="289" t="str">
        <f>_xll.SUBNM(Server&amp;A15,"PMM_ACTIVITY",DEFAULT_ACTIVITY,$N$19)</f>
        <v>PMM Transit activities</v>
      </c>
      <c r="O15" s="9"/>
      <c r="P15" s="31"/>
      <c r="Q15"/>
      <c r="R15" s="32"/>
      <c r="S15" s="32"/>
      <c r="T15" s="9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28"/>
    </row>
    <row r="16" spans="1:78" ht="20.25" customHeight="1" x14ac:dyDescent="0.75">
      <c r="A16" s="364" t="s">
        <v>5</v>
      </c>
      <c r="B16" s="364"/>
      <c r="D16" s="10" t="str">
        <f>_xll.DBRA(Server&amp;$A16,$N16,$N$19)</f>
        <v>Local Currency</v>
      </c>
      <c r="E16" s="10"/>
      <c r="F16" s="10" t="s">
        <v>247</v>
      </c>
      <c r="G16" s="56" t="e">
        <f>_xll.DBRW(Server&amp;"TC_BM_ACTIVITY_LABEL",$N$15,$G$11&amp;"_"&amp;$G$14,"STR_VAR1")</f>
        <v>#NUM!</v>
      </c>
      <c r="J16" s="30"/>
      <c r="M16" s="213" t="str">
        <f>_xll.DBRA(Server&amp;Context!$B$32,Context!$B38,$N$19)</f>
        <v>Currency</v>
      </c>
      <c r="N16" s="289" t="str">
        <f>_xll.SUBNM(Server&amp;A16,"default",DEFAULT_CURRENCY,$N$19)</f>
        <v>Local Currency</v>
      </c>
      <c r="O16" s="9"/>
      <c r="P16" s="31"/>
      <c r="Q16" s="32"/>
      <c r="R16" s="32"/>
      <c r="S16"/>
      <c r="T16" s="33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28"/>
    </row>
    <row r="17" spans="1:78" ht="20.25" customHeight="1" x14ac:dyDescent="0.7">
      <c r="A17" s="364" t="s">
        <v>6</v>
      </c>
      <c r="B17" s="364"/>
      <c r="D17" s="10" t="str">
        <f>_xll.DBRA(Server&amp;$A17,$N17,$N$19)</f>
        <v>Local Gaap Management tool</v>
      </c>
      <c r="E17" s="10"/>
      <c r="F17" s="10" t="s">
        <v>248</v>
      </c>
      <c r="G17" s="56" t="s">
        <v>13</v>
      </c>
      <c r="J17" s="30"/>
      <c r="M17" s="213" t="str">
        <f>_xll.DBRA(Server&amp;Context!$B$32,Context!$B39,$N$19)</f>
        <v>Gaap</v>
      </c>
      <c r="N17" s="289" t="str">
        <f>_xll.SUBNM(Server&amp;A17,"",DEFAULT_GAAP,N19)</f>
        <v>Local Gaap Management tool</v>
      </c>
      <c r="O17" s="9"/>
      <c r="P17" s="31"/>
      <c r="Q17" s="32"/>
      <c r="R17" s="32"/>
      <c r="S17" s="32"/>
      <c r="T17" s="33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28"/>
    </row>
    <row r="18" spans="1:78" ht="20.25" customHeight="1" x14ac:dyDescent="0.7">
      <c r="A18" s="364" t="s">
        <v>243</v>
      </c>
      <c r="B18" s="364"/>
      <c r="D18" s="10" t="str">
        <f>_xll.DBRA(Server&amp;$A18,$N18,$N$19)</f>
        <v>Package data (Integration rate No-APP)</v>
      </c>
      <c r="E18" s="10"/>
      <c r="F18" s="10" t="s">
        <v>249</v>
      </c>
      <c r="G18" s="56" t="s">
        <v>13</v>
      </c>
      <c r="J18" s="30"/>
      <c r="M18" s="213" t="str">
        <f>_xll.DBRA(Server&amp;Context!$B$32,Context!$B40,$N$19)</f>
        <v>Integration rate</v>
      </c>
      <c r="N18" s="289" t="str">
        <f>_xll.SUBNM(Server&amp;A18,"",DEFAULT_INTEGRATION_RATE,N19)</f>
        <v>Package data (Integration rate No-APP)</v>
      </c>
      <c r="P18" s="31"/>
      <c r="Q18" s="32"/>
      <c r="R18" s="32"/>
      <c r="S18" s="32"/>
      <c r="T18" s="33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28"/>
    </row>
    <row r="19" spans="1:78" ht="20.25" customHeight="1" x14ac:dyDescent="0.7">
      <c r="B19" s="364"/>
      <c r="C19" s="364"/>
      <c r="D19" s="364"/>
      <c r="E19" s="364"/>
      <c r="F19" s="364"/>
      <c r="J19" s="30"/>
      <c r="M19" s="213" t="str">
        <f>_xll.DBRA(Server&amp;Context!$B$32,Context!$B41,$N$19)</f>
        <v>Language</v>
      </c>
      <c r="N19" s="290" t="s">
        <v>9</v>
      </c>
      <c r="P19" s="31"/>
      <c r="Q19" s="32"/>
      <c r="R19" s="32"/>
      <c r="S19" s="32"/>
      <c r="T19" s="33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28"/>
    </row>
    <row r="20" spans="1:78" ht="20.25" customHeight="1" x14ac:dyDescent="0.7">
      <c r="A20" s="363" t="s">
        <v>0</v>
      </c>
      <c r="B20" s="363"/>
      <c r="C20" s="363" t="s">
        <v>1</v>
      </c>
      <c r="D20" s="365" t="str">
        <f>_xll.DBRA(Server&amp;$A$20,$C20,$N$19)</f>
        <v>Actual</v>
      </c>
      <c r="E20" s="365" t="str">
        <f>C20</f>
        <v>ACT_TOT</v>
      </c>
      <c r="F20" s="10" t="str">
        <f>D20</f>
        <v>Actual</v>
      </c>
      <c r="J20" s="30"/>
      <c r="M20" s="213" t="str">
        <f>IF($N$19="English","Comparison Phases","Phases de comparaison")</f>
        <v>Comparison Phases</v>
      </c>
      <c r="N20" s="289" t="str">
        <f>F21</f>
        <v>Budget V current</v>
      </c>
      <c r="O20" s="289" t="str">
        <f>G21</f>
        <v>Actual</v>
      </c>
      <c r="P20" s="31"/>
      <c r="Q20" s="32"/>
      <c r="R20" s="32"/>
      <c r="S20" s="32"/>
      <c r="T20" s="33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28"/>
    </row>
    <row r="21" spans="1:78" ht="20.25" customHeight="1" x14ac:dyDescent="0.7">
      <c r="A21" s="363" t="s">
        <v>254</v>
      </c>
      <c r="B21" s="363" t="str">
        <f>_xll.DBR(Server&amp;"z_Admin_Param","BUDGET_VERSION_BUDGET_FORECAST","STR_VAR1")</f>
        <v>VC</v>
      </c>
      <c r="C21" s="363" t="str">
        <f>"BUDG"&amp;IF(B21="VF","","_"&amp;B21)&amp;"_TOT"</f>
        <v>BUDG_VC_TOT</v>
      </c>
      <c r="D21" s="365" t="str">
        <f>_xll.DBRA(Server&amp;$A$20,$C21,$N$19)</f>
        <v>Budget V current</v>
      </c>
      <c r="E21" s="365" t="str">
        <f>C21</f>
        <v>BUDG_VC_TOT</v>
      </c>
      <c r="F21" s="10" t="str">
        <f>D21</f>
        <v>Budget V current</v>
      </c>
      <c r="G21" s="10" t="str">
        <f>D20</f>
        <v>Actual</v>
      </c>
      <c r="J21" s="30"/>
      <c r="M21" s="213" t="str">
        <f>IF($N$19="English","Comparison year","Années de comparaison")</f>
        <v>Comparison year</v>
      </c>
      <c r="N21" s="289" t="str">
        <f>F22</f>
        <v>N</v>
      </c>
      <c r="O21" s="289" t="str">
        <f>G22</f>
        <v>N-1</v>
      </c>
      <c r="P21" s="31"/>
      <c r="Q21" s="32"/>
      <c r="R21" s="32"/>
      <c r="S21" s="32"/>
      <c r="T21" s="33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28"/>
    </row>
    <row r="22" spans="1:78" ht="20.25" customHeight="1" x14ac:dyDescent="0.7">
      <c r="A22" s="363" t="s">
        <v>255</v>
      </c>
      <c r="B22" s="363" t="str">
        <f>_xll.DBR(Server&amp;"z_Admin_Param","FORECAST_1_VERSION_BUDGET_FORECAST","STR_VAR1")</f>
        <v>VC</v>
      </c>
      <c r="C22" s="363" t="str">
        <f>"FC_1"&amp;IF(B22="VF","","_"&amp;B22)&amp;"_TOT"</f>
        <v>FC_1_VC_TOT</v>
      </c>
      <c r="D22" s="365" t="str">
        <f>_xll.DBRA(Server&amp;$A$20,$C22,$N$19)</f>
        <v>Forecast 1 V current</v>
      </c>
      <c r="E22" s="365" t="str">
        <f>C22</f>
        <v>FC_1_VC_TOT</v>
      </c>
      <c r="F22" s="10" t="str">
        <f>D26</f>
        <v>N</v>
      </c>
      <c r="G22" s="10" t="str">
        <f>D25</f>
        <v>N-1</v>
      </c>
      <c r="J22" s="30"/>
      <c r="M22" s="9"/>
      <c r="N22" s="9"/>
      <c r="O22" s="9"/>
      <c r="P22" s="31"/>
      <c r="Q22" s="32"/>
      <c r="R22" s="32"/>
      <c r="S22" s="32"/>
      <c r="T22" s="33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28"/>
    </row>
    <row r="23" spans="1:78" ht="11.25" customHeight="1" x14ac:dyDescent="1.1499999999999999">
      <c r="A23" s="357" t="s">
        <v>256</v>
      </c>
      <c r="B23" s="363" t="str">
        <f>_xll.DBR(Server&amp;"z_Admin_Param","FORECAST_2_VERSION_BUDGET_FORECAST","STR_VAR1")</f>
        <v>VC</v>
      </c>
      <c r="C23" s="363" t="str">
        <f>"FC_2"&amp;IF(B23="VF","","_"&amp;B23)&amp;"_TOT"</f>
        <v>FC_2_VC_TOT</v>
      </c>
      <c r="D23" s="365" t="str">
        <f>_xll.DBRA(Server&amp;$A$20,$C23,$N$19)</f>
        <v>Forecast 2 V current</v>
      </c>
      <c r="E23" s="365" t="str">
        <f>C23</f>
        <v>FC_2_VC_TOT</v>
      </c>
      <c r="J23" s="30"/>
      <c r="M23" s="9"/>
      <c r="N23" s="9"/>
      <c r="O23" s="31"/>
      <c r="P23" s="31"/>
      <c r="Q23" s="152"/>
      <c r="R23" s="153"/>
      <c r="S23" s="32"/>
      <c r="T23" s="33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28"/>
    </row>
    <row r="24" spans="1:78" ht="15.75" hidden="1" customHeight="1" x14ac:dyDescent="1.1499999999999999">
      <c r="A24" s="357" t="s">
        <v>250</v>
      </c>
      <c r="B24" s="363"/>
      <c r="C24" s="363" t="str">
        <f>E24</f>
        <v>2021</v>
      </c>
      <c r="D24" s="373" t="s">
        <v>332</v>
      </c>
      <c r="E24" s="366" t="str">
        <f>FIXED(ActualYear-2,0,TRUE)</f>
        <v>2021</v>
      </c>
      <c r="F24" s="56" t="s">
        <v>260</v>
      </c>
      <c r="J24" s="30"/>
      <c r="M24" s="435"/>
      <c r="N24" s="9"/>
      <c r="O24" s="31"/>
      <c r="P24" s="31"/>
      <c r="Q24" s="152"/>
      <c r="R24" s="153"/>
      <c r="S24" s="32"/>
      <c r="T24" s="33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28"/>
    </row>
    <row r="25" spans="1:78" ht="15.75" hidden="1" customHeight="1" x14ac:dyDescent="1.1499999999999999">
      <c r="A25" s="357"/>
      <c r="B25" s="363"/>
      <c r="C25" s="363" t="str">
        <f>E25</f>
        <v>2022</v>
      </c>
      <c r="D25" s="373" t="s">
        <v>259</v>
      </c>
      <c r="E25" s="366" t="str">
        <f>FIXED(ActualYear-1,0,TRUE)</f>
        <v>2022</v>
      </c>
      <c r="F25" s="56" t="s">
        <v>260</v>
      </c>
      <c r="J25" s="30"/>
      <c r="M25" s="435"/>
      <c r="N25" s="9"/>
      <c r="O25" s="31"/>
      <c r="P25" s="31"/>
      <c r="Q25" s="152"/>
      <c r="R25" s="153"/>
      <c r="S25" s="32"/>
      <c r="T25" s="33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28"/>
    </row>
    <row r="26" spans="1:78" ht="20.25" hidden="1" customHeight="1" x14ac:dyDescent="1.1499999999999999">
      <c r="A26" s="357"/>
      <c r="B26" s="363"/>
      <c r="C26" s="363" t="str">
        <f>E26</f>
        <v>2023</v>
      </c>
      <c r="D26" s="373" t="s">
        <v>257</v>
      </c>
      <c r="E26" s="366" t="str">
        <f>ActualYear</f>
        <v>2023</v>
      </c>
      <c r="F26" s="56"/>
      <c r="J26" s="30"/>
      <c r="M26" s="435"/>
      <c r="N26" s="9"/>
      <c r="O26" s="31"/>
      <c r="P26" s="31"/>
      <c r="Q26" s="152"/>
      <c r="R26" s="153"/>
      <c r="S26" s="32"/>
      <c r="T26" s="33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28"/>
    </row>
    <row r="27" spans="1:78" ht="20.25" hidden="1" customHeight="1" x14ac:dyDescent="1.1499999999999999">
      <c r="A27" s="357"/>
      <c r="B27" s="363"/>
      <c r="C27" s="363" t="str">
        <f>E27</f>
        <v>2024</v>
      </c>
      <c r="D27" s="373" t="s">
        <v>258</v>
      </c>
      <c r="E27" s="366" t="str">
        <f>FIXED(ActualYear+1,0,TRUE)</f>
        <v>2024</v>
      </c>
      <c r="F27" s="56" t="s">
        <v>261</v>
      </c>
      <c r="J27" s="30"/>
      <c r="M27" s="435"/>
      <c r="N27" s="9"/>
      <c r="O27" s="31"/>
      <c r="P27" s="31"/>
      <c r="Q27" s="152"/>
      <c r="R27" s="153"/>
      <c r="S27" s="153"/>
      <c r="T27" s="153"/>
      <c r="U27" s="153"/>
      <c r="V27" s="153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28"/>
    </row>
    <row r="28" spans="1:78" ht="20.25" hidden="1" customHeight="1" x14ac:dyDescent="1.1499999999999999">
      <c r="A28" s="357" t="s">
        <v>250</v>
      </c>
      <c r="D28" s="9"/>
      <c r="E28" s="9"/>
      <c r="F28" s="9"/>
      <c r="J28" s="30"/>
      <c r="M28" s="553"/>
      <c r="N28" s="9"/>
      <c r="O28" s="31"/>
      <c r="P28" s="31"/>
      <c r="Q28" s="152"/>
      <c r="R28" s="153"/>
      <c r="S28" s="32"/>
      <c r="T28" s="33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28"/>
    </row>
    <row r="29" spans="1:78" ht="12.75" customHeight="1" x14ac:dyDescent="0.6">
      <c r="F29" s="9"/>
      <c r="G29" s="367"/>
      <c r="H29" s="367"/>
      <c r="J29" s="30"/>
      <c r="M29" s="553"/>
      <c r="N29" s="9"/>
      <c r="O29" s="9"/>
      <c r="P29" s="36"/>
      <c r="Q29" s="550" t="str">
        <f>_xll.DBRA(Server&amp;$A$11,$N11,$N$19)</f>
        <v>August 2023 YTD</v>
      </c>
      <c r="R29" s="550"/>
      <c r="S29" s="550"/>
      <c r="T29" s="550"/>
      <c r="U29" s="550"/>
      <c r="V29" s="550"/>
      <c r="W29" s="550"/>
      <c r="X29" s="550"/>
      <c r="Y29" s="37"/>
      <c r="Z29" s="37"/>
      <c r="AA29" s="37"/>
      <c r="AB29" s="549" t="str">
        <f>IF($N$19="English","January","Janvier")</f>
        <v>January</v>
      </c>
      <c r="AC29" s="550"/>
      <c r="AD29" s="551"/>
      <c r="AE29" s="32"/>
      <c r="AF29" s="549" t="str">
        <f>IF($N$19="English","February","Février")</f>
        <v>February</v>
      </c>
      <c r="AG29" s="550"/>
      <c r="AH29" s="551"/>
      <c r="AI29" s="32"/>
      <c r="AJ29" s="549" t="str">
        <f>IF($N$19="English","March","Mars")</f>
        <v>March</v>
      </c>
      <c r="AK29" s="550"/>
      <c r="AL29" s="551"/>
      <c r="AM29" s="32"/>
      <c r="AN29" s="549" t="str">
        <f>IF($N$19="English","April","Avril")</f>
        <v>April</v>
      </c>
      <c r="AO29" s="550"/>
      <c r="AP29" s="551"/>
      <c r="AQ29" s="32"/>
      <c r="AR29" s="549" t="str">
        <f>IF($N$19="English","May","Mai")</f>
        <v>May</v>
      </c>
      <c r="AS29" s="550"/>
      <c r="AT29" s="551"/>
      <c r="AU29" s="32"/>
      <c r="AV29" s="549" t="str">
        <f>IF($N$19="English","June","Juin")</f>
        <v>June</v>
      </c>
      <c r="AW29" s="550"/>
      <c r="AX29" s="551"/>
      <c r="AY29" s="32"/>
      <c r="AZ29" s="549" t="str">
        <f>IF($N$19="English","July","Juillet")</f>
        <v>July</v>
      </c>
      <c r="BA29" s="550"/>
      <c r="BB29" s="551"/>
      <c r="BC29" s="32"/>
      <c r="BD29" s="549" t="str">
        <f>IF($N$19="English","August","Août")</f>
        <v>August</v>
      </c>
      <c r="BE29" s="550"/>
      <c r="BF29" s="551"/>
      <c r="BG29" s="32"/>
      <c r="BH29" s="549" t="str">
        <f>IF($N$19="English","September","Septembre")</f>
        <v>September</v>
      </c>
      <c r="BI29" s="550"/>
      <c r="BJ29" s="551"/>
      <c r="BK29" s="32"/>
      <c r="BL29" s="549" t="str">
        <f>IF($N$19="English","October","Octobre")</f>
        <v>October</v>
      </c>
      <c r="BM29" s="550"/>
      <c r="BN29" s="551"/>
      <c r="BO29" s="32"/>
      <c r="BP29" s="549" t="str">
        <f>IF($N$19="English","November","Novembre")</f>
        <v>November</v>
      </c>
      <c r="BQ29" s="550"/>
      <c r="BR29" s="551"/>
      <c r="BS29" s="32"/>
      <c r="BT29" s="549" t="str">
        <f>IF($N$19="English","December","Décembre")</f>
        <v>December</v>
      </c>
      <c r="BU29" s="550"/>
      <c r="BV29" s="551"/>
      <c r="BW29" s="37"/>
      <c r="BX29" s="28"/>
    </row>
    <row r="30" spans="1:78" ht="12.75" customHeight="1" x14ac:dyDescent="0.8">
      <c r="F30" s="38"/>
      <c r="G30" s="367"/>
      <c r="H30" s="367"/>
      <c r="J30" s="30"/>
      <c r="M30" s="9"/>
      <c r="N30" s="9"/>
      <c r="O30" s="39"/>
      <c r="P30" s="36"/>
      <c r="Q30" s="550"/>
      <c r="R30" s="550"/>
      <c r="S30" s="550"/>
      <c r="T30" s="550"/>
      <c r="U30" s="550"/>
      <c r="V30" s="550"/>
      <c r="W30" s="550"/>
      <c r="X30" s="550"/>
      <c r="Y30" s="37"/>
      <c r="Z30" s="37"/>
      <c r="AA30" s="37"/>
      <c r="AB30" s="549"/>
      <c r="AC30" s="550"/>
      <c r="AD30" s="551"/>
      <c r="AE30" s="32"/>
      <c r="AF30" s="549"/>
      <c r="AG30" s="550"/>
      <c r="AH30" s="551"/>
      <c r="AI30" s="32"/>
      <c r="AJ30" s="549"/>
      <c r="AK30" s="550"/>
      <c r="AL30" s="551"/>
      <c r="AM30" s="32"/>
      <c r="AN30" s="549"/>
      <c r="AO30" s="550"/>
      <c r="AP30" s="551"/>
      <c r="AQ30" s="32"/>
      <c r="AR30" s="549"/>
      <c r="AS30" s="550"/>
      <c r="AT30" s="551"/>
      <c r="AU30" s="32"/>
      <c r="AV30" s="549"/>
      <c r="AW30" s="550"/>
      <c r="AX30" s="551"/>
      <c r="AY30" s="32"/>
      <c r="AZ30" s="549"/>
      <c r="BA30" s="550"/>
      <c r="BB30" s="551"/>
      <c r="BC30" s="32"/>
      <c r="BD30" s="549"/>
      <c r="BE30" s="550"/>
      <c r="BF30" s="551"/>
      <c r="BG30" s="32"/>
      <c r="BH30" s="549"/>
      <c r="BI30" s="550"/>
      <c r="BJ30" s="551"/>
      <c r="BK30" s="32"/>
      <c r="BL30" s="549"/>
      <c r="BM30" s="550"/>
      <c r="BN30" s="551"/>
      <c r="BO30" s="32"/>
      <c r="BP30" s="549"/>
      <c r="BQ30" s="550"/>
      <c r="BR30" s="551"/>
      <c r="BS30" s="32"/>
      <c r="BT30" s="549"/>
      <c r="BU30" s="550"/>
      <c r="BV30" s="551"/>
      <c r="BW30" s="37"/>
      <c r="BX30" s="28"/>
    </row>
    <row r="31" spans="1:78" s="42" customFormat="1" ht="2.25" customHeight="1" x14ac:dyDescent="0.8">
      <c r="D31" s="40"/>
      <c r="E31" s="40"/>
      <c r="F31" s="41"/>
      <c r="G31" s="367"/>
      <c r="H31" s="367"/>
      <c r="I31" s="1"/>
      <c r="J31" s="30"/>
      <c r="K31" s="1"/>
      <c r="L31" s="1"/>
      <c r="M31" s="9"/>
      <c r="N31" s="9"/>
      <c r="O31" s="39"/>
      <c r="P31" s="43"/>
      <c r="Q31" s="44"/>
      <c r="R31" s="44"/>
      <c r="S31" s="44"/>
      <c r="T31" s="44"/>
      <c r="U31" s="45"/>
      <c r="V31" s="44"/>
      <c r="W31" s="44"/>
      <c r="X31" s="44"/>
      <c r="Y31" s="46"/>
      <c r="Z31" s="46"/>
      <c r="AA31" s="46"/>
      <c r="AB31" s="390"/>
      <c r="AC31" s="390"/>
      <c r="AD31" s="390"/>
      <c r="AE31" s="32"/>
      <c r="AF31" s="390"/>
      <c r="AG31" s="390"/>
      <c r="AH31" s="390"/>
      <c r="AI31" s="32"/>
      <c r="AJ31" s="390"/>
      <c r="AK31" s="390"/>
      <c r="AL31" s="390"/>
      <c r="AM31" s="32"/>
      <c r="AN31" s="390"/>
      <c r="AO31" s="390"/>
      <c r="AP31" s="390"/>
      <c r="AQ31" s="32"/>
      <c r="AR31" s="390"/>
      <c r="AS31" s="390"/>
      <c r="AT31" s="390"/>
      <c r="AU31" s="32"/>
      <c r="AV31" s="390"/>
      <c r="AW31" s="390"/>
      <c r="AX31" s="390"/>
      <c r="AY31" s="32"/>
      <c r="AZ31" s="390"/>
      <c r="BA31" s="390"/>
      <c r="BB31" s="390"/>
      <c r="BC31" s="32"/>
      <c r="BD31" s="390"/>
      <c r="BE31" s="390"/>
      <c r="BF31" s="390"/>
      <c r="BG31" s="32"/>
      <c r="BH31" s="390"/>
      <c r="BI31" s="390"/>
      <c r="BJ31" s="390"/>
      <c r="BK31" s="32"/>
      <c r="BL31" s="390"/>
      <c r="BM31" s="390"/>
      <c r="BN31" s="390"/>
      <c r="BO31" s="32"/>
      <c r="BP31" s="390"/>
      <c r="BQ31" s="390"/>
      <c r="BR31" s="390"/>
      <c r="BS31" s="32"/>
      <c r="BT31" s="390"/>
      <c r="BU31" s="390"/>
      <c r="BV31" s="390"/>
      <c r="BW31" s="46"/>
      <c r="BX31" s="47"/>
      <c r="BY31" s="385"/>
      <c r="BZ31" s="34"/>
    </row>
    <row r="32" spans="1:78" ht="26.25" customHeight="1" x14ac:dyDescent="0.8">
      <c r="A32" s="38"/>
      <c r="B32" s="367" t="s">
        <v>12</v>
      </c>
      <c r="F32" s="9"/>
      <c r="G32" s="9"/>
      <c r="H32" s="367"/>
      <c r="J32" s="30"/>
      <c r="M32" s="9"/>
      <c r="N32" s="9"/>
      <c r="O32" s="39"/>
      <c r="P32" s="36"/>
      <c r="Q32" s="282" t="str">
        <f>N12</f>
        <v>Actual</v>
      </c>
      <c r="R32" s="282" t="str">
        <f>N20&amp;" "&amp;N21</f>
        <v>Budget V current N</v>
      </c>
      <c r="S32" s="564" t="str">
        <f>Q32&amp;" / "&amp;R32</f>
        <v>Actual / Budget V current N</v>
      </c>
      <c r="T32" s="565"/>
      <c r="U32" s="283"/>
      <c r="V32" s="282" t="str">
        <f>O20&amp;" "&amp;O21</f>
        <v>Actual N-1</v>
      </c>
      <c r="W32" s="566" t="str">
        <f>Q32&amp;" / "&amp;V32</f>
        <v>Actual / Actual N-1</v>
      </c>
      <c r="X32" s="565"/>
      <c r="Y32" s="37"/>
      <c r="Z32" s="37"/>
      <c r="AA32" s="37"/>
      <c r="AB32" s="282" t="str">
        <f>VLOOKUP(AB$1,$C$20:$D$23,2,0)</f>
        <v>Actual</v>
      </c>
      <c r="AC32" s="282" t="str">
        <f>VLOOKUP(AC$1,$C$20:$D$23,2,0)&amp;" "&amp;VLOOKUP($R$3,$C$24:$D$27,2,0)</f>
        <v>Budget V current N</v>
      </c>
      <c r="AD32" s="282" t="str">
        <f>VLOOKUP(AD$1,$C$20:$D$23,2,0)&amp;" "&amp;VLOOKUP($S$3,$C$24:$D$27,2,0)</f>
        <v>Actual N-1</v>
      </c>
      <c r="AE32" s="32"/>
      <c r="AF32" s="282" t="str">
        <f>VLOOKUP(AF$1,$C$20:$D$23,2,0)</f>
        <v>Actual</v>
      </c>
      <c r="AG32" s="282" t="str">
        <f>VLOOKUP(AG$1,$C$20:$D$23,2,0)&amp;" "&amp;VLOOKUP($R$3,$C$24:$D$27,2,0)</f>
        <v>Budget V current N</v>
      </c>
      <c r="AH32" s="282" t="str">
        <f>VLOOKUP(AH$1,$C$20:$D$23,2,0)&amp;" "&amp;VLOOKUP($S$3,$C$24:$D$27,2,0)</f>
        <v>Actual N-1</v>
      </c>
      <c r="AI32" s="32"/>
      <c r="AJ32" s="282" t="str">
        <f>VLOOKUP(AJ$1,$C$20:$D$23,2,0)</f>
        <v>Actual</v>
      </c>
      <c r="AK32" s="282" t="str">
        <f>VLOOKUP(AK$1,$C$20:$D$23,2,0)&amp;" "&amp;VLOOKUP($R$3,$C$24:$D$27,2,0)</f>
        <v>Budget V current N</v>
      </c>
      <c r="AL32" s="282" t="str">
        <f>VLOOKUP(AL$1,$C$20:$D$23,2,0)&amp;" "&amp;VLOOKUP($S$3,$C$24:$D$27,2,0)</f>
        <v>Actual N-1</v>
      </c>
      <c r="AM32" s="32"/>
      <c r="AN32" s="282" t="str">
        <f>VLOOKUP(AN$1,$C$20:$D$23,2,0)</f>
        <v>Actual</v>
      </c>
      <c r="AO32" s="282" t="str">
        <f>VLOOKUP(AO$1,$C$20:$D$23,2,0)&amp;" "&amp;VLOOKUP($R$3,$C$24:$D$27,2,0)</f>
        <v>Budget V current N</v>
      </c>
      <c r="AP32" s="282" t="str">
        <f>VLOOKUP(AP$1,$C$20:$D$23,2,0)&amp;" "&amp;VLOOKUP($S$3,$C$24:$D$27,2,0)</f>
        <v>Actual N-1</v>
      </c>
      <c r="AQ32" s="32"/>
      <c r="AR32" s="282" t="str">
        <f>VLOOKUP(AR$1,$C$20:$D$23,2,0)</f>
        <v>Actual</v>
      </c>
      <c r="AS32" s="282" t="str">
        <f>VLOOKUP(AS$1,$C$20:$D$23,2,0)&amp;" "&amp;VLOOKUP($R$3,$C$24:$D$27,2,0)</f>
        <v>Budget V current N</v>
      </c>
      <c r="AT32" s="282" t="str">
        <f>VLOOKUP(AT$1,$C$20:$D$23,2,0)&amp;" "&amp;VLOOKUP($S$3,$C$24:$D$27,2,0)</f>
        <v>Actual N-1</v>
      </c>
      <c r="AU32" s="32"/>
      <c r="AV32" s="282" t="str">
        <f>VLOOKUP(AV$1,$C$20:$D$23,2,0)</f>
        <v>Actual</v>
      </c>
      <c r="AW32" s="282" t="str">
        <f>VLOOKUP(AW$1,$C$20:$D$23,2,0)&amp;" "&amp;VLOOKUP($R$3,$C$24:$D$27,2,0)</f>
        <v>Budget V current N</v>
      </c>
      <c r="AX32" s="282" t="str">
        <f>VLOOKUP(AX$1,$C$20:$D$23,2,0)&amp;" "&amp;VLOOKUP($S$3,$C$24:$D$27,2,0)</f>
        <v>Actual N-1</v>
      </c>
      <c r="AY32" s="32"/>
      <c r="AZ32" s="282" t="str">
        <f>VLOOKUP(AZ$1,$C$20:$D$23,2,0)</f>
        <v>Actual</v>
      </c>
      <c r="BA32" s="282" t="str">
        <f>VLOOKUP(BA$1,$C$20:$D$23,2,0)&amp;" "&amp;VLOOKUP($R$3,$C$24:$D$27,2,0)</f>
        <v>Budget V current N</v>
      </c>
      <c r="BB32" s="282" t="str">
        <f>VLOOKUP(BB$1,$C$20:$D$23,2,0)&amp;" "&amp;VLOOKUP($S$3,$C$24:$D$27,2,0)</f>
        <v>Actual N-1</v>
      </c>
      <c r="BC32" s="32"/>
      <c r="BD32" s="282" t="str">
        <f>VLOOKUP(BD$1,$C$20:$D$23,2,0)</f>
        <v>Actual</v>
      </c>
      <c r="BE32" s="282" t="str">
        <f>VLOOKUP(BE$1,$C$20:$D$23,2,0)&amp;" "&amp;VLOOKUP($R$3,$C$24:$D$27,2,0)</f>
        <v>Budget V current N</v>
      </c>
      <c r="BF32" s="282" t="str">
        <f>VLOOKUP(BF$1,$C$20:$D$23,2,0)&amp;" "&amp;VLOOKUP($S$3,$C$24:$D$27,2,0)</f>
        <v>Actual N-1</v>
      </c>
      <c r="BG32" s="32"/>
      <c r="BH32" s="282" t="str">
        <f>VLOOKUP(BH$1,$C$20:$D$23,2,0)</f>
        <v>Actual</v>
      </c>
      <c r="BI32" s="282" t="str">
        <f>VLOOKUP(BI$1,$C$20:$D$23,2,0)&amp;" "&amp;VLOOKUP($R$3,$C$24:$D$27,2,0)</f>
        <v>Budget V current N</v>
      </c>
      <c r="BJ32" s="282" t="str">
        <f>VLOOKUP(BJ$1,$C$20:$D$23,2,0)&amp;" "&amp;VLOOKUP($S$3,$C$24:$D$27,2,0)</f>
        <v>Actual N-1</v>
      </c>
      <c r="BK32" s="32"/>
      <c r="BL32" s="282" t="str">
        <f>VLOOKUP(BL$1,$C$20:$D$23,2,0)</f>
        <v>Actual</v>
      </c>
      <c r="BM32" s="282" t="str">
        <f>VLOOKUP(BM$1,$C$20:$D$23,2,0)&amp;" "&amp;VLOOKUP($R$3,$C$24:$D$27,2,0)</f>
        <v>Budget V current N</v>
      </c>
      <c r="BN32" s="282" t="str">
        <f>VLOOKUP(BN$1,$C$20:$D$23,2,0)&amp;" "&amp;VLOOKUP($S$3,$C$24:$D$27,2,0)</f>
        <v>Actual N-1</v>
      </c>
      <c r="BO32" s="32"/>
      <c r="BP32" s="282" t="str">
        <f>VLOOKUP(BP$1,$C$20:$D$23,2,0)</f>
        <v>Actual</v>
      </c>
      <c r="BQ32" s="282" t="str">
        <f>VLOOKUP(BQ$1,$C$20:$D$23,2,0)&amp;" "&amp;VLOOKUP($R$3,$C$24:$D$27,2,0)</f>
        <v>Budget V current N</v>
      </c>
      <c r="BR32" s="282" t="str">
        <f>VLOOKUP(BR$1,$C$20:$D$23,2,0)&amp;" "&amp;VLOOKUP($S$3,$C$24:$D$27,2,0)</f>
        <v>Actual N-1</v>
      </c>
      <c r="BS32" s="32"/>
      <c r="BT32" s="282" t="str">
        <f>VLOOKUP(BT$1,$C$20:$D$23,2,0)</f>
        <v>Actual</v>
      </c>
      <c r="BU32" s="282" t="str">
        <f>VLOOKUP(BU$1,$C$20:$D$23,2,0)&amp;" "&amp;VLOOKUP($R$3,$C$24:$D$27,2,0)</f>
        <v>Budget V current N</v>
      </c>
      <c r="BV32" s="282" t="str">
        <f>VLOOKUP(BV$1,$C$20:$D$23,2,0)&amp;" "&amp;VLOOKUP($S$3,$C$24:$D$27,2,0)</f>
        <v>Actual N-1</v>
      </c>
      <c r="BW32" s="37"/>
      <c r="BX32" s="28"/>
    </row>
    <row r="33" spans="1:78" ht="5.25" customHeight="1" x14ac:dyDescent="0.8">
      <c r="A33" s="38"/>
      <c r="B33" s="35"/>
      <c r="F33" s="9"/>
      <c r="G33" s="9"/>
      <c r="H33" s="35"/>
      <c r="J33" s="30"/>
      <c r="K33" s="35"/>
      <c r="L33" s="35"/>
      <c r="M33" s="9"/>
      <c r="N33" s="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2"/>
      <c r="AF33" s="39"/>
      <c r="AG33" s="39"/>
      <c r="AH33" s="39"/>
      <c r="AI33" s="32"/>
      <c r="AJ33" s="39"/>
      <c r="AK33" s="39"/>
      <c r="AL33" s="39"/>
      <c r="AM33" s="32"/>
      <c r="AN33" s="39"/>
      <c r="AO33" s="39"/>
      <c r="AP33" s="39"/>
      <c r="AQ33" s="32"/>
      <c r="AR33" s="39"/>
      <c r="AS33" s="39"/>
      <c r="AT33" s="39"/>
      <c r="AU33" s="32"/>
      <c r="AV33" s="39"/>
      <c r="AW33" s="39"/>
      <c r="AX33" s="39"/>
      <c r="AY33" s="32"/>
      <c r="AZ33" s="39"/>
      <c r="BA33" s="39"/>
      <c r="BB33" s="39"/>
      <c r="BC33" s="32"/>
      <c r="BD33" s="39"/>
      <c r="BE33" s="39"/>
      <c r="BF33" s="39"/>
      <c r="BG33" s="32"/>
      <c r="BH33" s="39"/>
      <c r="BI33" s="39"/>
      <c r="BJ33" s="39"/>
      <c r="BK33" s="32"/>
      <c r="BL33" s="39"/>
      <c r="BM33" s="39"/>
      <c r="BN33" s="39"/>
      <c r="BO33" s="32"/>
      <c r="BP33" s="39"/>
      <c r="BQ33" s="39"/>
      <c r="BR33" s="39"/>
      <c r="BS33" s="32"/>
      <c r="BT33" s="39"/>
      <c r="BU33" s="39"/>
      <c r="BV33" s="39"/>
      <c r="BW33" s="39"/>
      <c r="BX33" s="28"/>
    </row>
    <row r="34" spans="1:78" ht="5.25" customHeight="1" x14ac:dyDescent="0.8">
      <c r="A34" s="38" t="s">
        <v>12</v>
      </c>
      <c r="B34" s="35"/>
      <c r="D34" s="9"/>
      <c r="E34" s="9"/>
      <c r="F34" s="9"/>
      <c r="G34" s="9"/>
      <c r="H34" s="35"/>
      <c r="J34" s="30"/>
      <c r="K34" s="35"/>
      <c r="L34" s="35"/>
      <c r="M34" s="9"/>
      <c r="N34" s="9"/>
      <c r="O34" s="39"/>
      <c r="P34" s="36"/>
      <c r="Q34" s="49"/>
      <c r="R34" s="49"/>
      <c r="S34" s="37"/>
      <c r="T34" s="37"/>
      <c r="U34" s="48"/>
      <c r="V34" s="49"/>
      <c r="W34" s="49"/>
      <c r="X34" s="50"/>
      <c r="Y34" s="37"/>
      <c r="Z34" s="37"/>
      <c r="AA34" s="37"/>
      <c r="AB34" s="37"/>
      <c r="AC34" s="37"/>
      <c r="AD34" s="37"/>
      <c r="AE34" s="32"/>
      <c r="AF34" s="37"/>
      <c r="AG34" s="37"/>
      <c r="AH34" s="37"/>
      <c r="AI34" s="32"/>
      <c r="AJ34" s="37"/>
      <c r="AK34" s="37"/>
      <c r="AL34" s="37"/>
      <c r="AM34" s="32"/>
      <c r="AN34" s="37"/>
      <c r="AO34" s="37"/>
      <c r="AP34" s="37"/>
      <c r="AQ34" s="32"/>
      <c r="AR34" s="37"/>
      <c r="AS34" s="37"/>
      <c r="AT34" s="37"/>
      <c r="AU34" s="32"/>
      <c r="AV34" s="37"/>
      <c r="AW34" s="37"/>
      <c r="AX34" s="37"/>
      <c r="AY34" s="32"/>
      <c r="AZ34" s="37"/>
      <c r="BA34" s="37"/>
      <c r="BB34" s="37"/>
      <c r="BC34" s="32"/>
      <c r="BD34" s="37"/>
      <c r="BE34" s="37"/>
      <c r="BF34" s="37"/>
      <c r="BG34" s="32"/>
      <c r="BH34" s="37"/>
      <c r="BI34" s="37"/>
      <c r="BJ34" s="37"/>
      <c r="BK34" s="32"/>
      <c r="BL34" s="37"/>
      <c r="BM34" s="37"/>
      <c r="BN34" s="37"/>
      <c r="BO34" s="32"/>
      <c r="BP34" s="37"/>
      <c r="BQ34" s="37"/>
      <c r="BR34" s="37"/>
      <c r="BS34" s="32"/>
      <c r="BT34" s="37"/>
      <c r="BU34" s="37"/>
      <c r="BV34" s="37"/>
      <c r="BW34" s="37"/>
      <c r="BX34" s="28"/>
    </row>
    <row r="35" spans="1:78" ht="3.75" hidden="1" customHeight="1" x14ac:dyDescent="0.8">
      <c r="A35" s="56"/>
      <c r="B35" s="368"/>
      <c r="H35" s="368"/>
      <c r="I35" s="94"/>
      <c r="J35" s="57"/>
      <c r="K35" s="58"/>
      <c r="L35" s="59"/>
      <c r="M35" s="60"/>
      <c r="N35" s="60"/>
      <c r="O35" s="60"/>
      <c r="P35" s="61"/>
      <c r="Q35" s="62"/>
      <c r="R35" s="62"/>
      <c r="S35" s="63"/>
      <c r="T35" s="64"/>
      <c r="U35" s="65"/>
      <c r="V35" s="62"/>
      <c r="W35" s="63"/>
      <c r="X35" s="64"/>
      <c r="Y35" s="55"/>
      <c r="Z35" s="55"/>
      <c r="AA35" s="55"/>
      <c r="AB35" s="62"/>
      <c r="AC35" s="62"/>
      <c r="AD35" s="62"/>
      <c r="AE35" s="32"/>
      <c r="AF35" s="62"/>
      <c r="AG35" s="62"/>
      <c r="AH35" s="62"/>
      <c r="AI35" s="32"/>
      <c r="AJ35" s="62"/>
      <c r="AK35" s="62"/>
      <c r="AL35" s="62"/>
      <c r="AM35" s="32"/>
      <c r="AN35" s="62"/>
      <c r="AO35" s="62"/>
      <c r="AP35" s="62"/>
      <c r="AQ35" s="32"/>
      <c r="AR35" s="62"/>
      <c r="AS35" s="62"/>
      <c r="AT35" s="62"/>
      <c r="AU35" s="32"/>
      <c r="AV35" s="62"/>
      <c r="AW35" s="62"/>
      <c r="AX35" s="62"/>
      <c r="AY35" s="32"/>
      <c r="AZ35" s="62"/>
      <c r="BA35" s="62"/>
      <c r="BB35" s="62"/>
      <c r="BC35" s="32"/>
      <c r="BD35" s="62"/>
      <c r="BE35" s="62"/>
      <c r="BF35" s="62"/>
      <c r="BG35" s="32"/>
      <c r="BH35" s="62"/>
      <c r="BI35" s="62"/>
      <c r="BJ35" s="62"/>
      <c r="BK35" s="32"/>
      <c r="BL35" s="62"/>
      <c r="BM35" s="62"/>
      <c r="BN35" s="62"/>
      <c r="BO35" s="32"/>
      <c r="BP35" s="62"/>
      <c r="BQ35" s="62"/>
      <c r="BR35" s="62"/>
      <c r="BS35" s="32"/>
      <c r="BT35" s="62"/>
      <c r="BU35" s="62"/>
      <c r="BV35" s="62"/>
      <c r="BW35" s="55"/>
      <c r="BX35" s="28"/>
      <c r="BZ35" s="358"/>
    </row>
    <row r="36" spans="1:78" s="219" customFormat="1" ht="37.5" customHeight="1" collapsed="1" x14ac:dyDescent="0.8">
      <c r="A36" s="221" t="s">
        <v>81</v>
      </c>
      <c r="B36" s="369" t="s">
        <v>81</v>
      </c>
      <c r="D36" s="220"/>
      <c r="E36" s="220"/>
      <c r="H36" s="369"/>
      <c r="I36" s="351"/>
      <c r="J36" s="222"/>
      <c r="K36" s="567" t="str">
        <f>_xll.DBRA(Server&amp;$B$32,$B36,$N$19)</f>
        <v>REVENUE FROM ORDINARY ACTIVITIES (ROA) net of subcontracted transport and reinvoicing</v>
      </c>
      <c r="L36" s="568"/>
      <c r="M36" s="568"/>
      <c r="N36" s="568"/>
      <c r="O36" s="568"/>
      <c r="P36" s="223"/>
      <c r="Q36" s="224">
        <f>_xll.DBRW(Server&amp;Cube1,$N$15,$N$16,$N$17,$N$18,$N$14,$N$13,$N$11,$Q$1,$B36)</f>
        <v>226875852.49000001</v>
      </c>
      <c r="R36" s="225">
        <f>_xll.DBRW(Server&amp;Cube1,$N$15,$N$16,$N$17,$N$18,$N$14,$N$13,$R$2,$R$1,$B36)</f>
        <v>0</v>
      </c>
      <c r="S36" s="226">
        <f>Q36-R36</f>
        <v>226875852.49000001</v>
      </c>
      <c r="T36" s="305">
        <f t="shared" ref="T36:T50" si="0">IF(R36&lt;&gt;0,IF(R36&gt;0,S36/R36,-S36/R36),0)</f>
        <v>0</v>
      </c>
      <c r="U36" s="211"/>
      <c r="V36" s="224">
        <f>_xll.DBRW(Server&amp;Cube1,$N$15,$N$16,$N$17,$N$18,$N$14,$N$13,$V$2,$V$1,$B36)</f>
        <v>7161789100.5818167</v>
      </c>
      <c r="W36" s="226">
        <f t="shared" ref="W36:W50" si="1">Q36-V36</f>
        <v>-6934913248.0918169</v>
      </c>
      <c r="X36" s="305">
        <f t="shared" ref="X36:X50" si="2">IF(V36&lt;&gt;0,IF(V36&gt;0,W36/V36,-W36/V36),0)</f>
        <v>-0.9683213441077777</v>
      </c>
      <c r="Y36" s="227"/>
      <c r="Z36" s="227"/>
      <c r="AA36" s="227"/>
      <c r="AB36" s="224">
        <f>_xll.DBRW(Server&amp;Cube1,$N$15,$N$16,$N$17,$N$18,$N$14,$N$13,AB$2,AB$1,$B36)</f>
        <v>0</v>
      </c>
      <c r="AC36" s="225">
        <f>_xll.DBRW(Server&amp;Cube1,$N$15,$N$16,$N$17,$N$18,$N$14,$N$13,AC$2,AC$1,$B36)</f>
        <v>0</v>
      </c>
      <c r="AD36" s="225">
        <f>_xll.DBRW(Server&amp;Cube1,$N$15,$N$16,$N$17,$N$18,$N$14,$N$13,AD$2,AD$1,$B36)</f>
        <v>6413600773.5450544</v>
      </c>
      <c r="AE36" s="32"/>
      <c r="AF36" s="224">
        <f>_xll.DBRW(Server&amp;Cube1,$N$15,$N$16,$N$17,$N$18,$N$14,$N$13,AF$2,AF$1,$B36)</f>
        <v>0</v>
      </c>
      <c r="AG36" s="225">
        <f>_xll.DBRW(Server&amp;Cube1,$N$15,$N$16,$N$17,$N$18,$N$14,$N$13,AG$2,AG$1,$B36)</f>
        <v>0</v>
      </c>
      <c r="AH36" s="225">
        <f>_xll.DBRW(Server&amp;Cube1,$N$15,$N$16,$N$17,$N$18,$N$14,$N$13,AH$2,AH$1,$B36)</f>
        <v>869576420.86907744</v>
      </c>
      <c r="AI36" s="32"/>
      <c r="AJ36" s="224">
        <f>_xll.DBRW(Server&amp;Cube1,$N$15,$N$16,$N$17,$N$18,$N$14,$N$13,AJ$2,AJ$1,$B36)</f>
        <v>0</v>
      </c>
      <c r="AK36" s="225">
        <f>_xll.DBRW(Server&amp;Cube1,$N$15,$N$16,$N$17,$N$18,$N$14,$N$13,AK$2,AK$1,$B36)</f>
        <v>0</v>
      </c>
      <c r="AL36" s="225">
        <f>_xll.DBRW(Server&amp;Cube1,$N$15,$N$16,$N$17,$N$18,$N$14,$N$13,AL$2,AL$1,$B36)</f>
        <v>14636473606.010586</v>
      </c>
      <c r="AM36" s="32"/>
      <c r="AN36" s="224">
        <f>_xll.DBRW(Server&amp;Cube1,$N$15,$N$16,$N$17,$N$18,$N$14,$N$13,AN$2,AN$1,$B36)</f>
        <v>0</v>
      </c>
      <c r="AO36" s="225">
        <f>_xll.DBRW(Server&amp;Cube1,$N$15,$N$16,$N$17,$N$18,$N$14,$N$13,AO$2,AO$1,$B36)</f>
        <v>0</v>
      </c>
      <c r="AP36" s="225">
        <f>_xll.DBRW(Server&amp;Cube1,$N$15,$N$16,$N$17,$N$18,$N$14,$N$13,AP$2,AP$1,$B36)</f>
        <v>7904761805.6603203</v>
      </c>
      <c r="AQ36" s="32"/>
      <c r="AR36" s="224">
        <f>_xll.DBRW(Server&amp;Cube1,$N$15,$N$16,$N$17,$N$18,$N$14,$N$13,AR$2,AR$1,$B36)</f>
        <v>0</v>
      </c>
      <c r="AS36" s="225">
        <f>_xll.DBRW(Server&amp;Cube1,$N$15,$N$16,$N$17,$N$18,$N$14,$N$13,AS$2,AS$1,$B36)</f>
        <v>0</v>
      </c>
      <c r="AT36" s="225">
        <f>_xll.DBRW(Server&amp;Cube1,$N$15,$N$16,$N$17,$N$18,$N$14,$N$13,AT$2,AT$1,$B36)</f>
        <v>8699178239.4679794</v>
      </c>
      <c r="AU36" s="32"/>
      <c r="AV36" s="224">
        <f>_xll.DBRW(Server&amp;Cube1,$N$15,$N$16,$N$17,$N$18,$N$14,$N$13,AV$2,AV$1,$B36)</f>
        <v>0</v>
      </c>
      <c r="AW36" s="225">
        <f>_xll.DBRW(Server&amp;Cube1,$N$15,$N$16,$N$17,$N$18,$N$14,$N$13,AW$2,AW$1,$B36)</f>
        <v>0</v>
      </c>
      <c r="AX36" s="225">
        <f>_xll.DBRW(Server&amp;Cube1,$N$15,$N$16,$N$17,$N$18,$N$14,$N$13,AX$2,AX$1,$B36)</f>
        <v>8644374058.288168</v>
      </c>
      <c r="AY36" s="32"/>
      <c r="AZ36" s="224">
        <f>_xll.DBRW(Server&amp;Cube1,$N$15,$N$16,$N$17,$N$18,$N$14,$N$13,AZ$2,AZ$1,$B36)</f>
        <v>0</v>
      </c>
      <c r="BA36" s="225">
        <f>_xll.DBRW(Server&amp;Cube1,$N$15,$N$16,$N$17,$N$18,$N$14,$N$13,BA$2,BA$1,$B36)</f>
        <v>0</v>
      </c>
      <c r="BB36" s="225">
        <f>_xll.DBRW(Server&amp;Cube1,$N$15,$N$16,$N$17,$N$18,$N$14,$N$13,BB$2,BB$1,$B36)</f>
        <v>7989188660.5777979</v>
      </c>
      <c r="BC36" s="32"/>
      <c r="BD36" s="224">
        <f>_xll.DBRW(Server&amp;Cube1,$N$15,$N$16,$N$17,$N$18,$N$14,$N$13,BD$2,BD$1,$B36)</f>
        <v>226875852.48999998</v>
      </c>
      <c r="BE36" s="225">
        <f>_xll.DBRW(Server&amp;Cube1,$N$15,$N$16,$N$17,$N$18,$N$14,$N$13,BE$2,BE$1,$B36)</f>
        <v>0</v>
      </c>
      <c r="BF36" s="225">
        <f>_xll.DBRW(Server&amp;Cube1,$N$15,$N$16,$N$17,$N$18,$N$14,$N$13,BF$2,BF$1,$B36)</f>
        <v>-47995364463.837158</v>
      </c>
      <c r="BG36" s="32"/>
      <c r="BH36" s="224">
        <f>_xll.DBRW(Server&amp;Cube1,$N$15,$N$16,$N$17,$N$18,$N$14,$N$13,BH$2,BH$1,$B36)</f>
        <v>0</v>
      </c>
      <c r="BI36" s="225">
        <f>_xll.DBRW(Server&amp;Cube1,$N$15,$N$16,$N$17,$N$18,$N$14,$N$13,BI$2,BI$1,$B36)</f>
        <v>0</v>
      </c>
      <c r="BJ36" s="225">
        <f>_xll.DBRW(Server&amp;Cube1,$N$15,$N$16,$N$17,$N$18,$N$14,$N$13,BJ$2,BJ$1,$B36)</f>
        <v>9836453459.5474701</v>
      </c>
      <c r="BK36" s="32"/>
      <c r="BL36" s="224">
        <f>_xll.DBRW(Server&amp;Cube1,$N$15,$N$16,$N$17,$N$18,$N$14,$N$13,BL$2,BL$1,$B36)</f>
        <v>0</v>
      </c>
      <c r="BM36" s="225">
        <f>_xll.DBRW(Server&amp;Cube1,$N$15,$N$16,$N$17,$N$18,$N$14,$N$13,BM$2,BM$1,$B36)</f>
        <v>0</v>
      </c>
      <c r="BN36" s="225">
        <f>_xll.DBRW(Server&amp;Cube1,$N$15,$N$16,$N$17,$N$18,$N$14,$N$13,BN$2,BN$1,$B36)</f>
        <v>9215838076.8044109</v>
      </c>
      <c r="BO36" s="32"/>
      <c r="BP36" s="224">
        <f>_xll.DBRW(Server&amp;Cube1,$N$15,$N$16,$N$17,$N$18,$N$14,$N$13,BP$2,BP$1,$B36)</f>
        <v>0</v>
      </c>
      <c r="BQ36" s="225">
        <f>_xll.DBRW(Server&amp;Cube1,$N$15,$N$16,$N$17,$N$18,$N$14,$N$13,BQ$2,BQ$1,$B36)</f>
        <v>0</v>
      </c>
      <c r="BR36" s="225">
        <f>_xll.DBRW(Server&amp;Cube1,$N$15,$N$16,$N$17,$N$18,$N$14,$N$13,BR$2,BR$1,$B36)</f>
        <v>10618693312.276476</v>
      </c>
      <c r="BS36" s="32"/>
      <c r="BT36" s="224">
        <f>_xll.DBRW(Server&amp;Cube1,$N$15,$N$16,$N$17,$N$18,$N$14,$N$13,BT$2,BT$1,$B36)</f>
        <v>0</v>
      </c>
      <c r="BU36" s="225">
        <f>_xll.DBRW(Server&amp;Cube1,$N$15,$N$16,$N$17,$N$18,$N$14,$N$13,BU$2,BU$1,$B36)</f>
        <v>0</v>
      </c>
      <c r="BV36" s="225">
        <f>_xll.DBRW(Server&amp;Cube1,$N$15,$N$16,$N$17,$N$18,$N$14,$N$13,BV$2,BV$1,$B36)</f>
        <v>12822774036.130468</v>
      </c>
      <c r="BW36" s="227"/>
      <c r="BX36" s="228"/>
      <c r="BY36" s="359"/>
      <c r="BZ36" s="359"/>
    </row>
    <row r="37" spans="1:78" ht="21" hidden="1" customHeight="1" outlineLevel="1" collapsed="1" x14ac:dyDescent="0.6">
      <c r="A37" s="52"/>
      <c r="B37" s="56" t="s">
        <v>343</v>
      </c>
      <c r="D37" s="51"/>
      <c r="E37" s="51"/>
      <c r="I37" s="68"/>
      <c r="J37" s="53"/>
      <c r="K37" s="35"/>
      <c r="L37" s="552" t="str">
        <f>_xll.DBRA(Server&amp;$B$32,$B37,$N$19)</f>
        <v>ROA on the current period PMM</v>
      </c>
      <c r="M37" s="552"/>
      <c r="N37" s="552"/>
      <c r="O37" s="552"/>
      <c r="P37" s="146"/>
      <c r="Q37" s="215">
        <f>_xll.DBRW(Server&amp;Cube1,$N$15,$N$16,$N$17,$N$18,$N$14,$N$13,$N$11,$Q$1,$B37)</f>
        <v>274253336.07999998</v>
      </c>
      <c r="R37" s="215">
        <f>_xll.DBRW(Server&amp;Cube1,$N$15,$N$16,$N$17,$N$18,$N$14,$N$13,$R$2,$R$1,$B37)</f>
        <v>0</v>
      </c>
      <c r="S37" s="216">
        <f t="shared" ref="S37:S50" si="3">Q37-R37</f>
        <v>274253336.07999998</v>
      </c>
      <c r="T37" s="217">
        <f t="shared" si="0"/>
        <v>0</v>
      </c>
      <c r="U37" s="218"/>
      <c r="V37" s="215">
        <f>_xll.DBRW(Server&amp;Cube1,$N$15,$N$16,$N$17,$N$18,$N$14,$N$13,$V$2,$V$1,$B37)</f>
        <v>8801346835.0618362</v>
      </c>
      <c r="W37" s="216">
        <f t="shared" si="1"/>
        <v>-8527093498.9818363</v>
      </c>
      <c r="X37" s="217">
        <f t="shared" si="2"/>
        <v>-0.96883961725182111</v>
      </c>
      <c r="Y37" s="55"/>
      <c r="Z37" s="55"/>
      <c r="AA37" s="55"/>
      <c r="AB37" s="215">
        <f>_xll.DBRW(Server&amp;Cube1,$N$15,$N$16,$N$17,$N$18,$N$14,$N$13,AB$2,AB$1,$B37)</f>
        <v>0</v>
      </c>
      <c r="AC37" s="215">
        <f>_xll.DBRW(Server&amp;Cube1,$N$15,$N$16,$N$17,$N$18,$N$14,$N$13,AC$2,AC$1,$B37)</f>
        <v>0</v>
      </c>
      <c r="AD37" s="215">
        <f>_xll.DBRW(Server&amp;Cube1,$N$15,$N$16,$N$17,$N$18,$N$14,$N$13,AD$2,AD$1,$B37)</f>
        <v>6438586470.945055</v>
      </c>
      <c r="AE37" s="32"/>
      <c r="AF37" s="215">
        <f>_xll.DBRW(Server&amp;Cube1,$N$15,$N$16,$N$17,$N$18,$N$14,$N$13,AF$2,AF$1,$B37)</f>
        <v>0</v>
      </c>
      <c r="AG37" s="215">
        <f>_xll.DBRW(Server&amp;Cube1,$N$15,$N$16,$N$17,$N$18,$N$14,$N$13,AG$2,AG$1,$B37)</f>
        <v>0</v>
      </c>
      <c r="AH37" s="215">
        <f>_xll.DBRW(Server&amp;Cube1,$N$15,$N$16,$N$17,$N$18,$N$14,$N$13,AH$2,AH$1,$B37)</f>
        <v>1107156596.4590776</v>
      </c>
      <c r="AI37" s="32"/>
      <c r="AJ37" s="215">
        <f>_xll.DBRW(Server&amp;Cube1,$N$15,$N$16,$N$17,$N$18,$N$14,$N$13,AJ$2,AJ$1,$B37)</f>
        <v>0</v>
      </c>
      <c r="AK37" s="215">
        <f>_xll.DBRW(Server&amp;Cube1,$N$15,$N$16,$N$17,$N$18,$N$14,$N$13,AK$2,AK$1,$B37)</f>
        <v>0</v>
      </c>
      <c r="AL37" s="215">
        <f>_xll.DBRW(Server&amp;Cube1,$N$15,$N$16,$N$17,$N$18,$N$14,$N$13,AL$2,AL$1,$B37)</f>
        <v>14787830142.790586</v>
      </c>
      <c r="AM37" s="32"/>
      <c r="AN37" s="215">
        <f>_xll.DBRW(Server&amp;Cube1,$N$15,$N$16,$N$17,$N$18,$N$14,$N$13,AN$2,AN$1,$B37)</f>
        <v>0</v>
      </c>
      <c r="AO37" s="215">
        <f>_xll.DBRW(Server&amp;Cube1,$N$15,$N$16,$N$17,$N$18,$N$14,$N$13,AO$2,AO$1,$B37)</f>
        <v>0</v>
      </c>
      <c r="AP37" s="215">
        <f>_xll.DBRW(Server&amp;Cube1,$N$15,$N$16,$N$17,$N$18,$N$14,$N$13,AP$2,AP$1,$B37)</f>
        <v>8036315804.9703207</v>
      </c>
      <c r="AQ37" s="32"/>
      <c r="AR37" s="215">
        <f>_xll.DBRW(Server&amp;Cube1,$N$15,$N$16,$N$17,$N$18,$N$14,$N$13,AR$2,AR$1,$B37)</f>
        <v>0</v>
      </c>
      <c r="AS37" s="215">
        <f>_xll.DBRW(Server&amp;Cube1,$N$15,$N$16,$N$17,$N$18,$N$14,$N$13,AS$2,AS$1,$B37)</f>
        <v>0</v>
      </c>
      <c r="AT37" s="215">
        <f>_xll.DBRW(Server&amp;Cube1,$N$15,$N$16,$N$17,$N$18,$N$14,$N$13,AT$2,AT$1,$B37)</f>
        <v>8853477595.90798</v>
      </c>
      <c r="AU37" s="32"/>
      <c r="AV37" s="215">
        <f>_xll.DBRW(Server&amp;Cube1,$N$15,$N$16,$N$17,$N$18,$N$14,$N$13,AV$2,AV$1,$B37)</f>
        <v>0</v>
      </c>
      <c r="AW37" s="215">
        <f>_xll.DBRW(Server&amp;Cube1,$N$15,$N$16,$N$17,$N$18,$N$14,$N$13,AW$2,AW$1,$B37)</f>
        <v>0</v>
      </c>
      <c r="AX37" s="215">
        <f>_xll.DBRW(Server&amp;Cube1,$N$15,$N$16,$N$17,$N$18,$N$14,$N$13,AX$2,AX$1,$B37)</f>
        <v>8787209096.8081684</v>
      </c>
      <c r="AY37" s="32"/>
      <c r="AZ37" s="215">
        <f>_xll.DBRW(Server&amp;Cube1,$N$15,$N$16,$N$17,$N$18,$N$14,$N$13,AZ$2,AZ$1,$B37)</f>
        <v>0</v>
      </c>
      <c r="BA37" s="215">
        <f>_xll.DBRW(Server&amp;Cube1,$N$15,$N$16,$N$17,$N$18,$N$14,$N$13,BA$2,BA$1,$B37)</f>
        <v>0</v>
      </c>
      <c r="BB37" s="215">
        <f>_xll.DBRW(Server&amp;Cube1,$N$15,$N$16,$N$17,$N$18,$N$14,$N$13,BB$2,BB$1,$B37)</f>
        <v>8016028495.7777977</v>
      </c>
      <c r="BC37" s="32"/>
      <c r="BD37" s="215">
        <f>_xll.DBRW(Server&amp;Cube1,$N$15,$N$16,$N$17,$N$18,$N$14,$N$13,BD$2,BD$1,$B37)</f>
        <v>274253336.07999998</v>
      </c>
      <c r="BE37" s="215">
        <f>_xll.DBRW(Server&amp;Cube1,$N$15,$N$16,$N$17,$N$18,$N$14,$N$13,BE$2,BE$1,$B37)</f>
        <v>0</v>
      </c>
      <c r="BF37" s="215">
        <f>_xll.DBRW(Server&amp;Cube1,$N$15,$N$16,$N$17,$N$18,$N$14,$N$13,BF$2,BF$1,$B37)</f>
        <v>-47225257368.597153</v>
      </c>
      <c r="BG37" s="32"/>
      <c r="BH37" s="215">
        <f>_xll.DBRW(Server&amp;Cube1,$N$15,$N$16,$N$17,$N$18,$N$14,$N$13,BH$2,BH$1,$B37)</f>
        <v>0</v>
      </c>
      <c r="BI37" s="215">
        <f>_xll.DBRW(Server&amp;Cube1,$N$15,$N$16,$N$17,$N$18,$N$14,$N$13,BI$2,BI$1,$B37)</f>
        <v>0</v>
      </c>
      <c r="BJ37" s="215">
        <f>_xll.DBRW(Server&amp;Cube1,$N$15,$N$16,$N$17,$N$18,$N$14,$N$13,BJ$2,BJ$1,$B37)</f>
        <v>9991429716.6574688</v>
      </c>
      <c r="BK37" s="32"/>
      <c r="BL37" s="215">
        <f>_xll.DBRW(Server&amp;Cube1,$N$15,$N$16,$N$17,$N$18,$N$14,$N$13,BL$2,BL$1,$B37)</f>
        <v>0</v>
      </c>
      <c r="BM37" s="215">
        <f>_xll.DBRW(Server&amp;Cube1,$N$15,$N$16,$N$17,$N$18,$N$14,$N$13,BM$2,BM$1,$B37)</f>
        <v>0</v>
      </c>
      <c r="BN37" s="215">
        <f>_xll.DBRW(Server&amp;Cube1,$N$15,$N$16,$N$17,$N$18,$N$14,$N$13,BN$2,BN$1,$B37)</f>
        <v>9250916625.3344097</v>
      </c>
      <c r="BO37" s="32"/>
      <c r="BP37" s="215">
        <f>_xll.DBRW(Server&amp;Cube1,$N$15,$N$16,$N$17,$N$18,$N$14,$N$13,BP$2,BP$1,$B37)</f>
        <v>0</v>
      </c>
      <c r="BQ37" s="215">
        <f>_xll.DBRW(Server&amp;Cube1,$N$15,$N$16,$N$17,$N$18,$N$14,$N$13,BQ$2,BQ$1,$B37)</f>
        <v>0</v>
      </c>
      <c r="BR37" s="215">
        <f>_xll.DBRW(Server&amp;Cube1,$N$15,$N$16,$N$17,$N$18,$N$14,$N$13,BR$2,BR$1,$B37)</f>
        <v>10840721860.766476</v>
      </c>
      <c r="BS37" s="32"/>
      <c r="BT37" s="215">
        <f>_xll.DBRW(Server&amp;Cube1,$N$15,$N$16,$N$17,$N$18,$N$14,$N$13,BT$2,BT$1,$B37)</f>
        <v>0</v>
      </c>
      <c r="BU37" s="215">
        <f>_xll.DBRW(Server&amp;Cube1,$N$15,$N$16,$N$17,$N$18,$N$14,$N$13,BU$2,BU$1,$B37)</f>
        <v>0</v>
      </c>
      <c r="BV37" s="215">
        <f>_xll.DBRW(Server&amp;Cube1,$N$15,$N$16,$N$17,$N$18,$N$14,$N$13,BV$2,BV$1,$B37)</f>
        <v>13852437928.770468</v>
      </c>
      <c r="BW37" s="55"/>
      <c r="BX37" s="28"/>
    </row>
    <row r="38" spans="1:78" ht="18.75" hidden="1" customHeight="1" outlineLevel="2" x14ac:dyDescent="0.6">
      <c r="A38" s="52"/>
      <c r="B38" s="56" t="s">
        <v>235</v>
      </c>
      <c r="D38" s="51"/>
      <c r="E38" s="51"/>
      <c r="I38" s="68"/>
      <c r="J38" s="53"/>
      <c r="K38" s="35"/>
      <c r="L38" s="554" t="str">
        <f>_xll.DBRA(Server&amp;$B$32,$B38,$N$19)</f>
        <v>Passengers Revenues</v>
      </c>
      <c r="M38" s="554"/>
      <c r="N38" s="554"/>
      <c r="O38" s="554"/>
      <c r="P38" s="146"/>
      <c r="Q38" s="215">
        <f>_xll.DBRW(Server&amp;Cube1,$N$15,$N$16,$N$17,$N$18,$N$14,$N$13,$N$11,$Q$1,$B38)</f>
        <v>70828150.810000017</v>
      </c>
      <c r="R38" s="215">
        <f>_xll.DBRW(Server&amp;Cube1,$N$15,$N$16,$N$17,$N$18,$N$14,$N$13,$R$2,$R$1,$B38)</f>
        <v>0</v>
      </c>
      <c r="S38" s="216">
        <f t="shared" si="3"/>
        <v>70828150.810000017</v>
      </c>
      <c r="T38" s="217">
        <f t="shared" si="0"/>
        <v>0</v>
      </c>
      <c r="U38" s="218"/>
      <c r="V38" s="215">
        <f>_xll.DBRW(Server&amp;Cube1,$N$15,$N$16,$N$17,$N$18,$N$14,$N$13,$V$2,$V$1,$B38)</f>
        <v>5756373500.0670233</v>
      </c>
      <c r="W38" s="216">
        <f t="shared" si="1"/>
        <v>-5685545349.2570229</v>
      </c>
      <c r="X38" s="217">
        <f t="shared" si="2"/>
        <v>-0.98769569924377287</v>
      </c>
      <c r="Y38" s="55"/>
      <c r="Z38" s="55"/>
      <c r="AA38" s="55"/>
      <c r="AB38" s="215">
        <f>_xll.DBRW(Server&amp;Cube1,$N$15,$N$16,$N$17,$N$18,$N$14,$N$13,AB$2,AB$1,$B38)</f>
        <v>0</v>
      </c>
      <c r="AC38" s="215">
        <f>_xll.DBRW(Server&amp;Cube1,$N$15,$N$16,$N$17,$N$18,$N$14,$N$13,AC$2,AC$1,$B38)</f>
        <v>0</v>
      </c>
      <c r="AD38" s="215">
        <f>_xll.DBRW(Server&amp;Cube1,$N$15,$N$16,$N$17,$N$18,$N$14,$N$13,AD$2,AD$1,$B38)</f>
        <v>2947056109.6696005</v>
      </c>
      <c r="AE38" s="32"/>
      <c r="AF38" s="215">
        <f>_xll.DBRW(Server&amp;Cube1,$N$15,$N$16,$N$17,$N$18,$N$14,$N$13,AF$2,AF$1,$B38)</f>
        <v>0</v>
      </c>
      <c r="AG38" s="215">
        <f>_xll.DBRW(Server&amp;Cube1,$N$15,$N$16,$N$17,$N$18,$N$14,$N$13,AG$2,AG$1,$B38)</f>
        <v>0</v>
      </c>
      <c r="AH38" s="215">
        <f>_xll.DBRW(Server&amp;Cube1,$N$15,$N$16,$N$17,$N$18,$N$14,$N$13,AH$2,AH$1,$B38)</f>
        <v>987853868.22364187</v>
      </c>
      <c r="AI38" s="32"/>
      <c r="AJ38" s="215">
        <f>_xll.DBRW(Server&amp;Cube1,$N$15,$N$16,$N$17,$N$18,$N$14,$N$13,AJ$2,AJ$1,$B38)</f>
        <v>0</v>
      </c>
      <c r="AK38" s="215">
        <f>_xll.DBRW(Server&amp;Cube1,$N$15,$N$16,$N$17,$N$18,$N$14,$N$13,AK$2,AK$1,$B38)</f>
        <v>0</v>
      </c>
      <c r="AL38" s="215">
        <f>_xll.DBRW(Server&amp;Cube1,$N$15,$N$16,$N$17,$N$18,$N$14,$N$13,AL$2,AL$1,$B38)</f>
        <v>6757990560.2127485</v>
      </c>
      <c r="AM38" s="32"/>
      <c r="AN38" s="215">
        <f>_xll.DBRW(Server&amp;Cube1,$N$15,$N$16,$N$17,$N$18,$N$14,$N$13,AN$2,AN$1,$B38)</f>
        <v>0</v>
      </c>
      <c r="AO38" s="215">
        <f>_xll.DBRW(Server&amp;Cube1,$N$15,$N$16,$N$17,$N$18,$N$14,$N$13,AO$2,AO$1,$B38)</f>
        <v>0</v>
      </c>
      <c r="AP38" s="215">
        <f>_xll.DBRW(Server&amp;Cube1,$N$15,$N$16,$N$17,$N$18,$N$14,$N$13,AP$2,AP$1,$B38)</f>
        <v>3782753264.9593911</v>
      </c>
      <c r="AQ38" s="32"/>
      <c r="AR38" s="215">
        <f>_xll.DBRW(Server&amp;Cube1,$N$15,$N$16,$N$17,$N$18,$N$14,$N$13,AR$2,AR$1,$B38)</f>
        <v>0</v>
      </c>
      <c r="AS38" s="215">
        <f>_xll.DBRW(Server&amp;Cube1,$N$15,$N$16,$N$17,$N$18,$N$14,$N$13,AS$2,AS$1,$B38)</f>
        <v>0</v>
      </c>
      <c r="AT38" s="215">
        <f>_xll.DBRW(Server&amp;Cube1,$N$15,$N$16,$N$17,$N$18,$N$14,$N$13,AT$2,AT$1,$B38)</f>
        <v>4050875853.0386896</v>
      </c>
      <c r="AU38" s="32"/>
      <c r="AV38" s="215">
        <f>_xll.DBRW(Server&amp;Cube1,$N$15,$N$16,$N$17,$N$18,$N$14,$N$13,AV$2,AV$1,$B38)</f>
        <v>0</v>
      </c>
      <c r="AW38" s="215">
        <f>_xll.DBRW(Server&amp;Cube1,$N$15,$N$16,$N$17,$N$18,$N$14,$N$13,AW$2,AW$1,$B38)</f>
        <v>0</v>
      </c>
      <c r="AX38" s="215">
        <f>_xll.DBRW(Server&amp;Cube1,$N$15,$N$16,$N$17,$N$18,$N$14,$N$13,AX$2,AX$1,$B38)</f>
        <v>3931458984.3353429</v>
      </c>
      <c r="AY38" s="32"/>
      <c r="AZ38" s="215">
        <f>_xll.DBRW(Server&amp;Cube1,$N$15,$N$16,$N$17,$N$18,$N$14,$N$13,AZ$2,AZ$1,$B38)</f>
        <v>0</v>
      </c>
      <c r="BA38" s="215">
        <f>_xll.DBRW(Server&amp;Cube1,$N$15,$N$16,$N$17,$N$18,$N$14,$N$13,BA$2,BA$1,$B38)</f>
        <v>0</v>
      </c>
      <c r="BB38" s="215">
        <f>_xll.DBRW(Server&amp;Cube1,$N$15,$N$16,$N$17,$N$18,$N$14,$N$13,BB$2,BB$1,$B38)</f>
        <v>3378579143.7016096</v>
      </c>
      <c r="BC38" s="32"/>
      <c r="BD38" s="215">
        <f>_xll.DBRW(Server&amp;Cube1,$N$15,$N$16,$N$17,$N$18,$N$14,$N$13,BD$2,BD$1,$B38)</f>
        <v>70828150.810000002</v>
      </c>
      <c r="BE38" s="215">
        <f>_xll.DBRW(Server&amp;Cube1,$N$15,$N$16,$N$17,$N$18,$N$14,$N$13,BE$2,BE$1,$B38)</f>
        <v>0</v>
      </c>
      <c r="BF38" s="215">
        <f>_xll.DBRW(Server&amp;Cube1,$N$15,$N$16,$N$17,$N$18,$N$14,$N$13,BF$2,BF$1,$B38)</f>
        <v>-20080194284.074001</v>
      </c>
      <c r="BG38" s="32"/>
      <c r="BH38" s="215">
        <f>_xll.DBRW(Server&amp;Cube1,$N$15,$N$16,$N$17,$N$18,$N$14,$N$13,BH$2,BH$1,$B38)</f>
        <v>0</v>
      </c>
      <c r="BI38" s="215">
        <f>_xll.DBRW(Server&amp;Cube1,$N$15,$N$16,$N$17,$N$18,$N$14,$N$13,BI$2,BI$1,$B38)</f>
        <v>0</v>
      </c>
      <c r="BJ38" s="215">
        <f>_xll.DBRW(Server&amp;Cube1,$N$15,$N$16,$N$17,$N$18,$N$14,$N$13,BJ$2,BJ$1,$B38)</f>
        <v>4372722716.3395567</v>
      </c>
      <c r="BK38" s="32"/>
      <c r="BL38" s="215">
        <f>_xll.DBRW(Server&amp;Cube1,$N$15,$N$16,$N$17,$N$18,$N$14,$N$13,BL$2,BL$1,$B38)</f>
        <v>0</v>
      </c>
      <c r="BM38" s="215">
        <f>_xll.DBRW(Server&amp;Cube1,$N$15,$N$16,$N$17,$N$18,$N$14,$N$13,BM$2,BM$1,$B38)</f>
        <v>0</v>
      </c>
      <c r="BN38" s="215">
        <f>_xll.DBRW(Server&amp;Cube1,$N$15,$N$16,$N$17,$N$18,$N$14,$N$13,BN$2,BN$1,$B38)</f>
        <v>4227873188.9320188</v>
      </c>
      <c r="BO38" s="32"/>
      <c r="BP38" s="215">
        <f>_xll.DBRW(Server&amp;Cube1,$N$15,$N$16,$N$17,$N$18,$N$14,$N$13,BP$2,BP$1,$B38)</f>
        <v>0</v>
      </c>
      <c r="BQ38" s="215">
        <f>_xll.DBRW(Server&amp;Cube1,$N$15,$N$16,$N$17,$N$18,$N$14,$N$13,BQ$2,BQ$1,$B38)</f>
        <v>0</v>
      </c>
      <c r="BR38" s="215">
        <f>_xll.DBRW(Server&amp;Cube1,$N$15,$N$16,$N$17,$N$18,$N$14,$N$13,BR$2,BR$1,$B38)</f>
        <v>4858628737.0637264</v>
      </c>
      <c r="BS38" s="32"/>
      <c r="BT38" s="215">
        <f>_xll.DBRW(Server&amp;Cube1,$N$15,$N$16,$N$17,$N$18,$N$14,$N$13,BT$2,BT$1,$B38)</f>
        <v>0</v>
      </c>
      <c r="BU38" s="215">
        <f>_xll.DBRW(Server&amp;Cube1,$N$15,$N$16,$N$17,$N$18,$N$14,$N$13,BU$2,BU$1,$B38)</f>
        <v>0</v>
      </c>
      <c r="BV38" s="215">
        <f>_xll.DBRW(Server&amp;Cube1,$N$15,$N$16,$N$17,$N$18,$N$14,$N$13,BV$2,BV$1,$B38)</f>
        <v>8112289461.4085836</v>
      </c>
      <c r="BW38" s="55"/>
      <c r="BX38" s="28"/>
    </row>
    <row r="39" spans="1:78" ht="18.75" hidden="1" customHeight="1" outlineLevel="2" x14ac:dyDescent="0.6">
      <c r="A39" s="52"/>
      <c r="B39" s="54" t="s">
        <v>349</v>
      </c>
      <c r="D39" s="51"/>
      <c r="E39" s="51"/>
      <c r="I39" s="68"/>
      <c r="J39" s="53"/>
      <c r="K39" s="35"/>
      <c r="L39" s="569" t="str">
        <f>" incl. " &amp; _xll.DBRA(Server&amp;$B$32,$B39,$N$19)</f>
        <v xml:space="preserve"> incl. Energy indexation</v>
      </c>
      <c r="M39" s="569"/>
      <c r="N39" s="569"/>
      <c r="O39" s="569"/>
      <c r="P39" s="146"/>
      <c r="Q39" s="215">
        <f>_xll.DBRW(Server&amp;Cube1,$N$15,$N$16,$N$17,$N$18,$N$14,$N$13,$N$11,$Q$1,$B39)</f>
        <v>0</v>
      </c>
      <c r="R39" s="215">
        <f>_xll.DBRW(Server&amp;Cube1,$N$15,$N$16,$N$17,$N$18,$N$14,$N$13,$R$2,$R$1,$B39)</f>
        <v>0</v>
      </c>
      <c r="S39" s="216">
        <f t="shared" ref="S39" si="4">Q39-R39</f>
        <v>0</v>
      </c>
      <c r="T39" s="217">
        <f t="shared" ref="T39" si="5">IF(R39&lt;&gt;0,IF(R39&gt;0,S39/R39,-S39/R39),0)</f>
        <v>0</v>
      </c>
      <c r="U39" s="218"/>
      <c r="V39" s="215">
        <f>_xll.DBRW(Server&amp;Cube1,$N$15,$N$16,$N$17,$N$18,$N$14,$N$13,$V$2,$V$1,$B39)</f>
        <v>265624791.80000001</v>
      </c>
      <c r="W39" s="216">
        <f t="shared" ref="W39" si="6">Q39-V39</f>
        <v>-265624791.80000001</v>
      </c>
      <c r="X39" s="217">
        <f t="shared" ref="X39" si="7">IF(V39&lt;&gt;0,IF(V39&gt;0,W39/V39,-W39/V39),0)</f>
        <v>-1</v>
      </c>
      <c r="Y39" s="55"/>
      <c r="Z39" s="55"/>
      <c r="AA39" s="55"/>
      <c r="AB39" s="215">
        <f>_xll.DBRW(Server&amp;Cube1,$N$15,$N$16,$N$17,$N$18,$N$14,$N$13,AB$2,AB$1,$B39)</f>
        <v>0</v>
      </c>
      <c r="AC39" s="215">
        <f>_xll.DBRW(Server&amp;Cube1,$N$15,$N$16,$N$17,$N$18,$N$14,$N$13,AC$2,AC$1,$B39)</f>
        <v>0</v>
      </c>
      <c r="AD39" s="215">
        <f>_xll.DBRW(Server&amp;Cube1,$N$15,$N$16,$N$17,$N$18,$N$14,$N$13,AD$2,AD$1,$B39)</f>
        <v>102678.26000000001</v>
      </c>
      <c r="AE39" s="32"/>
      <c r="AF39" s="215">
        <f>_xll.DBRW(Server&amp;Cube1,$N$15,$N$16,$N$17,$N$18,$N$14,$N$13,AF$2,AF$1,$B39)</f>
        <v>0</v>
      </c>
      <c r="AG39" s="215">
        <f>_xll.DBRW(Server&amp;Cube1,$N$15,$N$16,$N$17,$N$18,$N$14,$N$13,AG$2,AG$1,$B39)</f>
        <v>0</v>
      </c>
      <c r="AH39" s="215">
        <f>_xll.DBRW(Server&amp;Cube1,$N$15,$N$16,$N$17,$N$18,$N$14,$N$13,AH$2,AH$1,$B39)</f>
        <v>23362795.720000003</v>
      </c>
      <c r="AI39" s="32"/>
      <c r="AJ39" s="215">
        <f>_xll.DBRW(Server&amp;Cube1,$N$15,$N$16,$N$17,$N$18,$N$14,$N$13,AJ$2,AJ$1,$B39)</f>
        <v>0</v>
      </c>
      <c r="AK39" s="215">
        <f>_xll.DBRW(Server&amp;Cube1,$N$15,$N$16,$N$17,$N$18,$N$14,$N$13,AK$2,AK$1,$B39)</f>
        <v>0</v>
      </c>
      <c r="AL39" s="215">
        <f>_xll.DBRW(Server&amp;Cube1,$N$15,$N$16,$N$17,$N$18,$N$14,$N$13,AL$2,AL$1,$B39)</f>
        <v>13894982.98</v>
      </c>
      <c r="AM39" s="32"/>
      <c r="AN39" s="215">
        <f>_xll.DBRW(Server&amp;Cube1,$N$15,$N$16,$N$17,$N$18,$N$14,$N$13,AN$2,AN$1,$B39)</f>
        <v>0</v>
      </c>
      <c r="AO39" s="215">
        <f>_xll.DBRW(Server&amp;Cube1,$N$15,$N$16,$N$17,$N$18,$N$14,$N$13,AO$2,AO$1,$B39)</f>
        <v>0</v>
      </c>
      <c r="AP39" s="215">
        <f>_xll.DBRW(Server&amp;Cube1,$N$15,$N$16,$N$17,$N$18,$N$14,$N$13,AP$2,AP$1,$B39)</f>
        <v>23619134.899999999</v>
      </c>
      <c r="AQ39" s="32"/>
      <c r="AR39" s="215">
        <f>_xll.DBRW(Server&amp;Cube1,$N$15,$N$16,$N$17,$N$18,$N$14,$N$13,AR$2,AR$1,$B39)</f>
        <v>0</v>
      </c>
      <c r="AS39" s="215">
        <f>_xll.DBRW(Server&amp;Cube1,$N$15,$N$16,$N$17,$N$18,$N$14,$N$13,AS$2,AS$1,$B39)</f>
        <v>0</v>
      </c>
      <c r="AT39" s="215">
        <f>_xll.DBRW(Server&amp;Cube1,$N$15,$N$16,$N$17,$N$18,$N$14,$N$13,AT$2,AT$1,$B39)</f>
        <v>23384864.079999998</v>
      </c>
      <c r="AU39" s="32"/>
      <c r="AV39" s="215">
        <f>_xll.DBRW(Server&amp;Cube1,$N$15,$N$16,$N$17,$N$18,$N$14,$N$13,AV$2,AV$1,$B39)</f>
        <v>0</v>
      </c>
      <c r="AW39" s="215">
        <f>_xll.DBRW(Server&amp;Cube1,$N$15,$N$16,$N$17,$N$18,$N$14,$N$13,AW$2,AW$1,$B39)</f>
        <v>0</v>
      </c>
      <c r="AX39" s="215">
        <f>_xll.DBRW(Server&amp;Cube1,$N$15,$N$16,$N$17,$N$18,$N$14,$N$13,AX$2,AX$1,$B39)</f>
        <v>24312775.84</v>
      </c>
      <c r="AY39" s="32"/>
      <c r="AZ39" s="215">
        <f>_xll.DBRW(Server&amp;Cube1,$N$15,$N$16,$N$17,$N$18,$N$14,$N$13,AZ$2,AZ$1,$B39)</f>
        <v>0</v>
      </c>
      <c r="BA39" s="215">
        <f>_xll.DBRW(Server&amp;Cube1,$N$15,$N$16,$N$17,$N$18,$N$14,$N$13,BA$2,BA$1,$B39)</f>
        <v>0</v>
      </c>
      <c r="BB39" s="215">
        <f>_xll.DBRW(Server&amp;Cube1,$N$15,$N$16,$N$17,$N$18,$N$14,$N$13,BB$2,BB$1,$B39)</f>
        <v>0</v>
      </c>
      <c r="BC39" s="32"/>
      <c r="BD39" s="215">
        <f>_xll.DBRW(Server&amp;Cube1,$N$15,$N$16,$N$17,$N$18,$N$14,$N$13,BD$2,BD$1,$B39)</f>
        <v>0</v>
      </c>
      <c r="BE39" s="215">
        <f>_xll.DBRW(Server&amp;Cube1,$N$15,$N$16,$N$17,$N$18,$N$14,$N$13,BE$2,BE$1,$B39)</f>
        <v>0</v>
      </c>
      <c r="BF39" s="215">
        <f>_xll.DBRW(Server&amp;Cube1,$N$15,$N$16,$N$17,$N$18,$N$14,$N$13,BF$2,BF$1,$B39)</f>
        <v>156947560.02000001</v>
      </c>
      <c r="BG39" s="32"/>
      <c r="BH39" s="215">
        <f>_xll.DBRW(Server&amp;Cube1,$N$15,$N$16,$N$17,$N$18,$N$14,$N$13,BH$2,BH$1,$B39)</f>
        <v>0</v>
      </c>
      <c r="BI39" s="215">
        <f>_xll.DBRW(Server&amp;Cube1,$N$15,$N$16,$N$17,$N$18,$N$14,$N$13,BI$2,BI$1,$B39)</f>
        <v>0</v>
      </c>
      <c r="BJ39" s="215">
        <f>_xll.DBRW(Server&amp;Cube1,$N$15,$N$16,$N$17,$N$18,$N$14,$N$13,BJ$2,BJ$1,$B39)</f>
        <v>19977546.899999999</v>
      </c>
      <c r="BK39" s="32"/>
      <c r="BL39" s="215">
        <f>_xll.DBRW(Server&amp;Cube1,$N$15,$N$16,$N$17,$N$18,$N$14,$N$13,BL$2,BL$1,$B39)</f>
        <v>0</v>
      </c>
      <c r="BM39" s="215">
        <f>_xll.DBRW(Server&amp;Cube1,$N$15,$N$16,$N$17,$N$18,$N$14,$N$13,BM$2,BM$1,$B39)</f>
        <v>0</v>
      </c>
      <c r="BN39" s="215">
        <f>_xll.DBRW(Server&amp;Cube1,$N$15,$N$16,$N$17,$N$18,$N$14,$N$13,BN$2,BN$1,$B39)</f>
        <v>3777378.25</v>
      </c>
      <c r="BO39" s="32"/>
      <c r="BP39" s="215">
        <f>_xll.DBRW(Server&amp;Cube1,$N$15,$N$16,$N$17,$N$18,$N$14,$N$13,BP$2,BP$1,$B39)</f>
        <v>0</v>
      </c>
      <c r="BQ39" s="215">
        <f>_xll.DBRW(Server&amp;Cube1,$N$15,$N$16,$N$17,$N$18,$N$14,$N$13,BQ$2,BQ$1,$B39)</f>
        <v>0</v>
      </c>
      <c r="BR39" s="215">
        <f>_xll.DBRW(Server&amp;Cube1,$N$15,$N$16,$N$17,$N$18,$N$14,$N$13,BR$2,BR$1,$B39)</f>
        <v>700220.17</v>
      </c>
      <c r="BS39" s="32"/>
      <c r="BT39" s="215">
        <f>_xll.DBRW(Server&amp;Cube1,$N$15,$N$16,$N$17,$N$18,$N$14,$N$13,BT$2,BT$1,$B39)</f>
        <v>0</v>
      </c>
      <c r="BU39" s="215">
        <f>_xll.DBRW(Server&amp;Cube1,$N$15,$N$16,$N$17,$N$18,$N$14,$N$13,BU$2,BU$1,$B39)</f>
        <v>0</v>
      </c>
      <c r="BV39" s="215">
        <f>_xll.DBRW(Server&amp;Cube1,$N$15,$N$16,$N$17,$N$18,$N$14,$N$13,BV$2,BV$1,$B39)</f>
        <v>298835177.92999995</v>
      </c>
      <c r="BW39" s="55"/>
      <c r="BX39" s="28"/>
    </row>
    <row r="40" spans="1:78" ht="18.75" hidden="1" customHeight="1" outlineLevel="2" x14ac:dyDescent="0.6">
      <c r="A40" s="52"/>
      <c r="B40" s="56" t="s">
        <v>236</v>
      </c>
      <c r="D40" s="51"/>
      <c r="E40" s="51"/>
      <c r="I40" s="68"/>
      <c r="J40" s="53"/>
      <c r="K40" s="35"/>
      <c r="L40" s="554" t="str">
        <f>_xll.DBRA(Server&amp;$B$32,$B40,$N$19)</f>
        <v>Other transportation revenue (incl. subcontracting revenue)</v>
      </c>
      <c r="M40" s="554"/>
      <c r="N40" s="554"/>
      <c r="O40" s="554"/>
      <c r="P40" s="146"/>
      <c r="Q40" s="215">
        <f>_xll.DBRW(Server&amp;Cube1,$N$15,$N$16,$N$17,$N$18,$N$14,$N$13,$N$11,$Q$1,$B40)</f>
        <v>17091180.460000001</v>
      </c>
      <c r="R40" s="215">
        <f>_xll.DBRW(Server&amp;Cube1,$N$15,$N$16,$N$17,$N$18,$N$14,$N$13,$R$2,$R$1,$B40)</f>
        <v>0</v>
      </c>
      <c r="S40" s="216">
        <f t="shared" si="3"/>
        <v>17091180.460000001</v>
      </c>
      <c r="T40" s="217">
        <f t="shared" si="0"/>
        <v>0</v>
      </c>
      <c r="U40" s="218"/>
      <c r="V40" s="215">
        <f>_xll.DBRW(Server&amp;Cube1,$N$15,$N$16,$N$17,$N$18,$N$14,$N$13,$V$2,$V$1,$B40)</f>
        <v>233210371.76541138</v>
      </c>
      <c r="W40" s="216">
        <f t="shared" si="1"/>
        <v>-216119191.30541137</v>
      </c>
      <c r="X40" s="217">
        <f t="shared" si="2"/>
        <v>-0.92671346333947702</v>
      </c>
      <c r="Y40" s="55"/>
      <c r="Z40" s="55"/>
      <c r="AA40" s="55"/>
      <c r="AB40" s="215">
        <f>_xll.DBRW(Server&amp;Cube1,$N$15,$N$16,$N$17,$N$18,$N$14,$N$13,AB$2,AB$1,$B40)</f>
        <v>0</v>
      </c>
      <c r="AC40" s="215">
        <f>_xll.DBRW(Server&amp;Cube1,$N$15,$N$16,$N$17,$N$18,$N$14,$N$13,AC$2,AC$1,$B40)</f>
        <v>0</v>
      </c>
      <c r="AD40" s="215">
        <f>_xll.DBRW(Server&amp;Cube1,$N$15,$N$16,$N$17,$N$18,$N$14,$N$13,AD$2,AD$1,$B40)</f>
        <v>3726932156.5747647</v>
      </c>
      <c r="AE40" s="32"/>
      <c r="AF40" s="215">
        <f>_xll.DBRW(Server&amp;Cube1,$N$15,$N$16,$N$17,$N$18,$N$14,$N$13,AF$2,AF$1,$B40)</f>
        <v>0</v>
      </c>
      <c r="AG40" s="215">
        <f>_xll.DBRW(Server&amp;Cube1,$N$15,$N$16,$N$17,$N$18,$N$14,$N$13,AG$2,AG$1,$B40)</f>
        <v>0</v>
      </c>
      <c r="AH40" s="215">
        <f>_xll.DBRW(Server&amp;Cube1,$N$15,$N$16,$N$17,$N$18,$N$14,$N$13,AH$2,AH$1,$B40)</f>
        <v>-430164160.06512856</v>
      </c>
      <c r="AI40" s="32"/>
      <c r="AJ40" s="215">
        <f>_xll.DBRW(Server&amp;Cube1,$N$15,$N$16,$N$17,$N$18,$N$14,$N$13,AJ$2,AJ$1,$B40)</f>
        <v>0</v>
      </c>
      <c r="AK40" s="215">
        <f>_xll.DBRW(Server&amp;Cube1,$N$15,$N$16,$N$17,$N$18,$N$14,$N$13,AK$2,AK$1,$B40)</f>
        <v>0</v>
      </c>
      <c r="AL40" s="215">
        <f>_xll.DBRW(Server&amp;Cube1,$N$15,$N$16,$N$17,$N$18,$N$14,$N$13,AL$2,AL$1,$B40)</f>
        <v>8351433275.8990965</v>
      </c>
      <c r="AM40" s="32"/>
      <c r="AN40" s="215">
        <f>_xll.DBRW(Server&amp;Cube1,$N$15,$N$16,$N$17,$N$18,$N$14,$N$13,AN$2,AN$1,$B40)</f>
        <v>0</v>
      </c>
      <c r="AO40" s="215">
        <f>_xll.DBRW(Server&amp;Cube1,$N$15,$N$16,$N$17,$N$18,$N$14,$N$13,AO$2,AO$1,$B40)</f>
        <v>0</v>
      </c>
      <c r="AP40" s="215">
        <f>_xll.DBRW(Server&amp;Cube1,$N$15,$N$16,$N$17,$N$18,$N$14,$N$13,AP$2,AP$1,$B40)</f>
        <v>4143145082.5395794</v>
      </c>
      <c r="AQ40" s="32"/>
      <c r="AR40" s="215">
        <f>_xll.DBRW(Server&amp;Cube1,$N$15,$N$16,$N$17,$N$18,$N$14,$N$13,AR$2,AR$1,$B40)</f>
        <v>0</v>
      </c>
      <c r="AS40" s="215">
        <f>_xll.DBRW(Server&amp;Cube1,$N$15,$N$16,$N$17,$N$18,$N$14,$N$13,AS$2,AS$1,$B40)</f>
        <v>0</v>
      </c>
      <c r="AT40" s="215">
        <f>_xll.DBRW(Server&amp;Cube1,$N$15,$N$16,$N$17,$N$18,$N$14,$N$13,AT$2,AT$1,$B40)</f>
        <v>4498134174.6041985</v>
      </c>
      <c r="AU40" s="32"/>
      <c r="AV40" s="215">
        <f>_xll.DBRW(Server&amp;Cube1,$N$15,$N$16,$N$17,$N$18,$N$14,$N$13,AV$2,AV$1,$B40)</f>
        <v>0</v>
      </c>
      <c r="AW40" s="215">
        <f>_xll.DBRW(Server&amp;Cube1,$N$15,$N$16,$N$17,$N$18,$N$14,$N$13,AW$2,AW$1,$B40)</f>
        <v>0</v>
      </c>
      <c r="AX40" s="215">
        <f>_xll.DBRW(Server&amp;Cube1,$N$15,$N$16,$N$17,$N$18,$N$14,$N$13,AX$2,AX$1,$B40)</f>
        <v>4497500031.2845831</v>
      </c>
      <c r="AY40" s="32"/>
      <c r="AZ40" s="215">
        <f>_xll.DBRW(Server&amp;Cube1,$N$15,$N$16,$N$17,$N$18,$N$14,$N$13,AZ$2,AZ$1,$B40)</f>
        <v>0</v>
      </c>
      <c r="BA40" s="215">
        <f>_xll.DBRW(Server&amp;Cube1,$N$15,$N$16,$N$17,$N$18,$N$14,$N$13,BA$2,BA$1,$B40)</f>
        <v>0</v>
      </c>
      <c r="BB40" s="215">
        <f>_xll.DBRW(Server&amp;Cube1,$N$15,$N$16,$N$17,$N$18,$N$14,$N$13,BB$2,BB$1,$B40)</f>
        <v>4673037838.4177914</v>
      </c>
      <c r="BC40" s="32"/>
      <c r="BD40" s="215">
        <f>_xll.DBRW(Server&amp;Cube1,$N$15,$N$16,$N$17,$N$18,$N$14,$N$13,BD$2,BD$1,$B40)</f>
        <v>17091180.460000001</v>
      </c>
      <c r="BE40" s="215">
        <f>_xll.DBRW(Server&amp;Cube1,$N$15,$N$16,$N$17,$N$18,$N$14,$N$13,BE$2,BE$1,$B40)</f>
        <v>0</v>
      </c>
      <c r="BF40" s="215">
        <f>_xll.DBRW(Server&amp;Cube1,$N$15,$N$16,$N$17,$N$18,$N$14,$N$13,BF$2,BF$1,$B40)</f>
        <v>-29226808027.489464</v>
      </c>
      <c r="BG40" s="32"/>
      <c r="BH40" s="215">
        <f>_xll.DBRW(Server&amp;Cube1,$N$15,$N$16,$N$17,$N$18,$N$14,$N$13,BH$2,BH$1,$B40)</f>
        <v>0</v>
      </c>
      <c r="BI40" s="215">
        <f>_xll.DBRW(Server&amp;Cube1,$N$15,$N$16,$N$17,$N$18,$N$14,$N$13,BI$2,BI$1,$B40)</f>
        <v>0</v>
      </c>
      <c r="BJ40" s="215">
        <f>_xll.DBRW(Server&amp;Cube1,$N$15,$N$16,$N$17,$N$18,$N$14,$N$13,BJ$2,BJ$1,$B40)</f>
        <v>4898519615.6802244</v>
      </c>
      <c r="BK40" s="32"/>
      <c r="BL40" s="215">
        <f>_xll.DBRW(Server&amp;Cube1,$N$15,$N$16,$N$17,$N$18,$N$14,$N$13,BL$2,BL$1,$B40)</f>
        <v>0</v>
      </c>
      <c r="BM40" s="215">
        <f>_xll.DBRW(Server&amp;Cube1,$N$15,$N$16,$N$17,$N$18,$N$14,$N$13,BM$2,BM$1,$B40)</f>
        <v>0</v>
      </c>
      <c r="BN40" s="215">
        <f>_xll.DBRW(Server&amp;Cube1,$N$15,$N$16,$N$17,$N$18,$N$14,$N$13,BN$2,BN$1,$B40)</f>
        <v>5076306960.470993</v>
      </c>
      <c r="BO40" s="32"/>
      <c r="BP40" s="215">
        <f>_xll.DBRW(Server&amp;Cube1,$N$15,$N$16,$N$17,$N$18,$N$14,$N$13,BP$2,BP$1,$B40)</f>
        <v>0</v>
      </c>
      <c r="BQ40" s="215">
        <f>_xll.DBRW(Server&amp;Cube1,$N$15,$N$16,$N$17,$N$18,$N$14,$N$13,BQ$2,BQ$1,$B40)</f>
        <v>0</v>
      </c>
      <c r="BR40" s="215">
        <f>_xll.DBRW(Server&amp;Cube1,$N$15,$N$16,$N$17,$N$18,$N$14,$N$13,BR$2,BR$1,$B40)</f>
        <v>4989282206.2563906</v>
      </c>
      <c r="BS40" s="32"/>
      <c r="BT40" s="215">
        <f>_xll.DBRW(Server&amp;Cube1,$N$15,$N$16,$N$17,$N$18,$N$14,$N$13,BT$2,BT$1,$B40)</f>
        <v>0</v>
      </c>
      <c r="BU40" s="215">
        <f>_xll.DBRW(Server&amp;Cube1,$N$15,$N$16,$N$17,$N$18,$N$14,$N$13,BU$2,BU$1,$B40)</f>
        <v>0</v>
      </c>
      <c r="BV40" s="215">
        <f>_xll.DBRW(Server&amp;Cube1,$N$15,$N$16,$N$17,$N$18,$N$14,$N$13,BV$2,BV$1,$B40)</f>
        <v>5227570883.4801865</v>
      </c>
      <c r="BW40" s="55"/>
      <c r="BX40" s="28"/>
    </row>
    <row r="41" spans="1:78" ht="18.75" hidden="1" customHeight="1" outlineLevel="2" x14ac:dyDescent="0.6">
      <c r="A41" s="52"/>
      <c r="B41" s="56" t="s">
        <v>237</v>
      </c>
      <c r="D41" s="51"/>
      <c r="E41" s="51"/>
      <c r="I41" s="68"/>
      <c r="J41" s="53"/>
      <c r="K41" s="35"/>
      <c r="L41" s="554" t="str">
        <f>_xll.DBRA(Server&amp;$B$32,$B41,$N$19)</f>
        <v>Others sales of services &amp; Advertising</v>
      </c>
      <c r="M41" s="554"/>
      <c r="N41" s="554"/>
      <c r="O41" s="554"/>
      <c r="P41" s="146"/>
      <c r="Q41" s="215">
        <f>_xll.DBRW(Server&amp;Cube1,$N$15,$N$16,$N$17,$N$18,$N$14,$N$13,$N$11,$Q$1,$B41)</f>
        <v>7487733.9899999984</v>
      </c>
      <c r="R41" s="215">
        <f>_xll.DBRW(Server&amp;Cube1,$N$15,$N$16,$N$17,$N$18,$N$14,$N$13,$R$2,$R$1,$B41)</f>
        <v>0</v>
      </c>
      <c r="S41" s="216">
        <f t="shared" si="3"/>
        <v>7487733.9899999984</v>
      </c>
      <c r="T41" s="217">
        <f t="shared" si="0"/>
        <v>0</v>
      </c>
      <c r="U41" s="218"/>
      <c r="V41" s="215">
        <f>_xll.DBRW(Server&amp;Cube1,$N$15,$N$16,$N$17,$N$18,$N$14,$N$13,$V$2,$V$1,$B41)</f>
        <v>294921396.60835981</v>
      </c>
      <c r="W41" s="216">
        <f t="shared" si="1"/>
        <v>-287433662.6183598</v>
      </c>
      <c r="X41" s="217">
        <f t="shared" si="2"/>
        <v>-0.97461108594998502</v>
      </c>
      <c r="Y41" s="55"/>
      <c r="Z41" s="55"/>
      <c r="AA41" s="55"/>
      <c r="AB41" s="215">
        <f>_xll.DBRW(Server&amp;Cube1,$N$15,$N$16,$N$17,$N$18,$N$14,$N$13,AB$2,AB$1,$B41)</f>
        <v>0</v>
      </c>
      <c r="AC41" s="215">
        <f>_xll.DBRW(Server&amp;Cube1,$N$15,$N$16,$N$17,$N$18,$N$14,$N$13,AC$2,AC$1,$B41)</f>
        <v>0</v>
      </c>
      <c r="AD41" s="215">
        <f>_xll.DBRW(Server&amp;Cube1,$N$15,$N$16,$N$17,$N$18,$N$14,$N$13,AD$2,AD$1,$B41)</f>
        <v>71032463.353427678</v>
      </c>
      <c r="AE41" s="32"/>
      <c r="AF41" s="215">
        <f>_xll.DBRW(Server&amp;Cube1,$N$15,$N$16,$N$17,$N$18,$N$14,$N$13,AF$2,AF$1,$B41)</f>
        <v>0</v>
      </c>
      <c r="AG41" s="215">
        <f>_xll.DBRW(Server&amp;Cube1,$N$15,$N$16,$N$17,$N$18,$N$14,$N$13,AG$2,AG$1,$B41)</f>
        <v>0</v>
      </c>
      <c r="AH41" s="215">
        <f>_xll.DBRW(Server&amp;Cube1,$N$15,$N$16,$N$17,$N$18,$N$14,$N$13,AH$2,AH$1,$B41)</f>
        <v>126134416.14292163</v>
      </c>
      <c r="AI41" s="32"/>
      <c r="AJ41" s="215">
        <f>_xll.DBRW(Server&amp;Cube1,$N$15,$N$16,$N$17,$N$18,$N$14,$N$13,AJ$2,AJ$1,$B41)</f>
        <v>0</v>
      </c>
      <c r="AK41" s="215">
        <f>_xll.DBRW(Server&amp;Cube1,$N$15,$N$16,$N$17,$N$18,$N$14,$N$13,AK$2,AK$1,$B41)</f>
        <v>0</v>
      </c>
      <c r="AL41" s="215">
        <f>_xll.DBRW(Server&amp;Cube1,$N$15,$N$16,$N$17,$N$18,$N$14,$N$13,AL$2,AL$1,$B41)</f>
        <v>270622120.05202854</v>
      </c>
      <c r="AM41" s="32"/>
      <c r="AN41" s="215">
        <f>_xll.DBRW(Server&amp;Cube1,$N$15,$N$16,$N$17,$N$18,$N$14,$N$13,AN$2,AN$1,$B41)</f>
        <v>0</v>
      </c>
      <c r="AO41" s="215">
        <f>_xll.DBRW(Server&amp;Cube1,$N$15,$N$16,$N$17,$N$18,$N$14,$N$13,AO$2,AO$1,$B41)</f>
        <v>0</v>
      </c>
      <c r="AP41" s="215">
        <f>_xll.DBRW(Server&amp;Cube1,$N$15,$N$16,$N$17,$N$18,$N$14,$N$13,AP$2,AP$1,$B41)</f>
        <v>232930841.67104295</v>
      </c>
      <c r="AQ41" s="32"/>
      <c r="AR41" s="215">
        <f>_xll.DBRW(Server&amp;Cube1,$N$15,$N$16,$N$17,$N$18,$N$14,$N$13,AR$2,AR$1,$B41)</f>
        <v>0</v>
      </c>
      <c r="AS41" s="215">
        <f>_xll.DBRW(Server&amp;Cube1,$N$15,$N$16,$N$17,$N$18,$N$14,$N$13,AS$2,AS$1,$B41)</f>
        <v>0</v>
      </c>
      <c r="AT41" s="215">
        <f>_xll.DBRW(Server&amp;Cube1,$N$15,$N$16,$N$17,$N$18,$N$14,$N$13,AT$2,AT$1,$B41)</f>
        <v>408453839.52491593</v>
      </c>
      <c r="AU41" s="32"/>
      <c r="AV41" s="215">
        <f>_xll.DBRW(Server&amp;Cube1,$N$15,$N$16,$N$17,$N$18,$N$14,$N$13,AV$2,AV$1,$B41)</f>
        <v>0</v>
      </c>
      <c r="AW41" s="215">
        <f>_xll.DBRW(Server&amp;Cube1,$N$15,$N$16,$N$17,$N$18,$N$14,$N$13,AW$2,AW$1,$B41)</f>
        <v>0</v>
      </c>
      <c r="AX41" s="215">
        <f>_xll.DBRW(Server&amp;Cube1,$N$15,$N$16,$N$17,$N$18,$N$14,$N$13,AX$2,AX$1,$B41)</f>
        <v>227233458.60965157</v>
      </c>
      <c r="AY41" s="32"/>
      <c r="AZ41" s="215">
        <f>_xll.DBRW(Server&amp;Cube1,$N$15,$N$16,$N$17,$N$18,$N$14,$N$13,AZ$2,AZ$1,$B41)</f>
        <v>0</v>
      </c>
      <c r="BA41" s="215">
        <f>_xll.DBRW(Server&amp;Cube1,$N$15,$N$16,$N$17,$N$18,$N$14,$N$13,BA$2,BA$1,$B41)</f>
        <v>0</v>
      </c>
      <c r="BB41" s="215">
        <f>_xll.DBRW(Server&amp;Cube1,$N$15,$N$16,$N$17,$N$18,$N$14,$N$13,BB$2,BB$1,$B41)</f>
        <v>50539001.405505195</v>
      </c>
      <c r="BC41" s="32"/>
      <c r="BD41" s="215">
        <f>_xll.DBRW(Server&amp;Cube1,$N$15,$N$16,$N$17,$N$18,$N$14,$N$13,BD$2,BD$1,$B41)</f>
        <v>7487733.9899999974</v>
      </c>
      <c r="BE41" s="215">
        <f>_xll.DBRW(Server&amp;Cube1,$N$15,$N$16,$N$17,$N$18,$N$14,$N$13,BE$2,BE$1,$B41)</f>
        <v>0</v>
      </c>
      <c r="BF41" s="215">
        <f>_xll.DBRW(Server&amp;Cube1,$N$15,$N$16,$N$17,$N$18,$N$14,$N$13,BF$2,BF$1,$B41)</f>
        <v>-1092024744.1511333</v>
      </c>
      <c r="BG41" s="32"/>
      <c r="BH41" s="215">
        <f>_xll.DBRW(Server&amp;Cube1,$N$15,$N$16,$N$17,$N$18,$N$14,$N$13,BH$2,BH$1,$B41)</f>
        <v>0</v>
      </c>
      <c r="BI41" s="215">
        <f>_xll.DBRW(Server&amp;Cube1,$N$15,$N$16,$N$17,$N$18,$N$14,$N$13,BI$2,BI$1,$B41)</f>
        <v>0</v>
      </c>
      <c r="BJ41" s="215">
        <f>_xll.DBRW(Server&amp;Cube1,$N$15,$N$16,$N$17,$N$18,$N$14,$N$13,BJ$2,BJ$1,$B41)</f>
        <v>820537655.2968353</v>
      </c>
      <c r="BK41" s="32"/>
      <c r="BL41" s="215">
        <f>_xll.DBRW(Server&amp;Cube1,$N$15,$N$16,$N$17,$N$18,$N$14,$N$13,BL$2,BL$1,$B41)</f>
        <v>0</v>
      </c>
      <c r="BM41" s="215">
        <f>_xll.DBRW(Server&amp;Cube1,$N$15,$N$16,$N$17,$N$18,$N$14,$N$13,BM$2,BM$1,$B41)</f>
        <v>0</v>
      </c>
      <c r="BN41" s="215">
        <f>_xll.DBRW(Server&amp;Cube1,$N$15,$N$16,$N$17,$N$18,$N$14,$N$13,BN$2,BN$1,$B41)</f>
        <v>221512874.71907872</v>
      </c>
      <c r="BO41" s="32"/>
      <c r="BP41" s="215">
        <f>_xll.DBRW(Server&amp;Cube1,$N$15,$N$16,$N$17,$N$18,$N$14,$N$13,BP$2,BP$1,$B41)</f>
        <v>0</v>
      </c>
      <c r="BQ41" s="215">
        <f>_xll.DBRW(Server&amp;Cube1,$N$15,$N$16,$N$17,$N$18,$N$14,$N$13,BQ$2,BQ$1,$B41)</f>
        <v>0</v>
      </c>
      <c r="BR41" s="215">
        <f>_xll.DBRW(Server&amp;Cube1,$N$15,$N$16,$N$17,$N$18,$N$14,$N$13,BR$2,BR$1,$B41)</f>
        <v>651382576.30951822</v>
      </c>
      <c r="BS41" s="32"/>
      <c r="BT41" s="215">
        <f>_xll.DBRW(Server&amp;Cube1,$N$15,$N$16,$N$17,$N$18,$N$14,$N$13,BT$2,BT$1,$B41)</f>
        <v>0</v>
      </c>
      <c r="BU41" s="215">
        <f>_xll.DBRW(Server&amp;Cube1,$N$15,$N$16,$N$17,$N$18,$N$14,$N$13,BU$2,BU$1,$B41)</f>
        <v>0</v>
      </c>
      <c r="BV41" s="215">
        <f>_xll.DBRW(Server&amp;Cube1,$N$15,$N$16,$N$17,$N$18,$N$14,$N$13,BV$2,BV$1,$B41)</f>
        <v>240743386.45116532</v>
      </c>
      <c r="BW41" s="55"/>
      <c r="BX41" s="28"/>
    </row>
    <row r="42" spans="1:78" ht="18.75" hidden="1" customHeight="1" outlineLevel="2" x14ac:dyDescent="0.6">
      <c r="A42" s="52"/>
      <c r="B42" s="56" t="s">
        <v>238</v>
      </c>
      <c r="D42" s="51"/>
      <c r="E42" s="51"/>
      <c r="I42" s="68"/>
      <c r="J42" s="53"/>
      <c r="K42" s="35"/>
      <c r="L42" s="554" t="str">
        <f>_xll.DBRA(Server&amp;$B$32,$B42,$N$19)</f>
        <v>Bonus/penalties</v>
      </c>
      <c r="M42" s="554"/>
      <c r="N42" s="554"/>
      <c r="O42" s="554"/>
      <c r="P42" s="146"/>
      <c r="Q42" s="215">
        <f>_xll.DBRW(Server&amp;Cube1,$N$15,$N$16,$N$17,$N$18,$N$14,$N$13,$N$11,$Q$1,$B42)</f>
        <v>0</v>
      </c>
      <c r="R42" s="215">
        <f>_xll.DBRW(Server&amp;Cube1,$N$15,$N$16,$N$17,$N$18,$N$14,$N$13,$R$2,$R$1,$B42)</f>
        <v>0</v>
      </c>
      <c r="S42" s="216">
        <f t="shared" si="3"/>
        <v>0</v>
      </c>
      <c r="T42" s="217">
        <f t="shared" si="0"/>
        <v>0</v>
      </c>
      <c r="U42" s="218"/>
      <c r="V42" s="215">
        <f>_xll.DBRW(Server&amp;Cube1,$N$15,$N$16,$N$17,$N$18,$N$14,$N$13,$V$2,$V$1,$B42)</f>
        <v>514275.19000005722</v>
      </c>
      <c r="W42" s="216">
        <f t="shared" si="1"/>
        <v>-514275.19000005722</v>
      </c>
      <c r="X42" s="217">
        <f t="shared" si="2"/>
        <v>-1</v>
      </c>
      <c r="Y42" s="55"/>
      <c r="Z42" s="55"/>
      <c r="AA42" s="55"/>
      <c r="AB42" s="215">
        <f>_xll.DBRW(Server&amp;Cube1,$N$15,$N$16,$N$17,$N$18,$N$14,$N$13,AB$2,AB$1,$B42)</f>
        <v>0</v>
      </c>
      <c r="AC42" s="215">
        <f>_xll.DBRW(Server&amp;Cube1,$N$15,$N$16,$N$17,$N$18,$N$14,$N$13,AC$2,AC$1,$B42)</f>
        <v>0</v>
      </c>
      <c r="AD42" s="215">
        <f>_xll.DBRW(Server&amp;Cube1,$N$15,$N$16,$N$17,$N$18,$N$14,$N$13,AD$2,AD$1,$B42)</f>
        <v>-526042485.92000002</v>
      </c>
      <c r="AE42" s="32"/>
      <c r="AF42" s="215">
        <f>_xll.DBRW(Server&amp;Cube1,$N$15,$N$16,$N$17,$N$18,$N$14,$N$13,AF$2,AF$1,$B42)</f>
        <v>0</v>
      </c>
      <c r="AG42" s="215">
        <f>_xll.DBRW(Server&amp;Cube1,$N$15,$N$16,$N$17,$N$18,$N$14,$N$13,AG$2,AG$1,$B42)</f>
        <v>0</v>
      </c>
      <c r="AH42" s="215">
        <f>_xll.DBRW(Server&amp;Cube1,$N$15,$N$16,$N$17,$N$18,$N$14,$N$13,AH$2,AH$1,$B42)</f>
        <v>125083595.02</v>
      </c>
      <c r="AI42" s="32"/>
      <c r="AJ42" s="215">
        <f>_xll.DBRW(Server&amp;Cube1,$N$15,$N$16,$N$17,$N$18,$N$14,$N$13,AJ$2,AJ$1,$B42)</f>
        <v>0</v>
      </c>
      <c r="AK42" s="215">
        <f>_xll.DBRW(Server&amp;Cube1,$N$15,$N$16,$N$17,$N$18,$N$14,$N$13,AK$2,AK$1,$B42)</f>
        <v>0</v>
      </c>
      <c r="AL42" s="215">
        <f>_xll.DBRW(Server&amp;Cube1,$N$15,$N$16,$N$17,$N$18,$N$14,$N$13,AL$2,AL$1,$B42)</f>
        <v>-856365339.54999995</v>
      </c>
      <c r="AM42" s="32"/>
      <c r="AN42" s="215">
        <f>_xll.DBRW(Server&amp;Cube1,$N$15,$N$16,$N$17,$N$18,$N$14,$N$13,AN$2,AN$1,$B42)</f>
        <v>0</v>
      </c>
      <c r="AO42" s="215">
        <f>_xll.DBRW(Server&amp;Cube1,$N$15,$N$16,$N$17,$N$18,$N$14,$N$13,AO$2,AO$1,$B42)</f>
        <v>0</v>
      </c>
      <c r="AP42" s="215">
        <f>_xll.DBRW(Server&amp;Cube1,$N$15,$N$16,$N$17,$N$18,$N$14,$N$13,AP$2,AP$1,$B42)</f>
        <v>-400974748.75</v>
      </c>
      <c r="AQ42" s="32"/>
      <c r="AR42" s="215">
        <f>_xll.DBRW(Server&amp;Cube1,$N$15,$N$16,$N$17,$N$18,$N$14,$N$13,AR$2,AR$1,$B42)</f>
        <v>0</v>
      </c>
      <c r="AS42" s="215">
        <f>_xll.DBRW(Server&amp;Cube1,$N$15,$N$16,$N$17,$N$18,$N$14,$N$13,AS$2,AS$1,$B42)</f>
        <v>0</v>
      </c>
      <c r="AT42" s="215">
        <f>_xll.DBRW(Server&amp;Cube1,$N$15,$N$16,$N$17,$N$18,$N$14,$N$13,AT$2,AT$1,$B42)</f>
        <v>-350103573.29000002</v>
      </c>
      <c r="AU42" s="32"/>
      <c r="AV42" s="215">
        <f>_xll.DBRW(Server&amp;Cube1,$N$15,$N$16,$N$17,$N$18,$N$14,$N$13,AV$2,AV$1,$B42)</f>
        <v>0</v>
      </c>
      <c r="AW42" s="215">
        <f>_xll.DBRW(Server&amp;Cube1,$N$15,$N$16,$N$17,$N$18,$N$14,$N$13,AW$2,AW$1,$B42)</f>
        <v>0</v>
      </c>
      <c r="AX42" s="215">
        <f>_xll.DBRW(Server&amp;Cube1,$N$15,$N$16,$N$17,$N$18,$N$14,$N$13,AX$2,AX$1,$B42)</f>
        <v>-174774547.84</v>
      </c>
      <c r="AY42" s="32"/>
      <c r="AZ42" s="215">
        <f>_xll.DBRW(Server&amp;Cube1,$N$15,$N$16,$N$17,$N$18,$N$14,$N$13,AZ$2,AZ$1,$B42)</f>
        <v>0</v>
      </c>
      <c r="BA42" s="215">
        <f>_xll.DBRW(Server&amp;Cube1,$N$15,$N$16,$N$17,$N$18,$N$14,$N$13,BA$2,BA$1,$B42)</f>
        <v>0</v>
      </c>
      <c r="BB42" s="215">
        <f>_xll.DBRW(Server&amp;Cube1,$N$15,$N$16,$N$17,$N$18,$N$14,$N$13,BB$2,BB$1,$B42)</f>
        <v>-200326578.66999999</v>
      </c>
      <c r="BC42" s="32"/>
      <c r="BD42" s="215">
        <f>_xll.DBRW(Server&amp;Cube1,$N$15,$N$16,$N$17,$N$18,$N$14,$N$13,BD$2,BD$1,$B42)</f>
        <v>0</v>
      </c>
      <c r="BE42" s="215">
        <f>_xll.DBRW(Server&amp;Cube1,$N$15,$N$16,$N$17,$N$18,$N$14,$N$13,BE$2,BE$1,$B42)</f>
        <v>0</v>
      </c>
      <c r="BF42" s="215">
        <f>_xll.DBRW(Server&amp;Cube1,$N$15,$N$16,$N$17,$N$18,$N$14,$N$13,BF$2,BF$1,$B42)</f>
        <v>2384017954.1900001</v>
      </c>
      <c r="BG42" s="32"/>
      <c r="BH42" s="215">
        <f>_xll.DBRW(Server&amp;Cube1,$N$15,$N$16,$N$17,$N$18,$N$14,$N$13,BH$2,BH$1,$B42)</f>
        <v>0</v>
      </c>
      <c r="BI42" s="215">
        <f>_xll.DBRW(Server&amp;Cube1,$N$15,$N$16,$N$17,$N$18,$N$14,$N$13,BI$2,BI$1,$B42)</f>
        <v>0</v>
      </c>
      <c r="BJ42" s="215">
        <f>_xll.DBRW(Server&amp;Cube1,$N$15,$N$16,$N$17,$N$18,$N$14,$N$13,BJ$2,BJ$1,$B42)</f>
        <v>-388448362.00999999</v>
      </c>
      <c r="BK42" s="32"/>
      <c r="BL42" s="215">
        <f>_xll.DBRW(Server&amp;Cube1,$N$15,$N$16,$N$17,$N$18,$N$14,$N$13,BL$2,BL$1,$B42)</f>
        <v>0</v>
      </c>
      <c r="BM42" s="215">
        <f>_xll.DBRW(Server&amp;Cube1,$N$15,$N$16,$N$17,$N$18,$N$14,$N$13,BM$2,BM$1,$B42)</f>
        <v>0</v>
      </c>
      <c r="BN42" s="215">
        <f>_xll.DBRW(Server&amp;Cube1,$N$15,$N$16,$N$17,$N$18,$N$14,$N$13,BN$2,BN$1,$B42)</f>
        <v>-413195315.69999999</v>
      </c>
      <c r="BO42" s="32"/>
      <c r="BP42" s="215">
        <f>_xll.DBRW(Server&amp;Cube1,$N$15,$N$16,$N$17,$N$18,$N$14,$N$13,BP$2,BP$1,$B42)</f>
        <v>0</v>
      </c>
      <c r="BQ42" s="215">
        <f>_xll.DBRW(Server&amp;Cube1,$N$15,$N$16,$N$17,$N$18,$N$14,$N$13,BQ$2,BQ$1,$B42)</f>
        <v>0</v>
      </c>
      <c r="BR42" s="215">
        <f>_xll.DBRW(Server&amp;Cube1,$N$15,$N$16,$N$17,$N$18,$N$14,$N$13,BR$2,BR$1,$B42)</f>
        <v>-302964747.14999998</v>
      </c>
      <c r="BS42" s="32"/>
      <c r="BT42" s="215">
        <f>_xll.DBRW(Server&amp;Cube1,$N$15,$N$16,$N$17,$N$18,$N$14,$N$13,BT$2,BT$1,$B42)</f>
        <v>0</v>
      </c>
      <c r="BU42" s="215">
        <f>_xll.DBRW(Server&amp;Cube1,$N$15,$N$16,$N$17,$N$18,$N$14,$N$13,BU$2,BU$1,$B42)</f>
        <v>0</v>
      </c>
      <c r="BV42" s="215">
        <f>_xll.DBRW(Server&amp;Cube1,$N$15,$N$16,$N$17,$N$18,$N$14,$N$13,BV$2,BV$1,$B42)</f>
        <v>-388500852.16000003</v>
      </c>
      <c r="BW42" s="55"/>
      <c r="BX42" s="28"/>
    </row>
    <row r="43" spans="1:78" ht="18.75" hidden="1" customHeight="1" outlineLevel="2" x14ac:dyDescent="0.6">
      <c r="A43" s="52"/>
      <c r="B43" s="56" t="s">
        <v>427</v>
      </c>
      <c r="D43" s="51"/>
      <c r="E43" s="51"/>
      <c r="I43" s="68"/>
      <c r="J43" s="53"/>
      <c r="K43" s="35"/>
      <c r="L43" s="554" t="str">
        <f>_xll.DBRA(Server&amp;$B$32,$B43,$N$19)</f>
        <v>Revenue from contractual private customer (except tourism)</v>
      </c>
      <c r="M43" s="554"/>
      <c r="N43" s="554"/>
      <c r="O43" s="554"/>
      <c r="P43" s="146"/>
      <c r="Q43" s="215">
        <f>_xll.DBRW(Server&amp;Cube1,$N$15,$N$16,$N$17,$N$18,$N$14,$N$13,$N$11,$Q$1,$B43)</f>
        <v>0</v>
      </c>
      <c r="R43" s="215">
        <f>_xll.DBRW(Server&amp;Cube1,$N$15,$N$16,$N$17,$N$18,$N$14,$N$13,$R$2,$R$1,$B43)</f>
        <v>0</v>
      </c>
      <c r="S43" s="216">
        <f t="shared" ref="S43:S46" si="8">Q43-R43</f>
        <v>0</v>
      </c>
      <c r="T43" s="217">
        <f t="shared" ref="T43:T46" si="9">IF(R43&lt;&gt;0,IF(R43&gt;0,S43/R43,-S43/R43),0)</f>
        <v>0</v>
      </c>
      <c r="U43" s="218"/>
      <c r="V43" s="215">
        <f>_xll.DBRW(Server&amp;Cube1,$N$15,$N$16,$N$17,$N$18,$N$14,$N$13,$V$2,$V$1,$B43)</f>
        <v>186873940.53000003</v>
      </c>
      <c r="W43" s="216">
        <f t="shared" ref="W43:W46" si="10">Q43-V43</f>
        <v>-186873940.53000003</v>
      </c>
      <c r="X43" s="217">
        <f t="shared" ref="X43:X46" si="11">IF(V43&lt;&gt;0,IF(V43&gt;0,W43/V43,-W43/V43),0)</f>
        <v>-1</v>
      </c>
      <c r="Y43" s="55"/>
      <c r="Z43" s="55"/>
      <c r="AA43" s="55"/>
      <c r="AB43" s="215">
        <f>_xll.DBRW(Server&amp;Cube1,$N$15,$N$16,$N$17,$N$18,$N$14,$N$13,AB$2,AB$1,$B43)</f>
        <v>0</v>
      </c>
      <c r="AC43" s="215">
        <f>_xll.DBRW(Server&amp;Cube1,$N$15,$N$16,$N$17,$N$18,$N$14,$N$13,AC$2,AC$1,$B43)</f>
        <v>0</v>
      </c>
      <c r="AD43" s="215">
        <f>_xll.DBRW(Server&amp;Cube1,$N$15,$N$16,$N$17,$N$18,$N$14,$N$13,AD$2,AD$1,$B43)</f>
        <v>2135793.44</v>
      </c>
      <c r="AE43" s="32"/>
      <c r="AF43" s="215">
        <f>_xll.DBRW(Server&amp;Cube1,$N$15,$N$16,$N$17,$N$18,$N$14,$N$13,AF$2,AF$1,$B43)</f>
        <v>0</v>
      </c>
      <c r="AG43" s="215">
        <f>_xll.DBRW(Server&amp;Cube1,$N$15,$N$16,$N$17,$N$18,$N$14,$N$13,AG$2,AG$1,$B43)</f>
        <v>0</v>
      </c>
      <c r="AH43" s="215">
        <f>_xll.DBRW(Server&amp;Cube1,$N$15,$N$16,$N$17,$N$18,$N$14,$N$13,AH$2,AH$1,$B43)</f>
        <v>22396102.149999999</v>
      </c>
      <c r="AI43" s="32"/>
      <c r="AJ43" s="215">
        <f>_xll.DBRW(Server&amp;Cube1,$N$15,$N$16,$N$17,$N$18,$N$14,$N$13,AJ$2,AJ$1,$B43)</f>
        <v>0</v>
      </c>
      <c r="AK43" s="215">
        <f>_xll.DBRW(Server&amp;Cube1,$N$15,$N$16,$N$17,$N$18,$N$14,$N$13,AK$2,AK$1,$B43)</f>
        <v>0</v>
      </c>
      <c r="AL43" s="215">
        <f>_xll.DBRW(Server&amp;Cube1,$N$15,$N$16,$N$17,$N$18,$N$14,$N$13,AL$2,AL$1,$B43)</f>
        <v>13633842.560000001</v>
      </c>
      <c r="AM43" s="32"/>
      <c r="AN43" s="215">
        <f>_xll.DBRW(Server&amp;Cube1,$N$15,$N$16,$N$17,$N$18,$N$14,$N$13,AN$2,AN$1,$B43)</f>
        <v>0</v>
      </c>
      <c r="AO43" s="215">
        <f>_xll.DBRW(Server&amp;Cube1,$N$15,$N$16,$N$17,$N$18,$N$14,$N$13,AO$2,AO$1,$B43)</f>
        <v>0</v>
      </c>
      <c r="AP43" s="215">
        <f>_xll.DBRW(Server&amp;Cube1,$N$15,$N$16,$N$17,$N$18,$N$14,$N$13,AP$2,AP$1,$B43)</f>
        <v>16058911</v>
      </c>
      <c r="AQ43" s="32"/>
      <c r="AR43" s="215">
        <f>_xll.DBRW(Server&amp;Cube1,$N$15,$N$16,$N$17,$N$18,$N$14,$N$13,AR$2,AR$1,$B43)</f>
        <v>0</v>
      </c>
      <c r="AS43" s="215">
        <f>_xll.DBRW(Server&amp;Cube1,$N$15,$N$16,$N$17,$N$18,$N$14,$N$13,AS$2,AS$1,$B43)</f>
        <v>0</v>
      </c>
      <c r="AT43" s="215">
        <f>_xll.DBRW(Server&amp;Cube1,$N$15,$N$16,$N$17,$N$18,$N$14,$N$13,AT$2,AT$1,$B43)</f>
        <v>2803941.8200000012</v>
      </c>
      <c r="AU43" s="32"/>
      <c r="AV43" s="215">
        <f>_xll.DBRW(Server&amp;Cube1,$N$15,$N$16,$N$17,$N$18,$N$14,$N$13,AV$2,AV$1,$B43)</f>
        <v>0</v>
      </c>
      <c r="AW43" s="215">
        <f>_xll.DBRW(Server&amp;Cube1,$N$15,$N$16,$N$17,$N$18,$N$14,$N$13,AW$2,AW$1,$B43)</f>
        <v>0</v>
      </c>
      <c r="AX43" s="215">
        <f>_xll.DBRW(Server&amp;Cube1,$N$15,$N$16,$N$17,$N$18,$N$14,$N$13,AX$2,AX$1,$B43)</f>
        <v>26753440.540000003</v>
      </c>
      <c r="AY43" s="32"/>
      <c r="AZ43" s="215">
        <f>_xll.DBRW(Server&amp;Cube1,$N$15,$N$16,$N$17,$N$18,$N$14,$N$13,AZ$2,AZ$1,$B43)</f>
        <v>0</v>
      </c>
      <c r="BA43" s="215">
        <f>_xll.DBRW(Server&amp;Cube1,$N$15,$N$16,$N$17,$N$18,$N$14,$N$13,BA$2,BA$1,$B43)</f>
        <v>0</v>
      </c>
      <c r="BB43" s="215">
        <f>_xll.DBRW(Server&amp;Cube1,$N$15,$N$16,$N$17,$N$18,$N$14,$N$13,BB$2,BB$1,$B43)</f>
        <v>-14477078.4</v>
      </c>
      <c r="BC43" s="32"/>
      <c r="BD43" s="215">
        <f>_xll.DBRW(Server&amp;Cube1,$N$15,$N$16,$N$17,$N$18,$N$14,$N$13,BD$2,BD$1,$B43)</f>
        <v>0</v>
      </c>
      <c r="BE43" s="215">
        <f>_xll.DBRW(Server&amp;Cube1,$N$15,$N$16,$N$17,$N$18,$N$14,$N$13,BE$2,BE$1,$B43)</f>
        <v>0</v>
      </c>
      <c r="BF43" s="215">
        <f>_xll.DBRW(Server&amp;Cube1,$N$15,$N$16,$N$17,$N$18,$N$14,$N$13,BF$2,BF$1,$B43)</f>
        <v>117568987.42000002</v>
      </c>
      <c r="BG43" s="32"/>
      <c r="BH43" s="215">
        <f>_xll.DBRW(Server&amp;Cube1,$N$15,$N$16,$N$17,$N$18,$N$14,$N$13,BH$2,BH$1,$B43)</f>
        <v>0</v>
      </c>
      <c r="BI43" s="215">
        <f>_xll.DBRW(Server&amp;Cube1,$N$15,$N$16,$N$17,$N$18,$N$14,$N$13,BI$2,BI$1,$B43)</f>
        <v>0</v>
      </c>
      <c r="BJ43" s="215">
        <f>_xll.DBRW(Server&amp;Cube1,$N$15,$N$16,$N$17,$N$18,$N$14,$N$13,BJ$2,BJ$1,$B43)</f>
        <v>20301757.109999999</v>
      </c>
      <c r="BK43" s="32"/>
      <c r="BL43" s="215">
        <f>_xll.DBRW(Server&amp;Cube1,$N$15,$N$16,$N$17,$N$18,$N$14,$N$13,BL$2,BL$1,$B43)</f>
        <v>0</v>
      </c>
      <c r="BM43" s="215">
        <f>_xll.DBRW(Server&amp;Cube1,$N$15,$N$16,$N$17,$N$18,$N$14,$N$13,BM$2,BM$1,$B43)</f>
        <v>0</v>
      </c>
      <c r="BN43" s="215">
        <f>_xll.DBRW(Server&amp;Cube1,$N$15,$N$16,$N$17,$N$18,$N$14,$N$13,BN$2,BN$1,$B43)</f>
        <v>2847992.1400000039</v>
      </c>
      <c r="BO43" s="32"/>
      <c r="BP43" s="215">
        <f>_xll.DBRW(Server&amp;Cube1,$N$15,$N$16,$N$17,$N$18,$N$14,$N$13,BP$2,BP$1,$B43)</f>
        <v>0</v>
      </c>
      <c r="BQ43" s="215">
        <f>_xll.DBRW(Server&amp;Cube1,$N$15,$N$16,$N$17,$N$18,$N$14,$N$13,BQ$2,BQ$1,$B43)</f>
        <v>0</v>
      </c>
      <c r="BR43" s="215">
        <f>_xll.DBRW(Server&amp;Cube1,$N$15,$N$16,$N$17,$N$18,$N$14,$N$13,BR$2,BR$1,$B43)</f>
        <v>146869874.12000003</v>
      </c>
      <c r="BS43" s="32"/>
      <c r="BT43" s="215">
        <f>_xll.DBRW(Server&amp;Cube1,$N$15,$N$16,$N$17,$N$18,$N$14,$N$13,BT$2,BT$1,$B43)</f>
        <v>0</v>
      </c>
      <c r="BU43" s="215">
        <f>_xll.DBRW(Server&amp;Cube1,$N$15,$N$16,$N$17,$N$18,$N$14,$N$13,BU$2,BU$1,$B43)</f>
        <v>0</v>
      </c>
      <c r="BV43" s="215">
        <f>_xll.DBRW(Server&amp;Cube1,$N$15,$N$16,$N$17,$N$18,$N$14,$N$13,BV$2,BV$1,$B43)</f>
        <v>15725428.850000003</v>
      </c>
      <c r="BW43" s="55"/>
      <c r="BX43" s="28"/>
    </row>
    <row r="44" spans="1:78" ht="18.75" hidden="1" customHeight="1" outlineLevel="2" x14ac:dyDescent="0.6">
      <c r="A44" s="52"/>
      <c r="B44" s="56" t="s">
        <v>428</v>
      </c>
      <c r="D44" s="51"/>
      <c r="E44" s="51"/>
      <c r="I44" s="68"/>
      <c r="J44" s="53"/>
      <c r="K44" s="35"/>
      <c r="L44" s="554" t="str">
        <f>_xll.DBRA(Server&amp;$B$32,$B44,$N$19)</f>
        <v>Revenue from charter activities</v>
      </c>
      <c r="M44" s="554"/>
      <c r="N44" s="554"/>
      <c r="O44" s="554"/>
      <c r="P44" s="146"/>
      <c r="Q44" s="215">
        <f>_xll.DBRW(Server&amp;Cube1,$N$15,$N$16,$N$17,$N$18,$N$14,$N$13,$N$11,$Q$1,$B44)</f>
        <v>0</v>
      </c>
      <c r="R44" s="215">
        <f>_xll.DBRW(Server&amp;Cube1,$N$15,$N$16,$N$17,$N$18,$N$14,$N$13,$R$2,$R$1,$B44)</f>
        <v>0</v>
      </c>
      <c r="S44" s="216">
        <f t="shared" si="8"/>
        <v>0</v>
      </c>
      <c r="T44" s="217">
        <f t="shared" si="9"/>
        <v>0</v>
      </c>
      <c r="U44" s="218"/>
      <c r="V44" s="215">
        <f>_xll.DBRW(Server&amp;Cube1,$N$15,$N$16,$N$17,$N$18,$N$14,$N$13,$V$2,$V$1,$B44)</f>
        <v>26091.7</v>
      </c>
      <c r="W44" s="216">
        <f t="shared" si="10"/>
        <v>-26091.7</v>
      </c>
      <c r="X44" s="217">
        <f t="shared" si="11"/>
        <v>-1</v>
      </c>
      <c r="Y44" s="55"/>
      <c r="Z44" s="55"/>
      <c r="AA44" s="55"/>
      <c r="AB44" s="215">
        <f>_xll.DBRW(Server&amp;Cube1,$N$15,$N$16,$N$17,$N$18,$N$14,$N$13,AB$2,AB$1,$B44)</f>
        <v>0</v>
      </c>
      <c r="AC44" s="215">
        <f>_xll.DBRW(Server&amp;Cube1,$N$15,$N$16,$N$17,$N$18,$N$14,$N$13,AC$2,AC$1,$B44)</f>
        <v>0</v>
      </c>
      <c r="AD44" s="215">
        <f>_xll.DBRW(Server&amp;Cube1,$N$15,$N$16,$N$17,$N$18,$N$14,$N$13,AD$2,AD$1,$B44)</f>
        <v>1536.5</v>
      </c>
      <c r="AE44" s="32"/>
      <c r="AF44" s="215">
        <f>_xll.DBRW(Server&amp;Cube1,$N$15,$N$16,$N$17,$N$18,$N$14,$N$13,AF$2,AF$1,$B44)</f>
        <v>0</v>
      </c>
      <c r="AG44" s="215">
        <f>_xll.DBRW(Server&amp;Cube1,$N$15,$N$16,$N$17,$N$18,$N$14,$N$13,AG$2,AG$1,$B44)</f>
        <v>0</v>
      </c>
      <c r="AH44" s="215">
        <f>_xll.DBRW(Server&amp;Cube1,$N$15,$N$16,$N$17,$N$18,$N$14,$N$13,AH$2,AH$1,$B44)</f>
        <v>1025.3</v>
      </c>
      <c r="AI44" s="32"/>
      <c r="AJ44" s="215">
        <f>_xll.DBRW(Server&amp;Cube1,$N$15,$N$16,$N$17,$N$18,$N$14,$N$13,AJ$2,AJ$1,$B44)</f>
        <v>0</v>
      </c>
      <c r="AK44" s="215">
        <f>_xll.DBRW(Server&amp;Cube1,$N$15,$N$16,$N$17,$N$18,$N$14,$N$13,AK$2,AK$1,$B44)</f>
        <v>0</v>
      </c>
      <c r="AL44" s="215">
        <f>_xll.DBRW(Server&amp;Cube1,$N$15,$N$16,$N$17,$N$18,$N$14,$N$13,AL$2,AL$1,$B44)</f>
        <v>1312.11</v>
      </c>
      <c r="AM44" s="32"/>
      <c r="AN44" s="215">
        <f>_xll.DBRW(Server&amp;Cube1,$N$15,$N$16,$N$17,$N$18,$N$14,$N$13,AN$2,AN$1,$B44)</f>
        <v>0</v>
      </c>
      <c r="AO44" s="215">
        <f>_xll.DBRW(Server&amp;Cube1,$N$15,$N$16,$N$17,$N$18,$N$14,$N$13,AO$2,AO$1,$B44)</f>
        <v>0</v>
      </c>
      <c r="AP44" s="215">
        <f>_xll.DBRW(Server&amp;Cube1,$N$15,$N$16,$N$17,$N$18,$N$14,$N$13,AP$2,AP$1,$B44)</f>
        <v>4197</v>
      </c>
      <c r="AQ44" s="32"/>
      <c r="AR44" s="215">
        <f>_xll.DBRW(Server&amp;Cube1,$N$15,$N$16,$N$17,$N$18,$N$14,$N$13,AR$2,AR$1,$B44)</f>
        <v>0</v>
      </c>
      <c r="AS44" s="215">
        <f>_xll.DBRW(Server&amp;Cube1,$N$15,$N$16,$N$17,$N$18,$N$14,$N$13,AS$2,AS$1,$B44)</f>
        <v>0</v>
      </c>
      <c r="AT44" s="215">
        <f>_xll.DBRW(Server&amp;Cube1,$N$15,$N$16,$N$17,$N$18,$N$14,$N$13,AT$2,AT$1,$B44)</f>
        <v>-8070.91</v>
      </c>
      <c r="AU44" s="32"/>
      <c r="AV44" s="215">
        <f>_xll.DBRW(Server&amp;Cube1,$N$15,$N$16,$N$17,$N$18,$N$14,$N$13,AV$2,AV$1,$B44)</f>
        <v>0</v>
      </c>
      <c r="AW44" s="215">
        <f>_xll.DBRW(Server&amp;Cube1,$N$15,$N$16,$N$17,$N$18,$N$14,$N$13,AW$2,AW$1,$B44)</f>
        <v>0</v>
      </c>
      <c r="AX44" s="215">
        <f>_xll.DBRW(Server&amp;Cube1,$N$15,$N$16,$N$17,$N$18,$N$14,$N$13,AX$2,AX$1,$B44)</f>
        <v>12675.6</v>
      </c>
      <c r="AY44" s="32"/>
      <c r="AZ44" s="215">
        <f>_xll.DBRW(Server&amp;Cube1,$N$15,$N$16,$N$17,$N$18,$N$14,$N$13,AZ$2,AZ$1,$B44)</f>
        <v>0</v>
      </c>
      <c r="BA44" s="215">
        <f>_xll.DBRW(Server&amp;Cube1,$N$15,$N$16,$N$17,$N$18,$N$14,$N$13,BA$2,BA$1,$B44)</f>
        <v>0</v>
      </c>
      <c r="BB44" s="215">
        <f>_xll.DBRW(Server&amp;Cube1,$N$15,$N$16,$N$17,$N$18,$N$14,$N$13,BB$2,BB$1,$B44)</f>
        <v>-12675.6</v>
      </c>
      <c r="BC44" s="32"/>
      <c r="BD44" s="215">
        <f>_xll.DBRW(Server&amp;Cube1,$N$15,$N$16,$N$17,$N$18,$N$14,$N$13,BD$2,BD$1,$B44)</f>
        <v>0</v>
      </c>
      <c r="BE44" s="215">
        <f>_xll.DBRW(Server&amp;Cube1,$N$15,$N$16,$N$17,$N$18,$N$14,$N$13,BE$2,BE$1,$B44)</f>
        <v>0</v>
      </c>
      <c r="BF44" s="215">
        <f>_xll.DBRW(Server&amp;Cube1,$N$15,$N$16,$N$17,$N$18,$N$14,$N$13,BF$2,BF$1,$B44)</f>
        <v>26091.7</v>
      </c>
      <c r="BG44" s="32"/>
      <c r="BH44" s="215">
        <f>_xll.DBRW(Server&amp;Cube1,$N$15,$N$16,$N$17,$N$18,$N$14,$N$13,BH$2,BH$1,$B44)</f>
        <v>0</v>
      </c>
      <c r="BI44" s="215">
        <f>_xll.DBRW(Server&amp;Cube1,$N$15,$N$16,$N$17,$N$18,$N$14,$N$13,BI$2,BI$1,$B44)</f>
        <v>0</v>
      </c>
      <c r="BJ44" s="215">
        <f>_xll.DBRW(Server&amp;Cube1,$N$15,$N$16,$N$17,$N$18,$N$14,$N$13,BJ$2,BJ$1,$B44)</f>
        <v>5541.25</v>
      </c>
      <c r="BK44" s="32"/>
      <c r="BL44" s="215">
        <f>_xll.DBRW(Server&amp;Cube1,$N$15,$N$16,$N$17,$N$18,$N$14,$N$13,BL$2,BL$1,$B44)</f>
        <v>0</v>
      </c>
      <c r="BM44" s="215">
        <f>_xll.DBRW(Server&amp;Cube1,$N$15,$N$16,$N$17,$N$18,$N$14,$N$13,BM$2,BM$1,$B44)</f>
        <v>0</v>
      </c>
      <c r="BN44" s="215">
        <f>_xll.DBRW(Server&amp;Cube1,$N$15,$N$16,$N$17,$N$18,$N$14,$N$13,BN$2,BN$1,$B44)</f>
        <v>3261.3599999999969</v>
      </c>
      <c r="BO44" s="32"/>
      <c r="BP44" s="215">
        <f>_xll.DBRW(Server&amp;Cube1,$N$15,$N$16,$N$17,$N$18,$N$14,$N$13,BP$2,BP$1,$B44)</f>
        <v>0</v>
      </c>
      <c r="BQ44" s="215">
        <f>_xll.DBRW(Server&amp;Cube1,$N$15,$N$16,$N$17,$N$18,$N$14,$N$13,BQ$2,BQ$1,$B44)</f>
        <v>0</v>
      </c>
      <c r="BR44" s="215">
        <f>_xll.DBRW(Server&amp;Cube1,$N$15,$N$16,$N$17,$N$18,$N$14,$N$13,BR$2,BR$1,$B44)</f>
        <v>1789.5299999999991</v>
      </c>
      <c r="BS44" s="32"/>
      <c r="BT44" s="215">
        <f>_xll.DBRW(Server&amp;Cube1,$N$15,$N$16,$N$17,$N$18,$N$14,$N$13,BT$2,BT$1,$B44)</f>
        <v>0</v>
      </c>
      <c r="BU44" s="215">
        <f>_xll.DBRW(Server&amp;Cube1,$N$15,$N$16,$N$17,$N$18,$N$14,$N$13,BU$2,BU$1,$B44)</f>
        <v>0</v>
      </c>
      <c r="BV44" s="215">
        <f>_xll.DBRW(Server&amp;Cube1,$N$15,$N$16,$N$17,$N$18,$N$14,$N$13,BV$2,BV$1,$B44)</f>
        <v>939.43000000000029</v>
      </c>
      <c r="BW44" s="55"/>
      <c r="BX44" s="28"/>
    </row>
    <row r="45" spans="1:78" ht="18.75" hidden="1" customHeight="1" outlineLevel="2" x14ac:dyDescent="0.6">
      <c r="A45" s="52"/>
      <c r="B45" s="56" t="s">
        <v>429</v>
      </c>
      <c r="D45" s="51"/>
      <c r="E45" s="51"/>
      <c r="I45" s="68"/>
      <c r="J45" s="53"/>
      <c r="K45" s="35"/>
      <c r="L45" s="554" t="str">
        <f>_xll.DBRA(Server&amp;$B$32,$B45,$N$19)</f>
        <v>Franchisee revenue and brokerage fees</v>
      </c>
      <c r="M45" s="554"/>
      <c r="N45" s="554"/>
      <c r="O45" s="554"/>
      <c r="P45" s="146"/>
      <c r="Q45" s="215">
        <f>_xll.DBRW(Server&amp;Cube1,$N$15,$N$16,$N$17,$N$18,$N$14,$N$13,$N$11,$Q$1,$B45)</f>
        <v>0</v>
      </c>
      <c r="R45" s="215">
        <f>_xll.DBRW(Server&amp;Cube1,$N$15,$N$16,$N$17,$N$18,$N$14,$N$13,$R$2,$R$1,$B45)</f>
        <v>0</v>
      </c>
      <c r="S45" s="216">
        <f t="shared" si="8"/>
        <v>0</v>
      </c>
      <c r="T45" s="217">
        <f t="shared" si="9"/>
        <v>0</v>
      </c>
      <c r="U45" s="218"/>
      <c r="V45" s="215">
        <f>_xll.DBRW(Server&amp;Cube1,$N$15,$N$16,$N$17,$N$18,$N$14,$N$13,$V$2,$V$1,$B45)</f>
        <v>2504404.5599999996</v>
      </c>
      <c r="W45" s="216">
        <f t="shared" si="10"/>
        <v>-2504404.5599999996</v>
      </c>
      <c r="X45" s="217">
        <f t="shared" si="11"/>
        <v>-1</v>
      </c>
      <c r="Y45" s="55"/>
      <c r="Z45" s="55"/>
      <c r="AA45" s="55"/>
      <c r="AB45" s="215">
        <f>_xll.DBRW(Server&amp;Cube1,$N$15,$N$16,$N$17,$N$18,$N$14,$N$13,AB$2,AB$1,$B45)</f>
        <v>0</v>
      </c>
      <c r="AC45" s="215">
        <f>_xll.DBRW(Server&amp;Cube1,$N$15,$N$16,$N$17,$N$18,$N$14,$N$13,AC$2,AC$1,$B45)</f>
        <v>0</v>
      </c>
      <c r="AD45" s="215">
        <f>_xll.DBRW(Server&amp;Cube1,$N$15,$N$16,$N$17,$N$18,$N$14,$N$13,AD$2,AD$1,$B45)</f>
        <v>0</v>
      </c>
      <c r="AE45" s="32"/>
      <c r="AF45" s="215">
        <f>_xll.DBRW(Server&amp;Cube1,$N$15,$N$16,$N$17,$N$18,$N$14,$N$13,AF$2,AF$1,$B45)</f>
        <v>0</v>
      </c>
      <c r="AG45" s="215">
        <f>_xll.DBRW(Server&amp;Cube1,$N$15,$N$16,$N$17,$N$18,$N$14,$N$13,AG$2,AG$1,$B45)</f>
        <v>0</v>
      </c>
      <c r="AH45" s="215">
        <f>_xll.DBRW(Server&amp;Cube1,$N$15,$N$16,$N$17,$N$18,$N$14,$N$13,AH$2,AH$1,$B45)</f>
        <v>490706.66999999993</v>
      </c>
      <c r="AI45" s="32"/>
      <c r="AJ45" s="215">
        <f>_xll.DBRW(Server&amp;Cube1,$N$15,$N$16,$N$17,$N$18,$N$14,$N$13,AJ$2,AJ$1,$B45)</f>
        <v>0</v>
      </c>
      <c r="AK45" s="215">
        <f>_xll.DBRW(Server&amp;Cube1,$N$15,$N$16,$N$17,$N$18,$N$14,$N$13,AK$2,AK$1,$B45)</f>
        <v>0</v>
      </c>
      <c r="AL45" s="215">
        <f>_xll.DBRW(Server&amp;Cube1,$N$15,$N$16,$N$17,$N$18,$N$14,$N$13,AL$2,AL$1,$B45)</f>
        <v>162356.56</v>
      </c>
      <c r="AM45" s="32"/>
      <c r="AN45" s="215">
        <f>_xll.DBRW(Server&amp;Cube1,$N$15,$N$16,$N$17,$N$18,$N$14,$N$13,AN$2,AN$1,$B45)</f>
        <v>0</v>
      </c>
      <c r="AO45" s="215">
        <f>_xll.DBRW(Server&amp;Cube1,$N$15,$N$16,$N$17,$N$18,$N$14,$N$13,AO$2,AO$1,$B45)</f>
        <v>0</v>
      </c>
      <c r="AP45" s="215">
        <f>_xll.DBRW(Server&amp;Cube1,$N$15,$N$16,$N$17,$N$18,$N$14,$N$13,AP$2,AP$1,$B45)</f>
        <v>276584.37000000005</v>
      </c>
      <c r="AQ45" s="32"/>
      <c r="AR45" s="215">
        <f>_xll.DBRW(Server&amp;Cube1,$N$15,$N$16,$N$17,$N$18,$N$14,$N$13,AR$2,AR$1,$B45)</f>
        <v>0</v>
      </c>
      <c r="AS45" s="215">
        <f>_xll.DBRW(Server&amp;Cube1,$N$15,$N$16,$N$17,$N$18,$N$14,$N$13,AS$2,AS$1,$B45)</f>
        <v>0</v>
      </c>
      <c r="AT45" s="215">
        <f>_xll.DBRW(Server&amp;Cube1,$N$15,$N$16,$N$17,$N$18,$N$14,$N$13,AT$2,AT$1,$B45)</f>
        <v>255654.14</v>
      </c>
      <c r="AU45" s="32"/>
      <c r="AV45" s="215">
        <f>_xll.DBRW(Server&amp;Cube1,$N$15,$N$16,$N$17,$N$18,$N$14,$N$13,AV$2,AV$1,$B45)</f>
        <v>0</v>
      </c>
      <c r="AW45" s="215">
        <f>_xll.DBRW(Server&amp;Cube1,$N$15,$N$16,$N$17,$N$18,$N$14,$N$13,AW$2,AW$1,$B45)</f>
        <v>0</v>
      </c>
      <c r="AX45" s="215">
        <f>_xll.DBRW(Server&amp;Cube1,$N$15,$N$16,$N$17,$N$18,$N$14,$N$13,AX$2,AX$1,$B45)</f>
        <v>-66490.360000000044</v>
      </c>
      <c r="AY45" s="32"/>
      <c r="AZ45" s="215">
        <f>_xll.DBRW(Server&amp;Cube1,$N$15,$N$16,$N$17,$N$18,$N$14,$N$13,AZ$2,AZ$1,$B45)</f>
        <v>0</v>
      </c>
      <c r="BA45" s="215">
        <f>_xll.DBRW(Server&amp;Cube1,$N$15,$N$16,$N$17,$N$18,$N$14,$N$13,BA$2,BA$1,$B45)</f>
        <v>0</v>
      </c>
      <c r="BB45" s="215">
        <f>_xll.DBRW(Server&amp;Cube1,$N$15,$N$16,$N$17,$N$18,$N$14,$N$13,BB$2,BB$1,$B45)</f>
        <v>0</v>
      </c>
      <c r="BC45" s="32"/>
      <c r="BD45" s="215">
        <f>_xll.DBRW(Server&amp;Cube1,$N$15,$N$16,$N$17,$N$18,$N$14,$N$13,BD$2,BD$1,$B45)</f>
        <v>0</v>
      </c>
      <c r="BE45" s="215">
        <f>_xll.DBRW(Server&amp;Cube1,$N$15,$N$16,$N$17,$N$18,$N$14,$N$13,BE$2,BE$1,$B45)</f>
        <v>0</v>
      </c>
      <c r="BF45" s="215">
        <f>_xll.DBRW(Server&amp;Cube1,$N$15,$N$16,$N$17,$N$18,$N$14,$N$13,BF$2,BF$1,$B45)</f>
        <v>1385593.1799999997</v>
      </c>
      <c r="BG45" s="32"/>
      <c r="BH45" s="215">
        <f>_xll.DBRW(Server&amp;Cube1,$N$15,$N$16,$N$17,$N$18,$N$14,$N$13,BH$2,BH$1,$B45)</f>
        <v>0</v>
      </c>
      <c r="BI45" s="215">
        <f>_xll.DBRW(Server&amp;Cube1,$N$15,$N$16,$N$17,$N$18,$N$14,$N$13,BI$2,BI$1,$B45)</f>
        <v>0</v>
      </c>
      <c r="BJ45" s="215">
        <f>_xll.DBRW(Server&amp;Cube1,$N$15,$N$16,$N$17,$N$18,$N$14,$N$13,BJ$2,BJ$1,$B45)</f>
        <v>-161932.62999999995</v>
      </c>
      <c r="BK45" s="32"/>
      <c r="BL45" s="215">
        <f>_xll.DBRW(Server&amp;Cube1,$N$15,$N$16,$N$17,$N$18,$N$14,$N$13,BL$2,BL$1,$B45)</f>
        <v>0</v>
      </c>
      <c r="BM45" s="215">
        <f>_xll.DBRW(Server&amp;Cube1,$N$15,$N$16,$N$17,$N$18,$N$14,$N$13,BM$2,BM$1,$B45)</f>
        <v>0</v>
      </c>
      <c r="BN45" s="215">
        <f>_xll.DBRW(Server&amp;Cube1,$N$15,$N$16,$N$17,$N$18,$N$14,$N$13,BN$2,BN$1,$B45)</f>
        <v>0</v>
      </c>
      <c r="BO45" s="32"/>
      <c r="BP45" s="215">
        <f>_xll.DBRW(Server&amp;Cube1,$N$15,$N$16,$N$17,$N$18,$N$14,$N$13,BP$2,BP$1,$B45)</f>
        <v>0</v>
      </c>
      <c r="BQ45" s="215">
        <f>_xll.DBRW(Server&amp;Cube1,$N$15,$N$16,$N$17,$N$18,$N$14,$N$13,BQ$2,BQ$1,$B45)</f>
        <v>0</v>
      </c>
      <c r="BR45" s="215">
        <f>_xll.DBRW(Server&amp;Cube1,$N$15,$N$16,$N$17,$N$18,$N$14,$N$13,BR$2,BR$1,$B45)</f>
        <v>1738822.6999999997</v>
      </c>
      <c r="BS45" s="32"/>
      <c r="BT45" s="215">
        <f>_xll.DBRW(Server&amp;Cube1,$N$15,$N$16,$N$17,$N$18,$N$14,$N$13,BT$2,BT$1,$B45)</f>
        <v>0</v>
      </c>
      <c r="BU45" s="215">
        <f>_xll.DBRW(Server&amp;Cube1,$N$15,$N$16,$N$17,$N$18,$N$14,$N$13,BU$2,BU$1,$B45)</f>
        <v>0</v>
      </c>
      <c r="BV45" s="215">
        <f>_xll.DBRW(Server&amp;Cube1,$N$15,$N$16,$N$17,$N$18,$N$14,$N$13,BV$2,BV$1,$B45)</f>
        <v>174994.37000000008</v>
      </c>
      <c r="BW45" s="55"/>
      <c r="BX45" s="28"/>
    </row>
    <row r="46" spans="1:78" ht="18.75" hidden="1" customHeight="1" outlineLevel="2" x14ac:dyDescent="0.6">
      <c r="A46" s="52"/>
      <c r="B46" s="56" t="s">
        <v>430</v>
      </c>
      <c r="D46" s="51"/>
      <c r="E46" s="51"/>
      <c r="I46" s="68"/>
      <c r="J46" s="53"/>
      <c r="K46" s="35"/>
      <c r="L46" s="554" t="str">
        <f>_xll.DBRA(Server&amp;$B$32,$B46,$N$19)</f>
        <v>Franchisee reimbursement revenue</v>
      </c>
      <c r="M46" s="554"/>
      <c r="N46" s="554"/>
      <c r="O46" s="554"/>
      <c r="P46" s="146"/>
      <c r="Q46" s="215">
        <f>_xll.DBRW(Server&amp;Cube1,$N$15,$N$16,$N$17,$N$18,$N$14,$N$13,$N$11,$Q$1,$B46)</f>
        <v>0</v>
      </c>
      <c r="R46" s="215">
        <f>_xll.DBRW(Server&amp;Cube1,$N$15,$N$16,$N$17,$N$18,$N$14,$N$13,$R$2,$R$1,$B46)</f>
        <v>0</v>
      </c>
      <c r="S46" s="216">
        <f t="shared" si="8"/>
        <v>0</v>
      </c>
      <c r="T46" s="217">
        <f t="shared" si="9"/>
        <v>0</v>
      </c>
      <c r="U46" s="218"/>
      <c r="V46" s="215">
        <f>_xll.DBRW(Server&amp;Cube1,$N$15,$N$16,$N$17,$N$18,$N$14,$N$13,$V$2,$V$1,$B46)</f>
        <v>0</v>
      </c>
      <c r="W46" s="216">
        <f t="shared" si="10"/>
        <v>0</v>
      </c>
      <c r="X46" s="217">
        <f t="shared" si="11"/>
        <v>0</v>
      </c>
      <c r="Y46" s="55"/>
      <c r="Z46" s="55"/>
      <c r="AA46" s="55"/>
      <c r="AB46" s="215">
        <f>_xll.DBRW(Server&amp;Cube1,$N$15,$N$16,$N$17,$N$18,$N$14,$N$13,AB$2,AB$1,$B46)</f>
        <v>0</v>
      </c>
      <c r="AC46" s="215">
        <f>_xll.DBRW(Server&amp;Cube1,$N$15,$N$16,$N$17,$N$18,$N$14,$N$13,AC$2,AC$1,$B46)</f>
        <v>0</v>
      </c>
      <c r="AD46" s="215">
        <f>_xll.DBRW(Server&amp;Cube1,$N$15,$N$16,$N$17,$N$18,$N$14,$N$13,AD$2,AD$1,$B46)</f>
        <v>0</v>
      </c>
      <c r="AE46" s="32"/>
      <c r="AF46" s="215">
        <f>_xll.DBRW(Server&amp;Cube1,$N$15,$N$16,$N$17,$N$18,$N$14,$N$13,AF$2,AF$1,$B46)</f>
        <v>0</v>
      </c>
      <c r="AG46" s="215">
        <f>_xll.DBRW(Server&amp;Cube1,$N$15,$N$16,$N$17,$N$18,$N$14,$N$13,AG$2,AG$1,$B46)</f>
        <v>0</v>
      </c>
      <c r="AH46" s="215">
        <f>_xll.DBRW(Server&amp;Cube1,$N$15,$N$16,$N$17,$N$18,$N$14,$N$13,AH$2,AH$1,$B46)</f>
        <v>0</v>
      </c>
      <c r="AI46" s="32"/>
      <c r="AJ46" s="215">
        <f>_xll.DBRW(Server&amp;Cube1,$N$15,$N$16,$N$17,$N$18,$N$14,$N$13,AJ$2,AJ$1,$B46)</f>
        <v>0</v>
      </c>
      <c r="AK46" s="215">
        <f>_xll.DBRW(Server&amp;Cube1,$N$15,$N$16,$N$17,$N$18,$N$14,$N$13,AK$2,AK$1,$B46)</f>
        <v>0</v>
      </c>
      <c r="AL46" s="215">
        <f>_xll.DBRW(Server&amp;Cube1,$N$15,$N$16,$N$17,$N$18,$N$14,$N$13,AL$2,AL$1,$B46)</f>
        <v>0</v>
      </c>
      <c r="AM46" s="32"/>
      <c r="AN46" s="215">
        <f>_xll.DBRW(Server&amp;Cube1,$N$15,$N$16,$N$17,$N$18,$N$14,$N$13,AN$2,AN$1,$B46)</f>
        <v>0</v>
      </c>
      <c r="AO46" s="215">
        <f>_xll.DBRW(Server&amp;Cube1,$N$15,$N$16,$N$17,$N$18,$N$14,$N$13,AO$2,AO$1,$B46)</f>
        <v>0</v>
      </c>
      <c r="AP46" s="215">
        <f>_xll.DBRW(Server&amp;Cube1,$N$15,$N$16,$N$17,$N$18,$N$14,$N$13,AP$2,AP$1,$B46)</f>
        <v>0</v>
      </c>
      <c r="AQ46" s="32"/>
      <c r="AR46" s="215">
        <f>_xll.DBRW(Server&amp;Cube1,$N$15,$N$16,$N$17,$N$18,$N$14,$N$13,AR$2,AR$1,$B46)</f>
        <v>0</v>
      </c>
      <c r="AS46" s="215">
        <f>_xll.DBRW(Server&amp;Cube1,$N$15,$N$16,$N$17,$N$18,$N$14,$N$13,AS$2,AS$1,$B46)</f>
        <v>0</v>
      </c>
      <c r="AT46" s="215">
        <f>_xll.DBRW(Server&amp;Cube1,$N$15,$N$16,$N$17,$N$18,$N$14,$N$13,AT$2,AT$1,$B46)</f>
        <v>0</v>
      </c>
      <c r="AU46" s="32"/>
      <c r="AV46" s="215">
        <f>_xll.DBRW(Server&amp;Cube1,$N$15,$N$16,$N$17,$N$18,$N$14,$N$13,AV$2,AV$1,$B46)</f>
        <v>0</v>
      </c>
      <c r="AW46" s="215">
        <f>_xll.DBRW(Server&amp;Cube1,$N$15,$N$16,$N$17,$N$18,$N$14,$N$13,AW$2,AW$1,$B46)</f>
        <v>0</v>
      </c>
      <c r="AX46" s="215">
        <f>_xll.DBRW(Server&amp;Cube1,$N$15,$N$16,$N$17,$N$18,$N$14,$N$13,AX$2,AX$1,$B46)</f>
        <v>0</v>
      </c>
      <c r="AY46" s="32"/>
      <c r="AZ46" s="215">
        <f>_xll.DBRW(Server&amp;Cube1,$N$15,$N$16,$N$17,$N$18,$N$14,$N$13,AZ$2,AZ$1,$B46)</f>
        <v>0</v>
      </c>
      <c r="BA46" s="215">
        <f>_xll.DBRW(Server&amp;Cube1,$N$15,$N$16,$N$17,$N$18,$N$14,$N$13,BA$2,BA$1,$B46)</f>
        <v>0</v>
      </c>
      <c r="BB46" s="215">
        <f>_xll.DBRW(Server&amp;Cube1,$N$15,$N$16,$N$17,$N$18,$N$14,$N$13,BB$2,BB$1,$B46)</f>
        <v>0</v>
      </c>
      <c r="BC46" s="32"/>
      <c r="BD46" s="215">
        <f>_xll.DBRW(Server&amp;Cube1,$N$15,$N$16,$N$17,$N$18,$N$14,$N$13,BD$2,BD$1,$B46)</f>
        <v>0</v>
      </c>
      <c r="BE46" s="215">
        <f>_xll.DBRW(Server&amp;Cube1,$N$15,$N$16,$N$17,$N$18,$N$14,$N$13,BE$2,BE$1,$B46)</f>
        <v>0</v>
      </c>
      <c r="BF46" s="215">
        <f>_xll.DBRW(Server&amp;Cube1,$N$15,$N$16,$N$17,$N$18,$N$14,$N$13,BF$2,BF$1,$B46)</f>
        <v>0</v>
      </c>
      <c r="BG46" s="32"/>
      <c r="BH46" s="215">
        <f>_xll.DBRW(Server&amp;Cube1,$N$15,$N$16,$N$17,$N$18,$N$14,$N$13,BH$2,BH$1,$B46)</f>
        <v>0</v>
      </c>
      <c r="BI46" s="215">
        <f>_xll.DBRW(Server&amp;Cube1,$N$15,$N$16,$N$17,$N$18,$N$14,$N$13,BI$2,BI$1,$B46)</f>
        <v>0</v>
      </c>
      <c r="BJ46" s="215">
        <f>_xll.DBRW(Server&amp;Cube1,$N$15,$N$16,$N$17,$N$18,$N$14,$N$13,BJ$2,BJ$1,$B46)</f>
        <v>0</v>
      </c>
      <c r="BK46" s="32"/>
      <c r="BL46" s="215">
        <f>_xll.DBRW(Server&amp;Cube1,$N$15,$N$16,$N$17,$N$18,$N$14,$N$13,BL$2,BL$1,$B46)</f>
        <v>0</v>
      </c>
      <c r="BM46" s="215">
        <f>_xll.DBRW(Server&amp;Cube1,$N$15,$N$16,$N$17,$N$18,$N$14,$N$13,BM$2,BM$1,$B46)</f>
        <v>0</v>
      </c>
      <c r="BN46" s="215">
        <f>_xll.DBRW(Server&amp;Cube1,$N$15,$N$16,$N$17,$N$18,$N$14,$N$13,BN$2,BN$1,$B46)</f>
        <v>0</v>
      </c>
      <c r="BO46" s="32"/>
      <c r="BP46" s="215">
        <f>_xll.DBRW(Server&amp;Cube1,$N$15,$N$16,$N$17,$N$18,$N$14,$N$13,BP$2,BP$1,$B46)</f>
        <v>0</v>
      </c>
      <c r="BQ46" s="215">
        <f>_xll.DBRW(Server&amp;Cube1,$N$15,$N$16,$N$17,$N$18,$N$14,$N$13,BQ$2,BQ$1,$B46)</f>
        <v>0</v>
      </c>
      <c r="BR46" s="215">
        <f>_xll.DBRW(Server&amp;Cube1,$N$15,$N$16,$N$17,$N$18,$N$14,$N$13,BR$2,BR$1,$B46)</f>
        <v>0</v>
      </c>
      <c r="BS46" s="32"/>
      <c r="BT46" s="215">
        <f>_xll.DBRW(Server&amp;Cube1,$N$15,$N$16,$N$17,$N$18,$N$14,$N$13,BT$2,BT$1,$B46)</f>
        <v>0</v>
      </c>
      <c r="BU46" s="215">
        <f>_xll.DBRW(Server&amp;Cube1,$N$15,$N$16,$N$17,$N$18,$N$14,$N$13,BU$2,BU$1,$B46)</f>
        <v>0</v>
      </c>
      <c r="BV46" s="215">
        <f>_xll.DBRW(Server&amp;Cube1,$N$15,$N$16,$N$17,$N$18,$N$14,$N$13,BV$2,BV$1,$B46)</f>
        <v>0</v>
      </c>
      <c r="BW46" s="55"/>
      <c r="BX46" s="28"/>
    </row>
    <row r="47" spans="1:78" ht="18.75" hidden="1" customHeight="1" outlineLevel="2" x14ac:dyDescent="0.6">
      <c r="A47" s="52"/>
      <c r="B47" s="56" t="s">
        <v>239</v>
      </c>
      <c r="D47" s="51"/>
      <c r="E47" s="51"/>
      <c r="I47" s="68"/>
      <c r="J47" s="53"/>
      <c r="K47" s="35"/>
      <c r="L47" s="554" t="str">
        <f>_xll.DBRA(Server&amp;$B$32,$B47,$N$19)</f>
        <v>Operating grants (guaranteed and variable)</v>
      </c>
      <c r="M47" s="554"/>
      <c r="N47" s="554"/>
      <c r="O47" s="554"/>
      <c r="P47" s="146"/>
      <c r="Q47" s="215">
        <f>_xll.DBRW(Server&amp;Cube1,$N$15,$N$16,$N$17,$N$18,$N$14,$N$13,$N$11,$Q$1,$B47)</f>
        <v>179981946.87999997</v>
      </c>
      <c r="R47" s="215">
        <f>_xll.DBRW(Server&amp;Cube1,$N$15,$N$16,$N$17,$N$18,$N$14,$N$13,$R$2,$R$1,$B47)</f>
        <v>0</v>
      </c>
      <c r="S47" s="216">
        <f t="shared" si="3"/>
        <v>179981946.87999997</v>
      </c>
      <c r="T47" s="217">
        <f t="shared" si="0"/>
        <v>0</v>
      </c>
      <c r="U47" s="218"/>
      <c r="V47" s="215">
        <f>_xll.DBRW(Server&amp;Cube1,$N$15,$N$16,$N$17,$N$18,$N$14,$N$13,$V$2,$V$1,$B47)</f>
        <v>1907233742.3976014</v>
      </c>
      <c r="W47" s="216">
        <f t="shared" si="1"/>
        <v>-1727251795.5176015</v>
      </c>
      <c r="X47" s="217">
        <f t="shared" si="2"/>
        <v>-0.90563194071129272</v>
      </c>
      <c r="Y47" s="55"/>
      <c r="Z47" s="55"/>
      <c r="AA47" s="55"/>
      <c r="AB47" s="215">
        <f>_xll.DBRW(Server&amp;Cube1,$N$15,$N$16,$N$17,$N$18,$N$14,$N$13,AB$2,AB$1,$B47)</f>
        <v>0</v>
      </c>
      <c r="AC47" s="215">
        <f>_xll.DBRW(Server&amp;Cube1,$N$15,$N$16,$N$17,$N$18,$N$14,$N$13,AC$2,AC$1,$B47)</f>
        <v>0</v>
      </c>
      <c r="AD47" s="215">
        <f>_xll.DBRW(Server&amp;Cube1,$N$15,$N$16,$N$17,$N$18,$N$14,$N$13,AD$2,AD$1,$B47)</f>
        <v>216423449.92990732</v>
      </c>
      <c r="AE47" s="32"/>
      <c r="AF47" s="215">
        <f>_xll.DBRW(Server&amp;Cube1,$N$15,$N$16,$N$17,$N$18,$N$14,$N$13,AF$2,AF$1,$B47)</f>
        <v>0</v>
      </c>
      <c r="AG47" s="215">
        <f>_xll.DBRW(Server&amp;Cube1,$N$15,$N$16,$N$17,$N$18,$N$14,$N$13,AG$2,AG$1,$B47)</f>
        <v>0</v>
      </c>
      <c r="AH47" s="215">
        <f>_xll.DBRW(Server&amp;Cube1,$N$15,$N$16,$N$17,$N$18,$N$14,$N$13,AH$2,AH$1,$B47)</f>
        <v>216736551.15729925</v>
      </c>
      <c r="AI47" s="32"/>
      <c r="AJ47" s="215">
        <f>_xll.DBRW(Server&amp;Cube1,$N$15,$N$16,$N$17,$N$18,$N$14,$N$13,AJ$2,AJ$1,$B47)</f>
        <v>0</v>
      </c>
      <c r="AK47" s="215">
        <f>_xll.DBRW(Server&amp;Cube1,$N$15,$N$16,$N$17,$N$18,$N$14,$N$13,AK$2,AK$1,$B47)</f>
        <v>0</v>
      </c>
      <c r="AL47" s="215">
        <f>_xll.DBRW(Server&amp;Cube1,$N$15,$N$16,$N$17,$N$18,$N$14,$N$13,AL$2,AL$1,$B47)</f>
        <v>219211616.92671055</v>
      </c>
      <c r="AM47" s="32"/>
      <c r="AN47" s="215">
        <f>_xll.DBRW(Server&amp;Cube1,$N$15,$N$16,$N$17,$N$18,$N$14,$N$13,AN$2,AN$1,$B47)</f>
        <v>0</v>
      </c>
      <c r="AO47" s="215">
        <f>_xll.DBRW(Server&amp;Cube1,$N$15,$N$16,$N$17,$N$18,$N$14,$N$13,AO$2,AO$1,$B47)</f>
        <v>0</v>
      </c>
      <c r="AP47" s="215">
        <f>_xll.DBRW(Server&amp;Cube1,$N$15,$N$16,$N$17,$N$18,$N$14,$N$13,AP$2,AP$1,$B47)</f>
        <v>233928358.66030875</v>
      </c>
      <c r="AQ47" s="32"/>
      <c r="AR47" s="215">
        <f>_xll.DBRW(Server&amp;Cube1,$N$15,$N$16,$N$17,$N$18,$N$14,$N$13,AR$2,AR$1,$B47)</f>
        <v>0</v>
      </c>
      <c r="AS47" s="215">
        <f>_xll.DBRW(Server&amp;Cube1,$N$15,$N$16,$N$17,$N$18,$N$14,$N$13,AS$2,AS$1,$B47)</f>
        <v>0</v>
      </c>
      <c r="AT47" s="215">
        <f>_xll.DBRW(Server&amp;Cube1,$N$15,$N$16,$N$17,$N$18,$N$14,$N$13,AT$2,AT$1,$B47)</f>
        <v>206931231.96017605</v>
      </c>
      <c r="AU47" s="32"/>
      <c r="AV47" s="215">
        <f>_xll.DBRW(Server&amp;Cube1,$N$15,$N$16,$N$17,$N$18,$N$14,$N$13,AV$2,AV$1,$B47)</f>
        <v>0</v>
      </c>
      <c r="AW47" s="215">
        <f>_xll.DBRW(Server&amp;Cube1,$N$15,$N$16,$N$17,$N$18,$N$14,$N$13,AW$2,AW$1,$B47)</f>
        <v>0</v>
      </c>
      <c r="AX47" s="215">
        <f>_xll.DBRW(Server&amp;Cube1,$N$15,$N$16,$N$17,$N$18,$N$14,$N$13,AX$2,AX$1,$B47)</f>
        <v>253596184.6185911</v>
      </c>
      <c r="AY47" s="32"/>
      <c r="AZ47" s="215">
        <f>_xll.DBRW(Server&amp;Cube1,$N$15,$N$16,$N$17,$N$18,$N$14,$N$13,AZ$2,AZ$1,$B47)</f>
        <v>0</v>
      </c>
      <c r="BA47" s="215">
        <f>_xll.DBRW(Server&amp;Cube1,$N$15,$N$16,$N$17,$N$18,$N$14,$N$13,BA$2,BA$1,$B47)</f>
        <v>0</v>
      </c>
      <c r="BB47" s="215">
        <f>_xll.DBRW(Server&amp;Cube1,$N$15,$N$16,$N$17,$N$18,$N$14,$N$13,BB$2,BB$1,$B47)</f>
        <v>127168558.21961886</v>
      </c>
      <c r="BC47" s="32"/>
      <c r="BD47" s="215">
        <f>_xll.DBRW(Server&amp;Cube1,$N$15,$N$16,$N$17,$N$18,$N$14,$N$13,BD$2,BD$1,$B47)</f>
        <v>179981946.87999997</v>
      </c>
      <c r="BE47" s="215">
        <f>_xll.DBRW(Server&amp;Cube1,$N$15,$N$16,$N$17,$N$18,$N$14,$N$13,BE$2,BE$1,$B47)</f>
        <v>0</v>
      </c>
      <c r="BF47" s="215">
        <f>_xll.DBRW(Server&amp;Cube1,$N$15,$N$16,$N$17,$N$18,$N$14,$N$13,BF$2,BF$1,$B47)</f>
        <v>433237790.92498952</v>
      </c>
      <c r="BG47" s="32"/>
      <c r="BH47" s="215">
        <f>_xll.DBRW(Server&amp;Cube1,$N$15,$N$16,$N$17,$N$18,$N$14,$N$13,BH$2,BH$1,$B47)</f>
        <v>0</v>
      </c>
      <c r="BI47" s="215">
        <f>_xll.DBRW(Server&amp;Cube1,$N$15,$N$16,$N$17,$N$18,$N$14,$N$13,BI$2,BI$1,$B47)</f>
        <v>0</v>
      </c>
      <c r="BJ47" s="215">
        <f>_xll.DBRW(Server&amp;Cube1,$N$15,$N$16,$N$17,$N$18,$N$14,$N$13,BJ$2,BJ$1,$B47)</f>
        <v>231834773.28085351</v>
      </c>
      <c r="BK47" s="32"/>
      <c r="BL47" s="215">
        <f>_xll.DBRW(Server&amp;Cube1,$N$15,$N$16,$N$17,$N$18,$N$14,$N$13,BL$2,BL$1,$B47)</f>
        <v>0</v>
      </c>
      <c r="BM47" s="215">
        <f>_xll.DBRW(Server&amp;Cube1,$N$15,$N$16,$N$17,$N$18,$N$14,$N$13,BM$2,BM$1,$B47)</f>
        <v>0</v>
      </c>
      <c r="BN47" s="215">
        <f>_xll.DBRW(Server&amp;Cube1,$N$15,$N$16,$N$17,$N$18,$N$14,$N$13,BN$2,BN$1,$B47)</f>
        <v>134438985.63232005</v>
      </c>
      <c r="BO47" s="32"/>
      <c r="BP47" s="215">
        <f>_xll.DBRW(Server&amp;Cube1,$N$15,$N$16,$N$17,$N$18,$N$14,$N$13,BP$2,BP$1,$B47)</f>
        <v>0</v>
      </c>
      <c r="BQ47" s="215">
        <f>_xll.DBRW(Server&amp;Cube1,$N$15,$N$16,$N$17,$N$18,$N$14,$N$13,BQ$2,BQ$1,$B47)</f>
        <v>0</v>
      </c>
      <c r="BR47" s="215">
        <f>_xll.DBRW(Server&amp;Cube1,$N$15,$N$16,$N$17,$N$18,$N$14,$N$13,BR$2,BR$1,$B47)</f>
        <v>501005853.59003025</v>
      </c>
      <c r="BS47" s="32"/>
      <c r="BT47" s="215">
        <f>_xll.DBRW(Server&amp;Cube1,$N$15,$N$16,$N$17,$N$18,$N$14,$N$13,BT$2,BT$1,$B47)</f>
        <v>0</v>
      </c>
      <c r="BU47" s="215">
        <f>_xll.DBRW(Server&amp;Cube1,$N$15,$N$16,$N$17,$N$18,$N$14,$N$13,BU$2,BU$1,$B47)</f>
        <v>0</v>
      </c>
      <c r="BV47" s="215">
        <f>_xll.DBRW(Server&amp;Cube1,$N$15,$N$16,$N$17,$N$18,$N$14,$N$13,BV$2,BV$1,$B47)</f>
        <v>248184886.68129131</v>
      </c>
      <c r="BW47" s="55"/>
      <c r="BX47" s="28"/>
    </row>
    <row r="48" spans="1:78" ht="21" hidden="1" customHeight="1" outlineLevel="1" x14ac:dyDescent="0.6">
      <c r="A48" s="52"/>
      <c r="B48" s="56" t="s">
        <v>240</v>
      </c>
      <c r="D48" s="51"/>
      <c r="E48" s="51"/>
      <c r="I48" s="68"/>
      <c r="J48" s="53"/>
      <c r="K48" s="35"/>
      <c r="L48" s="552" t="str">
        <f>_xll.DBRA(Server&amp;$B$32,$B48,$N$19)</f>
        <v>Adjusted revenues from previous periods</v>
      </c>
      <c r="M48" s="552"/>
      <c r="N48" s="552"/>
      <c r="O48" s="552"/>
      <c r="P48" s="146"/>
      <c r="Q48" s="215">
        <f>_xll.DBRW(Server&amp;Cube1,$N$15,$N$16,$N$17,$N$18,$N$14,$N$13,$N$11,$Q$1,$B48)</f>
        <v>0</v>
      </c>
      <c r="R48" s="215">
        <f>_xll.DBRW(Server&amp;Cube1,$N$15,$N$16,$N$17,$N$18,$N$14,$N$13,$R$2,$R$1,$B48)</f>
        <v>0</v>
      </c>
      <c r="S48" s="216">
        <f t="shared" si="3"/>
        <v>0</v>
      </c>
      <c r="T48" s="217">
        <f t="shared" si="0"/>
        <v>0</v>
      </c>
      <c r="U48" s="218"/>
      <c r="V48" s="215">
        <f>_xll.DBRW(Server&amp;Cube1,$N$15,$N$16,$N$17,$N$18,$N$14,$N$13,$V$2,$V$1,$B48)</f>
        <v>0</v>
      </c>
      <c r="W48" s="216">
        <f t="shared" si="1"/>
        <v>0</v>
      </c>
      <c r="X48" s="217">
        <f t="shared" si="2"/>
        <v>0</v>
      </c>
      <c r="Y48" s="55"/>
      <c r="Z48" s="55"/>
      <c r="AA48" s="55"/>
      <c r="AB48" s="215">
        <f>_xll.DBRW(Server&amp;Cube1,$N$15,$N$16,$N$17,$N$18,$N$14,$N$13,AB$2,AB$1,$B48)</f>
        <v>0</v>
      </c>
      <c r="AC48" s="215">
        <f>_xll.DBRW(Server&amp;Cube1,$N$15,$N$16,$N$17,$N$18,$N$14,$N$13,AC$2,AC$1,$B48)</f>
        <v>0</v>
      </c>
      <c r="AD48" s="215">
        <f>_xll.DBRW(Server&amp;Cube1,$N$15,$N$16,$N$17,$N$18,$N$14,$N$13,AD$2,AD$1,$B48)</f>
        <v>420645</v>
      </c>
      <c r="AE48" s="32"/>
      <c r="AF48" s="215">
        <f>_xll.DBRW(Server&amp;Cube1,$N$15,$N$16,$N$17,$N$18,$N$14,$N$13,AF$2,AF$1,$B48)</f>
        <v>0</v>
      </c>
      <c r="AG48" s="215">
        <f>_xll.DBRW(Server&amp;Cube1,$N$15,$N$16,$N$17,$N$18,$N$14,$N$13,AG$2,AG$1,$B48)</f>
        <v>0</v>
      </c>
      <c r="AH48" s="215">
        <f>_xll.DBRW(Server&amp;Cube1,$N$15,$N$16,$N$17,$N$18,$N$14,$N$13,AH$2,AH$1,$B48)</f>
        <v>-420645</v>
      </c>
      <c r="AI48" s="32"/>
      <c r="AJ48" s="215">
        <f>_xll.DBRW(Server&amp;Cube1,$N$15,$N$16,$N$17,$N$18,$N$14,$N$13,AJ$2,AJ$1,$B48)</f>
        <v>0</v>
      </c>
      <c r="AK48" s="215">
        <f>_xll.DBRW(Server&amp;Cube1,$N$15,$N$16,$N$17,$N$18,$N$14,$N$13,AK$2,AK$1,$B48)</f>
        <v>0</v>
      </c>
      <c r="AL48" s="215">
        <f>_xll.DBRW(Server&amp;Cube1,$N$15,$N$16,$N$17,$N$18,$N$14,$N$13,AL$2,AL$1,$B48)</f>
        <v>0</v>
      </c>
      <c r="AM48" s="32"/>
      <c r="AN48" s="215">
        <f>_xll.DBRW(Server&amp;Cube1,$N$15,$N$16,$N$17,$N$18,$N$14,$N$13,AN$2,AN$1,$B48)</f>
        <v>0</v>
      </c>
      <c r="AO48" s="215">
        <f>_xll.DBRW(Server&amp;Cube1,$N$15,$N$16,$N$17,$N$18,$N$14,$N$13,AO$2,AO$1,$B48)</f>
        <v>0</v>
      </c>
      <c r="AP48" s="215">
        <f>_xll.DBRW(Server&amp;Cube1,$N$15,$N$16,$N$17,$N$18,$N$14,$N$13,AP$2,AP$1,$B48)</f>
        <v>0</v>
      </c>
      <c r="AQ48" s="32"/>
      <c r="AR48" s="215">
        <f>_xll.DBRW(Server&amp;Cube1,$N$15,$N$16,$N$17,$N$18,$N$14,$N$13,AR$2,AR$1,$B48)</f>
        <v>0</v>
      </c>
      <c r="AS48" s="215">
        <f>_xll.DBRW(Server&amp;Cube1,$N$15,$N$16,$N$17,$N$18,$N$14,$N$13,AS$2,AS$1,$B48)</f>
        <v>0</v>
      </c>
      <c r="AT48" s="215">
        <f>_xll.DBRW(Server&amp;Cube1,$N$15,$N$16,$N$17,$N$18,$N$14,$N$13,AT$2,AT$1,$B48)</f>
        <v>0</v>
      </c>
      <c r="AU48" s="32"/>
      <c r="AV48" s="215">
        <f>_xll.DBRW(Server&amp;Cube1,$N$15,$N$16,$N$17,$N$18,$N$14,$N$13,AV$2,AV$1,$B48)</f>
        <v>0</v>
      </c>
      <c r="AW48" s="215">
        <f>_xll.DBRW(Server&amp;Cube1,$N$15,$N$16,$N$17,$N$18,$N$14,$N$13,AW$2,AW$1,$B48)</f>
        <v>0</v>
      </c>
      <c r="AX48" s="215">
        <f>_xll.DBRW(Server&amp;Cube1,$N$15,$N$16,$N$17,$N$18,$N$14,$N$13,AX$2,AX$1,$B48)</f>
        <v>0</v>
      </c>
      <c r="AY48" s="32"/>
      <c r="AZ48" s="215">
        <f>_xll.DBRW(Server&amp;Cube1,$N$15,$N$16,$N$17,$N$18,$N$14,$N$13,AZ$2,AZ$1,$B48)</f>
        <v>0</v>
      </c>
      <c r="BA48" s="215">
        <f>_xll.DBRW(Server&amp;Cube1,$N$15,$N$16,$N$17,$N$18,$N$14,$N$13,BA$2,BA$1,$B48)</f>
        <v>0</v>
      </c>
      <c r="BB48" s="215">
        <f>_xll.DBRW(Server&amp;Cube1,$N$15,$N$16,$N$17,$N$18,$N$14,$N$13,BB$2,BB$1,$B48)</f>
        <v>0</v>
      </c>
      <c r="BC48" s="32"/>
      <c r="BD48" s="215">
        <f>_xll.DBRW(Server&amp;Cube1,$N$15,$N$16,$N$17,$N$18,$N$14,$N$13,BD$2,BD$1,$B48)</f>
        <v>0</v>
      </c>
      <c r="BE48" s="215">
        <f>_xll.DBRW(Server&amp;Cube1,$N$15,$N$16,$N$17,$N$18,$N$14,$N$13,BE$2,BE$1,$B48)</f>
        <v>0</v>
      </c>
      <c r="BF48" s="215">
        <f>_xll.DBRW(Server&amp;Cube1,$N$15,$N$16,$N$17,$N$18,$N$14,$N$13,BF$2,BF$1,$B48)</f>
        <v>0</v>
      </c>
      <c r="BG48" s="32"/>
      <c r="BH48" s="215">
        <f>_xll.DBRW(Server&amp;Cube1,$N$15,$N$16,$N$17,$N$18,$N$14,$N$13,BH$2,BH$1,$B48)</f>
        <v>0</v>
      </c>
      <c r="BI48" s="215">
        <f>_xll.DBRW(Server&amp;Cube1,$N$15,$N$16,$N$17,$N$18,$N$14,$N$13,BI$2,BI$1,$B48)</f>
        <v>0</v>
      </c>
      <c r="BJ48" s="215">
        <f>_xll.DBRW(Server&amp;Cube1,$N$15,$N$16,$N$17,$N$18,$N$14,$N$13,BJ$2,BJ$1,$B48)</f>
        <v>0</v>
      </c>
      <c r="BK48" s="32"/>
      <c r="BL48" s="215">
        <f>_xll.DBRW(Server&amp;Cube1,$N$15,$N$16,$N$17,$N$18,$N$14,$N$13,BL$2,BL$1,$B48)</f>
        <v>0</v>
      </c>
      <c r="BM48" s="215">
        <f>_xll.DBRW(Server&amp;Cube1,$N$15,$N$16,$N$17,$N$18,$N$14,$N$13,BM$2,BM$1,$B48)</f>
        <v>0</v>
      </c>
      <c r="BN48" s="215">
        <f>_xll.DBRW(Server&amp;Cube1,$N$15,$N$16,$N$17,$N$18,$N$14,$N$13,BN$2,BN$1,$B48)</f>
        <v>0</v>
      </c>
      <c r="BO48" s="32"/>
      <c r="BP48" s="215">
        <f>_xll.DBRW(Server&amp;Cube1,$N$15,$N$16,$N$17,$N$18,$N$14,$N$13,BP$2,BP$1,$B48)</f>
        <v>0</v>
      </c>
      <c r="BQ48" s="215">
        <f>_xll.DBRW(Server&amp;Cube1,$N$15,$N$16,$N$17,$N$18,$N$14,$N$13,BQ$2,BQ$1,$B48)</f>
        <v>0</v>
      </c>
      <c r="BR48" s="215">
        <f>_xll.DBRW(Server&amp;Cube1,$N$15,$N$16,$N$17,$N$18,$N$14,$N$13,BR$2,BR$1,$B48)</f>
        <v>0</v>
      </c>
      <c r="BS48" s="32"/>
      <c r="BT48" s="215">
        <f>_xll.DBRW(Server&amp;Cube1,$N$15,$N$16,$N$17,$N$18,$N$14,$N$13,BT$2,BT$1,$B48)</f>
        <v>0</v>
      </c>
      <c r="BU48" s="215">
        <f>_xll.DBRW(Server&amp;Cube1,$N$15,$N$16,$N$17,$N$18,$N$14,$N$13,BU$2,BU$1,$B48)</f>
        <v>0</v>
      </c>
      <c r="BV48" s="215">
        <f>_xll.DBRW(Server&amp;Cube1,$N$15,$N$16,$N$17,$N$18,$N$14,$N$13,BV$2,BV$1,$B48)</f>
        <v>808100</v>
      </c>
      <c r="BW48" s="55"/>
      <c r="BX48" s="28"/>
    </row>
    <row r="49" spans="1:78" ht="21" hidden="1" customHeight="1" outlineLevel="1" x14ac:dyDescent="0.6">
      <c r="A49" s="52"/>
      <c r="B49" s="56" t="s">
        <v>241</v>
      </c>
      <c r="D49" s="51"/>
      <c r="E49" s="51"/>
      <c r="I49" s="68"/>
      <c r="J49" s="53"/>
      <c r="K49" s="35"/>
      <c r="L49" s="552" t="str">
        <f>_xll.DBRA(Server&amp;$B$32,$B49,$N$19)</f>
        <v>Additional Revenues</v>
      </c>
      <c r="M49" s="552"/>
      <c r="N49" s="552"/>
      <c r="O49" s="552"/>
      <c r="P49" s="146"/>
      <c r="Q49" s="215">
        <f>_xll.DBRW(Server&amp;Cube1,$N$15,$N$16,$N$17,$N$18,$N$14,$N$13,$N$11,$Q$1,$B49)</f>
        <v>0</v>
      </c>
      <c r="R49" s="215">
        <f>_xll.DBRW(Server&amp;Cube1,$N$15,$N$16,$N$17,$N$18,$N$14,$N$13,$R$2,$R$1,$B49)</f>
        <v>0</v>
      </c>
      <c r="S49" s="216">
        <f t="shared" si="3"/>
        <v>0</v>
      </c>
      <c r="T49" s="217">
        <f t="shared" si="0"/>
        <v>0</v>
      </c>
      <c r="U49" s="218"/>
      <c r="V49" s="215">
        <f>_xll.DBRW(Server&amp;Cube1,$N$15,$N$16,$N$17,$N$18,$N$14,$N$13,$V$2,$V$1,$B49)</f>
        <v>-2932375.68</v>
      </c>
      <c r="W49" s="216">
        <f t="shared" si="1"/>
        <v>2932375.68</v>
      </c>
      <c r="X49" s="217">
        <f t="shared" si="2"/>
        <v>1</v>
      </c>
      <c r="Y49" s="55"/>
      <c r="Z49" s="55"/>
      <c r="AA49" s="55"/>
      <c r="AB49" s="215">
        <f>_xll.DBRW(Server&amp;Cube1,$N$15,$N$16,$N$17,$N$18,$N$14,$N$13,AB$2,AB$1,$B49)</f>
        <v>0</v>
      </c>
      <c r="AC49" s="215">
        <f>_xll.DBRW(Server&amp;Cube1,$N$15,$N$16,$N$17,$N$18,$N$14,$N$13,AC$2,AC$1,$B49)</f>
        <v>0</v>
      </c>
      <c r="AD49" s="215">
        <f>_xll.DBRW(Server&amp;Cube1,$N$15,$N$16,$N$17,$N$18,$N$14,$N$13,AD$2,AD$1,$B49)</f>
        <v>-309489.12</v>
      </c>
      <c r="AE49" s="32"/>
      <c r="AF49" s="215">
        <f>_xll.DBRW(Server&amp;Cube1,$N$15,$N$16,$N$17,$N$18,$N$14,$N$13,AF$2,AF$1,$B49)</f>
        <v>0</v>
      </c>
      <c r="AG49" s="215">
        <f>_xll.DBRW(Server&amp;Cube1,$N$15,$N$16,$N$17,$N$18,$N$14,$N$13,AG$2,AG$1,$B49)</f>
        <v>0</v>
      </c>
      <c r="AH49" s="215">
        <f>_xll.DBRW(Server&amp;Cube1,$N$15,$N$16,$N$17,$N$18,$N$14,$N$13,AH$2,AH$1,$B49)</f>
        <v>-319825.84000000008</v>
      </c>
      <c r="AI49" s="32"/>
      <c r="AJ49" s="215">
        <f>_xll.DBRW(Server&amp;Cube1,$N$15,$N$16,$N$17,$N$18,$N$14,$N$13,AJ$2,AJ$1,$B49)</f>
        <v>0</v>
      </c>
      <c r="AK49" s="215">
        <f>_xll.DBRW(Server&amp;Cube1,$N$15,$N$16,$N$17,$N$18,$N$14,$N$13,AK$2,AK$1,$B49)</f>
        <v>0</v>
      </c>
      <c r="AL49" s="215">
        <f>_xll.DBRW(Server&amp;Cube1,$N$15,$N$16,$N$17,$N$18,$N$14,$N$13,AL$2,AL$1,$B49)</f>
        <v>-350788.84000000008</v>
      </c>
      <c r="AM49" s="32"/>
      <c r="AN49" s="215">
        <f>_xll.DBRW(Server&amp;Cube1,$N$15,$N$16,$N$17,$N$18,$N$14,$N$13,AN$2,AN$1,$B49)</f>
        <v>0</v>
      </c>
      <c r="AO49" s="215">
        <f>_xll.DBRW(Server&amp;Cube1,$N$15,$N$16,$N$17,$N$18,$N$14,$N$13,AO$2,AO$1,$B49)</f>
        <v>0</v>
      </c>
      <c r="AP49" s="215">
        <f>_xll.DBRW(Server&amp;Cube1,$N$15,$N$16,$N$17,$N$18,$N$14,$N$13,AP$2,AP$1,$B49)</f>
        <v>-135315</v>
      </c>
      <c r="AQ49" s="32"/>
      <c r="AR49" s="215">
        <f>_xll.DBRW(Server&amp;Cube1,$N$15,$N$16,$N$17,$N$18,$N$14,$N$13,AR$2,AR$1,$B49)</f>
        <v>0</v>
      </c>
      <c r="AS49" s="215">
        <f>_xll.DBRW(Server&amp;Cube1,$N$15,$N$16,$N$17,$N$18,$N$14,$N$13,AS$2,AS$1,$B49)</f>
        <v>0</v>
      </c>
      <c r="AT49" s="215">
        <f>_xll.DBRW(Server&amp;Cube1,$N$15,$N$16,$N$17,$N$18,$N$14,$N$13,AT$2,AT$1,$B49)</f>
        <v>-354902.83999999997</v>
      </c>
      <c r="AU49" s="32"/>
      <c r="AV49" s="215">
        <f>_xll.DBRW(Server&amp;Cube1,$N$15,$N$16,$N$17,$N$18,$N$14,$N$13,AV$2,AV$1,$B49)</f>
        <v>0</v>
      </c>
      <c r="AW49" s="215">
        <f>_xll.DBRW(Server&amp;Cube1,$N$15,$N$16,$N$17,$N$18,$N$14,$N$13,AW$2,AW$1,$B49)</f>
        <v>0</v>
      </c>
      <c r="AX49" s="215">
        <f>_xll.DBRW(Server&amp;Cube1,$N$15,$N$16,$N$17,$N$18,$N$14,$N$13,AX$2,AX$1,$B49)</f>
        <v>-754312.87</v>
      </c>
      <c r="AY49" s="32"/>
      <c r="AZ49" s="215">
        <f>_xll.DBRW(Server&amp;Cube1,$N$15,$N$16,$N$17,$N$18,$N$14,$N$13,AZ$2,AZ$1,$B49)</f>
        <v>0</v>
      </c>
      <c r="BA49" s="215">
        <f>_xll.DBRW(Server&amp;Cube1,$N$15,$N$16,$N$17,$N$18,$N$14,$N$13,BA$2,BA$1,$B49)</f>
        <v>0</v>
      </c>
      <c r="BB49" s="215">
        <f>_xll.DBRW(Server&amp;Cube1,$N$15,$N$16,$N$17,$N$18,$N$14,$N$13,BB$2,BB$1,$B49)</f>
        <v>-336252.87</v>
      </c>
      <c r="BC49" s="32"/>
      <c r="BD49" s="215">
        <f>_xll.DBRW(Server&amp;Cube1,$N$15,$N$16,$N$17,$N$18,$N$14,$N$13,BD$2,BD$1,$B49)</f>
        <v>0</v>
      </c>
      <c r="BE49" s="215">
        <f>_xll.DBRW(Server&amp;Cube1,$N$15,$N$16,$N$17,$N$18,$N$14,$N$13,BE$2,BE$1,$B49)</f>
        <v>0</v>
      </c>
      <c r="BF49" s="215">
        <f>_xll.DBRW(Server&amp;Cube1,$N$15,$N$16,$N$17,$N$18,$N$14,$N$13,BF$2,BF$1,$B49)</f>
        <v>-371488.29999999993</v>
      </c>
      <c r="BG49" s="32"/>
      <c r="BH49" s="215">
        <f>_xll.DBRW(Server&amp;Cube1,$N$15,$N$16,$N$17,$N$18,$N$14,$N$13,BH$2,BH$1,$B49)</f>
        <v>0</v>
      </c>
      <c r="BI49" s="215">
        <f>_xll.DBRW(Server&amp;Cube1,$N$15,$N$16,$N$17,$N$18,$N$14,$N$13,BI$2,BI$1,$B49)</f>
        <v>0</v>
      </c>
      <c r="BJ49" s="215">
        <f>_xll.DBRW(Server&amp;Cube1,$N$15,$N$16,$N$17,$N$18,$N$14,$N$13,BJ$2,BJ$1,$B49)</f>
        <v>-373514.30000000028</v>
      </c>
      <c r="BK49" s="32"/>
      <c r="BL49" s="215">
        <f>_xll.DBRW(Server&amp;Cube1,$N$15,$N$16,$N$17,$N$18,$N$14,$N$13,BL$2,BL$1,$B49)</f>
        <v>0</v>
      </c>
      <c r="BM49" s="215">
        <f>_xll.DBRW(Server&amp;Cube1,$N$15,$N$16,$N$17,$N$18,$N$14,$N$13,BM$2,BM$1,$B49)</f>
        <v>0</v>
      </c>
      <c r="BN49" s="215">
        <f>_xll.DBRW(Server&amp;Cube1,$N$15,$N$16,$N$17,$N$18,$N$14,$N$13,BN$2,BN$1,$B49)</f>
        <v>-375690.96999999939</v>
      </c>
      <c r="BO49" s="32"/>
      <c r="BP49" s="215">
        <f>_xll.DBRW(Server&amp;Cube1,$N$15,$N$16,$N$17,$N$18,$N$14,$N$13,BP$2,BP$1,$B49)</f>
        <v>0</v>
      </c>
      <c r="BQ49" s="215">
        <f>_xll.DBRW(Server&amp;Cube1,$N$15,$N$16,$N$17,$N$18,$N$14,$N$13,BQ$2,BQ$1,$B49)</f>
        <v>0</v>
      </c>
      <c r="BR49" s="215">
        <f>_xll.DBRW(Server&amp;Cube1,$N$15,$N$16,$N$17,$N$18,$N$14,$N$13,BR$2,BR$1,$B49)</f>
        <v>-378025.66999999993</v>
      </c>
      <c r="BS49" s="32"/>
      <c r="BT49" s="215">
        <f>_xll.DBRW(Server&amp;Cube1,$N$15,$N$16,$N$17,$N$18,$N$14,$N$13,BT$2,BT$1,$B49)</f>
        <v>0</v>
      </c>
      <c r="BU49" s="215">
        <f>_xll.DBRW(Server&amp;Cube1,$N$15,$N$16,$N$17,$N$18,$N$14,$N$13,BU$2,BU$1,$B49)</f>
        <v>0</v>
      </c>
      <c r="BV49" s="215">
        <f>_xll.DBRW(Server&amp;Cube1,$N$15,$N$16,$N$17,$N$18,$N$14,$N$13,BV$2,BV$1,$B49)</f>
        <v>-571641.8200000003</v>
      </c>
      <c r="BW49" s="55"/>
      <c r="BX49" s="28"/>
    </row>
    <row r="50" spans="1:78" ht="23.25" hidden="1" customHeight="1" outlineLevel="1" x14ac:dyDescent="0.6">
      <c r="A50" s="52"/>
      <c r="B50" s="54" t="s">
        <v>14</v>
      </c>
      <c r="D50" s="51"/>
      <c r="E50" s="51"/>
      <c r="H50" s="54"/>
      <c r="I50" s="68"/>
      <c r="J50" s="53"/>
      <c r="K50" s="35"/>
      <c r="L50" s="552" t="str">
        <f>_xll.DBRA(Server&amp;$B$32,$B50,$N$19)</f>
        <v>Subcontracted transport</v>
      </c>
      <c r="M50" s="552"/>
      <c r="N50" s="552"/>
      <c r="O50" s="552"/>
      <c r="P50" s="112" t="s">
        <v>13</v>
      </c>
      <c r="Q50" s="229">
        <f>_xll.DBRW(Server&amp;Cube1,$N$15,$N$16,$N$17,$N$18,$N$14,$N$13,$N$11,$Q$1,$B50)</f>
        <v>-47377483.589999989</v>
      </c>
      <c r="R50" s="229">
        <f>_xll.DBRW(Server&amp;Cube1,$N$15,$N$16,$N$17,$N$18,$N$14,$N$13,$R$2,$R$1,$B50)</f>
        <v>0</v>
      </c>
      <c r="S50" s="230">
        <f t="shared" si="3"/>
        <v>-47377483.589999989</v>
      </c>
      <c r="T50" s="231">
        <f t="shared" si="0"/>
        <v>0</v>
      </c>
      <c r="U50" s="218"/>
      <c r="V50" s="229">
        <f>_xll.DBRW(Server&amp;Cube1,$N$15,$N$16,$N$17,$N$18,$N$14,$N$13,$V$2,$V$1,$B50)</f>
        <v>-1636625358.8000002</v>
      </c>
      <c r="W50" s="230">
        <f t="shared" si="1"/>
        <v>1589247875.2100003</v>
      </c>
      <c r="X50" s="231">
        <f t="shared" si="2"/>
        <v>0.9710517233921282</v>
      </c>
      <c r="Y50" s="55"/>
      <c r="Z50" s="55"/>
      <c r="AA50" s="55"/>
      <c r="AB50" s="229">
        <f>_xll.DBRW(Server&amp;Cube1,$N$15,$N$16,$N$17,$N$18,$N$14,$N$13,AB$2,AB$1,$B50)</f>
        <v>0</v>
      </c>
      <c r="AC50" s="229">
        <f>_xll.DBRW(Server&amp;Cube1,$N$15,$N$16,$N$17,$N$18,$N$14,$N$13,AC$2,AC$1,$B50)</f>
        <v>0</v>
      </c>
      <c r="AD50" s="229">
        <f>_xll.DBRW(Server&amp;Cube1,$N$15,$N$16,$N$17,$N$18,$N$14,$N$13,AD$2,AD$1,$B50)</f>
        <v>-25096853.280000001</v>
      </c>
      <c r="AE50" s="32"/>
      <c r="AF50" s="229">
        <f>_xll.DBRW(Server&amp;Cube1,$N$15,$N$16,$N$17,$N$18,$N$14,$N$13,AF$2,AF$1,$B50)</f>
        <v>0</v>
      </c>
      <c r="AG50" s="229">
        <f>_xll.DBRW(Server&amp;Cube1,$N$15,$N$16,$N$17,$N$18,$N$14,$N$13,AG$2,AG$1,$B50)</f>
        <v>0</v>
      </c>
      <c r="AH50" s="229">
        <f>_xll.DBRW(Server&amp;Cube1,$N$15,$N$16,$N$17,$N$18,$N$14,$N$13,AH$2,AH$1,$B50)</f>
        <v>-236839704.75</v>
      </c>
      <c r="AI50" s="32"/>
      <c r="AJ50" s="229">
        <f>_xll.DBRW(Server&amp;Cube1,$N$15,$N$16,$N$17,$N$18,$N$14,$N$13,AJ$2,AJ$1,$B50)</f>
        <v>0</v>
      </c>
      <c r="AK50" s="229">
        <f>_xll.DBRW(Server&amp;Cube1,$N$15,$N$16,$N$17,$N$18,$N$14,$N$13,AK$2,AK$1,$B50)</f>
        <v>0</v>
      </c>
      <c r="AL50" s="229">
        <f>_xll.DBRW(Server&amp;Cube1,$N$15,$N$16,$N$17,$N$18,$N$14,$N$13,AL$2,AL$1,$B50)</f>
        <v>-151005747.94</v>
      </c>
      <c r="AM50" s="32"/>
      <c r="AN50" s="229">
        <f>_xll.DBRW(Server&amp;Cube1,$N$15,$N$16,$N$17,$N$18,$N$14,$N$13,AN$2,AN$1,$B50)</f>
        <v>0</v>
      </c>
      <c r="AO50" s="229">
        <f>_xll.DBRW(Server&amp;Cube1,$N$15,$N$16,$N$17,$N$18,$N$14,$N$13,AO$2,AO$1,$B50)</f>
        <v>0</v>
      </c>
      <c r="AP50" s="229">
        <f>_xll.DBRW(Server&amp;Cube1,$N$15,$N$16,$N$17,$N$18,$N$14,$N$13,AP$2,AP$1,$B50)</f>
        <v>-131418684.30999996</v>
      </c>
      <c r="AQ50" s="32"/>
      <c r="AR50" s="229">
        <f>_xll.DBRW(Server&amp;Cube1,$N$15,$N$16,$N$17,$N$18,$N$14,$N$13,AR$2,AR$1,$B50)</f>
        <v>0</v>
      </c>
      <c r="AS50" s="229">
        <f>_xll.DBRW(Server&amp;Cube1,$N$15,$N$16,$N$17,$N$18,$N$14,$N$13,AS$2,AS$1,$B50)</f>
        <v>0</v>
      </c>
      <c r="AT50" s="229">
        <f>_xll.DBRW(Server&amp;Cube1,$N$15,$N$16,$N$17,$N$18,$N$14,$N$13,AT$2,AT$1,$B50)</f>
        <v>-153944453.60000002</v>
      </c>
      <c r="AU50" s="32"/>
      <c r="AV50" s="229">
        <f>_xll.DBRW(Server&amp;Cube1,$N$15,$N$16,$N$17,$N$18,$N$14,$N$13,AV$2,AV$1,$B50)</f>
        <v>0</v>
      </c>
      <c r="AW50" s="229">
        <f>_xll.DBRW(Server&amp;Cube1,$N$15,$N$16,$N$17,$N$18,$N$14,$N$13,AW$2,AW$1,$B50)</f>
        <v>0</v>
      </c>
      <c r="AX50" s="229">
        <f>_xll.DBRW(Server&amp;Cube1,$N$15,$N$16,$N$17,$N$18,$N$14,$N$13,AX$2,AX$1,$B50)</f>
        <v>-142080725.65000007</v>
      </c>
      <c r="AY50" s="32"/>
      <c r="AZ50" s="229">
        <f>_xll.DBRW(Server&amp;Cube1,$N$15,$N$16,$N$17,$N$18,$N$14,$N$13,AZ$2,AZ$1,$B50)</f>
        <v>0</v>
      </c>
      <c r="BA50" s="229">
        <f>_xll.DBRW(Server&amp;Cube1,$N$15,$N$16,$N$17,$N$18,$N$14,$N$13,BA$2,BA$1,$B50)</f>
        <v>0</v>
      </c>
      <c r="BB50" s="229">
        <f>_xll.DBRW(Server&amp;Cube1,$N$15,$N$16,$N$17,$N$18,$N$14,$N$13,BB$2,BB$1,$B50)</f>
        <v>-26503582.329999991</v>
      </c>
      <c r="BC50" s="32"/>
      <c r="BD50" s="229">
        <f>_xll.DBRW(Server&amp;Cube1,$N$15,$N$16,$N$17,$N$18,$N$14,$N$13,BD$2,BD$1,$B50)</f>
        <v>-47377483.589999996</v>
      </c>
      <c r="BE50" s="229">
        <f>_xll.DBRW(Server&amp;Cube1,$N$15,$N$16,$N$17,$N$18,$N$14,$N$13,BE$2,BE$1,$B50)</f>
        <v>0</v>
      </c>
      <c r="BF50" s="229">
        <f>_xll.DBRW(Server&amp;Cube1,$N$15,$N$16,$N$17,$N$18,$N$14,$N$13,BF$2,BF$1,$B50)</f>
        <v>-769735606.94000006</v>
      </c>
      <c r="BG50" s="32"/>
      <c r="BH50" s="229">
        <f>_xll.DBRW(Server&amp;Cube1,$N$15,$N$16,$N$17,$N$18,$N$14,$N$13,BH$2,BH$1,$B50)</f>
        <v>0</v>
      </c>
      <c r="BI50" s="229">
        <f>_xll.DBRW(Server&amp;Cube1,$N$15,$N$16,$N$17,$N$18,$N$14,$N$13,BI$2,BI$1,$B50)</f>
        <v>0</v>
      </c>
      <c r="BJ50" s="229">
        <f>_xll.DBRW(Server&amp;Cube1,$N$15,$N$16,$N$17,$N$18,$N$14,$N$13,BJ$2,BJ$1,$B50)</f>
        <v>-154602742.81000003</v>
      </c>
      <c r="BK50" s="32"/>
      <c r="BL50" s="229">
        <f>_xll.DBRW(Server&amp;Cube1,$N$15,$N$16,$N$17,$N$18,$N$14,$N$13,BL$2,BL$1,$B50)</f>
        <v>0</v>
      </c>
      <c r="BM50" s="229">
        <f>_xll.DBRW(Server&amp;Cube1,$N$15,$N$16,$N$17,$N$18,$N$14,$N$13,BM$2,BM$1,$B50)</f>
        <v>0</v>
      </c>
      <c r="BN50" s="229">
        <f>_xll.DBRW(Server&amp;Cube1,$N$15,$N$16,$N$17,$N$18,$N$14,$N$13,BN$2,BN$1,$B50)</f>
        <v>-34702857.560000017</v>
      </c>
      <c r="BO50" s="32"/>
      <c r="BP50" s="229">
        <f>_xll.DBRW(Server&amp;Cube1,$N$15,$N$16,$N$17,$N$18,$N$14,$N$13,BP$2,BP$1,$B50)</f>
        <v>0</v>
      </c>
      <c r="BQ50" s="229">
        <f>_xll.DBRW(Server&amp;Cube1,$N$15,$N$16,$N$17,$N$18,$N$14,$N$13,BQ$2,BQ$1,$B50)</f>
        <v>0</v>
      </c>
      <c r="BR50" s="229">
        <f>_xll.DBRW(Server&amp;Cube1,$N$15,$N$16,$N$17,$N$18,$N$14,$N$13,BR$2,BR$1,$B50)</f>
        <v>-221650522.82000002</v>
      </c>
      <c r="BS50" s="32"/>
      <c r="BT50" s="229">
        <f>_xll.DBRW(Server&amp;Cube1,$N$15,$N$16,$N$17,$N$18,$N$14,$N$13,BT$2,BT$1,$B50)</f>
        <v>0</v>
      </c>
      <c r="BU50" s="229">
        <f>_xll.DBRW(Server&amp;Cube1,$N$15,$N$16,$N$17,$N$18,$N$14,$N$13,BU$2,BU$1,$B50)</f>
        <v>0</v>
      </c>
      <c r="BV50" s="229">
        <f>_xll.DBRW(Server&amp;Cube1,$N$15,$N$16,$N$17,$N$18,$N$14,$N$13,BV$2,BV$1,$B50)</f>
        <v>-1029900350.8199998</v>
      </c>
      <c r="BW50" s="55"/>
      <c r="BX50" s="28"/>
    </row>
    <row r="51" spans="1:78" ht="6" customHeight="1" x14ac:dyDescent="0.6">
      <c r="A51" s="56"/>
      <c r="B51" s="54"/>
      <c r="H51" s="54"/>
      <c r="I51" s="68"/>
      <c r="J51" s="53"/>
      <c r="K51" s="68"/>
      <c r="L51" s="68"/>
      <c r="M51" s="54"/>
      <c r="N51" s="54"/>
      <c r="O51" s="54"/>
      <c r="P51" s="54"/>
      <c r="Q51" s="69"/>
      <c r="R51" s="69"/>
      <c r="S51" s="69"/>
      <c r="T51" s="70"/>
      <c r="U51" s="69"/>
      <c r="V51" s="69"/>
      <c r="W51" s="69"/>
      <c r="X51" s="70"/>
      <c r="Y51" s="54"/>
      <c r="Z51" s="54"/>
      <c r="AA51" s="54"/>
      <c r="AB51" s="69"/>
      <c r="AC51" s="69"/>
      <c r="AD51" s="69"/>
      <c r="AE51" s="32"/>
      <c r="AF51" s="69"/>
      <c r="AG51" s="69"/>
      <c r="AH51" s="69"/>
      <c r="AI51" s="32"/>
      <c r="AJ51" s="69"/>
      <c r="AK51" s="69"/>
      <c r="AL51" s="69"/>
      <c r="AM51" s="32"/>
      <c r="AN51" s="69"/>
      <c r="AO51" s="69"/>
      <c r="AP51" s="69"/>
      <c r="AQ51" s="32"/>
      <c r="AR51" s="69"/>
      <c r="AS51" s="69"/>
      <c r="AT51" s="69"/>
      <c r="AU51" s="32"/>
      <c r="AV51" s="69"/>
      <c r="AW51" s="69"/>
      <c r="AX51" s="69"/>
      <c r="AY51" s="32"/>
      <c r="AZ51" s="69"/>
      <c r="BA51" s="69"/>
      <c r="BB51" s="69"/>
      <c r="BC51" s="32"/>
      <c r="BD51" s="69"/>
      <c r="BE51" s="69"/>
      <c r="BF51" s="69"/>
      <c r="BG51" s="32"/>
      <c r="BH51" s="69"/>
      <c r="BI51" s="69"/>
      <c r="BJ51" s="69"/>
      <c r="BK51" s="32"/>
      <c r="BL51" s="69"/>
      <c r="BM51" s="69"/>
      <c r="BN51" s="69"/>
      <c r="BO51" s="32"/>
      <c r="BP51" s="69"/>
      <c r="BQ51" s="69"/>
      <c r="BR51" s="69"/>
      <c r="BS51" s="32"/>
      <c r="BT51" s="69"/>
      <c r="BU51" s="69"/>
      <c r="BV51" s="69"/>
      <c r="BW51" s="54"/>
      <c r="BX51" s="28"/>
    </row>
    <row r="52" spans="1:78" ht="3" hidden="1" customHeight="1" x14ac:dyDescent="0.8">
      <c r="A52" s="56"/>
      <c r="B52" s="368"/>
      <c r="H52" s="368"/>
      <c r="I52" s="94"/>
      <c r="J52" s="57"/>
      <c r="K52" s="58"/>
      <c r="L52" s="59"/>
      <c r="M52" s="60"/>
      <c r="N52" s="60"/>
      <c r="O52" s="60"/>
      <c r="P52" s="61"/>
      <c r="Q52" s="62"/>
      <c r="R52" s="62"/>
      <c r="S52" s="63"/>
      <c r="T52" s="64"/>
      <c r="U52" s="65"/>
      <c r="V52" s="62"/>
      <c r="W52" s="63"/>
      <c r="X52" s="64"/>
      <c r="Y52" s="54"/>
      <c r="Z52" s="54"/>
      <c r="AA52" s="54"/>
      <c r="AB52" s="62"/>
      <c r="AC52" s="62"/>
      <c r="AD52" s="62"/>
      <c r="AE52" s="32"/>
      <c r="AF52" s="62"/>
      <c r="AG52" s="62"/>
      <c r="AH52" s="62"/>
      <c r="AI52" s="32"/>
      <c r="AJ52" s="62"/>
      <c r="AK52" s="62"/>
      <c r="AL52" s="62"/>
      <c r="AM52" s="32"/>
      <c r="AN52" s="62"/>
      <c r="AO52" s="62"/>
      <c r="AP52" s="62"/>
      <c r="AQ52" s="32"/>
      <c r="AR52" s="62"/>
      <c r="AS52" s="62"/>
      <c r="AT52" s="62"/>
      <c r="AU52" s="32"/>
      <c r="AV52" s="62"/>
      <c r="AW52" s="62"/>
      <c r="AX52" s="62"/>
      <c r="AY52" s="32"/>
      <c r="AZ52" s="62"/>
      <c r="BA52" s="62"/>
      <c r="BB52" s="62"/>
      <c r="BC52" s="32"/>
      <c r="BD52" s="62"/>
      <c r="BE52" s="62"/>
      <c r="BF52" s="62"/>
      <c r="BG52" s="32"/>
      <c r="BH52" s="62"/>
      <c r="BI52" s="62"/>
      <c r="BJ52" s="62"/>
      <c r="BK52" s="32"/>
      <c r="BL52" s="62"/>
      <c r="BM52" s="62"/>
      <c r="BN52" s="62"/>
      <c r="BO52" s="32"/>
      <c r="BP52" s="62"/>
      <c r="BQ52" s="62"/>
      <c r="BR52" s="62"/>
      <c r="BS52" s="32"/>
      <c r="BT52" s="62"/>
      <c r="BU52" s="62"/>
      <c r="BV52" s="62"/>
      <c r="BW52" s="54"/>
      <c r="BX52" s="28"/>
      <c r="BZ52" s="358"/>
    </row>
    <row r="53" spans="1:78" s="34" customFormat="1" ht="23.25" customHeight="1" collapsed="1" x14ac:dyDescent="0.8">
      <c r="A53" s="135" t="s">
        <v>15</v>
      </c>
      <c r="B53" s="54" t="str">
        <f>_xll.DBRA(Server&amp;$B$32,$A53,$N$19)</f>
        <v>Driving/operating (RESOP)</v>
      </c>
      <c r="C53" s="9"/>
      <c r="D53" s="1"/>
      <c r="E53" s="1"/>
      <c r="H53" s="54"/>
      <c r="I53" s="94"/>
      <c r="J53" s="57"/>
      <c r="K53" s="560" t="str">
        <f>"D - "&amp;LEFT(B53,FIND("(",B53,1)-1)</f>
        <v xml:space="preserve">D - Driving/operating </v>
      </c>
      <c r="L53" s="560"/>
      <c r="M53" s="560"/>
      <c r="N53" s="560"/>
      <c r="O53" s="560"/>
      <c r="P53" s="234"/>
      <c r="Q53" s="235">
        <f>_xll.DBRW(Server&amp;Cube1,$N$15,$N$16,$N$17,$N$18,$N$14,$N$13,$N$11,$Q$1,$A53)</f>
        <v>-81368372.480000019</v>
      </c>
      <c r="R53" s="235">
        <f>_xll.DBRW(Server&amp;Cube1,$N$15,$N$16,$N$17,$N$18,$N$14,$N$13,$R$2,$R$1,$A53)</f>
        <v>0</v>
      </c>
      <c r="S53" s="236">
        <f>Q53-R53</f>
        <v>-81368372.480000019</v>
      </c>
      <c r="T53" s="237">
        <f>IF(R53&lt;&gt;0,IF(R53&gt;0,S53/R53,-S53/R53),0)</f>
        <v>0</v>
      </c>
      <c r="U53" s="211"/>
      <c r="V53" s="235">
        <f>_xll.DBRW(Server&amp;Cube1,$N$15,$N$16,$N$17,$N$18,$N$14,$N$13,$V$2,$V$1,$A53)</f>
        <v>-3031647537.2799973</v>
      </c>
      <c r="W53" s="236">
        <f>Q53-V53</f>
        <v>2950279164.7999973</v>
      </c>
      <c r="X53" s="237">
        <f>IF(V53&lt;&gt;0,IF(V53&gt;0,W53/V53,-W53/V53),0)</f>
        <v>0.97316034549550445</v>
      </c>
      <c r="Y53" s="54"/>
      <c r="Z53" s="54"/>
      <c r="AA53" s="54"/>
      <c r="AB53" s="235">
        <f>_xll.DBRW(Server&amp;Cube1,$N$15,$N$16,$N$17,$N$18,$N$14,$N$13,AB$2,AB$1,$B53)</f>
        <v>0</v>
      </c>
      <c r="AC53" s="235">
        <f>_xll.DBRW(Server&amp;Cube1,$N$15,$N$16,$N$17,$N$18,$N$14,$N$13,AC$2,AC$1,$B53)</f>
        <v>0</v>
      </c>
      <c r="AD53" s="235">
        <f>_xll.DBRW(Server&amp;Cube1,$N$15,$N$16,$N$17,$N$18,$N$14,$N$13,AD$2,AD$1,$B53)</f>
        <v>-1741914158.0500002</v>
      </c>
      <c r="AE53" s="32"/>
      <c r="AF53" s="235">
        <f>_xll.DBRW(Server&amp;Cube1,$N$15,$N$16,$N$17,$N$18,$N$14,$N$13,AF$2,AF$1,$B53)</f>
        <v>0</v>
      </c>
      <c r="AG53" s="235">
        <f>_xll.DBRW(Server&amp;Cube1,$N$15,$N$16,$N$17,$N$18,$N$14,$N$13,AG$2,AG$1,$B53)</f>
        <v>0</v>
      </c>
      <c r="AH53" s="235">
        <f>_xll.DBRW(Server&amp;Cube1,$N$15,$N$16,$N$17,$N$18,$N$14,$N$13,AH$2,AH$1,$B53)</f>
        <v>-377076596.35000008</v>
      </c>
      <c r="AI53" s="32"/>
      <c r="AJ53" s="235">
        <f>_xll.DBRW(Server&amp;Cube1,$N$15,$N$16,$N$17,$N$18,$N$14,$N$13,AJ$2,AJ$1,$B53)</f>
        <v>0</v>
      </c>
      <c r="AK53" s="235">
        <f>_xll.DBRW(Server&amp;Cube1,$N$15,$N$16,$N$17,$N$18,$N$14,$N$13,AK$2,AK$1,$B53)</f>
        <v>0</v>
      </c>
      <c r="AL53" s="235">
        <f>_xll.DBRW(Server&amp;Cube1,$N$15,$N$16,$N$17,$N$18,$N$14,$N$13,AL$2,AL$1,$B53)</f>
        <v>-3697844397.79</v>
      </c>
      <c r="AM53" s="32"/>
      <c r="AN53" s="235">
        <f>_xll.DBRW(Server&amp;Cube1,$N$15,$N$16,$N$17,$N$18,$N$14,$N$13,AN$2,AN$1,$B53)</f>
        <v>0</v>
      </c>
      <c r="AO53" s="235">
        <f>_xll.DBRW(Server&amp;Cube1,$N$15,$N$16,$N$17,$N$18,$N$14,$N$13,AO$2,AO$1,$B53)</f>
        <v>0</v>
      </c>
      <c r="AP53" s="235">
        <f>_xll.DBRW(Server&amp;Cube1,$N$15,$N$16,$N$17,$N$18,$N$14,$N$13,AP$2,AP$1,$B53)</f>
        <v>-2154503691.79</v>
      </c>
      <c r="AQ53" s="32"/>
      <c r="AR53" s="235">
        <f>_xll.DBRW(Server&amp;Cube1,$N$15,$N$16,$N$17,$N$18,$N$14,$N$13,AR$2,AR$1,$B53)</f>
        <v>0</v>
      </c>
      <c r="AS53" s="235">
        <f>_xll.DBRW(Server&amp;Cube1,$N$15,$N$16,$N$17,$N$18,$N$14,$N$13,AS$2,AS$1,$B53)</f>
        <v>0</v>
      </c>
      <c r="AT53" s="235">
        <f>_xll.DBRW(Server&amp;Cube1,$N$15,$N$16,$N$17,$N$18,$N$14,$N$13,AT$2,AT$1,$B53)</f>
        <v>-2212436468.6100001</v>
      </c>
      <c r="AU53" s="32"/>
      <c r="AV53" s="235">
        <f>_xll.DBRW(Server&amp;Cube1,$N$15,$N$16,$N$17,$N$18,$N$14,$N$13,AV$2,AV$1,$B53)</f>
        <v>0</v>
      </c>
      <c r="AW53" s="235">
        <f>_xll.DBRW(Server&amp;Cube1,$N$15,$N$16,$N$17,$N$18,$N$14,$N$13,AW$2,AW$1,$B53)</f>
        <v>0</v>
      </c>
      <c r="AX53" s="235">
        <f>_xll.DBRW(Server&amp;Cube1,$N$15,$N$16,$N$17,$N$18,$N$14,$N$13,AX$2,AX$1,$B53)</f>
        <v>-2355829346.8900003</v>
      </c>
      <c r="AY53" s="32"/>
      <c r="AZ53" s="235">
        <f>_xll.DBRW(Server&amp;Cube1,$N$15,$N$16,$N$17,$N$18,$N$14,$N$13,AZ$2,AZ$1,$B53)</f>
        <v>0</v>
      </c>
      <c r="BA53" s="235">
        <f>_xll.DBRW(Server&amp;Cube1,$N$15,$N$16,$N$17,$N$18,$N$14,$N$13,BA$2,BA$1,$B53)</f>
        <v>0</v>
      </c>
      <c r="BB53" s="235">
        <f>_xll.DBRW(Server&amp;Cube1,$N$15,$N$16,$N$17,$N$18,$N$14,$N$13,BB$2,BB$1,$B53)</f>
        <v>-2069669321.47</v>
      </c>
      <c r="BC53" s="32"/>
      <c r="BD53" s="235">
        <f>_xll.DBRW(Server&amp;Cube1,$N$15,$N$16,$N$17,$N$18,$N$14,$N$13,BD$2,BD$1,$B53)</f>
        <v>-81368372.480000004</v>
      </c>
      <c r="BE53" s="235">
        <f>_xll.DBRW(Server&amp;Cube1,$N$15,$N$16,$N$17,$N$18,$N$14,$N$13,BE$2,BE$1,$B53)</f>
        <v>0</v>
      </c>
      <c r="BF53" s="235">
        <f>_xll.DBRW(Server&amp;Cube1,$N$15,$N$16,$N$17,$N$18,$N$14,$N$13,BF$2,BF$1,$B53)</f>
        <v>11577626443.67</v>
      </c>
      <c r="BG53" s="32"/>
      <c r="BH53" s="235">
        <f>_xll.DBRW(Server&amp;Cube1,$N$15,$N$16,$N$17,$N$18,$N$14,$N$13,BH$2,BH$1,$B53)</f>
        <v>0</v>
      </c>
      <c r="BI53" s="235">
        <f>_xll.DBRW(Server&amp;Cube1,$N$15,$N$16,$N$17,$N$18,$N$14,$N$13,BI$2,BI$1,$B53)</f>
        <v>0</v>
      </c>
      <c r="BJ53" s="235">
        <f>_xll.DBRW(Server&amp;Cube1,$N$15,$N$16,$N$17,$N$18,$N$14,$N$13,BJ$2,BJ$1,$B53)</f>
        <v>-2475679117.6200008</v>
      </c>
      <c r="BK53" s="32"/>
      <c r="BL53" s="235">
        <f>_xll.DBRW(Server&amp;Cube1,$N$15,$N$16,$N$17,$N$18,$N$14,$N$13,BL$2,BL$1,$B53)</f>
        <v>0</v>
      </c>
      <c r="BM53" s="235">
        <f>_xll.DBRW(Server&amp;Cube1,$N$15,$N$16,$N$17,$N$18,$N$14,$N$13,BM$2,BM$1,$B53)</f>
        <v>0</v>
      </c>
      <c r="BN53" s="235">
        <f>_xll.DBRW(Server&amp;Cube1,$N$15,$N$16,$N$17,$N$18,$N$14,$N$13,BN$2,BN$1,$B53)</f>
        <v>-2447028341.9000001</v>
      </c>
      <c r="BO53" s="32"/>
      <c r="BP53" s="235">
        <f>_xll.DBRW(Server&amp;Cube1,$N$15,$N$16,$N$17,$N$18,$N$14,$N$13,BP$2,BP$1,$B53)</f>
        <v>0</v>
      </c>
      <c r="BQ53" s="235">
        <f>_xll.DBRW(Server&amp;Cube1,$N$15,$N$16,$N$17,$N$18,$N$14,$N$13,BQ$2,BQ$1,$B53)</f>
        <v>0</v>
      </c>
      <c r="BR53" s="235">
        <f>_xll.DBRW(Server&amp;Cube1,$N$15,$N$16,$N$17,$N$18,$N$14,$N$13,BR$2,BR$1,$B53)</f>
        <v>-2959987895.6900005</v>
      </c>
      <c r="BS53" s="32"/>
      <c r="BT53" s="235">
        <f>_xll.DBRW(Server&amp;Cube1,$N$15,$N$16,$N$17,$N$18,$N$14,$N$13,BT$2,BT$1,$B53)</f>
        <v>0</v>
      </c>
      <c r="BU53" s="235">
        <f>_xll.DBRW(Server&amp;Cube1,$N$15,$N$16,$N$17,$N$18,$N$14,$N$13,BU$2,BU$1,$B53)</f>
        <v>0</v>
      </c>
      <c r="BV53" s="235">
        <f>_xll.DBRW(Server&amp;Cube1,$N$15,$N$16,$N$17,$N$18,$N$14,$N$13,BV$2,BV$1,$B53)</f>
        <v>-3838483632.4699988</v>
      </c>
      <c r="BW53" s="54"/>
      <c r="BX53" s="28"/>
    </row>
    <row r="54" spans="1:78" ht="19.5" hidden="1" customHeight="1" outlineLevel="1" x14ac:dyDescent="0.6">
      <c r="A54" s="56"/>
      <c r="B54" s="54" t="s">
        <v>45</v>
      </c>
      <c r="H54" s="54"/>
      <c r="I54" s="68"/>
      <c r="J54" s="53"/>
      <c r="K54" s="9"/>
      <c r="L54" s="552" t="str">
        <f>LEFT(_xll.DBRA(Server&amp;$B$32,$B54,$N$19),FIND("(",_xll.DBRA(Server&amp;$B$32,$B54,$N$19),1)-1)</f>
        <v xml:space="preserve">Staff costs </v>
      </c>
      <c r="M54" s="552"/>
      <c r="N54" s="552"/>
      <c r="O54" s="552"/>
      <c r="P54" s="112"/>
      <c r="Q54" s="229">
        <f>_xll.DBRW(Server&amp;Cube1,$N$15,$N$16,$N$17,$N$18,$N$14,$N$13,$N$11,$Q$1,$B54)</f>
        <v>-81219296.160000026</v>
      </c>
      <c r="R54" s="229">
        <f>_xll.DBRW(Server&amp;Cube1,$N$15,$N$16,$N$17,$N$18,$N$14,$N$13,$R$2,$R$1,$B54)</f>
        <v>0</v>
      </c>
      <c r="S54" s="230">
        <f t="shared" ref="S54:S59" si="12">Q54-R54</f>
        <v>-81219296.160000026</v>
      </c>
      <c r="T54" s="232">
        <f t="shared" ref="T54:T59" si="13">IF(R54&lt;&gt;0,IF(R54&gt;0,S54/R54,-S54/R54),0)</f>
        <v>0</v>
      </c>
      <c r="U54" s="218"/>
      <c r="V54" s="229">
        <f>_xll.DBRW(Server&amp;Cube1,$N$15,$N$16,$N$17,$N$18,$N$14,$N$13,$V$2,$V$1,$B54)</f>
        <v>-3020055189.4299984</v>
      </c>
      <c r="W54" s="230">
        <f t="shared" ref="W54:W59" si="14">Q54-V54</f>
        <v>2938835893.2699986</v>
      </c>
      <c r="X54" s="232">
        <f t="shared" ref="X54:X59" si="15">IF(V54&lt;&gt;0,IF(V54&gt;0,W54/V54,-W54/V54),0)</f>
        <v>0.97310668479031037</v>
      </c>
      <c r="Y54" s="54"/>
      <c r="Z54" s="54"/>
      <c r="AA54" s="54"/>
      <c r="AB54" s="229">
        <f>_xll.DBRW(Server&amp;Cube1,$N$15,$N$16,$N$17,$N$18,$N$14,$N$13,AB$2,AB$1,$B54)</f>
        <v>0</v>
      </c>
      <c r="AC54" s="229">
        <f>_xll.DBRW(Server&amp;Cube1,$N$15,$N$16,$N$17,$N$18,$N$14,$N$13,AC$2,AC$1,$B54)</f>
        <v>0</v>
      </c>
      <c r="AD54" s="229">
        <f>_xll.DBRW(Server&amp;Cube1,$N$15,$N$16,$N$17,$N$18,$N$14,$N$13,AD$2,AD$1,$B54)</f>
        <v>-1660314946.2700002</v>
      </c>
      <c r="AE54" s="32"/>
      <c r="AF54" s="229">
        <f>_xll.DBRW(Server&amp;Cube1,$N$15,$N$16,$N$17,$N$18,$N$14,$N$13,AF$2,AF$1,$B54)</f>
        <v>0</v>
      </c>
      <c r="AG54" s="229">
        <f>_xll.DBRW(Server&amp;Cube1,$N$15,$N$16,$N$17,$N$18,$N$14,$N$13,AG$2,AG$1,$B54)</f>
        <v>0</v>
      </c>
      <c r="AH54" s="229">
        <f>_xll.DBRW(Server&amp;Cube1,$N$15,$N$16,$N$17,$N$18,$N$14,$N$13,AH$2,AH$1,$B54)</f>
        <v>-379929136.34000003</v>
      </c>
      <c r="AI54" s="32"/>
      <c r="AJ54" s="229">
        <f>_xll.DBRW(Server&amp;Cube1,$N$15,$N$16,$N$17,$N$18,$N$14,$N$13,AJ$2,AJ$1,$B54)</f>
        <v>0</v>
      </c>
      <c r="AK54" s="229">
        <f>_xll.DBRW(Server&amp;Cube1,$N$15,$N$16,$N$17,$N$18,$N$14,$N$13,AK$2,AK$1,$B54)</f>
        <v>0</v>
      </c>
      <c r="AL54" s="229">
        <f>_xll.DBRW(Server&amp;Cube1,$N$15,$N$16,$N$17,$N$18,$N$14,$N$13,AL$2,AL$1,$B54)</f>
        <v>-3541449986.4299994</v>
      </c>
      <c r="AM54" s="32"/>
      <c r="AN54" s="229">
        <f>_xll.DBRW(Server&amp;Cube1,$N$15,$N$16,$N$17,$N$18,$N$14,$N$13,AN$2,AN$1,$B54)</f>
        <v>0</v>
      </c>
      <c r="AO54" s="229">
        <f>_xll.DBRW(Server&amp;Cube1,$N$15,$N$16,$N$17,$N$18,$N$14,$N$13,AO$2,AO$1,$B54)</f>
        <v>0</v>
      </c>
      <c r="AP54" s="229">
        <f>_xll.DBRW(Server&amp;Cube1,$N$15,$N$16,$N$17,$N$18,$N$14,$N$13,AP$2,AP$1,$B54)</f>
        <v>-2059505347.3600004</v>
      </c>
      <c r="AQ54" s="32"/>
      <c r="AR54" s="229">
        <f>_xll.DBRW(Server&amp;Cube1,$N$15,$N$16,$N$17,$N$18,$N$14,$N$13,AR$2,AR$1,$B54)</f>
        <v>0</v>
      </c>
      <c r="AS54" s="229">
        <f>_xll.DBRW(Server&amp;Cube1,$N$15,$N$16,$N$17,$N$18,$N$14,$N$13,AS$2,AS$1,$B54)</f>
        <v>0</v>
      </c>
      <c r="AT54" s="229">
        <f>_xll.DBRW(Server&amp;Cube1,$N$15,$N$16,$N$17,$N$18,$N$14,$N$13,AT$2,AT$1,$B54)</f>
        <v>-2118029233.5900002</v>
      </c>
      <c r="AU54" s="32"/>
      <c r="AV54" s="229">
        <f>_xll.DBRW(Server&amp;Cube1,$N$15,$N$16,$N$17,$N$18,$N$14,$N$13,AV$2,AV$1,$B54)</f>
        <v>0</v>
      </c>
      <c r="AW54" s="229">
        <f>_xll.DBRW(Server&amp;Cube1,$N$15,$N$16,$N$17,$N$18,$N$14,$N$13,AW$2,AW$1,$B54)</f>
        <v>0</v>
      </c>
      <c r="AX54" s="229">
        <f>_xll.DBRW(Server&amp;Cube1,$N$15,$N$16,$N$17,$N$18,$N$14,$N$13,AX$2,AX$1,$B54)</f>
        <v>-2257527401.1500001</v>
      </c>
      <c r="AY54" s="32"/>
      <c r="AZ54" s="229">
        <f>_xll.DBRW(Server&amp;Cube1,$N$15,$N$16,$N$17,$N$18,$N$14,$N$13,AZ$2,AZ$1,$B54)</f>
        <v>0</v>
      </c>
      <c r="BA54" s="229">
        <f>_xll.DBRW(Server&amp;Cube1,$N$15,$N$16,$N$17,$N$18,$N$14,$N$13,BA$2,BA$1,$B54)</f>
        <v>0</v>
      </c>
      <c r="BB54" s="229">
        <f>_xll.DBRW(Server&amp;Cube1,$N$15,$N$16,$N$17,$N$18,$N$14,$N$13,BB$2,BB$1,$B54)</f>
        <v>-1985114417.6200001</v>
      </c>
      <c r="BC54" s="32"/>
      <c r="BD54" s="229">
        <f>_xll.DBRW(Server&amp;Cube1,$N$15,$N$16,$N$17,$N$18,$N$14,$N$13,BD$2,BD$1,$B54)</f>
        <v>-81219296.160000011</v>
      </c>
      <c r="BE54" s="229">
        <f>_xll.DBRW(Server&amp;Cube1,$N$15,$N$16,$N$17,$N$18,$N$14,$N$13,BE$2,BE$1,$B54)</f>
        <v>0</v>
      </c>
      <c r="BF54" s="229">
        <f>_xll.DBRW(Server&amp;Cube1,$N$15,$N$16,$N$17,$N$18,$N$14,$N$13,BF$2,BF$1,$B54)</f>
        <v>10981815279.33</v>
      </c>
      <c r="BG54" s="32"/>
      <c r="BH54" s="229">
        <f>_xll.DBRW(Server&amp;Cube1,$N$15,$N$16,$N$17,$N$18,$N$14,$N$13,BH$2,BH$1,$B54)</f>
        <v>0</v>
      </c>
      <c r="BI54" s="229">
        <f>_xll.DBRW(Server&amp;Cube1,$N$15,$N$16,$N$17,$N$18,$N$14,$N$13,BI$2,BI$1,$B54)</f>
        <v>0</v>
      </c>
      <c r="BJ54" s="229">
        <f>_xll.DBRW(Server&amp;Cube1,$N$15,$N$16,$N$17,$N$18,$N$14,$N$13,BJ$2,BJ$1,$B54)</f>
        <v>-2366540955.1000004</v>
      </c>
      <c r="BK54" s="32"/>
      <c r="BL54" s="229">
        <f>_xll.DBRW(Server&amp;Cube1,$N$15,$N$16,$N$17,$N$18,$N$14,$N$13,BL$2,BL$1,$B54)</f>
        <v>0</v>
      </c>
      <c r="BM54" s="229">
        <f>_xll.DBRW(Server&amp;Cube1,$N$15,$N$16,$N$17,$N$18,$N$14,$N$13,BM$2,BM$1,$B54)</f>
        <v>0</v>
      </c>
      <c r="BN54" s="229">
        <f>_xll.DBRW(Server&amp;Cube1,$N$15,$N$16,$N$17,$N$18,$N$14,$N$13,BN$2,BN$1,$B54)</f>
        <v>-2342305130.5500002</v>
      </c>
      <c r="BO54" s="32"/>
      <c r="BP54" s="229">
        <f>_xll.DBRW(Server&amp;Cube1,$N$15,$N$16,$N$17,$N$18,$N$14,$N$13,BP$2,BP$1,$B54)</f>
        <v>0</v>
      </c>
      <c r="BQ54" s="229">
        <f>_xll.DBRW(Server&amp;Cube1,$N$15,$N$16,$N$17,$N$18,$N$14,$N$13,BQ$2,BQ$1,$B54)</f>
        <v>0</v>
      </c>
      <c r="BR54" s="229">
        <f>_xll.DBRW(Server&amp;Cube1,$N$15,$N$16,$N$17,$N$18,$N$14,$N$13,BR$2,BR$1,$B54)</f>
        <v>-2850235657.48</v>
      </c>
      <c r="BS54" s="32"/>
      <c r="BT54" s="229">
        <f>_xll.DBRW(Server&amp;Cube1,$N$15,$N$16,$N$17,$N$18,$N$14,$N$13,BT$2,BT$1,$B54)</f>
        <v>0</v>
      </c>
      <c r="BU54" s="229">
        <f>_xll.DBRW(Server&amp;Cube1,$N$15,$N$16,$N$17,$N$18,$N$14,$N$13,BU$2,BU$1,$B54)</f>
        <v>0</v>
      </c>
      <c r="BV54" s="229">
        <f>_xll.DBRW(Server&amp;Cube1,$N$15,$N$16,$N$17,$N$18,$N$14,$N$13,BV$2,BV$1,$B54)</f>
        <v>-3729320394.0899992</v>
      </c>
      <c r="BW54" s="54"/>
      <c r="BX54" s="28"/>
    </row>
    <row r="55" spans="1:78" ht="19.5" hidden="1" customHeight="1" outlineLevel="1" x14ac:dyDescent="0.6">
      <c r="A55" s="56"/>
      <c r="B55" s="54" t="s">
        <v>46</v>
      </c>
      <c r="H55" s="54"/>
      <c r="I55" s="68"/>
      <c r="J55" s="53"/>
      <c r="K55" s="9"/>
      <c r="L55" s="552" t="str">
        <f>LEFT(_xll.DBRA(Server&amp;$B$32,$B55,$N$19),FIND("(",_xll.DBRA(Server&amp;$B$32,$B55,$N$19),1)-1)</f>
        <v xml:space="preserve">Interim staff </v>
      </c>
      <c r="M55" s="552"/>
      <c r="N55" s="552"/>
      <c r="O55" s="552"/>
      <c r="P55" s="112"/>
      <c r="Q55" s="229">
        <f>_xll.DBRW(Server&amp;Cube1,$N$15,$N$16,$N$17,$N$18,$N$14,$N$13,$N$11,$Q$1,$B55)</f>
        <v>0</v>
      </c>
      <c r="R55" s="229">
        <f>_xll.DBRW(Server&amp;Cube1,$N$15,$N$16,$N$17,$N$18,$N$14,$N$13,$R$2,$R$1,$B55)</f>
        <v>0</v>
      </c>
      <c r="S55" s="230">
        <f t="shared" si="12"/>
        <v>0</v>
      </c>
      <c r="T55" s="232">
        <f t="shared" si="13"/>
        <v>0</v>
      </c>
      <c r="U55" s="218"/>
      <c r="V55" s="229">
        <f>_xll.DBRW(Server&amp;Cube1,$N$15,$N$16,$N$17,$N$18,$N$14,$N$13,$V$2,$V$1,$B55)</f>
        <v>-13568930.32</v>
      </c>
      <c r="W55" s="230">
        <f t="shared" si="14"/>
        <v>13568930.32</v>
      </c>
      <c r="X55" s="232">
        <f t="shared" si="15"/>
        <v>1</v>
      </c>
      <c r="Y55" s="54"/>
      <c r="Z55" s="54"/>
      <c r="AA55" s="54"/>
      <c r="AB55" s="229">
        <f>_xll.DBRW(Server&amp;Cube1,$N$15,$N$16,$N$17,$N$18,$N$14,$N$13,AB$2,AB$1,$B55)</f>
        <v>0</v>
      </c>
      <c r="AC55" s="229">
        <f>_xll.DBRW(Server&amp;Cube1,$N$15,$N$16,$N$17,$N$18,$N$14,$N$13,AC$2,AC$1,$B55)</f>
        <v>0</v>
      </c>
      <c r="AD55" s="229">
        <f>_xll.DBRW(Server&amp;Cube1,$N$15,$N$16,$N$17,$N$18,$N$14,$N$13,AD$2,AD$1,$B55)</f>
        <v>-172003.25</v>
      </c>
      <c r="AE55" s="32"/>
      <c r="AF55" s="229">
        <f>_xll.DBRW(Server&amp;Cube1,$N$15,$N$16,$N$17,$N$18,$N$14,$N$13,AF$2,AF$1,$B55)</f>
        <v>0</v>
      </c>
      <c r="AG55" s="229">
        <f>_xll.DBRW(Server&amp;Cube1,$N$15,$N$16,$N$17,$N$18,$N$14,$N$13,AG$2,AG$1,$B55)</f>
        <v>0</v>
      </c>
      <c r="AH55" s="229">
        <f>_xll.DBRW(Server&amp;Cube1,$N$15,$N$16,$N$17,$N$18,$N$14,$N$13,AH$2,AH$1,$B55)</f>
        <v>-1594077.92</v>
      </c>
      <c r="AI55" s="32"/>
      <c r="AJ55" s="229">
        <f>_xll.DBRW(Server&amp;Cube1,$N$15,$N$16,$N$17,$N$18,$N$14,$N$13,AJ$2,AJ$1,$B55)</f>
        <v>0</v>
      </c>
      <c r="AK55" s="229">
        <f>_xll.DBRW(Server&amp;Cube1,$N$15,$N$16,$N$17,$N$18,$N$14,$N$13,AK$2,AK$1,$B55)</f>
        <v>0</v>
      </c>
      <c r="AL55" s="229">
        <f>_xll.DBRW(Server&amp;Cube1,$N$15,$N$16,$N$17,$N$18,$N$14,$N$13,AL$2,AL$1,$B55)</f>
        <v>-553697.85999999987</v>
      </c>
      <c r="AM55" s="32"/>
      <c r="AN55" s="229">
        <f>_xll.DBRW(Server&amp;Cube1,$N$15,$N$16,$N$17,$N$18,$N$14,$N$13,AN$2,AN$1,$B55)</f>
        <v>0</v>
      </c>
      <c r="AO55" s="229">
        <f>_xll.DBRW(Server&amp;Cube1,$N$15,$N$16,$N$17,$N$18,$N$14,$N$13,AO$2,AO$1,$B55)</f>
        <v>0</v>
      </c>
      <c r="AP55" s="229">
        <f>_xll.DBRW(Server&amp;Cube1,$N$15,$N$16,$N$17,$N$18,$N$14,$N$13,AP$2,AP$1,$B55)</f>
        <v>-1244825.77</v>
      </c>
      <c r="AQ55" s="32"/>
      <c r="AR55" s="229">
        <f>_xll.DBRW(Server&amp;Cube1,$N$15,$N$16,$N$17,$N$18,$N$14,$N$13,AR$2,AR$1,$B55)</f>
        <v>0</v>
      </c>
      <c r="AS55" s="229">
        <f>_xll.DBRW(Server&amp;Cube1,$N$15,$N$16,$N$17,$N$18,$N$14,$N$13,AS$2,AS$1,$B55)</f>
        <v>0</v>
      </c>
      <c r="AT55" s="229">
        <f>_xll.DBRW(Server&amp;Cube1,$N$15,$N$16,$N$17,$N$18,$N$14,$N$13,AT$2,AT$1,$B55)</f>
        <v>-24970</v>
      </c>
      <c r="AU55" s="32"/>
      <c r="AV55" s="229">
        <f>_xll.DBRW(Server&amp;Cube1,$N$15,$N$16,$N$17,$N$18,$N$14,$N$13,AV$2,AV$1,$B55)</f>
        <v>0</v>
      </c>
      <c r="AW55" s="229">
        <f>_xll.DBRW(Server&amp;Cube1,$N$15,$N$16,$N$17,$N$18,$N$14,$N$13,AW$2,AW$1,$B55)</f>
        <v>0</v>
      </c>
      <c r="AX55" s="229">
        <f>_xll.DBRW(Server&amp;Cube1,$N$15,$N$16,$N$17,$N$18,$N$14,$N$13,AX$2,AX$1,$B55)</f>
        <v>-2251689.5699999998</v>
      </c>
      <c r="AY55" s="32"/>
      <c r="AZ55" s="229">
        <f>_xll.DBRW(Server&amp;Cube1,$N$15,$N$16,$N$17,$N$18,$N$14,$N$13,AZ$2,AZ$1,$B55)</f>
        <v>0</v>
      </c>
      <c r="BA55" s="229">
        <f>_xll.DBRW(Server&amp;Cube1,$N$15,$N$16,$N$17,$N$18,$N$14,$N$13,BA$2,BA$1,$B55)</f>
        <v>0</v>
      </c>
      <c r="BB55" s="229">
        <f>_xll.DBRW(Server&amp;Cube1,$N$15,$N$16,$N$17,$N$18,$N$14,$N$13,BB$2,BB$1,$B55)</f>
        <v>1462703.52</v>
      </c>
      <c r="BC55" s="32"/>
      <c r="BD55" s="229">
        <f>_xll.DBRW(Server&amp;Cube1,$N$15,$N$16,$N$17,$N$18,$N$14,$N$13,BD$2,BD$1,$B55)</f>
        <v>0</v>
      </c>
      <c r="BE55" s="229">
        <f>_xll.DBRW(Server&amp;Cube1,$N$15,$N$16,$N$17,$N$18,$N$14,$N$13,BE$2,BE$1,$B55)</f>
        <v>0</v>
      </c>
      <c r="BF55" s="229">
        <f>_xll.DBRW(Server&amp;Cube1,$N$15,$N$16,$N$17,$N$18,$N$14,$N$13,BF$2,BF$1,$B55)</f>
        <v>-9190369.4699999988</v>
      </c>
      <c r="BG55" s="32"/>
      <c r="BH55" s="229">
        <f>_xll.DBRW(Server&amp;Cube1,$N$15,$N$16,$N$17,$N$18,$N$14,$N$13,BH$2,BH$1,$B55)</f>
        <v>0</v>
      </c>
      <c r="BI55" s="229">
        <f>_xll.DBRW(Server&amp;Cube1,$N$15,$N$16,$N$17,$N$18,$N$14,$N$13,BI$2,BI$1,$B55)</f>
        <v>0</v>
      </c>
      <c r="BJ55" s="229">
        <f>_xll.DBRW(Server&amp;Cube1,$N$15,$N$16,$N$17,$N$18,$N$14,$N$13,BJ$2,BJ$1,$B55)</f>
        <v>-710819.76</v>
      </c>
      <c r="BK55" s="32"/>
      <c r="BL55" s="229">
        <f>_xll.DBRW(Server&amp;Cube1,$N$15,$N$16,$N$17,$N$18,$N$14,$N$13,BL$2,BL$1,$B55)</f>
        <v>0</v>
      </c>
      <c r="BM55" s="229">
        <f>_xll.DBRW(Server&amp;Cube1,$N$15,$N$16,$N$17,$N$18,$N$14,$N$13,BM$2,BM$1,$B55)</f>
        <v>0</v>
      </c>
      <c r="BN55" s="229">
        <f>_xll.DBRW(Server&amp;Cube1,$N$15,$N$16,$N$17,$N$18,$N$14,$N$13,BN$2,BN$1,$B55)</f>
        <v>-520941.81</v>
      </c>
      <c r="BO55" s="32"/>
      <c r="BP55" s="229">
        <f>_xll.DBRW(Server&amp;Cube1,$N$15,$N$16,$N$17,$N$18,$N$14,$N$13,BP$2,BP$1,$B55)</f>
        <v>0</v>
      </c>
      <c r="BQ55" s="229">
        <f>_xll.DBRW(Server&amp;Cube1,$N$15,$N$16,$N$17,$N$18,$N$14,$N$13,BQ$2,BQ$1,$B55)</f>
        <v>0</v>
      </c>
      <c r="BR55" s="229">
        <f>_xll.DBRW(Server&amp;Cube1,$N$15,$N$16,$N$17,$N$18,$N$14,$N$13,BR$2,BR$1,$B55)</f>
        <v>-2860188.76</v>
      </c>
      <c r="BS55" s="32"/>
      <c r="BT55" s="229">
        <f>_xll.DBRW(Server&amp;Cube1,$N$15,$N$16,$N$17,$N$18,$N$14,$N$13,BT$2,BT$1,$B55)</f>
        <v>0</v>
      </c>
      <c r="BU55" s="229">
        <f>_xll.DBRW(Server&amp;Cube1,$N$15,$N$16,$N$17,$N$18,$N$14,$N$13,BU$2,BU$1,$B55)</f>
        <v>0</v>
      </c>
      <c r="BV55" s="229">
        <f>_xll.DBRW(Server&amp;Cube1,$N$15,$N$16,$N$17,$N$18,$N$14,$N$13,BV$2,BV$1,$B55)</f>
        <v>-8711947.1799999997</v>
      </c>
      <c r="BW55" s="54"/>
      <c r="BX55" s="28"/>
    </row>
    <row r="56" spans="1:78" ht="19.5" hidden="1" customHeight="1" outlineLevel="1" x14ac:dyDescent="0.6">
      <c r="A56" s="56"/>
      <c r="B56" s="54" t="s">
        <v>47</v>
      </c>
      <c r="H56" s="54"/>
      <c r="I56" s="68"/>
      <c r="J56" s="53"/>
      <c r="K56" s="9"/>
      <c r="L56" s="552" t="str">
        <f>LEFT(_xll.DBRA(Server&amp;$B$32,$B56,$N$19),FIND("(",_xll.DBRA(Server&amp;$B$32,$B56,$N$19),1)-1)</f>
        <v xml:space="preserve">Others </v>
      </c>
      <c r="M56" s="552"/>
      <c r="N56" s="552"/>
      <c r="O56" s="552"/>
      <c r="P56" s="112"/>
      <c r="Q56" s="229">
        <f>_xll.DBRW(Server&amp;Cube1,$N$15,$N$16,$N$17,$N$18,$N$14,$N$13,$N$11,$Q$1,$B56)</f>
        <v>-2842418.24</v>
      </c>
      <c r="R56" s="229">
        <f>_xll.DBRW(Server&amp;Cube1,$N$15,$N$16,$N$17,$N$18,$N$14,$N$13,$R$2,$R$1,$B56)</f>
        <v>0</v>
      </c>
      <c r="S56" s="230">
        <f t="shared" si="12"/>
        <v>-2842418.24</v>
      </c>
      <c r="T56" s="232">
        <f t="shared" si="13"/>
        <v>0</v>
      </c>
      <c r="U56" s="218"/>
      <c r="V56" s="229">
        <f>_xll.DBRW(Server&amp;Cube1,$N$15,$N$16,$N$17,$N$18,$N$14,$N$13,$V$2,$V$1,$B56)</f>
        <v>-13007075.940000176</v>
      </c>
      <c r="W56" s="230">
        <f t="shared" si="14"/>
        <v>10164657.700000176</v>
      </c>
      <c r="X56" s="232">
        <f t="shared" si="15"/>
        <v>0.78147138887235856</v>
      </c>
      <c r="Y56" s="54"/>
      <c r="Z56" s="54"/>
      <c r="AA56" s="54"/>
      <c r="AB56" s="229">
        <f>_xll.DBRW(Server&amp;Cube1,$N$15,$N$16,$N$17,$N$18,$N$14,$N$13,AB$2,AB$1,$B56)</f>
        <v>0</v>
      </c>
      <c r="AC56" s="229">
        <f>_xll.DBRW(Server&amp;Cube1,$N$15,$N$16,$N$17,$N$18,$N$14,$N$13,AC$2,AC$1,$B56)</f>
        <v>0</v>
      </c>
      <c r="AD56" s="229">
        <f>_xll.DBRW(Server&amp;Cube1,$N$15,$N$16,$N$17,$N$18,$N$14,$N$13,AD$2,AD$1,$B56)</f>
        <v>-82659529.800000012</v>
      </c>
      <c r="AE56" s="32"/>
      <c r="AF56" s="229">
        <f>_xll.DBRW(Server&amp;Cube1,$N$15,$N$16,$N$17,$N$18,$N$14,$N$13,AF$2,AF$1,$B56)</f>
        <v>0</v>
      </c>
      <c r="AG56" s="229">
        <f>_xll.DBRW(Server&amp;Cube1,$N$15,$N$16,$N$17,$N$18,$N$14,$N$13,AG$2,AG$1,$B56)</f>
        <v>0</v>
      </c>
      <c r="AH56" s="229">
        <f>_xll.DBRW(Server&amp;Cube1,$N$15,$N$16,$N$17,$N$18,$N$14,$N$13,AH$2,AH$1,$B56)</f>
        <v>304487.9499999996</v>
      </c>
      <c r="AI56" s="32"/>
      <c r="AJ56" s="229">
        <f>_xll.DBRW(Server&amp;Cube1,$N$15,$N$16,$N$17,$N$18,$N$14,$N$13,AJ$2,AJ$1,$B56)</f>
        <v>0</v>
      </c>
      <c r="AK56" s="229">
        <f>_xll.DBRW(Server&amp;Cube1,$N$15,$N$16,$N$17,$N$18,$N$14,$N$13,AK$2,AK$1,$B56)</f>
        <v>0</v>
      </c>
      <c r="AL56" s="229">
        <f>_xll.DBRW(Server&amp;Cube1,$N$15,$N$16,$N$17,$N$18,$N$14,$N$13,AL$2,AL$1,$B56)</f>
        <v>-157593276.86000007</v>
      </c>
      <c r="AM56" s="32"/>
      <c r="AN56" s="229">
        <f>_xll.DBRW(Server&amp;Cube1,$N$15,$N$16,$N$17,$N$18,$N$14,$N$13,AN$2,AN$1,$B56)</f>
        <v>0</v>
      </c>
      <c r="AO56" s="229">
        <f>_xll.DBRW(Server&amp;Cube1,$N$15,$N$16,$N$17,$N$18,$N$14,$N$13,AO$2,AO$1,$B56)</f>
        <v>0</v>
      </c>
      <c r="AP56" s="229">
        <f>_xll.DBRW(Server&amp;Cube1,$N$15,$N$16,$N$17,$N$18,$N$14,$N$13,AP$2,AP$1,$B56)</f>
        <v>-94830363.480000004</v>
      </c>
      <c r="AQ56" s="32"/>
      <c r="AR56" s="229">
        <f>_xll.DBRW(Server&amp;Cube1,$N$15,$N$16,$N$17,$N$18,$N$14,$N$13,AR$2,AR$1,$B56)</f>
        <v>0</v>
      </c>
      <c r="AS56" s="229">
        <f>_xll.DBRW(Server&amp;Cube1,$N$15,$N$16,$N$17,$N$18,$N$14,$N$13,AS$2,AS$1,$B56)</f>
        <v>0</v>
      </c>
      <c r="AT56" s="229">
        <f>_xll.DBRW(Server&amp;Cube1,$N$15,$N$16,$N$17,$N$18,$N$14,$N$13,AT$2,AT$1,$B56)</f>
        <v>-96101664.560000017</v>
      </c>
      <c r="AU56" s="32"/>
      <c r="AV56" s="229">
        <f>_xll.DBRW(Server&amp;Cube1,$N$15,$N$16,$N$17,$N$18,$N$14,$N$13,AV$2,AV$1,$B56)</f>
        <v>0</v>
      </c>
      <c r="AW56" s="229">
        <f>_xll.DBRW(Server&amp;Cube1,$N$15,$N$16,$N$17,$N$18,$N$14,$N$13,AW$2,AW$1,$B56)</f>
        <v>0</v>
      </c>
      <c r="AX56" s="229">
        <f>_xll.DBRW(Server&amp;Cube1,$N$15,$N$16,$N$17,$N$18,$N$14,$N$13,AX$2,AX$1,$B56)</f>
        <v>-97351378.069999993</v>
      </c>
      <c r="AY56" s="32"/>
      <c r="AZ56" s="229">
        <f>_xll.DBRW(Server&amp;Cube1,$N$15,$N$16,$N$17,$N$18,$N$14,$N$13,AZ$2,AZ$1,$B56)</f>
        <v>0</v>
      </c>
      <c r="BA56" s="229">
        <f>_xll.DBRW(Server&amp;Cube1,$N$15,$N$16,$N$17,$N$18,$N$14,$N$13,BA$2,BA$1,$B56)</f>
        <v>0</v>
      </c>
      <c r="BB56" s="229">
        <f>_xll.DBRW(Server&amp;Cube1,$N$15,$N$16,$N$17,$N$18,$N$14,$N$13,BB$2,BB$1,$B56)</f>
        <v>-86617881.460000038</v>
      </c>
      <c r="BC56" s="32"/>
      <c r="BD56" s="229">
        <f>_xll.DBRW(Server&amp;Cube1,$N$15,$N$16,$N$17,$N$18,$N$14,$N$13,BD$2,BD$1,$B56)</f>
        <v>-2842418.24</v>
      </c>
      <c r="BE56" s="229">
        <f>_xll.DBRW(Server&amp;Cube1,$N$15,$N$16,$N$17,$N$18,$N$14,$N$13,BE$2,BE$1,$B56)</f>
        <v>0</v>
      </c>
      <c r="BF56" s="229">
        <f>_xll.DBRW(Server&amp;Cube1,$N$15,$N$16,$N$17,$N$18,$N$14,$N$13,BF$2,BF$1,$B56)</f>
        <v>601842530.33999979</v>
      </c>
      <c r="BG56" s="32"/>
      <c r="BH56" s="229">
        <f>_xll.DBRW(Server&amp;Cube1,$N$15,$N$16,$N$17,$N$18,$N$14,$N$13,BH$2,BH$1,$B56)</f>
        <v>0</v>
      </c>
      <c r="BI56" s="229">
        <f>_xll.DBRW(Server&amp;Cube1,$N$15,$N$16,$N$17,$N$18,$N$14,$N$13,BI$2,BI$1,$B56)</f>
        <v>0</v>
      </c>
      <c r="BJ56" s="229">
        <f>_xll.DBRW(Server&amp;Cube1,$N$15,$N$16,$N$17,$N$18,$N$14,$N$13,BJ$2,BJ$1,$B56)</f>
        <v>-107257255.50999999</v>
      </c>
      <c r="BK56" s="32"/>
      <c r="BL56" s="229">
        <f>_xll.DBRW(Server&amp;Cube1,$N$15,$N$16,$N$17,$N$18,$N$14,$N$13,BL$2,BL$1,$B56)</f>
        <v>0</v>
      </c>
      <c r="BM56" s="229">
        <f>_xll.DBRW(Server&amp;Cube1,$N$15,$N$16,$N$17,$N$18,$N$14,$N$13,BM$2,BM$1,$B56)</f>
        <v>0</v>
      </c>
      <c r="BN56" s="229">
        <f>_xll.DBRW(Server&amp;Cube1,$N$15,$N$16,$N$17,$N$18,$N$14,$N$13,BN$2,BN$1,$B56)</f>
        <v>-102381782.36000001</v>
      </c>
      <c r="BO56" s="32"/>
      <c r="BP56" s="229">
        <f>_xll.DBRW(Server&amp;Cube1,$N$15,$N$16,$N$17,$N$18,$N$14,$N$13,BP$2,BP$1,$B56)</f>
        <v>0</v>
      </c>
      <c r="BQ56" s="229">
        <f>_xll.DBRW(Server&amp;Cube1,$N$15,$N$16,$N$17,$N$18,$N$14,$N$13,BQ$2,BQ$1,$B56)</f>
        <v>0</v>
      </c>
      <c r="BR56" s="229">
        <f>_xll.DBRW(Server&amp;Cube1,$N$15,$N$16,$N$17,$N$18,$N$14,$N$13,BR$2,BR$1,$B56)</f>
        <v>-111955135.03999998</v>
      </c>
      <c r="BS56" s="32"/>
      <c r="BT56" s="229">
        <f>_xll.DBRW(Server&amp;Cube1,$N$15,$N$16,$N$17,$N$18,$N$14,$N$13,BT$2,BT$1,$B56)</f>
        <v>0</v>
      </c>
      <c r="BU56" s="229">
        <f>_xll.DBRW(Server&amp;Cube1,$N$15,$N$16,$N$17,$N$18,$N$14,$N$13,BU$2,BU$1,$B56)</f>
        <v>0</v>
      </c>
      <c r="BV56" s="229">
        <f>_xll.DBRW(Server&amp;Cube1,$N$15,$N$16,$N$17,$N$18,$N$14,$N$13,BV$2,BV$1,$B56)</f>
        <v>-102624102.37</v>
      </c>
      <c r="BW56" s="54"/>
      <c r="BX56" s="28"/>
    </row>
    <row r="57" spans="1:78" s="34" customFormat="1" ht="19.5" hidden="1" customHeight="1" outlineLevel="1" x14ac:dyDescent="0.6">
      <c r="A57" s="56"/>
      <c r="B57" s="54" t="s">
        <v>49</v>
      </c>
      <c r="C57" s="9"/>
      <c r="D57" s="1"/>
      <c r="E57" s="1"/>
      <c r="H57" s="54"/>
      <c r="I57" s="68"/>
      <c r="J57" s="53"/>
      <c r="K57" s="9"/>
      <c r="L57" s="552" t="str">
        <f>_xll.DBRA(Server&amp;$B$32,$B57,$N$19)</f>
        <v>Amortization of pensions</v>
      </c>
      <c r="M57" s="552"/>
      <c r="N57" s="552"/>
      <c r="O57" s="552"/>
      <c r="P57" s="112"/>
      <c r="Q57" s="229">
        <f>_xll.DBRW(Server&amp;Cube1,$N$15,$N$16,$N$17,$N$18,$N$14,$N$13,$N$11,$Q$1,$B57)</f>
        <v>0</v>
      </c>
      <c r="R57" s="229">
        <f>_xll.DBRW(Server&amp;Cube1,$N$15,$N$16,$N$17,$N$18,$N$14,$N$13,$R$2,$R$1,$B57)</f>
        <v>0</v>
      </c>
      <c r="S57" s="230">
        <f>Q57-R57</f>
        <v>0</v>
      </c>
      <c r="T57" s="232">
        <f>IF(R57&lt;&gt;0,IF(R57&gt;0,S57/R57,-S57/R57),0)</f>
        <v>0</v>
      </c>
      <c r="U57" s="218"/>
      <c r="V57" s="229">
        <f>_xll.DBRW(Server&amp;Cube1,$N$15,$N$16,$N$17,$N$18,$N$14,$N$13,$V$2,$V$1,$B57)</f>
        <v>-12000</v>
      </c>
      <c r="W57" s="230">
        <f>Q57-V57</f>
        <v>12000</v>
      </c>
      <c r="X57" s="232">
        <f>IF(V57&lt;&gt;0,IF(V57&gt;0,W57/V57,-W57/V57),0)</f>
        <v>1</v>
      </c>
      <c r="Y57" s="54"/>
      <c r="Z57" s="54"/>
      <c r="AA57" s="54"/>
      <c r="AB57" s="229">
        <f>_xll.DBRW(Server&amp;Cube1,$N$15,$N$16,$N$17,$N$18,$N$14,$N$13,AB$2,AB$1,$B57)</f>
        <v>0</v>
      </c>
      <c r="AC57" s="229">
        <f>_xll.DBRW(Server&amp;Cube1,$N$15,$N$16,$N$17,$N$18,$N$14,$N$13,AC$2,AC$1,$B57)</f>
        <v>0</v>
      </c>
      <c r="AD57" s="229">
        <f>_xll.DBRW(Server&amp;Cube1,$N$15,$N$16,$N$17,$N$18,$N$14,$N$13,AD$2,AD$1,$B57)</f>
        <v>-7000</v>
      </c>
      <c r="AE57" s="32"/>
      <c r="AF57" s="229">
        <f>_xll.DBRW(Server&amp;Cube1,$N$15,$N$16,$N$17,$N$18,$N$14,$N$13,AF$2,AF$1,$B57)</f>
        <v>0</v>
      </c>
      <c r="AG57" s="229">
        <f>_xll.DBRW(Server&amp;Cube1,$N$15,$N$16,$N$17,$N$18,$N$14,$N$13,AG$2,AG$1,$B57)</f>
        <v>0</v>
      </c>
      <c r="AH57" s="229">
        <f>_xll.DBRW(Server&amp;Cube1,$N$15,$N$16,$N$17,$N$18,$N$14,$N$13,AH$2,AH$1,$B57)</f>
        <v>0</v>
      </c>
      <c r="AI57" s="32"/>
      <c r="AJ57" s="229">
        <f>_xll.DBRW(Server&amp;Cube1,$N$15,$N$16,$N$17,$N$18,$N$14,$N$13,AJ$2,AJ$1,$B57)</f>
        <v>0</v>
      </c>
      <c r="AK57" s="229">
        <f>_xll.DBRW(Server&amp;Cube1,$N$15,$N$16,$N$17,$N$18,$N$14,$N$13,AK$2,AK$1,$B57)</f>
        <v>0</v>
      </c>
      <c r="AL57" s="229">
        <f>_xll.DBRW(Server&amp;Cube1,$N$15,$N$16,$N$17,$N$18,$N$14,$N$13,AL$2,AL$1,$B57)</f>
        <v>-5000</v>
      </c>
      <c r="AM57" s="32"/>
      <c r="AN57" s="229">
        <f>_xll.DBRW(Server&amp;Cube1,$N$15,$N$16,$N$17,$N$18,$N$14,$N$13,AN$2,AN$1,$B57)</f>
        <v>0</v>
      </c>
      <c r="AO57" s="229">
        <f>_xll.DBRW(Server&amp;Cube1,$N$15,$N$16,$N$17,$N$18,$N$14,$N$13,AO$2,AO$1,$B57)</f>
        <v>0</v>
      </c>
      <c r="AP57" s="229">
        <f>_xll.DBRW(Server&amp;Cube1,$N$15,$N$16,$N$17,$N$18,$N$14,$N$13,AP$2,AP$1,$B57)</f>
        <v>0</v>
      </c>
      <c r="AQ57" s="32"/>
      <c r="AR57" s="229">
        <f>_xll.DBRW(Server&amp;Cube1,$N$15,$N$16,$N$17,$N$18,$N$14,$N$13,AR$2,AR$1,$B57)</f>
        <v>0</v>
      </c>
      <c r="AS57" s="229">
        <f>_xll.DBRW(Server&amp;Cube1,$N$15,$N$16,$N$17,$N$18,$N$14,$N$13,AS$2,AS$1,$B57)</f>
        <v>0</v>
      </c>
      <c r="AT57" s="229">
        <f>_xll.DBRW(Server&amp;Cube1,$N$15,$N$16,$N$17,$N$18,$N$14,$N$13,AT$2,AT$1,$B57)</f>
        <v>0</v>
      </c>
      <c r="AU57" s="32"/>
      <c r="AV57" s="229">
        <f>_xll.DBRW(Server&amp;Cube1,$N$15,$N$16,$N$17,$N$18,$N$14,$N$13,AV$2,AV$1,$B57)</f>
        <v>0</v>
      </c>
      <c r="AW57" s="229">
        <f>_xll.DBRW(Server&amp;Cube1,$N$15,$N$16,$N$17,$N$18,$N$14,$N$13,AW$2,AW$1,$B57)</f>
        <v>0</v>
      </c>
      <c r="AX57" s="229">
        <f>_xll.DBRW(Server&amp;Cube1,$N$15,$N$16,$N$17,$N$18,$N$14,$N$13,AX$2,AX$1,$B57)</f>
        <v>0</v>
      </c>
      <c r="AY57" s="32"/>
      <c r="AZ57" s="229">
        <f>_xll.DBRW(Server&amp;Cube1,$N$15,$N$16,$N$17,$N$18,$N$14,$N$13,AZ$2,AZ$1,$B57)</f>
        <v>0</v>
      </c>
      <c r="BA57" s="229">
        <f>_xll.DBRW(Server&amp;Cube1,$N$15,$N$16,$N$17,$N$18,$N$14,$N$13,BA$2,BA$1,$B57)</f>
        <v>0</v>
      </c>
      <c r="BB57" s="229">
        <f>_xll.DBRW(Server&amp;Cube1,$N$15,$N$16,$N$17,$N$18,$N$14,$N$13,BB$2,BB$1,$B57)</f>
        <v>0</v>
      </c>
      <c r="BC57" s="32"/>
      <c r="BD57" s="229">
        <f>_xll.DBRW(Server&amp;Cube1,$N$15,$N$16,$N$17,$N$18,$N$14,$N$13,BD$2,BD$1,$B57)</f>
        <v>0</v>
      </c>
      <c r="BE57" s="229">
        <f>_xll.DBRW(Server&amp;Cube1,$N$15,$N$16,$N$17,$N$18,$N$14,$N$13,BE$2,BE$1,$B57)</f>
        <v>0</v>
      </c>
      <c r="BF57" s="229">
        <f>_xll.DBRW(Server&amp;Cube1,$N$15,$N$16,$N$17,$N$18,$N$14,$N$13,BF$2,BF$1,$B57)</f>
        <v>0</v>
      </c>
      <c r="BG57" s="32"/>
      <c r="BH57" s="229">
        <f>_xll.DBRW(Server&amp;Cube1,$N$15,$N$16,$N$17,$N$18,$N$14,$N$13,BH$2,BH$1,$B57)</f>
        <v>0</v>
      </c>
      <c r="BI57" s="229">
        <f>_xll.DBRW(Server&amp;Cube1,$N$15,$N$16,$N$17,$N$18,$N$14,$N$13,BI$2,BI$1,$B57)</f>
        <v>0</v>
      </c>
      <c r="BJ57" s="229">
        <f>_xll.DBRW(Server&amp;Cube1,$N$15,$N$16,$N$17,$N$18,$N$14,$N$13,BJ$2,BJ$1,$B57)</f>
        <v>0</v>
      </c>
      <c r="BK57" s="32"/>
      <c r="BL57" s="229">
        <f>_xll.DBRW(Server&amp;Cube1,$N$15,$N$16,$N$17,$N$18,$N$14,$N$13,BL$2,BL$1,$B57)</f>
        <v>0</v>
      </c>
      <c r="BM57" s="229">
        <f>_xll.DBRW(Server&amp;Cube1,$N$15,$N$16,$N$17,$N$18,$N$14,$N$13,BM$2,BM$1,$B57)</f>
        <v>0</v>
      </c>
      <c r="BN57" s="229">
        <f>_xll.DBRW(Server&amp;Cube1,$N$15,$N$16,$N$17,$N$18,$N$14,$N$13,BN$2,BN$1,$B57)</f>
        <v>0</v>
      </c>
      <c r="BO57" s="32"/>
      <c r="BP57" s="229">
        <f>_xll.DBRW(Server&amp;Cube1,$N$15,$N$16,$N$17,$N$18,$N$14,$N$13,BP$2,BP$1,$B57)</f>
        <v>0</v>
      </c>
      <c r="BQ57" s="229">
        <f>_xll.DBRW(Server&amp;Cube1,$N$15,$N$16,$N$17,$N$18,$N$14,$N$13,BQ$2,BQ$1,$B57)</f>
        <v>0</v>
      </c>
      <c r="BR57" s="229">
        <f>_xll.DBRW(Server&amp;Cube1,$N$15,$N$16,$N$17,$N$18,$N$14,$N$13,BR$2,BR$1,$B57)</f>
        <v>-267725.90999999997</v>
      </c>
      <c r="BS57" s="32"/>
      <c r="BT57" s="229">
        <f>_xll.DBRW(Server&amp;Cube1,$N$15,$N$16,$N$17,$N$18,$N$14,$N$13,BT$2,BT$1,$B57)</f>
        <v>0</v>
      </c>
      <c r="BU57" s="229">
        <f>_xll.DBRW(Server&amp;Cube1,$N$15,$N$16,$N$17,$N$18,$N$14,$N$13,BU$2,BU$1,$B57)</f>
        <v>0</v>
      </c>
      <c r="BV57" s="229">
        <f>_xll.DBRW(Server&amp;Cube1,$N$15,$N$16,$N$17,$N$18,$N$14,$N$13,BV$2,BV$1,$B57)</f>
        <v>0.90999999997438863</v>
      </c>
      <c r="BW57" s="54"/>
      <c r="BX57" s="28"/>
    </row>
    <row r="58" spans="1:78" s="34" customFormat="1" ht="19.5" hidden="1" customHeight="1" outlineLevel="1" x14ac:dyDescent="0.6">
      <c r="A58" s="56"/>
      <c r="B58" s="54" t="s">
        <v>50</v>
      </c>
      <c r="C58" s="9"/>
      <c r="D58" s="1"/>
      <c r="E58" s="1"/>
      <c r="H58" s="54"/>
      <c r="I58" s="68"/>
      <c r="J58" s="53"/>
      <c r="K58" s="9"/>
      <c r="L58" s="552" t="str">
        <f>LEFT(_xll.DBRA(Server&amp;$B$32,$B58,$N$19),FIND("(",_xll.DBRA(Server&amp;$B$32,$B58,$N$19),1)-1)</f>
        <v xml:space="preserve">Impairment </v>
      </c>
      <c r="M58" s="552"/>
      <c r="N58" s="552"/>
      <c r="O58" s="552"/>
      <c r="P58" s="112"/>
      <c r="Q58" s="229">
        <f>_xll.DBRW(Server&amp;Cube1,$N$15,$N$16,$N$17,$N$18,$N$14,$N$13,$N$11,$Q$1,$B58)</f>
        <v>584180.77000000014</v>
      </c>
      <c r="R58" s="229">
        <f>_xll.DBRW(Server&amp;Cube1,$N$15,$N$16,$N$17,$N$18,$N$14,$N$13,$R$2,$R$1,$B58)</f>
        <v>0</v>
      </c>
      <c r="S58" s="230">
        <f>Q58-R58</f>
        <v>584180.77000000014</v>
      </c>
      <c r="T58" s="232">
        <f>IF(R58&lt;&gt;0,IF(R58&gt;0,S58/R58,-S58/R58),0)</f>
        <v>0</v>
      </c>
      <c r="U58" s="218"/>
      <c r="V58" s="229">
        <f>_xll.DBRW(Server&amp;Cube1,$N$15,$N$16,$N$17,$N$18,$N$14,$N$13,$V$2,$V$1,$B58)</f>
        <v>5002498.24</v>
      </c>
      <c r="W58" s="230">
        <f>Q58-V58</f>
        <v>-4418317.47</v>
      </c>
      <c r="X58" s="232">
        <f>IF(V58&lt;&gt;0,IF(V58&gt;0,W58/V58,-W58/V58),0)</f>
        <v>-0.88322219379731348</v>
      </c>
      <c r="Y58" s="54"/>
      <c r="Z58" s="54"/>
      <c r="AA58" s="54"/>
      <c r="AB58" s="233">
        <f>_xll.DBRW(Server&amp;Cube1,$N$15,$N$16,$N$17,$N$18,$N$14,$N$13,AB$2,AB$1,$B58)</f>
        <v>0</v>
      </c>
      <c r="AC58" s="233">
        <f>_xll.DBRW(Server&amp;Cube1,$N$15,$N$16,$N$17,$N$18,$N$14,$N$13,AC$2,AC$1,$B58)</f>
        <v>0</v>
      </c>
      <c r="AD58" s="233">
        <f>_xll.DBRW(Server&amp;Cube1,$N$15,$N$16,$N$17,$N$18,$N$14,$N$13,AD$2,AD$1,$B58)</f>
        <v>-74486.37</v>
      </c>
      <c r="AE58" s="32"/>
      <c r="AF58" s="233">
        <f>_xll.DBRW(Server&amp;Cube1,$N$15,$N$16,$N$17,$N$18,$N$14,$N$13,AF$2,AF$1,$B58)</f>
        <v>0</v>
      </c>
      <c r="AG58" s="233">
        <f>_xll.DBRW(Server&amp;Cube1,$N$15,$N$16,$N$17,$N$18,$N$14,$N$13,AG$2,AG$1,$B58)</f>
        <v>0</v>
      </c>
      <c r="AH58" s="233">
        <f>_xll.DBRW(Server&amp;Cube1,$N$15,$N$16,$N$17,$N$18,$N$14,$N$13,AH$2,AH$1,$B58)</f>
        <v>3662941.41</v>
      </c>
      <c r="AI58" s="32"/>
      <c r="AJ58" s="233">
        <f>_xll.DBRW(Server&amp;Cube1,$N$15,$N$16,$N$17,$N$18,$N$14,$N$13,AJ$2,AJ$1,$B58)</f>
        <v>0</v>
      </c>
      <c r="AK58" s="233">
        <f>_xll.DBRW(Server&amp;Cube1,$N$15,$N$16,$N$17,$N$18,$N$14,$N$13,AK$2,AK$1,$B58)</f>
        <v>0</v>
      </c>
      <c r="AL58" s="233">
        <f>_xll.DBRW(Server&amp;Cube1,$N$15,$N$16,$N$17,$N$18,$N$14,$N$13,AL$2,AL$1,$B58)</f>
        <v>539035.51</v>
      </c>
      <c r="AM58" s="32"/>
      <c r="AN58" s="233">
        <f>_xll.DBRW(Server&amp;Cube1,$N$15,$N$16,$N$17,$N$18,$N$14,$N$13,AN$2,AN$1,$B58)</f>
        <v>0</v>
      </c>
      <c r="AO58" s="233">
        <f>_xll.DBRW(Server&amp;Cube1,$N$15,$N$16,$N$17,$N$18,$N$14,$N$13,AO$2,AO$1,$B58)</f>
        <v>0</v>
      </c>
      <c r="AP58" s="233">
        <f>_xll.DBRW(Server&amp;Cube1,$N$15,$N$16,$N$17,$N$18,$N$14,$N$13,AP$2,AP$1,$B58)</f>
        <v>93862.959999999992</v>
      </c>
      <c r="AQ58" s="32"/>
      <c r="AR58" s="233">
        <f>_xll.DBRW(Server&amp;Cube1,$N$15,$N$16,$N$17,$N$18,$N$14,$N$13,AR$2,AR$1,$B58)</f>
        <v>0</v>
      </c>
      <c r="AS58" s="233">
        <f>_xll.DBRW(Server&amp;Cube1,$N$15,$N$16,$N$17,$N$18,$N$14,$N$13,AS$2,AS$1,$B58)</f>
        <v>0</v>
      </c>
      <c r="AT58" s="233">
        <f>_xll.DBRW(Server&amp;Cube1,$N$15,$N$16,$N$17,$N$18,$N$14,$N$13,AT$2,AT$1,$B58)</f>
        <v>586668.44000000006</v>
      </c>
      <c r="AU58" s="32"/>
      <c r="AV58" s="233">
        <f>_xll.DBRW(Server&amp;Cube1,$N$15,$N$16,$N$17,$N$18,$N$14,$N$13,AV$2,AV$1,$B58)</f>
        <v>0</v>
      </c>
      <c r="AW58" s="233">
        <f>_xll.DBRW(Server&amp;Cube1,$N$15,$N$16,$N$17,$N$18,$N$14,$N$13,AW$2,AW$1,$B58)</f>
        <v>0</v>
      </c>
      <c r="AX58" s="233">
        <f>_xll.DBRW(Server&amp;Cube1,$N$15,$N$16,$N$17,$N$18,$N$14,$N$13,AX$2,AX$1,$B58)</f>
        <v>-163476.29000000027</v>
      </c>
      <c r="AY58" s="32"/>
      <c r="AZ58" s="233">
        <f>_xll.DBRW(Server&amp;Cube1,$N$15,$N$16,$N$17,$N$18,$N$14,$N$13,AZ$2,AZ$1,$B58)</f>
        <v>0</v>
      </c>
      <c r="BA58" s="233">
        <f>_xll.DBRW(Server&amp;Cube1,$N$15,$N$16,$N$17,$N$18,$N$14,$N$13,BA$2,BA$1,$B58)</f>
        <v>0</v>
      </c>
      <c r="BB58" s="233">
        <f>_xll.DBRW(Server&amp;Cube1,$N$15,$N$16,$N$17,$N$18,$N$14,$N$13,BB$2,BB$1,$B58)</f>
        <v>-158726.42999999996</v>
      </c>
      <c r="BC58" s="32"/>
      <c r="BD58" s="233">
        <f>_xll.DBRW(Server&amp;Cube1,$N$15,$N$16,$N$17,$N$18,$N$14,$N$13,BD$2,BD$1,$B58)</f>
        <v>584180.77000000014</v>
      </c>
      <c r="BE58" s="233">
        <f>_xll.DBRW(Server&amp;Cube1,$N$15,$N$16,$N$17,$N$18,$N$14,$N$13,BE$2,BE$1,$B58)</f>
        <v>0</v>
      </c>
      <c r="BF58" s="233">
        <f>_xll.DBRW(Server&amp;Cube1,$N$15,$N$16,$N$17,$N$18,$N$14,$N$13,BF$2,BF$1,$B58)</f>
        <v>516679.01</v>
      </c>
      <c r="BG58" s="32"/>
      <c r="BH58" s="233">
        <f>_xll.DBRW(Server&amp;Cube1,$N$15,$N$16,$N$17,$N$18,$N$14,$N$13,BH$2,BH$1,$B58)</f>
        <v>0</v>
      </c>
      <c r="BI58" s="233">
        <f>_xll.DBRW(Server&amp;Cube1,$N$15,$N$16,$N$17,$N$18,$N$14,$N$13,BI$2,BI$1,$B58)</f>
        <v>0</v>
      </c>
      <c r="BJ58" s="233">
        <f>_xll.DBRW(Server&amp;Cube1,$N$15,$N$16,$N$17,$N$18,$N$14,$N$13,BJ$2,BJ$1,$B58)</f>
        <v>-2246185.1300000004</v>
      </c>
      <c r="BK58" s="32"/>
      <c r="BL58" s="233">
        <f>_xll.DBRW(Server&amp;Cube1,$N$15,$N$16,$N$17,$N$18,$N$14,$N$13,BL$2,BL$1,$B58)</f>
        <v>0</v>
      </c>
      <c r="BM58" s="233">
        <f>_xll.DBRW(Server&amp;Cube1,$N$15,$N$16,$N$17,$N$18,$N$14,$N$13,BM$2,BM$1,$B58)</f>
        <v>0</v>
      </c>
      <c r="BN58" s="233">
        <f>_xll.DBRW(Server&amp;Cube1,$N$15,$N$16,$N$17,$N$18,$N$14,$N$13,BN$2,BN$1,$B58)</f>
        <v>-569560.68999999971</v>
      </c>
      <c r="BO58" s="32"/>
      <c r="BP58" s="233">
        <f>_xll.DBRW(Server&amp;Cube1,$N$15,$N$16,$N$17,$N$18,$N$14,$N$13,BP$2,BP$1,$B58)</f>
        <v>0</v>
      </c>
      <c r="BQ58" s="233">
        <f>_xll.DBRW(Server&amp;Cube1,$N$15,$N$16,$N$17,$N$18,$N$14,$N$13,BQ$2,BQ$1,$B58)</f>
        <v>0</v>
      </c>
      <c r="BR58" s="233">
        <f>_xll.DBRW(Server&amp;Cube1,$N$15,$N$16,$N$17,$N$18,$N$14,$N$13,BR$2,BR$1,$B58)</f>
        <v>1842492.3999999994</v>
      </c>
      <c r="BS58" s="32"/>
      <c r="BT58" s="233">
        <f>_xll.DBRW(Server&amp;Cube1,$N$15,$N$16,$N$17,$N$18,$N$14,$N$13,BT$2,BT$1,$B58)</f>
        <v>0</v>
      </c>
      <c r="BU58" s="233">
        <f>_xll.DBRW(Server&amp;Cube1,$N$15,$N$16,$N$17,$N$18,$N$14,$N$13,BU$2,BU$1,$B58)</f>
        <v>0</v>
      </c>
      <c r="BV58" s="233">
        <f>_xll.DBRW(Server&amp;Cube1,$N$15,$N$16,$N$17,$N$18,$N$14,$N$13,BV$2,BV$1,$B58)</f>
        <v>460367.18000000063</v>
      </c>
      <c r="BW58" s="54"/>
      <c r="BX58" s="28"/>
    </row>
    <row r="59" spans="1:78" s="34" customFormat="1" ht="19.5" hidden="1" customHeight="1" outlineLevel="1" x14ac:dyDescent="0.6">
      <c r="A59" s="56"/>
      <c r="B59" s="54" t="s">
        <v>48</v>
      </c>
      <c r="C59" s="9"/>
      <c r="D59" s="1"/>
      <c r="E59" s="1"/>
      <c r="H59" s="54"/>
      <c r="I59" s="68"/>
      <c r="J59" s="53"/>
      <c r="K59" s="9"/>
      <c r="L59" s="552" t="str">
        <f>LEFT(_xll.DBRA(Server&amp;$B$32,$B59,$N$19),FIND("(",_xll.DBRA(Server&amp;$B$32,$B59,$N$19),1)-1)</f>
        <v xml:space="preserve">Reinvoicing - Others </v>
      </c>
      <c r="M59" s="552"/>
      <c r="N59" s="552"/>
      <c r="O59" s="552"/>
      <c r="P59" s="112"/>
      <c r="Q59" s="229">
        <f>_xll.DBRW(Server&amp;Cube1,$N$15,$N$16,$N$17,$N$18,$N$14,$N$13,$N$11,$Q$1,$B59)</f>
        <v>2109161.15</v>
      </c>
      <c r="R59" s="229">
        <f>_xll.DBRW(Server&amp;Cube1,$N$15,$N$16,$N$17,$N$18,$N$14,$N$13,$R$2,$R$1,$B59)</f>
        <v>0</v>
      </c>
      <c r="S59" s="230">
        <f t="shared" si="12"/>
        <v>2109161.15</v>
      </c>
      <c r="T59" s="232">
        <f t="shared" si="13"/>
        <v>0</v>
      </c>
      <c r="U59" s="218"/>
      <c r="V59" s="229">
        <f>_xll.DBRW(Server&amp;Cube1,$N$15,$N$16,$N$17,$N$18,$N$14,$N$13,$V$2,$V$1,$B59)</f>
        <v>9993160.1699999999</v>
      </c>
      <c r="W59" s="230">
        <f t="shared" si="14"/>
        <v>-7883999.0199999996</v>
      </c>
      <c r="X59" s="232">
        <f t="shared" si="15"/>
        <v>-0.78893952322191185</v>
      </c>
      <c r="Y59" s="54"/>
      <c r="Z59" s="54"/>
      <c r="AA59" s="54"/>
      <c r="AB59" s="229">
        <f>_xll.DBRW(Server&amp;Cube1,$N$15,$N$16,$N$17,$N$18,$N$14,$N$13,AB$2,AB$1,$B59)</f>
        <v>0</v>
      </c>
      <c r="AC59" s="229">
        <f>_xll.DBRW(Server&amp;Cube1,$N$15,$N$16,$N$17,$N$18,$N$14,$N$13,AC$2,AC$1,$B59)</f>
        <v>0</v>
      </c>
      <c r="AD59" s="229">
        <f>_xll.DBRW(Server&amp;Cube1,$N$15,$N$16,$N$17,$N$18,$N$14,$N$13,AD$2,AD$1,$B59)</f>
        <v>1313807.6400000001</v>
      </c>
      <c r="AE59" s="32"/>
      <c r="AF59" s="229">
        <f>_xll.DBRW(Server&amp;Cube1,$N$15,$N$16,$N$17,$N$18,$N$14,$N$13,AF$2,AF$1,$B59)</f>
        <v>0</v>
      </c>
      <c r="AG59" s="229">
        <f>_xll.DBRW(Server&amp;Cube1,$N$15,$N$16,$N$17,$N$18,$N$14,$N$13,AG$2,AG$1,$B59)</f>
        <v>0</v>
      </c>
      <c r="AH59" s="229">
        <f>_xll.DBRW(Server&amp;Cube1,$N$15,$N$16,$N$17,$N$18,$N$14,$N$13,AH$2,AH$1,$B59)</f>
        <v>479188.55000000016</v>
      </c>
      <c r="AI59" s="32"/>
      <c r="AJ59" s="229">
        <f>_xll.DBRW(Server&amp;Cube1,$N$15,$N$16,$N$17,$N$18,$N$14,$N$13,AJ$2,AJ$1,$B59)</f>
        <v>0</v>
      </c>
      <c r="AK59" s="229">
        <f>_xll.DBRW(Server&amp;Cube1,$N$15,$N$16,$N$17,$N$18,$N$14,$N$13,AK$2,AK$1,$B59)</f>
        <v>0</v>
      </c>
      <c r="AL59" s="229">
        <f>_xll.DBRW(Server&amp;Cube1,$N$15,$N$16,$N$17,$N$18,$N$14,$N$13,AL$2,AL$1,$B59)</f>
        <v>1218527.8499999999</v>
      </c>
      <c r="AM59" s="32"/>
      <c r="AN59" s="229">
        <f>_xll.DBRW(Server&amp;Cube1,$N$15,$N$16,$N$17,$N$18,$N$14,$N$13,AN$2,AN$1,$B59)</f>
        <v>0</v>
      </c>
      <c r="AO59" s="229">
        <f>_xll.DBRW(Server&amp;Cube1,$N$15,$N$16,$N$17,$N$18,$N$14,$N$13,AO$2,AO$1,$B59)</f>
        <v>0</v>
      </c>
      <c r="AP59" s="229">
        <f>_xll.DBRW(Server&amp;Cube1,$N$15,$N$16,$N$17,$N$18,$N$14,$N$13,AP$2,AP$1,$B59)</f>
        <v>982981.8600000001</v>
      </c>
      <c r="AQ59" s="32"/>
      <c r="AR59" s="229">
        <f>_xll.DBRW(Server&amp;Cube1,$N$15,$N$16,$N$17,$N$18,$N$14,$N$13,AR$2,AR$1,$B59)</f>
        <v>0</v>
      </c>
      <c r="AS59" s="229">
        <f>_xll.DBRW(Server&amp;Cube1,$N$15,$N$16,$N$17,$N$18,$N$14,$N$13,AS$2,AS$1,$B59)</f>
        <v>0</v>
      </c>
      <c r="AT59" s="229">
        <f>_xll.DBRW(Server&amp;Cube1,$N$15,$N$16,$N$17,$N$18,$N$14,$N$13,AT$2,AT$1,$B59)</f>
        <v>1132731.1000000001</v>
      </c>
      <c r="AU59" s="32"/>
      <c r="AV59" s="229">
        <f>_xll.DBRW(Server&amp;Cube1,$N$15,$N$16,$N$17,$N$18,$N$14,$N$13,AV$2,AV$1,$B59)</f>
        <v>0</v>
      </c>
      <c r="AW59" s="229">
        <f>_xll.DBRW(Server&amp;Cube1,$N$15,$N$16,$N$17,$N$18,$N$14,$N$13,AW$2,AW$1,$B59)</f>
        <v>0</v>
      </c>
      <c r="AX59" s="229">
        <f>_xll.DBRW(Server&amp;Cube1,$N$15,$N$16,$N$17,$N$18,$N$14,$N$13,AX$2,AX$1,$B59)</f>
        <v>1464598.1900000004</v>
      </c>
      <c r="AY59" s="32"/>
      <c r="AZ59" s="229">
        <f>_xll.DBRW(Server&amp;Cube1,$N$15,$N$16,$N$17,$N$18,$N$14,$N$13,AZ$2,AZ$1,$B59)</f>
        <v>0</v>
      </c>
      <c r="BA59" s="229">
        <f>_xll.DBRW(Server&amp;Cube1,$N$15,$N$16,$N$17,$N$18,$N$14,$N$13,BA$2,BA$1,$B59)</f>
        <v>0</v>
      </c>
      <c r="BB59" s="229">
        <f>_xll.DBRW(Server&amp;Cube1,$N$15,$N$16,$N$17,$N$18,$N$14,$N$13,BB$2,BB$1,$B59)</f>
        <v>759000.52</v>
      </c>
      <c r="BC59" s="32"/>
      <c r="BD59" s="229">
        <f>_xll.DBRW(Server&amp;Cube1,$N$15,$N$16,$N$17,$N$18,$N$14,$N$13,BD$2,BD$1,$B59)</f>
        <v>2109161.1500000004</v>
      </c>
      <c r="BE59" s="229">
        <f>_xll.DBRW(Server&amp;Cube1,$N$15,$N$16,$N$17,$N$18,$N$14,$N$13,BE$2,BE$1,$B59)</f>
        <v>0</v>
      </c>
      <c r="BF59" s="229">
        <f>_xll.DBRW(Server&amp;Cube1,$N$15,$N$16,$N$17,$N$18,$N$14,$N$13,BF$2,BF$1,$B59)</f>
        <v>2642324.4599999995</v>
      </c>
      <c r="BG59" s="32"/>
      <c r="BH59" s="229">
        <f>_xll.DBRW(Server&amp;Cube1,$N$15,$N$16,$N$17,$N$18,$N$14,$N$13,BH$2,BH$1,$B59)</f>
        <v>0</v>
      </c>
      <c r="BI59" s="229">
        <f>_xll.DBRW(Server&amp;Cube1,$N$15,$N$16,$N$17,$N$18,$N$14,$N$13,BI$2,BI$1,$B59)</f>
        <v>0</v>
      </c>
      <c r="BJ59" s="229">
        <f>_xll.DBRW(Server&amp;Cube1,$N$15,$N$16,$N$17,$N$18,$N$14,$N$13,BJ$2,BJ$1,$B59)</f>
        <v>1076097.8799999999</v>
      </c>
      <c r="BK59" s="32"/>
      <c r="BL59" s="229">
        <f>_xll.DBRW(Server&amp;Cube1,$N$15,$N$16,$N$17,$N$18,$N$14,$N$13,BL$2,BL$1,$B59)</f>
        <v>0</v>
      </c>
      <c r="BM59" s="229">
        <f>_xll.DBRW(Server&amp;Cube1,$N$15,$N$16,$N$17,$N$18,$N$14,$N$13,BM$2,BM$1,$B59)</f>
        <v>0</v>
      </c>
      <c r="BN59" s="229">
        <f>_xll.DBRW(Server&amp;Cube1,$N$15,$N$16,$N$17,$N$18,$N$14,$N$13,BN$2,BN$1,$B59)</f>
        <v>-1250926.4900000002</v>
      </c>
      <c r="BO59" s="32"/>
      <c r="BP59" s="229">
        <f>_xll.DBRW(Server&amp;Cube1,$N$15,$N$16,$N$17,$N$18,$N$14,$N$13,BP$2,BP$1,$B59)</f>
        <v>0</v>
      </c>
      <c r="BQ59" s="229">
        <f>_xll.DBRW(Server&amp;Cube1,$N$15,$N$16,$N$17,$N$18,$N$14,$N$13,BQ$2,BQ$1,$B59)</f>
        <v>0</v>
      </c>
      <c r="BR59" s="229">
        <f>_xll.DBRW(Server&amp;Cube1,$N$15,$N$16,$N$17,$N$18,$N$14,$N$13,BR$2,BR$1,$B59)</f>
        <v>3488319.1000000006</v>
      </c>
      <c r="BS59" s="32"/>
      <c r="BT59" s="229">
        <f>_xll.DBRW(Server&amp;Cube1,$N$15,$N$16,$N$17,$N$18,$N$14,$N$13,BT$2,BT$1,$B59)</f>
        <v>0</v>
      </c>
      <c r="BU59" s="229">
        <f>_xll.DBRW(Server&amp;Cube1,$N$15,$N$16,$N$17,$N$18,$N$14,$N$13,BU$2,BU$1,$B59)</f>
        <v>0</v>
      </c>
      <c r="BV59" s="229">
        <f>_xll.DBRW(Server&amp;Cube1,$N$15,$N$16,$N$17,$N$18,$N$14,$N$13,BV$2,BV$1,$B59)</f>
        <v>1712443.0799999996</v>
      </c>
      <c r="BW59" s="54"/>
      <c r="BX59" s="28"/>
    </row>
    <row r="60" spans="1:78" s="34" customFormat="1" ht="3" customHeight="1" x14ac:dyDescent="0.6">
      <c r="A60" s="135"/>
      <c r="B60" s="54"/>
      <c r="C60" s="9"/>
      <c r="D60" s="1"/>
      <c r="E60" s="1"/>
      <c r="H60" s="54"/>
      <c r="I60" s="68"/>
      <c r="J60" s="53"/>
      <c r="K60" s="68"/>
      <c r="L60" s="68"/>
      <c r="M60" s="54"/>
      <c r="N60" s="54"/>
      <c r="O60" s="54"/>
      <c r="P60" s="54"/>
      <c r="Q60" s="69"/>
      <c r="R60" s="69"/>
      <c r="S60" s="69"/>
      <c r="T60" s="70"/>
      <c r="U60" s="69"/>
      <c r="V60" s="69"/>
      <c r="W60" s="69"/>
      <c r="X60" s="70"/>
      <c r="Y60" s="54"/>
      <c r="Z60" s="54"/>
      <c r="AA60" s="54"/>
      <c r="AB60" s="69"/>
      <c r="AC60" s="69"/>
      <c r="AD60" s="69"/>
      <c r="AE60" s="32"/>
      <c r="AF60" s="69"/>
      <c r="AG60" s="69"/>
      <c r="AH60" s="69"/>
      <c r="AI60" s="32"/>
      <c r="AJ60" s="69"/>
      <c r="AK60" s="69"/>
      <c r="AL60" s="69"/>
      <c r="AM60" s="32"/>
      <c r="AN60" s="69"/>
      <c r="AO60" s="69"/>
      <c r="AP60" s="69"/>
      <c r="AQ60" s="32"/>
      <c r="AR60" s="69"/>
      <c r="AS60" s="69"/>
      <c r="AT60" s="69"/>
      <c r="AU60" s="32"/>
      <c r="AV60" s="69"/>
      <c r="AW60" s="69"/>
      <c r="AX60" s="69"/>
      <c r="AY60" s="32"/>
      <c r="AZ60" s="69"/>
      <c r="BA60" s="69"/>
      <c r="BB60" s="69"/>
      <c r="BC60" s="32"/>
      <c r="BD60" s="69"/>
      <c r="BE60" s="69"/>
      <c r="BF60" s="69"/>
      <c r="BG60" s="32"/>
      <c r="BH60" s="69"/>
      <c r="BI60" s="69"/>
      <c r="BJ60" s="69"/>
      <c r="BK60" s="32"/>
      <c r="BL60" s="69"/>
      <c r="BM60" s="69"/>
      <c r="BN60" s="69"/>
      <c r="BO60" s="32"/>
      <c r="BP60" s="69"/>
      <c r="BQ60" s="69"/>
      <c r="BR60" s="69"/>
      <c r="BS60" s="32"/>
      <c r="BT60" s="69"/>
      <c r="BU60" s="69"/>
      <c r="BV60" s="69"/>
      <c r="BW60" s="54"/>
      <c r="BX60" s="28"/>
    </row>
    <row r="61" spans="1:78" ht="3.75" hidden="1" customHeight="1" x14ac:dyDescent="0.8">
      <c r="A61" s="136"/>
      <c r="B61" s="368"/>
      <c r="H61" s="368"/>
      <c r="I61" s="94"/>
      <c r="J61" s="57"/>
      <c r="K61" s="58"/>
      <c r="L61" s="59"/>
      <c r="M61" s="60"/>
      <c r="N61" s="60"/>
      <c r="O61" s="60"/>
      <c r="P61" s="61"/>
      <c r="Q61" s="62"/>
      <c r="R61" s="62"/>
      <c r="S61" s="63"/>
      <c r="T61" s="64"/>
      <c r="U61" s="65"/>
      <c r="V61" s="62"/>
      <c r="W61" s="63"/>
      <c r="X61" s="64"/>
      <c r="Y61" s="54"/>
      <c r="Z61" s="54"/>
      <c r="AA61" s="54"/>
      <c r="AB61" s="62"/>
      <c r="AC61" s="62"/>
      <c r="AD61" s="62"/>
      <c r="AE61" s="32"/>
      <c r="AF61" s="62"/>
      <c r="AG61" s="62"/>
      <c r="AH61" s="62"/>
      <c r="AI61" s="32"/>
      <c r="AJ61" s="62"/>
      <c r="AK61" s="62"/>
      <c r="AL61" s="62"/>
      <c r="AM61" s="32"/>
      <c r="AN61" s="62"/>
      <c r="AO61" s="62"/>
      <c r="AP61" s="62"/>
      <c r="AQ61" s="32"/>
      <c r="AR61" s="62"/>
      <c r="AS61" s="62"/>
      <c r="AT61" s="62"/>
      <c r="AU61" s="32"/>
      <c r="AV61" s="62"/>
      <c r="AW61" s="62"/>
      <c r="AX61" s="62"/>
      <c r="AY61" s="32"/>
      <c r="AZ61" s="62"/>
      <c r="BA61" s="62"/>
      <c r="BB61" s="62"/>
      <c r="BC61" s="32"/>
      <c r="BD61" s="62"/>
      <c r="BE61" s="62"/>
      <c r="BF61" s="62"/>
      <c r="BG61" s="32"/>
      <c r="BH61" s="62"/>
      <c r="BI61" s="62"/>
      <c r="BJ61" s="62"/>
      <c r="BK61" s="32"/>
      <c r="BL61" s="62"/>
      <c r="BM61" s="62"/>
      <c r="BN61" s="62"/>
      <c r="BO61" s="32"/>
      <c r="BP61" s="62"/>
      <c r="BQ61" s="62"/>
      <c r="BR61" s="62"/>
      <c r="BS61" s="32"/>
      <c r="BT61" s="62"/>
      <c r="BU61" s="62"/>
      <c r="BV61" s="62"/>
      <c r="BW61" s="54"/>
      <c r="BX61" s="28"/>
      <c r="BZ61" s="358"/>
    </row>
    <row r="62" spans="1:78" s="34" customFormat="1" ht="23.25" customHeight="1" collapsed="1" x14ac:dyDescent="0.8">
      <c r="A62" s="135" t="s">
        <v>345</v>
      </c>
      <c r="B62" s="54" t="str">
        <f>_xll.DBRA(Server&amp;$B$32,$A62,$N$19)</f>
        <v>Maintenance &amp; cleaning of fleet PMM</v>
      </c>
      <c r="C62" s="9"/>
      <c r="D62" s="1"/>
      <c r="E62" s="1"/>
      <c r="H62" s="54"/>
      <c r="I62" s="94"/>
      <c r="J62" s="57"/>
      <c r="K62" s="560" t="str">
        <f>"M - "&amp;_xll.DBRA(Server&amp;$B$32,$B62,$N$19)</f>
        <v>M - Maintenance &amp; cleaning of fleet PMM</v>
      </c>
      <c r="L62" s="560"/>
      <c r="M62" s="560"/>
      <c r="N62" s="560"/>
      <c r="O62" s="560"/>
      <c r="P62" s="234"/>
      <c r="Q62" s="235">
        <f>_xll.DBRW(Server&amp;Cube1,$N$15,$N$16,$N$17,$N$18,$N$14,$N$13,$N$11,$Q$1,$A62)</f>
        <v>-24148475.230000004</v>
      </c>
      <c r="R62" s="235">
        <f>_xll.DBRW(Server&amp;Cube1,$N$15,$N$16,$N$17,$N$18,$N$14,$N$13,$R$2,$R$1,$A62)</f>
        <v>0</v>
      </c>
      <c r="S62" s="236">
        <f>Q62-R62</f>
        <v>-24148475.230000004</v>
      </c>
      <c r="T62" s="237">
        <f>IF(R62&lt;&gt;0,IF(R62&gt;0,S62/R62,-S62/R62),0)</f>
        <v>0</v>
      </c>
      <c r="U62" s="211"/>
      <c r="V62" s="235">
        <f>_xll.DBRW(Server&amp;Cube1,$N$15,$N$16,$N$17,$N$18,$N$14,$N$13,$V$2,$V$1,$A62)</f>
        <v>-802805358.75767279</v>
      </c>
      <c r="W62" s="236">
        <f>Q62-V62</f>
        <v>778656883.52767277</v>
      </c>
      <c r="X62" s="237">
        <f>IF(V62&lt;&gt;0,IF(V62&gt;0,W62/V62,-W62/V62),0)</f>
        <v>0.96991988784508198</v>
      </c>
      <c r="Y62" s="54"/>
      <c r="Z62" s="54"/>
      <c r="AA62" s="54"/>
      <c r="AB62" s="235">
        <f>_xll.DBRW(Server&amp;Cube1,$N$15,$N$16,$N$17,$N$18,$N$14,$N$13,AB$2,AB$1,$B62)</f>
        <v>0</v>
      </c>
      <c r="AC62" s="235">
        <f>_xll.DBRW(Server&amp;Cube1,$N$15,$N$16,$N$17,$N$18,$N$14,$N$13,AC$2,AC$1,$B62)</f>
        <v>0</v>
      </c>
      <c r="AD62" s="235">
        <f>_xll.DBRW(Server&amp;Cube1,$N$15,$N$16,$N$17,$N$18,$N$14,$N$13,AD$2,AD$1,$B62)</f>
        <v>-840470267.93999994</v>
      </c>
      <c r="AE62" s="32"/>
      <c r="AF62" s="235">
        <f>_xll.DBRW(Server&amp;Cube1,$N$15,$N$16,$N$17,$N$18,$N$14,$N$13,AF$2,AF$1,$B62)</f>
        <v>0</v>
      </c>
      <c r="AG62" s="235">
        <f>_xll.DBRW(Server&amp;Cube1,$N$15,$N$16,$N$17,$N$18,$N$14,$N$13,AG$2,AG$1,$B62)</f>
        <v>0</v>
      </c>
      <c r="AH62" s="235">
        <f>_xll.DBRW(Server&amp;Cube1,$N$15,$N$16,$N$17,$N$18,$N$14,$N$13,AH$2,AH$1,$B62)</f>
        <v>-31418583.589194063</v>
      </c>
      <c r="AI62" s="32"/>
      <c r="AJ62" s="235">
        <f>_xll.DBRW(Server&amp;Cube1,$N$15,$N$16,$N$17,$N$18,$N$14,$N$13,AJ$2,AJ$1,$B62)</f>
        <v>0</v>
      </c>
      <c r="AK62" s="235">
        <f>_xll.DBRW(Server&amp;Cube1,$N$15,$N$16,$N$17,$N$18,$N$14,$N$13,AK$2,AK$1,$B62)</f>
        <v>0</v>
      </c>
      <c r="AL62" s="235">
        <f>_xll.DBRW(Server&amp;Cube1,$N$15,$N$16,$N$17,$N$18,$N$14,$N$13,AL$2,AL$1,$B62)</f>
        <v>-1738654898.3205824</v>
      </c>
      <c r="AM62" s="32"/>
      <c r="AN62" s="235">
        <f>_xll.DBRW(Server&amp;Cube1,$N$15,$N$16,$N$17,$N$18,$N$14,$N$13,AN$2,AN$1,$B62)</f>
        <v>0</v>
      </c>
      <c r="AO62" s="235">
        <f>_xll.DBRW(Server&amp;Cube1,$N$15,$N$16,$N$17,$N$18,$N$14,$N$13,AO$2,AO$1,$B62)</f>
        <v>0</v>
      </c>
      <c r="AP62" s="235">
        <f>_xll.DBRW(Server&amp;Cube1,$N$15,$N$16,$N$17,$N$18,$N$14,$N$13,AP$2,AP$1,$B62)</f>
        <v>-912993433.98767841</v>
      </c>
      <c r="AQ62" s="32"/>
      <c r="AR62" s="235">
        <f>_xll.DBRW(Server&amp;Cube1,$N$15,$N$16,$N$17,$N$18,$N$14,$N$13,AR$2,AR$1,$B62)</f>
        <v>0</v>
      </c>
      <c r="AS62" s="235">
        <f>_xll.DBRW(Server&amp;Cube1,$N$15,$N$16,$N$17,$N$18,$N$14,$N$13,AS$2,AS$1,$B62)</f>
        <v>0</v>
      </c>
      <c r="AT62" s="235">
        <f>_xll.DBRW(Server&amp;Cube1,$N$15,$N$16,$N$17,$N$18,$N$14,$N$13,AT$2,AT$1,$B62)</f>
        <v>-889200751.188784</v>
      </c>
      <c r="AU62" s="32"/>
      <c r="AV62" s="235">
        <f>_xll.DBRW(Server&amp;Cube1,$N$15,$N$16,$N$17,$N$18,$N$14,$N$13,AV$2,AV$1,$B62)</f>
        <v>0</v>
      </c>
      <c r="AW62" s="235">
        <f>_xll.DBRW(Server&amp;Cube1,$N$15,$N$16,$N$17,$N$18,$N$14,$N$13,AW$2,AW$1,$B62)</f>
        <v>0</v>
      </c>
      <c r="AX62" s="235">
        <f>_xll.DBRW(Server&amp;Cube1,$N$15,$N$16,$N$17,$N$18,$N$14,$N$13,AX$2,AX$1,$B62)</f>
        <v>-1028940863.3494836</v>
      </c>
      <c r="AY62" s="32"/>
      <c r="AZ62" s="235">
        <f>_xll.DBRW(Server&amp;Cube1,$N$15,$N$16,$N$17,$N$18,$N$14,$N$13,AZ$2,AZ$1,$B62)</f>
        <v>0</v>
      </c>
      <c r="BA62" s="235">
        <f>_xll.DBRW(Server&amp;Cube1,$N$15,$N$16,$N$17,$N$18,$N$14,$N$13,BA$2,BA$1,$B62)</f>
        <v>0</v>
      </c>
      <c r="BB62" s="235">
        <f>_xll.DBRW(Server&amp;Cube1,$N$15,$N$16,$N$17,$N$18,$N$14,$N$13,BB$2,BB$1,$B62)</f>
        <v>-928086655.42194676</v>
      </c>
      <c r="BC62" s="32"/>
      <c r="BD62" s="235">
        <f>_xll.DBRW(Server&amp;Cube1,$N$15,$N$16,$N$17,$N$18,$N$14,$N$13,BD$2,BD$1,$B62)</f>
        <v>-24148475.230000004</v>
      </c>
      <c r="BE62" s="235">
        <f>_xll.DBRW(Server&amp;Cube1,$N$15,$N$16,$N$17,$N$18,$N$14,$N$13,BE$2,BE$1,$B62)</f>
        <v>0</v>
      </c>
      <c r="BF62" s="235">
        <f>_xll.DBRW(Server&amp;Cube1,$N$15,$N$16,$N$17,$N$18,$N$14,$N$13,BF$2,BF$1,$B62)</f>
        <v>5566960095.0400019</v>
      </c>
      <c r="BG62" s="32"/>
      <c r="BH62" s="235">
        <f>_xll.DBRW(Server&amp;Cube1,$N$15,$N$16,$N$17,$N$18,$N$14,$N$13,BH$2,BH$1,$B62)</f>
        <v>0</v>
      </c>
      <c r="BI62" s="235">
        <f>_xll.DBRW(Server&amp;Cube1,$N$15,$N$16,$N$17,$N$18,$N$14,$N$13,BI$2,BI$1,$B62)</f>
        <v>0</v>
      </c>
      <c r="BJ62" s="235">
        <f>_xll.DBRW(Server&amp;Cube1,$N$15,$N$16,$N$17,$N$18,$N$14,$N$13,BJ$2,BJ$1,$B62)</f>
        <v>-953536743.28220129</v>
      </c>
      <c r="BK62" s="32"/>
      <c r="BL62" s="235">
        <f>_xll.DBRW(Server&amp;Cube1,$N$15,$N$16,$N$17,$N$18,$N$14,$N$13,BL$2,BL$1,$B62)</f>
        <v>0</v>
      </c>
      <c r="BM62" s="235">
        <f>_xll.DBRW(Server&amp;Cube1,$N$15,$N$16,$N$17,$N$18,$N$14,$N$13,BM$2,BM$1,$B62)</f>
        <v>0</v>
      </c>
      <c r="BN62" s="235">
        <f>_xll.DBRW(Server&amp;Cube1,$N$15,$N$16,$N$17,$N$18,$N$14,$N$13,BN$2,BN$1,$B62)</f>
        <v>-800220399.81877434</v>
      </c>
      <c r="BO62" s="32"/>
      <c r="BP62" s="235">
        <f>_xll.DBRW(Server&amp;Cube1,$N$15,$N$16,$N$17,$N$18,$N$14,$N$13,BP$2,BP$1,$B62)</f>
        <v>0</v>
      </c>
      <c r="BQ62" s="235">
        <f>_xll.DBRW(Server&amp;Cube1,$N$15,$N$16,$N$17,$N$18,$N$14,$N$13,BQ$2,BQ$1,$B62)</f>
        <v>0</v>
      </c>
      <c r="BR62" s="235">
        <f>_xll.DBRW(Server&amp;Cube1,$N$15,$N$16,$N$17,$N$18,$N$14,$N$13,BR$2,BR$1,$B62)</f>
        <v>-1081451022.6833618</v>
      </c>
      <c r="BS62" s="32"/>
      <c r="BT62" s="235">
        <f>_xll.DBRW(Server&amp;Cube1,$N$15,$N$16,$N$17,$N$18,$N$14,$N$13,BT$2,BT$1,$B62)</f>
        <v>0</v>
      </c>
      <c r="BU62" s="235">
        <f>_xll.DBRW(Server&amp;Cube1,$N$15,$N$16,$N$17,$N$18,$N$14,$N$13,BU$2,BU$1,$B62)</f>
        <v>0</v>
      </c>
      <c r="BV62" s="235">
        <f>_xll.DBRW(Server&amp;Cube1,$N$15,$N$16,$N$17,$N$18,$N$14,$N$13,BV$2,BV$1,$B62)</f>
        <v>-1405641655.3947649</v>
      </c>
      <c r="BW62" s="54"/>
      <c r="BX62" s="28"/>
    </row>
    <row r="63" spans="1:78" ht="19.5" hidden="1" customHeight="1" outlineLevel="1" x14ac:dyDescent="0.6">
      <c r="A63" s="141"/>
      <c r="B63" s="54" t="s">
        <v>51</v>
      </c>
      <c r="H63" s="54"/>
      <c r="I63" s="68"/>
      <c r="J63" s="53"/>
      <c r="K63" s="9"/>
      <c r="L63" s="563" t="str">
        <f>LEFT(_xll.DBRA(Server&amp;$B$32,$B63,$N$19),FIND("(",_xll.DBRA(Server&amp;$B$32,$B63,$N$19),1)-1)</f>
        <v xml:space="preserve">Staff costs </v>
      </c>
      <c r="M63" s="563"/>
      <c r="N63" s="563"/>
      <c r="O63" s="563"/>
      <c r="P63" s="112"/>
      <c r="Q63" s="229">
        <f>_xll.DBRW(Server&amp;Cube1,$N$15,$N$16,$N$17,$N$18,$N$14,$N$13,$N$11,$Q$1,$B63)</f>
        <v>-6994325.5500000017</v>
      </c>
      <c r="R63" s="229">
        <f>_xll.DBRW(Server&amp;Cube1,$N$15,$N$16,$N$17,$N$18,$N$14,$N$13,$R$2,$R$1,$B63)</f>
        <v>0</v>
      </c>
      <c r="S63" s="230">
        <f t="shared" ref="S63:S70" si="16">Q63-R63</f>
        <v>-6994325.5500000017</v>
      </c>
      <c r="T63" s="232">
        <f t="shared" ref="T63:T70" si="17">IF(R63&lt;&gt;0,IF(R63&gt;0,S63/R63,-S63/R63),0)</f>
        <v>0</v>
      </c>
      <c r="U63" s="218"/>
      <c r="V63" s="229">
        <f>_xll.DBRW(Server&amp;Cube1,$N$15,$N$16,$N$17,$N$18,$N$14,$N$13,$V$2,$V$1,$B63)</f>
        <v>-297748965.43000007</v>
      </c>
      <c r="W63" s="230">
        <f t="shared" ref="W63:W70" si="18">Q63-V63</f>
        <v>290754639.88000005</v>
      </c>
      <c r="X63" s="232">
        <f t="shared" ref="X63:X70" si="19">IF(V63&lt;&gt;0,IF(V63&gt;0,W63/V63,-W63/V63),0)</f>
        <v>0.97650932039377869</v>
      </c>
      <c r="Y63" s="54"/>
      <c r="Z63" s="54"/>
      <c r="AA63" s="54"/>
      <c r="AB63" s="229">
        <f>_xll.DBRW(Server&amp;Cube1,$N$15,$N$16,$N$17,$N$18,$N$14,$N$13,AB$2,AB$1,$B63)</f>
        <v>0</v>
      </c>
      <c r="AC63" s="229">
        <f>_xll.DBRW(Server&amp;Cube1,$N$15,$N$16,$N$17,$N$18,$N$14,$N$13,AC$2,AC$1,$B63)</f>
        <v>0</v>
      </c>
      <c r="AD63" s="229">
        <f>_xll.DBRW(Server&amp;Cube1,$N$15,$N$16,$N$17,$N$18,$N$14,$N$13,AD$2,AD$1,$B63)</f>
        <v>-258229007.36000004</v>
      </c>
      <c r="AE63" s="32"/>
      <c r="AF63" s="229">
        <f>_xll.DBRW(Server&amp;Cube1,$N$15,$N$16,$N$17,$N$18,$N$14,$N$13,AF$2,AF$1,$B63)</f>
        <v>0</v>
      </c>
      <c r="AG63" s="229">
        <f>_xll.DBRW(Server&amp;Cube1,$N$15,$N$16,$N$17,$N$18,$N$14,$N$13,AG$2,AG$1,$B63)</f>
        <v>0</v>
      </c>
      <c r="AH63" s="229">
        <f>_xll.DBRW(Server&amp;Cube1,$N$15,$N$16,$N$17,$N$18,$N$14,$N$13,AH$2,AH$1,$B63)</f>
        <v>1977617.9700000021</v>
      </c>
      <c r="AI63" s="32"/>
      <c r="AJ63" s="229">
        <f>_xll.DBRW(Server&amp;Cube1,$N$15,$N$16,$N$17,$N$18,$N$14,$N$13,AJ$2,AJ$1,$B63)</f>
        <v>0</v>
      </c>
      <c r="AK63" s="229">
        <f>_xll.DBRW(Server&amp;Cube1,$N$15,$N$16,$N$17,$N$18,$N$14,$N$13,AK$2,AK$1,$B63)</f>
        <v>0</v>
      </c>
      <c r="AL63" s="229">
        <f>_xll.DBRW(Server&amp;Cube1,$N$15,$N$16,$N$17,$N$18,$N$14,$N$13,AL$2,AL$1,$B63)</f>
        <v>-516959823.38999999</v>
      </c>
      <c r="AM63" s="32"/>
      <c r="AN63" s="229">
        <f>_xll.DBRW(Server&amp;Cube1,$N$15,$N$16,$N$17,$N$18,$N$14,$N$13,AN$2,AN$1,$B63)</f>
        <v>0</v>
      </c>
      <c r="AO63" s="229">
        <f>_xll.DBRW(Server&amp;Cube1,$N$15,$N$16,$N$17,$N$18,$N$14,$N$13,AO$2,AO$1,$B63)</f>
        <v>0</v>
      </c>
      <c r="AP63" s="229">
        <f>_xll.DBRW(Server&amp;Cube1,$N$15,$N$16,$N$17,$N$18,$N$14,$N$13,AP$2,AP$1,$B63)</f>
        <v>-290557351.14999998</v>
      </c>
      <c r="AQ63" s="32"/>
      <c r="AR63" s="229">
        <f>_xll.DBRW(Server&amp;Cube1,$N$15,$N$16,$N$17,$N$18,$N$14,$N$13,AR$2,AR$1,$B63)</f>
        <v>0</v>
      </c>
      <c r="AS63" s="229">
        <f>_xll.DBRW(Server&amp;Cube1,$N$15,$N$16,$N$17,$N$18,$N$14,$N$13,AS$2,AS$1,$B63)</f>
        <v>0</v>
      </c>
      <c r="AT63" s="229">
        <f>_xll.DBRW(Server&amp;Cube1,$N$15,$N$16,$N$17,$N$18,$N$14,$N$13,AT$2,AT$1,$B63)</f>
        <v>-293137892.63</v>
      </c>
      <c r="AU63" s="32"/>
      <c r="AV63" s="229">
        <f>_xll.DBRW(Server&amp;Cube1,$N$15,$N$16,$N$17,$N$18,$N$14,$N$13,AV$2,AV$1,$B63)</f>
        <v>0</v>
      </c>
      <c r="AW63" s="229">
        <f>_xll.DBRW(Server&amp;Cube1,$N$15,$N$16,$N$17,$N$18,$N$14,$N$13,AW$2,AW$1,$B63)</f>
        <v>0</v>
      </c>
      <c r="AX63" s="229">
        <f>_xll.DBRW(Server&amp;Cube1,$N$15,$N$16,$N$17,$N$18,$N$14,$N$13,AX$2,AX$1,$B63)</f>
        <v>-304933964.64000005</v>
      </c>
      <c r="AY63" s="32"/>
      <c r="AZ63" s="229">
        <f>_xll.DBRW(Server&amp;Cube1,$N$15,$N$16,$N$17,$N$18,$N$14,$N$13,AZ$2,AZ$1,$B63)</f>
        <v>0</v>
      </c>
      <c r="BA63" s="229">
        <f>_xll.DBRW(Server&amp;Cube1,$N$15,$N$16,$N$17,$N$18,$N$14,$N$13,BA$2,BA$1,$B63)</f>
        <v>0</v>
      </c>
      <c r="BB63" s="229">
        <f>_xll.DBRW(Server&amp;Cube1,$N$15,$N$16,$N$17,$N$18,$N$14,$N$13,BB$2,BB$1,$B63)</f>
        <v>-281794927.95999992</v>
      </c>
      <c r="BC63" s="32"/>
      <c r="BD63" s="229">
        <f>_xll.DBRW(Server&amp;Cube1,$N$15,$N$16,$N$17,$N$18,$N$14,$N$13,BD$2,BD$1,$B63)</f>
        <v>-6994325.5500000007</v>
      </c>
      <c r="BE63" s="229">
        <f>_xll.DBRW(Server&amp;Cube1,$N$15,$N$16,$N$17,$N$18,$N$14,$N$13,BE$2,BE$1,$B63)</f>
        <v>0</v>
      </c>
      <c r="BF63" s="229">
        <f>_xll.DBRW(Server&amp;Cube1,$N$15,$N$16,$N$17,$N$18,$N$14,$N$13,BF$2,BF$1,$B63)</f>
        <v>1645886383.7300003</v>
      </c>
      <c r="BG63" s="32"/>
      <c r="BH63" s="229">
        <f>_xll.DBRW(Server&amp;Cube1,$N$15,$N$16,$N$17,$N$18,$N$14,$N$13,BH$2,BH$1,$B63)</f>
        <v>0</v>
      </c>
      <c r="BI63" s="229">
        <f>_xll.DBRW(Server&amp;Cube1,$N$15,$N$16,$N$17,$N$18,$N$14,$N$13,BI$2,BI$1,$B63)</f>
        <v>0</v>
      </c>
      <c r="BJ63" s="229">
        <f>_xll.DBRW(Server&amp;Cube1,$N$15,$N$16,$N$17,$N$18,$N$14,$N$13,BJ$2,BJ$1,$B63)</f>
        <v>-315608380.5200001</v>
      </c>
      <c r="BK63" s="32"/>
      <c r="BL63" s="229">
        <f>_xll.DBRW(Server&amp;Cube1,$N$15,$N$16,$N$17,$N$18,$N$14,$N$13,BL$2,BL$1,$B63)</f>
        <v>0</v>
      </c>
      <c r="BM63" s="229">
        <f>_xll.DBRW(Server&amp;Cube1,$N$15,$N$16,$N$17,$N$18,$N$14,$N$13,BM$2,BM$1,$B63)</f>
        <v>0</v>
      </c>
      <c r="BN63" s="229">
        <f>_xll.DBRW(Server&amp;Cube1,$N$15,$N$16,$N$17,$N$18,$N$14,$N$13,BN$2,BN$1,$B63)</f>
        <v>-278584335.97000021</v>
      </c>
      <c r="BO63" s="32"/>
      <c r="BP63" s="229">
        <f>_xll.DBRW(Server&amp;Cube1,$N$15,$N$16,$N$17,$N$18,$N$14,$N$13,BP$2,BP$1,$B63)</f>
        <v>0</v>
      </c>
      <c r="BQ63" s="229">
        <f>_xll.DBRW(Server&amp;Cube1,$N$15,$N$16,$N$17,$N$18,$N$14,$N$13,BQ$2,BQ$1,$B63)</f>
        <v>0</v>
      </c>
      <c r="BR63" s="229">
        <f>_xll.DBRW(Server&amp;Cube1,$N$15,$N$16,$N$17,$N$18,$N$14,$N$13,BR$2,BR$1,$B63)</f>
        <v>-496626631.61000001</v>
      </c>
      <c r="BS63" s="32"/>
      <c r="BT63" s="229">
        <f>_xll.DBRW(Server&amp;Cube1,$N$15,$N$16,$N$17,$N$18,$N$14,$N$13,BT$2,BT$1,$B63)</f>
        <v>0</v>
      </c>
      <c r="BU63" s="229">
        <f>_xll.DBRW(Server&amp;Cube1,$N$15,$N$16,$N$17,$N$18,$N$14,$N$13,BU$2,BU$1,$B63)</f>
        <v>0</v>
      </c>
      <c r="BV63" s="229">
        <f>_xll.DBRW(Server&amp;Cube1,$N$15,$N$16,$N$17,$N$18,$N$14,$N$13,BV$2,BV$1,$B63)</f>
        <v>-556075032.10000002</v>
      </c>
      <c r="BW63" s="54"/>
      <c r="BX63" s="28"/>
    </row>
    <row r="64" spans="1:78" ht="19.5" hidden="1" customHeight="1" outlineLevel="1" x14ac:dyDescent="0.6">
      <c r="A64" s="141"/>
      <c r="B64" s="54" t="s">
        <v>337</v>
      </c>
      <c r="H64" s="54"/>
      <c r="I64" s="68"/>
      <c r="J64" s="53"/>
      <c r="K64" s="9"/>
      <c r="L64" s="552" t="str">
        <f>LEFT(_xll.DBRA(Server&amp;$B$32,$B64,$N$19),FIND("(",_xll.DBRA(Server&amp;$B$32,$B64,$N$19),1)-1)</f>
        <v xml:space="preserve">COS - Lease expenses </v>
      </c>
      <c r="M64" s="552"/>
      <c r="N64" s="552"/>
      <c r="O64" s="552"/>
      <c r="P64" s="112"/>
      <c r="Q64" s="229">
        <f>_xll.DBRW(Server&amp;Cube1,$N$15,$N$16,$N$17,$N$18,$N$14,$N$13,$N$11,$Q$1,$B64)</f>
        <v>0</v>
      </c>
      <c r="R64" s="229">
        <f>_xll.DBRW(Server&amp;Cube1,$N$15,$N$16,$N$17,$N$18,$N$14,$N$13,$R$2,$R$1,$B64)</f>
        <v>0</v>
      </c>
      <c r="S64" s="230">
        <f>Q64-R64</f>
        <v>0</v>
      </c>
      <c r="T64" s="232">
        <f>IF(R64&lt;&gt;0,IF(R64&gt;0,S64/R64,-S64/R64),0)</f>
        <v>0</v>
      </c>
      <c r="U64" s="218"/>
      <c r="V64" s="229">
        <f>_xll.DBRW(Server&amp;Cube1,$N$15,$N$16,$N$17,$N$18,$N$14,$N$13,$V$2,$V$1,$B64)</f>
        <v>-707001.6399999999</v>
      </c>
      <c r="W64" s="230">
        <f>Q64-V64</f>
        <v>707001.6399999999</v>
      </c>
      <c r="X64" s="232">
        <f>IF(V64&lt;&gt;0,IF(V64&gt;0,W64/V64,-W64/V64),0)</f>
        <v>1</v>
      </c>
      <c r="Y64" s="54"/>
      <c r="Z64" s="54"/>
      <c r="AA64" s="54"/>
      <c r="AB64" s="229">
        <f>_xll.DBRW(Server&amp;Cube1,$N$15,$N$16,$N$17,$N$18,$N$14,$N$13,AB$2,AB$1,$B64)</f>
        <v>0</v>
      </c>
      <c r="AC64" s="229">
        <f>_xll.DBRW(Server&amp;Cube1,$N$15,$N$16,$N$17,$N$18,$N$14,$N$13,AC$2,AC$1,$B64)</f>
        <v>0</v>
      </c>
      <c r="AD64" s="229">
        <f>_xll.DBRW(Server&amp;Cube1,$N$15,$N$16,$N$17,$N$18,$N$14,$N$13,AD$2,AD$1,$B64)</f>
        <v>-43078.400000000001</v>
      </c>
      <c r="AE64" s="32"/>
      <c r="AF64" s="229">
        <f>_xll.DBRW(Server&amp;Cube1,$N$15,$N$16,$N$17,$N$18,$N$14,$N$13,AF$2,AF$1,$B64)</f>
        <v>0</v>
      </c>
      <c r="AG64" s="229">
        <f>_xll.DBRW(Server&amp;Cube1,$N$15,$N$16,$N$17,$N$18,$N$14,$N$13,AG$2,AG$1,$B64)</f>
        <v>0</v>
      </c>
      <c r="AH64" s="229">
        <f>_xll.DBRW(Server&amp;Cube1,$N$15,$N$16,$N$17,$N$18,$N$14,$N$13,AH$2,AH$1,$B64)</f>
        <v>-90880.57</v>
      </c>
      <c r="AI64" s="32"/>
      <c r="AJ64" s="229">
        <f>_xll.DBRW(Server&amp;Cube1,$N$15,$N$16,$N$17,$N$18,$N$14,$N$13,AJ$2,AJ$1,$B64)</f>
        <v>0</v>
      </c>
      <c r="AK64" s="229">
        <f>_xll.DBRW(Server&amp;Cube1,$N$15,$N$16,$N$17,$N$18,$N$14,$N$13,AK$2,AK$1,$B64)</f>
        <v>0</v>
      </c>
      <c r="AL64" s="229">
        <f>_xll.DBRW(Server&amp;Cube1,$N$15,$N$16,$N$17,$N$18,$N$14,$N$13,AL$2,AL$1,$B64)</f>
        <v>-83617.789999999994</v>
      </c>
      <c r="AM64" s="32"/>
      <c r="AN64" s="229">
        <f>_xll.DBRW(Server&amp;Cube1,$N$15,$N$16,$N$17,$N$18,$N$14,$N$13,AN$2,AN$1,$B64)</f>
        <v>0</v>
      </c>
      <c r="AO64" s="229">
        <f>_xll.DBRW(Server&amp;Cube1,$N$15,$N$16,$N$17,$N$18,$N$14,$N$13,AO$2,AO$1,$B64)</f>
        <v>0</v>
      </c>
      <c r="AP64" s="229">
        <f>_xll.DBRW(Server&amp;Cube1,$N$15,$N$16,$N$17,$N$18,$N$14,$N$13,AP$2,AP$1,$B64)</f>
        <v>-38721.010000000009</v>
      </c>
      <c r="AQ64" s="32"/>
      <c r="AR64" s="229">
        <f>_xll.DBRW(Server&amp;Cube1,$N$15,$N$16,$N$17,$N$18,$N$14,$N$13,AR$2,AR$1,$B64)</f>
        <v>0</v>
      </c>
      <c r="AS64" s="229">
        <f>_xll.DBRW(Server&amp;Cube1,$N$15,$N$16,$N$17,$N$18,$N$14,$N$13,AS$2,AS$1,$B64)</f>
        <v>0</v>
      </c>
      <c r="AT64" s="229">
        <f>_xll.DBRW(Server&amp;Cube1,$N$15,$N$16,$N$17,$N$18,$N$14,$N$13,AT$2,AT$1,$B64)</f>
        <v>-52759.1</v>
      </c>
      <c r="AU64" s="32"/>
      <c r="AV64" s="229">
        <f>_xll.DBRW(Server&amp;Cube1,$N$15,$N$16,$N$17,$N$18,$N$14,$N$13,AV$2,AV$1,$B64)</f>
        <v>0</v>
      </c>
      <c r="AW64" s="229">
        <f>_xll.DBRW(Server&amp;Cube1,$N$15,$N$16,$N$17,$N$18,$N$14,$N$13,AW$2,AW$1,$B64)</f>
        <v>0</v>
      </c>
      <c r="AX64" s="229">
        <f>_xll.DBRW(Server&amp;Cube1,$N$15,$N$16,$N$17,$N$18,$N$14,$N$13,AX$2,AX$1,$B64)</f>
        <v>-61878.510000000009</v>
      </c>
      <c r="AY64" s="32"/>
      <c r="AZ64" s="229">
        <f>_xll.DBRW(Server&amp;Cube1,$N$15,$N$16,$N$17,$N$18,$N$14,$N$13,AZ$2,AZ$1,$B64)</f>
        <v>0</v>
      </c>
      <c r="BA64" s="229">
        <f>_xll.DBRW(Server&amp;Cube1,$N$15,$N$16,$N$17,$N$18,$N$14,$N$13,BA$2,BA$1,$B64)</f>
        <v>0</v>
      </c>
      <c r="BB64" s="229">
        <f>_xll.DBRW(Server&amp;Cube1,$N$15,$N$16,$N$17,$N$18,$N$14,$N$13,BB$2,BB$1,$B64)</f>
        <v>-35579.599999999999</v>
      </c>
      <c r="BC64" s="32"/>
      <c r="BD64" s="229">
        <f>_xll.DBRW(Server&amp;Cube1,$N$15,$N$16,$N$17,$N$18,$N$14,$N$13,BD$2,BD$1,$B64)</f>
        <v>0</v>
      </c>
      <c r="BE64" s="229">
        <f>_xll.DBRW(Server&amp;Cube1,$N$15,$N$16,$N$17,$N$18,$N$14,$N$13,BE$2,BE$1,$B64)</f>
        <v>0</v>
      </c>
      <c r="BF64" s="229">
        <f>_xll.DBRW(Server&amp;Cube1,$N$15,$N$16,$N$17,$N$18,$N$14,$N$13,BF$2,BF$1,$B64)</f>
        <v>-300486.66000000003</v>
      </c>
      <c r="BG64" s="32"/>
      <c r="BH64" s="229">
        <f>_xll.DBRW(Server&amp;Cube1,$N$15,$N$16,$N$17,$N$18,$N$14,$N$13,BH$2,BH$1,$B64)</f>
        <v>0</v>
      </c>
      <c r="BI64" s="229">
        <f>_xll.DBRW(Server&amp;Cube1,$N$15,$N$16,$N$17,$N$18,$N$14,$N$13,BI$2,BI$1,$B64)</f>
        <v>0</v>
      </c>
      <c r="BJ64" s="229">
        <f>_xll.DBRW(Server&amp;Cube1,$N$15,$N$16,$N$17,$N$18,$N$14,$N$13,BJ$2,BJ$1,$B64)</f>
        <v>-76232.880000000019</v>
      </c>
      <c r="BK64" s="32"/>
      <c r="BL64" s="229">
        <f>_xll.DBRW(Server&amp;Cube1,$N$15,$N$16,$N$17,$N$18,$N$14,$N$13,BL$2,BL$1,$B64)</f>
        <v>0</v>
      </c>
      <c r="BM64" s="229">
        <f>_xll.DBRW(Server&amp;Cube1,$N$15,$N$16,$N$17,$N$18,$N$14,$N$13,BM$2,BM$1,$B64)</f>
        <v>0</v>
      </c>
      <c r="BN64" s="229">
        <f>_xll.DBRW(Server&amp;Cube1,$N$15,$N$16,$N$17,$N$18,$N$14,$N$13,BN$2,BN$1,$B64)</f>
        <v>-41363.529999999977</v>
      </c>
      <c r="BO64" s="32"/>
      <c r="BP64" s="229">
        <f>_xll.DBRW(Server&amp;Cube1,$N$15,$N$16,$N$17,$N$18,$N$14,$N$13,BP$2,BP$1,$B64)</f>
        <v>0</v>
      </c>
      <c r="BQ64" s="229">
        <f>_xll.DBRW(Server&amp;Cube1,$N$15,$N$16,$N$17,$N$18,$N$14,$N$13,BQ$2,BQ$1,$B64)</f>
        <v>0</v>
      </c>
      <c r="BR64" s="229">
        <f>_xll.DBRW(Server&amp;Cube1,$N$15,$N$16,$N$17,$N$18,$N$14,$N$13,BR$2,BR$1,$B64)</f>
        <v>-400623.92000000004</v>
      </c>
      <c r="BS64" s="32"/>
      <c r="BT64" s="229">
        <f>_xll.DBRW(Server&amp;Cube1,$N$15,$N$16,$N$17,$N$18,$N$14,$N$13,BT$2,BT$1,$B64)</f>
        <v>0</v>
      </c>
      <c r="BU64" s="229">
        <f>_xll.DBRW(Server&amp;Cube1,$N$15,$N$16,$N$17,$N$18,$N$14,$N$13,BU$2,BU$1,$B64)</f>
        <v>0</v>
      </c>
      <c r="BV64" s="229">
        <f>_xll.DBRW(Server&amp;Cube1,$N$15,$N$16,$N$17,$N$18,$N$14,$N$13,BV$2,BV$1,$B64)</f>
        <v>-50349.210000000021</v>
      </c>
      <c r="BW64" s="54"/>
      <c r="BX64" s="28"/>
    </row>
    <row r="65" spans="1:78" ht="19.5" hidden="1" customHeight="1" outlineLevel="1" x14ac:dyDescent="0.6">
      <c r="A65" s="141"/>
      <c r="B65" s="54" t="s">
        <v>52</v>
      </c>
      <c r="H65" s="54"/>
      <c r="I65" s="68"/>
      <c r="J65" s="53"/>
      <c r="K65" s="9"/>
      <c r="L65" s="552" t="str">
        <f>LEFT(_xll.DBRA(Server&amp;$B$32,$B65,$N$19),FIND("(",_xll.DBRA(Server&amp;$B$32,$B65,$N$19),1)-1)</f>
        <v xml:space="preserve">Interim staff </v>
      </c>
      <c r="M65" s="552"/>
      <c r="N65" s="552"/>
      <c r="O65" s="552"/>
      <c r="P65" s="112"/>
      <c r="Q65" s="229">
        <f>_xll.DBRW(Server&amp;Cube1,$N$15,$N$16,$N$17,$N$18,$N$14,$N$13,$N$11,$Q$1,$B65)</f>
        <v>0</v>
      </c>
      <c r="R65" s="229">
        <f>_xll.DBRW(Server&amp;Cube1,$N$15,$N$16,$N$17,$N$18,$N$14,$N$13,$R$2,$R$1,$B65)</f>
        <v>0</v>
      </c>
      <c r="S65" s="230">
        <f t="shared" si="16"/>
        <v>0</v>
      </c>
      <c r="T65" s="232">
        <f t="shared" si="17"/>
        <v>0</v>
      </c>
      <c r="U65" s="218"/>
      <c r="V65" s="229">
        <f>_xll.DBRW(Server&amp;Cube1,$N$15,$N$16,$N$17,$N$18,$N$14,$N$13,$V$2,$V$1,$B65)</f>
        <v>-4995750.25</v>
      </c>
      <c r="W65" s="230">
        <f t="shared" si="18"/>
        <v>4995750.25</v>
      </c>
      <c r="X65" s="232">
        <f t="shared" si="19"/>
        <v>1</v>
      </c>
      <c r="Y65" s="54"/>
      <c r="Z65" s="54"/>
      <c r="AA65" s="54"/>
      <c r="AB65" s="229">
        <f>_xll.DBRW(Server&amp;Cube1,$N$15,$N$16,$N$17,$N$18,$N$14,$N$13,AB$2,AB$1,$B65)</f>
        <v>0</v>
      </c>
      <c r="AC65" s="229">
        <f>_xll.DBRW(Server&amp;Cube1,$N$15,$N$16,$N$17,$N$18,$N$14,$N$13,AC$2,AC$1,$B65)</f>
        <v>0</v>
      </c>
      <c r="AD65" s="229">
        <f>_xll.DBRW(Server&amp;Cube1,$N$15,$N$16,$N$17,$N$18,$N$14,$N$13,AD$2,AD$1,$B65)</f>
        <v>-200153.27</v>
      </c>
      <c r="AE65" s="32"/>
      <c r="AF65" s="229">
        <f>_xll.DBRW(Server&amp;Cube1,$N$15,$N$16,$N$17,$N$18,$N$14,$N$13,AF$2,AF$1,$B65)</f>
        <v>0</v>
      </c>
      <c r="AG65" s="229">
        <f>_xll.DBRW(Server&amp;Cube1,$N$15,$N$16,$N$17,$N$18,$N$14,$N$13,AG$2,AG$1,$B65)</f>
        <v>0</v>
      </c>
      <c r="AH65" s="229">
        <f>_xll.DBRW(Server&amp;Cube1,$N$15,$N$16,$N$17,$N$18,$N$14,$N$13,AH$2,AH$1,$B65)</f>
        <v>-551550.87</v>
      </c>
      <c r="AI65" s="32"/>
      <c r="AJ65" s="229">
        <f>_xll.DBRW(Server&amp;Cube1,$N$15,$N$16,$N$17,$N$18,$N$14,$N$13,AJ$2,AJ$1,$B65)</f>
        <v>0</v>
      </c>
      <c r="AK65" s="229">
        <f>_xll.DBRW(Server&amp;Cube1,$N$15,$N$16,$N$17,$N$18,$N$14,$N$13,AK$2,AK$1,$B65)</f>
        <v>0</v>
      </c>
      <c r="AL65" s="229">
        <f>_xll.DBRW(Server&amp;Cube1,$N$15,$N$16,$N$17,$N$18,$N$14,$N$13,AL$2,AL$1,$B65)</f>
        <v>-343803.12</v>
      </c>
      <c r="AM65" s="32"/>
      <c r="AN65" s="229">
        <f>_xll.DBRW(Server&amp;Cube1,$N$15,$N$16,$N$17,$N$18,$N$14,$N$13,AN$2,AN$1,$B65)</f>
        <v>0</v>
      </c>
      <c r="AO65" s="229">
        <f>_xll.DBRW(Server&amp;Cube1,$N$15,$N$16,$N$17,$N$18,$N$14,$N$13,AO$2,AO$1,$B65)</f>
        <v>0</v>
      </c>
      <c r="AP65" s="229">
        <f>_xll.DBRW(Server&amp;Cube1,$N$15,$N$16,$N$17,$N$18,$N$14,$N$13,AP$2,AP$1,$B65)</f>
        <v>-663300.07000000007</v>
      </c>
      <c r="AQ65" s="32"/>
      <c r="AR65" s="229">
        <f>_xll.DBRW(Server&amp;Cube1,$N$15,$N$16,$N$17,$N$18,$N$14,$N$13,AR$2,AR$1,$B65)</f>
        <v>0</v>
      </c>
      <c r="AS65" s="229">
        <f>_xll.DBRW(Server&amp;Cube1,$N$15,$N$16,$N$17,$N$18,$N$14,$N$13,AS$2,AS$1,$B65)</f>
        <v>0</v>
      </c>
      <c r="AT65" s="229">
        <f>_xll.DBRW(Server&amp;Cube1,$N$15,$N$16,$N$17,$N$18,$N$14,$N$13,AT$2,AT$1,$B65)</f>
        <v>547736.06000000006</v>
      </c>
      <c r="AU65" s="32"/>
      <c r="AV65" s="229">
        <f>_xll.DBRW(Server&amp;Cube1,$N$15,$N$16,$N$17,$N$18,$N$14,$N$13,AV$2,AV$1,$B65)</f>
        <v>0</v>
      </c>
      <c r="AW65" s="229">
        <f>_xll.DBRW(Server&amp;Cube1,$N$15,$N$16,$N$17,$N$18,$N$14,$N$13,AW$2,AW$1,$B65)</f>
        <v>0</v>
      </c>
      <c r="AX65" s="229">
        <f>_xll.DBRW(Server&amp;Cube1,$N$15,$N$16,$N$17,$N$18,$N$14,$N$13,AX$2,AX$1,$B65)</f>
        <v>-1321646.6300000001</v>
      </c>
      <c r="AY65" s="32"/>
      <c r="AZ65" s="229">
        <f>_xll.DBRW(Server&amp;Cube1,$N$15,$N$16,$N$17,$N$18,$N$14,$N$13,AZ$2,AZ$1,$B65)</f>
        <v>0</v>
      </c>
      <c r="BA65" s="229">
        <f>_xll.DBRW(Server&amp;Cube1,$N$15,$N$16,$N$17,$N$18,$N$14,$N$13,BA$2,BA$1,$B65)</f>
        <v>0</v>
      </c>
      <c r="BB65" s="229">
        <f>_xll.DBRW(Server&amp;Cube1,$N$15,$N$16,$N$17,$N$18,$N$14,$N$13,BB$2,BB$1,$B65)</f>
        <v>1041540.83</v>
      </c>
      <c r="BC65" s="32"/>
      <c r="BD65" s="229">
        <f>_xll.DBRW(Server&amp;Cube1,$N$15,$N$16,$N$17,$N$18,$N$14,$N$13,BD$2,BD$1,$B65)</f>
        <v>0</v>
      </c>
      <c r="BE65" s="229">
        <f>_xll.DBRW(Server&amp;Cube1,$N$15,$N$16,$N$17,$N$18,$N$14,$N$13,BE$2,BE$1,$B65)</f>
        <v>0</v>
      </c>
      <c r="BF65" s="229">
        <f>_xll.DBRW(Server&amp;Cube1,$N$15,$N$16,$N$17,$N$18,$N$14,$N$13,BF$2,BF$1,$B65)</f>
        <v>-3504573.1799999997</v>
      </c>
      <c r="BG65" s="32"/>
      <c r="BH65" s="229">
        <f>_xll.DBRW(Server&amp;Cube1,$N$15,$N$16,$N$17,$N$18,$N$14,$N$13,BH$2,BH$1,$B65)</f>
        <v>0</v>
      </c>
      <c r="BI65" s="229">
        <f>_xll.DBRW(Server&amp;Cube1,$N$15,$N$16,$N$17,$N$18,$N$14,$N$13,BI$2,BI$1,$B65)</f>
        <v>0</v>
      </c>
      <c r="BJ65" s="229">
        <f>_xll.DBRW(Server&amp;Cube1,$N$15,$N$16,$N$17,$N$18,$N$14,$N$13,BJ$2,BJ$1,$B65)</f>
        <v>217698.09999999998</v>
      </c>
      <c r="BK65" s="32"/>
      <c r="BL65" s="229">
        <f>_xll.DBRW(Server&amp;Cube1,$N$15,$N$16,$N$17,$N$18,$N$14,$N$13,BL$2,BL$1,$B65)</f>
        <v>0</v>
      </c>
      <c r="BM65" s="229">
        <f>_xll.DBRW(Server&amp;Cube1,$N$15,$N$16,$N$17,$N$18,$N$14,$N$13,BM$2,BM$1,$B65)</f>
        <v>0</v>
      </c>
      <c r="BN65" s="229">
        <f>_xll.DBRW(Server&amp;Cube1,$N$15,$N$16,$N$17,$N$18,$N$14,$N$13,BN$2,BN$1,$B65)</f>
        <v>-247636</v>
      </c>
      <c r="BO65" s="32"/>
      <c r="BP65" s="229">
        <f>_xll.DBRW(Server&amp;Cube1,$N$15,$N$16,$N$17,$N$18,$N$14,$N$13,BP$2,BP$1,$B65)</f>
        <v>0</v>
      </c>
      <c r="BQ65" s="229">
        <f>_xll.DBRW(Server&amp;Cube1,$N$15,$N$16,$N$17,$N$18,$N$14,$N$13,BQ$2,BQ$1,$B65)</f>
        <v>0</v>
      </c>
      <c r="BR65" s="229">
        <f>_xll.DBRW(Server&amp;Cube1,$N$15,$N$16,$N$17,$N$18,$N$14,$N$13,BR$2,BR$1,$B65)</f>
        <v>-205692.59999999995</v>
      </c>
      <c r="BS65" s="32"/>
      <c r="BT65" s="229">
        <f>_xll.DBRW(Server&amp;Cube1,$N$15,$N$16,$N$17,$N$18,$N$14,$N$13,BT$2,BT$1,$B65)</f>
        <v>0</v>
      </c>
      <c r="BU65" s="229">
        <f>_xll.DBRW(Server&amp;Cube1,$N$15,$N$16,$N$17,$N$18,$N$14,$N$13,BU$2,BU$1,$B65)</f>
        <v>0</v>
      </c>
      <c r="BV65" s="229">
        <f>_xll.DBRW(Server&amp;Cube1,$N$15,$N$16,$N$17,$N$18,$N$14,$N$13,BV$2,BV$1,$B65)</f>
        <v>-3771934.5</v>
      </c>
      <c r="BW65" s="54"/>
      <c r="BX65" s="28"/>
    </row>
    <row r="66" spans="1:78" ht="19.5" hidden="1" customHeight="1" outlineLevel="1" x14ac:dyDescent="0.6">
      <c r="A66" s="141"/>
      <c r="B66" s="54" t="s">
        <v>55</v>
      </c>
      <c r="H66" s="54"/>
      <c r="I66" s="68"/>
      <c r="J66" s="53"/>
      <c r="K66" s="9"/>
      <c r="L66" s="552" t="str">
        <f>_xll.DBRA(Server&amp;$B$32,$B66,$N$19)</f>
        <v>Major maintenance</v>
      </c>
      <c r="M66" s="552"/>
      <c r="N66" s="552"/>
      <c r="O66" s="552"/>
      <c r="P66" s="112"/>
      <c r="Q66" s="229">
        <f>_xll.DBRW(Server&amp;Cube1,$N$15,$N$16,$N$17,$N$18,$N$14,$N$13,$N$11,$Q$1,$B66)</f>
        <v>-351115.77000000008</v>
      </c>
      <c r="R66" s="229">
        <f>_xll.DBRW(Server&amp;Cube1,$N$15,$N$16,$N$17,$N$18,$N$14,$N$13,$R$2,$R$1,$B66)</f>
        <v>0</v>
      </c>
      <c r="S66" s="230">
        <f t="shared" si="16"/>
        <v>-351115.77000000008</v>
      </c>
      <c r="T66" s="232">
        <f t="shared" si="17"/>
        <v>0</v>
      </c>
      <c r="U66" s="218"/>
      <c r="V66" s="229">
        <f>_xll.DBRW(Server&amp;Cube1,$N$15,$N$16,$N$17,$N$18,$N$14,$N$13,$V$2,$V$1,$B66)</f>
        <v>-1828720.6499991417</v>
      </c>
      <c r="W66" s="230">
        <f t="shared" si="18"/>
        <v>1477604.8799991417</v>
      </c>
      <c r="X66" s="232">
        <f t="shared" si="19"/>
        <v>0.807999231593866</v>
      </c>
      <c r="Y66" s="54"/>
      <c r="Z66" s="54"/>
      <c r="AA66" s="54"/>
      <c r="AB66" s="229">
        <f>_xll.DBRW(Server&amp;Cube1,$N$15,$N$16,$N$17,$N$18,$N$14,$N$13,AB$2,AB$1,$B66)</f>
        <v>0</v>
      </c>
      <c r="AC66" s="229">
        <f>_xll.DBRW(Server&amp;Cube1,$N$15,$N$16,$N$17,$N$18,$N$14,$N$13,AC$2,AC$1,$B66)</f>
        <v>0</v>
      </c>
      <c r="AD66" s="229">
        <f>_xll.DBRW(Server&amp;Cube1,$N$15,$N$16,$N$17,$N$18,$N$14,$N$13,AD$2,AD$1,$B66)</f>
        <v>-403242765.44999999</v>
      </c>
      <c r="AE66" s="32"/>
      <c r="AF66" s="229">
        <f>_xll.DBRW(Server&amp;Cube1,$N$15,$N$16,$N$17,$N$18,$N$14,$N$13,AF$2,AF$1,$B66)</f>
        <v>0</v>
      </c>
      <c r="AG66" s="229">
        <f>_xll.DBRW(Server&amp;Cube1,$N$15,$N$16,$N$17,$N$18,$N$14,$N$13,AG$2,AG$1,$B66)</f>
        <v>0</v>
      </c>
      <c r="AH66" s="229">
        <f>_xll.DBRW(Server&amp;Cube1,$N$15,$N$16,$N$17,$N$18,$N$14,$N$13,AH$2,AH$1,$B66)</f>
        <v>26860985.420000002</v>
      </c>
      <c r="AI66" s="32"/>
      <c r="AJ66" s="229">
        <f>_xll.DBRW(Server&amp;Cube1,$N$15,$N$16,$N$17,$N$18,$N$14,$N$13,AJ$2,AJ$1,$B66)</f>
        <v>0</v>
      </c>
      <c r="AK66" s="229">
        <f>_xll.DBRW(Server&amp;Cube1,$N$15,$N$16,$N$17,$N$18,$N$14,$N$13,AK$2,AK$1,$B66)</f>
        <v>0</v>
      </c>
      <c r="AL66" s="229">
        <f>_xll.DBRW(Server&amp;Cube1,$N$15,$N$16,$N$17,$N$18,$N$14,$N$13,AL$2,AL$1,$B66)</f>
        <v>-828036019.27999997</v>
      </c>
      <c r="AM66" s="32"/>
      <c r="AN66" s="229">
        <f>_xll.DBRW(Server&amp;Cube1,$N$15,$N$16,$N$17,$N$18,$N$14,$N$13,AN$2,AN$1,$B66)</f>
        <v>0</v>
      </c>
      <c r="AO66" s="229">
        <f>_xll.DBRW(Server&amp;Cube1,$N$15,$N$16,$N$17,$N$18,$N$14,$N$13,AO$2,AO$1,$B66)</f>
        <v>0</v>
      </c>
      <c r="AP66" s="229">
        <f>_xll.DBRW(Server&amp;Cube1,$N$15,$N$16,$N$17,$N$18,$N$14,$N$13,AP$2,AP$1,$B66)</f>
        <v>-381722781.81999999</v>
      </c>
      <c r="AQ66" s="32"/>
      <c r="AR66" s="229">
        <f>_xll.DBRW(Server&amp;Cube1,$N$15,$N$16,$N$17,$N$18,$N$14,$N$13,AR$2,AR$1,$B66)</f>
        <v>0</v>
      </c>
      <c r="AS66" s="229">
        <f>_xll.DBRW(Server&amp;Cube1,$N$15,$N$16,$N$17,$N$18,$N$14,$N$13,AS$2,AS$1,$B66)</f>
        <v>0</v>
      </c>
      <c r="AT66" s="229">
        <f>_xll.DBRW(Server&amp;Cube1,$N$15,$N$16,$N$17,$N$18,$N$14,$N$13,AT$2,AT$1,$B66)</f>
        <v>-363657374.71999997</v>
      </c>
      <c r="AU66" s="32"/>
      <c r="AV66" s="229">
        <f>_xll.DBRW(Server&amp;Cube1,$N$15,$N$16,$N$17,$N$18,$N$14,$N$13,AV$2,AV$1,$B66)</f>
        <v>0</v>
      </c>
      <c r="AW66" s="229">
        <f>_xll.DBRW(Server&amp;Cube1,$N$15,$N$16,$N$17,$N$18,$N$14,$N$13,AW$2,AW$1,$B66)</f>
        <v>0</v>
      </c>
      <c r="AX66" s="229">
        <f>_xll.DBRW(Server&amp;Cube1,$N$15,$N$16,$N$17,$N$18,$N$14,$N$13,AX$2,AX$1,$B66)</f>
        <v>-477839808.25999999</v>
      </c>
      <c r="AY66" s="32"/>
      <c r="AZ66" s="229">
        <f>_xll.DBRW(Server&amp;Cube1,$N$15,$N$16,$N$17,$N$18,$N$14,$N$13,AZ$2,AZ$1,$B66)</f>
        <v>0</v>
      </c>
      <c r="BA66" s="229">
        <f>_xll.DBRW(Server&amp;Cube1,$N$15,$N$16,$N$17,$N$18,$N$14,$N$13,BA$2,BA$1,$B66)</f>
        <v>0</v>
      </c>
      <c r="BB66" s="229">
        <f>_xll.DBRW(Server&amp;Cube1,$N$15,$N$16,$N$17,$N$18,$N$14,$N$13,BB$2,BB$1,$B66)</f>
        <v>-457467837.49000007</v>
      </c>
      <c r="BC66" s="32"/>
      <c r="BD66" s="229">
        <f>_xll.DBRW(Server&amp;Cube1,$N$15,$N$16,$N$17,$N$18,$N$14,$N$13,BD$2,BD$1,$B66)</f>
        <v>-351115.77000000014</v>
      </c>
      <c r="BE66" s="229">
        <f>_xll.DBRW(Server&amp;Cube1,$N$15,$N$16,$N$17,$N$18,$N$14,$N$13,BE$2,BE$1,$B66)</f>
        <v>0</v>
      </c>
      <c r="BF66" s="229">
        <f>_xll.DBRW(Server&amp;Cube1,$N$15,$N$16,$N$17,$N$18,$N$14,$N$13,BF$2,BF$1,$B66)</f>
        <v>2883276880.9500003</v>
      </c>
      <c r="BG66" s="32"/>
      <c r="BH66" s="229">
        <f>_xll.DBRW(Server&amp;Cube1,$N$15,$N$16,$N$17,$N$18,$N$14,$N$13,BH$2,BH$1,$B66)</f>
        <v>0</v>
      </c>
      <c r="BI66" s="229">
        <f>_xll.DBRW(Server&amp;Cube1,$N$15,$N$16,$N$17,$N$18,$N$14,$N$13,BI$2,BI$1,$B66)</f>
        <v>0</v>
      </c>
      <c r="BJ66" s="229">
        <f>_xll.DBRW(Server&amp;Cube1,$N$15,$N$16,$N$17,$N$18,$N$14,$N$13,BJ$2,BJ$1,$B66)</f>
        <v>-395108573.51999998</v>
      </c>
      <c r="BK66" s="32"/>
      <c r="BL66" s="229">
        <f>_xll.DBRW(Server&amp;Cube1,$N$15,$N$16,$N$17,$N$18,$N$14,$N$13,BL$2,BL$1,$B66)</f>
        <v>0</v>
      </c>
      <c r="BM66" s="229">
        <f>_xll.DBRW(Server&amp;Cube1,$N$15,$N$16,$N$17,$N$18,$N$14,$N$13,BM$2,BM$1,$B66)</f>
        <v>0</v>
      </c>
      <c r="BN66" s="229">
        <f>_xll.DBRW(Server&amp;Cube1,$N$15,$N$16,$N$17,$N$18,$N$14,$N$13,BN$2,BN$1,$B66)</f>
        <v>-312226618.42999995</v>
      </c>
      <c r="BO66" s="32"/>
      <c r="BP66" s="229">
        <f>_xll.DBRW(Server&amp;Cube1,$N$15,$N$16,$N$17,$N$18,$N$14,$N$13,BP$2,BP$1,$B66)</f>
        <v>0</v>
      </c>
      <c r="BQ66" s="229">
        <f>_xll.DBRW(Server&amp;Cube1,$N$15,$N$16,$N$17,$N$18,$N$14,$N$13,BQ$2,BQ$1,$B66)</f>
        <v>0</v>
      </c>
      <c r="BR66" s="229">
        <f>_xll.DBRW(Server&amp;Cube1,$N$15,$N$16,$N$17,$N$18,$N$14,$N$13,BR$2,BR$1,$B66)</f>
        <v>-280569706.86999995</v>
      </c>
      <c r="BS66" s="32"/>
      <c r="BT66" s="229">
        <f>_xll.DBRW(Server&amp;Cube1,$N$15,$N$16,$N$17,$N$18,$N$14,$N$13,BT$2,BT$1,$B66)</f>
        <v>0</v>
      </c>
      <c r="BU66" s="229">
        <f>_xll.DBRW(Server&amp;Cube1,$N$15,$N$16,$N$17,$N$18,$N$14,$N$13,BU$2,BU$1,$B66)</f>
        <v>0</v>
      </c>
      <c r="BV66" s="229">
        <f>_xll.DBRW(Server&amp;Cube1,$N$15,$N$16,$N$17,$N$18,$N$14,$N$13,BV$2,BV$1,$B66)</f>
        <v>-324404896.36000001</v>
      </c>
      <c r="BW66" s="54"/>
      <c r="BX66" s="28"/>
    </row>
    <row r="67" spans="1:78" ht="19.5" hidden="1" customHeight="1" outlineLevel="1" x14ac:dyDescent="0.6">
      <c r="A67" s="141"/>
      <c r="B67" s="54" t="s">
        <v>56</v>
      </c>
      <c r="H67" s="54"/>
      <c r="I67" s="68"/>
      <c r="J67" s="53"/>
      <c r="K67" s="9"/>
      <c r="L67" s="552" t="str">
        <f>_xll.DBRA(Server&amp;$B$32,$B67,$N$19)</f>
        <v>Spare parts for maintenance of rolling stock</v>
      </c>
      <c r="M67" s="552"/>
      <c r="N67" s="552"/>
      <c r="O67" s="552"/>
      <c r="P67" s="112"/>
      <c r="Q67" s="229">
        <f>_xll.DBRW(Server&amp;Cube1,$N$15,$N$16,$N$17,$N$18,$N$14,$N$13,$N$11,$Q$1,$B67)</f>
        <v>-5288883.2800000012</v>
      </c>
      <c r="R67" s="229">
        <f>_xll.DBRW(Server&amp;Cube1,$N$15,$N$16,$N$17,$N$18,$N$14,$N$13,$R$2,$R$1,$B67)</f>
        <v>0</v>
      </c>
      <c r="S67" s="230">
        <f t="shared" si="16"/>
        <v>-5288883.2800000012</v>
      </c>
      <c r="T67" s="232">
        <f t="shared" si="17"/>
        <v>0</v>
      </c>
      <c r="U67" s="218"/>
      <c r="V67" s="229">
        <f>_xll.DBRW(Server&amp;Cube1,$N$15,$N$16,$N$17,$N$18,$N$14,$N$13,$V$2,$V$1,$B67)</f>
        <v>-162547479.75</v>
      </c>
      <c r="W67" s="230">
        <f t="shared" si="18"/>
        <v>157258596.47</v>
      </c>
      <c r="X67" s="232">
        <f t="shared" si="19"/>
        <v>0.96746253286649309</v>
      </c>
      <c r="Y67" s="54"/>
      <c r="Z67" s="54"/>
      <c r="AA67" s="54"/>
      <c r="AB67" s="229">
        <f>_xll.DBRW(Server&amp;Cube1,$N$15,$N$16,$N$17,$N$18,$N$14,$N$13,AB$2,AB$1,$B67)</f>
        <v>0</v>
      </c>
      <c r="AC67" s="229">
        <f>_xll.DBRW(Server&amp;Cube1,$N$15,$N$16,$N$17,$N$18,$N$14,$N$13,AC$2,AC$1,$B67)</f>
        <v>0</v>
      </c>
      <c r="AD67" s="229">
        <f>_xll.DBRW(Server&amp;Cube1,$N$15,$N$16,$N$17,$N$18,$N$14,$N$13,AD$2,AD$1,$B67)</f>
        <v>-56599259.379999995</v>
      </c>
      <c r="AE67" s="32"/>
      <c r="AF67" s="229">
        <f>_xll.DBRW(Server&amp;Cube1,$N$15,$N$16,$N$17,$N$18,$N$14,$N$13,AF$2,AF$1,$B67)</f>
        <v>0</v>
      </c>
      <c r="AG67" s="229">
        <f>_xll.DBRW(Server&amp;Cube1,$N$15,$N$16,$N$17,$N$18,$N$14,$N$13,AG$2,AG$1,$B67)</f>
        <v>0</v>
      </c>
      <c r="AH67" s="229">
        <f>_xll.DBRW(Server&amp;Cube1,$N$15,$N$16,$N$17,$N$18,$N$14,$N$13,AH$2,AH$1,$B67)</f>
        <v>-18587753.039999999</v>
      </c>
      <c r="AI67" s="32"/>
      <c r="AJ67" s="229">
        <f>_xll.DBRW(Server&amp;Cube1,$N$15,$N$16,$N$17,$N$18,$N$14,$N$13,AJ$2,AJ$1,$B67)</f>
        <v>0</v>
      </c>
      <c r="AK67" s="229">
        <f>_xll.DBRW(Server&amp;Cube1,$N$15,$N$16,$N$17,$N$18,$N$14,$N$13,AK$2,AK$1,$B67)</f>
        <v>0</v>
      </c>
      <c r="AL67" s="229">
        <f>_xll.DBRW(Server&amp;Cube1,$N$15,$N$16,$N$17,$N$18,$N$14,$N$13,AL$2,AL$1,$B67)</f>
        <v>-110716772.81000002</v>
      </c>
      <c r="AM67" s="32"/>
      <c r="AN67" s="229">
        <f>_xll.DBRW(Server&amp;Cube1,$N$15,$N$16,$N$17,$N$18,$N$14,$N$13,AN$2,AN$1,$B67)</f>
        <v>0</v>
      </c>
      <c r="AO67" s="229">
        <f>_xll.DBRW(Server&amp;Cube1,$N$15,$N$16,$N$17,$N$18,$N$14,$N$13,AO$2,AO$1,$B67)</f>
        <v>0</v>
      </c>
      <c r="AP67" s="229">
        <f>_xll.DBRW(Server&amp;Cube1,$N$15,$N$16,$N$17,$N$18,$N$14,$N$13,AP$2,AP$1,$B67)</f>
        <v>-73625072.599999979</v>
      </c>
      <c r="AQ67" s="32"/>
      <c r="AR67" s="229">
        <f>_xll.DBRW(Server&amp;Cube1,$N$15,$N$16,$N$17,$N$18,$N$14,$N$13,AR$2,AR$1,$B67)</f>
        <v>0</v>
      </c>
      <c r="AS67" s="229">
        <f>_xll.DBRW(Server&amp;Cube1,$N$15,$N$16,$N$17,$N$18,$N$14,$N$13,AS$2,AS$1,$B67)</f>
        <v>0</v>
      </c>
      <c r="AT67" s="229">
        <f>_xll.DBRW(Server&amp;Cube1,$N$15,$N$16,$N$17,$N$18,$N$14,$N$13,AT$2,AT$1,$B67)</f>
        <v>-74863833.999999985</v>
      </c>
      <c r="AU67" s="32"/>
      <c r="AV67" s="229">
        <f>_xll.DBRW(Server&amp;Cube1,$N$15,$N$16,$N$17,$N$18,$N$14,$N$13,AV$2,AV$1,$B67)</f>
        <v>0</v>
      </c>
      <c r="AW67" s="229">
        <f>_xll.DBRW(Server&amp;Cube1,$N$15,$N$16,$N$17,$N$18,$N$14,$N$13,AW$2,AW$1,$B67)</f>
        <v>0</v>
      </c>
      <c r="AX67" s="229">
        <f>_xll.DBRW(Server&amp;Cube1,$N$15,$N$16,$N$17,$N$18,$N$14,$N$13,AX$2,AX$1,$B67)</f>
        <v>-78963956.140000001</v>
      </c>
      <c r="AY67" s="32"/>
      <c r="AZ67" s="229">
        <f>_xll.DBRW(Server&amp;Cube1,$N$15,$N$16,$N$17,$N$18,$N$14,$N$13,AZ$2,AZ$1,$B67)</f>
        <v>0</v>
      </c>
      <c r="BA67" s="229">
        <f>_xll.DBRW(Server&amp;Cube1,$N$15,$N$16,$N$17,$N$18,$N$14,$N$13,BA$2,BA$1,$B67)</f>
        <v>0</v>
      </c>
      <c r="BB67" s="229">
        <f>_xll.DBRW(Server&amp;Cube1,$N$15,$N$16,$N$17,$N$18,$N$14,$N$13,BB$2,BB$1,$B67)</f>
        <v>-63316996.069999985</v>
      </c>
      <c r="BC67" s="32"/>
      <c r="BD67" s="229">
        <f>_xll.DBRW(Server&amp;Cube1,$N$15,$N$16,$N$17,$N$18,$N$14,$N$13,BD$2,BD$1,$B67)</f>
        <v>-5288883.2800000012</v>
      </c>
      <c r="BE67" s="229">
        <f>_xll.DBRW(Server&amp;Cube1,$N$15,$N$16,$N$17,$N$18,$N$14,$N$13,BE$2,BE$1,$B67)</f>
        <v>0</v>
      </c>
      <c r="BF67" s="229">
        <f>_xll.DBRW(Server&amp;Cube1,$N$15,$N$16,$N$17,$N$18,$N$14,$N$13,BF$2,BF$1,$B67)</f>
        <v>314126164.29000002</v>
      </c>
      <c r="BG67" s="32"/>
      <c r="BH67" s="229">
        <f>_xll.DBRW(Server&amp;Cube1,$N$15,$N$16,$N$17,$N$18,$N$14,$N$13,BH$2,BH$1,$B67)</f>
        <v>0</v>
      </c>
      <c r="BI67" s="229">
        <f>_xll.DBRW(Server&amp;Cube1,$N$15,$N$16,$N$17,$N$18,$N$14,$N$13,BI$2,BI$1,$B67)</f>
        <v>0</v>
      </c>
      <c r="BJ67" s="229">
        <f>_xll.DBRW(Server&amp;Cube1,$N$15,$N$16,$N$17,$N$18,$N$14,$N$13,BJ$2,BJ$1,$B67)</f>
        <v>-87304349.789999992</v>
      </c>
      <c r="BK67" s="32"/>
      <c r="BL67" s="229">
        <f>_xll.DBRW(Server&amp;Cube1,$N$15,$N$16,$N$17,$N$18,$N$14,$N$13,BL$2,BL$1,$B67)</f>
        <v>0</v>
      </c>
      <c r="BM67" s="229">
        <f>_xll.DBRW(Server&amp;Cube1,$N$15,$N$16,$N$17,$N$18,$N$14,$N$13,BM$2,BM$1,$B67)</f>
        <v>0</v>
      </c>
      <c r="BN67" s="229">
        <f>_xll.DBRW(Server&amp;Cube1,$N$15,$N$16,$N$17,$N$18,$N$14,$N$13,BN$2,BN$1,$B67)</f>
        <v>-75741245.570000008</v>
      </c>
      <c r="BO67" s="32"/>
      <c r="BP67" s="229">
        <f>_xll.DBRW(Server&amp;Cube1,$N$15,$N$16,$N$17,$N$18,$N$14,$N$13,BP$2,BP$1,$B67)</f>
        <v>0</v>
      </c>
      <c r="BQ67" s="229">
        <f>_xll.DBRW(Server&amp;Cube1,$N$15,$N$16,$N$17,$N$18,$N$14,$N$13,BQ$2,BQ$1,$B67)</f>
        <v>0</v>
      </c>
      <c r="BR67" s="229">
        <f>_xll.DBRW(Server&amp;Cube1,$N$15,$N$16,$N$17,$N$18,$N$14,$N$13,BR$2,BR$1,$B67)</f>
        <v>-110349829.50999998</v>
      </c>
      <c r="BS67" s="32"/>
      <c r="BT67" s="229">
        <f>_xll.DBRW(Server&amp;Cube1,$N$15,$N$16,$N$17,$N$18,$N$14,$N$13,BT$2,BT$1,$B67)</f>
        <v>0</v>
      </c>
      <c r="BU67" s="229">
        <f>_xll.DBRW(Server&amp;Cube1,$N$15,$N$16,$N$17,$N$18,$N$14,$N$13,BU$2,BU$1,$B67)</f>
        <v>0</v>
      </c>
      <c r="BV67" s="229">
        <f>_xll.DBRW(Server&amp;Cube1,$N$15,$N$16,$N$17,$N$18,$N$14,$N$13,BV$2,BV$1,$B67)</f>
        <v>-154514373.98000002</v>
      </c>
      <c r="BW67" s="54"/>
      <c r="BX67" s="28"/>
    </row>
    <row r="68" spans="1:78" ht="19.5" hidden="1" customHeight="1" outlineLevel="1" x14ac:dyDescent="0.6">
      <c r="A68" s="141"/>
      <c r="B68" s="54" t="s">
        <v>57</v>
      </c>
      <c r="H68" s="54"/>
      <c r="I68" s="68"/>
      <c r="J68" s="53"/>
      <c r="K68" s="9"/>
      <c r="L68" s="552" t="str">
        <f>_xll.DBRA(Server&amp;$B$32,$B68,$N$19)</f>
        <v>Tyres</v>
      </c>
      <c r="M68" s="552"/>
      <c r="N68" s="552"/>
      <c r="O68" s="552"/>
      <c r="P68" s="112"/>
      <c r="Q68" s="229">
        <f>_xll.DBRW(Server&amp;Cube1,$N$15,$N$16,$N$17,$N$18,$N$14,$N$13,$N$11,$Q$1,$B68)</f>
        <v>-1130531.2199999997</v>
      </c>
      <c r="R68" s="229">
        <f>_xll.DBRW(Server&amp;Cube1,$N$15,$N$16,$N$17,$N$18,$N$14,$N$13,$R$2,$R$1,$B68)</f>
        <v>0</v>
      </c>
      <c r="S68" s="230">
        <f t="shared" si="16"/>
        <v>-1130531.2199999997</v>
      </c>
      <c r="T68" s="232">
        <f t="shared" si="17"/>
        <v>0</v>
      </c>
      <c r="U68" s="218"/>
      <c r="V68" s="229">
        <f>_xll.DBRW(Server&amp;Cube1,$N$15,$N$16,$N$17,$N$18,$N$14,$N$13,$V$2,$V$1,$B68)</f>
        <v>-38098165.169999987</v>
      </c>
      <c r="W68" s="230">
        <f t="shared" si="18"/>
        <v>36967633.949999988</v>
      </c>
      <c r="X68" s="232">
        <f t="shared" si="19"/>
        <v>0.97032583551057139</v>
      </c>
      <c r="Y68" s="54"/>
      <c r="Z68" s="54"/>
      <c r="AA68" s="54"/>
      <c r="AB68" s="229">
        <f>_xll.DBRW(Server&amp;Cube1,$N$15,$N$16,$N$17,$N$18,$N$14,$N$13,AB$2,AB$1,$B68)</f>
        <v>0</v>
      </c>
      <c r="AC68" s="229">
        <f>_xll.DBRW(Server&amp;Cube1,$N$15,$N$16,$N$17,$N$18,$N$14,$N$13,AC$2,AC$1,$B68)</f>
        <v>0</v>
      </c>
      <c r="AD68" s="229">
        <f>_xll.DBRW(Server&amp;Cube1,$N$15,$N$16,$N$17,$N$18,$N$14,$N$13,AD$2,AD$1,$B68)</f>
        <v>-20770407.93999999</v>
      </c>
      <c r="AE68" s="32"/>
      <c r="AF68" s="229">
        <f>_xll.DBRW(Server&amp;Cube1,$N$15,$N$16,$N$17,$N$18,$N$14,$N$13,AF$2,AF$1,$B68)</f>
        <v>0</v>
      </c>
      <c r="AG68" s="229">
        <f>_xll.DBRW(Server&amp;Cube1,$N$15,$N$16,$N$17,$N$18,$N$14,$N$13,AG$2,AG$1,$B68)</f>
        <v>0</v>
      </c>
      <c r="AH68" s="229">
        <f>_xll.DBRW(Server&amp;Cube1,$N$15,$N$16,$N$17,$N$18,$N$14,$N$13,AH$2,AH$1,$B68)</f>
        <v>-6520866.0300000003</v>
      </c>
      <c r="AI68" s="32"/>
      <c r="AJ68" s="229">
        <f>_xll.DBRW(Server&amp;Cube1,$N$15,$N$16,$N$17,$N$18,$N$14,$N$13,AJ$2,AJ$1,$B68)</f>
        <v>0</v>
      </c>
      <c r="AK68" s="229">
        <f>_xll.DBRW(Server&amp;Cube1,$N$15,$N$16,$N$17,$N$18,$N$14,$N$13,AK$2,AK$1,$B68)</f>
        <v>0</v>
      </c>
      <c r="AL68" s="229">
        <f>_xll.DBRW(Server&amp;Cube1,$N$15,$N$16,$N$17,$N$18,$N$14,$N$13,AL$2,AL$1,$B68)</f>
        <v>-44921356.879999995</v>
      </c>
      <c r="AM68" s="32"/>
      <c r="AN68" s="229">
        <f>_xll.DBRW(Server&amp;Cube1,$N$15,$N$16,$N$17,$N$18,$N$14,$N$13,AN$2,AN$1,$B68)</f>
        <v>0</v>
      </c>
      <c r="AO68" s="229">
        <f>_xll.DBRW(Server&amp;Cube1,$N$15,$N$16,$N$17,$N$18,$N$14,$N$13,AO$2,AO$1,$B68)</f>
        <v>0</v>
      </c>
      <c r="AP68" s="229">
        <f>_xll.DBRW(Server&amp;Cube1,$N$15,$N$16,$N$17,$N$18,$N$14,$N$13,AP$2,AP$1,$B68)</f>
        <v>-19101000.499999996</v>
      </c>
      <c r="AQ68" s="32"/>
      <c r="AR68" s="229">
        <f>_xll.DBRW(Server&amp;Cube1,$N$15,$N$16,$N$17,$N$18,$N$14,$N$13,AR$2,AR$1,$B68)</f>
        <v>0</v>
      </c>
      <c r="AS68" s="229">
        <f>_xll.DBRW(Server&amp;Cube1,$N$15,$N$16,$N$17,$N$18,$N$14,$N$13,AS$2,AS$1,$B68)</f>
        <v>0</v>
      </c>
      <c r="AT68" s="229">
        <f>_xll.DBRW(Server&amp;Cube1,$N$15,$N$16,$N$17,$N$18,$N$14,$N$13,AT$2,AT$1,$B68)</f>
        <v>-16543389.24</v>
      </c>
      <c r="AU68" s="32"/>
      <c r="AV68" s="229">
        <f>_xll.DBRW(Server&amp;Cube1,$N$15,$N$16,$N$17,$N$18,$N$14,$N$13,AV$2,AV$1,$B68)</f>
        <v>0</v>
      </c>
      <c r="AW68" s="229">
        <f>_xll.DBRW(Server&amp;Cube1,$N$15,$N$16,$N$17,$N$18,$N$14,$N$13,AW$2,AW$1,$B68)</f>
        <v>0</v>
      </c>
      <c r="AX68" s="229">
        <f>_xll.DBRW(Server&amp;Cube1,$N$15,$N$16,$N$17,$N$18,$N$14,$N$13,AX$2,AX$1,$B68)</f>
        <v>-25798163.290000007</v>
      </c>
      <c r="AY68" s="32"/>
      <c r="AZ68" s="229">
        <f>_xll.DBRW(Server&amp;Cube1,$N$15,$N$16,$N$17,$N$18,$N$14,$N$13,AZ$2,AZ$1,$B68)</f>
        <v>0</v>
      </c>
      <c r="BA68" s="229">
        <f>_xll.DBRW(Server&amp;Cube1,$N$15,$N$16,$N$17,$N$18,$N$14,$N$13,BA$2,BA$1,$B68)</f>
        <v>0</v>
      </c>
      <c r="BB68" s="229">
        <f>_xll.DBRW(Server&amp;Cube1,$N$15,$N$16,$N$17,$N$18,$N$14,$N$13,BB$2,BB$1,$B68)</f>
        <v>-6341653.1399999987</v>
      </c>
      <c r="BC68" s="32"/>
      <c r="BD68" s="229">
        <f>_xll.DBRW(Server&amp;Cube1,$N$15,$N$16,$N$17,$N$18,$N$14,$N$13,BD$2,BD$1,$B68)</f>
        <v>-1130531.22</v>
      </c>
      <c r="BE68" s="229">
        <f>_xll.DBRW(Server&amp;Cube1,$N$15,$N$16,$N$17,$N$18,$N$14,$N$13,BE$2,BE$1,$B68)</f>
        <v>0</v>
      </c>
      <c r="BF68" s="229">
        <f>_xll.DBRW(Server&amp;Cube1,$N$15,$N$16,$N$17,$N$18,$N$14,$N$13,BF$2,BF$1,$B68)</f>
        <v>101898671.84999998</v>
      </c>
      <c r="BG68" s="32"/>
      <c r="BH68" s="229">
        <f>_xll.DBRW(Server&amp;Cube1,$N$15,$N$16,$N$17,$N$18,$N$14,$N$13,BH$2,BH$1,$B68)</f>
        <v>0</v>
      </c>
      <c r="BI68" s="229">
        <f>_xll.DBRW(Server&amp;Cube1,$N$15,$N$16,$N$17,$N$18,$N$14,$N$13,BI$2,BI$1,$B68)</f>
        <v>0</v>
      </c>
      <c r="BJ68" s="229">
        <f>_xll.DBRW(Server&amp;Cube1,$N$15,$N$16,$N$17,$N$18,$N$14,$N$13,BJ$2,BJ$1,$B68)</f>
        <v>-8985691.2199999988</v>
      </c>
      <c r="BK68" s="32"/>
      <c r="BL68" s="229">
        <f>_xll.DBRW(Server&amp;Cube1,$N$15,$N$16,$N$17,$N$18,$N$14,$N$13,BL$2,BL$1,$B68)</f>
        <v>0</v>
      </c>
      <c r="BM68" s="229">
        <f>_xll.DBRW(Server&amp;Cube1,$N$15,$N$16,$N$17,$N$18,$N$14,$N$13,BM$2,BM$1,$B68)</f>
        <v>0</v>
      </c>
      <c r="BN68" s="229">
        <f>_xll.DBRW(Server&amp;Cube1,$N$15,$N$16,$N$17,$N$18,$N$14,$N$13,BN$2,BN$1,$B68)</f>
        <v>-5082620.3499999987</v>
      </c>
      <c r="BO68" s="32"/>
      <c r="BP68" s="229">
        <f>_xll.DBRW(Server&amp;Cube1,$N$15,$N$16,$N$17,$N$18,$N$14,$N$13,BP$2,BP$1,$B68)</f>
        <v>0</v>
      </c>
      <c r="BQ68" s="229">
        <f>_xll.DBRW(Server&amp;Cube1,$N$15,$N$16,$N$17,$N$18,$N$14,$N$13,BQ$2,BQ$1,$B68)</f>
        <v>0</v>
      </c>
      <c r="BR68" s="229">
        <f>_xll.DBRW(Server&amp;Cube1,$N$15,$N$16,$N$17,$N$18,$N$14,$N$13,BR$2,BR$1,$B68)</f>
        <v>-11173801.900000002</v>
      </c>
      <c r="BS68" s="32"/>
      <c r="BT68" s="229">
        <f>_xll.DBRW(Server&amp;Cube1,$N$15,$N$16,$N$17,$N$18,$N$14,$N$13,BT$2,BT$1,$B68)</f>
        <v>0</v>
      </c>
      <c r="BU68" s="229">
        <f>_xll.DBRW(Server&amp;Cube1,$N$15,$N$16,$N$17,$N$18,$N$14,$N$13,BU$2,BU$1,$B68)</f>
        <v>0</v>
      </c>
      <c r="BV68" s="229">
        <f>_xll.DBRW(Server&amp;Cube1,$N$15,$N$16,$N$17,$N$18,$N$14,$N$13,BV$2,BV$1,$B68)</f>
        <v>-27728480.559999999</v>
      </c>
      <c r="BW68" s="54"/>
      <c r="BX68" s="28"/>
    </row>
    <row r="69" spans="1:78" ht="19.5" hidden="1" customHeight="1" outlineLevel="1" x14ac:dyDescent="0.6">
      <c r="A69" s="141"/>
      <c r="B69" s="54" t="s">
        <v>58</v>
      </c>
      <c r="H69" s="54"/>
      <c r="I69" s="68"/>
      <c r="J69" s="53"/>
      <c r="K69" s="9"/>
      <c r="L69" s="552" t="str">
        <f>_xll.DBRA(Server&amp;$B$32,$B69,$N$19)</f>
        <v>Lubricants</v>
      </c>
      <c r="M69" s="552"/>
      <c r="N69" s="552"/>
      <c r="O69" s="552"/>
      <c r="P69" s="112"/>
      <c r="Q69" s="229">
        <f>_xll.DBRW(Server&amp;Cube1,$N$15,$N$16,$N$17,$N$18,$N$14,$N$13,$N$11,$Q$1,$B69)</f>
        <v>-699186.95000000007</v>
      </c>
      <c r="R69" s="229">
        <f>_xll.DBRW(Server&amp;Cube1,$N$15,$N$16,$N$17,$N$18,$N$14,$N$13,$R$2,$R$1,$B69)</f>
        <v>0</v>
      </c>
      <c r="S69" s="230">
        <f t="shared" si="16"/>
        <v>-699186.95000000007</v>
      </c>
      <c r="T69" s="232">
        <f t="shared" si="17"/>
        <v>0</v>
      </c>
      <c r="U69" s="218"/>
      <c r="V69" s="229">
        <f>_xll.DBRW(Server&amp;Cube1,$N$15,$N$16,$N$17,$N$18,$N$14,$N$13,$V$2,$V$1,$B69)</f>
        <v>-11018508.839999974</v>
      </c>
      <c r="W69" s="230">
        <f t="shared" si="18"/>
        <v>10319321.889999975</v>
      </c>
      <c r="X69" s="232">
        <f t="shared" si="19"/>
        <v>0.93654432190844428</v>
      </c>
      <c r="Y69" s="54"/>
      <c r="Z69" s="54"/>
      <c r="AA69" s="54"/>
      <c r="AB69" s="229">
        <f>_xll.DBRW(Server&amp;Cube1,$N$15,$N$16,$N$17,$N$18,$N$14,$N$13,AB$2,AB$1,$B69)</f>
        <v>0</v>
      </c>
      <c r="AC69" s="229">
        <f>_xll.DBRW(Server&amp;Cube1,$N$15,$N$16,$N$17,$N$18,$N$14,$N$13,AC$2,AC$1,$B69)</f>
        <v>0</v>
      </c>
      <c r="AD69" s="229">
        <f>_xll.DBRW(Server&amp;Cube1,$N$15,$N$16,$N$17,$N$18,$N$14,$N$13,AD$2,AD$1,$B69)</f>
        <v>-40359919.159999989</v>
      </c>
      <c r="AE69" s="32"/>
      <c r="AF69" s="229">
        <f>_xll.DBRW(Server&amp;Cube1,$N$15,$N$16,$N$17,$N$18,$N$14,$N$13,AF$2,AF$1,$B69)</f>
        <v>0</v>
      </c>
      <c r="AG69" s="229">
        <f>_xll.DBRW(Server&amp;Cube1,$N$15,$N$16,$N$17,$N$18,$N$14,$N$13,AG$2,AG$1,$B69)</f>
        <v>0</v>
      </c>
      <c r="AH69" s="229">
        <f>_xll.DBRW(Server&amp;Cube1,$N$15,$N$16,$N$17,$N$18,$N$14,$N$13,AH$2,AH$1,$B69)</f>
        <v>722231.77</v>
      </c>
      <c r="AI69" s="32"/>
      <c r="AJ69" s="229">
        <f>_xll.DBRW(Server&amp;Cube1,$N$15,$N$16,$N$17,$N$18,$N$14,$N$13,AJ$2,AJ$1,$B69)</f>
        <v>0</v>
      </c>
      <c r="AK69" s="229">
        <f>_xll.DBRW(Server&amp;Cube1,$N$15,$N$16,$N$17,$N$18,$N$14,$N$13,AK$2,AK$1,$B69)</f>
        <v>0</v>
      </c>
      <c r="AL69" s="229">
        <f>_xll.DBRW(Server&amp;Cube1,$N$15,$N$16,$N$17,$N$18,$N$14,$N$13,AL$2,AL$1,$B69)</f>
        <v>-101275183.44000003</v>
      </c>
      <c r="AM69" s="32"/>
      <c r="AN69" s="229">
        <f>_xll.DBRW(Server&amp;Cube1,$N$15,$N$16,$N$17,$N$18,$N$14,$N$13,AN$2,AN$1,$B69)</f>
        <v>0</v>
      </c>
      <c r="AO69" s="229">
        <f>_xll.DBRW(Server&amp;Cube1,$N$15,$N$16,$N$17,$N$18,$N$14,$N$13,AO$2,AO$1,$B69)</f>
        <v>0</v>
      </c>
      <c r="AP69" s="229">
        <f>_xll.DBRW(Server&amp;Cube1,$N$15,$N$16,$N$17,$N$18,$N$14,$N$13,AP$2,AP$1,$B69)</f>
        <v>-71216158.840000004</v>
      </c>
      <c r="AQ69" s="32"/>
      <c r="AR69" s="229">
        <f>_xll.DBRW(Server&amp;Cube1,$N$15,$N$16,$N$17,$N$18,$N$14,$N$13,AR$2,AR$1,$B69)</f>
        <v>0</v>
      </c>
      <c r="AS69" s="229">
        <f>_xll.DBRW(Server&amp;Cube1,$N$15,$N$16,$N$17,$N$18,$N$14,$N$13,AS$2,AS$1,$B69)</f>
        <v>0</v>
      </c>
      <c r="AT69" s="229">
        <f>_xll.DBRW(Server&amp;Cube1,$N$15,$N$16,$N$17,$N$18,$N$14,$N$13,AT$2,AT$1,$B69)</f>
        <v>-69705088.940000013</v>
      </c>
      <c r="AU69" s="32"/>
      <c r="AV69" s="229">
        <f>_xll.DBRW(Server&amp;Cube1,$N$15,$N$16,$N$17,$N$18,$N$14,$N$13,AV$2,AV$1,$B69)</f>
        <v>0</v>
      </c>
      <c r="AW69" s="229">
        <f>_xll.DBRW(Server&amp;Cube1,$N$15,$N$16,$N$17,$N$18,$N$14,$N$13,AW$2,AW$1,$B69)</f>
        <v>0</v>
      </c>
      <c r="AX69" s="229">
        <f>_xll.DBRW(Server&amp;Cube1,$N$15,$N$16,$N$17,$N$18,$N$14,$N$13,AX$2,AX$1,$B69)</f>
        <v>-61289329.640000001</v>
      </c>
      <c r="AY69" s="32"/>
      <c r="AZ69" s="229">
        <f>_xll.DBRW(Server&amp;Cube1,$N$15,$N$16,$N$17,$N$18,$N$14,$N$13,AZ$2,AZ$1,$B69)</f>
        <v>0</v>
      </c>
      <c r="BA69" s="229">
        <f>_xll.DBRW(Server&amp;Cube1,$N$15,$N$16,$N$17,$N$18,$N$14,$N$13,BA$2,BA$1,$B69)</f>
        <v>0</v>
      </c>
      <c r="BB69" s="229">
        <f>_xll.DBRW(Server&amp;Cube1,$N$15,$N$16,$N$17,$N$18,$N$14,$N$13,BB$2,BB$1,$B69)</f>
        <v>-59121167.100000016</v>
      </c>
      <c r="BC69" s="32"/>
      <c r="BD69" s="229">
        <f>_xll.DBRW(Server&amp;Cube1,$N$15,$N$16,$N$17,$N$18,$N$14,$N$13,BD$2,BD$1,$B69)</f>
        <v>-699186.95</v>
      </c>
      <c r="BE69" s="229">
        <f>_xll.DBRW(Server&amp;Cube1,$N$15,$N$16,$N$17,$N$18,$N$14,$N$13,BE$2,BE$1,$B69)</f>
        <v>0</v>
      </c>
      <c r="BF69" s="229">
        <f>_xll.DBRW(Server&amp;Cube1,$N$15,$N$16,$N$17,$N$18,$N$14,$N$13,BF$2,BF$1,$B69)</f>
        <v>391226106.51000011</v>
      </c>
      <c r="BG69" s="32"/>
      <c r="BH69" s="229">
        <f>_xll.DBRW(Server&amp;Cube1,$N$15,$N$16,$N$17,$N$18,$N$14,$N$13,BH$2,BH$1,$B69)</f>
        <v>0</v>
      </c>
      <c r="BI69" s="229">
        <f>_xll.DBRW(Server&amp;Cube1,$N$15,$N$16,$N$17,$N$18,$N$14,$N$13,BI$2,BI$1,$B69)</f>
        <v>0</v>
      </c>
      <c r="BJ69" s="229">
        <f>_xll.DBRW(Server&amp;Cube1,$N$15,$N$16,$N$17,$N$18,$N$14,$N$13,BJ$2,BJ$1,$B69)</f>
        <v>-70975016.360000029</v>
      </c>
      <c r="BK69" s="32"/>
      <c r="BL69" s="229">
        <f>_xll.DBRW(Server&amp;Cube1,$N$15,$N$16,$N$17,$N$18,$N$14,$N$13,BL$2,BL$1,$B69)</f>
        <v>0</v>
      </c>
      <c r="BM69" s="229">
        <f>_xll.DBRW(Server&amp;Cube1,$N$15,$N$16,$N$17,$N$18,$N$14,$N$13,BM$2,BM$1,$B69)</f>
        <v>0</v>
      </c>
      <c r="BN69" s="229">
        <f>_xll.DBRW(Server&amp;Cube1,$N$15,$N$16,$N$17,$N$18,$N$14,$N$13,BN$2,BN$1,$B69)</f>
        <v>-57780007.740000002</v>
      </c>
      <c r="BO69" s="32"/>
      <c r="BP69" s="229">
        <f>_xll.DBRW(Server&amp;Cube1,$N$15,$N$16,$N$17,$N$18,$N$14,$N$13,BP$2,BP$1,$B69)</f>
        <v>0</v>
      </c>
      <c r="BQ69" s="229">
        <f>_xll.DBRW(Server&amp;Cube1,$N$15,$N$16,$N$17,$N$18,$N$14,$N$13,BQ$2,BQ$1,$B69)</f>
        <v>0</v>
      </c>
      <c r="BR69" s="229">
        <f>_xll.DBRW(Server&amp;Cube1,$N$15,$N$16,$N$17,$N$18,$N$14,$N$13,BR$2,BR$1,$B69)</f>
        <v>-68050849.850000024</v>
      </c>
      <c r="BS69" s="32"/>
      <c r="BT69" s="229">
        <f>_xll.DBRW(Server&amp;Cube1,$N$15,$N$16,$N$17,$N$18,$N$14,$N$13,BT$2,BT$1,$B69)</f>
        <v>0</v>
      </c>
      <c r="BU69" s="229">
        <f>_xll.DBRW(Server&amp;Cube1,$N$15,$N$16,$N$17,$N$18,$N$14,$N$13,BU$2,BU$1,$B69)</f>
        <v>0</v>
      </c>
      <c r="BV69" s="229">
        <f>_xll.DBRW(Server&amp;Cube1,$N$15,$N$16,$N$17,$N$18,$N$14,$N$13,BV$2,BV$1,$B69)</f>
        <v>-71551574.87999998</v>
      </c>
      <c r="BW69" s="54"/>
      <c r="BX69" s="28"/>
    </row>
    <row r="70" spans="1:78" ht="19.5" hidden="1" customHeight="1" outlineLevel="1" x14ac:dyDescent="0.6">
      <c r="A70" s="141"/>
      <c r="B70" s="54" t="s">
        <v>59</v>
      </c>
      <c r="H70" s="54"/>
      <c r="I70" s="68"/>
      <c r="J70" s="53"/>
      <c r="K70" s="9"/>
      <c r="L70" s="552" t="str">
        <f>LEFT(_xll.DBRA(Server&amp;$B$32,$B70,$N$19),FIND("(",_xll.DBRA(Server&amp;$B$32,$B70,$N$19),1)-1)</f>
        <v xml:space="preserve">Others </v>
      </c>
      <c r="M70" s="552"/>
      <c r="N70" s="552"/>
      <c r="O70" s="552"/>
      <c r="P70" s="112"/>
      <c r="Q70" s="229">
        <f>_xll.DBRW(Server&amp;Cube1,$N$15,$N$16,$N$17,$N$18,$N$14,$N$13,$N$11,$Q$1,$B70)</f>
        <v>-1390348.7</v>
      </c>
      <c r="R70" s="229">
        <f>_xll.DBRW(Server&amp;Cube1,$N$15,$N$16,$N$17,$N$18,$N$14,$N$13,$R$2,$R$1,$B70)</f>
        <v>0</v>
      </c>
      <c r="S70" s="230">
        <f t="shared" si="16"/>
        <v>-1390348.7</v>
      </c>
      <c r="T70" s="232">
        <f t="shared" si="17"/>
        <v>0</v>
      </c>
      <c r="U70" s="218"/>
      <c r="V70" s="229">
        <f>_xll.DBRW(Server&amp;Cube1,$N$15,$N$16,$N$17,$N$18,$N$14,$N$13,$V$2,$V$1,$B70)</f>
        <v>-68524354.220000148</v>
      </c>
      <c r="W70" s="230">
        <f t="shared" si="18"/>
        <v>67134005.520000145</v>
      </c>
      <c r="X70" s="232">
        <f t="shared" si="19"/>
        <v>0.97971015245855164</v>
      </c>
      <c r="Y70" s="54"/>
      <c r="Z70" s="54"/>
      <c r="AA70" s="54"/>
      <c r="AB70" s="229">
        <f>_xll.DBRW(Server&amp;Cube1,$N$15,$N$16,$N$17,$N$18,$N$14,$N$13,AB$2,AB$1,$B70)</f>
        <v>0</v>
      </c>
      <c r="AC70" s="229">
        <f>_xll.DBRW(Server&amp;Cube1,$N$15,$N$16,$N$17,$N$18,$N$14,$N$13,AC$2,AC$1,$B70)</f>
        <v>0</v>
      </c>
      <c r="AD70" s="229">
        <f>_xll.DBRW(Server&amp;Cube1,$N$15,$N$16,$N$17,$N$18,$N$14,$N$13,AD$2,AD$1,$B70)</f>
        <v>-55620719.129999995</v>
      </c>
      <c r="AE70" s="32"/>
      <c r="AF70" s="229">
        <f>_xll.DBRW(Server&amp;Cube1,$N$15,$N$16,$N$17,$N$18,$N$14,$N$13,AF$2,AF$1,$B70)</f>
        <v>0</v>
      </c>
      <c r="AG70" s="229">
        <f>_xll.DBRW(Server&amp;Cube1,$N$15,$N$16,$N$17,$N$18,$N$14,$N$13,AG$2,AG$1,$B70)</f>
        <v>0</v>
      </c>
      <c r="AH70" s="229">
        <f>_xll.DBRW(Server&amp;Cube1,$N$15,$N$16,$N$17,$N$18,$N$14,$N$13,AH$2,AH$1,$B70)</f>
        <v>-4904454.7800000012</v>
      </c>
      <c r="AI70" s="32"/>
      <c r="AJ70" s="229">
        <f>_xll.DBRW(Server&amp;Cube1,$N$15,$N$16,$N$17,$N$18,$N$14,$N$13,AJ$2,AJ$1,$B70)</f>
        <v>0</v>
      </c>
      <c r="AK70" s="229">
        <f>_xll.DBRW(Server&amp;Cube1,$N$15,$N$16,$N$17,$N$18,$N$14,$N$13,AK$2,AK$1,$B70)</f>
        <v>0</v>
      </c>
      <c r="AL70" s="229">
        <f>_xll.DBRW(Server&amp;Cube1,$N$15,$N$16,$N$17,$N$18,$N$14,$N$13,AL$2,AL$1,$B70)</f>
        <v>-116756225.94000001</v>
      </c>
      <c r="AM70" s="32"/>
      <c r="AN70" s="229">
        <f>_xll.DBRW(Server&amp;Cube1,$N$15,$N$16,$N$17,$N$18,$N$14,$N$13,AN$2,AN$1,$B70)</f>
        <v>0</v>
      </c>
      <c r="AO70" s="229">
        <f>_xll.DBRW(Server&amp;Cube1,$N$15,$N$16,$N$17,$N$18,$N$14,$N$13,AO$2,AO$1,$B70)</f>
        <v>0</v>
      </c>
      <c r="AP70" s="229">
        <f>_xll.DBRW(Server&amp;Cube1,$N$15,$N$16,$N$17,$N$18,$N$14,$N$13,AP$2,AP$1,$B70)</f>
        <v>-58567346.470000014</v>
      </c>
      <c r="AQ70" s="32"/>
      <c r="AR70" s="229">
        <f>_xll.DBRW(Server&amp;Cube1,$N$15,$N$16,$N$17,$N$18,$N$14,$N$13,AR$2,AR$1,$B70)</f>
        <v>0</v>
      </c>
      <c r="AS70" s="229">
        <f>_xll.DBRW(Server&amp;Cube1,$N$15,$N$16,$N$17,$N$18,$N$14,$N$13,AS$2,AS$1,$B70)</f>
        <v>0</v>
      </c>
      <c r="AT70" s="229">
        <f>_xll.DBRW(Server&amp;Cube1,$N$15,$N$16,$N$17,$N$18,$N$14,$N$13,AT$2,AT$1,$B70)</f>
        <v>-55429867.190000005</v>
      </c>
      <c r="AU70" s="32"/>
      <c r="AV70" s="229">
        <f>_xll.DBRW(Server&amp;Cube1,$N$15,$N$16,$N$17,$N$18,$N$14,$N$13,AV$2,AV$1,$B70)</f>
        <v>0</v>
      </c>
      <c r="AW70" s="229">
        <f>_xll.DBRW(Server&amp;Cube1,$N$15,$N$16,$N$17,$N$18,$N$14,$N$13,AW$2,AW$1,$B70)</f>
        <v>0</v>
      </c>
      <c r="AX70" s="229">
        <f>_xll.DBRW(Server&amp;Cube1,$N$15,$N$16,$N$17,$N$18,$N$14,$N$13,AX$2,AX$1,$B70)</f>
        <v>-58660734.280000009</v>
      </c>
      <c r="AY70" s="32"/>
      <c r="AZ70" s="229">
        <f>_xll.DBRW(Server&amp;Cube1,$N$15,$N$16,$N$17,$N$18,$N$14,$N$13,AZ$2,AZ$1,$B70)</f>
        <v>0</v>
      </c>
      <c r="BA70" s="229">
        <f>_xll.DBRW(Server&amp;Cube1,$N$15,$N$16,$N$17,$N$18,$N$14,$N$13,BA$2,BA$1,$B70)</f>
        <v>0</v>
      </c>
      <c r="BB70" s="229">
        <f>_xll.DBRW(Server&amp;Cube1,$N$15,$N$16,$N$17,$N$18,$N$14,$N$13,BB$2,BB$1,$B70)</f>
        <v>-56047997.45000001</v>
      </c>
      <c r="BC70" s="32"/>
      <c r="BD70" s="229">
        <f>_xll.DBRW(Server&amp;Cube1,$N$15,$N$16,$N$17,$N$18,$N$14,$N$13,BD$2,BD$1,$B70)</f>
        <v>-1390348.7</v>
      </c>
      <c r="BE70" s="229">
        <f>_xll.DBRW(Server&amp;Cube1,$N$15,$N$16,$N$17,$N$18,$N$14,$N$13,BE$2,BE$1,$B70)</f>
        <v>0</v>
      </c>
      <c r="BF70" s="229">
        <f>_xll.DBRW(Server&amp;Cube1,$N$15,$N$16,$N$17,$N$18,$N$14,$N$13,BF$2,BF$1,$B70)</f>
        <v>337462991.01999986</v>
      </c>
      <c r="BG70" s="32"/>
      <c r="BH70" s="229">
        <f>_xll.DBRW(Server&amp;Cube1,$N$15,$N$16,$N$17,$N$18,$N$14,$N$13,BH$2,BH$1,$B70)</f>
        <v>0</v>
      </c>
      <c r="BI70" s="229">
        <f>_xll.DBRW(Server&amp;Cube1,$N$15,$N$16,$N$17,$N$18,$N$14,$N$13,BI$2,BI$1,$B70)</f>
        <v>0</v>
      </c>
      <c r="BJ70" s="229">
        <f>_xll.DBRW(Server&amp;Cube1,$N$15,$N$16,$N$17,$N$18,$N$14,$N$13,BJ$2,BJ$1,$B70)</f>
        <v>-61050963.389999993</v>
      </c>
      <c r="BK70" s="32"/>
      <c r="BL70" s="229">
        <f>_xll.DBRW(Server&amp;Cube1,$N$15,$N$16,$N$17,$N$18,$N$14,$N$13,BL$2,BL$1,$B70)</f>
        <v>0</v>
      </c>
      <c r="BM70" s="229">
        <f>_xll.DBRW(Server&amp;Cube1,$N$15,$N$16,$N$17,$N$18,$N$14,$N$13,BM$2,BM$1,$B70)</f>
        <v>0</v>
      </c>
      <c r="BN70" s="229">
        <f>_xll.DBRW(Server&amp;Cube1,$N$15,$N$16,$N$17,$N$18,$N$14,$N$13,BN$2,BN$1,$B70)</f>
        <v>-58984504.910000004</v>
      </c>
      <c r="BO70" s="32"/>
      <c r="BP70" s="229">
        <f>_xll.DBRW(Server&amp;Cube1,$N$15,$N$16,$N$17,$N$18,$N$14,$N$13,BP$2,BP$1,$B70)</f>
        <v>0</v>
      </c>
      <c r="BQ70" s="229">
        <f>_xll.DBRW(Server&amp;Cube1,$N$15,$N$16,$N$17,$N$18,$N$14,$N$13,BQ$2,BQ$1,$B70)</f>
        <v>0</v>
      </c>
      <c r="BR70" s="229">
        <f>_xll.DBRW(Server&amp;Cube1,$N$15,$N$16,$N$17,$N$18,$N$14,$N$13,BR$2,BR$1,$B70)</f>
        <v>-75579106.479999959</v>
      </c>
      <c r="BS70" s="32"/>
      <c r="BT70" s="229">
        <f>_xll.DBRW(Server&amp;Cube1,$N$15,$N$16,$N$17,$N$18,$N$14,$N$13,BT$2,BT$1,$B70)</f>
        <v>0</v>
      </c>
      <c r="BU70" s="229">
        <f>_xll.DBRW(Server&amp;Cube1,$N$15,$N$16,$N$17,$N$18,$N$14,$N$13,BU$2,BU$1,$B70)</f>
        <v>0</v>
      </c>
      <c r="BV70" s="229">
        <f>_xll.DBRW(Server&amp;Cube1,$N$15,$N$16,$N$17,$N$18,$N$14,$N$13,BV$2,BV$1,$B70)</f>
        <v>-140723497.02000001</v>
      </c>
      <c r="BW70" s="54"/>
      <c r="BX70" s="28"/>
    </row>
    <row r="71" spans="1:78" ht="19.5" hidden="1" customHeight="1" outlineLevel="1" x14ac:dyDescent="0.6">
      <c r="A71" s="141"/>
      <c r="B71" s="54" t="s">
        <v>54</v>
      </c>
      <c r="H71" s="54"/>
      <c r="I71" s="68"/>
      <c r="J71" s="53"/>
      <c r="K71" s="9"/>
      <c r="L71" s="552" t="str">
        <f>LEFT(_xll.DBRA(Server&amp;$B$32,$B71,$N$19),FIND("(",_xll.DBRA(Server&amp;$B$32,$B71,$N$19),1)-1)</f>
        <v xml:space="preserve">Subcontracting cleaning </v>
      </c>
      <c r="M71" s="552"/>
      <c r="N71" s="552"/>
      <c r="O71" s="552"/>
      <c r="P71" s="112"/>
      <c r="Q71" s="229">
        <f>_xll.DBRW(Server&amp;Cube1,$N$15,$N$16,$N$17,$N$18,$N$14,$N$13,$N$11,$Q$1,$B71)</f>
        <v>-2420447.2499999995</v>
      </c>
      <c r="R71" s="229">
        <f>_xll.DBRW(Server&amp;Cube1,$N$15,$N$16,$N$17,$N$18,$N$14,$N$13,$R$2,$R$1,$B71)</f>
        <v>0</v>
      </c>
      <c r="S71" s="230">
        <f t="shared" ref="S71:S76" si="20">Q71-R71</f>
        <v>-2420447.2499999995</v>
      </c>
      <c r="T71" s="232">
        <f t="shared" ref="T71:T76" si="21">IF(R71&lt;&gt;0,IF(R71&gt;0,S71/R71,-S71/R71),0)</f>
        <v>0</v>
      </c>
      <c r="U71" s="218"/>
      <c r="V71" s="229">
        <f>_xll.DBRW(Server&amp;Cube1,$N$15,$N$16,$N$17,$N$18,$N$14,$N$13,$V$2,$V$1,$B71)</f>
        <v>-56346222.890000001</v>
      </c>
      <c r="W71" s="230">
        <f t="shared" ref="W71:W76" si="22">Q71-V71</f>
        <v>53925775.640000001</v>
      </c>
      <c r="X71" s="232">
        <f t="shared" ref="X71:X76" si="23">IF(V71&lt;&gt;0,IF(V71&gt;0,W71/V71,-W71/V71),0)</f>
        <v>0.9570433096336336</v>
      </c>
      <c r="Y71" s="54"/>
      <c r="Z71" s="54"/>
      <c r="AA71" s="54"/>
      <c r="AB71" s="229">
        <f>_xll.DBRW(Server&amp;Cube1,$N$15,$N$16,$N$17,$N$18,$N$14,$N$13,AB$2,AB$1,$B71)</f>
        <v>0</v>
      </c>
      <c r="AC71" s="229">
        <f>_xll.DBRW(Server&amp;Cube1,$N$15,$N$16,$N$17,$N$18,$N$14,$N$13,AC$2,AC$1,$B71)</f>
        <v>0</v>
      </c>
      <c r="AD71" s="229">
        <f>_xll.DBRW(Server&amp;Cube1,$N$15,$N$16,$N$17,$N$18,$N$14,$N$13,AD$2,AD$1,$B71)</f>
        <v>-1407590.7499999998</v>
      </c>
      <c r="AE71" s="32"/>
      <c r="AF71" s="229">
        <f>_xll.DBRW(Server&amp;Cube1,$N$15,$N$16,$N$17,$N$18,$N$14,$N$13,AF$2,AF$1,$B71)</f>
        <v>0</v>
      </c>
      <c r="AG71" s="229">
        <f>_xll.DBRW(Server&amp;Cube1,$N$15,$N$16,$N$17,$N$18,$N$14,$N$13,AG$2,AG$1,$B71)</f>
        <v>0</v>
      </c>
      <c r="AH71" s="229">
        <f>_xll.DBRW(Server&amp;Cube1,$N$15,$N$16,$N$17,$N$18,$N$14,$N$13,AH$2,AH$1,$B71)</f>
        <v>-7939481.75</v>
      </c>
      <c r="AI71" s="32"/>
      <c r="AJ71" s="229">
        <f>_xll.DBRW(Server&amp;Cube1,$N$15,$N$16,$N$17,$N$18,$N$14,$N$13,AJ$2,AJ$1,$B71)</f>
        <v>0</v>
      </c>
      <c r="AK71" s="229">
        <f>_xll.DBRW(Server&amp;Cube1,$N$15,$N$16,$N$17,$N$18,$N$14,$N$13,AK$2,AK$1,$B71)</f>
        <v>0</v>
      </c>
      <c r="AL71" s="229">
        <f>_xll.DBRW(Server&amp;Cube1,$N$15,$N$16,$N$17,$N$18,$N$14,$N$13,AL$2,AL$1,$B71)</f>
        <v>-4932644.12</v>
      </c>
      <c r="AM71" s="32"/>
      <c r="AN71" s="229">
        <f>_xll.DBRW(Server&amp;Cube1,$N$15,$N$16,$N$17,$N$18,$N$14,$N$13,AN$2,AN$1,$B71)</f>
        <v>0</v>
      </c>
      <c r="AO71" s="229">
        <f>_xll.DBRW(Server&amp;Cube1,$N$15,$N$16,$N$17,$N$18,$N$14,$N$13,AO$2,AO$1,$B71)</f>
        <v>0</v>
      </c>
      <c r="AP71" s="229">
        <f>_xll.DBRW(Server&amp;Cube1,$N$15,$N$16,$N$17,$N$18,$N$14,$N$13,AP$2,AP$1,$B71)</f>
        <v>-4696989.8499999987</v>
      </c>
      <c r="AQ71" s="32"/>
      <c r="AR71" s="229">
        <f>_xll.DBRW(Server&amp;Cube1,$N$15,$N$16,$N$17,$N$18,$N$14,$N$13,AR$2,AR$1,$B71)</f>
        <v>0</v>
      </c>
      <c r="AS71" s="229">
        <f>_xll.DBRW(Server&amp;Cube1,$N$15,$N$16,$N$17,$N$18,$N$14,$N$13,AS$2,AS$1,$B71)</f>
        <v>0</v>
      </c>
      <c r="AT71" s="229">
        <f>_xll.DBRW(Server&amp;Cube1,$N$15,$N$16,$N$17,$N$18,$N$14,$N$13,AT$2,AT$1,$B71)</f>
        <v>-5221028.8599999994</v>
      </c>
      <c r="AU71" s="32"/>
      <c r="AV71" s="229">
        <f>_xll.DBRW(Server&amp;Cube1,$N$15,$N$16,$N$17,$N$18,$N$14,$N$13,AV$2,AV$1,$B71)</f>
        <v>0</v>
      </c>
      <c r="AW71" s="229">
        <f>_xll.DBRW(Server&amp;Cube1,$N$15,$N$16,$N$17,$N$18,$N$14,$N$13,AW$2,AW$1,$B71)</f>
        <v>0</v>
      </c>
      <c r="AX71" s="229">
        <f>_xll.DBRW(Server&amp;Cube1,$N$15,$N$16,$N$17,$N$18,$N$14,$N$13,AX$2,AX$1,$B71)</f>
        <v>-5441728.5</v>
      </c>
      <c r="AY71" s="32"/>
      <c r="AZ71" s="229">
        <f>_xll.DBRW(Server&amp;Cube1,$N$15,$N$16,$N$17,$N$18,$N$14,$N$13,AZ$2,AZ$1,$B71)</f>
        <v>0</v>
      </c>
      <c r="BA71" s="229">
        <f>_xll.DBRW(Server&amp;Cube1,$N$15,$N$16,$N$17,$N$18,$N$14,$N$13,BA$2,BA$1,$B71)</f>
        <v>0</v>
      </c>
      <c r="BB71" s="229">
        <f>_xll.DBRW(Server&amp;Cube1,$N$15,$N$16,$N$17,$N$18,$N$14,$N$13,BB$2,BB$1,$B71)</f>
        <v>-1318858.1900000004</v>
      </c>
      <c r="BC71" s="32"/>
      <c r="BD71" s="229">
        <f>_xll.DBRW(Server&amp;Cube1,$N$15,$N$16,$N$17,$N$18,$N$14,$N$13,BD$2,BD$1,$B71)</f>
        <v>-2420447.25</v>
      </c>
      <c r="BE71" s="229">
        <f>_xll.DBRW(Server&amp;Cube1,$N$15,$N$16,$N$17,$N$18,$N$14,$N$13,BE$2,BE$1,$B71)</f>
        <v>0</v>
      </c>
      <c r="BF71" s="229">
        <f>_xll.DBRW(Server&amp;Cube1,$N$15,$N$16,$N$17,$N$18,$N$14,$N$13,BF$2,BF$1,$B71)</f>
        <v>-25387900.869999994</v>
      </c>
      <c r="BG71" s="32"/>
      <c r="BH71" s="229">
        <f>_xll.DBRW(Server&amp;Cube1,$N$15,$N$16,$N$17,$N$18,$N$14,$N$13,BH$2,BH$1,$B71)</f>
        <v>0</v>
      </c>
      <c r="BI71" s="229">
        <f>_xll.DBRW(Server&amp;Cube1,$N$15,$N$16,$N$17,$N$18,$N$14,$N$13,BI$2,BI$1,$B71)</f>
        <v>0</v>
      </c>
      <c r="BJ71" s="229">
        <f>_xll.DBRW(Server&amp;Cube1,$N$15,$N$16,$N$17,$N$18,$N$14,$N$13,BJ$2,BJ$1,$B71)</f>
        <v>-5224974.1800000006</v>
      </c>
      <c r="BK71" s="32"/>
      <c r="BL71" s="229">
        <f>_xll.DBRW(Server&amp;Cube1,$N$15,$N$16,$N$17,$N$18,$N$14,$N$13,BL$2,BL$1,$B71)</f>
        <v>0</v>
      </c>
      <c r="BM71" s="229">
        <f>_xll.DBRW(Server&amp;Cube1,$N$15,$N$16,$N$17,$N$18,$N$14,$N$13,BM$2,BM$1,$B71)</f>
        <v>0</v>
      </c>
      <c r="BN71" s="229">
        <f>_xll.DBRW(Server&amp;Cube1,$N$15,$N$16,$N$17,$N$18,$N$14,$N$13,BN$2,BN$1,$B71)</f>
        <v>-762292.47000000009</v>
      </c>
      <c r="BO71" s="32"/>
      <c r="BP71" s="229">
        <f>_xll.DBRW(Server&amp;Cube1,$N$15,$N$16,$N$17,$N$18,$N$14,$N$13,BP$2,BP$1,$B71)</f>
        <v>0</v>
      </c>
      <c r="BQ71" s="229">
        <f>_xll.DBRW(Server&amp;Cube1,$N$15,$N$16,$N$17,$N$18,$N$14,$N$13,BQ$2,BQ$1,$B71)</f>
        <v>0</v>
      </c>
      <c r="BR71" s="229">
        <f>_xll.DBRW(Server&amp;Cube1,$N$15,$N$16,$N$17,$N$18,$N$14,$N$13,BR$2,BR$1,$B71)</f>
        <v>-8350954.8200000003</v>
      </c>
      <c r="BS71" s="32"/>
      <c r="BT71" s="229">
        <f>_xll.DBRW(Server&amp;Cube1,$N$15,$N$16,$N$17,$N$18,$N$14,$N$13,BT$2,BT$1,$B71)</f>
        <v>0</v>
      </c>
      <c r="BU71" s="229">
        <f>_xll.DBRW(Server&amp;Cube1,$N$15,$N$16,$N$17,$N$18,$N$14,$N$13,BU$2,BU$1,$B71)</f>
        <v>0</v>
      </c>
      <c r="BV71" s="229">
        <f>_xll.DBRW(Server&amp;Cube1,$N$15,$N$16,$N$17,$N$18,$N$14,$N$13,BV$2,BV$1,$B71)</f>
        <v>-33515829.960000005</v>
      </c>
      <c r="BW71" s="54"/>
      <c r="BX71" s="28"/>
    </row>
    <row r="72" spans="1:78" ht="19.5" hidden="1" customHeight="1" outlineLevel="1" x14ac:dyDescent="0.6">
      <c r="A72" s="141"/>
      <c r="B72" s="54" t="s">
        <v>53</v>
      </c>
      <c r="H72" s="54"/>
      <c r="I72" s="68"/>
      <c r="J72" s="53"/>
      <c r="K72" s="9"/>
      <c r="L72" s="552" t="str">
        <f>LEFT(_xll.DBRA(Server&amp;$B$32,$B72,$N$19),FIND("(",_xll.DBRA(Server&amp;$B$32,$B72,$N$19),1)-1)</f>
        <v xml:space="preserve">Subcontracting maintenance </v>
      </c>
      <c r="M72" s="552"/>
      <c r="N72" s="552"/>
      <c r="O72" s="552"/>
      <c r="P72" s="112"/>
      <c r="Q72" s="229">
        <f>_xll.DBRW(Server&amp;Cube1,$N$15,$N$16,$N$17,$N$18,$N$14,$N$13,$N$11,$Q$1,$B72)</f>
        <v>-7789133.040000001</v>
      </c>
      <c r="R72" s="229">
        <f>_xll.DBRW(Server&amp;Cube1,$N$15,$N$16,$N$17,$N$18,$N$14,$N$13,$R$2,$R$1,$B72)</f>
        <v>0</v>
      </c>
      <c r="S72" s="230">
        <f t="shared" si="20"/>
        <v>-7789133.040000001</v>
      </c>
      <c r="T72" s="232">
        <f t="shared" si="21"/>
        <v>0</v>
      </c>
      <c r="U72" s="218"/>
      <c r="V72" s="229">
        <f>_xll.DBRW(Server&amp;Cube1,$N$15,$N$16,$N$17,$N$18,$N$14,$N$13,$V$2,$V$1,$B72)</f>
        <v>-179902994.37</v>
      </c>
      <c r="W72" s="230">
        <f t="shared" si="22"/>
        <v>172113861.33000001</v>
      </c>
      <c r="X72" s="232">
        <f t="shared" si="23"/>
        <v>0.95670370542037586</v>
      </c>
      <c r="Y72" s="54"/>
      <c r="Z72" s="54"/>
      <c r="AA72" s="54"/>
      <c r="AB72" s="229">
        <f>_xll.DBRW(Server&amp;Cube1,$N$15,$N$16,$N$17,$N$18,$N$14,$N$13,AB$2,AB$1,$B72)</f>
        <v>0</v>
      </c>
      <c r="AC72" s="229">
        <f>_xll.DBRW(Server&amp;Cube1,$N$15,$N$16,$N$17,$N$18,$N$14,$N$13,AC$2,AC$1,$B72)</f>
        <v>0</v>
      </c>
      <c r="AD72" s="229">
        <f>_xll.DBRW(Server&amp;Cube1,$N$15,$N$16,$N$17,$N$18,$N$14,$N$13,AD$2,AD$1,$B72)</f>
        <v>-4567477.67</v>
      </c>
      <c r="AE72" s="32"/>
      <c r="AF72" s="229">
        <f>_xll.DBRW(Server&amp;Cube1,$N$15,$N$16,$N$17,$N$18,$N$14,$N$13,AF$2,AF$1,$B72)</f>
        <v>0</v>
      </c>
      <c r="AG72" s="229">
        <f>_xll.DBRW(Server&amp;Cube1,$N$15,$N$16,$N$17,$N$18,$N$14,$N$13,AG$2,AG$1,$B72)</f>
        <v>0</v>
      </c>
      <c r="AH72" s="229">
        <f>_xll.DBRW(Server&amp;Cube1,$N$15,$N$16,$N$17,$N$18,$N$14,$N$13,AH$2,AH$1,$B72)</f>
        <v>-25490316.41</v>
      </c>
      <c r="AI72" s="32"/>
      <c r="AJ72" s="229">
        <f>_xll.DBRW(Server&amp;Cube1,$N$15,$N$16,$N$17,$N$18,$N$14,$N$13,AJ$2,AJ$1,$B72)</f>
        <v>0</v>
      </c>
      <c r="AK72" s="229">
        <f>_xll.DBRW(Server&amp;Cube1,$N$15,$N$16,$N$17,$N$18,$N$14,$N$13,AK$2,AK$1,$B72)</f>
        <v>0</v>
      </c>
      <c r="AL72" s="229">
        <f>_xll.DBRW(Server&amp;Cube1,$N$15,$N$16,$N$17,$N$18,$N$14,$N$13,AL$2,AL$1,$B72)</f>
        <v>-16649302.140000001</v>
      </c>
      <c r="AM72" s="32"/>
      <c r="AN72" s="229">
        <f>_xll.DBRW(Server&amp;Cube1,$N$15,$N$16,$N$17,$N$18,$N$14,$N$13,AN$2,AN$1,$B72)</f>
        <v>0</v>
      </c>
      <c r="AO72" s="229">
        <f>_xll.DBRW(Server&amp;Cube1,$N$15,$N$16,$N$17,$N$18,$N$14,$N$13,AO$2,AO$1,$B72)</f>
        <v>0</v>
      </c>
      <c r="AP72" s="229">
        <f>_xll.DBRW(Server&amp;Cube1,$N$15,$N$16,$N$17,$N$18,$N$14,$N$13,AP$2,AP$1,$B72)</f>
        <v>-13715911.65</v>
      </c>
      <c r="AQ72" s="32"/>
      <c r="AR72" s="229">
        <f>_xll.DBRW(Server&amp;Cube1,$N$15,$N$16,$N$17,$N$18,$N$14,$N$13,AR$2,AR$1,$B72)</f>
        <v>0</v>
      </c>
      <c r="AS72" s="229">
        <f>_xll.DBRW(Server&amp;Cube1,$N$15,$N$16,$N$17,$N$18,$N$14,$N$13,AS$2,AS$1,$B72)</f>
        <v>0</v>
      </c>
      <c r="AT72" s="229">
        <f>_xll.DBRW(Server&amp;Cube1,$N$15,$N$16,$N$17,$N$18,$N$14,$N$13,AT$2,AT$1,$B72)</f>
        <v>-14292342.979999999</v>
      </c>
      <c r="AU72" s="32"/>
      <c r="AV72" s="229">
        <f>_xll.DBRW(Server&amp;Cube1,$N$15,$N$16,$N$17,$N$18,$N$14,$N$13,AV$2,AV$1,$B72)</f>
        <v>0</v>
      </c>
      <c r="AW72" s="229">
        <f>_xll.DBRW(Server&amp;Cube1,$N$15,$N$16,$N$17,$N$18,$N$14,$N$13,AW$2,AW$1,$B72)</f>
        <v>0</v>
      </c>
      <c r="AX72" s="229">
        <f>_xll.DBRW(Server&amp;Cube1,$N$15,$N$16,$N$17,$N$18,$N$14,$N$13,AX$2,AX$1,$B72)</f>
        <v>-16784928.850000001</v>
      </c>
      <c r="AY72" s="32"/>
      <c r="AZ72" s="229">
        <f>_xll.DBRW(Server&amp;Cube1,$N$15,$N$16,$N$17,$N$18,$N$14,$N$13,AZ$2,AZ$1,$B72)</f>
        <v>0</v>
      </c>
      <c r="BA72" s="229">
        <f>_xll.DBRW(Server&amp;Cube1,$N$15,$N$16,$N$17,$N$18,$N$14,$N$13,BA$2,BA$1,$B72)</f>
        <v>0</v>
      </c>
      <c r="BB72" s="229">
        <f>_xll.DBRW(Server&amp;Cube1,$N$15,$N$16,$N$17,$N$18,$N$14,$N$13,BB$2,BB$1,$B72)</f>
        <v>-3908889.2499999995</v>
      </c>
      <c r="BC72" s="32"/>
      <c r="BD72" s="229">
        <f>_xll.DBRW(Server&amp;Cube1,$N$15,$N$16,$N$17,$N$18,$N$14,$N$13,BD$2,BD$1,$B72)</f>
        <v>-7789133.0399999991</v>
      </c>
      <c r="BE72" s="229">
        <f>_xll.DBRW(Server&amp;Cube1,$N$15,$N$16,$N$17,$N$18,$N$14,$N$13,BE$2,BE$1,$B72)</f>
        <v>0</v>
      </c>
      <c r="BF72" s="229">
        <f>_xll.DBRW(Server&amp;Cube1,$N$15,$N$16,$N$17,$N$18,$N$14,$N$13,BF$2,BF$1,$B72)</f>
        <v>-84493825.420000002</v>
      </c>
      <c r="BG72" s="32"/>
      <c r="BH72" s="229">
        <f>_xll.DBRW(Server&amp;Cube1,$N$15,$N$16,$N$17,$N$18,$N$14,$N$13,BH$2,BH$1,$B72)</f>
        <v>0</v>
      </c>
      <c r="BI72" s="229">
        <f>_xll.DBRW(Server&amp;Cube1,$N$15,$N$16,$N$17,$N$18,$N$14,$N$13,BI$2,BI$1,$B72)</f>
        <v>0</v>
      </c>
      <c r="BJ72" s="229">
        <f>_xll.DBRW(Server&amp;Cube1,$N$15,$N$16,$N$17,$N$18,$N$14,$N$13,BJ$2,BJ$1,$B72)</f>
        <v>-10355761.270000003</v>
      </c>
      <c r="BK72" s="32"/>
      <c r="BL72" s="229">
        <f>_xll.DBRW(Server&amp;Cube1,$N$15,$N$16,$N$17,$N$18,$N$14,$N$13,BL$2,BL$1,$B72)</f>
        <v>0</v>
      </c>
      <c r="BM72" s="229">
        <f>_xll.DBRW(Server&amp;Cube1,$N$15,$N$16,$N$17,$N$18,$N$14,$N$13,BM$2,BM$1,$B72)</f>
        <v>0</v>
      </c>
      <c r="BN72" s="229">
        <f>_xll.DBRW(Server&amp;Cube1,$N$15,$N$16,$N$17,$N$18,$N$14,$N$13,BN$2,BN$1,$B72)</f>
        <v>-10293001.300000001</v>
      </c>
      <c r="BO72" s="32"/>
      <c r="BP72" s="229">
        <f>_xll.DBRW(Server&amp;Cube1,$N$15,$N$16,$N$17,$N$18,$N$14,$N$13,BP$2,BP$1,$B72)</f>
        <v>0</v>
      </c>
      <c r="BQ72" s="229">
        <f>_xll.DBRW(Server&amp;Cube1,$N$15,$N$16,$N$17,$N$18,$N$14,$N$13,BQ$2,BQ$1,$B72)</f>
        <v>0</v>
      </c>
      <c r="BR72" s="229">
        <f>_xll.DBRW(Server&amp;Cube1,$N$15,$N$16,$N$17,$N$18,$N$14,$N$13,BR$2,BR$1,$B72)</f>
        <v>-33282414.520000003</v>
      </c>
      <c r="BS72" s="32"/>
      <c r="BT72" s="229">
        <f>_xll.DBRW(Server&amp;Cube1,$N$15,$N$16,$N$17,$N$18,$N$14,$N$13,BT$2,BT$1,$B72)</f>
        <v>0</v>
      </c>
      <c r="BU72" s="229">
        <f>_xll.DBRW(Server&amp;Cube1,$N$15,$N$16,$N$17,$N$18,$N$14,$N$13,BU$2,BU$1,$B72)</f>
        <v>0</v>
      </c>
      <c r="BV72" s="229">
        <f>_xll.DBRW(Server&amp;Cube1,$N$15,$N$16,$N$17,$N$18,$N$14,$N$13,BV$2,BV$1,$B72)</f>
        <v>-99290218.420000002</v>
      </c>
      <c r="BW72" s="54"/>
      <c r="BX72" s="28"/>
    </row>
    <row r="73" spans="1:78" ht="19.5" hidden="1" customHeight="1" outlineLevel="1" x14ac:dyDescent="0.6">
      <c r="A73" s="141"/>
      <c r="B73" s="54" t="s">
        <v>60</v>
      </c>
      <c r="H73" s="54"/>
      <c r="I73" s="68"/>
      <c r="J73" s="53"/>
      <c r="K73" s="9"/>
      <c r="L73" s="552" t="str">
        <f>LEFT(_xll.DBRA(Server&amp;$B$32,$B73,$N$19),FIND("(",_xll.DBRA(Server&amp;$B$32,$B73,$N$19),1)-1)</f>
        <v xml:space="preserve">Reinvoicing - Others </v>
      </c>
      <c r="M73" s="552"/>
      <c r="N73" s="552"/>
      <c r="O73" s="552"/>
      <c r="P73" s="112"/>
      <c r="Q73" s="229">
        <f>_xll.DBRW(Server&amp;Cube1,$N$15,$N$16,$N$17,$N$18,$N$14,$N$13,$N$11,$Q$1,$B73)</f>
        <v>1613713.1500000001</v>
      </c>
      <c r="R73" s="229">
        <f>_xll.DBRW(Server&amp;Cube1,$N$15,$N$16,$N$17,$N$18,$N$14,$N$13,$R$2,$R$1,$B73)</f>
        <v>0</v>
      </c>
      <c r="S73" s="230">
        <f t="shared" si="20"/>
        <v>1613713.1500000001</v>
      </c>
      <c r="T73" s="232">
        <f t="shared" si="21"/>
        <v>0</v>
      </c>
      <c r="U73" s="218"/>
      <c r="V73" s="229">
        <f>_xll.DBRW(Server&amp;Cube1,$N$15,$N$16,$N$17,$N$18,$N$14,$N$13,$V$2,$V$1,$B73)</f>
        <v>10539906.310000001</v>
      </c>
      <c r="W73" s="230">
        <f t="shared" si="22"/>
        <v>-8926193.1600000001</v>
      </c>
      <c r="X73" s="232">
        <f t="shared" si="23"/>
        <v>-0.84689492462860416</v>
      </c>
      <c r="Y73" s="54"/>
      <c r="Z73" s="54"/>
      <c r="AA73" s="54"/>
      <c r="AB73" s="229">
        <f>_xll.DBRW(Server&amp;Cube1,$N$15,$N$16,$N$17,$N$18,$N$14,$N$13,AB$2,AB$1,$B73)</f>
        <v>0</v>
      </c>
      <c r="AC73" s="229">
        <f>_xll.DBRW(Server&amp;Cube1,$N$15,$N$16,$N$17,$N$18,$N$14,$N$13,AC$2,AC$1,$B73)</f>
        <v>0</v>
      </c>
      <c r="AD73" s="229">
        <f>_xll.DBRW(Server&amp;Cube1,$N$15,$N$16,$N$17,$N$18,$N$14,$N$13,AD$2,AD$1,$B73)</f>
        <v>740708.04999999981</v>
      </c>
      <c r="AE73" s="32"/>
      <c r="AF73" s="229">
        <f>_xll.DBRW(Server&amp;Cube1,$N$15,$N$16,$N$17,$N$18,$N$14,$N$13,AF$2,AF$1,$B73)</f>
        <v>0</v>
      </c>
      <c r="AG73" s="229">
        <f>_xll.DBRW(Server&amp;Cube1,$N$15,$N$16,$N$17,$N$18,$N$14,$N$13,AG$2,AG$1,$B73)</f>
        <v>0</v>
      </c>
      <c r="AH73" s="229">
        <f>_xll.DBRW(Server&amp;Cube1,$N$15,$N$16,$N$17,$N$18,$N$14,$N$13,AH$2,AH$1,$B73)</f>
        <v>1599725.65</v>
      </c>
      <c r="AI73" s="32"/>
      <c r="AJ73" s="229">
        <f>_xll.DBRW(Server&amp;Cube1,$N$15,$N$16,$N$17,$N$18,$N$14,$N$13,AJ$2,AJ$1,$B73)</f>
        <v>0</v>
      </c>
      <c r="AK73" s="229">
        <f>_xll.DBRW(Server&amp;Cube1,$N$15,$N$16,$N$17,$N$18,$N$14,$N$13,AK$2,AK$1,$B73)</f>
        <v>0</v>
      </c>
      <c r="AL73" s="229">
        <f>_xll.DBRW(Server&amp;Cube1,$N$15,$N$16,$N$17,$N$18,$N$14,$N$13,AL$2,AL$1,$B73)</f>
        <v>1289571.1400000004</v>
      </c>
      <c r="AM73" s="32"/>
      <c r="AN73" s="229">
        <f>_xll.DBRW(Server&amp;Cube1,$N$15,$N$16,$N$17,$N$18,$N$14,$N$13,AN$2,AN$1,$B73)</f>
        <v>0</v>
      </c>
      <c r="AO73" s="229">
        <f>_xll.DBRW(Server&amp;Cube1,$N$15,$N$16,$N$17,$N$18,$N$14,$N$13,AO$2,AO$1,$B73)</f>
        <v>0</v>
      </c>
      <c r="AP73" s="229">
        <f>_xll.DBRW(Server&amp;Cube1,$N$15,$N$16,$N$17,$N$18,$N$14,$N$13,AP$2,AP$1,$B73)</f>
        <v>465402.38</v>
      </c>
      <c r="AQ73" s="32"/>
      <c r="AR73" s="229">
        <f>_xll.DBRW(Server&amp;Cube1,$N$15,$N$16,$N$17,$N$18,$N$14,$N$13,AR$2,AR$1,$B73)</f>
        <v>0</v>
      </c>
      <c r="AS73" s="229">
        <f>_xll.DBRW(Server&amp;Cube1,$N$15,$N$16,$N$17,$N$18,$N$14,$N$13,AS$2,AS$1,$B73)</f>
        <v>0</v>
      </c>
      <c r="AT73" s="229">
        <f>_xll.DBRW(Server&amp;Cube1,$N$15,$N$16,$N$17,$N$18,$N$14,$N$13,AT$2,AT$1,$B73)</f>
        <v>1871416.9899999998</v>
      </c>
      <c r="AU73" s="32"/>
      <c r="AV73" s="229">
        <f>_xll.DBRW(Server&amp;Cube1,$N$15,$N$16,$N$17,$N$18,$N$14,$N$13,AV$2,AV$1,$B73)</f>
        <v>0</v>
      </c>
      <c r="AW73" s="229">
        <f>_xll.DBRW(Server&amp;Cube1,$N$15,$N$16,$N$17,$N$18,$N$14,$N$13,AW$2,AW$1,$B73)</f>
        <v>0</v>
      </c>
      <c r="AX73" s="229">
        <f>_xll.DBRW(Server&amp;Cube1,$N$15,$N$16,$N$17,$N$18,$N$14,$N$13,AX$2,AX$1,$B73)</f>
        <v>1605189.85</v>
      </c>
      <c r="AY73" s="32"/>
      <c r="AZ73" s="229">
        <f>_xll.DBRW(Server&amp;Cube1,$N$15,$N$16,$N$17,$N$18,$N$14,$N$13,AZ$2,AZ$1,$B73)</f>
        <v>0</v>
      </c>
      <c r="BA73" s="229">
        <f>_xll.DBRW(Server&amp;Cube1,$N$15,$N$16,$N$17,$N$18,$N$14,$N$13,BA$2,BA$1,$B73)</f>
        <v>0</v>
      </c>
      <c r="BB73" s="229">
        <f>_xll.DBRW(Server&amp;Cube1,$N$15,$N$16,$N$17,$N$18,$N$14,$N$13,BB$2,BB$1,$B73)</f>
        <v>224830.14999999994</v>
      </c>
      <c r="BC73" s="32"/>
      <c r="BD73" s="229">
        <f>_xll.DBRW(Server&amp;Cube1,$N$15,$N$16,$N$17,$N$18,$N$14,$N$13,BD$2,BD$1,$B73)</f>
        <v>1613713.1500000004</v>
      </c>
      <c r="BE73" s="229">
        <f>_xll.DBRW(Server&amp;Cube1,$N$15,$N$16,$N$17,$N$18,$N$14,$N$13,BE$2,BE$1,$B73)</f>
        <v>0</v>
      </c>
      <c r="BF73" s="229">
        <f>_xll.DBRW(Server&amp;Cube1,$N$15,$N$16,$N$17,$N$18,$N$14,$N$13,BF$2,BF$1,$B73)</f>
        <v>2743062.0999999996</v>
      </c>
      <c r="BG73" s="32"/>
      <c r="BH73" s="229">
        <f>_xll.DBRW(Server&amp;Cube1,$N$15,$N$16,$N$17,$N$18,$N$14,$N$13,BH$2,BH$1,$B73)</f>
        <v>0</v>
      </c>
      <c r="BI73" s="229">
        <f>_xll.DBRW(Server&amp;Cube1,$N$15,$N$16,$N$17,$N$18,$N$14,$N$13,BI$2,BI$1,$B73)</f>
        <v>0</v>
      </c>
      <c r="BJ73" s="229">
        <f>_xll.DBRW(Server&amp;Cube1,$N$15,$N$16,$N$17,$N$18,$N$14,$N$13,BJ$2,BJ$1,$B73)</f>
        <v>1185382.83</v>
      </c>
      <c r="BK73" s="32"/>
      <c r="BL73" s="229">
        <f>_xll.DBRW(Server&amp;Cube1,$N$15,$N$16,$N$17,$N$18,$N$14,$N$13,BL$2,BL$1,$B73)</f>
        <v>0</v>
      </c>
      <c r="BM73" s="229">
        <f>_xll.DBRW(Server&amp;Cube1,$N$15,$N$16,$N$17,$N$18,$N$14,$N$13,BM$2,BM$1,$B73)</f>
        <v>0</v>
      </c>
      <c r="BN73" s="229">
        <f>_xll.DBRW(Server&amp;Cube1,$N$15,$N$16,$N$17,$N$18,$N$14,$N$13,BN$2,BN$1,$B73)</f>
        <v>-812411.96</v>
      </c>
      <c r="BO73" s="32"/>
      <c r="BP73" s="229">
        <f>_xll.DBRW(Server&amp;Cube1,$N$15,$N$16,$N$17,$N$18,$N$14,$N$13,BP$2,BP$1,$B73)</f>
        <v>0</v>
      </c>
      <c r="BQ73" s="229">
        <f>_xll.DBRW(Server&amp;Cube1,$N$15,$N$16,$N$17,$N$18,$N$14,$N$13,BQ$2,BQ$1,$B73)</f>
        <v>0</v>
      </c>
      <c r="BR73" s="229">
        <f>_xll.DBRW(Server&amp;Cube1,$N$15,$N$16,$N$17,$N$18,$N$14,$N$13,BR$2,BR$1,$B73)</f>
        <v>2846590.0300000003</v>
      </c>
      <c r="BS73" s="32"/>
      <c r="BT73" s="229">
        <f>_xll.DBRW(Server&amp;Cube1,$N$15,$N$16,$N$17,$N$18,$N$14,$N$13,BT$2,BT$1,$B73)</f>
        <v>0</v>
      </c>
      <c r="BU73" s="229">
        <f>_xll.DBRW(Server&amp;Cube1,$N$15,$N$16,$N$17,$N$18,$N$14,$N$13,BU$2,BU$1,$B73)</f>
        <v>0</v>
      </c>
      <c r="BV73" s="229">
        <f>_xll.DBRW(Server&amp;Cube1,$N$15,$N$16,$N$17,$N$18,$N$14,$N$13,BV$2,BV$1,$B73)</f>
        <v>1467894.4999999998</v>
      </c>
      <c r="BW73" s="54"/>
      <c r="BX73" s="28"/>
    </row>
    <row r="74" spans="1:78" ht="19.5" hidden="1" customHeight="1" outlineLevel="1" x14ac:dyDescent="0.6">
      <c r="A74" s="141"/>
      <c r="B74" s="54" t="s">
        <v>334</v>
      </c>
      <c r="H74" s="54"/>
      <c r="I74" s="68"/>
      <c r="J74" s="53"/>
      <c r="K74" s="9"/>
      <c r="L74" s="552" t="str">
        <f>_xll.DBRA(Server&amp;$B$32,$B74,$N$19)</f>
        <v>Sales of spare parts</v>
      </c>
      <c r="M74" s="552"/>
      <c r="N74" s="552"/>
      <c r="O74" s="552"/>
      <c r="P74" s="112"/>
      <c r="Q74" s="229">
        <f>_xll.DBRW(Server&amp;Cube1,$N$15,$N$16,$N$17,$N$18,$N$14,$N$13,$N$11,$Q$1,$B74)</f>
        <v>40732.280000000028</v>
      </c>
      <c r="R74" s="229">
        <f>_xll.DBRW(Server&amp;Cube1,$N$15,$N$16,$N$17,$N$18,$N$14,$N$13,$R$2,$R$1,$B74)</f>
        <v>0</v>
      </c>
      <c r="S74" s="230">
        <f t="shared" si="20"/>
        <v>40732.280000000028</v>
      </c>
      <c r="T74" s="232">
        <f t="shared" si="21"/>
        <v>0</v>
      </c>
      <c r="U74" s="218"/>
      <c r="V74" s="229">
        <f>_xll.DBRW(Server&amp;Cube1,$N$15,$N$16,$N$17,$N$18,$N$14,$N$13,$V$2,$V$1,$B74)</f>
        <v>901741.6756028888</v>
      </c>
      <c r="W74" s="230">
        <f t="shared" si="22"/>
        <v>-861009.39560288878</v>
      </c>
      <c r="X74" s="232">
        <f t="shared" si="23"/>
        <v>-0.9548293251803327</v>
      </c>
      <c r="Y74" s="54"/>
      <c r="Z74" s="54"/>
      <c r="AA74" s="54"/>
      <c r="AB74" s="229">
        <f>_xll.DBRW(Server&amp;Cube1,$N$15,$N$16,$N$17,$N$18,$N$14,$N$13,AB$2,AB$1,$B74)</f>
        <v>0</v>
      </c>
      <c r="AC74" s="229">
        <f>_xll.DBRW(Server&amp;Cube1,$N$15,$N$16,$N$17,$N$18,$N$14,$N$13,AC$2,AC$1,$B74)</f>
        <v>0</v>
      </c>
      <c r="AD74" s="229">
        <f>_xll.DBRW(Server&amp;Cube1,$N$15,$N$16,$N$17,$N$18,$N$14,$N$13,AD$2,AD$1,$B74)</f>
        <v>-24090.75</v>
      </c>
      <c r="AE74" s="32"/>
      <c r="AF74" s="229">
        <f>_xll.DBRW(Server&amp;Cube1,$N$15,$N$16,$N$17,$N$18,$N$14,$N$13,AF$2,AF$1,$B74)</f>
        <v>0</v>
      </c>
      <c r="AG74" s="229">
        <f>_xll.DBRW(Server&amp;Cube1,$N$15,$N$16,$N$17,$N$18,$N$14,$N$13,AG$2,AG$1,$B74)</f>
        <v>0</v>
      </c>
      <c r="AH74" s="229">
        <f>_xll.DBRW(Server&amp;Cube1,$N$15,$N$16,$N$17,$N$18,$N$14,$N$13,AH$2,AH$1,$B74)</f>
        <v>165177.24000000002</v>
      </c>
      <c r="AI74" s="32"/>
      <c r="AJ74" s="229">
        <f>_xll.DBRW(Server&amp;Cube1,$N$15,$N$16,$N$17,$N$18,$N$14,$N$13,AJ$2,AJ$1,$B74)</f>
        <v>0</v>
      </c>
      <c r="AK74" s="229">
        <f>_xll.DBRW(Server&amp;Cube1,$N$15,$N$16,$N$17,$N$18,$N$14,$N$13,AK$2,AK$1,$B74)</f>
        <v>0</v>
      </c>
      <c r="AL74" s="229">
        <f>_xll.DBRW(Server&amp;Cube1,$N$15,$N$16,$N$17,$N$18,$N$14,$N$13,AL$2,AL$1,$B74)</f>
        <v>85099.652673869627</v>
      </c>
      <c r="AM74" s="32"/>
      <c r="AN74" s="229">
        <f>_xll.DBRW(Server&amp;Cube1,$N$15,$N$16,$N$17,$N$18,$N$14,$N$13,AN$2,AN$1,$B74)</f>
        <v>0</v>
      </c>
      <c r="AO74" s="229">
        <f>_xll.DBRW(Server&amp;Cube1,$N$15,$N$16,$N$17,$N$18,$N$14,$N$13,AO$2,AO$1,$B74)</f>
        <v>0</v>
      </c>
      <c r="AP74" s="229">
        <f>_xll.DBRW(Server&amp;Cube1,$N$15,$N$16,$N$17,$N$18,$N$14,$N$13,AP$2,AP$1,$B74)</f>
        <v>50878.042929019131</v>
      </c>
      <c r="AQ74" s="32"/>
      <c r="AR74" s="229">
        <f>_xll.DBRW(Server&amp;Cube1,$N$15,$N$16,$N$17,$N$18,$N$14,$N$13,AR$2,AR$1,$B74)</f>
        <v>0</v>
      </c>
      <c r="AS74" s="229">
        <f>_xll.DBRW(Server&amp;Cube1,$N$15,$N$16,$N$17,$N$18,$N$14,$N$13,AS$2,AS$1,$B74)</f>
        <v>0</v>
      </c>
      <c r="AT74" s="229">
        <f>_xll.DBRW(Server&amp;Cube1,$N$15,$N$16,$N$17,$N$18,$N$14,$N$13,AT$2,AT$1,$B74)</f>
        <v>70251.959999999992</v>
      </c>
      <c r="AU74" s="32"/>
      <c r="AV74" s="229">
        <f>_xll.DBRW(Server&amp;Cube1,$N$15,$N$16,$N$17,$N$18,$N$14,$N$13,AV$2,AV$1,$B74)</f>
        <v>0</v>
      </c>
      <c r="AW74" s="229">
        <f>_xll.DBRW(Server&amp;Cube1,$N$15,$N$16,$N$17,$N$18,$N$14,$N$13,AW$2,AW$1,$B74)</f>
        <v>0</v>
      </c>
      <c r="AX74" s="229">
        <f>_xll.DBRW(Server&amp;Cube1,$N$15,$N$16,$N$17,$N$18,$N$14,$N$13,AX$2,AX$1,$B74)</f>
        <v>64190.440000000031</v>
      </c>
      <c r="AY74" s="32"/>
      <c r="AZ74" s="229">
        <f>_xll.DBRW(Server&amp;Cube1,$N$15,$N$16,$N$17,$N$18,$N$14,$N$13,AZ$2,AZ$1,$B74)</f>
        <v>0</v>
      </c>
      <c r="BA74" s="229">
        <f>_xll.DBRW(Server&amp;Cube1,$N$15,$N$16,$N$17,$N$18,$N$14,$N$13,BA$2,BA$1,$B74)</f>
        <v>0</v>
      </c>
      <c r="BB74" s="229">
        <f>_xll.DBRW(Server&amp;Cube1,$N$15,$N$16,$N$17,$N$18,$N$14,$N$13,BB$2,BB$1,$B74)</f>
        <v>-9830.6800000000203</v>
      </c>
      <c r="BC74" s="32"/>
      <c r="BD74" s="229">
        <f>_xll.DBRW(Server&amp;Cube1,$N$15,$N$16,$N$17,$N$18,$N$14,$N$13,BD$2,BD$1,$B74)</f>
        <v>40732.280000000035</v>
      </c>
      <c r="BE74" s="229">
        <f>_xll.DBRW(Server&amp;Cube1,$N$15,$N$16,$N$17,$N$18,$N$14,$N$13,BE$2,BE$1,$B74)</f>
        <v>0</v>
      </c>
      <c r="BF74" s="229">
        <f>_xll.DBRW(Server&amp;Cube1,$N$15,$N$16,$N$17,$N$18,$N$14,$N$13,BF$2,BF$1,$B74)</f>
        <v>500065.77</v>
      </c>
      <c r="BG74" s="32"/>
      <c r="BH74" s="229">
        <f>_xll.DBRW(Server&amp;Cube1,$N$15,$N$16,$N$17,$N$18,$N$14,$N$13,BH$2,BH$1,$B74)</f>
        <v>0</v>
      </c>
      <c r="BI74" s="229">
        <f>_xll.DBRW(Server&amp;Cube1,$N$15,$N$16,$N$17,$N$18,$N$14,$N$13,BI$2,BI$1,$B74)</f>
        <v>0</v>
      </c>
      <c r="BJ74" s="229">
        <f>_xll.DBRW(Server&amp;Cube1,$N$15,$N$16,$N$17,$N$18,$N$14,$N$13,BJ$2,BJ$1,$B74)</f>
        <v>86532.3</v>
      </c>
      <c r="BK74" s="32"/>
      <c r="BL74" s="229">
        <f>_xll.DBRW(Server&amp;Cube1,$N$15,$N$16,$N$17,$N$18,$N$14,$N$13,BL$2,BL$1,$B74)</f>
        <v>0</v>
      </c>
      <c r="BM74" s="229">
        <f>_xll.DBRW(Server&amp;Cube1,$N$15,$N$16,$N$17,$N$18,$N$14,$N$13,BM$2,BM$1,$B74)</f>
        <v>0</v>
      </c>
      <c r="BN74" s="229">
        <f>_xll.DBRW(Server&amp;Cube1,$N$15,$N$16,$N$17,$N$18,$N$14,$N$13,BN$2,BN$1,$B74)</f>
        <v>3853.1000000000004</v>
      </c>
      <c r="BO74" s="32"/>
      <c r="BP74" s="229">
        <f>_xll.DBRW(Server&amp;Cube1,$N$15,$N$16,$N$17,$N$18,$N$14,$N$13,BP$2,BP$1,$B74)</f>
        <v>0</v>
      </c>
      <c r="BQ74" s="229">
        <f>_xll.DBRW(Server&amp;Cube1,$N$15,$N$16,$N$17,$N$18,$N$14,$N$13,BQ$2,BQ$1,$B74)</f>
        <v>0</v>
      </c>
      <c r="BR74" s="229">
        <f>_xll.DBRW(Server&amp;Cube1,$N$15,$N$16,$N$17,$N$18,$N$14,$N$13,BR$2,BR$1,$B74)</f>
        <v>247252.45</v>
      </c>
      <c r="BS74" s="32"/>
      <c r="BT74" s="229">
        <f>_xll.DBRW(Server&amp;Cube1,$N$15,$N$16,$N$17,$N$18,$N$14,$N$13,BT$2,BT$1,$B74)</f>
        <v>0</v>
      </c>
      <c r="BU74" s="229">
        <f>_xll.DBRW(Server&amp;Cube1,$N$15,$N$16,$N$17,$N$18,$N$14,$N$13,BU$2,BU$1,$B74)</f>
        <v>0</v>
      </c>
      <c r="BV74" s="229">
        <f>_xll.DBRW(Server&amp;Cube1,$N$15,$N$16,$N$17,$N$18,$N$14,$N$13,BV$2,BV$1,$B74)</f>
        <v>472504.72</v>
      </c>
      <c r="BW74" s="54"/>
      <c r="BX74" s="28"/>
    </row>
    <row r="75" spans="1:78" ht="19.5" hidden="1" customHeight="1" outlineLevel="1" x14ac:dyDescent="0.6">
      <c r="A75" s="141"/>
      <c r="B75" s="54" t="s">
        <v>335</v>
      </c>
      <c r="H75" s="54"/>
      <c r="I75" s="68"/>
      <c r="J75" s="53"/>
      <c r="K75" s="9"/>
      <c r="L75" s="552" t="str">
        <f>_xll.DBRA(Server&amp;$B$32,$B75,$N$19)</f>
        <v>Workshop services</v>
      </c>
      <c r="M75" s="552"/>
      <c r="N75" s="552"/>
      <c r="O75" s="552"/>
      <c r="P75" s="112"/>
      <c r="Q75" s="229">
        <f>_xll.DBRW(Server&amp;Cube1,$N$15,$N$16,$N$17,$N$18,$N$14,$N$13,$N$11,$Q$1,$B75)</f>
        <v>263009.81999999989</v>
      </c>
      <c r="R75" s="229">
        <f>_xll.DBRW(Server&amp;Cube1,$N$15,$N$16,$N$17,$N$18,$N$14,$N$13,$R$2,$R$1,$B75)</f>
        <v>0</v>
      </c>
      <c r="S75" s="230">
        <f t="shared" si="20"/>
        <v>263009.81999999989</v>
      </c>
      <c r="T75" s="232">
        <f t="shared" si="21"/>
        <v>0</v>
      </c>
      <c r="U75" s="218"/>
      <c r="V75" s="229">
        <f>_xll.DBRW(Server&amp;Cube1,$N$15,$N$16,$N$17,$N$18,$N$14,$N$13,$V$2,$V$1,$B75)</f>
        <v>7551017.4767278833</v>
      </c>
      <c r="W75" s="230">
        <f t="shared" si="22"/>
        <v>-7288007.656727883</v>
      </c>
      <c r="X75" s="232">
        <f t="shared" si="23"/>
        <v>-0.96516895626177635</v>
      </c>
      <c r="Y75" s="54"/>
      <c r="Z75" s="54"/>
      <c r="AA75" s="54"/>
      <c r="AB75" s="229">
        <f>_xll.DBRW(Server&amp;Cube1,$N$15,$N$16,$N$17,$N$18,$N$14,$N$13,AB$2,AB$1,$B75)</f>
        <v>0</v>
      </c>
      <c r="AC75" s="229">
        <f>_xll.DBRW(Server&amp;Cube1,$N$15,$N$16,$N$17,$N$18,$N$14,$N$13,AC$2,AC$1,$B75)</f>
        <v>0</v>
      </c>
      <c r="AD75" s="229">
        <f>_xll.DBRW(Server&amp;Cube1,$N$15,$N$16,$N$17,$N$18,$N$14,$N$13,AD$2,AD$1,$B75)</f>
        <v>-75194.61</v>
      </c>
      <c r="AE75" s="32"/>
      <c r="AF75" s="229">
        <f>_xll.DBRW(Server&amp;Cube1,$N$15,$N$16,$N$17,$N$18,$N$14,$N$13,AF$2,AF$1,$B75)</f>
        <v>0</v>
      </c>
      <c r="AG75" s="229">
        <f>_xll.DBRW(Server&amp;Cube1,$N$15,$N$16,$N$17,$N$18,$N$14,$N$13,AG$2,AG$1,$B75)</f>
        <v>0</v>
      </c>
      <c r="AH75" s="229">
        <f>_xll.DBRW(Server&amp;Cube1,$N$15,$N$16,$N$17,$N$18,$N$14,$N$13,AH$2,AH$1,$B75)</f>
        <v>1305315.4408059367</v>
      </c>
      <c r="AI75" s="32"/>
      <c r="AJ75" s="229">
        <f>_xll.DBRW(Server&amp;Cube1,$N$15,$N$16,$N$17,$N$18,$N$14,$N$13,AJ$2,AJ$1,$B75)</f>
        <v>0</v>
      </c>
      <c r="AK75" s="229">
        <f>_xll.DBRW(Server&amp;Cube1,$N$15,$N$16,$N$17,$N$18,$N$14,$N$13,AK$2,AK$1,$B75)</f>
        <v>0</v>
      </c>
      <c r="AL75" s="229">
        <f>_xll.DBRW(Server&amp;Cube1,$N$15,$N$16,$N$17,$N$18,$N$14,$N$13,AL$2,AL$1,$B75)</f>
        <v>481342.37674339756</v>
      </c>
      <c r="AM75" s="32"/>
      <c r="AN75" s="229">
        <f>_xll.DBRW(Server&amp;Cube1,$N$15,$N$16,$N$17,$N$18,$N$14,$N$13,AN$2,AN$1,$B75)</f>
        <v>0</v>
      </c>
      <c r="AO75" s="229">
        <f>_xll.DBRW(Server&amp;Cube1,$N$15,$N$16,$N$17,$N$18,$N$14,$N$13,AO$2,AO$1,$B75)</f>
        <v>0</v>
      </c>
      <c r="AP75" s="229">
        <f>_xll.DBRW(Server&amp;Cube1,$N$15,$N$16,$N$17,$N$18,$N$14,$N$13,AP$2,AP$1,$B75)</f>
        <v>392621.33939268946</v>
      </c>
      <c r="AQ75" s="32"/>
      <c r="AR75" s="229">
        <f>_xll.DBRW(Server&amp;Cube1,$N$15,$N$16,$N$17,$N$18,$N$14,$N$13,AR$2,AR$1,$B75)</f>
        <v>0</v>
      </c>
      <c r="AS75" s="229">
        <f>_xll.DBRW(Server&amp;Cube1,$N$15,$N$16,$N$17,$N$18,$N$14,$N$13,AS$2,AS$1,$B75)</f>
        <v>0</v>
      </c>
      <c r="AT75" s="229">
        <f>_xll.DBRW(Server&amp;Cube1,$N$15,$N$16,$N$17,$N$18,$N$14,$N$13,AT$2,AT$1,$B75)</f>
        <v>1125502.1012160827</v>
      </c>
      <c r="AU75" s="32"/>
      <c r="AV75" s="229">
        <f>_xll.DBRW(Server&amp;Cube1,$N$15,$N$16,$N$17,$N$18,$N$14,$N$13,AV$2,AV$1,$B75)</f>
        <v>0</v>
      </c>
      <c r="AW75" s="229">
        <f>_xll.DBRW(Server&amp;Cube1,$N$15,$N$16,$N$17,$N$18,$N$14,$N$13,AW$2,AW$1,$B75)</f>
        <v>0</v>
      </c>
      <c r="AX75" s="229">
        <f>_xll.DBRW(Server&amp;Cube1,$N$15,$N$16,$N$17,$N$18,$N$14,$N$13,AX$2,AX$1,$B75)</f>
        <v>483615.98051639076</v>
      </c>
      <c r="AY75" s="32"/>
      <c r="AZ75" s="229">
        <f>_xll.DBRW(Server&amp;Cube1,$N$15,$N$16,$N$17,$N$18,$N$14,$N$13,AZ$2,AZ$1,$B75)</f>
        <v>0</v>
      </c>
      <c r="BA75" s="229">
        <f>_xll.DBRW(Server&amp;Cube1,$N$15,$N$16,$N$17,$N$18,$N$14,$N$13,BA$2,BA$1,$B75)</f>
        <v>0</v>
      </c>
      <c r="BB75" s="229">
        <f>_xll.DBRW(Server&amp;Cube1,$N$15,$N$16,$N$17,$N$18,$N$14,$N$13,BB$2,BB$1,$B75)</f>
        <v>-28197.981946612941</v>
      </c>
      <c r="BC75" s="32"/>
      <c r="BD75" s="229">
        <f>_xll.DBRW(Server&amp;Cube1,$N$15,$N$16,$N$17,$N$18,$N$14,$N$13,BD$2,BD$1,$B75)</f>
        <v>263009.81999999989</v>
      </c>
      <c r="BE75" s="229">
        <f>_xll.DBRW(Server&amp;Cube1,$N$15,$N$16,$N$17,$N$18,$N$14,$N$13,BE$2,BE$1,$B75)</f>
        <v>0</v>
      </c>
      <c r="BF75" s="229">
        <f>_xll.DBRW(Server&amp;Cube1,$N$15,$N$16,$N$17,$N$18,$N$14,$N$13,BF$2,BF$1,$B75)</f>
        <v>3866012.8299999991</v>
      </c>
      <c r="BG75" s="32"/>
      <c r="BH75" s="229">
        <f>_xll.DBRW(Server&amp;Cube1,$N$15,$N$16,$N$17,$N$18,$N$14,$N$13,BH$2,BH$1,$B75)</f>
        <v>0</v>
      </c>
      <c r="BI75" s="229">
        <f>_xll.DBRW(Server&amp;Cube1,$N$15,$N$16,$N$17,$N$18,$N$14,$N$13,BI$2,BI$1,$B75)</f>
        <v>0</v>
      </c>
      <c r="BJ75" s="229">
        <f>_xll.DBRW(Server&amp;Cube1,$N$15,$N$16,$N$17,$N$18,$N$14,$N$13,BJ$2,BJ$1,$B75)</f>
        <v>42955.92779857853</v>
      </c>
      <c r="BK75" s="32"/>
      <c r="BL75" s="229">
        <f>_xll.DBRW(Server&amp;Cube1,$N$15,$N$16,$N$17,$N$18,$N$14,$N$13,BL$2,BL$1,$B75)</f>
        <v>0</v>
      </c>
      <c r="BM75" s="229">
        <f>_xll.DBRW(Server&amp;Cube1,$N$15,$N$16,$N$17,$N$18,$N$14,$N$13,BM$2,BM$1,$B75)</f>
        <v>0</v>
      </c>
      <c r="BN75" s="229">
        <f>_xll.DBRW(Server&amp;Cube1,$N$15,$N$16,$N$17,$N$18,$N$14,$N$13,BN$2,BN$1,$B75)</f>
        <v>129469.91122569212</v>
      </c>
      <c r="BO75" s="32"/>
      <c r="BP75" s="229">
        <f>_xll.DBRW(Server&amp;Cube1,$N$15,$N$16,$N$17,$N$18,$N$14,$N$13,BP$2,BP$1,$B75)</f>
        <v>0</v>
      </c>
      <c r="BQ75" s="229">
        <f>_xll.DBRW(Server&amp;Cube1,$N$15,$N$16,$N$17,$N$18,$N$14,$N$13,BQ$2,BQ$1,$B75)</f>
        <v>0</v>
      </c>
      <c r="BR75" s="229">
        <f>_xll.DBRW(Server&amp;Cube1,$N$15,$N$16,$N$17,$N$18,$N$14,$N$13,BR$2,BR$1,$B75)</f>
        <v>301232.99663840776</v>
      </c>
      <c r="BS75" s="32"/>
      <c r="BT75" s="229">
        <f>_xll.DBRW(Server&amp;Cube1,$N$15,$N$16,$N$17,$N$18,$N$14,$N$13,BT$2,BT$1,$B75)</f>
        <v>0</v>
      </c>
      <c r="BU75" s="229">
        <f>_xll.DBRW(Server&amp;Cube1,$N$15,$N$16,$N$17,$N$18,$N$14,$N$13,BU$2,BU$1,$B75)</f>
        <v>0</v>
      </c>
      <c r="BV75" s="229">
        <f>_xll.DBRW(Server&amp;Cube1,$N$15,$N$16,$N$17,$N$18,$N$14,$N$13,BV$2,BV$1,$B75)</f>
        <v>4407327.345235127</v>
      </c>
      <c r="BW75" s="54"/>
      <c r="BX75" s="28"/>
    </row>
    <row r="76" spans="1:78" ht="19.5" hidden="1" customHeight="1" outlineLevel="1" x14ac:dyDescent="0.6">
      <c r="A76" s="141"/>
      <c r="B76" s="54" t="s">
        <v>348</v>
      </c>
      <c r="H76" s="54"/>
      <c r="I76" s="68"/>
      <c r="J76" s="53"/>
      <c r="K76" s="9"/>
      <c r="L76" s="552" t="str">
        <f>LEFT(_xll.DBRA(Server&amp;$B$32,$B76,$N$19),FIND("(",_xll.DBRA(Server&amp;$B$32,$B76,$N$19),1)-1)</f>
        <v xml:space="preserve">Amortization </v>
      </c>
      <c r="M76" s="552"/>
      <c r="N76" s="552"/>
      <c r="O76" s="552"/>
      <c r="P76" s="112"/>
      <c r="Q76" s="229">
        <f>_xll.DBRW(Server&amp;Cube1,$N$15,$N$16,$N$17,$N$18,$N$14,$N$13,$N$11,$Q$1,$B76)</f>
        <v>0</v>
      </c>
      <c r="R76" s="229">
        <f>_xll.DBRW(Server&amp;Cube1,$N$15,$N$16,$N$17,$N$18,$N$14,$N$13,$R$2,$R$1,$B76)</f>
        <v>0</v>
      </c>
      <c r="S76" s="230">
        <f t="shared" si="20"/>
        <v>0</v>
      </c>
      <c r="T76" s="232">
        <f t="shared" si="21"/>
        <v>0</v>
      </c>
      <c r="U76" s="218"/>
      <c r="V76" s="229">
        <f>_xll.DBRW(Server&amp;Cube1,$N$15,$N$16,$N$17,$N$18,$N$14,$N$13,$V$2,$V$1,$B76)</f>
        <v>-392698.21000000008</v>
      </c>
      <c r="W76" s="230">
        <f t="shared" si="22"/>
        <v>392698.21000000008</v>
      </c>
      <c r="X76" s="232">
        <f t="shared" si="23"/>
        <v>1</v>
      </c>
      <c r="Y76" s="54"/>
      <c r="Z76" s="54"/>
      <c r="AA76" s="54"/>
      <c r="AB76" s="233">
        <f>_xll.DBRW(Server&amp;Cube1,$N$15,$N$16,$N$17,$N$18,$N$14,$N$13,AB$2,AB$1,$B76)</f>
        <v>0</v>
      </c>
      <c r="AC76" s="233">
        <f>_xll.DBRW(Server&amp;Cube1,$N$15,$N$16,$N$17,$N$18,$N$14,$N$13,AC$2,AC$1,$B76)</f>
        <v>0</v>
      </c>
      <c r="AD76" s="233">
        <f>_xll.DBRW(Server&amp;Cube1,$N$15,$N$16,$N$17,$N$18,$N$14,$N$13,AD$2,AD$1,$B76)</f>
        <v>-42697.46</v>
      </c>
      <c r="AE76" s="32"/>
      <c r="AF76" s="233">
        <f>_xll.DBRW(Server&amp;Cube1,$N$15,$N$16,$N$17,$N$18,$N$14,$N$13,AF$2,AF$1,$B76)</f>
        <v>0</v>
      </c>
      <c r="AG76" s="233">
        <f>_xll.DBRW(Server&amp;Cube1,$N$15,$N$16,$N$17,$N$18,$N$14,$N$13,AG$2,AG$1,$B76)</f>
        <v>0</v>
      </c>
      <c r="AH76" s="233">
        <f>_xll.DBRW(Server&amp;Cube1,$N$15,$N$16,$N$17,$N$18,$N$14,$N$13,AH$2,AH$1,$B76)</f>
        <v>-227885.2099999999</v>
      </c>
      <c r="AI76" s="32"/>
      <c r="AJ76" s="233">
        <f>_xll.DBRW(Server&amp;Cube1,$N$15,$N$16,$N$17,$N$18,$N$14,$N$13,AJ$2,AJ$1,$B76)</f>
        <v>0</v>
      </c>
      <c r="AK76" s="233">
        <f>_xll.DBRW(Server&amp;Cube1,$N$15,$N$16,$N$17,$N$18,$N$14,$N$13,AK$2,AK$1,$B76)</f>
        <v>0</v>
      </c>
      <c r="AL76" s="233">
        <f>_xll.DBRW(Server&amp;Cube1,$N$15,$N$16,$N$17,$N$18,$N$14,$N$13,AL$2,AL$1,$B76)</f>
        <v>70095.01999999999</v>
      </c>
      <c r="AM76" s="32"/>
      <c r="AN76" s="233">
        <f>_xll.DBRW(Server&amp;Cube1,$N$15,$N$16,$N$17,$N$18,$N$14,$N$13,AN$2,AN$1,$B76)</f>
        <v>0</v>
      </c>
      <c r="AO76" s="233">
        <f>_xll.DBRW(Server&amp;Cube1,$N$15,$N$16,$N$17,$N$18,$N$14,$N$13,AO$2,AO$1,$B76)</f>
        <v>0</v>
      </c>
      <c r="AP76" s="233">
        <f>_xll.DBRW(Server&amp;Cube1,$N$15,$N$16,$N$17,$N$18,$N$14,$N$13,AP$2,AP$1,$B76)</f>
        <v>26134.530000000006</v>
      </c>
      <c r="AQ76" s="32"/>
      <c r="AR76" s="233">
        <f>_xll.DBRW(Server&amp;Cube1,$N$15,$N$16,$N$17,$N$18,$N$14,$N$13,AR$2,AR$1,$B76)</f>
        <v>0</v>
      </c>
      <c r="AS76" s="233">
        <f>_xll.DBRW(Server&amp;Cube1,$N$15,$N$16,$N$17,$N$18,$N$14,$N$13,AS$2,AS$1,$B76)</f>
        <v>0</v>
      </c>
      <c r="AT76" s="233">
        <f>_xll.DBRW(Server&amp;Cube1,$N$15,$N$16,$N$17,$N$18,$N$14,$N$13,AT$2,AT$1,$B76)</f>
        <v>79724.739999999991</v>
      </c>
      <c r="AU76" s="32"/>
      <c r="AV76" s="233">
        <f>_xll.DBRW(Server&amp;Cube1,$N$15,$N$16,$N$17,$N$18,$N$14,$N$13,AV$2,AV$1,$B76)</f>
        <v>0</v>
      </c>
      <c r="AW76" s="233">
        <f>_xll.DBRW(Server&amp;Cube1,$N$15,$N$16,$N$17,$N$18,$N$14,$N$13,AW$2,AW$1,$B76)</f>
        <v>0</v>
      </c>
      <c r="AX76" s="233">
        <f>_xll.DBRW(Server&amp;Cube1,$N$15,$N$16,$N$17,$N$18,$N$14,$N$13,AX$2,AX$1,$B76)</f>
        <v>21197.5</v>
      </c>
      <c r="AY76" s="32"/>
      <c r="AZ76" s="233">
        <f>_xll.DBRW(Server&amp;Cube1,$N$15,$N$16,$N$17,$N$18,$N$14,$N$13,AZ$2,AZ$1,$B76)</f>
        <v>0</v>
      </c>
      <c r="BA76" s="233">
        <f>_xll.DBRW(Server&amp;Cube1,$N$15,$N$16,$N$17,$N$18,$N$14,$N$13,BA$2,BA$1,$B76)</f>
        <v>0</v>
      </c>
      <c r="BB76" s="233">
        <f>_xll.DBRW(Server&amp;Cube1,$N$15,$N$16,$N$17,$N$18,$N$14,$N$13,BB$2,BB$1,$B76)</f>
        <v>-11533.22</v>
      </c>
      <c r="BC76" s="32"/>
      <c r="BD76" s="233">
        <f>_xll.DBRW(Server&amp;Cube1,$N$15,$N$16,$N$17,$N$18,$N$14,$N$13,BD$2,BD$1,$B76)</f>
        <v>0</v>
      </c>
      <c r="BE76" s="233">
        <f>_xll.DBRW(Server&amp;Cube1,$N$15,$N$16,$N$17,$N$18,$N$14,$N$13,BE$2,BE$1,$B76)</f>
        <v>0</v>
      </c>
      <c r="BF76" s="233">
        <f>_xll.DBRW(Server&amp;Cube1,$N$15,$N$16,$N$17,$N$18,$N$14,$N$13,BF$2,BF$1,$B76)</f>
        <v>-307734.11</v>
      </c>
      <c r="BG76" s="32"/>
      <c r="BH76" s="233">
        <f>_xll.DBRW(Server&amp;Cube1,$N$15,$N$16,$N$17,$N$18,$N$14,$N$13,BH$2,BH$1,$B76)</f>
        <v>0</v>
      </c>
      <c r="BI76" s="233">
        <f>_xll.DBRW(Server&amp;Cube1,$N$15,$N$16,$N$17,$N$18,$N$14,$N$13,BI$2,BI$1,$B76)</f>
        <v>0</v>
      </c>
      <c r="BJ76" s="233">
        <f>_xll.DBRW(Server&amp;Cube1,$N$15,$N$16,$N$17,$N$18,$N$14,$N$13,BJ$2,BJ$1,$B76)</f>
        <v>-60702.310000000012</v>
      </c>
      <c r="BK76" s="32"/>
      <c r="BL76" s="233">
        <f>_xll.DBRW(Server&amp;Cube1,$N$15,$N$16,$N$17,$N$18,$N$14,$N$13,BL$2,BL$1,$B76)</f>
        <v>0</v>
      </c>
      <c r="BM76" s="233">
        <f>_xll.DBRW(Server&amp;Cube1,$N$15,$N$16,$N$17,$N$18,$N$14,$N$13,BM$2,BM$1,$B76)</f>
        <v>0</v>
      </c>
      <c r="BN76" s="233">
        <f>_xll.DBRW(Server&amp;Cube1,$N$15,$N$16,$N$17,$N$18,$N$14,$N$13,BN$2,BN$1,$B76)</f>
        <v>-26326.189999999988</v>
      </c>
      <c r="BO76" s="32"/>
      <c r="BP76" s="233">
        <f>_xll.DBRW(Server&amp;Cube1,$N$15,$N$16,$N$17,$N$18,$N$14,$N$13,BP$2,BP$1,$B76)</f>
        <v>0</v>
      </c>
      <c r="BQ76" s="233">
        <f>_xll.DBRW(Server&amp;Cube1,$N$15,$N$16,$N$17,$N$18,$N$14,$N$13,BQ$2,BQ$1,$B76)</f>
        <v>0</v>
      </c>
      <c r="BR76" s="233">
        <f>_xll.DBRW(Server&amp;Cube1,$N$15,$N$16,$N$17,$N$18,$N$14,$N$13,BR$2,BR$1,$B76)</f>
        <v>-392998.12000000005</v>
      </c>
      <c r="BS76" s="32"/>
      <c r="BT76" s="233">
        <f>_xll.DBRW(Server&amp;Cube1,$N$15,$N$16,$N$17,$N$18,$N$14,$N$13,BT$2,BT$1,$B76)</f>
        <v>0</v>
      </c>
      <c r="BU76" s="233">
        <f>_xll.DBRW(Server&amp;Cube1,$N$15,$N$16,$N$17,$N$18,$N$14,$N$13,BU$2,BU$1,$B76)</f>
        <v>0</v>
      </c>
      <c r="BV76" s="233">
        <f>_xll.DBRW(Server&amp;Cube1,$N$15,$N$16,$N$17,$N$18,$N$14,$N$13,BV$2,BV$1,$B76)</f>
        <v>-63350.68</v>
      </c>
      <c r="BW76" s="54"/>
      <c r="BX76" s="28"/>
    </row>
    <row r="77" spans="1:78" ht="19.5" hidden="1" customHeight="1" outlineLevel="1" x14ac:dyDescent="0.6">
      <c r="A77" s="141"/>
      <c r="B77" s="54" t="s">
        <v>338</v>
      </c>
      <c r="H77" s="54"/>
      <c r="I77" s="68"/>
      <c r="J77" s="53"/>
      <c r="K77" s="9"/>
      <c r="L77" s="552" t="str">
        <f>LEFT(_xll.DBRA(Server&amp;$B$32,$B77,$N$19),FIND("(",_xll.DBRA(Server&amp;$B$32,$B77,$N$19),1)-1)</f>
        <v xml:space="preserve">Impairment - working capital </v>
      </c>
      <c r="M77" s="552"/>
      <c r="N77" s="552"/>
      <c r="O77" s="552"/>
      <c r="P77" s="112"/>
      <c r="Q77" s="229">
        <f>_xll.DBRW(Server&amp;Cube1,$N$15,$N$16,$N$17,$N$18,$N$14,$N$13,$N$11,$Q$1,$B77)</f>
        <v>0</v>
      </c>
      <c r="R77" s="229">
        <f>_xll.DBRW(Server&amp;Cube1,$N$15,$N$16,$N$17,$N$18,$N$14,$N$13,$R$2,$R$1,$B77)</f>
        <v>0</v>
      </c>
      <c r="S77" s="230">
        <f t="shared" ref="S77" si="24">Q77-R77</f>
        <v>0</v>
      </c>
      <c r="T77" s="232">
        <f t="shared" ref="T77" si="25">IF(R77&lt;&gt;0,IF(R77&gt;0,S77/R77,-S77/R77),0)</f>
        <v>0</v>
      </c>
      <c r="U77" s="218"/>
      <c r="V77" s="229">
        <f>_xll.DBRW(Server&amp;Cube1,$N$15,$N$16,$N$17,$N$18,$N$14,$N$13,$V$2,$V$1,$B77)</f>
        <v>0</v>
      </c>
      <c r="W77" s="230">
        <f t="shared" ref="W77" si="26">Q77-V77</f>
        <v>0</v>
      </c>
      <c r="X77" s="232">
        <f t="shared" ref="X77" si="27">IF(V77&lt;&gt;0,IF(V77&gt;0,W77/V77,-W77/V77),0)</f>
        <v>0</v>
      </c>
      <c r="Y77" s="54"/>
      <c r="Z77" s="54"/>
      <c r="AA77" s="54"/>
      <c r="AB77" s="229">
        <f>_xll.DBRW(Server&amp;Cube1,$N$15,$N$16,$N$17,$N$18,$N$14,$N$13,AB$2,AB$1,$B77)</f>
        <v>0</v>
      </c>
      <c r="AC77" s="229">
        <f>_xll.DBRW(Server&amp;Cube1,$N$15,$N$16,$N$17,$N$18,$N$14,$N$13,AC$2,AC$1,$B77)</f>
        <v>0</v>
      </c>
      <c r="AD77" s="229">
        <f>_xll.DBRW(Server&amp;Cube1,$N$15,$N$16,$N$17,$N$18,$N$14,$N$13,AD$2,AD$1,$B77)</f>
        <v>0</v>
      </c>
      <c r="AE77" s="32"/>
      <c r="AF77" s="229">
        <f>_xll.DBRW(Server&amp;Cube1,$N$15,$N$16,$N$17,$N$18,$N$14,$N$13,AF$2,AF$1,$B77)</f>
        <v>0</v>
      </c>
      <c r="AG77" s="229">
        <f>_xll.DBRW(Server&amp;Cube1,$N$15,$N$16,$N$17,$N$18,$N$14,$N$13,AG$2,AG$1,$B77)</f>
        <v>0</v>
      </c>
      <c r="AH77" s="229">
        <f>_xll.DBRW(Server&amp;Cube1,$N$15,$N$16,$N$17,$N$18,$N$14,$N$13,AH$2,AH$1,$B77)</f>
        <v>0</v>
      </c>
      <c r="AI77" s="32"/>
      <c r="AJ77" s="229">
        <f>_xll.DBRW(Server&amp;Cube1,$N$15,$N$16,$N$17,$N$18,$N$14,$N$13,AJ$2,AJ$1,$B77)</f>
        <v>0</v>
      </c>
      <c r="AK77" s="229">
        <f>_xll.DBRW(Server&amp;Cube1,$N$15,$N$16,$N$17,$N$18,$N$14,$N$13,AK$2,AK$1,$B77)</f>
        <v>0</v>
      </c>
      <c r="AL77" s="229">
        <f>_xll.DBRW(Server&amp;Cube1,$N$15,$N$16,$N$17,$N$18,$N$14,$N$13,AL$2,AL$1,$B77)</f>
        <v>0</v>
      </c>
      <c r="AM77" s="32"/>
      <c r="AN77" s="229">
        <f>_xll.DBRW(Server&amp;Cube1,$N$15,$N$16,$N$17,$N$18,$N$14,$N$13,AN$2,AN$1,$B77)</f>
        <v>0</v>
      </c>
      <c r="AO77" s="229">
        <f>_xll.DBRW(Server&amp;Cube1,$N$15,$N$16,$N$17,$N$18,$N$14,$N$13,AO$2,AO$1,$B77)</f>
        <v>0</v>
      </c>
      <c r="AP77" s="229">
        <f>_xll.DBRW(Server&amp;Cube1,$N$15,$N$16,$N$17,$N$18,$N$14,$N$13,AP$2,AP$1,$B77)</f>
        <v>0</v>
      </c>
      <c r="AQ77" s="32"/>
      <c r="AR77" s="229">
        <f>_xll.DBRW(Server&amp;Cube1,$N$15,$N$16,$N$17,$N$18,$N$14,$N$13,AR$2,AR$1,$B77)</f>
        <v>0</v>
      </c>
      <c r="AS77" s="229">
        <f>_xll.DBRW(Server&amp;Cube1,$N$15,$N$16,$N$17,$N$18,$N$14,$N$13,AS$2,AS$1,$B77)</f>
        <v>0</v>
      </c>
      <c r="AT77" s="229">
        <f>_xll.DBRW(Server&amp;Cube1,$N$15,$N$16,$N$17,$N$18,$N$14,$N$13,AT$2,AT$1,$B77)</f>
        <v>0</v>
      </c>
      <c r="AU77" s="32"/>
      <c r="AV77" s="229">
        <f>_xll.DBRW(Server&amp;Cube1,$N$15,$N$16,$N$17,$N$18,$N$14,$N$13,AV$2,AV$1,$B77)</f>
        <v>0</v>
      </c>
      <c r="AW77" s="229">
        <f>_xll.DBRW(Server&amp;Cube1,$N$15,$N$16,$N$17,$N$18,$N$14,$N$13,AW$2,AW$1,$B77)</f>
        <v>0</v>
      </c>
      <c r="AX77" s="229">
        <f>_xll.DBRW(Server&amp;Cube1,$N$15,$N$16,$N$17,$N$18,$N$14,$N$13,AX$2,AX$1,$B77)</f>
        <v>0</v>
      </c>
      <c r="AY77" s="32"/>
      <c r="AZ77" s="229">
        <f>_xll.DBRW(Server&amp;Cube1,$N$15,$N$16,$N$17,$N$18,$N$14,$N$13,AZ$2,AZ$1,$B77)</f>
        <v>0</v>
      </c>
      <c r="BA77" s="229">
        <f>_xll.DBRW(Server&amp;Cube1,$N$15,$N$16,$N$17,$N$18,$N$14,$N$13,BA$2,BA$1,$B77)</f>
        <v>0</v>
      </c>
      <c r="BB77" s="229">
        <f>_xll.DBRW(Server&amp;Cube1,$N$15,$N$16,$N$17,$N$18,$N$14,$N$13,BB$2,BB$1,$B77)</f>
        <v>0</v>
      </c>
      <c r="BC77" s="32"/>
      <c r="BD77" s="229">
        <f>_xll.DBRW(Server&amp;Cube1,$N$15,$N$16,$N$17,$N$18,$N$14,$N$13,BD$2,BD$1,$B77)</f>
        <v>0</v>
      </c>
      <c r="BE77" s="229">
        <f>_xll.DBRW(Server&amp;Cube1,$N$15,$N$16,$N$17,$N$18,$N$14,$N$13,BE$2,BE$1,$B77)</f>
        <v>0</v>
      </c>
      <c r="BF77" s="229">
        <f>_xll.DBRW(Server&amp;Cube1,$N$15,$N$16,$N$17,$N$18,$N$14,$N$13,BF$2,BF$1,$B77)</f>
        <v>0</v>
      </c>
      <c r="BG77" s="32"/>
      <c r="BH77" s="229">
        <f>_xll.DBRW(Server&amp;Cube1,$N$15,$N$16,$N$17,$N$18,$N$14,$N$13,BH$2,BH$1,$B77)</f>
        <v>0</v>
      </c>
      <c r="BI77" s="229">
        <f>_xll.DBRW(Server&amp;Cube1,$N$15,$N$16,$N$17,$N$18,$N$14,$N$13,BI$2,BI$1,$B77)</f>
        <v>0</v>
      </c>
      <c r="BJ77" s="229">
        <f>_xll.DBRW(Server&amp;Cube1,$N$15,$N$16,$N$17,$N$18,$N$14,$N$13,BJ$2,BJ$1,$B77)</f>
        <v>0</v>
      </c>
      <c r="BK77" s="32"/>
      <c r="BL77" s="229">
        <f>_xll.DBRW(Server&amp;Cube1,$N$15,$N$16,$N$17,$N$18,$N$14,$N$13,BL$2,BL$1,$B77)</f>
        <v>0</v>
      </c>
      <c r="BM77" s="229">
        <f>_xll.DBRW(Server&amp;Cube1,$N$15,$N$16,$N$17,$N$18,$N$14,$N$13,BM$2,BM$1,$B77)</f>
        <v>0</v>
      </c>
      <c r="BN77" s="229">
        <f>_xll.DBRW(Server&amp;Cube1,$N$15,$N$16,$N$17,$N$18,$N$14,$N$13,BN$2,BN$1,$B77)</f>
        <v>0</v>
      </c>
      <c r="BO77" s="32"/>
      <c r="BP77" s="229">
        <f>_xll.DBRW(Server&amp;Cube1,$N$15,$N$16,$N$17,$N$18,$N$14,$N$13,BP$2,BP$1,$B77)</f>
        <v>0</v>
      </c>
      <c r="BQ77" s="229">
        <f>_xll.DBRW(Server&amp;Cube1,$N$15,$N$16,$N$17,$N$18,$N$14,$N$13,BQ$2,BQ$1,$B77)</f>
        <v>0</v>
      </c>
      <c r="BR77" s="229">
        <f>_xll.DBRW(Server&amp;Cube1,$N$15,$N$16,$N$17,$N$18,$N$14,$N$13,BR$2,BR$1,$B77)</f>
        <v>-33305.07</v>
      </c>
      <c r="BS77" s="32"/>
      <c r="BT77" s="229">
        <f>_xll.DBRW(Server&amp;Cube1,$N$15,$N$16,$N$17,$N$18,$N$14,$N$13,BT$2,BT$1,$B77)</f>
        <v>0</v>
      </c>
      <c r="BU77" s="229">
        <f>_xll.DBRW(Server&amp;Cube1,$N$15,$N$16,$N$17,$N$18,$N$14,$N$13,BU$2,BU$1,$B77)</f>
        <v>0</v>
      </c>
      <c r="BV77" s="229">
        <f>_xll.DBRW(Server&amp;Cube1,$N$15,$N$16,$N$17,$N$18,$N$14,$N$13,BV$2,BV$1,$B77)</f>
        <v>25612.959999999999</v>
      </c>
      <c r="BW77" s="54"/>
      <c r="BX77" s="28"/>
    </row>
    <row r="78" spans="1:78" ht="19.5" hidden="1" customHeight="1" outlineLevel="1" x14ac:dyDescent="0.6">
      <c r="A78" s="141"/>
      <c r="B78" s="54" t="s">
        <v>61</v>
      </c>
      <c r="H78" s="54"/>
      <c r="I78" s="68"/>
      <c r="J78" s="53"/>
      <c r="K78" s="9"/>
      <c r="L78" s="552" t="str">
        <f>LEFT(_xll.DBRA(Server&amp;$B$32,$B78,$N$19),FIND("(",_xll.DBRA(Server&amp;$B$32,$B78,$N$19),1)-1)</f>
        <v xml:space="preserve">Impairment </v>
      </c>
      <c r="M78" s="552"/>
      <c r="N78" s="552"/>
      <c r="O78" s="552"/>
      <c r="P78" s="112"/>
      <c r="Q78" s="229">
        <f>_xll.DBRW(Server&amp;Cube1,$N$15,$N$16,$N$17,$N$18,$N$14,$N$13,$N$11,$Q$1,$B78)</f>
        <v>-1958.72</v>
      </c>
      <c r="R78" s="229">
        <f>_xll.DBRW(Server&amp;Cube1,$N$15,$N$16,$N$17,$N$18,$N$14,$N$13,$R$2,$R$1,$B78)</f>
        <v>0</v>
      </c>
      <c r="S78" s="230">
        <f t="shared" ref="S78" si="28">Q78-R78</f>
        <v>-1958.72</v>
      </c>
      <c r="T78" s="232">
        <f t="shared" ref="T78" si="29">IF(R78&lt;&gt;0,IF(R78&gt;0,S78/R78,-S78/R78),0)</f>
        <v>0</v>
      </c>
      <c r="U78" s="218"/>
      <c r="V78" s="229">
        <f>_xll.DBRW(Server&amp;Cube1,$N$15,$N$16,$N$17,$N$18,$N$14,$N$13,$V$2,$V$1,$B78)</f>
        <v>311430.02000000008</v>
      </c>
      <c r="W78" s="230">
        <f t="shared" ref="W78" si="30">Q78-V78</f>
        <v>-313388.74000000005</v>
      </c>
      <c r="X78" s="232">
        <f t="shared" ref="X78" si="31">IF(V78&lt;&gt;0,IF(V78&gt;0,W78/V78,-W78/V78),0)</f>
        <v>-1.0062894386353634</v>
      </c>
      <c r="Y78" s="54"/>
      <c r="Z78" s="54"/>
      <c r="AA78" s="54"/>
      <c r="AB78" s="229">
        <f>_xll.DBRW(Server&amp;Cube1,$N$15,$N$16,$N$17,$N$18,$N$14,$N$13,AB$2,AB$1,$B78)</f>
        <v>0</v>
      </c>
      <c r="AC78" s="229">
        <f>_xll.DBRW(Server&amp;Cube1,$N$15,$N$16,$N$17,$N$18,$N$14,$N$13,AC$2,AC$1,$B78)</f>
        <v>0</v>
      </c>
      <c r="AD78" s="229">
        <f>_xll.DBRW(Server&amp;Cube1,$N$15,$N$16,$N$17,$N$18,$N$14,$N$13,AD$2,AD$1,$B78)</f>
        <v>-28614.66</v>
      </c>
      <c r="AE78" s="32"/>
      <c r="AF78" s="229">
        <f>_xll.DBRW(Server&amp;Cube1,$N$15,$N$16,$N$17,$N$18,$N$14,$N$13,AF$2,AF$1,$B78)</f>
        <v>0</v>
      </c>
      <c r="AG78" s="229">
        <f>_xll.DBRW(Server&amp;Cube1,$N$15,$N$16,$N$17,$N$18,$N$14,$N$13,AG$2,AG$1,$B78)</f>
        <v>0</v>
      </c>
      <c r="AH78" s="229">
        <f>_xll.DBRW(Server&amp;Cube1,$N$15,$N$16,$N$17,$N$18,$N$14,$N$13,AH$2,AH$1,$B78)</f>
        <v>263551.58</v>
      </c>
      <c r="AI78" s="32"/>
      <c r="AJ78" s="229">
        <f>_xll.DBRW(Server&amp;Cube1,$N$15,$N$16,$N$17,$N$18,$N$14,$N$13,AJ$2,AJ$1,$B78)</f>
        <v>0</v>
      </c>
      <c r="AK78" s="229">
        <f>_xll.DBRW(Server&amp;Cube1,$N$15,$N$16,$N$17,$N$18,$N$14,$N$13,AK$2,AK$1,$B78)</f>
        <v>0</v>
      </c>
      <c r="AL78" s="229">
        <f>_xll.DBRW(Server&amp;Cube1,$N$15,$N$16,$N$17,$N$18,$N$14,$N$13,AL$2,AL$1,$B78)</f>
        <v>93742.399999999994</v>
      </c>
      <c r="AM78" s="32"/>
      <c r="AN78" s="229">
        <f>_xll.DBRW(Server&amp;Cube1,$N$15,$N$16,$N$17,$N$18,$N$14,$N$13,AN$2,AN$1,$B78)</f>
        <v>0</v>
      </c>
      <c r="AO78" s="229">
        <f>_xll.DBRW(Server&amp;Cube1,$N$15,$N$16,$N$17,$N$18,$N$14,$N$13,AO$2,AO$1,$B78)</f>
        <v>0</v>
      </c>
      <c r="AP78" s="229">
        <f>_xll.DBRW(Server&amp;Cube1,$N$15,$N$16,$N$17,$N$18,$N$14,$N$13,AP$2,AP$1,$B78)</f>
        <v>-23836.32</v>
      </c>
      <c r="AQ78" s="32"/>
      <c r="AR78" s="229">
        <f>_xll.DBRW(Server&amp;Cube1,$N$15,$N$16,$N$17,$N$18,$N$14,$N$13,AR$2,AR$1,$B78)</f>
        <v>0</v>
      </c>
      <c r="AS78" s="229">
        <f>_xll.DBRW(Server&amp;Cube1,$N$15,$N$16,$N$17,$N$18,$N$14,$N$13,AS$2,AS$1,$B78)</f>
        <v>0</v>
      </c>
      <c r="AT78" s="229">
        <f>_xll.DBRW(Server&amp;Cube1,$N$15,$N$16,$N$17,$N$18,$N$14,$N$13,AT$2,AT$1,$B78)</f>
        <v>8194.6200000000026</v>
      </c>
      <c r="AU78" s="32"/>
      <c r="AV78" s="229">
        <f>_xll.DBRW(Server&amp;Cube1,$N$15,$N$16,$N$17,$N$18,$N$14,$N$13,AV$2,AV$1,$B78)</f>
        <v>0</v>
      </c>
      <c r="AW78" s="229">
        <f>_xll.DBRW(Server&amp;Cube1,$N$15,$N$16,$N$17,$N$18,$N$14,$N$13,AW$2,AW$1,$B78)</f>
        <v>0</v>
      </c>
      <c r="AX78" s="229">
        <f>_xll.DBRW(Server&amp;Cube1,$N$15,$N$16,$N$17,$N$18,$N$14,$N$13,AX$2,AX$1,$B78)</f>
        <v>-18918.379999999997</v>
      </c>
      <c r="AY78" s="32"/>
      <c r="AZ78" s="229">
        <f>_xll.DBRW(Server&amp;Cube1,$N$15,$N$16,$N$17,$N$18,$N$14,$N$13,AZ$2,AZ$1,$B78)</f>
        <v>0</v>
      </c>
      <c r="BA78" s="229">
        <f>_xll.DBRW(Server&amp;Cube1,$N$15,$N$16,$N$17,$N$18,$N$14,$N$13,BA$2,BA$1,$B78)</f>
        <v>0</v>
      </c>
      <c r="BB78" s="229">
        <f>_xll.DBRW(Server&amp;Cube1,$N$15,$N$16,$N$17,$N$18,$N$14,$N$13,BB$2,BB$1,$B78)</f>
        <v>50441.73</v>
      </c>
      <c r="BC78" s="32"/>
      <c r="BD78" s="229">
        <f>_xll.DBRW(Server&amp;Cube1,$N$15,$N$16,$N$17,$N$18,$N$14,$N$13,BD$2,BD$1,$B78)</f>
        <v>-1958.72</v>
      </c>
      <c r="BE78" s="229">
        <f>_xll.DBRW(Server&amp;Cube1,$N$15,$N$16,$N$17,$N$18,$N$14,$N$13,BE$2,BE$1,$B78)</f>
        <v>0</v>
      </c>
      <c r="BF78" s="229">
        <f>_xll.DBRW(Server&amp;Cube1,$N$15,$N$16,$N$17,$N$18,$N$14,$N$13,BF$2,BF$1,$B78)</f>
        <v>-33130.950000000004</v>
      </c>
      <c r="BG78" s="32"/>
      <c r="BH78" s="229">
        <f>_xll.DBRW(Server&amp;Cube1,$N$15,$N$16,$N$17,$N$18,$N$14,$N$13,BH$2,BH$1,$B78)</f>
        <v>0</v>
      </c>
      <c r="BI78" s="229">
        <f>_xll.DBRW(Server&amp;Cube1,$N$15,$N$16,$N$17,$N$18,$N$14,$N$13,BI$2,BI$1,$B78)</f>
        <v>0</v>
      </c>
      <c r="BJ78" s="229">
        <f>_xll.DBRW(Server&amp;Cube1,$N$15,$N$16,$N$17,$N$18,$N$14,$N$13,BJ$2,BJ$1,$B78)</f>
        <v>-318667</v>
      </c>
      <c r="BK78" s="32"/>
      <c r="BL78" s="229">
        <f>_xll.DBRW(Server&amp;Cube1,$N$15,$N$16,$N$17,$N$18,$N$14,$N$13,BL$2,BL$1,$B78)</f>
        <v>0</v>
      </c>
      <c r="BM78" s="229">
        <f>_xll.DBRW(Server&amp;Cube1,$N$15,$N$16,$N$17,$N$18,$N$14,$N$13,BM$2,BM$1,$B78)</f>
        <v>0</v>
      </c>
      <c r="BN78" s="229">
        <f>_xll.DBRW(Server&amp;Cube1,$N$15,$N$16,$N$17,$N$18,$N$14,$N$13,BN$2,BN$1,$B78)</f>
        <v>228641.15000000002</v>
      </c>
      <c r="BO78" s="32"/>
      <c r="BP78" s="229">
        <f>_xll.DBRW(Server&amp;Cube1,$N$15,$N$16,$N$17,$N$18,$N$14,$N$13,BP$2,BP$1,$B78)</f>
        <v>0</v>
      </c>
      <c r="BQ78" s="229">
        <f>_xll.DBRW(Server&amp;Cube1,$N$15,$N$16,$N$17,$N$18,$N$14,$N$13,BQ$2,BQ$1,$B78)</f>
        <v>0</v>
      </c>
      <c r="BR78" s="229">
        <f>_xll.DBRW(Server&amp;Cube1,$N$15,$N$16,$N$17,$N$18,$N$14,$N$13,BR$2,BR$1,$B78)</f>
        <v>184112.52999999997</v>
      </c>
      <c r="BS78" s="32"/>
      <c r="BT78" s="229">
        <f>_xll.DBRW(Server&amp;Cube1,$N$15,$N$16,$N$17,$N$18,$N$14,$N$13,BT$2,BT$1,$B78)</f>
        <v>0</v>
      </c>
      <c r="BU78" s="229">
        <f>_xll.DBRW(Server&amp;Cube1,$N$15,$N$16,$N$17,$N$18,$N$14,$N$13,BU$2,BU$1,$B78)</f>
        <v>0</v>
      </c>
      <c r="BV78" s="229">
        <f>_xll.DBRW(Server&amp;Cube1,$N$15,$N$16,$N$17,$N$18,$N$14,$N$13,BV$2,BV$1,$B78)</f>
        <v>-325899.05</v>
      </c>
      <c r="BW78" s="54"/>
      <c r="BX78" s="28"/>
    </row>
    <row r="79" spans="1:78" s="34" customFormat="1" ht="3" customHeight="1" x14ac:dyDescent="0.6">
      <c r="A79" s="56"/>
      <c r="B79" s="54"/>
      <c r="C79" s="9"/>
      <c r="D79" s="1"/>
      <c r="E79" s="1"/>
      <c r="H79" s="54"/>
      <c r="I79" s="68"/>
      <c r="J79" s="53"/>
      <c r="K79" s="68"/>
      <c r="L79" s="68"/>
      <c r="M79" s="54"/>
      <c r="N79" s="54"/>
      <c r="O79" s="54"/>
      <c r="P79" s="54"/>
      <c r="Q79" s="69"/>
      <c r="R79" s="69"/>
      <c r="S79" s="69"/>
      <c r="T79" s="70"/>
      <c r="U79" s="69"/>
      <c r="V79" s="69"/>
      <c r="W79" s="69"/>
      <c r="X79" s="70"/>
      <c r="Y79" s="54"/>
      <c r="Z79" s="54"/>
      <c r="AA79" s="54"/>
      <c r="AB79" s="69"/>
      <c r="AC79" s="69"/>
      <c r="AD79" s="69"/>
      <c r="AE79" s="32"/>
      <c r="AF79" s="69"/>
      <c r="AG79" s="69"/>
      <c r="AH79" s="69"/>
      <c r="AI79" s="32"/>
      <c r="AJ79" s="69"/>
      <c r="AK79" s="69"/>
      <c r="AL79" s="69"/>
      <c r="AM79" s="32"/>
      <c r="AN79" s="69"/>
      <c r="AO79" s="69"/>
      <c r="AP79" s="69"/>
      <c r="AQ79" s="32"/>
      <c r="AR79" s="69"/>
      <c r="AS79" s="69"/>
      <c r="AT79" s="69"/>
      <c r="AU79" s="32"/>
      <c r="AV79" s="69"/>
      <c r="AW79" s="69"/>
      <c r="AX79" s="69"/>
      <c r="AY79" s="32"/>
      <c r="AZ79" s="69"/>
      <c r="BA79" s="69"/>
      <c r="BB79" s="69"/>
      <c r="BC79" s="32"/>
      <c r="BD79" s="69"/>
      <c r="BE79" s="69"/>
      <c r="BF79" s="69"/>
      <c r="BG79" s="32"/>
      <c r="BH79" s="69"/>
      <c r="BI79" s="69"/>
      <c r="BJ79" s="69"/>
      <c r="BK79" s="32"/>
      <c r="BL79" s="69"/>
      <c r="BM79" s="69"/>
      <c r="BN79" s="69"/>
      <c r="BO79" s="32"/>
      <c r="BP79" s="69"/>
      <c r="BQ79" s="69"/>
      <c r="BR79" s="69"/>
      <c r="BS79" s="32"/>
      <c r="BT79" s="69"/>
      <c r="BU79" s="69"/>
      <c r="BV79" s="69"/>
      <c r="BW79" s="54"/>
      <c r="BX79" s="28"/>
    </row>
    <row r="80" spans="1:78" ht="3.75" hidden="1" customHeight="1" x14ac:dyDescent="0.8">
      <c r="A80" s="56"/>
      <c r="B80" s="368"/>
      <c r="H80" s="368"/>
      <c r="I80" s="94"/>
      <c r="J80" s="57"/>
      <c r="K80" s="58"/>
      <c r="L80" s="59"/>
      <c r="M80" s="60"/>
      <c r="N80" s="60"/>
      <c r="O80" s="60"/>
      <c r="P80" s="61"/>
      <c r="Q80" s="62"/>
      <c r="R80" s="62"/>
      <c r="S80" s="63"/>
      <c r="T80" s="64"/>
      <c r="U80" s="65"/>
      <c r="V80" s="62"/>
      <c r="W80" s="63"/>
      <c r="X80" s="64"/>
      <c r="Y80" s="54"/>
      <c r="Z80" s="54"/>
      <c r="AA80" s="54"/>
      <c r="AB80" s="62"/>
      <c r="AC80" s="62"/>
      <c r="AD80" s="62"/>
      <c r="AE80" s="32"/>
      <c r="AF80" s="62"/>
      <c r="AG80" s="62"/>
      <c r="AH80" s="62"/>
      <c r="AI80" s="32"/>
      <c r="AJ80" s="62"/>
      <c r="AK80" s="62"/>
      <c r="AL80" s="62"/>
      <c r="AM80" s="32"/>
      <c r="AN80" s="62"/>
      <c r="AO80" s="62"/>
      <c r="AP80" s="62"/>
      <c r="AQ80" s="32"/>
      <c r="AR80" s="62"/>
      <c r="AS80" s="62"/>
      <c r="AT80" s="62"/>
      <c r="AU80" s="32"/>
      <c r="AV80" s="62"/>
      <c r="AW80" s="62"/>
      <c r="AX80" s="62"/>
      <c r="AY80" s="32"/>
      <c r="AZ80" s="62"/>
      <c r="BA80" s="62"/>
      <c r="BB80" s="62"/>
      <c r="BC80" s="32"/>
      <c r="BD80" s="62"/>
      <c r="BE80" s="62"/>
      <c r="BF80" s="62"/>
      <c r="BG80" s="32"/>
      <c r="BH80" s="62"/>
      <c r="BI80" s="62"/>
      <c r="BJ80" s="62"/>
      <c r="BK80" s="32"/>
      <c r="BL80" s="62"/>
      <c r="BM80" s="62"/>
      <c r="BN80" s="62"/>
      <c r="BO80" s="32"/>
      <c r="BP80" s="62"/>
      <c r="BQ80" s="62"/>
      <c r="BR80" s="62"/>
      <c r="BS80" s="32"/>
      <c r="BT80" s="62"/>
      <c r="BU80" s="62"/>
      <c r="BV80" s="62"/>
      <c r="BW80" s="54"/>
      <c r="BX80" s="28"/>
      <c r="BZ80" s="358"/>
    </row>
    <row r="81" spans="1:76" s="34" customFormat="1" ht="23.25" customHeight="1" collapsed="1" x14ac:dyDescent="0.8">
      <c r="A81" s="56"/>
      <c r="B81" s="54" t="s">
        <v>344</v>
      </c>
      <c r="C81" s="9"/>
      <c r="D81" s="1"/>
      <c r="E81" s="1"/>
      <c r="H81" s="54"/>
      <c r="I81" s="94"/>
      <c r="J81" s="57"/>
      <c r="K81" s="560" t="str">
        <f>"E - "&amp;_xll.DBRA(Server&amp;$B$32,$B81,$N$19)</f>
        <v>E - Energy for traction PMM</v>
      </c>
      <c r="L81" s="560"/>
      <c r="M81" s="560"/>
      <c r="N81" s="560"/>
      <c r="O81" s="560"/>
      <c r="P81" s="234"/>
      <c r="Q81" s="235">
        <f>_xll.DBRW(Server&amp;Cube1,$N$15,$N$16,$N$17,$N$18,$N$14,$N$13,$N$11,$Q$1,$B81)</f>
        <v>-25406452.09999999</v>
      </c>
      <c r="R81" s="235">
        <f>_xll.DBRW(Server&amp;Cube1,$N$15,$N$16,$N$17,$N$18,$N$14,$N$13,$R$2,$R$1,$B81)</f>
        <v>0</v>
      </c>
      <c r="S81" s="236">
        <f>Q81-R81</f>
        <v>-25406452.09999999</v>
      </c>
      <c r="T81" s="237">
        <f>IF(R81&lt;&gt;0,IF(R81&gt;0,S81/R81,-S81/R81),0)</f>
        <v>0</v>
      </c>
      <c r="U81" s="211"/>
      <c r="V81" s="235">
        <f>_xll.DBRW(Server&amp;Cube1,$N$15,$N$16,$N$17,$N$18,$N$14,$N$13,$V$2,$V$1,$B81)</f>
        <v>-1083855061.1499965</v>
      </c>
      <c r="W81" s="236">
        <f>Q81-V81</f>
        <v>1058448609.0499965</v>
      </c>
      <c r="X81" s="237">
        <f>IF(V81&lt;&gt;0,IF(V81&gt;0,W81/V81,-W81/V81),0)</f>
        <v>0.97655917934908831</v>
      </c>
      <c r="Y81" s="71"/>
      <c r="Z81" s="71"/>
      <c r="AA81" s="71"/>
      <c r="AB81" s="235">
        <f>_xll.DBRW(Server&amp;Cube1,$N$15,$N$16,$N$17,$N$18,$N$14,$N$13,AB$2,AB$1,$B81)</f>
        <v>0</v>
      </c>
      <c r="AC81" s="235">
        <f>_xll.DBRW(Server&amp;Cube1,$N$15,$N$16,$N$17,$N$18,$N$14,$N$13,AC$2,AC$1,$B81)</f>
        <v>0</v>
      </c>
      <c r="AD81" s="235">
        <f>_xll.DBRW(Server&amp;Cube1,$N$15,$N$16,$N$17,$N$18,$N$14,$N$13,AD$2,AD$1,$B81)</f>
        <v>-1298468054.9600008</v>
      </c>
      <c r="AE81" s="32"/>
      <c r="AF81" s="235">
        <f>_xll.DBRW(Server&amp;Cube1,$N$15,$N$16,$N$17,$N$18,$N$14,$N$13,AF$2,AF$1,$B81)</f>
        <v>0</v>
      </c>
      <c r="AG81" s="235">
        <f>_xll.DBRW(Server&amp;Cube1,$N$15,$N$16,$N$17,$N$18,$N$14,$N$13,AG$2,AG$1,$B81)</f>
        <v>0</v>
      </c>
      <c r="AH81" s="235">
        <f>_xll.DBRW(Server&amp;Cube1,$N$15,$N$16,$N$17,$N$18,$N$14,$N$13,AH$2,AH$1,$B81)</f>
        <v>-27739697.829999965</v>
      </c>
      <c r="AI81" s="32"/>
      <c r="AJ81" s="235">
        <f>_xll.DBRW(Server&amp;Cube1,$N$15,$N$16,$N$17,$N$18,$N$14,$N$13,AJ$2,AJ$1,$B81)</f>
        <v>0</v>
      </c>
      <c r="AK81" s="235">
        <f>_xll.DBRW(Server&amp;Cube1,$N$15,$N$16,$N$17,$N$18,$N$14,$N$13,AK$2,AK$1,$B81)</f>
        <v>0</v>
      </c>
      <c r="AL81" s="235">
        <f>_xll.DBRW(Server&amp;Cube1,$N$15,$N$16,$N$17,$N$18,$N$14,$N$13,AL$2,AL$1,$B81)</f>
        <v>-2954541575.8699999</v>
      </c>
      <c r="AM81" s="32"/>
      <c r="AN81" s="235">
        <f>_xll.DBRW(Server&amp;Cube1,$N$15,$N$16,$N$17,$N$18,$N$14,$N$13,AN$2,AN$1,$B81)</f>
        <v>0</v>
      </c>
      <c r="AO81" s="235">
        <f>_xll.DBRW(Server&amp;Cube1,$N$15,$N$16,$N$17,$N$18,$N$14,$N$13,AO$2,AO$1,$B81)</f>
        <v>0</v>
      </c>
      <c r="AP81" s="235">
        <f>_xll.DBRW(Server&amp;Cube1,$N$15,$N$16,$N$17,$N$18,$N$14,$N$13,AP$2,AP$1,$B81)</f>
        <v>-1666888771.8299997</v>
      </c>
      <c r="AQ81" s="32"/>
      <c r="AR81" s="235">
        <f>_xll.DBRW(Server&amp;Cube1,$N$15,$N$16,$N$17,$N$18,$N$14,$N$13,AR$2,AR$1,$B81)</f>
        <v>0</v>
      </c>
      <c r="AS81" s="235">
        <f>_xll.DBRW(Server&amp;Cube1,$N$15,$N$16,$N$17,$N$18,$N$14,$N$13,AS$2,AS$1,$B81)</f>
        <v>0</v>
      </c>
      <c r="AT81" s="235">
        <f>_xll.DBRW(Server&amp;Cube1,$N$15,$N$16,$N$17,$N$18,$N$14,$N$13,AT$2,AT$1,$B81)</f>
        <v>-1820306430.5899997</v>
      </c>
      <c r="AU81" s="32"/>
      <c r="AV81" s="235">
        <f>_xll.DBRW(Server&amp;Cube1,$N$15,$N$16,$N$17,$N$18,$N$14,$N$13,AV$2,AV$1,$B81)</f>
        <v>0</v>
      </c>
      <c r="AW81" s="235">
        <f>_xll.DBRW(Server&amp;Cube1,$N$15,$N$16,$N$17,$N$18,$N$14,$N$13,AW$2,AW$1,$B81)</f>
        <v>0</v>
      </c>
      <c r="AX81" s="235">
        <f>_xll.DBRW(Server&amp;Cube1,$N$15,$N$16,$N$17,$N$18,$N$14,$N$13,AX$2,AX$1,$B81)</f>
        <v>-1857260474.7200003</v>
      </c>
      <c r="AY81" s="32"/>
      <c r="AZ81" s="235">
        <f>_xll.DBRW(Server&amp;Cube1,$N$15,$N$16,$N$17,$N$18,$N$14,$N$13,AZ$2,AZ$1,$B81)</f>
        <v>0</v>
      </c>
      <c r="BA81" s="235">
        <f>_xll.DBRW(Server&amp;Cube1,$N$15,$N$16,$N$17,$N$18,$N$14,$N$13,BA$2,BA$1,$B81)</f>
        <v>0</v>
      </c>
      <c r="BB81" s="235">
        <f>_xll.DBRW(Server&amp;Cube1,$N$15,$N$16,$N$17,$N$18,$N$14,$N$13,BB$2,BB$1,$B81)</f>
        <v>-1911480587.4899995</v>
      </c>
      <c r="BC81" s="32"/>
      <c r="BD81" s="235">
        <f>_xll.DBRW(Server&amp;Cube1,$N$15,$N$16,$N$17,$N$18,$N$14,$N$13,BD$2,BD$1,$B81)</f>
        <v>-25406452.099999987</v>
      </c>
      <c r="BE81" s="235">
        <f>_xll.DBRW(Server&amp;Cube1,$N$15,$N$16,$N$17,$N$18,$N$14,$N$13,BE$2,BE$1,$B81)</f>
        <v>0</v>
      </c>
      <c r="BF81" s="235">
        <f>_xll.DBRW(Server&amp;Cube1,$N$15,$N$16,$N$17,$N$18,$N$14,$N$13,BF$2,BF$1,$B81)</f>
        <v>10452830532.140001</v>
      </c>
      <c r="BG81" s="32"/>
      <c r="BH81" s="235">
        <f>_xll.DBRW(Server&amp;Cube1,$N$15,$N$16,$N$17,$N$18,$N$14,$N$13,BH$2,BH$1,$B81)</f>
        <v>0</v>
      </c>
      <c r="BI81" s="235">
        <f>_xll.DBRW(Server&amp;Cube1,$N$15,$N$16,$N$17,$N$18,$N$14,$N$13,BI$2,BI$1,$B81)</f>
        <v>0</v>
      </c>
      <c r="BJ81" s="235">
        <f>_xll.DBRW(Server&amp;Cube1,$N$15,$N$16,$N$17,$N$18,$N$14,$N$13,BJ$2,BJ$1,$B81)</f>
        <v>-2161018035.6399999</v>
      </c>
      <c r="BK81" s="32"/>
      <c r="BL81" s="235">
        <f>_xll.DBRW(Server&amp;Cube1,$N$15,$N$16,$N$17,$N$18,$N$14,$N$13,BL$2,BL$1,$B81)</f>
        <v>0</v>
      </c>
      <c r="BM81" s="235">
        <f>_xll.DBRW(Server&amp;Cube1,$N$15,$N$16,$N$17,$N$18,$N$14,$N$13,BM$2,BM$1,$B81)</f>
        <v>0</v>
      </c>
      <c r="BN81" s="235">
        <f>_xll.DBRW(Server&amp;Cube1,$N$15,$N$16,$N$17,$N$18,$N$14,$N$13,BN$2,BN$1,$B81)</f>
        <v>-2250947745.3000011</v>
      </c>
      <c r="BO81" s="32"/>
      <c r="BP81" s="235">
        <f>_xll.DBRW(Server&amp;Cube1,$N$15,$N$16,$N$17,$N$18,$N$14,$N$13,BP$2,BP$1,$B81)</f>
        <v>0</v>
      </c>
      <c r="BQ81" s="235">
        <f>_xll.DBRW(Server&amp;Cube1,$N$15,$N$16,$N$17,$N$18,$N$14,$N$13,BQ$2,BQ$1,$B81)</f>
        <v>0</v>
      </c>
      <c r="BR81" s="235">
        <f>_xll.DBRW(Server&amp;Cube1,$N$15,$N$16,$N$17,$N$18,$N$14,$N$13,BR$2,BR$1,$B81)</f>
        <v>-2431294675.3000002</v>
      </c>
      <c r="BS81" s="32"/>
      <c r="BT81" s="235">
        <f>_xll.DBRW(Server&amp;Cube1,$N$15,$N$16,$N$17,$N$18,$N$14,$N$13,BT$2,BT$1,$B81)</f>
        <v>0</v>
      </c>
      <c r="BU81" s="235">
        <f>_xll.DBRW(Server&amp;Cube1,$N$15,$N$16,$N$17,$N$18,$N$14,$N$13,BU$2,BU$1,$B81)</f>
        <v>0</v>
      </c>
      <c r="BV81" s="235">
        <f>_xll.DBRW(Server&amp;Cube1,$N$15,$N$16,$N$17,$N$18,$N$14,$N$13,BV$2,BV$1,$B81)</f>
        <v>-2849728533.48</v>
      </c>
      <c r="BW81" s="71"/>
      <c r="BX81" s="28"/>
    </row>
    <row r="82" spans="1:76" ht="19.5" hidden="1" customHeight="1" outlineLevel="1" x14ac:dyDescent="0.6">
      <c r="A82" s="56"/>
      <c r="B82" s="54" t="s">
        <v>62</v>
      </c>
      <c r="H82" s="54"/>
      <c r="I82" s="54"/>
      <c r="J82" s="53"/>
      <c r="K82" s="9"/>
      <c r="L82" s="563" t="str">
        <f>_xll.DBRA(Server&amp;$B$32,$B82,$N$19)</f>
        <v>Fuel</v>
      </c>
      <c r="M82" s="563"/>
      <c r="N82" s="563"/>
      <c r="O82" s="563"/>
      <c r="P82" s="112"/>
      <c r="Q82" s="229">
        <f>_xll.DBRW(Server&amp;Cube1,$N$15,$N$16,$N$17,$N$18,$N$14,$N$13,$N$11,$Q$1,$B82)</f>
        <v>-22402874.609999992</v>
      </c>
      <c r="R82" s="229">
        <f>_xll.DBRW(Server&amp;Cube1,$N$15,$N$16,$N$17,$N$18,$N$14,$N$13,$R$2,$R$1,$B82)</f>
        <v>0</v>
      </c>
      <c r="S82" s="230">
        <f t="shared" ref="S82:S95" si="32">Q82-R82</f>
        <v>-22402874.609999992</v>
      </c>
      <c r="T82" s="232">
        <f t="shared" ref="T82:T95" si="33">IF(R82&lt;&gt;0,IF(R82&gt;0,S82/R82,-S82/R82),0)</f>
        <v>0</v>
      </c>
      <c r="U82" s="218"/>
      <c r="V82" s="229">
        <f>_xll.DBRW(Server&amp;Cube1,$N$15,$N$16,$N$17,$N$18,$N$14,$N$13,$V$2,$V$1,$B82)</f>
        <v>-383716917.81999779</v>
      </c>
      <c r="W82" s="230">
        <f t="shared" ref="W82:W95" si="34">Q82-V82</f>
        <v>361314043.20999777</v>
      </c>
      <c r="X82" s="232">
        <f t="shared" ref="X82:X95" si="35">IF(V82&lt;&gt;0,IF(V82&gt;0,W82/V82,-W82/V82),0)</f>
        <v>0.94161614052026432</v>
      </c>
      <c r="Y82" s="54"/>
      <c r="Z82" s="54"/>
      <c r="AA82" s="54"/>
      <c r="AB82" s="229">
        <f>_xll.DBRW(Server&amp;Cube1,$N$15,$N$16,$N$17,$N$18,$N$14,$N$13,AB$2,AB$1,$B82)</f>
        <v>0</v>
      </c>
      <c r="AC82" s="229">
        <f>_xll.DBRW(Server&amp;Cube1,$N$15,$N$16,$N$17,$N$18,$N$14,$N$13,AC$2,AC$1,$B82)</f>
        <v>0</v>
      </c>
      <c r="AD82" s="229">
        <f>_xll.DBRW(Server&amp;Cube1,$N$15,$N$16,$N$17,$N$18,$N$14,$N$13,AD$2,AD$1,$B82)</f>
        <v>-1294863685.4200006</v>
      </c>
      <c r="AE82" s="32"/>
      <c r="AF82" s="229">
        <f>_xll.DBRW(Server&amp;Cube1,$N$15,$N$16,$N$17,$N$18,$N$14,$N$13,AF$2,AF$1,$B82)</f>
        <v>0</v>
      </c>
      <c r="AG82" s="229">
        <f>_xll.DBRW(Server&amp;Cube1,$N$15,$N$16,$N$17,$N$18,$N$14,$N$13,AG$2,AG$1,$B82)</f>
        <v>0</v>
      </c>
      <c r="AH82" s="229">
        <f>_xll.DBRW(Server&amp;Cube1,$N$15,$N$16,$N$17,$N$18,$N$14,$N$13,AH$2,AH$1,$B82)</f>
        <v>11542339.260000035</v>
      </c>
      <c r="AI82" s="32"/>
      <c r="AJ82" s="229">
        <f>_xll.DBRW(Server&amp;Cube1,$N$15,$N$16,$N$17,$N$18,$N$14,$N$13,AJ$2,AJ$1,$B82)</f>
        <v>0</v>
      </c>
      <c r="AK82" s="229">
        <f>_xll.DBRW(Server&amp;Cube1,$N$15,$N$16,$N$17,$N$18,$N$14,$N$13,AK$2,AK$1,$B82)</f>
        <v>0</v>
      </c>
      <c r="AL82" s="229">
        <f>_xll.DBRW(Server&amp;Cube1,$N$15,$N$16,$N$17,$N$18,$N$14,$N$13,AL$2,AL$1,$B82)</f>
        <v>-2929612780.1499996</v>
      </c>
      <c r="AM82" s="32"/>
      <c r="AN82" s="229">
        <f>_xll.DBRW(Server&amp;Cube1,$N$15,$N$16,$N$17,$N$18,$N$14,$N$13,AN$2,AN$1,$B82)</f>
        <v>0</v>
      </c>
      <c r="AO82" s="229">
        <f>_xll.DBRW(Server&amp;Cube1,$N$15,$N$16,$N$17,$N$18,$N$14,$N$13,AO$2,AO$1,$B82)</f>
        <v>0</v>
      </c>
      <c r="AP82" s="229">
        <f>_xll.DBRW(Server&amp;Cube1,$N$15,$N$16,$N$17,$N$18,$N$14,$N$13,AP$2,AP$1,$B82)</f>
        <v>-1641628736.2899997</v>
      </c>
      <c r="AQ82" s="32"/>
      <c r="AR82" s="229">
        <f>_xll.DBRW(Server&amp;Cube1,$N$15,$N$16,$N$17,$N$18,$N$14,$N$13,AR$2,AR$1,$B82)</f>
        <v>0</v>
      </c>
      <c r="AS82" s="229">
        <f>_xll.DBRW(Server&amp;Cube1,$N$15,$N$16,$N$17,$N$18,$N$14,$N$13,AS$2,AS$1,$B82)</f>
        <v>0</v>
      </c>
      <c r="AT82" s="229">
        <f>_xll.DBRW(Server&amp;Cube1,$N$15,$N$16,$N$17,$N$18,$N$14,$N$13,AT$2,AT$1,$B82)</f>
        <v>-1656814531.6499999</v>
      </c>
      <c r="AU82" s="32"/>
      <c r="AV82" s="229">
        <f>_xll.DBRW(Server&amp;Cube1,$N$15,$N$16,$N$17,$N$18,$N$14,$N$13,AV$2,AV$1,$B82)</f>
        <v>0</v>
      </c>
      <c r="AW82" s="229">
        <f>_xll.DBRW(Server&amp;Cube1,$N$15,$N$16,$N$17,$N$18,$N$14,$N$13,AW$2,AW$1,$B82)</f>
        <v>0</v>
      </c>
      <c r="AX82" s="229">
        <f>_xll.DBRW(Server&amp;Cube1,$N$15,$N$16,$N$17,$N$18,$N$14,$N$13,AX$2,AX$1,$B82)</f>
        <v>-1811482229.3500001</v>
      </c>
      <c r="AY82" s="32"/>
      <c r="AZ82" s="229">
        <f>_xll.DBRW(Server&amp;Cube1,$N$15,$N$16,$N$17,$N$18,$N$14,$N$13,AZ$2,AZ$1,$B82)</f>
        <v>0</v>
      </c>
      <c r="BA82" s="229">
        <f>_xll.DBRW(Server&amp;Cube1,$N$15,$N$16,$N$17,$N$18,$N$14,$N$13,BA$2,BA$1,$B82)</f>
        <v>0</v>
      </c>
      <c r="BB82" s="229">
        <f>_xll.DBRW(Server&amp;Cube1,$N$15,$N$16,$N$17,$N$18,$N$14,$N$13,BB$2,BB$1,$B82)</f>
        <v>-1906270909.8199995</v>
      </c>
      <c r="BC82" s="32"/>
      <c r="BD82" s="229">
        <f>_xll.DBRW(Server&amp;Cube1,$N$15,$N$16,$N$17,$N$18,$N$14,$N$13,BD$2,BD$1,$B82)</f>
        <v>-22402874.609999996</v>
      </c>
      <c r="BE82" s="229">
        <f>_xll.DBRW(Server&amp;Cube1,$N$15,$N$16,$N$17,$N$18,$N$14,$N$13,BE$2,BE$1,$B82)</f>
        <v>0</v>
      </c>
      <c r="BF82" s="229">
        <f>_xll.DBRW(Server&amp;Cube1,$N$15,$N$16,$N$17,$N$18,$N$14,$N$13,BF$2,BF$1,$B82)</f>
        <v>10845413615.599998</v>
      </c>
      <c r="BG82" s="32"/>
      <c r="BH82" s="229">
        <f>_xll.DBRW(Server&amp;Cube1,$N$15,$N$16,$N$17,$N$18,$N$14,$N$13,BH$2,BH$1,$B82)</f>
        <v>0</v>
      </c>
      <c r="BI82" s="229">
        <f>_xll.DBRW(Server&amp;Cube1,$N$15,$N$16,$N$17,$N$18,$N$14,$N$13,BI$2,BI$1,$B82)</f>
        <v>0</v>
      </c>
      <c r="BJ82" s="229">
        <f>_xll.DBRW(Server&amp;Cube1,$N$15,$N$16,$N$17,$N$18,$N$14,$N$13,BJ$2,BJ$1,$B82)</f>
        <v>-2114168721.2400002</v>
      </c>
      <c r="BK82" s="32"/>
      <c r="BL82" s="229">
        <f>_xll.DBRW(Server&amp;Cube1,$N$15,$N$16,$N$17,$N$18,$N$14,$N$13,BL$2,BL$1,$B82)</f>
        <v>0</v>
      </c>
      <c r="BM82" s="229">
        <f>_xll.DBRW(Server&amp;Cube1,$N$15,$N$16,$N$17,$N$18,$N$14,$N$13,BM$2,BM$1,$B82)</f>
        <v>0</v>
      </c>
      <c r="BN82" s="229">
        <f>_xll.DBRW(Server&amp;Cube1,$N$15,$N$16,$N$17,$N$18,$N$14,$N$13,BN$2,BN$1,$B82)</f>
        <v>-2248494613.2600007</v>
      </c>
      <c r="BO82" s="32"/>
      <c r="BP82" s="229">
        <f>_xll.DBRW(Server&amp;Cube1,$N$15,$N$16,$N$17,$N$18,$N$14,$N$13,BP$2,BP$1,$B82)</f>
        <v>0</v>
      </c>
      <c r="BQ82" s="229">
        <f>_xll.DBRW(Server&amp;Cube1,$N$15,$N$16,$N$17,$N$18,$N$14,$N$13,BQ$2,BQ$1,$B82)</f>
        <v>0</v>
      </c>
      <c r="BR82" s="229">
        <f>_xll.DBRW(Server&amp;Cube1,$N$15,$N$16,$N$17,$N$18,$N$14,$N$13,BR$2,BR$1,$B82)</f>
        <v>-2428332452.9000006</v>
      </c>
      <c r="BS82" s="32"/>
      <c r="BT82" s="229">
        <f>_xll.DBRW(Server&amp;Cube1,$N$15,$N$16,$N$17,$N$18,$N$14,$N$13,BT$2,BT$1,$B82)</f>
        <v>0</v>
      </c>
      <c r="BU82" s="229">
        <f>_xll.DBRW(Server&amp;Cube1,$N$15,$N$16,$N$17,$N$18,$N$14,$N$13,BU$2,BU$1,$B82)</f>
        <v>0</v>
      </c>
      <c r="BV82" s="229">
        <f>_xll.DBRW(Server&amp;Cube1,$N$15,$N$16,$N$17,$N$18,$N$14,$N$13,BV$2,BV$1,$B82)</f>
        <v>-2181735258.5</v>
      </c>
      <c r="BW82" s="54"/>
      <c r="BX82" s="28"/>
    </row>
    <row r="83" spans="1:76" ht="19.5" hidden="1" customHeight="1" outlineLevel="1" x14ac:dyDescent="0.6">
      <c r="A83" s="56"/>
      <c r="B83" s="54" t="s">
        <v>63</v>
      </c>
      <c r="H83" s="54"/>
      <c r="I83" s="54"/>
      <c r="J83" s="53"/>
      <c r="K83" s="9"/>
      <c r="L83" s="552" t="str">
        <f>_xll.DBRA(Server&amp;$B$32,$B83,$N$19)</f>
        <v>Bio fuel</v>
      </c>
      <c r="M83" s="552"/>
      <c r="N83" s="552"/>
      <c r="O83" s="552"/>
      <c r="P83" s="112"/>
      <c r="Q83" s="229">
        <f>_xll.DBRW(Server&amp;Cube1,$N$15,$N$16,$N$17,$N$18,$N$14,$N$13,$N$11,$Q$1,$B83)</f>
        <v>-1539090.4000000001</v>
      </c>
      <c r="R83" s="229">
        <f>_xll.DBRW(Server&amp;Cube1,$N$15,$N$16,$N$17,$N$18,$N$14,$N$13,$R$2,$R$1,$B83)</f>
        <v>0</v>
      </c>
      <c r="S83" s="230">
        <f t="shared" si="32"/>
        <v>-1539090.4000000001</v>
      </c>
      <c r="T83" s="232">
        <f t="shared" si="33"/>
        <v>0</v>
      </c>
      <c r="U83" s="218"/>
      <c r="V83" s="229">
        <f>_xll.DBRW(Server&amp;Cube1,$N$15,$N$16,$N$17,$N$18,$N$14,$N$13,$V$2,$V$1,$B83)</f>
        <v>-507193979.39999986</v>
      </c>
      <c r="W83" s="230">
        <f t="shared" si="34"/>
        <v>505654888.99999988</v>
      </c>
      <c r="X83" s="232">
        <f t="shared" si="35"/>
        <v>0.99696547975230165</v>
      </c>
      <c r="Y83" s="54"/>
      <c r="Z83" s="54"/>
      <c r="AA83" s="54"/>
      <c r="AB83" s="229">
        <f>_xll.DBRW(Server&amp;Cube1,$N$15,$N$16,$N$17,$N$18,$N$14,$N$13,AB$2,AB$1,$B83)</f>
        <v>0</v>
      </c>
      <c r="AC83" s="229">
        <f>_xll.DBRW(Server&amp;Cube1,$N$15,$N$16,$N$17,$N$18,$N$14,$N$13,AC$2,AC$1,$B83)</f>
        <v>0</v>
      </c>
      <c r="AD83" s="229">
        <f>_xll.DBRW(Server&amp;Cube1,$N$15,$N$16,$N$17,$N$18,$N$14,$N$13,AD$2,AD$1,$B83)</f>
        <v>-530776.27</v>
      </c>
      <c r="AE83" s="32"/>
      <c r="AF83" s="229">
        <f>_xll.DBRW(Server&amp;Cube1,$N$15,$N$16,$N$17,$N$18,$N$14,$N$13,AF$2,AF$1,$B83)</f>
        <v>0</v>
      </c>
      <c r="AG83" s="229">
        <f>_xll.DBRW(Server&amp;Cube1,$N$15,$N$16,$N$17,$N$18,$N$14,$N$13,AG$2,AG$1,$B83)</f>
        <v>0</v>
      </c>
      <c r="AH83" s="229">
        <f>_xll.DBRW(Server&amp;Cube1,$N$15,$N$16,$N$17,$N$18,$N$14,$N$13,AH$2,AH$1,$B83)</f>
        <v>-12689175.700000001</v>
      </c>
      <c r="AI83" s="32"/>
      <c r="AJ83" s="229">
        <f>_xll.DBRW(Server&amp;Cube1,$N$15,$N$16,$N$17,$N$18,$N$14,$N$13,AJ$2,AJ$1,$B83)</f>
        <v>0</v>
      </c>
      <c r="AK83" s="229">
        <f>_xll.DBRW(Server&amp;Cube1,$N$15,$N$16,$N$17,$N$18,$N$14,$N$13,AK$2,AK$1,$B83)</f>
        <v>0</v>
      </c>
      <c r="AL83" s="229">
        <f>_xll.DBRW(Server&amp;Cube1,$N$15,$N$16,$N$17,$N$18,$N$14,$N$13,AL$2,AL$1,$B83)</f>
        <v>-9875015.6099999975</v>
      </c>
      <c r="AM83" s="32"/>
      <c r="AN83" s="229">
        <f>_xll.DBRW(Server&amp;Cube1,$N$15,$N$16,$N$17,$N$18,$N$14,$N$13,AN$2,AN$1,$B83)</f>
        <v>0</v>
      </c>
      <c r="AO83" s="229">
        <f>_xll.DBRW(Server&amp;Cube1,$N$15,$N$16,$N$17,$N$18,$N$14,$N$13,AO$2,AO$1,$B83)</f>
        <v>0</v>
      </c>
      <c r="AP83" s="229">
        <f>_xll.DBRW(Server&amp;Cube1,$N$15,$N$16,$N$17,$N$18,$N$14,$N$13,AP$2,AP$1,$B83)</f>
        <v>-13416029.48</v>
      </c>
      <c r="AQ83" s="32"/>
      <c r="AR83" s="229">
        <f>_xll.DBRW(Server&amp;Cube1,$N$15,$N$16,$N$17,$N$18,$N$14,$N$13,AR$2,AR$1,$B83)</f>
        <v>0</v>
      </c>
      <c r="AS83" s="229">
        <f>_xll.DBRW(Server&amp;Cube1,$N$15,$N$16,$N$17,$N$18,$N$14,$N$13,AS$2,AS$1,$B83)</f>
        <v>0</v>
      </c>
      <c r="AT83" s="229">
        <f>_xll.DBRW(Server&amp;Cube1,$N$15,$N$16,$N$17,$N$18,$N$14,$N$13,AT$2,AT$1,$B83)</f>
        <v>-143403663.00000003</v>
      </c>
      <c r="AU83" s="32"/>
      <c r="AV83" s="229">
        <f>_xll.DBRW(Server&amp;Cube1,$N$15,$N$16,$N$17,$N$18,$N$14,$N$13,AV$2,AV$1,$B83)</f>
        <v>0</v>
      </c>
      <c r="AW83" s="229">
        <f>_xll.DBRW(Server&amp;Cube1,$N$15,$N$16,$N$17,$N$18,$N$14,$N$13,AW$2,AW$1,$B83)</f>
        <v>0</v>
      </c>
      <c r="AX83" s="229">
        <f>_xll.DBRW(Server&amp;Cube1,$N$15,$N$16,$N$17,$N$18,$N$14,$N$13,AX$2,AX$1,$B83)</f>
        <v>-36590529.170000002</v>
      </c>
      <c r="AY83" s="32"/>
      <c r="AZ83" s="229">
        <f>_xll.DBRW(Server&amp;Cube1,$N$15,$N$16,$N$17,$N$18,$N$14,$N$13,AZ$2,AZ$1,$B83)</f>
        <v>0</v>
      </c>
      <c r="BA83" s="229">
        <f>_xll.DBRW(Server&amp;Cube1,$N$15,$N$16,$N$17,$N$18,$N$14,$N$13,BA$2,BA$1,$B83)</f>
        <v>0</v>
      </c>
      <c r="BB83" s="229">
        <f>_xll.DBRW(Server&amp;Cube1,$N$15,$N$16,$N$17,$N$18,$N$14,$N$13,BB$2,BB$1,$B83)</f>
        <v>-294386.13000000006</v>
      </c>
      <c r="BC83" s="32"/>
      <c r="BD83" s="229">
        <f>_xll.DBRW(Server&amp;Cube1,$N$15,$N$16,$N$17,$N$18,$N$14,$N$13,BD$2,BD$1,$B83)</f>
        <v>-1539090.4000000001</v>
      </c>
      <c r="BE83" s="229">
        <f>_xll.DBRW(Server&amp;Cube1,$N$15,$N$16,$N$17,$N$18,$N$14,$N$13,BE$2,BE$1,$B83)</f>
        <v>0</v>
      </c>
      <c r="BF83" s="229">
        <f>_xll.DBRW(Server&amp;Cube1,$N$15,$N$16,$N$17,$N$18,$N$14,$N$13,BF$2,BF$1,$B83)</f>
        <v>-290394404.03999996</v>
      </c>
      <c r="BG83" s="32"/>
      <c r="BH83" s="229">
        <f>_xll.DBRW(Server&amp;Cube1,$N$15,$N$16,$N$17,$N$18,$N$14,$N$13,BH$2,BH$1,$B83)</f>
        <v>0</v>
      </c>
      <c r="BI83" s="229">
        <f>_xll.DBRW(Server&amp;Cube1,$N$15,$N$16,$N$17,$N$18,$N$14,$N$13,BI$2,BI$1,$B83)</f>
        <v>0</v>
      </c>
      <c r="BJ83" s="229">
        <f>_xll.DBRW(Server&amp;Cube1,$N$15,$N$16,$N$17,$N$18,$N$14,$N$13,BJ$2,BJ$1,$B83)</f>
        <v>-24288462.980000004</v>
      </c>
      <c r="BK83" s="32"/>
      <c r="BL83" s="229">
        <f>_xll.DBRW(Server&amp;Cube1,$N$15,$N$16,$N$17,$N$18,$N$14,$N$13,BL$2,BL$1,$B83)</f>
        <v>0</v>
      </c>
      <c r="BM83" s="229">
        <f>_xll.DBRW(Server&amp;Cube1,$N$15,$N$16,$N$17,$N$18,$N$14,$N$13,BM$2,BM$1,$B83)</f>
        <v>0</v>
      </c>
      <c r="BN83" s="229">
        <f>_xll.DBRW(Server&amp;Cube1,$N$15,$N$16,$N$17,$N$18,$N$14,$N$13,BN$2,BN$1,$B83)</f>
        <v>-720622.73000000033</v>
      </c>
      <c r="BO83" s="32"/>
      <c r="BP83" s="229">
        <f>_xll.DBRW(Server&amp;Cube1,$N$15,$N$16,$N$17,$N$18,$N$14,$N$13,BP$2,BP$1,$B83)</f>
        <v>0</v>
      </c>
      <c r="BQ83" s="229">
        <f>_xll.DBRW(Server&amp;Cube1,$N$15,$N$16,$N$17,$N$18,$N$14,$N$13,BQ$2,BQ$1,$B83)</f>
        <v>0</v>
      </c>
      <c r="BR83" s="229">
        <f>_xll.DBRW(Server&amp;Cube1,$N$15,$N$16,$N$17,$N$18,$N$14,$N$13,BR$2,BR$1,$B83)</f>
        <v>-1034399.7399999999</v>
      </c>
      <c r="BS83" s="32"/>
      <c r="BT83" s="229">
        <f>_xll.DBRW(Server&amp;Cube1,$N$15,$N$16,$N$17,$N$18,$N$14,$N$13,BT$2,BT$1,$B83)</f>
        <v>0</v>
      </c>
      <c r="BU83" s="229">
        <f>_xll.DBRW(Server&amp;Cube1,$N$15,$N$16,$N$17,$N$18,$N$14,$N$13,BU$2,BU$1,$B83)</f>
        <v>0</v>
      </c>
      <c r="BV83" s="229">
        <f>_xll.DBRW(Server&amp;Cube1,$N$15,$N$16,$N$17,$N$18,$N$14,$N$13,BV$2,BV$1,$B83)</f>
        <v>-489033169.04999995</v>
      </c>
      <c r="BW83" s="54"/>
      <c r="BX83" s="28"/>
    </row>
    <row r="84" spans="1:76" ht="19.5" hidden="1" customHeight="1" outlineLevel="1" x14ac:dyDescent="0.6">
      <c r="A84" s="56"/>
      <c r="B84" s="54" t="s">
        <v>64</v>
      </c>
      <c r="H84" s="54"/>
      <c r="I84" s="54"/>
      <c r="J84" s="53"/>
      <c r="K84" s="9"/>
      <c r="L84" s="552" t="str">
        <f>_xll.DBRA(Server&amp;$B$32,$B84,$N$19)</f>
        <v>Gas</v>
      </c>
      <c r="M84" s="552"/>
      <c r="N84" s="552"/>
      <c r="O84" s="552"/>
      <c r="P84" s="112"/>
      <c r="Q84" s="229">
        <f>_xll.DBRW(Server&amp;Cube1,$N$15,$N$16,$N$17,$N$18,$N$14,$N$13,$N$11,$Q$1,$B84)</f>
        <v>-3247695.4200000004</v>
      </c>
      <c r="R84" s="229">
        <f>_xll.DBRW(Server&amp;Cube1,$N$15,$N$16,$N$17,$N$18,$N$14,$N$13,$R$2,$R$1,$B84)</f>
        <v>0</v>
      </c>
      <c r="S84" s="230">
        <f t="shared" si="32"/>
        <v>-3247695.4200000004</v>
      </c>
      <c r="T84" s="232">
        <f t="shared" si="33"/>
        <v>0</v>
      </c>
      <c r="U84" s="218"/>
      <c r="V84" s="229">
        <f>_xll.DBRW(Server&amp;Cube1,$N$15,$N$16,$N$17,$N$18,$N$14,$N$13,$V$2,$V$1,$B84)</f>
        <v>-167512635.56999999</v>
      </c>
      <c r="W84" s="230">
        <f t="shared" si="34"/>
        <v>164264940.15000001</v>
      </c>
      <c r="X84" s="232">
        <f t="shared" si="35"/>
        <v>0.98061223615192394</v>
      </c>
      <c r="Y84" s="54"/>
      <c r="Z84" s="54"/>
      <c r="AA84" s="54"/>
      <c r="AB84" s="229">
        <f>_xll.DBRW(Server&amp;Cube1,$N$15,$N$16,$N$17,$N$18,$N$14,$N$13,AB$2,AB$1,$B84)</f>
        <v>0</v>
      </c>
      <c r="AC84" s="229">
        <f>_xll.DBRW(Server&amp;Cube1,$N$15,$N$16,$N$17,$N$18,$N$14,$N$13,AC$2,AC$1,$B84)</f>
        <v>0</v>
      </c>
      <c r="AD84" s="229">
        <f>_xll.DBRW(Server&amp;Cube1,$N$15,$N$16,$N$17,$N$18,$N$14,$N$13,AD$2,AD$1,$B84)</f>
        <v>-1131362.1299999999</v>
      </c>
      <c r="AE84" s="32"/>
      <c r="AF84" s="229">
        <f>_xll.DBRW(Server&amp;Cube1,$N$15,$N$16,$N$17,$N$18,$N$14,$N$13,AF$2,AF$1,$B84)</f>
        <v>0</v>
      </c>
      <c r="AG84" s="229">
        <f>_xll.DBRW(Server&amp;Cube1,$N$15,$N$16,$N$17,$N$18,$N$14,$N$13,AG$2,AG$1,$B84)</f>
        <v>0</v>
      </c>
      <c r="AH84" s="229">
        <f>_xll.DBRW(Server&amp;Cube1,$N$15,$N$16,$N$17,$N$18,$N$14,$N$13,AH$2,AH$1,$B84)</f>
        <v>-24108768.309999995</v>
      </c>
      <c r="AI84" s="32"/>
      <c r="AJ84" s="229">
        <f>_xll.DBRW(Server&amp;Cube1,$N$15,$N$16,$N$17,$N$18,$N$14,$N$13,AJ$2,AJ$1,$B84)</f>
        <v>0</v>
      </c>
      <c r="AK84" s="229">
        <f>_xll.DBRW(Server&amp;Cube1,$N$15,$N$16,$N$17,$N$18,$N$14,$N$13,AK$2,AK$1,$B84)</f>
        <v>0</v>
      </c>
      <c r="AL84" s="229">
        <f>_xll.DBRW(Server&amp;Cube1,$N$15,$N$16,$N$17,$N$18,$N$14,$N$13,AL$2,AL$1,$B84)</f>
        <v>-14626030.319999998</v>
      </c>
      <c r="AM84" s="32"/>
      <c r="AN84" s="229">
        <f>_xll.DBRW(Server&amp;Cube1,$N$15,$N$16,$N$17,$N$18,$N$14,$N$13,AN$2,AN$1,$B84)</f>
        <v>0</v>
      </c>
      <c r="AO84" s="229">
        <f>_xll.DBRW(Server&amp;Cube1,$N$15,$N$16,$N$17,$N$18,$N$14,$N$13,AO$2,AO$1,$B84)</f>
        <v>0</v>
      </c>
      <c r="AP84" s="229">
        <f>_xll.DBRW(Server&amp;Cube1,$N$15,$N$16,$N$17,$N$18,$N$14,$N$13,AP$2,AP$1,$B84)</f>
        <v>-9254578.0199999977</v>
      </c>
      <c r="AQ84" s="32"/>
      <c r="AR84" s="229">
        <f>_xll.DBRW(Server&amp;Cube1,$N$15,$N$16,$N$17,$N$18,$N$14,$N$13,AR$2,AR$1,$B84)</f>
        <v>0</v>
      </c>
      <c r="AS84" s="229">
        <f>_xll.DBRW(Server&amp;Cube1,$N$15,$N$16,$N$17,$N$18,$N$14,$N$13,AS$2,AS$1,$B84)</f>
        <v>0</v>
      </c>
      <c r="AT84" s="229">
        <f>_xll.DBRW(Server&amp;Cube1,$N$15,$N$16,$N$17,$N$18,$N$14,$N$13,AT$2,AT$1,$B84)</f>
        <v>-21485448.940000005</v>
      </c>
      <c r="AU84" s="32"/>
      <c r="AV84" s="229">
        <f>_xll.DBRW(Server&amp;Cube1,$N$15,$N$16,$N$17,$N$18,$N$14,$N$13,AV$2,AV$1,$B84)</f>
        <v>0</v>
      </c>
      <c r="AW84" s="229">
        <f>_xll.DBRW(Server&amp;Cube1,$N$15,$N$16,$N$17,$N$18,$N$14,$N$13,AW$2,AW$1,$B84)</f>
        <v>0</v>
      </c>
      <c r="AX84" s="229">
        <f>_xll.DBRW(Server&amp;Cube1,$N$15,$N$16,$N$17,$N$18,$N$14,$N$13,AX$2,AX$1,$B84)</f>
        <v>-12760621.83</v>
      </c>
      <c r="AY84" s="32"/>
      <c r="AZ84" s="229">
        <f>_xll.DBRW(Server&amp;Cube1,$N$15,$N$16,$N$17,$N$18,$N$14,$N$13,AZ$2,AZ$1,$B84)</f>
        <v>0</v>
      </c>
      <c r="BA84" s="229">
        <f>_xll.DBRW(Server&amp;Cube1,$N$15,$N$16,$N$17,$N$18,$N$14,$N$13,BA$2,BA$1,$B84)</f>
        <v>0</v>
      </c>
      <c r="BB84" s="229">
        <f>_xll.DBRW(Server&amp;Cube1,$N$15,$N$16,$N$17,$N$18,$N$14,$N$13,BB$2,BB$1,$B84)</f>
        <v>-2339658.8900000006</v>
      </c>
      <c r="BC84" s="32"/>
      <c r="BD84" s="229">
        <f>_xll.DBRW(Server&amp;Cube1,$N$15,$N$16,$N$17,$N$18,$N$14,$N$13,BD$2,BD$1,$B84)</f>
        <v>-3247695.4199999995</v>
      </c>
      <c r="BE84" s="229">
        <f>_xll.DBRW(Server&amp;Cube1,$N$15,$N$16,$N$17,$N$18,$N$14,$N$13,BE$2,BE$1,$B84)</f>
        <v>0</v>
      </c>
      <c r="BF84" s="229">
        <f>_xll.DBRW(Server&amp;Cube1,$N$15,$N$16,$N$17,$N$18,$N$14,$N$13,BF$2,BF$1,$B84)</f>
        <v>-81806167.13000001</v>
      </c>
      <c r="BG84" s="32"/>
      <c r="BH84" s="229">
        <f>_xll.DBRW(Server&amp;Cube1,$N$15,$N$16,$N$17,$N$18,$N$14,$N$13,BH$2,BH$1,$B84)</f>
        <v>0</v>
      </c>
      <c r="BI84" s="229">
        <f>_xll.DBRW(Server&amp;Cube1,$N$15,$N$16,$N$17,$N$18,$N$14,$N$13,BI$2,BI$1,$B84)</f>
        <v>0</v>
      </c>
      <c r="BJ84" s="229">
        <f>_xll.DBRW(Server&amp;Cube1,$N$15,$N$16,$N$17,$N$18,$N$14,$N$13,BJ$2,BJ$1,$B84)</f>
        <v>-18427351.609999999</v>
      </c>
      <c r="BK84" s="32"/>
      <c r="BL84" s="229">
        <f>_xll.DBRW(Server&amp;Cube1,$N$15,$N$16,$N$17,$N$18,$N$14,$N$13,BL$2,BL$1,$B84)</f>
        <v>0</v>
      </c>
      <c r="BM84" s="229">
        <f>_xll.DBRW(Server&amp;Cube1,$N$15,$N$16,$N$17,$N$18,$N$14,$N$13,BM$2,BM$1,$B84)</f>
        <v>0</v>
      </c>
      <c r="BN84" s="229">
        <f>_xll.DBRW(Server&amp;Cube1,$N$15,$N$16,$N$17,$N$18,$N$14,$N$13,BN$2,BN$1,$B84)</f>
        <v>-2187722.0800000024</v>
      </c>
      <c r="BO84" s="32"/>
      <c r="BP84" s="229">
        <f>_xll.DBRW(Server&amp;Cube1,$N$15,$N$16,$N$17,$N$18,$N$14,$N$13,BP$2,BP$1,$B84)</f>
        <v>0</v>
      </c>
      <c r="BQ84" s="229">
        <f>_xll.DBRW(Server&amp;Cube1,$N$15,$N$16,$N$17,$N$18,$N$14,$N$13,BQ$2,BQ$1,$B84)</f>
        <v>0</v>
      </c>
      <c r="BR84" s="229">
        <f>_xll.DBRW(Server&amp;Cube1,$N$15,$N$16,$N$17,$N$18,$N$14,$N$13,BR$2,BR$1,$B84)</f>
        <v>-10142026.809999999</v>
      </c>
      <c r="BS84" s="32"/>
      <c r="BT84" s="229">
        <f>_xll.DBRW(Server&amp;Cube1,$N$15,$N$16,$N$17,$N$18,$N$14,$N$13,BT$2,BT$1,$B84)</f>
        <v>0</v>
      </c>
      <c r="BU84" s="229">
        <f>_xll.DBRW(Server&amp;Cube1,$N$15,$N$16,$N$17,$N$18,$N$14,$N$13,BU$2,BU$1,$B84)</f>
        <v>0</v>
      </c>
      <c r="BV84" s="229">
        <f>_xll.DBRW(Server&amp;Cube1,$N$15,$N$16,$N$17,$N$18,$N$14,$N$13,BV$2,BV$1,$B84)</f>
        <v>-130473505.07000001</v>
      </c>
      <c r="BW84" s="54"/>
      <c r="BX84" s="28"/>
    </row>
    <row r="85" spans="1:76" ht="19.5" hidden="1" customHeight="1" outlineLevel="1" x14ac:dyDescent="0.6">
      <c r="A85" s="56"/>
      <c r="B85" s="54" t="s">
        <v>65</v>
      </c>
      <c r="H85" s="54"/>
      <c r="I85" s="54"/>
      <c r="J85" s="53"/>
      <c r="K85" s="9"/>
      <c r="L85" s="552" t="str">
        <f>_xll.DBRA(Server&amp;$B$32,$B85,$N$19)</f>
        <v>Electricity</v>
      </c>
      <c r="M85" s="552"/>
      <c r="N85" s="552"/>
      <c r="O85" s="552"/>
      <c r="P85" s="112"/>
      <c r="Q85" s="229">
        <f>_xll.DBRW(Server&amp;Cube1,$N$15,$N$16,$N$17,$N$18,$N$14,$N$13,$N$11,$Q$1,$B85)</f>
        <v>-1318442.27</v>
      </c>
      <c r="R85" s="229">
        <f>_xll.DBRW(Server&amp;Cube1,$N$15,$N$16,$N$17,$N$18,$N$14,$N$13,$R$2,$R$1,$B85)</f>
        <v>0</v>
      </c>
      <c r="S85" s="230">
        <f t="shared" si="32"/>
        <v>-1318442.27</v>
      </c>
      <c r="T85" s="232">
        <f t="shared" si="33"/>
        <v>0</v>
      </c>
      <c r="U85" s="218"/>
      <c r="V85" s="229">
        <f>_xll.DBRW(Server&amp;Cube1,$N$15,$N$16,$N$17,$N$18,$N$14,$N$13,$V$2,$V$1,$B85)</f>
        <v>-66991211.640000001</v>
      </c>
      <c r="W85" s="230">
        <f t="shared" si="34"/>
        <v>65672769.369999997</v>
      </c>
      <c r="X85" s="232">
        <f t="shared" si="35"/>
        <v>0.98031917563925997</v>
      </c>
      <c r="Y85" s="54"/>
      <c r="Z85" s="54"/>
      <c r="AA85" s="54"/>
      <c r="AB85" s="229">
        <f>_xll.DBRW(Server&amp;Cube1,$N$15,$N$16,$N$17,$N$18,$N$14,$N$13,AB$2,AB$1,$B85)</f>
        <v>0</v>
      </c>
      <c r="AC85" s="229">
        <f>_xll.DBRW(Server&amp;Cube1,$N$15,$N$16,$N$17,$N$18,$N$14,$N$13,AC$2,AC$1,$B85)</f>
        <v>0</v>
      </c>
      <c r="AD85" s="229">
        <f>_xll.DBRW(Server&amp;Cube1,$N$15,$N$16,$N$17,$N$18,$N$14,$N$13,AD$2,AD$1,$B85)</f>
        <v>-1719553.0300000003</v>
      </c>
      <c r="AE85" s="32"/>
      <c r="AF85" s="229">
        <f>_xll.DBRW(Server&amp;Cube1,$N$15,$N$16,$N$17,$N$18,$N$14,$N$13,AF$2,AF$1,$B85)</f>
        <v>0</v>
      </c>
      <c r="AG85" s="229">
        <f>_xll.DBRW(Server&amp;Cube1,$N$15,$N$16,$N$17,$N$18,$N$14,$N$13,AG$2,AG$1,$B85)</f>
        <v>0</v>
      </c>
      <c r="AH85" s="229">
        <f>_xll.DBRW(Server&amp;Cube1,$N$15,$N$16,$N$17,$N$18,$N$14,$N$13,AH$2,AH$1,$B85)</f>
        <v>-11640698.119999999</v>
      </c>
      <c r="AI85" s="32"/>
      <c r="AJ85" s="229">
        <f>_xll.DBRW(Server&amp;Cube1,$N$15,$N$16,$N$17,$N$18,$N$14,$N$13,AJ$2,AJ$1,$B85)</f>
        <v>0</v>
      </c>
      <c r="AK85" s="229">
        <f>_xll.DBRW(Server&amp;Cube1,$N$15,$N$16,$N$17,$N$18,$N$14,$N$13,AK$2,AK$1,$B85)</f>
        <v>0</v>
      </c>
      <c r="AL85" s="229">
        <f>_xll.DBRW(Server&amp;Cube1,$N$15,$N$16,$N$17,$N$18,$N$14,$N$13,AL$2,AL$1,$B85)</f>
        <v>-5825761.0200000005</v>
      </c>
      <c r="AM85" s="32"/>
      <c r="AN85" s="229">
        <f>_xll.DBRW(Server&amp;Cube1,$N$15,$N$16,$N$17,$N$18,$N$14,$N$13,AN$2,AN$1,$B85)</f>
        <v>0</v>
      </c>
      <c r="AO85" s="229">
        <f>_xll.DBRW(Server&amp;Cube1,$N$15,$N$16,$N$17,$N$18,$N$14,$N$13,AO$2,AO$1,$B85)</f>
        <v>0</v>
      </c>
      <c r="AP85" s="229">
        <f>_xll.DBRW(Server&amp;Cube1,$N$15,$N$16,$N$17,$N$18,$N$14,$N$13,AP$2,AP$1,$B85)</f>
        <v>-5404650.4999999981</v>
      </c>
      <c r="AQ85" s="32"/>
      <c r="AR85" s="229">
        <f>_xll.DBRW(Server&amp;Cube1,$N$15,$N$16,$N$17,$N$18,$N$14,$N$13,AR$2,AR$1,$B85)</f>
        <v>0</v>
      </c>
      <c r="AS85" s="229">
        <f>_xll.DBRW(Server&amp;Cube1,$N$15,$N$16,$N$17,$N$18,$N$14,$N$13,AS$2,AS$1,$B85)</f>
        <v>0</v>
      </c>
      <c r="AT85" s="229">
        <f>_xll.DBRW(Server&amp;Cube1,$N$15,$N$16,$N$17,$N$18,$N$14,$N$13,AT$2,AT$1,$B85)</f>
        <v>-5657890.2899999963</v>
      </c>
      <c r="AU85" s="32"/>
      <c r="AV85" s="229">
        <f>_xll.DBRW(Server&amp;Cube1,$N$15,$N$16,$N$17,$N$18,$N$14,$N$13,AV$2,AV$1,$B85)</f>
        <v>0</v>
      </c>
      <c r="AW85" s="229">
        <f>_xll.DBRW(Server&amp;Cube1,$N$15,$N$16,$N$17,$N$18,$N$14,$N$13,AW$2,AW$1,$B85)</f>
        <v>0</v>
      </c>
      <c r="AX85" s="229">
        <f>_xll.DBRW(Server&amp;Cube1,$N$15,$N$16,$N$17,$N$18,$N$14,$N$13,AX$2,AX$1,$B85)</f>
        <v>-3068249.9900000044</v>
      </c>
      <c r="AY85" s="32"/>
      <c r="AZ85" s="229">
        <f>_xll.DBRW(Server&amp;Cube1,$N$15,$N$16,$N$17,$N$18,$N$14,$N$13,AZ$2,AZ$1,$B85)</f>
        <v>0</v>
      </c>
      <c r="BA85" s="229">
        <f>_xll.DBRW(Server&amp;Cube1,$N$15,$N$16,$N$17,$N$18,$N$14,$N$13,BA$2,BA$1,$B85)</f>
        <v>0</v>
      </c>
      <c r="BB85" s="229">
        <f>_xll.DBRW(Server&amp;Cube1,$N$15,$N$16,$N$17,$N$18,$N$14,$N$13,BB$2,BB$1,$B85)</f>
        <v>-1602495.78</v>
      </c>
      <c r="BC85" s="32"/>
      <c r="BD85" s="229">
        <f>_xll.DBRW(Server&amp;Cube1,$N$15,$N$16,$N$17,$N$18,$N$14,$N$13,BD$2,BD$1,$B85)</f>
        <v>-1318442.2699999998</v>
      </c>
      <c r="BE85" s="229">
        <f>_xll.DBRW(Server&amp;Cube1,$N$15,$N$16,$N$17,$N$18,$N$14,$N$13,BE$2,BE$1,$B85)</f>
        <v>0</v>
      </c>
      <c r="BF85" s="229">
        <f>_xll.DBRW(Server&amp;Cube1,$N$15,$N$16,$N$17,$N$18,$N$14,$N$13,BF$2,BF$1,$B85)</f>
        <v>-32071912.909999996</v>
      </c>
      <c r="BG85" s="32"/>
      <c r="BH85" s="229">
        <f>_xll.DBRW(Server&amp;Cube1,$N$15,$N$16,$N$17,$N$18,$N$14,$N$13,BH$2,BH$1,$B85)</f>
        <v>0</v>
      </c>
      <c r="BI85" s="229">
        <f>_xll.DBRW(Server&amp;Cube1,$N$15,$N$16,$N$17,$N$18,$N$14,$N$13,BI$2,BI$1,$B85)</f>
        <v>0</v>
      </c>
      <c r="BJ85" s="229">
        <f>_xll.DBRW(Server&amp;Cube1,$N$15,$N$16,$N$17,$N$18,$N$14,$N$13,BJ$2,BJ$1,$B85)</f>
        <v>-9282993.8999999911</v>
      </c>
      <c r="BK85" s="32"/>
      <c r="BL85" s="229">
        <f>_xll.DBRW(Server&amp;Cube1,$N$15,$N$16,$N$17,$N$18,$N$14,$N$13,BL$2,BL$1,$B85)</f>
        <v>0</v>
      </c>
      <c r="BM85" s="229">
        <f>_xll.DBRW(Server&amp;Cube1,$N$15,$N$16,$N$17,$N$18,$N$14,$N$13,BM$2,BM$1,$B85)</f>
        <v>0</v>
      </c>
      <c r="BN85" s="229">
        <f>_xll.DBRW(Server&amp;Cube1,$N$15,$N$16,$N$17,$N$18,$N$14,$N$13,BN$2,BN$1,$B85)</f>
        <v>-1113355.8700000001</v>
      </c>
      <c r="BO85" s="32"/>
      <c r="BP85" s="229">
        <f>_xll.DBRW(Server&amp;Cube1,$N$15,$N$16,$N$17,$N$18,$N$14,$N$13,BP$2,BP$1,$B85)</f>
        <v>0</v>
      </c>
      <c r="BQ85" s="229">
        <f>_xll.DBRW(Server&amp;Cube1,$N$15,$N$16,$N$17,$N$18,$N$14,$N$13,BQ$2,BQ$1,$B85)</f>
        <v>0</v>
      </c>
      <c r="BR85" s="229">
        <f>_xll.DBRW(Server&amp;Cube1,$N$15,$N$16,$N$17,$N$18,$N$14,$N$13,BR$2,BR$1,$B85)</f>
        <v>-2503757.29</v>
      </c>
      <c r="BS85" s="32"/>
      <c r="BT85" s="229">
        <f>_xll.DBRW(Server&amp;Cube1,$N$15,$N$16,$N$17,$N$18,$N$14,$N$13,BT$2,BT$1,$B85)</f>
        <v>0</v>
      </c>
      <c r="BU85" s="229">
        <f>_xll.DBRW(Server&amp;Cube1,$N$15,$N$16,$N$17,$N$18,$N$14,$N$13,BU$2,BU$1,$B85)</f>
        <v>0</v>
      </c>
      <c r="BV85" s="229">
        <f>_xll.DBRW(Server&amp;Cube1,$N$15,$N$16,$N$17,$N$18,$N$14,$N$13,BV$2,BV$1,$B85)</f>
        <v>-56064798.43</v>
      </c>
      <c r="BW85" s="54"/>
      <c r="BX85" s="28"/>
    </row>
    <row r="86" spans="1:76" ht="19.5" hidden="1" customHeight="1" outlineLevel="1" x14ac:dyDescent="0.6">
      <c r="A86" s="56"/>
      <c r="B86" s="54" t="s">
        <v>66</v>
      </c>
      <c r="H86" s="54"/>
      <c r="I86" s="54"/>
      <c r="J86" s="53"/>
      <c r="K86" s="9"/>
      <c r="L86" s="552" t="str">
        <f>LEFT(_xll.DBRA(Server&amp;$B$32,$B86,$N$19),FIND("(",_xll.DBRA(Server&amp;$B$32,$B86,$N$19),1)-1)</f>
        <v xml:space="preserve">Others </v>
      </c>
      <c r="M86" s="552"/>
      <c r="N86" s="552"/>
      <c r="O86" s="552"/>
      <c r="P86" s="112"/>
      <c r="Q86" s="229">
        <f>_xll.DBRW(Server&amp;Cube1,$N$15,$N$16,$N$17,$N$18,$N$14,$N$13,$N$11,$Q$1,$B86)</f>
        <v>-3564573.84</v>
      </c>
      <c r="R86" s="229">
        <f>_xll.DBRW(Server&amp;Cube1,$N$15,$N$16,$N$17,$N$18,$N$14,$N$13,$R$2,$R$1,$B86)</f>
        <v>0</v>
      </c>
      <c r="S86" s="230">
        <f t="shared" si="32"/>
        <v>-3564573.84</v>
      </c>
      <c r="T86" s="232">
        <f t="shared" si="33"/>
        <v>0</v>
      </c>
      <c r="U86" s="218"/>
      <c r="V86" s="229">
        <f>_xll.DBRW(Server&amp;Cube1,$N$15,$N$16,$N$17,$N$18,$N$14,$N$13,$V$2,$V$1,$B86)</f>
        <v>-25184302</v>
      </c>
      <c r="W86" s="230">
        <f t="shared" si="34"/>
        <v>21619728.16</v>
      </c>
      <c r="X86" s="232">
        <f t="shared" si="35"/>
        <v>0.8584604870129019</v>
      </c>
      <c r="Y86" s="54"/>
      <c r="Z86" s="54"/>
      <c r="AA86" s="54"/>
      <c r="AB86" s="229">
        <f>_xll.DBRW(Server&amp;Cube1,$N$15,$N$16,$N$17,$N$18,$N$14,$N$13,AB$2,AB$1,$B86)</f>
        <v>0</v>
      </c>
      <c r="AC86" s="229">
        <f>_xll.DBRW(Server&amp;Cube1,$N$15,$N$16,$N$17,$N$18,$N$14,$N$13,AC$2,AC$1,$B86)</f>
        <v>0</v>
      </c>
      <c r="AD86" s="229">
        <f>_xll.DBRW(Server&amp;Cube1,$N$15,$N$16,$N$17,$N$18,$N$14,$N$13,AD$2,AD$1,$B86)</f>
        <v>-1037434.51</v>
      </c>
      <c r="AE86" s="32"/>
      <c r="AF86" s="229">
        <f>_xll.DBRW(Server&amp;Cube1,$N$15,$N$16,$N$17,$N$18,$N$14,$N$13,AF$2,AF$1,$B86)</f>
        <v>0</v>
      </c>
      <c r="AG86" s="229">
        <f>_xll.DBRW(Server&amp;Cube1,$N$15,$N$16,$N$17,$N$18,$N$14,$N$13,AG$2,AG$1,$B86)</f>
        <v>0</v>
      </c>
      <c r="AH86" s="229">
        <f>_xll.DBRW(Server&amp;Cube1,$N$15,$N$16,$N$17,$N$18,$N$14,$N$13,AH$2,AH$1,$B86)</f>
        <v>-4005794.27</v>
      </c>
      <c r="AI86" s="32"/>
      <c r="AJ86" s="229">
        <f>_xll.DBRW(Server&amp;Cube1,$N$15,$N$16,$N$17,$N$18,$N$14,$N$13,AJ$2,AJ$1,$B86)</f>
        <v>0</v>
      </c>
      <c r="AK86" s="229">
        <f>_xll.DBRW(Server&amp;Cube1,$N$15,$N$16,$N$17,$N$18,$N$14,$N$13,AK$2,AK$1,$B86)</f>
        <v>0</v>
      </c>
      <c r="AL86" s="229">
        <f>_xll.DBRW(Server&amp;Cube1,$N$15,$N$16,$N$17,$N$18,$N$14,$N$13,AL$2,AL$1,$B86)</f>
        <v>-3599398.57</v>
      </c>
      <c r="AM86" s="32"/>
      <c r="AN86" s="229">
        <f>_xll.DBRW(Server&amp;Cube1,$N$15,$N$16,$N$17,$N$18,$N$14,$N$13,AN$2,AN$1,$B86)</f>
        <v>0</v>
      </c>
      <c r="AO86" s="229">
        <f>_xll.DBRW(Server&amp;Cube1,$N$15,$N$16,$N$17,$N$18,$N$14,$N$13,AO$2,AO$1,$B86)</f>
        <v>0</v>
      </c>
      <c r="AP86" s="229">
        <f>_xll.DBRW(Server&amp;Cube1,$N$15,$N$16,$N$17,$N$18,$N$14,$N$13,AP$2,AP$1,$B86)</f>
        <v>-2424719.5</v>
      </c>
      <c r="AQ86" s="32"/>
      <c r="AR86" s="229">
        <f>_xll.DBRW(Server&amp;Cube1,$N$15,$N$16,$N$17,$N$18,$N$14,$N$13,AR$2,AR$1,$B86)</f>
        <v>0</v>
      </c>
      <c r="AS86" s="229">
        <f>_xll.DBRW(Server&amp;Cube1,$N$15,$N$16,$N$17,$N$18,$N$14,$N$13,AS$2,AS$1,$B86)</f>
        <v>0</v>
      </c>
      <c r="AT86" s="229">
        <f>_xll.DBRW(Server&amp;Cube1,$N$15,$N$16,$N$17,$N$18,$N$14,$N$13,AT$2,AT$1,$B86)</f>
        <v>-4055925.79</v>
      </c>
      <c r="AU86" s="32"/>
      <c r="AV86" s="229">
        <f>_xll.DBRW(Server&amp;Cube1,$N$15,$N$16,$N$17,$N$18,$N$14,$N$13,AV$2,AV$1,$B86)</f>
        <v>0</v>
      </c>
      <c r="AW86" s="229">
        <f>_xll.DBRW(Server&amp;Cube1,$N$15,$N$16,$N$17,$N$18,$N$14,$N$13,AW$2,AW$1,$B86)</f>
        <v>0</v>
      </c>
      <c r="AX86" s="229">
        <f>_xll.DBRW(Server&amp;Cube1,$N$15,$N$16,$N$17,$N$18,$N$14,$N$13,AX$2,AX$1,$B86)</f>
        <v>-3935245.0900000012</v>
      </c>
      <c r="AY86" s="32"/>
      <c r="AZ86" s="229">
        <f>_xll.DBRW(Server&amp;Cube1,$N$15,$N$16,$N$17,$N$18,$N$14,$N$13,AZ$2,AZ$1,$B86)</f>
        <v>0</v>
      </c>
      <c r="BA86" s="229">
        <f>_xll.DBRW(Server&amp;Cube1,$N$15,$N$16,$N$17,$N$18,$N$14,$N$13,BA$2,BA$1,$B86)</f>
        <v>0</v>
      </c>
      <c r="BB86" s="229">
        <f>_xll.DBRW(Server&amp;Cube1,$N$15,$N$16,$N$17,$N$18,$N$14,$N$13,BB$2,BB$1,$B86)</f>
        <v>766999.12000000116</v>
      </c>
      <c r="BC86" s="32"/>
      <c r="BD86" s="229">
        <f>_xll.DBRW(Server&amp;Cube1,$N$15,$N$16,$N$17,$N$18,$N$14,$N$13,BD$2,BD$1,$B86)</f>
        <v>-3564573.84</v>
      </c>
      <c r="BE86" s="229">
        <f>_xll.DBRW(Server&amp;Cube1,$N$15,$N$16,$N$17,$N$18,$N$14,$N$13,BE$2,BE$1,$B86)</f>
        <v>0</v>
      </c>
      <c r="BF86" s="229">
        <f>_xll.DBRW(Server&amp;Cube1,$N$15,$N$16,$N$17,$N$18,$N$14,$N$13,BF$2,BF$1,$B86)</f>
        <v>-6892783.3899999997</v>
      </c>
      <c r="BG86" s="32"/>
      <c r="BH86" s="229">
        <f>_xll.DBRW(Server&amp;Cube1,$N$15,$N$16,$N$17,$N$18,$N$14,$N$13,BH$2,BH$1,$B86)</f>
        <v>0</v>
      </c>
      <c r="BI86" s="229">
        <f>_xll.DBRW(Server&amp;Cube1,$N$15,$N$16,$N$17,$N$18,$N$14,$N$13,BI$2,BI$1,$B86)</f>
        <v>0</v>
      </c>
      <c r="BJ86" s="229">
        <f>_xll.DBRW(Server&amp;Cube1,$N$15,$N$16,$N$17,$N$18,$N$14,$N$13,BJ$2,BJ$1,$B86)</f>
        <v>-2324421.189999999</v>
      </c>
      <c r="BK86" s="32"/>
      <c r="BL86" s="229">
        <f>_xll.DBRW(Server&amp;Cube1,$N$15,$N$16,$N$17,$N$18,$N$14,$N$13,BL$2,BL$1,$B86)</f>
        <v>0</v>
      </c>
      <c r="BM86" s="229">
        <f>_xll.DBRW(Server&amp;Cube1,$N$15,$N$16,$N$17,$N$18,$N$14,$N$13,BM$2,BM$1,$B86)</f>
        <v>0</v>
      </c>
      <c r="BN86" s="229">
        <f>_xll.DBRW(Server&amp;Cube1,$N$15,$N$16,$N$17,$N$18,$N$14,$N$13,BN$2,BN$1,$B86)</f>
        <v>2046056.2000000004</v>
      </c>
      <c r="BO86" s="32"/>
      <c r="BP86" s="229">
        <f>_xll.DBRW(Server&amp;Cube1,$N$15,$N$16,$N$17,$N$18,$N$14,$N$13,BP$2,BP$1,$B86)</f>
        <v>0</v>
      </c>
      <c r="BQ86" s="229">
        <f>_xll.DBRW(Server&amp;Cube1,$N$15,$N$16,$N$17,$N$18,$N$14,$N$13,BQ$2,BQ$1,$B86)</f>
        <v>0</v>
      </c>
      <c r="BR86" s="229">
        <f>_xll.DBRW(Server&amp;Cube1,$N$15,$N$16,$N$17,$N$18,$N$14,$N$13,BR$2,BR$1,$B86)</f>
        <v>-12677979.869999997</v>
      </c>
      <c r="BS86" s="32"/>
      <c r="BT86" s="229">
        <f>_xll.DBRW(Server&amp;Cube1,$N$15,$N$16,$N$17,$N$18,$N$14,$N$13,BT$2,BT$1,$B86)</f>
        <v>0</v>
      </c>
      <c r="BU86" s="229">
        <f>_xll.DBRW(Server&amp;Cube1,$N$15,$N$16,$N$17,$N$18,$N$14,$N$13,BU$2,BU$1,$B86)</f>
        <v>0</v>
      </c>
      <c r="BV86" s="229">
        <f>_xll.DBRW(Server&amp;Cube1,$N$15,$N$16,$N$17,$N$18,$N$14,$N$13,BV$2,BV$1,$B86)</f>
        <v>-3723455.2399999988</v>
      </c>
      <c r="BW86" s="54"/>
      <c r="BX86" s="28"/>
    </row>
    <row r="87" spans="1:76" ht="19.5" hidden="1" customHeight="1" outlineLevel="1" x14ac:dyDescent="0.6">
      <c r="A87" s="56"/>
      <c r="B87" s="54" t="s">
        <v>339</v>
      </c>
      <c r="H87" s="54"/>
      <c r="I87" s="54"/>
      <c r="J87" s="53"/>
      <c r="K87" s="9"/>
      <c r="L87" s="552" t="str">
        <f>_xll.DBRA(Server&amp;$B$32,$B87,$N$19)</f>
        <v>Fuel Hedging Result</v>
      </c>
      <c r="M87" s="552"/>
      <c r="N87" s="552"/>
      <c r="O87" s="552"/>
      <c r="P87" s="112"/>
      <c r="Q87" s="229">
        <f>_xll.DBRW(Server&amp;Cube1,$N$15,$N$16,$N$17,$N$18,$N$14,$N$13,$N$11,$Q$1,$B87)</f>
        <v>0</v>
      </c>
      <c r="R87" s="229">
        <f>_xll.DBRW(Server&amp;Cube1,$N$15,$N$16,$N$17,$N$18,$N$14,$N$13,$R$2,$R$1,$B87)</f>
        <v>0</v>
      </c>
      <c r="S87" s="230">
        <f t="shared" ref="S87:S89" si="36">Q87-R87</f>
        <v>0</v>
      </c>
      <c r="T87" s="232">
        <f t="shared" ref="T87:T89" si="37">IF(R87&lt;&gt;0,IF(R87&gt;0,S87/R87,-S87/R87),0)</f>
        <v>0</v>
      </c>
      <c r="U87" s="218"/>
      <c r="V87" s="229">
        <f>_xll.DBRW(Server&amp;Cube1,$N$15,$N$16,$N$17,$N$18,$N$14,$N$13,$V$2,$V$1,$B87)</f>
        <v>-1287.32</v>
      </c>
      <c r="W87" s="230">
        <f t="shared" ref="W87:W89" si="38">Q87-V87</f>
        <v>1287.32</v>
      </c>
      <c r="X87" s="232">
        <f t="shared" ref="X87:X89" si="39">IF(V87&lt;&gt;0,IF(V87&gt;0,W87/V87,-W87/V87),0)</f>
        <v>1</v>
      </c>
      <c r="Y87" s="54"/>
      <c r="Z87" s="54"/>
      <c r="AA87" s="54"/>
      <c r="AB87" s="229">
        <f>_xll.DBRW(Server&amp;Cube1,$N$15,$N$16,$N$17,$N$18,$N$14,$N$13,AB$2,AB$1,$B87)</f>
        <v>0</v>
      </c>
      <c r="AC87" s="229">
        <f>_xll.DBRW(Server&amp;Cube1,$N$15,$N$16,$N$17,$N$18,$N$14,$N$13,AC$2,AC$1,$B87)</f>
        <v>0</v>
      </c>
      <c r="AD87" s="229">
        <f>_xll.DBRW(Server&amp;Cube1,$N$15,$N$16,$N$17,$N$18,$N$14,$N$13,AD$2,AD$1,$B87)</f>
        <v>0</v>
      </c>
      <c r="AE87" s="32"/>
      <c r="AF87" s="229">
        <f>_xll.DBRW(Server&amp;Cube1,$N$15,$N$16,$N$17,$N$18,$N$14,$N$13,AF$2,AF$1,$B87)</f>
        <v>0</v>
      </c>
      <c r="AG87" s="229">
        <f>_xll.DBRW(Server&amp;Cube1,$N$15,$N$16,$N$17,$N$18,$N$14,$N$13,AG$2,AG$1,$B87)</f>
        <v>0</v>
      </c>
      <c r="AH87" s="229">
        <f>_xll.DBRW(Server&amp;Cube1,$N$15,$N$16,$N$17,$N$18,$N$14,$N$13,AH$2,AH$1,$B87)</f>
        <v>0</v>
      </c>
      <c r="AI87" s="32"/>
      <c r="AJ87" s="229">
        <f>_xll.DBRW(Server&amp;Cube1,$N$15,$N$16,$N$17,$N$18,$N$14,$N$13,AJ$2,AJ$1,$B87)</f>
        <v>0</v>
      </c>
      <c r="AK87" s="229">
        <f>_xll.DBRW(Server&amp;Cube1,$N$15,$N$16,$N$17,$N$18,$N$14,$N$13,AK$2,AK$1,$B87)</f>
        <v>0</v>
      </c>
      <c r="AL87" s="229">
        <f>_xll.DBRW(Server&amp;Cube1,$N$15,$N$16,$N$17,$N$18,$N$14,$N$13,AL$2,AL$1,$B87)</f>
        <v>0</v>
      </c>
      <c r="AM87" s="32"/>
      <c r="AN87" s="229">
        <f>_xll.DBRW(Server&amp;Cube1,$N$15,$N$16,$N$17,$N$18,$N$14,$N$13,AN$2,AN$1,$B87)</f>
        <v>0</v>
      </c>
      <c r="AO87" s="229">
        <f>_xll.DBRW(Server&amp;Cube1,$N$15,$N$16,$N$17,$N$18,$N$14,$N$13,AO$2,AO$1,$B87)</f>
        <v>0</v>
      </c>
      <c r="AP87" s="229">
        <f>_xll.DBRW(Server&amp;Cube1,$N$15,$N$16,$N$17,$N$18,$N$14,$N$13,AP$2,AP$1,$B87)</f>
        <v>0</v>
      </c>
      <c r="AQ87" s="32"/>
      <c r="AR87" s="229">
        <f>_xll.DBRW(Server&amp;Cube1,$N$15,$N$16,$N$17,$N$18,$N$14,$N$13,AR$2,AR$1,$B87)</f>
        <v>0</v>
      </c>
      <c r="AS87" s="229">
        <f>_xll.DBRW(Server&amp;Cube1,$N$15,$N$16,$N$17,$N$18,$N$14,$N$13,AS$2,AS$1,$B87)</f>
        <v>0</v>
      </c>
      <c r="AT87" s="229">
        <f>_xll.DBRW(Server&amp;Cube1,$N$15,$N$16,$N$17,$N$18,$N$14,$N$13,AT$2,AT$1,$B87)</f>
        <v>0</v>
      </c>
      <c r="AU87" s="32"/>
      <c r="AV87" s="229">
        <f>_xll.DBRW(Server&amp;Cube1,$N$15,$N$16,$N$17,$N$18,$N$14,$N$13,AV$2,AV$1,$B87)</f>
        <v>0</v>
      </c>
      <c r="AW87" s="229">
        <f>_xll.DBRW(Server&amp;Cube1,$N$15,$N$16,$N$17,$N$18,$N$14,$N$13,AW$2,AW$1,$B87)</f>
        <v>0</v>
      </c>
      <c r="AX87" s="229">
        <f>_xll.DBRW(Server&amp;Cube1,$N$15,$N$16,$N$17,$N$18,$N$14,$N$13,AX$2,AX$1,$B87)</f>
        <v>0</v>
      </c>
      <c r="AY87" s="32"/>
      <c r="AZ87" s="229">
        <f>_xll.DBRW(Server&amp;Cube1,$N$15,$N$16,$N$17,$N$18,$N$14,$N$13,AZ$2,AZ$1,$B87)</f>
        <v>0</v>
      </c>
      <c r="BA87" s="229">
        <f>_xll.DBRW(Server&amp;Cube1,$N$15,$N$16,$N$17,$N$18,$N$14,$N$13,BA$2,BA$1,$B87)</f>
        <v>0</v>
      </c>
      <c r="BB87" s="229">
        <f>_xll.DBRW(Server&amp;Cube1,$N$15,$N$16,$N$17,$N$18,$N$14,$N$13,BB$2,BB$1,$B87)</f>
        <v>0</v>
      </c>
      <c r="BC87" s="32"/>
      <c r="BD87" s="229">
        <f>_xll.DBRW(Server&amp;Cube1,$N$15,$N$16,$N$17,$N$18,$N$14,$N$13,BD$2,BD$1,$B87)</f>
        <v>0</v>
      </c>
      <c r="BE87" s="229">
        <f>_xll.DBRW(Server&amp;Cube1,$N$15,$N$16,$N$17,$N$18,$N$14,$N$13,BE$2,BE$1,$B87)</f>
        <v>0</v>
      </c>
      <c r="BF87" s="229">
        <f>_xll.DBRW(Server&amp;Cube1,$N$15,$N$16,$N$17,$N$18,$N$14,$N$13,BF$2,BF$1,$B87)</f>
        <v>-1287.32</v>
      </c>
      <c r="BG87" s="32"/>
      <c r="BH87" s="229">
        <f>_xll.DBRW(Server&amp;Cube1,$N$15,$N$16,$N$17,$N$18,$N$14,$N$13,BH$2,BH$1,$B87)</f>
        <v>0</v>
      </c>
      <c r="BI87" s="229">
        <f>_xll.DBRW(Server&amp;Cube1,$N$15,$N$16,$N$17,$N$18,$N$14,$N$13,BI$2,BI$1,$B87)</f>
        <v>0</v>
      </c>
      <c r="BJ87" s="229">
        <f>_xll.DBRW(Server&amp;Cube1,$N$15,$N$16,$N$17,$N$18,$N$14,$N$13,BJ$2,BJ$1,$B87)</f>
        <v>0</v>
      </c>
      <c r="BK87" s="32"/>
      <c r="BL87" s="229">
        <f>_xll.DBRW(Server&amp;Cube1,$N$15,$N$16,$N$17,$N$18,$N$14,$N$13,BL$2,BL$1,$B87)</f>
        <v>0</v>
      </c>
      <c r="BM87" s="229">
        <f>_xll.DBRW(Server&amp;Cube1,$N$15,$N$16,$N$17,$N$18,$N$14,$N$13,BM$2,BM$1,$B87)</f>
        <v>0</v>
      </c>
      <c r="BN87" s="229">
        <f>_xll.DBRW(Server&amp;Cube1,$N$15,$N$16,$N$17,$N$18,$N$14,$N$13,BN$2,BN$1,$B87)</f>
        <v>0</v>
      </c>
      <c r="BO87" s="32"/>
      <c r="BP87" s="229">
        <f>_xll.DBRW(Server&amp;Cube1,$N$15,$N$16,$N$17,$N$18,$N$14,$N$13,BP$2,BP$1,$B87)</f>
        <v>0</v>
      </c>
      <c r="BQ87" s="229">
        <f>_xll.DBRW(Server&amp;Cube1,$N$15,$N$16,$N$17,$N$18,$N$14,$N$13,BQ$2,BQ$1,$B87)</f>
        <v>0</v>
      </c>
      <c r="BR87" s="229">
        <f>_xll.DBRW(Server&amp;Cube1,$N$15,$N$16,$N$17,$N$18,$N$14,$N$13,BR$2,BR$1,$B87)</f>
        <v>-1287.32</v>
      </c>
      <c r="BS87" s="32"/>
      <c r="BT87" s="229">
        <f>_xll.DBRW(Server&amp;Cube1,$N$15,$N$16,$N$17,$N$18,$N$14,$N$13,BT$2,BT$1,$B87)</f>
        <v>0</v>
      </c>
      <c r="BU87" s="229">
        <f>_xll.DBRW(Server&amp;Cube1,$N$15,$N$16,$N$17,$N$18,$N$14,$N$13,BU$2,BU$1,$B87)</f>
        <v>0</v>
      </c>
      <c r="BV87" s="229">
        <f>_xll.DBRW(Server&amp;Cube1,$N$15,$N$16,$N$17,$N$18,$N$14,$N$13,BV$2,BV$1,$B87)</f>
        <v>0</v>
      </c>
      <c r="BW87" s="54"/>
      <c r="BX87" s="28"/>
    </row>
    <row r="88" spans="1:76" ht="19.5" hidden="1" customHeight="1" outlineLevel="1" x14ac:dyDescent="0.6">
      <c r="A88" s="56"/>
      <c r="B88" s="54" t="s">
        <v>349</v>
      </c>
      <c r="H88" s="54"/>
      <c r="I88" s="54"/>
      <c r="J88" s="53"/>
      <c r="K88" s="9"/>
      <c r="L88" s="552" t="str">
        <f>_xll.DBRA(Server&amp;$B$32,$B88,$N$19)</f>
        <v>Energy indexation</v>
      </c>
      <c r="M88" s="552"/>
      <c r="N88" s="552"/>
      <c r="O88" s="552"/>
      <c r="P88" s="112"/>
      <c r="Q88" s="229">
        <f>_xll.DBRW(Server&amp;Cube1,$N$15,$N$16,$N$17,$N$18,$N$14,$N$13,$N$11,$Q$1,$B88)</f>
        <v>0</v>
      </c>
      <c r="R88" s="229">
        <f>_xll.DBRW(Server&amp;Cube1,$N$15,$N$16,$N$17,$N$18,$N$14,$N$13,$R$2,$R$1,$B88)</f>
        <v>0</v>
      </c>
      <c r="S88" s="230">
        <f t="shared" ref="S88" si="40">Q88-R88</f>
        <v>0</v>
      </c>
      <c r="T88" s="232">
        <f t="shared" ref="T88" si="41">IF(R88&lt;&gt;0,IF(R88&gt;0,S88/R88,-S88/R88),0)</f>
        <v>0</v>
      </c>
      <c r="U88" s="218"/>
      <c r="V88" s="229">
        <f>_xll.DBRW(Server&amp;Cube1,$N$15,$N$16,$N$17,$N$18,$N$14,$N$13,$V$2,$V$1,$B88)</f>
        <v>265624791.80000001</v>
      </c>
      <c r="W88" s="230">
        <f t="shared" ref="W88" si="42">Q88-V88</f>
        <v>-265624791.80000001</v>
      </c>
      <c r="X88" s="232">
        <f t="shared" ref="X88" si="43">IF(V88&lt;&gt;0,IF(V88&gt;0,W88/V88,-W88/V88),0)</f>
        <v>-1</v>
      </c>
      <c r="Y88" s="54"/>
      <c r="Z88" s="54"/>
      <c r="AA88" s="54"/>
      <c r="AB88" s="229">
        <f>_xll.DBRW(Server&amp;Cube1,$N$15,$N$16,$N$17,$N$18,$N$14,$N$13,AB$2,AB$1,$B88)</f>
        <v>0</v>
      </c>
      <c r="AC88" s="229">
        <f>_xll.DBRW(Server&amp;Cube1,$N$15,$N$16,$N$17,$N$18,$N$14,$N$13,AC$2,AC$1,$B88)</f>
        <v>0</v>
      </c>
      <c r="AD88" s="229">
        <f>_xll.DBRW(Server&amp;Cube1,$N$15,$N$16,$N$17,$N$18,$N$14,$N$13,AD$2,AD$1,$B88)</f>
        <v>102678.26000000001</v>
      </c>
      <c r="AE88" s="32"/>
      <c r="AF88" s="229">
        <f>_xll.DBRW(Server&amp;Cube1,$N$15,$N$16,$N$17,$N$18,$N$14,$N$13,AF$2,AF$1,$B88)</f>
        <v>0</v>
      </c>
      <c r="AG88" s="229">
        <f>_xll.DBRW(Server&amp;Cube1,$N$15,$N$16,$N$17,$N$18,$N$14,$N$13,AG$2,AG$1,$B88)</f>
        <v>0</v>
      </c>
      <c r="AH88" s="229">
        <f>_xll.DBRW(Server&amp;Cube1,$N$15,$N$16,$N$17,$N$18,$N$14,$N$13,AH$2,AH$1,$B88)</f>
        <v>23362795.720000003</v>
      </c>
      <c r="AI88" s="32"/>
      <c r="AJ88" s="229">
        <f>_xll.DBRW(Server&amp;Cube1,$N$15,$N$16,$N$17,$N$18,$N$14,$N$13,AJ$2,AJ$1,$B88)</f>
        <v>0</v>
      </c>
      <c r="AK88" s="229">
        <f>_xll.DBRW(Server&amp;Cube1,$N$15,$N$16,$N$17,$N$18,$N$14,$N$13,AK$2,AK$1,$B88)</f>
        <v>0</v>
      </c>
      <c r="AL88" s="229">
        <f>_xll.DBRW(Server&amp;Cube1,$N$15,$N$16,$N$17,$N$18,$N$14,$N$13,AL$2,AL$1,$B88)</f>
        <v>13894982.98</v>
      </c>
      <c r="AM88" s="32"/>
      <c r="AN88" s="229">
        <f>_xll.DBRW(Server&amp;Cube1,$N$15,$N$16,$N$17,$N$18,$N$14,$N$13,AN$2,AN$1,$B88)</f>
        <v>0</v>
      </c>
      <c r="AO88" s="229">
        <f>_xll.DBRW(Server&amp;Cube1,$N$15,$N$16,$N$17,$N$18,$N$14,$N$13,AO$2,AO$1,$B88)</f>
        <v>0</v>
      </c>
      <c r="AP88" s="229">
        <f>_xll.DBRW(Server&amp;Cube1,$N$15,$N$16,$N$17,$N$18,$N$14,$N$13,AP$2,AP$1,$B88)</f>
        <v>23619134.899999999</v>
      </c>
      <c r="AQ88" s="32"/>
      <c r="AR88" s="229">
        <f>_xll.DBRW(Server&amp;Cube1,$N$15,$N$16,$N$17,$N$18,$N$14,$N$13,AR$2,AR$1,$B88)</f>
        <v>0</v>
      </c>
      <c r="AS88" s="229">
        <f>_xll.DBRW(Server&amp;Cube1,$N$15,$N$16,$N$17,$N$18,$N$14,$N$13,AS$2,AS$1,$B88)</f>
        <v>0</v>
      </c>
      <c r="AT88" s="229">
        <f>_xll.DBRW(Server&amp;Cube1,$N$15,$N$16,$N$17,$N$18,$N$14,$N$13,AT$2,AT$1,$B88)</f>
        <v>23384864.079999998</v>
      </c>
      <c r="AU88" s="32"/>
      <c r="AV88" s="229">
        <f>_xll.DBRW(Server&amp;Cube1,$N$15,$N$16,$N$17,$N$18,$N$14,$N$13,AV$2,AV$1,$B88)</f>
        <v>0</v>
      </c>
      <c r="AW88" s="229">
        <f>_xll.DBRW(Server&amp;Cube1,$N$15,$N$16,$N$17,$N$18,$N$14,$N$13,AW$2,AW$1,$B88)</f>
        <v>0</v>
      </c>
      <c r="AX88" s="229">
        <f>_xll.DBRW(Server&amp;Cube1,$N$15,$N$16,$N$17,$N$18,$N$14,$N$13,AX$2,AX$1,$B88)</f>
        <v>24312775.84</v>
      </c>
      <c r="AY88" s="32"/>
      <c r="AZ88" s="229">
        <f>_xll.DBRW(Server&amp;Cube1,$N$15,$N$16,$N$17,$N$18,$N$14,$N$13,AZ$2,AZ$1,$B88)</f>
        <v>0</v>
      </c>
      <c r="BA88" s="229">
        <f>_xll.DBRW(Server&amp;Cube1,$N$15,$N$16,$N$17,$N$18,$N$14,$N$13,BA$2,BA$1,$B88)</f>
        <v>0</v>
      </c>
      <c r="BB88" s="229">
        <f>_xll.DBRW(Server&amp;Cube1,$N$15,$N$16,$N$17,$N$18,$N$14,$N$13,BB$2,BB$1,$B88)</f>
        <v>0</v>
      </c>
      <c r="BC88" s="32"/>
      <c r="BD88" s="229">
        <f>_xll.DBRW(Server&amp;Cube1,$N$15,$N$16,$N$17,$N$18,$N$14,$N$13,BD$2,BD$1,$B88)</f>
        <v>0</v>
      </c>
      <c r="BE88" s="229">
        <f>_xll.DBRW(Server&amp;Cube1,$N$15,$N$16,$N$17,$N$18,$N$14,$N$13,BE$2,BE$1,$B88)</f>
        <v>0</v>
      </c>
      <c r="BF88" s="229">
        <f>_xll.DBRW(Server&amp;Cube1,$N$15,$N$16,$N$17,$N$18,$N$14,$N$13,BF$2,BF$1,$B88)</f>
        <v>156947560.02000001</v>
      </c>
      <c r="BG88" s="32"/>
      <c r="BH88" s="229">
        <f>_xll.DBRW(Server&amp;Cube1,$N$15,$N$16,$N$17,$N$18,$N$14,$N$13,BH$2,BH$1,$B88)</f>
        <v>0</v>
      </c>
      <c r="BI88" s="229">
        <f>_xll.DBRW(Server&amp;Cube1,$N$15,$N$16,$N$17,$N$18,$N$14,$N$13,BI$2,BI$1,$B88)</f>
        <v>0</v>
      </c>
      <c r="BJ88" s="229">
        <f>_xll.DBRW(Server&amp;Cube1,$N$15,$N$16,$N$17,$N$18,$N$14,$N$13,BJ$2,BJ$1,$B88)</f>
        <v>19977546.899999999</v>
      </c>
      <c r="BK88" s="32"/>
      <c r="BL88" s="229">
        <f>_xll.DBRW(Server&amp;Cube1,$N$15,$N$16,$N$17,$N$18,$N$14,$N$13,BL$2,BL$1,$B88)</f>
        <v>0</v>
      </c>
      <c r="BM88" s="229">
        <f>_xll.DBRW(Server&amp;Cube1,$N$15,$N$16,$N$17,$N$18,$N$14,$N$13,BM$2,BM$1,$B88)</f>
        <v>0</v>
      </c>
      <c r="BN88" s="229">
        <f>_xll.DBRW(Server&amp;Cube1,$N$15,$N$16,$N$17,$N$18,$N$14,$N$13,BN$2,BN$1,$B88)</f>
        <v>3777378.25</v>
      </c>
      <c r="BO88" s="32"/>
      <c r="BP88" s="229">
        <f>_xll.DBRW(Server&amp;Cube1,$N$15,$N$16,$N$17,$N$18,$N$14,$N$13,BP$2,BP$1,$B88)</f>
        <v>0</v>
      </c>
      <c r="BQ88" s="229">
        <f>_xll.DBRW(Server&amp;Cube1,$N$15,$N$16,$N$17,$N$18,$N$14,$N$13,BQ$2,BQ$1,$B88)</f>
        <v>0</v>
      </c>
      <c r="BR88" s="229">
        <f>_xll.DBRW(Server&amp;Cube1,$N$15,$N$16,$N$17,$N$18,$N$14,$N$13,BR$2,BR$1,$B88)</f>
        <v>700220.17</v>
      </c>
      <c r="BS88" s="32"/>
      <c r="BT88" s="229">
        <f>_xll.DBRW(Server&amp;Cube1,$N$15,$N$16,$N$17,$N$18,$N$14,$N$13,BT$2,BT$1,$B88)</f>
        <v>0</v>
      </c>
      <c r="BU88" s="229">
        <f>_xll.DBRW(Server&amp;Cube1,$N$15,$N$16,$N$17,$N$18,$N$14,$N$13,BU$2,BU$1,$B88)</f>
        <v>0</v>
      </c>
      <c r="BV88" s="229">
        <f>_xll.DBRW(Server&amp;Cube1,$N$15,$N$16,$N$17,$N$18,$N$14,$N$13,BV$2,BV$1,$B88)</f>
        <v>298835177.92999995</v>
      </c>
      <c r="BW88" s="54"/>
      <c r="BX88" s="28"/>
    </row>
    <row r="89" spans="1:76" ht="19.5" hidden="1" customHeight="1" outlineLevel="1" x14ac:dyDescent="0.6">
      <c r="A89" s="56"/>
      <c r="B89" s="54" t="s">
        <v>340</v>
      </c>
      <c r="H89" s="54"/>
      <c r="I89" s="54"/>
      <c r="J89" s="53"/>
      <c r="K89" s="9"/>
      <c r="L89" s="552" t="str">
        <f>_xll.DBRA(Server&amp;$B$32,$B89,$N$19)</f>
        <v>Fuel Tax reimbursement</v>
      </c>
      <c r="M89" s="552"/>
      <c r="N89" s="552"/>
      <c r="O89" s="552"/>
      <c r="P89" s="112"/>
      <c r="Q89" s="229">
        <f>_xll.DBRW(Server&amp;Cube1,$N$15,$N$16,$N$17,$N$18,$N$14,$N$13,$N$11,$Q$1,$B89)</f>
        <v>4347543.4399999995</v>
      </c>
      <c r="R89" s="229">
        <f>_xll.DBRW(Server&amp;Cube1,$N$15,$N$16,$N$17,$N$18,$N$14,$N$13,$R$2,$R$1,$B89)</f>
        <v>0</v>
      </c>
      <c r="S89" s="230">
        <f t="shared" si="36"/>
        <v>4347543.4399999995</v>
      </c>
      <c r="T89" s="232">
        <f t="shared" si="37"/>
        <v>0</v>
      </c>
      <c r="U89" s="218"/>
      <c r="V89" s="229">
        <f>_xll.DBRW(Server&amp;Cube1,$N$15,$N$16,$N$17,$N$18,$N$14,$N$13,$V$2,$V$1,$B89)</f>
        <v>28483031.27</v>
      </c>
      <c r="W89" s="230">
        <f t="shared" si="38"/>
        <v>-24135487.829999998</v>
      </c>
      <c r="X89" s="232">
        <f t="shared" si="39"/>
        <v>-0.84736373742007265</v>
      </c>
      <c r="Y89" s="54"/>
      <c r="Z89" s="54"/>
      <c r="AA89" s="54"/>
      <c r="AB89" s="229">
        <f>_xll.DBRW(Server&amp;Cube1,$N$15,$N$16,$N$17,$N$18,$N$14,$N$13,AB$2,AB$1,$B89)</f>
        <v>0</v>
      </c>
      <c r="AC89" s="229">
        <f>_xll.DBRW(Server&amp;Cube1,$N$15,$N$16,$N$17,$N$18,$N$14,$N$13,AC$2,AC$1,$B89)</f>
        <v>0</v>
      </c>
      <c r="AD89" s="229">
        <f>_xll.DBRW(Server&amp;Cube1,$N$15,$N$16,$N$17,$N$18,$N$14,$N$13,AD$2,AD$1,$B89)</f>
        <v>-648652.62999999989</v>
      </c>
      <c r="AE89" s="32"/>
      <c r="AF89" s="229">
        <f>_xll.DBRW(Server&amp;Cube1,$N$15,$N$16,$N$17,$N$18,$N$14,$N$13,AF$2,AF$1,$B89)</f>
        <v>0</v>
      </c>
      <c r="AG89" s="229">
        <f>_xll.DBRW(Server&amp;Cube1,$N$15,$N$16,$N$17,$N$18,$N$14,$N$13,AG$2,AG$1,$B89)</f>
        <v>0</v>
      </c>
      <c r="AH89" s="229">
        <f>_xll.DBRW(Server&amp;Cube1,$N$15,$N$16,$N$17,$N$18,$N$14,$N$13,AH$2,AH$1,$B89)</f>
        <v>8539428.9599999972</v>
      </c>
      <c r="AI89" s="32"/>
      <c r="AJ89" s="229">
        <f>_xll.DBRW(Server&amp;Cube1,$N$15,$N$16,$N$17,$N$18,$N$14,$N$13,AJ$2,AJ$1,$B89)</f>
        <v>0</v>
      </c>
      <c r="AK89" s="229">
        <f>_xll.DBRW(Server&amp;Cube1,$N$15,$N$16,$N$17,$N$18,$N$14,$N$13,AK$2,AK$1,$B89)</f>
        <v>0</v>
      </c>
      <c r="AL89" s="229">
        <f>_xll.DBRW(Server&amp;Cube1,$N$15,$N$16,$N$17,$N$18,$N$14,$N$13,AL$2,AL$1,$B89)</f>
        <v>4538016.42</v>
      </c>
      <c r="AM89" s="32"/>
      <c r="AN89" s="229">
        <f>_xll.DBRW(Server&amp;Cube1,$N$15,$N$16,$N$17,$N$18,$N$14,$N$13,AN$2,AN$1,$B89)</f>
        <v>0</v>
      </c>
      <c r="AO89" s="229">
        <f>_xll.DBRW(Server&amp;Cube1,$N$15,$N$16,$N$17,$N$18,$N$14,$N$13,AO$2,AO$1,$B89)</f>
        <v>0</v>
      </c>
      <c r="AP89" s="229">
        <f>_xll.DBRW(Server&amp;Cube1,$N$15,$N$16,$N$17,$N$18,$N$14,$N$13,AP$2,AP$1,$B89)</f>
        <v>2107203.6999999997</v>
      </c>
      <c r="AQ89" s="32"/>
      <c r="AR89" s="229">
        <f>_xll.DBRW(Server&amp;Cube1,$N$15,$N$16,$N$17,$N$18,$N$14,$N$13,AR$2,AR$1,$B89)</f>
        <v>0</v>
      </c>
      <c r="AS89" s="229">
        <f>_xll.DBRW(Server&amp;Cube1,$N$15,$N$16,$N$17,$N$18,$N$14,$N$13,AS$2,AS$1,$B89)</f>
        <v>0</v>
      </c>
      <c r="AT89" s="229">
        <f>_xll.DBRW(Server&amp;Cube1,$N$15,$N$16,$N$17,$N$18,$N$14,$N$13,AT$2,AT$1,$B89)</f>
        <v>5817030</v>
      </c>
      <c r="AU89" s="32"/>
      <c r="AV89" s="229">
        <f>_xll.DBRW(Server&amp;Cube1,$N$15,$N$16,$N$17,$N$18,$N$14,$N$13,AV$2,AV$1,$B89)</f>
        <v>0</v>
      </c>
      <c r="AW89" s="229">
        <f>_xll.DBRW(Server&amp;Cube1,$N$15,$N$16,$N$17,$N$18,$N$14,$N$13,AW$2,AW$1,$B89)</f>
        <v>0</v>
      </c>
      <c r="AX89" s="229">
        <f>_xll.DBRW(Server&amp;Cube1,$N$15,$N$16,$N$17,$N$18,$N$14,$N$13,AX$2,AX$1,$B89)</f>
        <v>6053336.0900000008</v>
      </c>
      <c r="AY89" s="32"/>
      <c r="AZ89" s="229">
        <f>_xll.DBRW(Server&amp;Cube1,$N$15,$N$16,$N$17,$N$18,$N$14,$N$13,AZ$2,AZ$1,$B89)</f>
        <v>0</v>
      </c>
      <c r="BA89" s="229">
        <f>_xll.DBRW(Server&amp;Cube1,$N$15,$N$16,$N$17,$N$18,$N$14,$N$13,BA$2,BA$1,$B89)</f>
        <v>0</v>
      </c>
      <c r="BB89" s="229">
        <f>_xll.DBRW(Server&amp;Cube1,$N$15,$N$16,$N$17,$N$18,$N$14,$N$13,BB$2,BB$1,$B89)</f>
        <v>-3887164.59</v>
      </c>
      <c r="BC89" s="32"/>
      <c r="BD89" s="229">
        <f>_xll.DBRW(Server&amp;Cube1,$N$15,$N$16,$N$17,$N$18,$N$14,$N$13,BD$2,BD$1,$B89)</f>
        <v>4347543.4399999995</v>
      </c>
      <c r="BE89" s="229">
        <f>_xll.DBRW(Server&amp;Cube1,$N$15,$N$16,$N$17,$N$18,$N$14,$N$13,BE$2,BE$1,$B89)</f>
        <v>0</v>
      </c>
      <c r="BF89" s="229">
        <f>_xll.DBRW(Server&amp;Cube1,$N$15,$N$16,$N$17,$N$18,$N$14,$N$13,BF$2,BF$1,$B89)</f>
        <v>5963833.3199999994</v>
      </c>
      <c r="BG89" s="32"/>
      <c r="BH89" s="229">
        <f>_xll.DBRW(Server&amp;Cube1,$N$15,$N$16,$N$17,$N$18,$N$14,$N$13,BH$2,BH$1,$B89)</f>
        <v>0</v>
      </c>
      <c r="BI89" s="229">
        <f>_xll.DBRW(Server&amp;Cube1,$N$15,$N$16,$N$17,$N$18,$N$14,$N$13,BI$2,BI$1,$B89)</f>
        <v>0</v>
      </c>
      <c r="BJ89" s="229">
        <f>_xll.DBRW(Server&amp;Cube1,$N$15,$N$16,$N$17,$N$18,$N$14,$N$13,BJ$2,BJ$1,$B89)</f>
        <v>3735910.9199999995</v>
      </c>
      <c r="BK89" s="32"/>
      <c r="BL89" s="229">
        <f>_xll.DBRW(Server&amp;Cube1,$N$15,$N$16,$N$17,$N$18,$N$14,$N$13,BL$2,BL$1,$B89)</f>
        <v>0</v>
      </c>
      <c r="BM89" s="229">
        <f>_xll.DBRW(Server&amp;Cube1,$N$15,$N$16,$N$17,$N$18,$N$14,$N$13,BM$2,BM$1,$B89)</f>
        <v>0</v>
      </c>
      <c r="BN89" s="229">
        <f>_xll.DBRW(Server&amp;Cube1,$N$15,$N$16,$N$17,$N$18,$N$14,$N$13,BN$2,BN$1,$B89)</f>
        <v>-1858492.84</v>
      </c>
      <c r="BO89" s="32"/>
      <c r="BP89" s="229">
        <f>_xll.DBRW(Server&amp;Cube1,$N$15,$N$16,$N$17,$N$18,$N$14,$N$13,BP$2,BP$1,$B89)</f>
        <v>0</v>
      </c>
      <c r="BQ89" s="229">
        <f>_xll.DBRW(Server&amp;Cube1,$N$15,$N$16,$N$17,$N$18,$N$14,$N$13,BQ$2,BQ$1,$B89)</f>
        <v>0</v>
      </c>
      <c r="BR89" s="229">
        <f>_xll.DBRW(Server&amp;Cube1,$N$15,$N$16,$N$17,$N$18,$N$14,$N$13,BR$2,BR$1,$B89)</f>
        <v>9702234.5600000005</v>
      </c>
      <c r="BS89" s="32"/>
      <c r="BT89" s="229">
        <f>_xll.DBRW(Server&amp;Cube1,$N$15,$N$16,$N$17,$N$18,$N$14,$N$13,BT$2,BT$1,$B89)</f>
        <v>0</v>
      </c>
      <c r="BU89" s="229">
        <f>_xll.DBRW(Server&amp;Cube1,$N$15,$N$16,$N$17,$N$18,$N$14,$N$13,BU$2,BU$1,$B89)</f>
        <v>0</v>
      </c>
      <c r="BV89" s="229">
        <f>_xll.DBRW(Server&amp;Cube1,$N$15,$N$16,$N$17,$N$18,$N$14,$N$13,BV$2,BV$1,$B89)</f>
        <v>3751721.7700000005</v>
      </c>
      <c r="BW89" s="54"/>
      <c r="BX89" s="28"/>
    </row>
    <row r="90" spans="1:76" ht="19.5" hidden="1" customHeight="1" outlineLevel="1" x14ac:dyDescent="0.6">
      <c r="A90" s="56"/>
      <c r="B90" s="54" t="s">
        <v>333</v>
      </c>
      <c r="H90" s="54"/>
      <c r="I90" s="54"/>
      <c r="J90" s="53"/>
      <c r="K90" s="9"/>
      <c r="L90" s="552" t="str">
        <f>_xll.DBRA(Server&amp;$B$32,$B90,$N$19)</f>
        <v>Sales of fuel</v>
      </c>
      <c r="M90" s="552"/>
      <c r="N90" s="552"/>
      <c r="O90" s="552"/>
      <c r="P90" s="112"/>
      <c r="Q90" s="229">
        <f>_xll.DBRW(Server&amp;Cube1,$N$15,$N$16,$N$17,$N$18,$N$14,$N$13,$N$11,$Q$1,$B90)</f>
        <v>191686.35</v>
      </c>
      <c r="R90" s="229">
        <f>_xll.DBRW(Server&amp;Cube1,$N$15,$N$16,$N$17,$N$18,$N$14,$N$13,$R$2,$R$1,$B90)</f>
        <v>0</v>
      </c>
      <c r="S90" s="230">
        <f t="shared" ref="S90" si="44">Q90-R90</f>
        <v>191686.35</v>
      </c>
      <c r="T90" s="232">
        <f t="shared" ref="T90" si="45">IF(R90&lt;&gt;0,IF(R90&gt;0,S90/R90,-S90/R90),0)</f>
        <v>0</v>
      </c>
      <c r="U90" s="218"/>
      <c r="V90" s="229">
        <f>_xll.DBRW(Server&amp;Cube1,$N$15,$N$16,$N$17,$N$18,$N$14,$N$13,$V$2,$V$1,$B90)</f>
        <v>12734583.369999999</v>
      </c>
      <c r="W90" s="230">
        <f t="shared" ref="W90" si="46">Q90-V90</f>
        <v>-12542897.02</v>
      </c>
      <c r="X90" s="232">
        <f t="shared" ref="X90" si="47">IF(V90&lt;&gt;0,IF(V90&gt;0,W90/V90,-W90/V90),0)</f>
        <v>-0.98494757587032078</v>
      </c>
      <c r="Y90" s="54"/>
      <c r="Z90" s="54"/>
      <c r="AA90" s="54"/>
      <c r="AB90" s="229">
        <f>_xll.DBRW(Server&amp;Cube1,$N$15,$N$16,$N$17,$N$18,$N$14,$N$13,AB$2,AB$1,$B90)</f>
        <v>0</v>
      </c>
      <c r="AC90" s="229">
        <f>_xll.DBRW(Server&amp;Cube1,$N$15,$N$16,$N$17,$N$18,$N$14,$N$13,AC$2,AC$1,$B90)</f>
        <v>0</v>
      </c>
      <c r="AD90" s="229">
        <f>_xll.DBRW(Server&amp;Cube1,$N$15,$N$16,$N$17,$N$18,$N$14,$N$13,AD$2,AD$1,$B90)</f>
        <v>46463.78</v>
      </c>
      <c r="AE90" s="32"/>
      <c r="AF90" s="229">
        <f>_xll.DBRW(Server&amp;Cube1,$N$15,$N$16,$N$17,$N$18,$N$14,$N$13,AF$2,AF$1,$B90)</f>
        <v>0</v>
      </c>
      <c r="AG90" s="229">
        <f>_xll.DBRW(Server&amp;Cube1,$N$15,$N$16,$N$17,$N$18,$N$14,$N$13,AG$2,AG$1,$B90)</f>
        <v>0</v>
      </c>
      <c r="AH90" s="229">
        <f>_xll.DBRW(Server&amp;Cube1,$N$15,$N$16,$N$17,$N$18,$N$14,$N$13,AH$2,AH$1,$B90)</f>
        <v>1442695.29</v>
      </c>
      <c r="AI90" s="32"/>
      <c r="AJ90" s="229">
        <f>_xll.DBRW(Server&amp;Cube1,$N$15,$N$16,$N$17,$N$18,$N$14,$N$13,AJ$2,AJ$1,$B90)</f>
        <v>0</v>
      </c>
      <c r="AK90" s="229">
        <f>_xll.DBRW(Server&amp;Cube1,$N$15,$N$16,$N$17,$N$18,$N$14,$N$13,AK$2,AK$1,$B90)</f>
        <v>0</v>
      </c>
      <c r="AL90" s="229">
        <f>_xll.DBRW(Server&amp;Cube1,$N$15,$N$16,$N$17,$N$18,$N$14,$N$13,AL$2,AL$1,$B90)</f>
        <v>1168745.44</v>
      </c>
      <c r="AM90" s="32"/>
      <c r="AN90" s="229">
        <f>_xll.DBRW(Server&amp;Cube1,$N$15,$N$16,$N$17,$N$18,$N$14,$N$13,AN$2,AN$1,$B90)</f>
        <v>0</v>
      </c>
      <c r="AO90" s="229">
        <f>_xll.DBRW(Server&amp;Cube1,$N$15,$N$16,$N$17,$N$18,$N$14,$N$13,AO$2,AO$1,$B90)</f>
        <v>0</v>
      </c>
      <c r="AP90" s="229">
        <f>_xll.DBRW(Server&amp;Cube1,$N$15,$N$16,$N$17,$N$18,$N$14,$N$13,AP$2,AP$1,$B90)</f>
        <v>1036122.3999999999</v>
      </c>
      <c r="AQ90" s="32"/>
      <c r="AR90" s="229">
        <f>_xll.DBRW(Server&amp;Cube1,$N$15,$N$16,$N$17,$N$18,$N$14,$N$13,AR$2,AR$1,$B90)</f>
        <v>0</v>
      </c>
      <c r="AS90" s="229">
        <f>_xll.DBRW(Server&amp;Cube1,$N$15,$N$16,$N$17,$N$18,$N$14,$N$13,AS$2,AS$1,$B90)</f>
        <v>0</v>
      </c>
      <c r="AT90" s="229">
        <f>_xll.DBRW(Server&amp;Cube1,$N$15,$N$16,$N$17,$N$18,$N$14,$N$13,AT$2,AT$1,$B90)</f>
        <v>890827.97</v>
      </c>
      <c r="AU90" s="32"/>
      <c r="AV90" s="229">
        <f>_xll.DBRW(Server&amp;Cube1,$N$15,$N$16,$N$17,$N$18,$N$14,$N$13,AV$2,AV$1,$B90)</f>
        <v>0</v>
      </c>
      <c r="AW90" s="229">
        <f>_xll.DBRW(Server&amp;Cube1,$N$15,$N$16,$N$17,$N$18,$N$14,$N$13,AW$2,AW$1,$B90)</f>
        <v>0</v>
      </c>
      <c r="AX90" s="229">
        <f>_xll.DBRW(Server&amp;Cube1,$N$15,$N$16,$N$17,$N$18,$N$14,$N$13,AX$2,AX$1,$B90)</f>
        <v>1171663.5999999996</v>
      </c>
      <c r="AY90" s="32"/>
      <c r="AZ90" s="229">
        <f>_xll.DBRW(Server&amp;Cube1,$N$15,$N$16,$N$17,$N$18,$N$14,$N$13,AZ$2,AZ$1,$B90)</f>
        <v>0</v>
      </c>
      <c r="BA90" s="229">
        <f>_xll.DBRW(Server&amp;Cube1,$N$15,$N$16,$N$17,$N$18,$N$14,$N$13,BA$2,BA$1,$B90)</f>
        <v>0</v>
      </c>
      <c r="BB90" s="229">
        <f>_xll.DBRW(Server&amp;Cube1,$N$15,$N$16,$N$17,$N$18,$N$14,$N$13,BB$2,BB$1,$B90)</f>
        <v>287957.12999999995</v>
      </c>
      <c r="BC90" s="32"/>
      <c r="BD90" s="229">
        <f>_xll.DBRW(Server&amp;Cube1,$N$15,$N$16,$N$17,$N$18,$N$14,$N$13,BD$2,BD$1,$B90)</f>
        <v>191686.35</v>
      </c>
      <c r="BE90" s="229">
        <f>_xll.DBRW(Server&amp;Cube1,$N$15,$N$16,$N$17,$N$18,$N$14,$N$13,BE$2,BE$1,$B90)</f>
        <v>0</v>
      </c>
      <c r="BF90" s="229">
        <f>_xll.DBRW(Server&amp;Cube1,$N$15,$N$16,$N$17,$N$18,$N$14,$N$13,BF$2,BF$1,$B90)</f>
        <v>6690107.7600000007</v>
      </c>
      <c r="BG90" s="32"/>
      <c r="BH90" s="229">
        <f>_xll.DBRW(Server&amp;Cube1,$N$15,$N$16,$N$17,$N$18,$N$14,$N$13,BH$2,BH$1,$B90)</f>
        <v>0</v>
      </c>
      <c r="BI90" s="229">
        <f>_xll.DBRW(Server&amp;Cube1,$N$15,$N$16,$N$17,$N$18,$N$14,$N$13,BI$2,BI$1,$B90)</f>
        <v>0</v>
      </c>
      <c r="BJ90" s="229">
        <f>_xll.DBRW(Server&amp;Cube1,$N$15,$N$16,$N$17,$N$18,$N$14,$N$13,BJ$2,BJ$1,$B90)</f>
        <v>1071812.99</v>
      </c>
      <c r="BK90" s="32"/>
      <c r="BL90" s="229">
        <f>_xll.DBRW(Server&amp;Cube1,$N$15,$N$16,$N$17,$N$18,$N$14,$N$13,BL$2,BL$1,$B90)</f>
        <v>0</v>
      </c>
      <c r="BM90" s="229">
        <f>_xll.DBRW(Server&amp;Cube1,$N$15,$N$16,$N$17,$N$18,$N$14,$N$13,BM$2,BM$1,$B90)</f>
        <v>0</v>
      </c>
      <c r="BN90" s="229">
        <f>_xll.DBRW(Server&amp;Cube1,$N$15,$N$16,$N$17,$N$18,$N$14,$N$13,BN$2,BN$1,$B90)</f>
        <v>381629.37000000005</v>
      </c>
      <c r="BO90" s="32"/>
      <c r="BP90" s="229">
        <f>_xll.DBRW(Server&amp;Cube1,$N$15,$N$16,$N$17,$N$18,$N$14,$N$13,BP$2,BP$1,$B90)</f>
        <v>0</v>
      </c>
      <c r="BQ90" s="229">
        <f>_xll.DBRW(Server&amp;Cube1,$N$15,$N$16,$N$17,$N$18,$N$14,$N$13,BQ$2,BQ$1,$B90)</f>
        <v>0</v>
      </c>
      <c r="BR90" s="229">
        <f>_xll.DBRW(Server&amp;Cube1,$N$15,$N$16,$N$17,$N$18,$N$14,$N$13,BR$2,BR$1,$B90)</f>
        <v>5632613.7599999998</v>
      </c>
      <c r="BS90" s="32"/>
      <c r="BT90" s="229">
        <f>_xll.DBRW(Server&amp;Cube1,$N$15,$N$16,$N$17,$N$18,$N$14,$N$13,BT$2,BT$1,$B90)</f>
        <v>0</v>
      </c>
      <c r="BU90" s="229">
        <f>_xll.DBRW(Server&amp;Cube1,$N$15,$N$16,$N$17,$N$18,$N$14,$N$13,BU$2,BU$1,$B90)</f>
        <v>0</v>
      </c>
      <c r="BV90" s="229">
        <f>_xll.DBRW(Server&amp;Cube1,$N$15,$N$16,$N$17,$N$18,$N$14,$N$13,BV$2,BV$1,$B90)</f>
        <v>4446722.5999999987</v>
      </c>
      <c r="BW90" s="54"/>
      <c r="BX90" s="28"/>
    </row>
    <row r="91" spans="1:76" ht="19.5" hidden="1" customHeight="1" outlineLevel="1" x14ac:dyDescent="0.6">
      <c r="A91" s="56"/>
      <c r="B91" s="54" t="s">
        <v>67</v>
      </c>
      <c r="H91" s="54"/>
      <c r="I91" s="54"/>
      <c r="J91" s="53"/>
      <c r="K91" s="9"/>
      <c r="L91" s="552" t="str">
        <f>_xll.DBRA(Server&amp;$B$32,$B91,$N$19)</f>
        <v>Reinvoicing - Fuel</v>
      </c>
      <c r="M91" s="552"/>
      <c r="N91" s="552"/>
      <c r="O91" s="552"/>
      <c r="P91" s="112"/>
      <c r="Q91" s="229">
        <f>_xll.DBRW(Server&amp;Cube1,$N$15,$N$16,$N$17,$N$18,$N$14,$N$13,$N$11,$Q$1,$B91)</f>
        <v>1985493.28</v>
      </c>
      <c r="R91" s="229">
        <f>_xll.DBRW(Server&amp;Cube1,$N$15,$N$16,$N$17,$N$18,$N$14,$N$13,$R$2,$R$1,$B91)</f>
        <v>0</v>
      </c>
      <c r="S91" s="230">
        <f t="shared" si="32"/>
        <v>1985493.28</v>
      </c>
      <c r="T91" s="232">
        <f t="shared" si="33"/>
        <v>0</v>
      </c>
      <c r="U91" s="218"/>
      <c r="V91" s="229">
        <f>_xll.DBRW(Server&amp;Cube1,$N$15,$N$16,$N$17,$N$18,$N$14,$N$13,$V$2,$V$1,$B91)</f>
        <v>24925391.669999994</v>
      </c>
      <c r="W91" s="230">
        <f t="shared" si="34"/>
        <v>-22939898.389999993</v>
      </c>
      <c r="X91" s="232">
        <f t="shared" si="35"/>
        <v>-0.9203425444106571</v>
      </c>
      <c r="Y91" s="54"/>
      <c r="Z91" s="54"/>
      <c r="AA91" s="54"/>
      <c r="AB91" s="229">
        <f>_xll.DBRW(Server&amp;Cube1,$N$15,$N$16,$N$17,$N$18,$N$14,$N$13,AB$2,AB$1,$B91)</f>
        <v>0</v>
      </c>
      <c r="AC91" s="229">
        <f>_xll.DBRW(Server&amp;Cube1,$N$15,$N$16,$N$17,$N$18,$N$14,$N$13,AC$2,AC$1,$B91)</f>
        <v>0</v>
      </c>
      <c r="AD91" s="229">
        <f>_xll.DBRW(Server&amp;Cube1,$N$15,$N$16,$N$17,$N$18,$N$14,$N$13,AD$2,AD$1,$B91)</f>
        <v>1415857.5700000003</v>
      </c>
      <c r="AE91" s="32"/>
      <c r="AF91" s="229">
        <f>_xll.DBRW(Server&amp;Cube1,$N$15,$N$16,$N$17,$N$18,$N$14,$N$13,AF$2,AF$1,$B91)</f>
        <v>0</v>
      </c>
      <c r="AG91" s="229">
        <f>_xll.DBRW(Server&amp;Cube1,$N$15,$N$16,$N$17,$N$18,$N$14,$N$13,AG$2,AG$1,$B91)</f>
        <v>0</v>
      </c>
      <c r="AH91" s="229">
        <f>_xll.DBRW(Server&amp;Cube1,$N$15,$N$16,$N$17,$N$18,$N$14,$N$13,AH$2,AH$1,$B91)</f>
        <v>3022593.8600000003</v>
      </c>
      <c r="AI91" s="32"/>
      <c r="AJ91" s="229">
        <f>_xll.DBRW(Server&amp;Cube1,$N$15,$N$16,$N$17,$N$18,$N$14,$N$13,AJ$2,AJ$1,$B91)</f>
        <v>0</v>
      </c>
      <c r="AK91" s="229">
        <f>_xll.DBRW(Server&amp;Cube1,$N$15,$N$16,$N$17,$N$18,$N$14,$N$13,AK$2,AK$1,$B91)</f>
        <v>0</v>
      </c>
      <c r="AL91" s="229">
        <f>_xll.DBRW(Server&amp;Cube1,$N$15,$N$16,$N$17,$N$18,$N$14,$N$13,AL$2,AL$1,$B91)</f>
        <v>3296134.13</v>
      </c>
      <c r="AM91" s="32"/>
      <c r="AN91" s="229">
        <f>_xll.DBRW(Server&amp;Cube1,$N$15,$N$16,$N$17,$N$18,$N$14,$N$13,AN$2,AN$1,$B91)</f>
        <v>0</v>
      </c>
      <c r="AO91" s="229">
        <f>_xll.DBRW(Server&amp;Cube1,$N$15,$N$16,$N$17,$N$18,$N$14,$N$13,AO$2,AO$1,$B91)</f>
        <v>0</v>
      </c>
      <c r="AP91" s="229">
        <f>_xll.DBRW(Server&amp;Cube1,$N$15,$N$16,$N$17,$N$18,$N$14,$N$13,AP$2,AP$1,$B91)</f>
        <v>2094028.2700000003</v>
      </c>
      <c r="AQ91" s="32"/>
      <c r="AR91" s="229">
        <f>_xll.DBRW(Server&amp;Cube1,$N$15,$N$16,$N$17,$N$18,$N$14,$N$13,AR$2,AR$1,$B91)</f>
        <v>0</v>
      </c>
      <c r="AS91" s="229">
        <f>_xll.DBRW(Server&amp;Cube1,$N$15,$N$16,$N$17,$N$18,$N$14,$N$13,AS$2,AS$1,$B91)</f>
        <v>0</v>
      </c>
      <c r="AT91" s="229">
        <f>_xll.DBRW(Server&amp;Cube1,$N$15,$N$16,$N$17,$N$18,$N$14,$N$13,AT$2,AT$1,$B91)</f>
        <v>4144907.0300000003</v>
      </c>
      <c r="AU91" s="32"/>
      <c r="AV91" s="229">
        <f>_xll.DBRW(Server&amp;Cube1,$N$15,$N$16,$N$17,$N$18,$N$14,$N$13,AV$2,AV$1,$B91)</f>
        <v>0</v>
      </c>
      <c r="AW91" s="229">
        <f>_xll.DBRW(Server&amp;Cube1,$N$15,$N$16,$N$17,$N$18,$N$14,$N$13,AW$2,AW$1,$B91)</f>
        <v>0</v>
      </c>
      <c r="AX91" s="229">
        <f>_xll.DBRW(Server&amp;Cube1,$N$15,$N$16,$N$17,$N$18,$N$14,$N$13,AX$2,AX$1,$B91)</f>
        <v>3315333.0899999985</v>
      </c>
      <c r="AY91" s="32"/>
      <c r="AZ91" s="229">
        <f>_xll.DBRW(Server&amp;Cube1,$N$15,$N$16,$N$17,$N$18,$N$14,$N$13,AZ$2,AZ$1,$B91)</f>
        <v>0</v>
      </c>
      <c r="BA91" s="229">
        <f>_xll.DBRW(Server&amp;Cube1,$N$15,$N$16,$N$17,$N$18,$N$14,$N$13,BA$2,BA$1,$B91)</f>
        <v>0</v>
      </c>
      <c r="BB91" s="229">
        <f>_xll.DBRW(Server&amp;Cube1,$N$15,$N$16,$N$17,$N$18,$N$14,$N$13,BB$2,BB$1,$B91)</f>
        <v>1600187.72</v>
      </c>
      <c r="BC91" s="32"/>
      <c r="BD91" s="229">
        <f>_xll.DBRW(Server&amp;Cube1,$N$15,$N$16,$N$17,$N$18,$N$14,$N$13,BD$2,BD$1,$B91)</f>
        <v>1985493.2800000003</v>
      </c>
      <c r="BE91" s="229">
        <f>_xll.DBRW(Server&amp;Cube1,$N$15,$N$16,$N$17,$N$18,$N$14,$N$13,BE$2,BE$1,$B91)</f>
        <v>0</v>
      </c>
      <c r="BF91" s="229">
        <f>_xll.DBRW(Server&amp;Cube1,$N$15,$N$16,$N$17,$N$18,$N$14,$N$13,BF$2,BF$1,$B91)</f>
        <v>6036350</v>
      </c>
      <c r="BG91" s="32"/>
      <c r="BH91" s="229">
        <f>_xll.DBRW(Server&amp;Cube1,$N$15,$N$16,$N$17,$N$18,$N$14,$N$13,BH$2,BH$1,$B91)</f>
        <v>0</v>
      </c>
      <c r="BI91" s="229">
        <f>_xll.DBRW(Server&amp;Cube1,$N$15,$N$16,$N$17,$N$18,$N$14,$N$13,BI$2,BI$1,$B91)</f>
        <v>0</v>
      </c>
      <c r="BJ91" s="229">
        <f>_xll.DBRW(Server&amp;Cube1,$N$15,$N$16,$N$17,$N$18,$N$14,$N$13,BJ$2,BJ$1,$B91)</f>
        <v>2573446.5399999991</v>
      </c>
      <c r="BK91" s="32"/>
      <c r="BL91" s="229">
        <f>_xll.DBRW(Server&amp;Cube1,$N$15,$N$16,$N$17,$N$18,$N$14,$N$13,BL$2,BL$1,$B91)</f>
        <v>0</v>
      </c>
      <c r="BM91" s="229">
        <f>_xll.DBRW(Server&amp;Cube1,$N$15,$N$16,$N$17,$N$18,$N$14,$N$13,BM$2,BM$1,$B91)</f>
        <v>0</v>
      </c>
      <c r="BN91" s="229">
        <f>_xll.DBRW(Server&amp;Cube1,$N$15,$N$16,$N$17,$N$18,$N$14,$N$13,BN$2,BN$1,$B91)</f>
        <v>1037681.0500000012</v>
      </c>
      <c r="BO91" s="32"/>
      <c r="BP91" s="229">
        <f>_xll.DBRW(Server&amp;Cube1,$N$15,$N$16,$N$17,$N$18,$N$14,$N$13,BP$2,BP$1,$B91)</f>
        <v>0</v>
      </c>
      <c r="BQ91" s="229">
        <f>_xll.DBRW(Server&amp;Cube1,$N$15,$N$16,$N$17,$N$18,$N$14,$N$13,BQ$2,BQ$1,$B91)</f>
        <v>0</v>
      </c>
      <c r="BR91" s="229">
        <f>_xll.DBRW(Server&amp;Cube1,$N$15,$N$16,$N$17,$N$18,$N$14,$N$13,BR$2,BR$1,$B91)</f>
        <v>7851947.2300000014</v>
      </c>
      <c r="BS91" s="32"/>
      <c r="BT91" s="229">
        <f>_xll.DBRW(Server&amp;Cube1,$N$15,$N$16,$N$17,$N$18,$N$14,$N$13,BT$2,BT$1,$B91)</f>
        <v>0</v>
      </c>
      <c r="BU91" s="229">
        <f>_xll.DBRW(Server&amp;Cube1,$N$15,$N$16,$N$17,$N$18,$N$14,$N$13,BU$2,BU$1,$B91)</f>
        <v>0</v>
      </c>
      <c r="BV91" s="229">
        <f>_xll.DBRW(Server&amp;Cube1,$N$15,$N$16,$N$17,$N$18,$N$14,$N$13,BV$2,BV$1,$B91)</f>
        <v>3003767.2499999986</v>
      </c>
      <c r="BW91" s="54"/>
      <c r="BX91" s="28"/>
    </row>
    <row r="92" spans="1:76" ht="19.5" hidden="1" customHeight="1" outlineLevel="1" x14ac:dyDescent="0.6">
      <c r="A92" s="56"/>
      <c r="B92" s="54" t="s">
        <v>68</v>
      </c>
      <c r="H92" s="54"/>
      <c r="I92" s="54"/>
      <c r="J92" s="53"/>
      <c r="K92" s="9"/>
      <c r="L92" s="552" t="str">
        <f>_xll.DBRA(Server&amp;$B$32,$B92,$N$19)</f>
        <v>Reinvoicing - Bio fuel</v>
      </c>
      <c r="M92" s="552"/>
      <c r="N92" s="552"/>
      <c r="O92" s="552"/>
      <c r="P92" s="112"/>
      <c r="Q92" s="229">
        <f>_xll.DBRW(Server&amp;Cube1,$N$15,$N$16,$N$17,$N$18,$N$14,$N$13,$N$11,$Q$1,$B92)</f>
        <v>1801.6799999999998</v>
      </c>
      <c r="R92" s="229">
        <f>_xll.DBRW(Server&amp;Cube1,$N$15,$N$16,$N$17,$N$18,$N$14,$N$13,$R$2,$R$1,$B92)</f>
        <v>0</v>
      </c>
      <c r="S92" s="230">
        <f t="shared" si="32"/>
        <v>1801.6799999999998</v>
      </c>
      <c r="T92" s="232">
        <f t="shared" si="33"/>
        <v>0</v>
      </c>
      <c r="U92" s="218"/>
      <c r="V92" s="229">
        <f>_xll.DBRW(Server&amp;Cube1,$N$15,$N$16,$N$17,$N$18,$N$14,$N$13,$V$2,$V$1,$B92)</f>
        <v>64345.359999999993</v>
      </c>
      <c r="W92" s="230">
        <f t="shared" si="34"/>
        <v>-62543.679999999993</v>
      </c>
      <c r="X92" s="232">
        <f t="shared" si="35"/>
        <v>-0.97199984583192944</v>
      </c>
      <c r="Y92" s="54"/>
      <c r="Z92" s="54"/>
      <c r="AA92" s="54"/>
      <c r="AB92" s="229">
        <f>_xll.DBRW(Server&amp;Cube1,$N$15,$N$16,$N$17,$N$18,$N$14,$N$13,AB$2,AB$1,$B92)</f>
        <v>0</v>
      </c>
      <c r="AC92" s="229">
        <f>_xll.DBRW(Server&amp;Cube1,$N$15,$N$16,$N$17,$N$18,$N$14,$N$13,AC$2,AC$1,$B92)</f>
        <v>0</v>
      </c>
      <c r="AD92" s="229">
        <f>_xll.DBRW(Server&amp;Cube1,$N$15,$N$16,$N$17,$N$18,$N$14,$N$13,AD$2,AD$1,$B92)</f>
        <v>3139.45</v>
      </c>
      <c r="AE92" s="32"/>
      <c r="AF92" s="229">
        <f>_xll.DBRW(Server&amp;Cube1,$N$15,$N$16,$N$17,$N$18,$N$14,$N$13,AF$2,AF$1,$B92)</f>
        <v>0</v>
      </c>
      <c r="AG92" s="229">
        <f>_xll.DBRW(Server&amp;Cube1,$N$15,$N$16,$N$17,$N$18,$N$14,$N$13,AG$2,AG$1,$B92)</f>
        <v>0</v>
      </c>
      <c r="AH92" s="229">
        <f>_xll.DBRW(Server&amp;Cube1,$N$15,$N$16,$N$17,$N$18,$N$14,$N$13,AH$2,AH$1,$B92)</f>
        <v>1272.0199999999998</v>
      </c>
      <c r="AI92" s="32"/>
      <c r="AJ92" s="229">
        <f>_xll.DBRW(Server&amp;Cube1,$N$15,$N$16,$N$17,$N$18,$N$14,$N$13,AJ$2,AJ$1,$B92)</f>
        <v>0</v>
      </c>
      <c r="AK92" s="229">
        <f>_xll.DBRW(Server&amp;Cube1,$N$15,$N$16,$N$17,$N$18,$N$14,$N$13,AK$2,AK$1,$B92)</f>
        <v>0</v>
      </c>
      <c r="AL92" s="229">
        <f>_xll.DBRW(Server&amp;Cube1,$N$15,$N$16,$N$17,$N$18,$N$14,$N$13,AL$2,AL$1,$B92)</f>
        <v>3236.98</v>
      </c>
      <c r="AM92" s="32"/>
      <c r="AN92" s="229">
        <f>_xll.DBRW(Server&amp;Cube1,$N$15,$N$16,$N$17,$N$18,$N$14,$N$13,AN$2,AN$1,$B92)</f>
        <v>0</v>
      </c>
      <c r="AO92" s="229">
        <f>_xll.DBRW(Server&amp;Cube1,$N$15,$N$16,$N$17,$N$18,$N$14,$N$13,AO$2,AO$1,$B92)</f>
        <v>0</v>
      </c>
      <c r="AP92" s="229">
        <f>_xll.DBRW(Server&amp;Cube1,$N$15,$N$16,$N$17,$N$18,$N$14,$N$13,AP$2,AP$1,$B92)</f>
        <v>1912.9699999999998</v>
      </c>
      <c r="AQ92" s="32"/>
      <c r="AR92" s="229">
        <f>_xll.DBRW(Server&amp;Cube1,$N$15,$N$16,$N$17,$N$18,$N$14,$N$13,AR$2,AR$1,$B92)</f>
        <v>0</v>
      </c>
      <c r="AS92" s="229">
        <f>_xll.DBRW(Server&amp;Cube1,$N$15,$N$16,$N$17,$N$18,$N$14,$N$13,AS$2,AS$1,$B92)</f>
        <v>0</v>
      </c>
      <c r="AT92" s="229">
        <f>_xll.DBRW(Server&amp;Cube1,$N$15,$N$16,$N$17,$N$18,$N$14,$N$13,AT$2,AT$1,$B92)</f>
        <v>3612.1299999999992</v>
      </c>
      <c r="AU92" s="32"/>
      <c r="AV92" s="229">
        <f>_xll.DBRW(Server&amp;Cube1,$N$15,$N$16,$N$17,$N$18,$N$14,$N$13,AV$2,AV$1,$B92)</f>
        <v>0</v>
      </c>
      <c r="AW92" s="229">
        <f>_xll.DBRW(Server&amp;Cube1,$N$15,$N$16,$N$17,$N$18,$N$14,$N$13,AW$2,AW$1,$B92)</f>
        <v>0</v>
      </c>
      <c r="AX92" s="229">
        <f>_xll.DBRW(Server&amp;Cube1,$N$15,$N$16,$N$17,$N$18,$N$14,$N$13,AX$2,AX$1,$B92)</f>
        <v>3063.1300000000006</v>
      </c>
      <c r="AY92" s="32"/>
      <c r="AZ92" s="229">
        <f>_xll.DBRW(Server&amp;Cube1,$N$15,$N$16,$N$17,$N$18,$N$14,$N$13,AZ$2,AZ$1,$B92)</f>
        <v>0</v>
      </c>
      <c r="BA92" s="229">
        <f>_xll.DBRW(Server&amp;Cube1,$N$15,$N$16,$N$17,$N$18,$N$14,$N$13,BA$2,BA$1,$B92)</f>
        <v>0</v>
      </c>
      <c r="BB92" s="229">
        <f>_xll.DBRW(Server&amp;Cube1,$N$15,$N$16,$N$17,$N$18,$N$14,$N$13,BB$2,BB$1,$B92)</f>
        <v>1756.2700000000004</v>
      </c>
      <c r="BC92" s="32"/>
      <c r="BD92" s="229">
        <f>_xll.DBRW(Server&amp;Cube1,$N$15,$N$16,$N$17,$N$18,$N$14,$N$13,BD$2,BD$1,$B92)</f>
        <v>1801.6799999999998</v>
      </c>
      <c r="BE92" s="229">
        <f>_xll.DBRW(Server&amp;Cube1,$N$15,$N$16,$N$17,$N$18,$N$14,$N$13,BE$2,BE$1,$B92)</f>
        <v>0</v>
      </c>
      <c r="BF92" s="229">
        <f>_xll.DBRW(Server&amp;Cube1,$N$15,$N$16,$N$17,$N$18,$N$14,$N$13,BF$2,BF$1,$B92)</f>
        <v>46352.409999999996</v>
      </c>
      <c r="BG92" s="32"/>
      <c r="BH92" s="229">
        <f>_xll.DBRW(Server&amp;Cube1,$N$15,$N$16,$N$17,$N$18,$N$14,$N$13,BH$2,BH$1,$B92)</f>
        <v>0</v>
      </c>
      <c r="BI92" s="229">
        <f>_xll.DBRW(Server&amp;Cube1,$N$15,$N$16,$N$17,$N$18,$N$14,$N$13,BI$2,BI$1,$B92)</f>
        <v>0</v>
      </c>
      <c r="BJ92" s="229">
        <f>_xll.DBRW(Server&amp;Cube1,$N$15,$N$16,$N$17,$N$18,$N$14,$N$13,BJ$2,BJ$1,$B92)</f>
        <v>8120.3600000000006</v>
      </c>
      <c r="BK92" s="32"/>
      <c r="BL92" s="229">
        <f>_xll.DBRW(Server&amp;Cube1,$N$15,$N$16,$N$17,$N$18,$N$14,$N$13,BL$2,BL$1,$B92)</f>
        <v>0</v>
      </c>
      <c r="BM92" s="229">
        <f>_xll.DBRW(Server&amp;Cube1,$N$15,$N$16,$N$17,$N$18,$N$14,$N$13,BM$2,BM$1,$B92)</f>
        <v>0</v>
      </c>
      <c r="BN92" s="229">
        <f>_xll.DBRW(Server&amp;Cube1,$N$15,$N$16,$N$17,$N$18,$N$14,$N$13,BN$2,BN$1,$B92)</f>
        <v>-24453.11</v>
      </c>
      <c r="BO92" s="32"/>
      <c r="BP92" s="229">
        <f>_xll.DBRW(Server&amp;Cube1,$N$15,$N$16,$N$17,$N$18,$N$14,$N$13,BP$2,BP$1,$B92)</f>
        <v>0</v>
      </c>
      <c r="BQ92" s="229">
        <f>_xll.DBRW(Server&amp;Cube1,$N$15,$N$16,$N$17,$N$18,$N$14,$N$13,BQ$2,BQ$1,$B92)</f>
        <v>0</v>
      </c>
      <c r="BR92" s="229">
        <f>_xll.DBRW(Server&amp;Cube1,$N$15,$N$16,$N$17,$N$18,$N$14,$N$13,BR$2,BR$1,$B92)</f>
        <v>38206.549999999996</v>
      </c>
      <c r="BS92" s="32"/>
      <c r="BT92" s="229">
        <f>_xll.DBRW(Server&amp;Cube1,$N$15,$N$16,$N$17,$N$18,$N$14,$N$13,BT$2,BT$1,$B92)</f>
        <v>0</v>
      </c>
      <c r="BU92" s="229">
        <f>_xll.DBRW(Server&amp;Cube1,$N$15,$N$16,$N$17,$N$18,$N$14,$N$13,BU$2,BU$1,$B92)</f>
        <v>0</v>
      </c>
      <c r="BV92" s="229">
        <f>_xll.DBRW(Server&amp;Cube1,$N$15,$N$16,$N$17,$N$18,$N$14,$N$13,BV$2,BV$1,$B92)</f>
        <v>-34857.53</v>
      </c>
      <c r="BW92" s="54"/>
      <c r="BX92" s="28"/>
    </row>
    <row r="93" spans="1:76" ht="19.5" hidden="1" customHeight="1" outlineLevel="1" x14ac:dyDescent="0.6">
      <c r="A93" s="56"/>
      <c r="B93" s="54" t="s">
        <v>69</v>
      </c>
      <c r="H93" s="54"/>
      <c r="I93" s="54"/>
      <c r="J93" s="53"/>
      <c r="K93" s="9"/>
      <c r="L93" s="552" t="str">
        <f>_xll.DBRA(Server&amp;$B$32,$B93,$N$19)</f>
        <v>Reinvoicing - Gas</v>
      </c>
      <c r="M93" s="552"/>
      <c r="N93" s="552"/>
      <c r="O93" s="552"/>
      <c r="P93" s="112"/>
      <c r="Q93" s="229">
        <f>_xll.DBRW(Server&amp;Cube1,$N$15,$N$16,$N$17,$N$18,$N$14,$N$13,$N$11,$Q$1,$B93)</f>
        <v>118602.68000000002</v>
      </c>
      <c r="R93" s="229">
        <f>_xll.DBRW(Server&amp;Cube1,$N$15,$N$16,$N$17,$N$18,$N$14,$N$13,$R$2,$R$1,$B93)</f>
        <v>0</v>
      </c>
      <c r="S93" s="230">
        <f t="shared" si="32"/>
        <v>118602.68000000002</v>
      </c>
      <c r="T93" s="232">
        <f t="shared" si="33"/>
        <v>0</v>
      </c>
      <c r="U93" s="218"/>
      <c r="V93" s="229">
        <f>_xll.DBRW(Server&amp;Cube1,$N$15,$N$16,$N$17,$N$18,$N$14,$N$13,$V$2,$V$1,$B93)</f>
        <v>532689.87000000011</v>
      </c>
      <c r="W93" s="230">
        <f t="shared" si="34"/>
        <v>-414087.19000000006</v>
      </c>
      <c r="X93" s="232">
        <f t="shared" si="35"/>
        <v>-0.7773513507962897</v>
      </c>
      <c r="Y93" s="54"/>
      <c r="Z93" s="54"/>
      <c r="AA93" s="54"/>
      <c r="AB93" s="229">
        <f>_xll.DBRW(Server&amp;Cube1,$N$15,$N$16,$N$17,$N$18,$N$14,$N$13,AB$2,AB$1,$B93)</f>
        <v>0</v>
      </c>
      <c r="AC93" s="229">
        <f>_xll.DBRW(Server&amp;Cube1,$N$15,$N$16,$N$17,$N$18,$N$14,$N$13,AC$2,AC$1,$B93)</f>
        <v>0</v>
      </c>
      <c r="AD93" s="229">
        <f>_xll.DBRW(Server&amp;Cube1,$N$15,$N$16,$N$17,$N$18,$N$14,$N$13,AD$2,AD$1,$B93)</f>
        <v>0</v>
      </c>
      <c r="AE93" s="32"/>
      <c r="AF93" s="229">
        <f>_xll.DBRW(Server&amp;Cube1,$N$15,$N$16,$N$17,$N$18,$N$14,$N$13,AF$2,AF$1,$B93)</f>
        <v>0</v>
      </c>
      <c r="AG93" s="229">
        <f>_xll.DBRW(Server&amp;Cube1,$N$15,$N$16,$N$17,$N$18,$N$14,$N$13,AG$2,AG$1,$B93)</f>
        <v>0</v>
      </c>
      <c r="AH93" s="229">
        <f>_xll.DBRW(Server&amp;Cube1,$N$15,$N$16,$N$17,$N$18,$N$14,$N$13,AH$2,AH$1,$B93)</f>
        <v>146724.76999999999</v>
      </c>
      <c r="AI93" s="32"/>
      <c r="AJ93" s="229">
        <f>_xll.DBRW(Server&amp;Cube1,$N$15,$N$16,$N$17,$N$18,$N$14,$N$13,AJ$2,AJ$1,$B93)</f>
        <v>0</v>
      </c>
      <c r="AK93" s="229">
        <f>_xll.DBRW(Server&amp;Cube1,$N$15,$N$16,$N$17,$N$18,$N$14,$N$13,AK$2,AK$1,$B93)</f>
        <v>0</v>
      </c>
      <c r="AL93" s="229">
        <f>_xll.DBRW(Server&amp;Cube1,$N$15,$N$16,$N$17,$N$18,$N$14,$N$13,AL$2,AL$1,$B93)</f>
        <v>0</v>
      </c>
      <c r="AM93" s="32"/>
      <c r="AN93" s="229">
        <f>_xll.DBRW(Server&amp;Cube1,$N$15,$N$16,$N$17,$N$18,$N$14,$N$13,AN$2,AN$1,$B93)</f>
        <v>0</v>
      </c>
      <c r="AO93" s="229">
        <f>_xll.DBRW(Server&amp;Cube1,$N$15,$N$16,$N$17,$N$18,$N$14,$N$13,AO$2,AO$1,$B93)</f>
        <v>0</v>
      </c>
      <c r="AP93" s="229">
        <f>_xll.DBRW(Server&amp;Cube1,$N$15,$N$16,$N$17,$N$18,$N$14,$N$13,AP$2,AP$1,$B93)</f>
        <v>0</v>
      </c>
      <c r="AQ93" s="32"/>
      <c r="AR93" s="229">
        <f>_xll.DBRW(Server&amp;Cube1,$N$15,$N$16,$N$17,$N$18,$N$14,$N$13,AR$2,AR$1,$B93)</f>
        <v>0</v>
      </c>
      <c r="AS93" s="229">
        <f>_xll.DBRW(Server&amp;Cube1,$N$15,$N$16,$N$17,$N$18,$N$14,$N$13,AS$2,AS$1,$B93)</f>
        <v>0</v>
      </c>
      <c r="AT93" s="229">
        <f>_xll.DBRW(Server&amp;Cube1,$N$15,$N$16,$N$17,$N$18,$N$14,$N$13,AT$2,AT$1,$B93)</f>
        <v>253216.42</v>
      </c>
      <c r="AU93" s="32"/>
      <c r="AV93" s="229">
        <f>_xll.DBRW(Server&amp;Cube1,$N$15,$N$16,$N$17,$N$18,$N$14,$N$13,AV$2,AV$1,$B93)</f>
        <v>0</v>
      </c>
      <c r="AW93" s="229">
        <f>_xll.DBRW(Server&amp;Cube1,$N$15,$N$16,$N$17,$N$18,$N$14,$N$13,AW$2,AW$1,$B93)</f>
        <v>0</v>
      </c>
      <c r="AX93" s="229">
        <f>_xll.DBRW(Server&amp;Cube1,$N$15,$N$16,$N$17,$N$18,$N$14,$N$13,AX$2,AX$1,$B93)</f>
        <v>31528.209999999988</v>
      </c>
      <c r="AY93" s="32"/>
      <c r="AZ93" s="229">
        <f>_xll.DBRW(Server&amp;Cube1,$N$15,$N$16,$N$17,$N$18,$N$14,$N$13,AZ$2,AZ$1,$B93)</f>
        <v>0</v>
      </c>
      <c r="BA93" s="229">
        <f>_xll.DBRW(Server&amp;Cube1,$N$15,$N$16,$N$17,$N$18,$N$14,$N$13,BA$2,BA$1,$B93)</f>
        <v>0</v>
      </c>
      <c r="BB93" s="229">
        <f>_xll.DBRW(Server&amp;Cube1,$N$15,$N$16,$N$17,$N$18,$N$14,$N$13,BB$2,BB$1,$B93)</f>
        <v>255447.46000000002</v>
      </c>
      <c r="BC93" s="32"/>
      <c r="BD93" s="229">
        <f>_xll.DBRW(Server&amp;Cube1,$N$15,$N$16,$N$17,$N$18,$N$14,$N$13,BD$2,BD$1,$B93)</f>
        <v>118602.68000000002</v>
      </c>
      <c r="BE93" s="229">
        <f>_xll.DBRW(Server&amp;Cube1,$N$15,$N$16,$N$17,$N$18,$N$14,$N$13,BE$2,BE$1,$B93)</f>
        <v>0</v>
      </c>
      <c r="BF93" s="229">
        <f>_xll.DBRW(Server&amp;Cube1,$N$15,$N$16,$N$17,$N$18,$N$14,$N$13,BF$2,BF$1,$B93)</f>
        <v>-154226.98999999987</v>
      </c>
      <c r="BG93" s="32"/>
      <c r="BH93" s="229">
        <f>_xll.DBRW(Server&amp;Cube1,$N$15,$N$16,$N$17,$N$18,$N$14,$N$13,BH$2,BH$1,$B93)</f>
        <v>0</v>
      </c>
      <c r="BI93" s="229">
        <f>_xll.DBRW(Server&amp;Cube1,$N$15,$N$16,$N$17,$N$18,$N$14,$N$13,BI$2,BI$1,$B93)</f>
        <v>0</v>
      </c>
      <c r="BJ93" s="229">
        <f>_xll.DBRW(Server&amp;Cube1,$N$15,$N$16,$N$17,$N$18,$N$14,$N$13,BJ$2,BJ$1,$B93)</f>
        <v>83142.419999999969</v>
      </c>
      <c r="BK93" s="32"/>
      <c r="BL93" s="229">
        <f>_xll.DBRW(Server&amp;Cube1,$N$15,$N$16,$N$17,$N$18,$N$14,$N$13,BL$2,BL$1,$B93)</f>
        <v>0</v>
      </c>
      <c r="BM93" s="229">
        <f>_xll.DBRW(Server&amp;Cube1,$N$15,$N$16,$N$17,$N$18,$N$14,$N$13,BM$2,BM$1,$B93)</f>
        <v>0</v>
      </c>
      <c r="BN93" s="229">
        <f>_xll.DBRW(Server&amp;Cube1,$N$15,$N$16,$N$17,$N$18,$N$14,$N$13,BN$2,BN$1,$B93)</f>
        <v>-16064</v>
      </c>
      <c r="BO93" s="32"/>
      <c r="BP93" s="229">
        <f>_xll.DBRW(Server&amp;Cube1,$N$15,$N$16,$N$17,$N$18,$N$14,$N$13,BP$2,BP$1,$B93)</f>
        <v>0</v>
      </c>
      <c r="BQ93" s="229">
        <f>_xll.DBRW(Server&amp;Cube1,$N$15,$N$16,$N$17,$N$18,$N$14,$N$13,BQ$2,BQ$1,$B93)</f>
        <v>0</v>
      </c>
      <c r="BR93" s="229">
        <f>_xll.DBRW(Server&amp;Cube1,$N$15,$N$16,$N$17,$N$18,$N$14,$N$13,BR$2,BR$1,$B93)</f>
        <v>167255.82999999999</v>
      </c>
      <c r="BS93" s="32"/>
      <c r="BT93" s="229">
        <f>_xll.DBRW(Server&amp;Cube1,$N$15,$N$16,$N$17,$N$18,$N$14,$N$13,BT$2,BT$1,$B93)</f>
        <v>0</v>
      </c>
      <c r="BU93" s="229">
        <f>_xll.DBRW(Server&amp;Cube1,$N$15,$N$16,$N$17,$N$18,$N$14,$N$13,BU$2,BU$1,$B93)</f>
        <v>0</v>
      </c>
      <c r="BV93" s="229">
        <f>_xll.DBRW(Server&amp;Cube1,$N$15,$N$16,$N$17,$N$18,$N$14,$N$13,BV$2,BV$1,$B93)</f>
        <v>119726.34</v>
      </c>
      <c r="BW93" s="54"/>
      <c r="BX93" s="28"/>
    </row>
    <row r="94" spans="1:76" ht="19.5" hidden="1" customHeight="1" outlineLevel="1" x14ac:dyDescent="0.6">
      <c r="A94" s="56"/>
      <c r="B94" s="54" t="s">
        <v>70</v>
      </c>
      <c r="H94" s="54"/>
      <c r="I94" s="54"/>
      <c r="J94" s="53"/>
      <c r="K94" s="9"/>
      <c r="L94" s="552" t="str">
        <f>_xll.DBRA(Server&amp;$B$32,$B94,$N$19)</f>
        <v>Reinvoicing - Electricity</v>
      </c>
      <c r="M94" s="552"/>
      <c r="N94" s="552"/>
      <c r="O94" s="552"/>
      <c r="P94" s="112"/>
      <c r="Q94" s="229">
        <f>_xll.DBRW(Server&amp;Cube1,$N$15,$N$16,$N$17,$N$18,$N$14,$N$13,$N$11,$Q$1,$B94)</f>
        <v>15848.01</v>
      </c>
      <c r="R94" s="229">
        <f>_xll.DBRW(Server&amp;Cube1,$N$15,$N$16,$N$17,$N$18,$N$14,$N$13,$R$2,$R$1,$B94)</f>
        <v>0</v>
      </c>
      <c r="S94" s="230">
        <f t="shared" si="32"/>
        <v>15848.01</v>
      </c>
      <c r="T94" s="232">
        <f t="shared" si="33"/>
        <v>0</v>
      </c>
      <c r="U94" s="218"/>
      <c r="V94" s="229">
        <f>_xll.DBRW(Server&amp;Cube1,$N$15,$N$16,$N$17,$N$18,$N$14,$N$13,$V$2,$V$1,$B94)</f>
        <v>0</v>
      </c>
      <c r="W94" s="230">
        <f t="shared" si="34"/>
        <v>15848.01</v>
      </c>
      <c r="X94" s="232">
        <f t="shared" si="35"/>
        <v>0</v>
      </c>
      <c r="Y94" s="54"/>
      <c r="Z94" s="54"/>
      <c r="AA94" s="54"/>
      <c r="AB94" s="229">
        <f>_xll.DBRW(Server&amp;Cube1,$N$15,$N$16,$N$17,$N$18,$N$14,$N$13,AB$2,AB$1,$B94)</f>
        <v>0</v>
      </c>
      <c r="AC94" s="229">
        <f>_xll.DBRW(Server&amp;Cube1,$N$15,$N$16,$N$17,$N$18,$N$14,$N$13,AC$2,AC$1,$B94)</f>
        <v>0</v>
      </c>
      <c r="AD94" s="229">
        <f>_xll.DBRW(Server&amp;Cube1,$N$15,$N$16,$N$17,$N$18,$N$14,$N$13,AD$2,AD$1,$B94)</f>
        <v>0</v>
      </c>
      <c r="AE94" s="32"/>
      <c r="AF94" s="229">
        <f>_xll.DBRW(Server&amp;Cube1,$N$15,$N$16,$N$17,$N$18,$N$14,$N$13,AF$2,AF$1,$B94)</f>
        <v>0</v>
      </c>
      <c r="AG94" s="229">
        <f>_xll.DBRW(Server&amp;Cube1,$N$15,$N$16,$N$17,$N$18,$N$14,$N$13,AG$2,AG$1,$B94)</f>
        <v>0</v>
      </c>
      <c r="AH94" s="229">
        <f>_xll.DBRW(Server&amp;Cube1,$N$15,$N$16,$N$17,$N$18,$N$14,$N$13,AH$2,AH$1,$B94)</f>
        <v>0</v>
      </c>
      <c r="AI94" s="32"/>
      <c r="AJ94" s="229">
        <f>_xll.DBRW(Server&amp;Cube1,$N$15,$N$16,$N$17,$N$18,$N$14,$N$13,AJ$2,AJ$1,$B94)</f>
        <v>0</v>
      </c>
      <c r="AK94" s="229">
        <f>_xll.DBRW(Server&amp;Cube1,$N$15,$N$16,$N$17,$N$18,$N$14,$N$13,AK$2,AK$1,$B94)</f>
        <v>0</v>
      </c>
      <c r="AL94" s="229">
        <f>_xll.DBRW(Server&amp;Cube1,$N$15,$N$16,$N$17,$N$18,$N$14,$N$13,AL$2,AL$1,$B94)</f>
        <v>0</v>
      </c>
      <c r="AM94" s="32"/>
      <c r="AN94" s="229">
        <f>_xll.DBRW(Server&amp;Cube1,$N$15,$N$16,$N$17,$N$18,$N$14,$N$13,AN$2,AN$1,$B94)</f>
        <v>0</v>
      </c>
      <c r="AO94" s="229">
        <f>_xll.DBRW(Server&amp;Cube1,$N$15,$N$16,$N$17,$N$18,$N$14,$N$13,AO$2,AO$1,$B94)</f>
        <v>0</v>
      </c>
      <c r="AP94" s="229">
        <f>_xll.DBRW(Server&amp;Cube1,$N$15,$N$16,$N$17,$N$18,$N$14,$N$13,AP$2,AP$1,$B94)</f>
        <v>0</v>
      </c>
      <c r="AQ94" s="32"/>
      <c r="AR94" s="229">
        <f>_xll.DBRW(Server&amp;Cube1,$N$15,$N$16,$N$17,$N$18,$N$14,$N$13,AR$2,AR$1,$B94)</f>
        <v>0</v>
      </c>
      <c r="AS94" s="229">
        <f>_xll.DBRW(Server&amp;Cube1,$N$15,$N$16,$N$17,$N$18,$N$14,$N$13,AS$2,AS$1,$B94)</f>
        <v>0</v>
      </c>
      <c r="AT94" s="229">
        <f>_xll.DBRW(Server&amp;Cube1,$N$15,$N$16,$N$17,$N$18,$N$14,$N$13,AT$2,AT$1,$B94)</f>
        <v>0</v>
      </c>
      <c r="AU94" s="32"/>
      <c r="AV94" s="229">
        <f>_xll.DBRW(Server&amp;Cube1,$N$15,$N$16,$N$17,$N$18,$N$14,$N$13,AV$2,AV$1,$B94)</f>
        <v>0</v>
      </c>
      <c r="AW94" s="229">
        <f>_xll.DBRW(Server&amp;Cube1,$N$15,$N$16,$N$17,$N$18,$N$14,$N$13,AW$2,AW$1,$B94)</f>
        <v>0</v>
      </c>
      <c r="AX94" s="229">
        <f>_xll.DBRW(Server&amp;Cube1,$N$15,$N$16,$N$17,$N$18,$N$14,$N$13,AX$2,AX$1,$B94)</f>
        <v>0</v>
      </c>
      <c r="AY94" s="32"/>
      <c r="AZ94" s="229">
        <f>_xll.DBRW(Server&amp;Cube1,$N$15,$N$16,$N$17,$N$18,$N$14,$N$13,AZ$2,AZ$1,$B94)</f>
        <v>0</v>
      </c>
      <c r="BA94" s="229">
        <f>_xll.DBRW(Server&amp;Cube1,$N$15,$N$16,$N$17,$N$18,$N$14,$N$13,BA$2,BA$1,$B94)</f>
        <v>0</v>
      </c>
      <c r="BB94" s="229">
        <f>_xll.DBRW(Server&amp;Cube1,$N$15,$N$16,$N$17,$N$18,$N$14,$N$13,BB$2,BB$1,$B94)</f>
        <v>0</v>
      </c>
      <c r="BC94" s="32"/>
      <c r="BD94" s="229">
        <f>_xll.DBRW(Server&amp;Cube1,$N$15,$N$16,$N$17,$N$18,$N$14,$N$13,BD$2,BD$1,$B94)</f>
        <v>15848.01</v>
      </c>
      <c r="BE94" s="229">
        <f>_xll.DBRW(Server&amp;Cube1,$N$15,$N$16,$N$17,$N$18,$N$14,$N$13,BE$2,BE$1,$B94)</f>
        <v>0</v>
      </c>
      <c r="BF94" s="229">
        <f>_xll.DBRW(Server&amp;Cube1,$N$15,$N$16,$N$17,$N$18,$N$14,$N$13,BF$2,BF$1,$B94)</f>
        <v>0</v>
      </c>
      <c r="BG94" s="32"/>
      <c r="BH94" s="229">
        <f>_xll.DBRW(Server&amp;Cube1,$N$15,$N$16,$N$17,$N$18,$N$14,$N$13,BH$2,BH$1,$B94)</f>
        <v>0</v>
      </c>
      <c r="BI94" s="229">
        <f>_xll.DBRW(Server&amp;Cube1,$N$15,$N$16,$N$17,$N$18,$N$14,$N$13,BI$2,BI$1,$B94)</f>
        <v>0</v>
      </c>
      <c r="BJ94" s="229">
        <f>_xll.DBRW(Server&amp;Cube1,$N$15,$N$16,$N$17,$N$18,$N$14,$N$13,BJ$2,BJ$1,$B94)</f>
        <v>0</v>
      </c>
      <c r="BK94" s="32"/>
      <c r="BL94" s="229">
        <f>_xll.DBRW(Server&amp;Cube1,$N$15,$N$16,$N$17,$N$18,$N$14,$N$13,BL$2,BL$1,$B94)</f>
        <v>0</v>
      </c>
      <c r="BM94" s="229">
        <f>_xll.DBRW(Server&amp;Cube1,$N$15,$N$16,$N$17,$N$18,$N$14,$N$13,BM$2,BM$1,$B94)</f>
        <v>0</v>
      </c>
      <c r="BN94" s="229">
        <f>_xll.DBRW(Server&amp;Cube1,$N$15,$N$16,$N$17,$N$18,$N$14,$N$13,BN$2,BN$1,$B94)</f>
        <v>0</v>
      </c>
      <c r="BO94" s="32"/>
      <c r="BP94" s="229">
        <f>_xll.DBRW(Server&amp;Cube1,$N$15,$N$16,$N$17,$N$18,$N$14,$N$13,BP$2,BP$1,$B94)</f>
        <v>0</v>
      </c>
      <c r="BQ94" s="229">
        <f>_xll.DBRW(Server&amp;Cube1,$N$15,$N$16,$N$17,$N$18,$N$14,$N$13,BQ$2,BQ$1,$B94)</f>
        <v>0</v>
      </c>
      <c r="BR94" s="229">
        <f>_xll.DBRW(Server&amp;Cube1,$N$15,$N$16,$N$17,$N$18,$N$14,$N$13,BR$2,BR$1,$B94)</f>
        <v>3426.39</v>
      </c>
      <c r="BS94" s="32"/>
      <c r="BT94" s="229">
        <f>_xll.DBRW(Server&amp;Cube1,$N$15,$N$16,$N$17,$N$18,$N$14,$N$13,BT$2,BT$1,$B94)</f>
        <v>0</v>
      </c>
      <c r="BU94" s="229">
        <f>_xll.DBRW(Server&amp;Cube1,$N$15,$N$16,$N$17,$N$18,$N$14,$N$13,BU$2,BU$1,$B94)</f>
        <v>0</v>
      </c>
      <c r="BV94" s="229">
        <f>_xll.DBRW(Server&amp;Cube1,$N$15,$N$16,$N$17,$N$18,$N$14,$N$13,BV$2,BV$1,$B94)</f>
        <v>0</v>
      </c>
      <c r="BW94" s="54"/>
      <c r="BX94" s="28"/>
    </row>
    <row r="95" spans="1:76" ht="19.5" hidden="1" customHeight="1" outlineLevel="1" x14ac:dyDescent="0.6">
      <c r="A95" s="56"/>
      <c r="B95" s="54" t="s">
        <v>71</v>
      </c>
      <c r="H95" s="54"/>
      <c r="I95" s="54"/>
      <c r="J95" s="53"/>
      <c r="K95" s="9"/>
      <c r="L95" s="552" t="str">
        <f>LEFT(_xll.DBRA(Server&amp;$B$32,$B95,$N$19),FIND("(",_xll.DBRA(Server&amp;$B$32,$B95,$N$19),1)-1)</f>
        <v xml:space="preserve">Reinvoicing - Others </v>
      </c>
      <c r="M95" s="552"/>
      <c r="N95" s="552"/>
      <c r="O95" s="552"/>
      <c r="P95" s="112"/>
      <c r="Q95" s="229">
        <f>_xll.DBRW(Server&amp;Cube1,$N$15,$N$16,$N$17,$N$18,$N$14,$N$13,$N$11,$Q$1,$B95)</f>
        <v>5249</v>
      </c>
      <c r="R95" s="229">
        <f>_xll.DBRW(Server&amp;Cube1,$N$15,$N$16,$N$17,$N$18,$N$14,$N$13,$R$2,$R$1,$B95)</f>
        <v>0</v>
      </c>
      <c r="S95" s="230">
        <f t="shared" si="32"/>
        <v>5249</v>
      </c>
      <c r="T95" s="232">
        <f t="shared" si="33"/>
        <v>0</v>
      </c>
      <c r="U95" s="218"/>
      <c r="V95" s="229">
        <f>_xll.DBRW(Server&amp;Cube1,$N$15,$N$16,$N$17,$N$18,$N$14,$N$13,$V$2,$V$1,$B95)</f>
        <v>5231.0600000000013</v>
      </c>
      <c r="W95" s="230">
        <f t="shared" si="34"/>
        <v>17.93999999999869</v>
      </c>
      <c r="X95" s="232">
        <f t="shared" si="35"/>
        <v>3.429515241652492E-3</v>
      </c>
      <c r="Y95" s="54"/>
      <c r="Z95" s="54"/>
      <c r="AA95" s="54"/>
      <c r="AB95" s="233">
        <f>_xll.DBRW(Server&amp;Cube1,$N$15,$N$16,$N$17,$N$18,$N$14,$N$13,AB$2,AB$1,$B95)</f>
        <v>0</v>
      </c>
      <c r="AC95" s="233">
        <f>_xll.DBRW(Server&amp;Cube1,$N$15,$N$16,$N$17,$N$18,$N$14,$N$13,AC$2,AC$1,$B95)</f>
        <v>0</v>
      </c>
      <c r="AD95" s="233">
        <f>_xll.DBRW(Server&amp;Cube1,$N$15,$N$16,$N$17,$N$18,$N$14,$N$13,AD$2,AD$1,$B95)</f>
        <v>-2051.7700000000004</v>
      </c>
      <c r="AE95" s="32"/>
      <c r="AF95" s="233">
        <f>_xll.DBRW(Server&amp;Cube1,$N$15,$N$16,$N$17,$N$18,$N$14,$N$13,AF$2,AF$1,$B95)</f>
        <v>0</v>
      </c>
      <c r="AG95" s="233">
        <f>_xll.DBRW(Server&amp;Cube1,$N$15,$N$16,$N$17,$N$18,$N$14,$N$13,AG$2,AG$1,$B95)</f>
        <v>0</v>
      </c>
      <c r="AH95" s="233">
        <f>_xll.DBRW(Server&amp;Cube1,$N$15,$N$16,$N$17,$N$18,$N$14,$N$13,AH$2,AH$1,$B95)</f>
        <v>9684.41</v>
      </c>
      <c r="AI95" s="32"/>
      <c r="AJ95" s="233">
        <f>_xll.DBRW(Server&amp;Cube1,$N$15,$N$16,$N$17,$N$18,$N$14,$N$13,AJ$2,AJ$1,$B95)</f>
        <v>0</v>
      </c>
      <c r="AK95" s="233">
        <f>_xll.DBRW(Server&amp;Cube1,$N$15,$N$16,$N$17,$N$18,$N$14,$N$13,AK$2,AK$1,$B95)</f>
        <v>0</v>
      </c>
      <c r="AL95" s="233">
        <f>_xll.DBRW(Server&amp;Cube1,$N$15,$N$16,$N$17,$N$18,$N$14,$N$13,AL$2,AL$1,$B95)</f>
        <v>-8723.1699999999983</v>
      </c>
      <c r="AM95" s="32"/>
      <c r="AN95" s="233">
        <f>_xll.DBRW(Server&amp;Cube1,$N$15,$N$16,$N$17,$N$18,$N$14,$N$13,AN$2,AN$1,$B95)</f>
        <v>0</v>
      </c>
      <c r="AO95" s="233">
        <f>_xll.DBRW(Server&amp;Cube1,$N$15,$N$16,$N$17,$N$18,$N$14,$N$13,AO$2,AO$1,$B95)</f>
        <v>0</v>
      </c>
      <c r="AP95" s="233">
        <f>_xll.DBRW(Server&amp;Cube1,$N$15,$N$16,$N$17,$N$18,$N$14,$N$13,AP$2,AP$1,$B95)</f>
        <v>674.61999999999989</v>
      </c>
      <c r="AQ95" s="32"/>
      <c r="AR95" s="233">
        <f>_xll.DBRW(Server&amp;Cube1,$N$15,$N$16,$N$17,$N$18,$N$14,$N$13,AR$2,AR$1,$B95)</f>
        <v>0</v>
      </c>
      <c r="AS95" s="233">
        <f>_xll.DBRW(Server&amp;Cube1,$N$15,$N$16,$N$17,$N$18,$N$14,$N$13,AS$2,AS$1,$B95)</f>
        <v>0</v>
      </c>
      <c r="AT95" s="233">
        <f>_xll.DBRW(Server&amp;Cube1,$N$15,$N$16,$N$17,$N$18,$N$14,$N$13,AT$2,AT$1,$B95)</f>
        <v>1435.5300000000002</v>
      </c>
      <c r="AU95" s="32"/>
      <c r="AV95" s="233">
        <f>_xll.DBRW(Server&amp;Cube1,$N$15,$N$16,$N$17,$N$18,$N$14,$N$13,AV$2,AV$1,$B95)</f>
        <v>0</v>
      </c>
      <c r="AW95" s="233">
        <f>_xll.DBRW(Server&amp;Cube1,$N$15,$N$16,$N$17,$N$18,$N$14,$N$13,AW$2,AW$1,$B95)</f>
        <v>0</v>
      </c>
      <c r="AX95" s="233">
        <f>_xll.DBRW(Server&amp;Cube1,$N$15,$N$16,$N$17,$N$18,$N$14,$N$13,AX$2,AX$1,$B95)</f>
        <v>1476.5900000000001</v>
      </c>
      <c r="AY95" s="32"/>
      <c r="AZ95" s="233">
        <f>_xll.DBRW(Server&amp;Cube1,$N$15,$N$16,$N$17,$N$18,$N$14,$N$13,AZ$2,AZ$1,$B95)</f>
        <v>0</v>
      </c>
      <c r="BA95" s="233">
        <f>_xll.DBRW(Server&amp;Cube1,$N$15,$N$16,$N$17,$N$18,$N$14,$N$13,BA$2,BA$1,$B95)</f>
        <v>0</v>
      </c>
      <c r="BB95" s="233">
        <f>_xll.DBRW(Server&amp;Cube1,$N$15,$N$16,$N$17,$N$18,$N$14,$N$13,BB$2,BB$1,$B95)</f>
        <v>1680.0199999999998</v>
      </c>
      <c r="BC95" s="32"/>
      <c r="BD95" s="233">
        <f>_xll.DBRW(Server&amp;Cube1,$N$15,$N$16,$N$17,$N$18,$N$14,$N$13,BD$2,BD$1,$B95)</f>
        <v>5249</v>
      </c>
      <c r="BE95" s="233">
        <f>_xll.DBRW(Server&amp;Cube1,$N$15,$N$16,$N$17,$N$18,$N$14,$N$13,BE$2,BE$1,$B95)</f>
        <v>0</v>
      </c>
      <c r="BF95" s="233">
        <f>_xll.DBRW(Server&amp;Cube1,$N$15,$N$16,$N$17,$N$18,$N$14,$N$13,BF$2,BF$1,$B95)</f>
        <v>1054.8299999999997</v>
      </c>
      <c r="BG95" s="32"/>
      <c r="BH95" s="233">
        <f>_xll.DBRW(Server&amp;Cube1,$N$15,$N$16,$N$17,$N$18,$N$14,$N$13,BH$2,BH$1,$B95)</f>
        <v>0</v>
      </c>
      <c r="BI95" s="233">
        <f>_xll.DBRW(Server&amp;Cube1,$N$15,$N$16,$N$17,$N$18,$N$14,$N$13,BI$2,BI$1,$B95)</f>
        <v>0</v>
      </c>
      <c r="BJ95" s="233">
        <f>_xll.DBRW(Server&amp;Cube1,$N$15,$N$16,$N$17,$N$18,$N$14,$N$13,BJ$2,BJ$1,$B95)</f>
        <v>1482.0500000000004</v>
      </c>
      <c r="BK95" s="32"/>
      <c r="BL95" s="233">
        <f>_xll.DBRW(Server&amp;Cube1,$N$15,$N$16,$N$17,$N$18,$N$14,$N$13,BL$2,BL$1,$B95)</f>
        <v>0</v>
      </c>
      <c r="BM95" s="233">
        <f>_xll.DBRW(Server&amp;Cube1,$N$15,$N$16,$N$17,$N$18,$N$14,$N$13,BM$2,BM$1,$B95)</f>
        <v>0</v>
      </c>
      <c r="BN95" s="233">
        <f>_xll.DBRW(Server&amp;Cube1,$N$15,$N$16,$N$17,$N$18,$N$14,$N$13,BN$2,BN$1,$B95)</f>
        <v>2211.9700000000003</v>
      </c>
      <c r="BO95" s="32"/>
      <c r="BP95" s="233">
        <f>_xll.DBRW(Server&amp;Cube1,$N$15,$N$16,$N$17,$N$18,$N$14,$N$13,BP$2,BP$1,$B95)</f>
        <v>0</v>
      </c>
      <c r="BQ95" s="233">
        <f>_xll.DBRW(Server&amp;Cube1,$N$15,$N$16,$N$17,$N$18,$N$14,$N$13,BQ$2,BQ$1,$B95)</f>
        <v>0</v>
      </c>
      <c r="BR95" s="233">
        <f>_xll.DBRW(Server&amp;Cube1,$N$15,$N$16,$N$17,$N$18,$N$14,$N$13,BR$2,BR$1,$B95)</f>
        <v>1544.3099999999993</v>
      </c>
      <c r="BS95" s="32"/>
      <c r="BT95" s="233">
        <f>_xll.DBRW(Server&amp;Cube1,$N$15,$N$16,$N$17,$N$18,$N$14,$N$13,BT$2,BT$1,$B95)</f>
        <v>0</v>
      </c>
      <c r="BU95" s="233">
        <f>_xll.DBRW(Server&amp;Cube1,$N$15,$N$16,$N$17,$N$18,$N$14,$N$13,BU$2,BU$1,$B95)</f>
        <v>0</v>
      </c>
      <c r="BV95" s="233">
        <f>_xll.DBRW(Server&amp;Cube1,$N$15,$N$16,$N$17,$N$18,$N$14,$N$13,BV$2,BV$1,$B95)</f>
        <v>14572.380000000001</v>
      </c>
      <c r="BW95" s="54"/>
      <c r="BX95" s="28"/>
    </row>
    <row r="96" spans="1:76" s="34" customFormat="1" ht="3" customHeight="1" x14ac:dyDescent="0.6">
      <c r="A96" s="56"/>
      <c r="B96" s="54"/>
      <c r="C96" s="9"/>
      <c r="D96" s="1"/>
      <c r="E96" s="1"/>
      <c r="H96" s="54"/>
      <c r="I96" s="68"/>
      <c r="J96" s="53"/>
      <c r="K96" s="68"/>
      <c r="L96" s="68"/>
      <c r="M96" s="54"/>
      <c r="N96" s="54"/>
      <c r="O96" s="54"/>
      <c r="P96" s="54"/>
      <c r="Q96" s="69"/>
      <c r="R96" s="69"/>
      <c r="S96" s="69"/>
      <c r="T96" s="70"/>
      <c r="U96" s="69"/>
      <c r="V96" s="69"/>
      <c r="W96" s="69"/>
      <c r="X96" s="70"/>
      <c r="Y96" s="54"/>
      <c r="Z96" s="54"/>
      <c r="AA96" s="54"/>
      <c r="AB96" s="69"/>
      <c r="AC96" s="69"/>
      <c r="AD96" s="69"/>
      <c r="AE96" s="32"/>
      <c r="AF96" s="69"/>
      <c r="AG96" s="69"/>
      <c r="AH96" s="69"/>
      <c r="AI96" s="32"/>
      <c r="AJ96" s="69"/>
      <c r="AK96" s="69"/>
      <c r="AL96" s="69"/>
      <c r="AM96" s="32"/>
      <c r="AN96" s="69"/>
      <c r="AO96" s="69"/>
      <c r="AP96" s="69"/>
      <c r="AQ96" s="32"/>
      <c r="AR96" s="69"/>
      <c r="AS96" s="69"/>
      <c r="AT96" s="69"/>
      <c r="AU96" s="32"/>
      <c r="AV96" s="69"/>
      <c r="AW96" s="69"/>
      <c r="AX96" s="69"/>
      <c r="AY96" s="32"/>
      <c r="AZ96" s="69"/>
      <c r="BA96" s="69"/>
      <c r="BB96" s="69"/>
      <c r="BC96" s="32"/>
      <c r="BD96" s="69"/>
      <c r="BE96" s="69"/>
      <c r="BF96" s="69"/>
      <c r="BG96" s="32"/>
      <c r="BH96" s="69"/>
      <c r="BI96" s="69"/>
      <c r="BJ96" s="69"/>
      <c r="BK96" s="32"/>
      <c r="BL96" s="69"/>
      <c r="BM96" s="69"/>
      <c r="BN96" s="69"/>
      <c r="BO96" s="32"/>
      <c r="BP96" s="69"/>
      <c r="BQ96" s="69"/>
      <c r="BR96" s="69"/>
      <c r="BS96" s="32"/>
      <c r="BT96" s="69"/>
      <c r="BU96" s="69"/>
      <c r="BV96" s="69"/>
      <c r="BW96" s="54"/>
      <c r="BX96" s="28"/>
    </row>
    <row r="97" spans="1:78" ht="3.75" hidden="1" customHeight="1" x14ac:dyDescent="0.8">
      <c r="A97" s="56"/>
      <c r="B97" s="368"/>
      <c r="H97" s="368"/>
      <c r="I97" s="94"/>
      <c r="J97" s="57"/>
      <c r="K97" s="58"/>
      <c r="L97" s="59"/>
      <c r="M97" s="60"/>
      <c r="N97" s="60"/>
      <c r="O97" s="60"/>
      <c r="P97" s="61"/>
      <c r="Q97" s="62"/>
      <c r="R97" s="62"/>
      <c r="S97" s="63"/>
      <c r="T97" s="64"/>
      <c r="U97" s="65"/>
      <c r="V97" s="62"/>
      <c r="W97" s="63"/>
      <c r="X97" s="64"/>
      <c r="Y97" s="54"/>
      <c r="Z97" s="54"/>
      <c r="AA97" s="54"/>
      <c r="AB97" s="62"/>
      <c r="AC97" s="62"/>
      <c r="AD97" s="62"/>
      <c r="AE97" s="32"/>
      <c r="AF97" s="62"/>
      <c r="AG97" s="62"/>
      <c r="AH97" s="62"/>
      <c r="AI97" s="32"/>
      <c r="AJ97" s="62"/>
      <c r="AK97" s="62"/>
      <c r="AL97" s="62"/>
      <c r="AM97" s="32"/>
      <c r="AN97" s="62"/>
      <c r="AO97" s="62"/>
      <c r="AP97" s="62"/>
      <c r="AQ97" s="32"/>
      <c r="AR97" s="62"/>
      <c r="AS97" s="62"/>
      <c r="AT97" s="62"/>
      <c r="AU97" s="32"/>
      <c r="AV97" s="62"/>
      <c r="AW97" s="62"/>
      <c r="AX97" s="62"/>
      <c r="AY97" s="32"/>
      <c r="AZ97" s="62"/>
      <c r="BA97" s="62"/>
      <c r="BB97" s="62"/>
      <c r="BC97" s="32"/>
      <c r="BD97" s="62"/>
      <c r="BE97" s="62"/>
      <c r="BF97" s="62"/>
      <c r="BG97" s="32"/>
      <c r="BH97" s="62"/>
      <c r="BI97" s="62"/>
      <c r="BJ97" s="62"/>
      <c r="BK97" s="32"/>
      <c r="BL97" s="62"/>
      <c r="BM97" s="62"/>
      <c r="BN97" s="62"/>
      <c r="BO97" s="32"/>
      <c r="BP97" s="62"/>
      <c r="BQ97" s="62"/>
      <c r="BR97" s="62"/>
      <c r="BS97" s="32"/>
      <c r="BT97" s="62"/>
      <c r="BU97" s="62"/>
      <c r="BV97" s="62"/>
      <c r="BW97" s="54"/>
      <c r="BX97" s="28"/>
      <c r="BZ97" s="358"/>
    </row>
    <row r="98" spans="1:78" s="34" customFormat="1" ht="23.25" customHeight="1" collapsed="1" x14ac:dyDescent="0.8">
      <c r="A98" s="135" t="s">
        <v>346</v>
      </c>
      <c r="B98" s="54" t="str">
        <f>_xll.DBRA(Server&amp;$B$32,$A98,$N$19)</f>
        <v>Fleet (RESOP) PMM</v>
      </c>
      <c r="C98" s="9"/>
      <c r="D98" s="1"/>
      <c r="E98" s="1"/>
      <c r="H98" s="54"/>
      <c r="I98" s="94"/>
      <c r="J98" s="57"/>
      <c r="K98" s="560" t="str">
        <f>"F - "&amp;LEFT(B98,FIND("(",B98,1)-1)</f>
        <v xml:space="preserve">F - Fleet </v>
      </c>
      <c r="L98" s="560"/>
      <c r="M98" s="560"/>
      <c r="N98" s="560"/>
      <c r="O98" s="560"/>
      <c r="P98" s="234"/>
      <c r="Q98" s="235">
        <f>_xll.DBRW(Server&amp;Cube1,$N$15,$N$16,$N$17,$N$18,$N$14,$N$13,$N$11,$Q$1,$A98)</f>
        <v>-12575486.510000098</v>
      </c>
      <c r="R98" s="235">
        <f>_xll.DBRW(Server&amp;Cube1,$N$15,$N$16,$N$17,$N$18,$N$14,$N$13,$R$2,$R$1,$A98)</f>
        <v>0</v>
      </c>
      <c r="S98" s="236">
        <f>Q98-R98</f>
        <v>-12575486.510000098</v>
      </c>
      <c r="T98" s="237">
        <f>IF(R98&lt;&gt;0,IF(R98&gt;0,S98/R98,-S98/R98),0)</f>
        <v>0</v>
      </c>
      <c r="U98" s="211"/>
      <c r="V98" s="235">
        <f>_xll.DBRW(Server&amp;Cube1,$N$15,$N$16,$N$17,$N$18,$N$14,$N$13,$V$2,$V$1,$A98)</f>
        <v>-616851768.01474237</v>
      </c>
      <c r="W98" s="236">
        <f>Q98-V98</f>
        <v>604276281.50474226</v>
      </c>
      <c r="X98" s="237">
        <f>IF(V98&lt;&gt;0,IF(V98&gt;0,W98/V98,-W98/V98),0)</f>
        <v>0.97961343849192051</v>
      </c>
      <c r="Y98" s="54"/>
      <c r="Z98" s="54"/>
      <c r="AA98" s="54"/>
      <c r="AB98" s="235">
        <f>_xll.DBRW(Server&amp;Cube1,$N$15,$N$16,$N$17,$N$18,$N$14,$N$13,AB$2,AB$1,$B98)</f>
        <v>0</v>
      </c>
      <c r="AC98" s="235">
        <f>_xll.DBRW(Server&amp;Cube1,$N$15,$N$16,$N$17,$N$18,$N$14,$N$13,AC$2,AC$1,$B98)</f>
        <v>0</v>
      </c>
      <c r="AD98" s="235">
        <f>_xll.DBRW(Server&amp;Cube1,$N$15,$N$16,$N$17,$N$18,$N$14,$N$13,AD$2,AD$1,$B98)</f>
        <v>-557780596.97786915</v>
      </c>
      <c r="AE98" s="32"/>
      <c r="AF98" s="235">
        <f>_xll.DBRW(Server&amp;Cube1,$N$15,$N$16,$N$17,$N$18,$N$14,$N$13,AF$2,AF$1,$B98)</f>
        <v>0</v>
      </c>
      <c r="AG98" s="235">
        <f>_xll.DBRW(Server&amp;Cube1,$N$15,$N$16,$N$17,$N$18,$N$14,$N$13,AG$2,AG$1,$B98)</f>
        <v>0</v>
      </c>
      <c r="AH98" s="235">
        <f>_xll.DBRW(Server&amp;Cube1,$N$15,$N$16,$N$17,$N$18,$N$14,$N$13,AH$2,AH$1,$B98)</f>
        <v>-73657077.912378654</v>
      </c>
      <c r="AI98" s="32"/>
      <c r="AJ98" s="235">
        <f>_xll.DBRW(Server&amp;Cube1,$N$15,$N$16,$N$17,$N$18,$N$14,$N$13,AJ$2,AJ$1,$B98)</f>
        <v>0</v>
      </c>
      <c r="AK98" s="235">
        <f>_xll.DBRW(Server&amp;Cube1,$N$15,$N$16,$N$17,$N$18,$N$14,$N$13,AK$2,AK$1,$B98)</f>
        <v>0</v>
      </c>
      <c r="AL98" s="235">
        <f>_xll.DBRW(Server&amp;Cube1,$N$15,$N$16,$N$17,$N$18,$N$14,$N$13,AL$2,AL$1,$B98)</f>
        <v>-1114311180.3206828</v>
      </c>
      <c r="AM98" s="32"/>
      <c r="AN98" s="235">
        <f>_xll.DBRW(Server&amp;Cube1,$N$15,$N$16,$N$17,$N$18,$N$14,$N$13,AN$2,AN$1,$B98)</f>
        <v>0</v>
      </c>
      <c r="AO98" s="235">
        <f>_xll.DBRW(Server&amp;Cube1,$N$15,$N$16,$N$17,$N$18,$N$14,$N$13,AO$2,AO$1,$B98)</f>
        <v>0</v>
      </c>
      <c r="AP98" s="235">
        <f>_xll.DBRW(Server&amp;Cube1,$N$15,$N$16,$N$17,$N$18,$N$14,$N$13,AP$2,AP$1,$B98)</f>
        <v>-575010104.86521423</v>
      </c>
      <c r="AQ98" s="32"/>
      <c r="AR98" s="235">
        <f>_xll.DBRW(Server&amp;Cube1,$N$15,$N$16,$N$17,$N$18,$N$14,$N$13,AR$2,AR$1,$B98)</f>
        <v>0</v>
      </c>
      <c r="AS98" s="235">
        <f>_xll.DBRW(Server&amp;Cube1,$N$15,$N$16,$N$17,$N$18,$N$14,$N$13,AS$2,AS$1,$B98)</f>
        <v>0</v>
      </c>
      <c r="AT98" s="235">
        <f>_xll.DBRW(Server&amp;Cube1,$N$15,$N$16,$N$17,$N$18,$N$14,$N$13,AT$2,AT$1,$B98)</f>
        <v>-620375505.00563979</v>
      </c>
      <c r="AU98" s="32"/>
      <c r="AV98" s="235">
        <f>_xll.DBRW(Server&amp;Cube1,$N$15,$N$16,$N$17,$N$18,$N$14,$N$13,AV$2,AV$1,$B98)</f>
        <v>0</v>
      </c>
      <c r="AW98" s="235">
        <f>_xll.DBRW(Server&amp;Cube1,$N$15,$N$16,$N$17,$N$18,$N$14,$N$13,AW$2,AW$1,$B98)</f>
        <v>0</v>
      </c>
      <c r="AX98" s="235">
        <f>_xll.DBRW(Server&amp;Cube1,$N$15,$N$16,$N$17,$N$18,$N$14,$N$13,AX$2,AX$1,$B98)</f>
        <v>-579084985.25093293</v>
      </c>
      <c r="AY98" s="32"/>
      <c r="AZ98" s="235">
        <f>_xll.DBRW(Server&amp;Cube1,$N$15,$N$16,$N$17,$N$18,$N$14,$N$13,AZ$2,AZ$1,$B98)</f>
        <v>0</v>
      </c>
      <c r="BA98" s="235">
        <f>_xll.DBRW(Server&amp;Cube1,$N$15,$N$16,$N$17,$N$18,$N$14,$N$13,BA$2,BA$1,$B98)</f>
        <v>0</v>
      </c>
      <c r="BB98" s="235">
        <f>_xll.DBRW(Server&amp;Cube1,$N$15,$N$16,$N$17,$N$18,$N$14,$N$13,BB$2,BB$1,$B98)</f>
        <v>-534301799.02377409</v>
      </c>
      <c r="BC98" s="32"/>
      <c r="BD98" s="235">
        <f>_xll.DBRW(Server&amp;Cube1,$N$15,$N$16,$N$17,$N$18,$N$14,$N$13,BD$2,BD$1,$B98)</f>
        <v>-12575486.510000098</v>
      </c>
      <c r="BE98" s="235">
        <f>_xll.DBRW(Server&amp;Cube1,$N$15,$N$16,$N$17,$N$18,$N$14,$N$13,BE$2,BE$1,$B98)</f>
        <v>0</v>
      </c>
      <c r="BF98" s="235">
        <f>_xll.DBRW(Server&amp;Cube1,$N$15,$N$16,$N$17,$N$18,$N$14,$N$13,BF$2,BF$1,$B98)</f>
        <v>3437669481.3417482</v>
      </c>
      <c r="BG98" s="32"/>
      <c r="BH98" s="235">
        <f>_xll.DBRW(Server&amp;Cube1,$N$15,$N$16,$N$17,$N$18,$N$14,$N$13,BH$2,BH$1,$B98)</f>
        <v>0</v>
      </c>
      <c r="BI98" s="235">
        <f>_xll.DBRW(Server&amp;Cube1,$N$15,$N$16,$N$17,$N$18,$N$14,$N$13,BI$2,BI$1,$B98)</f>
        <v>0</v>
      </c>
      <c r="BJ98" s="235">
        <f>_xll.DBRW(Server&amp;Cube1,$N$15,$N$16,$N$17,$N$18,$N$14,$N$13,BJ$2,BJ$1,$B98)</f>
        <v>-1215193023.665693</v>
      </c>
      <c r="BK98" s="32"/>
      <c r="BL98" s="235">
        <f>_xll.DBRW(Server&amp;Cube1,$N$15,$N$16,$N$17,$N$18,$N$14,$N$13,BL$2,BL$1,$B98)</f>
        <v>0</v>
      </c>
      <c r="BM98" s="235">
        <f>_xll.DBRW(Server&amp;Cube1,$N$15,$N$16,$N$17,$N$18,$N$14,$N$13,BM$2,BM$1,$B98)</f>
        <v>0</v>
      </c>
      <c r="BN98" s="235">
        <f>_xll.DBRW(Server&amp;Cube1,$N$15,$N$16,$N$17,$N$18,$N$14,$N$13,BN$2,BN$1,$B98)</f>
        <v>-567354318.631037</v>
      </c>
      <c r="BO98" s="32"/>
      <c r="BP98" s="235">
        <f>_xll.DBRW(Server&amp;Cube1,$N$15,$N$16,$N$17,$N$18,$N$14,$N$13,BP$2,BP$1,$B98)</f>
        <v>0</v>
      </c>
      <c r="BQ98" s="235">
        <f>_xll.DBRW(Server&amp;Cube1,$N$15,$N$16,$N$17,$N$18,$N$14,$N$13,BQ$2,BQ$1,$B98)</f>
        <v>0</v>
      </c>
      <c r="BR98" s="235">
        <f>_xll.DBRW(Server&amp;Cube1,$N$15,$N$16,$N$17,$N$18,$N$14,$N$13,BR$2,BR$1,$B98)</f>
        <v>-577480749.40464735</v>
      </c>
      <c r="BS98" s="32"/>
      <c r="BT98" s="235">
        <f>_xll.DBRW(Server&amp;Cube1,$N$15,$N$16,$N$17,$N$18,$N$14,$N$13,BT$2,BT$1,$B98)</f>
        <v>0</v>
      </c>
      <c r="BU98" s="235">
        <f>_xll.DBRW(Server&amp;Cube1,$N$15,$N$16,$N$17,$N$18,$N$14,$N$13,BU$2,BU$1,$B98)</f>
        <v>0</v>
      </c>
      <c r="BV98" s="235">
        <f>_xll.DBRW(Server&amp;Cube1,$N$15,$N$16,$N$17,$N$18,$N$14,$N$13,BV$2,BV$1,$B98)</f>
        <v>-1016745786.9512858</v>
      </c>
      <c r="BW98" s="54"/>
      <c r="BX98" s="28"/>
    </row>
    <row r="99" spans="1:78" ht="19.5" hidden="1" customHeight="1" outlineLevel="1" x14ac:dyDescent="0.6">
      <c r="A99" s="56"/>
      <c r="B99" s="54" t="s">
        <v>341</v>
      </c>
      <c r="H99" s="54"/>
      <c r="I99" s="68"/>
      <c r="J99" s="53"/>
      <c r="K99" s="9"/>
      <c r="L99" s="552" t="str">
        <f>LEFT(_xll.DBRA(Server&amp;$B$32,$B99,$N$19),FIND("(",_xll.DBRA(Server&amp;$B$32,$B99,$N$19),1)-1)</f>
        <v xml:space="preserve">COS - Lease expenses </v>
      </c>
      <c r="M99" s="552"/>
      <c r="N99" s="552"/>
      <c r="O99" s="552"/>
      <c r="P99" s="112"/>
      <c r="Q99" s="229">
        <f>_xll.DBRW(Server&amp;Cube1,$N$15,$N$16,$N$17,$N$18,$N$14,$N$13,$N$11,$Q$1,$B99)</f>
        <v>-14420113.799999999</v>
      </c>
      <c r="R99" s="229">
        <f>_xll.DBRW(Server&amp;Cube1,$N$15,$N$16,$N$17,$N$18,$N$14,$N$13,$R$2,$R$1,$B99)</f>
        <v>0</v>
      </c>
      <c r="S99" s="230">
        <f>Q99-R99</f>
        <v>-14420113.799999999</v>
      </c>
      <c r="T99" s="232">
        <f>IF(R99&lt;&gt;0,IF(R99&gt;0,S99/R99,-S99/R99),0)</f>
        <v>0</v>
      </c>
      <c r="U99" s="218"/>
      <c r="V99" s="229">
        <f>_xll.DBRW(Server&amp;Cube1,$N$15,$N$16,$N$17,$N$18,$N$14,$N$13,$V$2,$V$1,$B99)</f>
        <v>-374664987.49000001</v>
      </c>
      <c r="W99" s="230">
        <f>Q99-V99</f>
        <v>360244873.69</v>
      </c>
      <c r="X99" s="232">
        <f>IF(V99&lt;&gt;0,IF(V99&gt;0,W99/V99,-W99/V99),0)</f>
        <v>0.96151197928420018</v>
      </c>
      <c r="Y99" s="54"/>
      <c r="Z99" s="54"/>
      <c r="AA99" s="54"/>
      <c r="AB99" s="229">
        <f>_xll.DBRW(Server&amp;Cube1,$N$15,$N$16,$N$17,$N$18,$N$14,$N$13,AB$2,AB$1,$B99)</f>
        <v>0</v>
      </c>
      <c r="AC99" s="229">
        <f>_xll.DBRW(Server&amp;Cube1,$N$15,$N$16,$N$17,$N$18,$N$14,$N$13,AC$2,AC$1,$B99)</f>
        <v>0</v>
      </c>
      <c r="AD99" s="229">
        <f>_xll.DBRW(Server&amp;Cube1,$N$15,$N$16,$N$17,$N$18,$N$14,$N$13,AD$2,AD$1,$B99)</f>
        <v>-10406390.76</v>
      </c>
      <c r="AE99" s="32"/>
      <c r="AF99" s="229">
        <f>_xll.DBRW(Server&amp;Cube1,$N$15,$N$16,$N$17,$N$18,$N$14,$N$13,AF$2,AF$1,$B99)</f>
        <v>0</v>
      </c>
      <c r="AG99" s="229">
        <f>_xll.DBRW(Server&amp;Cube1,$N$15,$N$16,$N$17,$N$18,$N$14,$N$13,AG$2,AG$1,$B99)</f>
        <v>0</v>
      </c>
      <c r="AH99" s="229">
        <f>_xll.DBRW(Server&amp;Cube1,$N$15,$N$16,$N$17,$N$18,$N$14,$N$13,AH$2,AH$1,$B99)</f>
        <v>-53370255.70000001</v>
      </c>
      <c r="AI99" s="32"/>
      <c r="AJ99" s="229">
        <f>_xll.DBRW(Server&amp;Cube1,$N$15,$N$16,$N$17,$N$18,$N$14,$N$13,AJ$2,AJ$1,$B99)</f>
        <v>0</v>
      </c>
      <c r="AK99" s="229">
        <f>_xll.DBRW(Server&amp;Cube1,$N$15,$N$16,$N$17,$N$18,$N$14,$N$13,AK$2,AK$1,$B99)</f>
        <v>0</v>
      </c>
      <c r="AL99" s="229">
        <f>_xll.DBRW(Server&amp;Cube1,$N$15,$N$16,$N$17,$N$18,$N$14,$N$13,AL$2,AL$1,$B99)</f>
        <v>-32199004.710000001</v>
      </c>
      <c r="AM99" s="32"/>
      <c r="AN99" s="229">
        <f>_xll.DBRW(Server&amp;Cube1,$N$15,$N$16,$N$17,$N$18,$N$14,$N$13,AN$2,AN$1,$B99)</f>
        <v>0</v>
      </c>
      <c r="AO99" s="229">
        <f>_xll.DBRW(Server&amp;Cube1,$N$15,$N$16,$N$17,$N$18,$N$14,$N$13,AO$2,AO$1,$B99)</f>
        <v>0</v>
      </c>
      <c r="AP99" s="229">
        <f>_xll.DBRW(Server&amp;Cube1,$N$15,$N$16,$N$17,$N$18,$N$14,$N$13,AP$2,AP$1,$B99)</f>
        <v>-30128211.100000005</v>
      </c>
      <c r="AQ99" s="32"/>
      <c r="AR99" s="229">
        <f>_xll.DBRW(Server&amp;Cube1,$N$15,$N$16,$N$17,$N$18,$N$14,$N$13,AR$2,AR$1,$B99)</f>
        <v>0</v>
      </c>
      <c r="AS99" s="229">
        <f>_xll.DBRW(Server&amp;Cube1,$N$15,$N$16,$N$17,$N$18,$N$14,$N$13,AS$2,AS$1,$B99)</f>
        <v>0</v>
      </c>
      <c r="AT99" s="229">
        <f>_xll.DBRW(Server&amp;Cube1,$N$15,$N$16,$N$17,$N$18,$N$14,$N$13,AT$2,AT$1,$B99)</f>
        <v>-31521064.259999998</v>
      </c>
      <c r="AU99" s="32"/>
      <c r="AV99" s="229">
        <f>_xll.DBRW(Server&amp;Cube1,$N$15,$N$16,$N$17,$N$18,$N$14,$N$13,AV$2,AV$1,$B99)</f>
        <v>0</v>
      </c>
      <c r="AW99" s="229">
        <f>_xll.DBRW(Server&amp;Cube1,$N$15,$N$16,$N$17,$N$18,$N$14,$N$13,AW$2,AW$1,$B99)</f>
        <v>0</v>
      </c>
      <c r="AX99" s="229">
        <f>_xll.DBRW(Server&amp;Cube1,$N$15,$N$16,$N$17,$N$18,$N$14,$N$13,AX$2,AX$1,$B99)</f>
        <v>-34828763.109999999</v>
      </c>
      <c r="AY99" s="32"/>
      <c r="AZ99" s="229">
        <f>_xll.DBRW(Server&amp;Cube1,$N$15,$N$16,$N$17,$N$18,$N$14,$N$13,AZ$2,AZ$1,$B99)</f>
        <v>0</v>
      </c>
      <c r="BA99" s="229">
        <f>_xll.DBRW(Server&amp;Cube1,$N$15,$N$16,$N$17,$N$18,$N$14,$N$13,BA$2,BA$1,$B99)</f>
        <v>0</v>
      </c>
      <c r="BB99" s="229">
        <f>_xll.DBRW(Server&amp;Cube1,$N$15,$N$16,$N$17,$N$18,$N$14,$N$13,BB$2,BB$1,$B99)</f>
        <v>-4928516.3699999992</v>
      </c>
      <c r="BC99" s="32"/>
      <c r="BD99" s="229">
        <f>_xll.DBRW(Server&amp;Cube1,$N$15,$N$16,$N$17,$N$18,$N$14,$N$13,BD$2,BD$1,$B99)</f>
        <v>-14420113.799999997</v>
      </c>
      <c r="BE99" s="229">
        <f>_xll.DBRW(Server&amp;Cube1,$N$15,$N$16,$N$17,$N$18,$N$14,$N$13,BE$2,BE$1,$B99)</f>
        <v>0</v>
      </c>
      <c r="BF99" s="229">
        <f>_xll.DBRW(Server&amp;Cube1,$N$15,$N$16,$N$17,$N$18,$N$14,$N$13,BF$2,BF$1,$B99)</f>
        <v>-177282781.48000002</v>
      </c>
      <c r="BG99" s="32"/>
      <c r="BH99" s="229">
        <f>_xll.DBRW(Server&amp;Cube1,$N$15,$N$16,$N$17,$N$18,$N$14,$N$13,BH$2,BH$1,$B99)</f>
        <v>0</v>
      </c>
      <c r="BI99" s="229">
        <f>_xll.DBRW(Server&amp;Cube1,$N$15,$N$16,$N$17,$N$18,$N$14,$N$13,BI$2,BI$1,$B99)</f>
        <v>0</v>
      </c>
      <c r="BJ99" s="229">
        <f>_xll.DBRW(Server&amp;Cube1,$N$15,$N$16,$N$17,$N$18,$N$14,$N$13,BJ$2,BJ$1,$B99)</f>
        <v>-30634540.210000001</v>
      </c>
      <c r="BK99" s="32"/>
      <c r="BL99" s="229">
        <f>_xll.DBRW(Server&amp;Cube1,$N$15,$N$16,$N$17,$N$18,$N$14,$N$13,BL$2,BL$1,$B99)</f>
        <v>0</v>
      </c>
      <c r="BM99" s="229">
        <f>_xll.DBRW(Server&amp;Cube1,$N$15,$N$16,$N$17,$N$18,$N$14,$N$13,BM$2,BM$1,$B99)</f>
        <v>0</v>
      </c>
      <c r="BN99" s="229">
        <f>_xll.DBRW(Server&amp;Cube1,$N$15,$N$16,$N$17,$N$18,$N$14,$N$13,BN$2,BN$1,$B99)</f>
        <v>-8877791.3300000019</v>
      </c>
      <c r="BO99" s="32"/>
      <c r="BP99" s="229">
        <f>_xll.DBRW(Server&amp;Cube1,$N$15,$N$16,$N$17,$N$18,$N$14,$N$13,BP$2,BP$1,$B99)</f>
        <v>0</v>
      </c>
      <c r="BQ99" s="229">
        <f>_xll.DBRW(Server&amp;Cube1,$N$15,$N$16,$N$17,$N$18,$N$14,$N$13,BQ$2,BQ$1,$B99)</f>
        <v>0</v>
      </c>
      <c r="BR99" s="229">
        <f>_xll.DBRW(Server&amp;Cube1,$N$15,$N$16,$N$17,$N$18,$N$14,$N$13,BR$2,BR$1,$B99)</f>
        <v>-35104088.910000004</v>
      </c>
      <c r="BS99" s="32"/>
      <c r="BT99" s="229">
        <f>_xll.DBRW(Server&amp;Cube1,$N$15,$N$16,$N$17,$N$18,$N$14,$N$13,BT$2,BT$1,$B99)</f>
        <v>0</v>
      </c>
      <c r="BU99" s="229">
        <f>_xll.DBRW(Server&amp;Cube1,$N$15,$N$16,$N$17,$N$18,$N$14,$N$13,BU$2,BU$1,$B99)</f>
        <v>0</v>
      </c>
      <c r="BV99" s="229">
        <f>_xll.DBRW(Server&amp;Cube1,$N$15,$N$16,$N$17,$N$18,$N$14,$N$13,BV$2,BV$1,$B99)</f>
        <v>-227001419.57000002</v>
      </c>
      <c r="BW99" s="54"/>
      <c r="BX99" s="28"/>
    </row>
    <row r="100" spans="1:78" ht="19.5" hidden="1" customHeight="1" outlineLevel="1" x14ac:dyDescent="0.6">
      <c r="A100" s="56"/>
      <c r="B100" s="54" t="s">
        <v>74</v>
      </c>
      <c r="H100" s="54"/>
      <c r="I100" s="68"/>
      <c r="J100" s="53"/>
      <c r="K100" s="9"/>
      <c r="L100" s="552" t="str">
        <f>LEFT(_xll.DBRA(Server&amp;$B$32,$B100,$N$19),FIND("(",_xll.DBRA(Server&amp;$B$32,$B100,$N$19),1)-1)</f>
        <v xml:space="preserve">Amortization </v>
      </c>
      <c r="M100" s="552"/>
      <c r="N100" s="552"/>
      <c r="O100" s="552"/>
      <c r="P100" s="112"/>
      <c r="Q100" s="229">
        <f>_xll.DBRW(Server&amp;Cube1,$N$15,$N$16,$N$17,$N$18,$N$14,$N$13,$N$11,$Q$1,$B100)</f>
        <v>-321462.1400001013</v>
      </c>
      <c r="R100" s="229">
        <f>_xll.DBRW(Server&amp;Cube1,$N$15,$N$16,$N$17,$N$18,$N$14,$N$13,$R$2,$R$1,$B100)</f>
        <v>0</v>
      </c>
      <c r="S100" s="230">
        <f>Q100-R100</f>
        <v>-321462.1400001013</v>
      </c>
      <c r="T100" s="232">
        <f>IF(R100&lt;&gt;0,IF(R100&gt;0,S100/R100,-S100/R100),0)</f>
        <v>0</v>
      </c>
      <c r="U100" s="218"/>
      <c r="V100" s="229">
        <f>_xll.DBRW(Server&amp;Cube1,$N$15,$N$16,$N$17,$N$18,$N$14,$N$13,$V$2,$V$1,$B100)</f>
        <v>-237626009.58999872</v>
      </c>
      <c r="W100" s="230">
        <f>Q100-V100</f>
        <v>237304547.44999862</v>
      </c>
      <c r="X100" s="232">
        <f>IF(V100&lt;&gt;0,IF(V100&gt;0,W100/V100,-W100/V100),0)</f>
        <v>0.99864719295436233</v>
      </c>
      <c r="Y100" s="54"/>
      <c r="Z100" s="54"/>
      <c r="AA100" s="54"/>
      <c r="AB100" s="229">
        <f>_xll.DBRW(Server&amp;Cube1,$N$15,$N$16,$N$17,$N$18,$N$14,$N$13,AB$2,AB$1,$B100)</f>
        <v>0</v>
      </c>
      <c r="AC100" s="229">
        <f>_xll.DBRW(Server&amp;Cube1,$N$15,$N$16,$N$17,$N$18,$N$14,$N$13,AC$2,AC$1,$B100)</f>
        <v>0</v>
      </c>
      <c r="AD100" s="229">
        <f>_xll.DBRW(Server&amp;Cube1,$N$15,$N$16,$N$17,$N$18,$N$14,$N$13,AD$2,AD$1,$B100)</f>
        <v>-488582348.19</v>
      </c>
      <c r="AE100" s="32"/>
      <c r="AF100" s="229">
        <f>_xll.DBRW(Server&amp;Cube1,$N$15,$N$16,$N$17,$N$18,$N$14,$N$13,AF$2,AF$1,$B100)</f>
        <v>0</v>
      </c>
      <c r="AG100" s="229">
        <f>_xll.DBRW(Server&amp;Cube1,$N$15,$N$16,$N$17,$N$18,$N$14,$N$13,AG$2,AG$1,$B100)</f>
        <v>0</v>
      </c>
      <c r="AH100" s="229">
        <f>_xll.DBRW(Server&amp;Cube1,$N$15,$N$16,$N$17,$N$18,$N$14,$N$13,AH$2,AH$1,$B100)</f>
        <v>-33066773.00999999</v>
      </c>
      <c r="AI100" s="32"/>
      <c r="AJ100" s="229">
        <f>_xll.DBRW(Server&amp;Cube1,$N$15,$N$16,$N$17,$N$18,$N$14,$N$13,AJ$2,AJ$1,$B100)</f>
        <v>0</v>
      </c>
      <c r="AK100" s="229">
        <f>_xll.DBRW(Server&amp;Cube1,$N$15,$N$16,$N$17,$N$18,$N$14,$N$13,AK$2,AK$1,$B100)</f>
        <v>0</v>
      </c>
      <c r="AL100" s="229">
        <f>_xll.DBRW(Server&amp;Cube1,$N$15,$N$16,$N$17,$N$18,$N$14,$N$13,AL$2,AL$1,$B100)</f>
        <v>-980934287.79000008</v>
      </c>
      <c r="AM100" s="32"/>
      <c r="AN100" s="229">
        <f>_xll.DBRW(Server&amp;Cube1,$N$15,$N$16,$N$17,$N$18,$N$14,$N$13,AN$2,AN$1,$B100)</f>
        <v>0</v>
      </c>
      <c r="AO100" s="229">
        <f>_xll.DBRW(Server&amp;Cube1,$N$15,$N$16,$N$17,$N$18,$N$14,$N$13,AO$2,AO$1,$B100)</f>
        <v>0</v>
      </c>
      <c r="AP100" s="229">
        <f>_xll.DBRW(Server&amp;Cube1,$N$15,$N$16,$N$17,$N$18,$N$14,$N$13,AP$2,AP$1,$B100)</f>
        <v>-501884977.38999987</v>
      </c>
      <c r="AQ100" s="32"/>
      <c r="AR100" s="229">
        <f>_xll.DBRW(Server&amp;Cube1,$N$15,$N$16,$N$17,$N$18,$N$14,$N$13,AR$2,AR$1,$B100)</f>
        <v>0</v>
      </c>
      <c r="AS100" s="229">
        <f>_xll.DBRW(Server&amp;Cube1,$N$15,$N$16,$N$17,$N$18,$N$14,$N$13,AS$2,AS$1,$B100)</f>
        <v>0</v>
      </c>
      <c r="AT100" s="229">
        <f>_xll.DBRW(Server&amp;Cube1,$N$15,$N$16,$N$17,$N$18,$N$14,$N$13,AT$2,AT$1,$B100)</f>
        <v>-501019390.10000014</v>
      </c>
      <c r="AU100" s="32"/>
      <c r="AV100" s="229">
        <f>_xll.DBRW(Server&amp;Cube1,$N$15,$N$16,$N$17,$N$18,$N$14,$N$13,AV$2,AV$1,$B100)</f>
        <v>0</v>
      </c>
      <c r="AW100" s="229">
        <f>_xll.DBRW(Server&amp;Cube1,$N$15,$N$16,$N$17,$N$18,$N$14,$N$13,AW$2,AW$1,$B100)</f>
        <v>0</v>
      </c>
      <c r="AX100" s="229">
        <f>_xll.DBRW(Server&amp;Cube1,$N$15,$N$16,$N$17,$N$18,$N$14,$N$13,AX$2,AX$1,$B100)</f>
        <v>-501314742.65999985</v>
      </c>
      <c r="AY100" s="32"/>
      <c r="AZ100" s="229">
        <f>_xll.DBRW(Server&amp;Cube1,$N$15,$N$16,$N$17,$N$18,$N$14,$N$13,AZ$2,AZ$1,$B100)</f>
        <v>0</v>
      </c>
      <c r="BA100" s="229">
        <f>_xll.DBRW(Server&amp;Cube1,$N$15,$N$16,$N$17,$N$18,$N$14,$N$13,BA$2,BA$1,$B100)</f>
        <v>0</v>
      </c>
      <c r="BB100" s="229">
        <f>_xll.DBRW(Server&amp;Cube1,$N$15,$N$16,$N$17,$N$18,$N$14,$N$13,BB$2,BB$1,$B100)</f>
        <v>-484348161.21999991</v>
      </c>
      <c r="BC100" s="32"/>
      <c r="BD100" s="229">
        <f>_xll.DBRW(Server&amp;Cube1,$N$15,$N$16,$N$17,$N$18,$N$14,$N$13,BD$2,BD$1,$B100)</f>
        <v>-321462.14000010397</v>
      </c>
      <c r="BE100" s="229">
        <f>_xll.DBRW(Server&amp;Cube1,$N$15,$N$16,$N$17,$N$18,$N$14,$N$13,BE$2,BE$1,$B100)</f>
        <v>0</v>
      </c>
      <c r="BF100" s="229">
        <f>_xll.DBRW(Server&amp;Cube1,$N$15,$N$16,$N$17,$N$18,$N$14,$N$13,BF$2,BF$1,$B100)</f>
        <v>3253524670.77</v>
      </c>
      <c r="BG100" s="32"/>
      <c r="BH100" s="229">
        <f>_xll.DBRW(Server&amp;Cube1,$N$15,$N$16,$N$17,$N$18,$N$14,$N$13,BH$2,BH$1,$B100)</f>
        <v>0</v>
      </c>
      <c r="BI100" s="229">
        <f>_xll.DBRW(Server&amp;Cube1,$N$15,$N$16,$N$17,$N$18,$N$14,$N$13,BI$2,BI$1,$B100)</f>
        <v>0</v>
      </c>
      <c r="BJ100" s="229">
        <f>_xll.DBRW(Server&amp;Cube1,$N$15,$N$16,$N$17,$N$18,$N$14,$N$13,BJ$2,BJ$1,$B100)</f>
        <v>-498764110.41000009</v>
      </c>
      <c r="BK100" s="32"/>
      <c r="BL100" s="229">
        <f>_xll.DBRW(Server&amp;Cube1,$N$15,$N$16,$N$17,$N$18,$N$14,$N$13,BL$2,BL$1,$B100)</f>
        <v>0</v>
      </c>
      <c r="BM100" s="229">
        <f>_xll.DBRW(Server&amp;Cube1,$N$15,$N$16,$N$17,$N$18,$N$14,$N$13,BM$2,BM$1,$B100)</f>
        <v>0</v>
      </c>
      <c r="BN100" s="229">
        <f>_xll.DBRW(Server&amp;Cube1,$N$15,$N$16,$N$17,$N$18,$N$14,$N$13,BN$2,BN$1,$B100)</f>
        <v>-495757860.67000002</v>
      </c>
      <c r="BO100" s="32"/>
      <c r="BP100" s="229">
        <f>_xll.DBRW(Server&amp;Cube1,$N$15,$N$16,$N$17,$N$18,$N$14,$N$13,BP$2,BP$1,$B100)</f>
        <v>0</v>
      </c>
      <c r="BQ100" s="229">
        <f>_xll.DBRW(Server&amp;Cube1,$N$15,$N$16,$N$17,$N$18,$N$14,$N$13,BQ$2,BQ$1,$B100)</f>
        <v>0</v>
      </c>
      <c r="BR100" s="229">
        <f>_xll.DBRW(Server&amp;Cube1,$N$15,$N$16,$N$17,$N$18,$N$14,$N$13,BR$2,BR$1,$B100)</f>
        <v>-509671656.51999992</v>
      </c>
      <c r="BS100" s="32"/>
      <c r="BT100" s="229">
        <f>_xll.DBRW(Server&amp;Cube1,$N$15,$N$16,$N$17,$N$18,$N$14,$N$13,BT$2,BT$1,$B100)</f>
        <v>0</v>
      </c>
      <c r="BU100" s="229">
        <f>_xll.DBRW(Server&amp;Cube1,$N$15,$N$16,$N$17,$N$18,$N$14,$N$13,BU$2,BU$1,$B100)</f>
        <v>0</v>
      </c>
      <c r="BV100" s="229">
        <f>_xll.DBRW(Server&amp;Cube1,$N$15,$N$16,$N$17,$N$18,$N$14,$N$13,BV$2,BV$1,$B100)</f>
        <v>-706396188.80999982</v>
      </c>
      <c r="BW100" s="54"/>
      <c r="BX100" s="28"/>
    </row>
    <row r="101" spans="1:78" ht="19.5" hidden="1" customHeight="1" outlineLevel="1" x14ac:dyDescent="0.6">
      <c r="A101" s="56"/>
      <c r="B101" s="54" t="s">
        <v>336</v>
      </c>
      <c r="H101" s="54"/>
      <c r="I101" s="68"/>
      <c r="J101" s="53"/>
      <c r="K101" s="9"/>
      <c r="L101" s="552" t="str">
        <f>_xll.DBRA(Server&amp;$B$32,$B101,$N$19)</f>
        <v>Lease revenue (or reinvoicing) of passenger rolling stock</v>
      </c>
      <c r="M101" s="552"/>
      <c r="N101" s="552"/>
      <c r="O101" s="552"/>
      <c r="P101" s="112"/>
      <c r="Q101" s="229">
        <f>_xll.DBRW(Server&amp;Cube1,$N$15,$N$16,$N$17,$N$18,$N$14,$N$13,$N$11,$Q$1,$B101)</f>
        <v>2391114.5299999998</v>
      </c>
      <c r="R101" s="229">
        <f>_xll.DBRW(Server&amp;Cube1,$N$15,$N$16,$N$17,$N$18,$N$14,$N$13,$R$2,$R$1,$B101)</f>
        <v>0</v>
      </c>
      <c r="S101" s="230">
        <f>Q101-R101</f>
        <v>2391114.5299999998</v>
      </c>
      <c r="T101" s="232">
        <f>IF(R101&lt;&gt;0,IF(R101&gt;0,S101/R101,-S101/R101),0)</f>
        <v>0</v>
      </c>
      <c r="U101" s="218"/>
      <c r="V101" s="229">
        <f>_xll.DBRW(Server&amp;Cube1,$N$15,$N$16,$N$17,$N$18,$N$14,$N$13,$V$2,$V$1,$B101)</f>
        <v>17998452.905256845</v>
      </c>
      <c r="W101" s="230">
        <f>Q101-V101</f>
        <v>-15607338.375256846</v>
      </c>
      <c r="X101" s="232">
        <f>IF(V101&lt;&gt;0,IF(V101&gt;0,W101/V101,-W101/V101),0)</f>
        <v>-0.86714888537438561</v>
      </c>
      <c r="Y101" s="54"/>
      <c r="Z101" s="54"/>
      <c r="AA101" s="54"/>
      <c r="AB101" s="229">
        <f>_xll.DBRW(Server&amp;Cube1,$N$15,$N$16,$N$17,$N$18,$N$14,$N$13,AB$2,AB$1,$B101)</f>
        <v>0</v>
      </c>
      <c r="AC101" s="229">
        <f>_xll.DBRW(Server&amp;Cube1,$N$15,$N$16,$N$17,$N$18,$N$14,$N$13,AC$2,AC$1,$B101)</f>
        <v>0</v>
      </c>
      <c r="AD101" s="229">
        <f>_xll.DBRW(Server&amp;Cube1,$N$15,$N$16,$N$17,$N$18,$N$14,$N$13,AD$2,AD$1,$B101)</f>
        <v>656020.47213088092</v>
      </c>
      <c r="AE101" s="32"/>
      <c r="AF101" s="229">
        <f>_xll.DBRW(Server&amp;Cube1,$N$15,$N$16,$N$17,$N$18,$N$14,$N$13,AF$2,AF$1,$B101)</f>
        <v>0</v>
      </c>
      <c r="AG101" s="229">
        <f>_xll.DBRW(Server&amp;Cube1,$N$15,$N$16,$N$17,$N$18,$N$14,$N$13,AG$2,AG$1,$B101)</f>
        <v>0</v>
      </c>
      <c r="AH101" s="229">
        <f>_xll.DBRW(Server&amp;Cube1,$N$15,$N$16,$N$17,$N$18,$N$14,$N$13,AH$2,AH$1,$B101)</f>
        <v>2933181.4276213562</v>
      </c>
      <c r="AI101" s="32"/>
      <c r="AJ101" s="229">
        <f>_xll.DBRW(Server&amp;Cube1,$N$15,$N$16,$N$17,$N$18,$N$14,$N$13,AJ$2,AJ$1,$B101)</f>
        <v>0</v>
      </c>
      <c r="AK101" s="229">
        <f>_xll.DBRW(Server&amp;Cube1,$N$15,$N$16,$N$17,$N$18,$N$14,$N$13,AK$2,AK$1,$B101)</f>
        <v>0</v>
      </c>
      <c r="AL101" s="229">
        <f>_xll.DBRW(Server&amp;Cube1,$N$15,$N$16,$N$17,$N$18,$N$14,$N$13,AL$2,AL$1,$B101)</f>
        <v>1809442.8493172794</v>
      </c>
      <c r="AM101" s="32"/>
      <c r="AN101" s="229">
        <f>_xll.DBRW(Server&amp;Cube1,$N$15,$N$16,$N$17,$N$18,$N$14,$N$13,AN$2,AN$1,$B101)</f>
        <v>0</v>
      </c>
      <c r="AO101" s="229">
        <f>_xll.DBRW(Server&amp;Cube1,$N$15,$N$16,$N$17,$N$18,$N$14,$N$13,AO$2,AO$1,$B101)</f>
        <v>0</v>
      </c>
      <c r="AP101" s="229">
        <f>_xll.DBRW(Server&amp;Cube1,$N$15,$N$16,$N$17,$N$18,$N$14,$N$13,AP$2,AP$1,$B101)</f>
        <v>500206.44478570099</v>
      </c>
      <c r="AQ101" s="32"/>
      <c r="AR101" s="229">
        <f>_xll.DBRW(Server&amp;Cube1,$N$15,$N$16,$N$17,$N$18,$N$14,$N$13,AR$2,AR$1,$B101)</f>
        <v>0</v>
      </c>
      <c r="AS101" s="229">
        <f>_xll.DBRW(Server&amp;Cube1,$N$15,$N$16,$N$17,$N$18,$N$14,$N$13,AS$2,AS$1,$B101)</f>
        <v>0</v>
      </c>
      <c r="AT101" s="229">
        <f>_xll.DBRW(Server&amp;Cube1,$N$15,$N$16,$N$17,$N$18,$N$14,$N$13,AT$2,AT$1,$B101)</f>
        <v>2607703.814360356</v>
      </c>
      <c r="AU101" s="32"/>
      <c r="AV101" s="229">
        <f>_xll.DBRW(Server&amp;Cube1,$N$15,$N$16,$N$17,$N$18,$N$14,$N$13,AV$2,AV$1,$B101)</f>
        <v>0</v>
      </c>
      <c r="AW101" s="229">
        <f>_xll.DBRW(Server&amp;Cube1,$N$15,$N$16,$N$17,$N$18,$N$14,$N$13,AW$2,AW$1,$B101)</f>
        <v>0</v>
      </c>
      <c r="AX101" s="229">
        <f>_xll.DBRW(Server&amp;Cube1,$N$15,$N$16,$N$17,$N$18,$N$14,$N$13,AX$2,AX$1,$B101)</f>
        <v>1689099.169067045</v>
      </c>
      <c r="AY101" s="32"/>
      <c r="AZ101" s="229">
        <f>_xll.DBRW(Server&amp;Cube1,$N$15,$N$16,$N$17,$N$18,$N$14,$N$13,AZ$2,AZ$1,$B101)</f>
        <v>0</v>
      </c>
      <c r="BA101" s="229">
        <f>_xll.DBRW(Server&amp;Cube1,$N$15,$N$16,$N$17,$N$18,$N$14,$N$13,BA$2,BA$1,$B101)</f>
        <v>0</v>
      </c>
      <c r="BB101" s="229">
        <f>_xll.DBRW(Server&amp;Cube1,$N$15,$N$16,$N$17,$N$18,$N$14,$N$13,BB$2,BB$1,$B101)</f>
        <v>-185431.59377414515</v>
      </c>
      <c r="BC101" s="32"/>
      <c r="BD101" s="229">
        <f>_xll.DBRW(Server&amp;Cube1,$N$15,$N$16,$N$17,$N$18,$N$14,$N$13,BD$2,BD$1,$B101)</f>
        <v>2391114.5299999998</v>
      </c>
      <c r="BE101" s="229">
        <f>_xll.DBRW(Server&amp;Cube1,$N$15,$N$16,$N$17,$N$18,$N$14,$N$13,BE$2,BE$1,$B101)</f>
        <v>0</v>
      </c>
      <c r="BF101" s="229">
        <f>_xll.DBRW(Server&amp;Cube1,$N$15,$N$16,$N$17,$N$18,$N$14,$N$13,BF$2,BF$1,$B101)</f>
        <v>7988230.3217483703</v>
      </c>
      <c r="BG101" s="32"/>
      <c r="BH101" s="229">
        <f>_xll.DBRW(Server&amp;Cube1,$N$15,$N$16,$N$17,$N$18,$N$14,$N$13,BH$2,BH$1,$B101)</f>
        <v>0</v>
      </c>
      <c r="BI101" s="229">
        <f>_xll.DBRW(Server&amp;Cube1,$N$15,$N$16,$N$17,$N$18,$N$14,$N$13,BI$2,BI$1,$B101)</f>
        <v>0</v>
      </c>
      <c r="BJ101" s="229">
        <f>_xll.DBRW(Server&amp;Cube1,$N$15,$N$16,$N$17,$N$18,$N$14,$N$13,BJ$2,BJ$1,$B101)</f>
        <v>1753066.504307156</v>
      </c>
      <c r="BK101" s="32"/>
      <c r="BL101" s="229">
        <f>_xll.DBRW(Server&amp;Cube1,$N$15,$N$16,$N$17,$N$18,$N$14,$N$13,BL$2,BL$1,$B101)</f>
        <v>0</v>
      </c>
      <c r="BM101" s="229">
        <f>_xll.DBRW(Server&amp;Cube1,$N$15,$N$16,$N$17,$N$18,$N$14,$N$13,BM$2,BM$1,$B101)</f>
        <v>0</v>
      </c>
      <c r="BN101" s="229">
        <f>_xll.DBRW(Server&amp;Cube1,$N$15,$N$16,$N$17,$N$18,$N$14,$N$13,BN$2,BN$1,$B101)</f>
        <v>-226528.55103694263</v>
      </c>
      <c r="BO101" s="32"/>
      <c r="BP101" s="229">
        <f>_xll.DBRW(Server&amp;Cube1,$N$15,$N$16,$N$17,$N$18,$N$14,$N$13,BP$2,BP$1,$B101)</f>
        <v>0</v>
      </c>
      <c r="BQ101" s="229">
        <f>_xll.DBRW(Server&amp;Cube1,$N$15,$N$16,$N$17,$N$18,$N$14,$N$13,BQ$2,BQ$1,$B101)</f>
        <v>0</v>
      </c>
      <c r="BR101" s="229">
        <f>_xll.DBRW(Server&amp;Cube1,$N$15,$N$16,$N$17,$N$18,$N$14,$N$13,BR$2,BR$1,$B101)</f>
        <v>10821357.365352454</v>
      </c>
      <c r="BS101" s="32"/>
      <c r="BT101" s="229">
        <f>_xll.DBRW(Server&amp;Cube1,$N$15,$N$16,$N$17,$N$18,$N$14,$N$13,BT$2,BT$1,$B101)</f>
        <v>0</v>
      </c>
      <c r="BU101" s="229">
        <f>_xll.DBRW(Server&amp;Cube1,$N$15,$N$16,$N$17,$N$18,$N$14,$N$13,BU$2,BU$1,$B101)</f>
        <v>0</v>
      </c>
      <c r="BV101" s="229">
        <f>_xll.DBRW(Server&amp;Cube1,$N$15,$N$16,$N$17,$N$18,$N$14,$N$13,BV$2,BV$1,$B101)</f>
        <v>2049735.0887140406</v>
      </c>
      <c r="BW101" s="54"/>
      <c r="BX101" s="28"/>
    </row>
    <row r="102" spans="1:78" ht="19.5" hidden="1" customHeight="1" outlineLevel="1" x14ac:dyDescent="0.6">
      <c r="A102" s="56"/>
      <c r="B102" s="54" t="s">
        <v>72</v>
      </c>
      <c r="H102" s="54"/>
      <c r="I102" s="68"/>
      <c r="J102" s="53"/>
      <c r="K102" s="9"/>
      <c r="L102" s="552" t="str">
        <f>LEFT(_xll.DBRA(Server&amp;$B$32,$B102,$N$19),FIND("(",_xll.DBRA(Server&amp;$B$32,$B102,$N$19),1)-1)</f>
        <v xml:space="preserve">Reinvoicing - Others </v>
      </c>
      <c r="M102" s="552"/>
      <c r="N102" s="552"/>
      <c r="O102" s="552"/>
      <c r="P102" s="112"/>
      <c r="Q102" s="229">
        <f>_xll.DBRW(Server&amp;Cube1,$N$15,$N$16,$N$17,$N$18,$N$14,$N$13,$N$11,$Q$1,$B102)</f>
        <v>0</v>
      </c>
      <c r="R102" s="229">
        <f>_xll.DBRW(Server&amp;Cube1,$N$15,$N$16,$N$17,$N$18,$N$14,$N$13,$R$2,$R$1,$B102)</f>
        <v>0</v>
      </c>
      <c r="S102" s="230">
        <f t="shared" ref="S102:S109" si="48">Q102-R102</f>
        <v>0</v>
      </c>
      <c r="T102" s="232">
        <f t="shared" ref="T102:T109" si="49">IF(R102&lt;&gt;0,IF(R102&gt;0,S102/R102,-S102/R102),0)</f>
        <v>0</v>
      </c>
      <c r="U102" s="218"/>
      <c r="V102" s="229">
        <f>_xll.DBRW(Server&amp;Cube1,$N$15,$N$16,$N$17,$N$18,$N$14,$N$13,$V$2,$V$1,$B102)</f>
        <v>1130065.8600000001</v>
      </c>
      <c r="W102" s="230">
        <f t="shared" ref="W102:W109" si="50">Q102-V102</f>
        <v>-1130065.8600000001</v>
      </c>
      <c r="X102" s="232">
        <f t="shared" ref="X102:X109" si="51">IF(V102&lt;&gt;0,IF(V102&gt;0,W102/V102,-W102/V102),0)</f>
        <v>-1</v>
      </c>
      <c r="Y102" s="54"/>
      <c r="Z102" s="54"/>
      <c r="AA102" s="54"/>
      <c r="AB102" s="229">
        <f>_xll.DBRW(Server&amp;Cube1,$N$15,$N$16,$N$17,$N$18,$N$14,$N$13,AB$2,AB$1,$B102)</f>
        <v>0</v>
      </c>
      <c r="AC102" s="229">
        <f>_xll.DBRW(Server&amp;Cube1,$N$15,$N$16,$N$17,$N$18,$N$14,$N$13,AC$2,AC$1,$B102)</f>
        <v>0</v>
      </c>
      <c r="AD102" s="229">
        <f>_xll.DBRW(Server&amp;Cube1,$N$15,$N$16,$N$17,$N$18,$N$14,$N$13,AD$2,AD$1,$B102)</f>
        <v>175266.11</v>
      </c>
      <c r="AE102" s="32"/>
      <c r="AF102" s="229">
        <f>_xll.DBRW(Server&amp;Cube1,$N$15,$N$16,$N$17,$N$18,$N$14,$N$13,AF$2,AF$1,$B102)</f>
        <v>0</v>
      </c>
      <c r="AG102" s="229">
        <f>_xll.DBRW(Server&amp;Cube1,$N$15,$N$16,$N$17,$N$18,$N$14,$N$13,AG$2,AG$1,$B102)</f>
        <v>0</v>
      </c>
      <c r="AH102" s="229">
        <f>_xll.DBRW(Server&amp;Cube1,$N$15,$N$16,$N$17,$N$18,$N$14,$N$13,AH$2,AH$1,$B102)</f>
        <v>19841.07</v>
      </c>
      <c r="AI102" s="32"/>
      <c r="AJ102" s="229">
        <f>_xll.DBRW(Server&amp;Cube1,$N$15,$N$16,$N$17,$N$18,$N$14,$N$13,AJ$2,AJ$1,$B102)</f>
        <v>0</v>
      </c>
      <c r="AK102" s="229">
        <f>_xll.DBRW(Server&amp;Cube1,$N$15,$N$16,$N$17,$N$18,$N$14,$N$13,AK$2,AK$1,$B102)</f>
        <v>0</v>
      </c>
      <c r="AL102" s="229">
        <f>_xll.DBRW(Server&amp;Cube1,$N$15,$N$16,$N$17,$N$18,$N$14,$N$13,AL$2,AL$1,$B102)</f>
        <v>342753.13000000006</v>
      </c>
      <c r="AM102" s="32"/>
      <c r="AN102" s="229">
        <f>_xll.DBRW(Server&amp;Cube1,$N$15,$N$16,$N$17,$N$18,$N$14,$N$13,AN$2,AN$1,$B102)</f>
        <v>0</v>
      </c>
      <c r="AO102" s="229">
        <f>_xll.DBRW(Server&amp;Cube1,$N$15,$N$16,$N$17,$N$18,$N$14,$N$13,AO$2,AO$1,$B102)</f>
        <v>0</v>
      </c>
      <c r="AP102" s="229">
        <f>_xll.DBRW(Server&amp;Cube1,$N$15,$N$16,$N$17,$N$18,$N$14,$N$13,AP$2,AP$1,$B102)</f>
        <v>162906.42000000001</v>
      </c>
      <c r="AQ102" s="32"/>
      <c r="AR102" s="229">
        <f>_xll.DBRW(Server&amp;Cube1,$N$15,$N$16,$N$17,$N$18,$N$14,$N$13,AR$2,AR$1,$B102)</f>
        <v>0</v>
      </c>
      <c r="AS102" s="229">
        <f>_xll.DBRW(Server&amp;Cube1,$N$15,$N$16,$N$17,$N$18,$N$14,$N$13,AS$2,AS$1,$B102)</f>
        <v>0</v>
      </c>
      <c r="AT102" s="229">
        <f>_xll.DBRW(Server&amp;Cube1,$N$15,$N$16,$N$17,$N$18,$N$14,$N$13,AT$2,AT$1,$B102)</f>
        <v>140022.63999999996</v>
      </c>
      <c r="AU102" s="32"/>
      <c r="AV102" s="229">
        <f>_xll.DBRW(Server&amp;Cube1,$N$15,$N$16,$N$17,$N$18,$N$14,$N$13,AV$2,AV$1,$B102)</f>
        <v>0</v>
      </c>
      <c r="AW102" s="229">
        <f>_xll.DBRW(Server&amp;Cube1,$N$15,$N$16,$N$17,$N$18,$N$14,$N$13,AW$2,AW$1,$B102)</f>
        <v>0</v>
      </c>
      <c r="AX102" s="229">
        <f>_xll.DBRW(Server&amp;Cube1,$N$15,$N$16,$N$17,$N$18,$N$14,$N$13,AX$2,AX$1,$B102)</f>
        <v>117457.81</v>
      </c>
      <c r="AY102" s="32"/>
      <c r="AZ102" s="229">
        <f>_xll.DBRW(Server&amp;Cube1,$N$15,$N$16,$N$17,$N$18,$N$14,$N$13,AZ$2,AZ$1,$B102)</f>
        <v>0</v>
      </c>
      <c r="BA102" s="229">
        <f>_xll.DBRW(Server&amp;Cube1,$N$15,$N$16,$N$17,$N$18,$N$14,$N$13,BA$2,BA$1,$B102)</f>
        <v>0</v>
      </c>
      <c r="BB102" s="229">
        <f>_xll.DBRW(Server&amp;Cube1,$N$15,$N$16,$N$17,$N$18,$N$14,$N$13,BB$2,BB$1,$B102)</f>
        <v>90679.89</v>
      </c>
      <c r="BC102" s="32"/>
      <c r="BD102" s="229">
        <f>_xll.DBRW(Server&amp;Cube1,$N$15,$N$16,$N$17,$N$18,$N$14,$N$13,BD$2,BD$1,$B102)</f>
        <v>0</v>
      </c>
      <c r="BE102" s="229">
        <f>_xll.DBRW(Server&amp;Cube1,$N$15,$N$16,$N$17,$N$18,$N$14,$N$13,BE$2,BE$1,$B102)</f>
        <v>0</v>
      </c>
      <c r="BF102" s="229">
        <f>_xll.DBRW(Server&amp;Cube1,$N$15,$N$16,$N$17,$N$18,$N$14,$N$13,BF$2,BF$1,$B102)</f>
        <v>81138.790000000023</v>
      </c>
      <c r="BG102" s="32"/>
      <c r="BH102" s="229">
        <f>_xll.DBRW(Server&amp;Cube1,$N$15,$N$16,$N$17,$N$18,$N$14,$N$13,BH$2,BH$1,$B102)</f>
        <v>0</v>
      </c>
      <c r="BI102" s="229">
        <f>_xll.DBRW(Server&amp;Cube1,$N$15,$N$16,$N$17,$N$18,$N$14,$N$13,BI$2,BI$1,$B102)</f>
        <v>0</v>
      </c>
      <c r="BJ102" s="229">
        <f>_xll.DBRW(Server&amp;Cube1,$N$15,$N$16,$N$17,$N$18,$N$14,$N$13,BJ$2,BJ$1,$B102)</f>
        <v>117059.93000000001</v>
      </c>
      <c r="BK102" s="32"/>
      <c r="BL102" s="229">
        <f>_xll.DBRW(Server&amp;Cube1,$N$15,$N$16,$N$17,$N$18,$N$14,$N$13,BL$2,BL$1,$B102)</f>
        <v>0</v>
      </c>
      <c r="BM102" s="229">
        <f>_xll.DBRW(Server&amp;Cube1,$N$15,$N$16,$N$17,$N$18,$N$14,$N$13,BM$2,BM$1,$B102)</f>
        <v>0</v>
      </c>
      <c r="BN102" s="229">
        <f>_xll.DBRW(Server&amp;Cube1,$N$15,$N$16,$N$17,$N$18,$N$14,$N$13,BN$2,BN$1,$B102)</f>
        <v>113443.93000000007</v>
      </c>
      <c r="BO102" s="32"/>
      <c r="BP102" s="229">
        <f>_xll.DBRW(Server&amp;Cube1,$N$15,$N$16,$N$17,$N$18,$N$14,$N$13,BP$2,BP$1,$B102)</f>
        <v>0</v>
      </c>
      <c r="BQ102" s="229">
        <f>_xll.DBRW(Server&amp;Cube1,$N$15,$N$16,$N$17,$N$18,$N$14,$N$13,BQ$2,BQ$1,$B102)</f>
        <v>0</v>
      </c>
      <c r="BR102" s="229">
        <f>_xll.DBRW(Server&amp;Cube1,$N$15,$N$16,$N$17,$N$18,$N$14,$N$13,BR$2,BR$1,$B102)</f>
        <v>-19544.419999999962</v>
      </c>
      <c r="BS102" s="32"/>
      <c r="BT102" s="229">
        <f>_xll.DBRW(Server&amp;Cube1,$N$15,$N$16,$N$17,$N$18,$N$14,$N$13,BT$2,BT$1,$B102)</f>
        <v>0</v>
      </c>
      <c r="BU102" s="229">
        <f>_xll.DBRW(Server&amp;Cube1,$N$15,$N$16,$N$17,$N$18,$N$14,$N$13,BU$2,BU$1,$B102)</f>
        <v>0</v>
      </c>
      <c r="BV102" s="229">
        <f>_xll.DBRW(Server&amp;Cube1,$N$15,$N$16,$N$17,$N$18,$N$14,$N$13,BV$2,BV$1,$B102)</f>
        <v>548254.5</v>
      </c>
      <c r="BW102" s="54"/>
      <c r="BX102" s="28"/>
    </row>
    <row r="103" spans="1:78" ht="19.5" hidden="1" customHeight="1" outlineLevel="1" x14ac:dyDescent="0.6">
      <c r="A103" s="56"/>
      <c r="B103" s="54" t="s">
        <v>73</v>
      </c>
      <c r="H103" s="54"/>
      <c r="I103" s="68"/>
      <c r="J103" s="53"/>
      <c r="K103" s="9"/>
      <c r="L103" s="552" t="str">
        <f>LEFT(_xll.DBRA(Server&amp;$B$32,$B103,$N$19),FIND("(",_xll.DBRA(Server&amp;$B$32,$B103,$N$19),1)-1)</f>
        <v xml:space="preserve">Impairment </v>
      </c>
      <c r="M103" s="552"/>
      <c r="N103" s="552"/>
      <c r="O103" s="552"/>
      <c r="P103" s="112"/>
      <c r="Q103" s="229">
        <f>_xll.DBRW(Server&amp;Cube1,$N$15,$N$16,$N$17,$N$18,$N$14,$N$13,$N$11,$Q$1,$B103)</f>
        <v>19788281.530000001</v>
      </c>
      <c r="R103" s="229">
        <f>_xll.DBRW(Server&amp;Cube1,$N$15,$N$16,$N$17,$N$18,$N$14,$N$13,$R$2,$R$1,$B103)</f>
        <v>0</v>
      </c>
      <c r="S103" s="230">
        <f t="shared" si="48"/>
        <v>19788281.530000001</v>
      </c>
      <c r="T103" s="232">
        <f t="shared" si="49"/>
        <v>0</v>
      </c>
      <c r="U103" s="218"/>
      <c r="V103" s="229">
        <f>_xll.DBRW(Server&amp;Cube1,$N$15,$N$16,$N$17,$N$18,$N$14,$N$13,$V$2,$V$1,$B103)</f>
        <v>35364026.670000002</v>
      </c>
      <c r="W103" s="230">
        <f t="shared" si="50"/>
        <v>-15575745.140000001</v>
      </c>
      <c r="X103" s="232">
        <f t="shared" si="51"/>
        <v>-0.44044037420696808</v>
      </c>
      <c r="Y103" s="54"/>
      <c r="Z103" s="54"/>
      <c r="AA103" s="54"/>
      <c r="AB103" s="229">
        <f>_xll.DBRW(Server&amp;Cube1,$N$15,$N$16,$N$17,$N$18,$N$14,$N$13,AB$2,AB$1,$B103)</f>
        <v>0</v>
      </c>
      <c r="AC103" s="229">
        <f>_xll.DBRW(Server&amp;Cube1,$N$15,$N$16,$N$17,$N$18,$N$14,$N$13,AC$2,AC$1,$B103)</f>
        <v>0</v>
      </c>
      <c r="AD103" s="229">
        <f>_xll.DBRW(Server&amp;Cube1,$N$15,$N$16,$N$17,$N$18,$N$14,$N$13,AD$2,AD$1,$B103)</f>
        <v>374812.47000000003</v>
      </c>
      <c r="AE103" s="32"/>
      <c r="AF103" s="229">
        <f>_xll.DBRW(Server&amp;Cube1,$N$15,$N$16,$N$17,$N$18,$N$14,$N$13,AF$2,AF$1,$B103)</f>
        <v>0</v>
      </c>
      <c r="AG103" s="229">
        <f>_xll.DBRW(Server&amp;Cube1,$N$15,$N$16,$N$17,$N$18,$N$14,$N$13,AG$2,AG$1,$B103)</f>
        <v>0</v>
      </c>
      <c r="AH103" s="229">
        <f>_xll.DBRW(Server&amp;Cube1,$N$15,$N$16,$N$17,$N$18,$N$14,$N$13,AH$2,AH$1,$B103)</f>
        <v>48350.11</v>
      </c>
      <c r="AI103" s="32"/>
      <c r="AJ103" s="229">
        <f>_xll.DBRW(Server&amp;Cube1,$N$15,$N$16,$N$17,$N$18,$N$14,$N$13,AJ$2,AJ$1,$B103)</f>
        <v>0</v>
      </c>
      <c r="AK103" s="229">
        <f>_xll.DBRW(Server&amp;Cube1,$N$15,$N$16,$N$17,$N$18,$N$14,$N$13,AK$2,AK$1,$B103)</f>
        <v>0</v>
      </c>
      <c r="AL103" s="229">
        <f>_xll.DBRW(Server&amp;Cube1,$N$15,$N$16,$N$17,$N$18,$N$14,$N$13,AL$2,AL$1,$B103)</f>
        <v>318531.82999999996</v>
      </c>
      <c r="AM103" s="32"/>
      <c r="AN103" s="229">
        <f>_xll.DBRW(Server&amp;Cube1,$N$15,$N$16,$N$17,$N$18,$N$14,$N$13,AN$2,AN$1,$B103)</f>
        <v>0</v>
      </c>
      <c r="AO103" s="229">
        <f>_xll.DBRW(Server&amp;Cube1,$N$15,$N$16,$N$17,$N$18,$N$14,$N$13,AO$2,AO$1,$B103)</f>
        <v>0</v>
      </c>
      <c r="AP103" s="229">
        <f>_xll.DBRW(Server&amp;Cube1,$N$15,$N$16,$N$17,$N$18,$N$14,$N$13,AP$2,AP$1,$B103)</f>
        <v>227880.09999999995</v>
      </c>
      <c r="AQ103" s="32"/>
      <c r="AR103" s="229">
        <f>_xll.DBRW(Server&amp;Cube1,$N$15,$N$16,$N$17,$N$18,$N$14,$N$13,AR$2,AR$1,$B103)</f>
        <v>0</v>
      </c>
      <c r="AS103" s="229">
        <f>_xll.DBRW(Server&amp;Cube1,$N$15,$N$16,$N$17,$N$18,$N$14,$N$13,AS$2,AS$1,$B103)</f>
        <v>0</v>
      </c>
      <c r="AT103" s="229">
        <f>_xll.DBRW(Server&amp;Cube1,$N$15,$N$16,$N$17,$N$18,$N$14,$N$13,AT$2,AT$1,$B103)</f>
        <v>298944.73000000004</v>
      </c>
      <c r="AU103" s="32"/>
      <c r="AV103" s="229">
        <f>_xll.DBRW(Server&amp;Cube1,$N$15,$N$16,$N$17,$N$18,$N$14,$N$13,AV$2,AV$1,$B103)</f>
        <v>0</v>
      </c>
      <c r="AW103" s="229">
        <f>_xll.DBRW(Server&amp;Cube1,$N$15,$N$16,$N$17,$N$18,$N$14,$N$13,AW$2,AW$1,$B103)</f>
        <v>0</v>
      </c>
      <c r="AX103" s="229">
        <f>_xll.DBRW(Server&amp;Cube1,$N$15,$N$16,$N$17,$N$18,$N$14,$N$13,AX$2,AX$1,$B103)</f>
        <v>1158393.4800000009</v>
      </c>
      <c r="AY103" s="32"/>
      <c r="AZ103" s="229">
        <f>_xll.DBRW(Server&amp;Cube1,$N$15,$N$16,$N$17,$N$18,$N$14,$N$13,AZ$2,AZ$1,$B103)</f>
        <v>0</v>
      </c>
      <c r="BA103" s="229">
        <f>_xll.DBRW(Server&amp;Cube1,$N$15,$N$16,$N$17,$N$18,$N$14,$N$13,BA$2,BA$1,$B103)</f>
        <v>0</v>
      </c>
      <c r="BB103" s="229">
        <f>_xll.DBRW(Server&amp;Cube1,$N$15,$N$16,$N$17,$N$18,$N$14,$N$13,BB$2,BB$1,$B103)</f>
        <v>314367.27999999985</v>
      </c>
      <c r="BC103" s="32"/>
      <c r="BD103" s="229">
        <f>_xll.DBRW(Server&amp;Cube1,$N$15,$N$16,$N$17,$N$18,$N$14,$N$13,BD$2,BD$1,$B103)</f>
        <v>19788281.530000001</v>
      </c>
      <c r="BE103" s="229">
        <f>_xll.DBRW(Server&amp;Cube1,$N$15,$N$16,$N$17,$N$18,$N$14,$N$13,BE$2,BE$1,$B103)</f>
        <v>0</v>
      </c>
      <c r="BF103" s="229">
        <f>_xll.DBRW(Server&amp;Cube1,$N$15,$N$16,$N$17,$N$18,$N$14,$N$13,BF$2,BF$1,$B103)</f>
        <v>32622746.669999994</v>
      </c>
      <c r="BG103" s="32"/>
      <c r="BH103" s="229">
        <f>_xll.DBRW(Server&amp;Cube1,$N$15,$N$16,$N$17,$N$18,$N$14,$N$13,BH$2,BH$1,$B103)</f>
        <v>0</v>
      </c>
      <c r="BI103" s="229">
        <f>_xll.DBRW(Server&amp;Cube1,$N$15,$N$16,$N$17,$N$18,$N$14,$N$13,BI$2,BI$1,$B103)</f>
        <v>0</v>
      </c>
      <c r="BJ103" s="229">
        <f>_xll.DBRW(Server&amp;Cube1,$N$15,$N$16,$N$17,$N$18,$N$14,$N$13,BJ$2,BJ$1,$B103)</f>
        <v>412920.05000000144</v>
      </c>
      <c r="BK103" s="32"/>
      <c r="BL103" s="229">
        <f>_xll.DBRW(Server&amp;Cube1,$N$15,$N$16,$N$17,$N$18,$N$14,$N$13,BL$2,BL$1,$B103)</f>
        <v>0</v>
      </c>
      <c r="BM103" s="229">
        <f>_xll.DBRW(Server&amp;Cube1,$N$15,$N$16,$N$17,$N$18,$N$14,$N$13,BM$2,BM$1,$B103)</f>
        <v>0</v>
      </c>
      <c r="BN103" s="229">
        <f>_xll.DBRW(Server&amp;Cube1,$N$15,$N$16,$N$17,$N$18,$N$14,$N$13,BN$2,BN$1,$B103)</f>
        <v>559750.69000000146</v>
      </c>
      <c r="BO103" s="32"/>
      <c r="BP103" s="229">
        <f>_xll.DBRW(Server&amp;Cube1,$N$15,$N$16,$N$17,$N$18,$N$14,$N$13,BP$2,BP$1,$B103)</f>
        <v>0</v>
      </c>
      <c r="BQ103" s="229">
        <f>_xll.DBRW(Server&amp;Cube1,$N$15,$N$16,$N$17,$N$18,$N$14,$N$13,BQ$2,BQ$1,$B103)</f>
        <v>0</v>
      </c>
      <c r="BR103" s="229">
        <f>_xll.DBRW(Server&amp;Cube1,$N$15,$N$16,$N$17,$N$18,$N$14,$N$13,BR$2,BR$1,$B103)</f>
        <v>-718399.31000000192</v>
      </c>
      <c r="BS103" s="32"/>
      <c r="BT103" s="229">
        <f>_xll.DBRW(Server&amp;Cube1,$N$15,$N$16,$N$17,$N$18,$N$14,$N$13,BT$2,BT$1,$B103)</f>
        <v>0</v>
      </c>
      <c r="BU103" s="229">
        <f>_xll.DBRW(Server&amp;Cube1,$N$15,$N$16,$N$17,$N$18,$N$14,$N$13,BU$2,BU$1,$B103)</f>
        <v>0</v>
      </c>
      <c r="BV103" s="229">
        <f>_xll.DBRW(Server&amp;Cube1,$N$15,$N$16,$N$17,$N$18,$N$14,$N$13,BV$2,BV$1,$B103)</f>
        <v>4761280.3500000006</v>
      </c>
      <c r="BW103" s="54"/>
      <c r="BX103" s="28"/>
    </row>
    <row r="104" spans="1:78" ht="19.5" hidden="1" customHeight="1" outlineLevel="1" x14ac:dyDescent="0.6">
      <c r="A104" s="56"/>
      <c r="B104" s="54" t="s">
        <v>342</v>
      </c>
      <c r="H104" s="54"/>
      <c r="I104" s="68"/>
      <c r="J104" s="53"/>
      <c r="K104" s="9"/>
      <c r="L104" s="552" t="str">
        <f>LEFT(_xll.DBRA(Server&amp;$B$32,$B104,$N$19),FIND("(",_xll.DBRA(Server&amp;$B$32,$B104,$N$19),1)-1)</f>
        <v xml:space="preserve">Impact of change in revaluation rate on provisions for losses on LT contracts - others </v>
      </c>
      <c r="M104" s="552"/>
      <c r="N104" s="552"/>
      <c r="O104" s="552"/>
      <c r="P104" s="112"/>
      <c r="Q104" s="229">
        <f>_xll.DBRW(Server&amp;Cube1,$N$15,$N$16,$N$17,$N$18,$N$14,$N$13,$N$11,$Q$1,$B104)</f>
        <v>0</v>
      </c>
      <c r="R104" s="229">
        <f>_xll.DBRW(Server&amp;Cube1,$N$15,$N$16,$N$17,$N$18,$N$14,$N$13,$R$2,$R$1,$B104)</f>
        <v>0</v>
      </c>
      <c r="S104" s="230">
        <f t="shared" ref="S104" si="52">Q104-R104</f>
        <v>0</v>
      </c>
      <c r="T104" s="232">
        <f t="shared" ref="T104" si="53">IF(R104&lt;&gt;0,IF(R104&gt;0,S104/R104,-S104/R104),0)</f>
        <v>0</v>
      </c>
      <c r="U104" s="218"/>
      <c r="V104" s="229">
        <f>_xll.DBRW(Server&amp;Cube1,$N$15,$N$16,$N$17,$N$18,$N$14,$N$13,$V$2,$V$1,$B104)</f>
        <v>0</v>
      </c>
      <c r="W104" s="230">
        <f t="shared" ref="W104" si="54">Q104-V104</f>
        <v>0</v>
      </c>
      <c r="X104" s="232">
        <f t="shared" ref="X104" si="55">IF(V104&lt;&gt;0,IF(V104&gt;0,W104/V104,-W104/V104),0)</f>
        <v>0</v>
      </c>
      <c r="Y104" s="54"/>
      <c r="Z104" s="54"/>
      <c r="AA104" s="54"/>
      <c r="AB104" s="229">
        <f>_xll.DBRW(Server&amp;Cube1,$N$15,$N$16,$N$17,$N$18,$N$14,$N$13,AB$2,AB$1,$B104)</f>
        <v>0</v>
      </c>
      <c r="AC104" s="229">
        <f>_xll.DBRW(Server&amp;Cube1,$N$15,$N$16,$N$17,$N$18,$N$14,$N$13,AC$2,AC$1,$B104)</f>
        <v>0</v>
      </c>
      <c r="AD104" s="229">
        <f>_xll.DBRW(Server&amp;Cube1,$N$15,$N$16,$N$17,$N$18,$N$14,$N$13,AD$2,AD$1,$B104)</f>
        <v>0</v>
      </c>
      <c r="AE104" s="32"/>
      <c r="AF104" s="229">
        <f>_xll.DBRW(Server&amp;Cube1,$N$15,$N$16,$N$17,$N$18,$N$14,$N$13,AF$2,AF$1,$B104)</f>
        <v>0</v>
      </c>
      <c r="AG104" s="229">
        <f>_xll.DBRW(Server&amp;Cube1,$N$15,$N$16,$N$17,$N$18,$N$14,$N$13,AG$2,AG$1,$B104)</f>
        <v>0</v>
      </c>
      <c r="AH104" s="229">
        <f>_xll.DBRW(Server&amp;Cube1,$N$15,$N$16,$N$17,$N$18,$N$14,$N$13,AH$2,AH$1,$B104)</f>
        <v>0</v>
      </c>
      <c r="AI104" s="32"/>
      <c r="AJ104" s="229">
        <f>_xll.DBRW(Server&amp;Cube1,$N$15,$N$16,$N$17,$N$18,$N$14,$N$13,AJ$2,AJ$1,$B104)</f>
        <v>0</v>
      </c>
      <c r="AK104" s="229">
        <f>_xll.DBRW(Server&amp;Cube1,$N$15,$N$16,$N$17,$N$18,$N$14,$N$13,AK$2,AK$1,$B104)</f>
        <v>0</v>
      </c>
      <c r="AL104" s="229">
        <f>_xll.DBRW(Server&amp;Cube1,$N$15,$N$16,$N$17,$N$18,$N$14,$N$13,AL$2,AL$1,$B104)</f>
        <v>0</v>
      </c>
      <c r="AM104" s="32"/>
      <c r="AN104" s="229">
        <f>_xll.DBRW(Server&amp;Cube1,$N$15,$N$16,$N$17,$N$18,$N$14,$N$13,AN$2,AN$1,$B104)</f>
        <v>0</v>
      </c>
      <c r="AO104" s="229">
        <f>_xll.DBRW(Server&amp;Cube1,$N$15,$N$16,$N$17,$N$18,$N$14,$N$13,AO$2,AO$1,$B104)</f>
        <v>0</v>
      </c>
      <c r="AP104" s="229">
        <f>_xll.DBRW(Server&amp;Cube1,$N$15,$N$16,$N$17,$N$18,$N$14,$N$13,AP$2,AP$1,$B104)</f>
        <v>0</v>
      </c>
      <c r="AQ104" s="32"/>
      <c r="AR104" s="229">
        <f>_xll.DBRW(Server&amp;Cube1,$N$15,$N$16,$N$17,$N$18,$N$14,$N$13,AR$2,AR$1,$B104)</f>
        <v>0</v>
      </c>
      <c r="AS104" s="229">
        <f>_xll.DBRW(Server&amp;Cube1,$N$15,$N$16,$N$17,$N$18,$N$14,$N$13,AS$2,AS$1,$B104)</f>
        <v>0</v>
      </c>
      <c r="AT104" s="229">
        <f>_xll.DBRW(Server&amp;Cube1,$N$15,$N$16,$N$17,$N$18,$N$14,$N$13,AT$2,AT$1,$B104)</f>
        <v>0</v>
      </c>
      <c r="AU104" s="32"/>
      <c r="AV104" s="229">
        <f>_xll.DBRW(Server&amp;Cube1,$N$15,$N$16,$N$17,$N$18,$N$14,$N$13,AV$2,AV$1,$B104)</f>
        <v>0</v>
      </c>
      <c r="AW104" s="229">
        <f>_xll.DBRW(Server&amp;Cube1,$N$15,$N$16,$N$17,$N$18,$N$14,$N$13,AW$2,AW$1,$B104)</f>
        <v>0</v>
      </c>
      <c r="AX104" s="229">
        <f>_xll.DBRW(Server&amp;Cube1,$N$15,$N$16,$N$17,$N$18,$N$14,$N$13,AX$2,AX$1,$B104)</f>
        <v>0</v>
      </c>
      <c r="AY104" s="32"/>
      <c r="AZ104" s="229">
        <f>_xll.DBRW(Server&amp;Cube1,$N$15,$N$16,$N$17,$N$18,$N$14,$N$13,AZ$2,AZ$1,$B104)</f>
        <v>0</v>
      </c>
      <c r="BA104" s="229">
        <f>_xll.DBRW(Server&amp;Cube1,$N$15,$N$16,$N$17,$N$18,$N$14,$N$13,BA$2,BA$1,$B104)</f>
        <v>0</v>
      </c>
      <c r="BB104" s="229">
        <f>_xll.DBRW(Server&amp;Cube1,$N$15,$N$16,$N$17,$N$18,$N$14,$N$13,BB$2,BB$1,$B104)</f>
        <v>0</v>
      </c>
      <c r="BC104" s="32"/>
      <c r="BD104" s="229">
        <f>_xll.DBRW(Server&amp;Cube1,$N$15,$N$16,$N$17,$N$18,$N$14,$N$13,BD$2,BD$1,$B104)</f>
        <v>0</v>
      </c>
      <c r="BE104" s="229">
        <f>_xll.DBRW(Server&amp;Cube1,$N$15,$N$16,$N$17,$N$18,$N$14,$N$13,BE$2,BE$1,$B104)</f>
        <v>0</v>
      </c>
      <c r="BF104" s="229">
        <f>_xll.DBRW(Server&amp;Cube1,$N$15,$N$16,$N$17,$N$18,$N$14,$N$13,BF$2,BF$1,$B104)</f>
        <v>0</v>
      </c>
      <c r="BG104" s="32"/>
      <c r="BH104" s="229">
        <f>_xll.DBRW(Server&amp;Cube1,$N$15,$N$16,$N$17,$N$18,$N$14,$N$13,BH$2,BH$1,$B104)</f>
        <v>0</v>
      </c>
      <c r="BI104" s="229">
        <f>_xll.DBRW(Server&amp;Cube1,$N$15,$N$16,$N$17,$N$18,$N$14,$N$13,BI$2,BI$1,$B104)</f>
        <v>0</v>
      </c>
      <c r="BJ104" s="229">
        <f>_xll.DBRW(Server&amp;Cube1,$N$15,$N$16,$N$17,$N$18,$N$14,$N$13,BJ$2,BJ$1,$B104)</f>
        <v>0</v>
      </c>
      <c r="BK104" s="32"/>
      <c r="BL104" s="229">
        <f>_xll.DBRW(Server&amp;Cube1,$N$15,$N$16,$N$17,$N$18,$N$14,$N$13,BL$2,BL$1,$B104)</f>
        <v>0</v>
      </c>
      <c r="BM104" s="229">
        <f>_xll.DBRW(Server&amp;Cube1,$N$15,$N$16,$N$17,$N$18,$N$14,$N$13,BM$2,BM$1,$B104)</f>
        <v>0</v>
      </c>
      <c r="BN104" s="229">
        <f>_xll.DBRW(Server&amp;Cube1,$N$15,$N$16,$N$17,$N$18,$N$14,$N$13,BN$2,BN$1,$B104)</f>
        <v>0</v>
      </c>
      <c r="BO104" s="32"/>
      <c r="BP104" s="229">
        <f>_xll.DBRW(Server&amp;Cube1,$N$15,$N$16,$N$17,$N$18,$N$14,$N$13,BP$2,BP$1,$B104)</f>
        <v>0</v>
      </c>
      <c r="BQ104" s="229">
        <f>_xll.DBRW(Server&amp;Cube1,$N$15,$N$16,$N$17,$N$18,$N$14,$N$13,BQ$2,BQ$1,$B104)</f>
        <v>0</v>
      </c>
      <c r="BR104" s="229">
        <f>_xll.DBRW(Server&amp;Cube1,$N$15,$N$16,$N$17,$N$18,$N$14,$N$13,BR$2,BR$1,$B104)</f>
        <v>0</v>
      </c>
      <c r="BS104" s="32"/>
      <c r="BT104" s="229">
        <f>_xll.DBRW(Server&amp;Cube1,$N$15,$N$16,$N$17,$N$18,$N$14,$N$13,BT$2,BT$1,$B104)</f>
        <v>0</v>
      </c>
      <c r="BU104" s="229">
        <f>_xll.DBRW(Server&amp;Cube1,$N$15,$N$16,$N$17,$N$18,$N$14,$N$13,BU$2,BU$1,$B104)</f>
        <v>0</v>
      </c>
      <c r="BV104" s="229">
        <f>_xll.DBRW(Server&amp;Cube1,$N$15,$N$16,$N$17,$N$18,$N$14,$N$13,BV$2,BV$1,$B104)</f>
        <v>0</v>
      </c>
      <c r="BW104" s="54"/>
      <c r="BX104" s="28"/>
    </row>
    <row r="105" spans="1:78" ht="19.5" hidden="1" customHeight="1" outlineLevel="1" x14ac:dyDescent="0.6">
      <c r="A105" s="56"/>
      <c r="B105" s="54" t="s">
        <v>75</v>
      </c>
      <c r="H105" s="54"/>
      <c r="I105" s="68"/>
      <c r="J105" s="53"/>
      <c r="K105" s="9"/>
      <c r="L105" s="552" t="str">
        <f>LEFT(_xll.DBRA(Server&amp;$B$32,$B105,$N$19),FIND("(",_xll.DBRA(Server&amp;$B$32,$B105,$N$19),1)-1)</f>
        <v xml:space="preserve">Gains/losses on disposal of tangible &amp; intangible fixed assets </v>
      </c>
      <c r="M105" s="552"/>
      <c r="N105" s="552"/>
      <c r="O105" s="552"/>
      <c r="P105" s="112"/>
      <c r="Q105" s="229">
        <f>_xll.DBRW(Server&amp;Cube1,$N$15,$N$16,$N$17,$N$18,$N$14,$N$13,$N$11,$Q$1,$B105)</f>
        <v>-18414829.359999999</v>
      </c>
      <c r="R105" s="229">
        <f>_xll.DBRW(Server&amp;Cube1,$N$15,$N$16,$N$17,$N$18,$N$14,$N$13,$R$2,$R$1,$B105)</f>
        <v>0</v>
      </c>
      <c r="S105" s="230">
        <f t="shared" ref="S105:S108" si="56">Q105-R105</f>
        <v>-18414829.359999999</v>
      </c>
      <c r="T105" s="232">
        <f t="shared" ref="T105:T108" si="57">IF(R105&lt;&gt;0,IF(R105&gt;0,S105/R105,-S105/R105),0)</f>
        <v>0</v>
      </c>
      <c r="U105" s="218"/>
      <c r="V105" s="229">
        <f>_xll.DBRW(Server&amp;Cube1,$N$15,$N$16,$N$17,$N$18,$N$14,$N$13,$V$2,$V$1,$B105)</f>
        <v>-34458858.729999997</v>
      </c>
      <c r="W105" s="230">
        <f t="shared" ref="W105:W108" si="58">Q105-V105</f>
        <v>16044029.369999997</v>
      </c>
      <c r="X105" s="232">
        <f t="shared" ref="X105:X108" si="59">IF(V105&lt;&gt;0,IF(V105&gt;0,W105/V105,-W105/V105),0)</f>
        <v>0.46559955730721903</v>
      </c>
      <c r="Y105" s="54"/>
      <c r="Z105" s="54"/>
      <c r="AA105" s="54"/>
      <c r="AB105" s="229">
        <f>_xll.DBRW(Server&amp;Cube1,$N$15,$N$16,$N$17,$N$18,$N$14,$N$13,AB$2,AB$1,$B105)</f>
        <v>0</v>
      </c>
      <c r="AC105" s="229">
        <f>_xll.DBRW(Server&amp;Cube1,$N$15,$N$16,$N$17,$N$18,$N$14,$N$13,AC$2,AC$1,$B105)</f>
        <v>0</v>
      </c>
      <c r="AD105" s="229">
        <f>_xll.DBRW(Server&amp;Cube1,$N$15,$N$16,$N$17,$N$18,$N$14,$N$13,AD$2,AD$1,$B105)</f>
        <v>-991328.22</v>
      </c>
      <c r="AE105" s="32"/>
      <c r="AF105" s="229">
        <f>_xll.DBRW(Server&amp;Cube1,$N$15,$N$16,$N$17,$N$18,$N$14,$N$13,AF$2,AF$1,$B105)</f>
        <v>0</v>
      </c>
      <c r="AG105" s="229">
        <f>_xll.DBRW(Server&amp;Cube1,$N$15,$N$16,$N$17,$N$18,$N$14,$N$13,AG$2,AG$1,$B105)</f>
        <v>0</v>
      </c>
      <c r="AH105" s="229">
        <f>_xll.DBRW(Server&amp;Cube1,$N$15,$N$16,$N$17,$N$18,$N$14,$N$13,AH$2,AH$1,$B105)</f>
        <v>878260.16999999993</v>
      </c>
      <c r="AI105" s="32"/>
      <c r="AJ105" s="229">
        <f>_xll.DBRW(Server&amp;Cube1,$N$15,$N$16,$N$17,$N$18,$N$14,$N$13,AJ$2,AJ$1,$B105)</f>
        <v>0</v>
      </c>
      <c r="AK105" s="229">
        <f>_xll.DBRW(Server&amp;Cube1,$N$15,$N$16,$N$17,$N$18,$N$14,$N$13,AK$2,AK$1,$B105)</f>
        <v>0</v>
      </c>
      <c r="AL105" s="229">
        <f>_xll.DBRW(Server&amp;Cube1,$N$15,$N$16,$N$17,$N$18,$N$14,$N$13,AL$2,AL$1,$B105)</f>
        <v>-537272.51999999944</v>
      </c>
      <c r="AM105" s="32"/>
      <c r="AN105" s="229">
        <f>_xll.DBRW(Server&amp;Cube1,$N$15,$N$16,$N$17,$N$18,$N$14,$N$13,AN$2,AN$1,$B105)</f>
        <v>0</v>
      </c>
      <c r="AO105" s="229">
        <f>_xll.DBRW(Server&amp;Cube1,$N$15,$N$16,$N$17,$N$18,$N$14,$N$13,AO$2,AO$1,$B105)</f>
        <v>0</v>
      </c>
      <c r="AP105" s="229">
        <f>_xll.DBRW(Server&amp;Cube1,$N$15,$N$16,$N$17,$N$18,$N$14,$N$13,AP$2,AP$1,$B105)</f>
        <v>1018159.0199999999</v>
      </c>
      <c r="AQ105" s="32"/>
      <c r="AR105" s="229">
        <f>_xll.DBRW(Server&amp;Cube1,$N$15,$N$16,$N$17,$N$18,$N$14,$N$13,AR$2,AR$1,$B105)</f>
        <v>0</v>
      </c>
      <c r="AS105" s="229">
        <f>_xll.DBRW(Server&amp;Cube1,$N$15,$N$16,$N$17,$N$18,$N$14,$N$13,AS$2,AS$1,$B105)</f>
        <v>0</v>
      </c>
      <c r="AT105" s="229">
        <f>_xll.DBRW(Server&amp;Cube1,$N$15,$N$16,$N$17,$N$18,$N$14,$N$13,AT$2,AT$1,$B105)</f>
        <v>-512371.37000000011</v>
      </c>
      <c r="AU105" s="32"/>
      <c r="AV105" s="229">
        <f>_xll.DBRW(Server&amp;Cube1,$N$15,$N$16,$N$17,$N$18,$N$14,$N$13,AV$2,AV$1,$B105)</f>
        <v>0</v>
      </c>
      <c r="AW105" s="229">
        <f>_xll.DBRW(Server&amp;Cube1,$N$15,$N$16,$N$17,$N$18,$N$14,$N$13,AW$2,AW$1,$B105)</f>
        <v>0</v>
      </c>
      <c r="AX105" s="229">
        <f>_xll.DBRW(Server&amp;Cube1,$N$15,$N$16,$N$17,$N$18,$N$14,$N$13,AX$2,AX$1,$B105)</f>
        <v>-742689.7</v>
      </c>
      <c r="AY105" s="32"/>
      <c r="AZ105" s="229">
        <f>_xll.DBRW(Server&amp;Cube1,$N$15,$N$16,$N$17,$N$18,$N$14,$N$13,AZ$2,AZ$1,$B105)</f>
        <v>0</v>
      </c>
      <c r="BA105" s="229">
        <f>_xll.DBRW(Server&amp;Cube1,$N$15,$N$16,$N$17,$N$18,$N$14,$N$13,BA$2,BA$1,$B105)</f>
        <v>0</v>
      </c>
      <c r="BB105" s="229">
        <f>_xll.DBRW(Server&amp;Cube1,$N$15,$N$16,$N$17,$N$18,$N$14,$N$13,BB$2,BB$1,$B105)</f>
        <v>92418.04</v>
      </c>
      <c r="BC105" s="32"/>
      <c r="BD105" s="229">
        <f>_xll.DBRW(Server&amp;Cube1,$N$15,$N$16,$N$17,$N$18,$N$14,$N$13,BD$2,BD$1,$B105)</f>
        <v>-18414829.359999999</v>
      </c>
      <c r="BE105" s="229">
        <f>_xll.DBRW(Server&amp;Cube1,$N$15,$N$16,$N$17,$N$18,$N$14,$N$13,BE$2,BE$1,$B105)</f>
        <v>0</v>
      </c>
      <c r="BF105" s="229">
        <f>_xll.DBRW(Server&amp;Cube1,$N$15,$N$16,$N$17,$N$18,$N$14,$N$13,BF$2,BF$1,$B105)</f>
        <v>-33664034.150000006</v>
      </c>
      <c r="BG105" s="32"/>
      <c r="BH105" s="229">
        <f>_xll.DBRW(Server&amp;Cube1,$N$15,$N$16,$N$17,$N$18,$N$14,$N$13,BH$2,BH$1,$B105)</f>
        <v>0</v>
      </c>
      <c r="BI105" s="229">
        <f>_xll.DBRW(Server&amp;Cube1,$N$15,$N$16,$N$17,$N$18,$N$14,$N$13,BI$2,BI$1,$B105)</f>
        <v>0</v>
      </c>
      <c r="BJ105" s="229">
        <f>_xll.DBRW(Server&amp;Cube1,$N$15,$N$16,$N$17,$N$18,$N$14,$N$13,BJ$2,BJ$1,$B105)</f>
        <v>-143516.23999999953</v>
      </c>
      <c r="BK105" s="32"/>
      <c r="BL105" s="229">
        <f>_xll.DBRW(Server&amp;Cube1,$N$15,$N$16,$N$17,$N$18,$N$14,$N$13,BL$2,BL$1,$B105)</f>
        <v>0</v>
      </c>
      <c r="BM105" s="229">
        <f>_xll.DBRW(Server&amp;Cube1,$N$15,$N$16,$N$17,$N$18,$N$14,$N$13,BM$2,BM$1,$B105)</f>
        <v>0</v>
      </c>
      <c r="BN105" s="229">
        <f>_xll.DBRW(Server&amp;Cube1,$N$15,$N$16,$N$17,$N$18,$N$14,$N$13,BN$2,BN$1,$B105)</f>
        <v>-6112640.5600000024</v>
      </c>
      <c r="BO105" s="32"/>
      <c r="BP105" s="229">
        <f>_xll.DBRW(Server&amp;Cube1,$N$15,$N$16,$N$17,$N$18,$N$14,$N$13,BP$2,BP$1,$B105)</f>
        <v>0</v>
      </c>
      <c r="BQ105" s="229">
        <f>_xll.DBRW(Server&amp;Cube1,$N$15,$N$16,$N$17,$N$18,$N$14,$N$13,BQ$2,BQ$1,$B105)</f>
        <v>0</v>
      </c>
      <c r="BR105" s="229">
        <f>_xll.DBRW(Server&amp;Cube1,$N$15,$N$16,$N$17,$N$18,$N$14,$N$13,BR$2,BR$1,$B105)</f>
        <v>8452059.7000000011</v>
      </c>
      <c r="BS105" s="32"/>
      <c r="BT105" s="229">
        <f>_xll.DBRW(Server&amp;Cube1,$N$15,$N$16,$N$17,$N$18,$N$14,$N$13,BT$2,BT$1,$B105)</f>
        <v>0</v>
      </c>
      <c r="BU105" s="229">
        <f>_xll.DBRW(Server&amp;Cube1,$N$15,$N$16,$N$17,$N$18,$N$14,$N$13,BU$2,BU$1,$B105)</f>
        <v>0</v>
      </c>
      <c r="BV105" s="229">
        <f>_xll.DBRW(Server&amp;Cube1,$N$15,$N$16,$N$17,$N$18,$N$14,$N$13,BV$2,BV$1,$B105)</f>
        <v>-11255875.810000002</v>
      </c>
      <c r="BW105" s="54"/>
      <c r="BX105" s="28"/>
    </row>
    <row r="106" spans="1:78" ht="19.5" hidden="1" customHeight="1" outlineLevel="1" x14ac:dyDescent="0.6">
      <c r="A106" s="56"/>
      <c r="B106" s="54" t="s">
        <v>431</v>
      </c>
      <c r="H106" s="54"/>
      <c r="I106" s="68"/>
      <c r="J106" s="53"/>
      <c r="K106" s="9"/>
      <c r="L106" s="552" t="str">
        <f>LEFT(_xll.DBRA(Server&amp;$B$32,$B106,$N$19),FIND("(",_xll.DBRA(Server&amp;$B$32,$B106,$N$19),1)-1)</f>
        <v xml:space="preserve">Financial lease </v>
      </c>
      <c r="M106" s="552"/>
      <c r="N106" s="552"/>
      <c r="O106" s="552"/>
      <c r="P106" s="112"/>
      <c r="Q106" s="229">
        <f>_xll.DBRW(Server&amp;Cube1,$N$15,$N$16,$N$17,$N$18,$N$14,$N$13,$N$11,$Q$1,$B106)</f>
        <v>0</v>
      </c>
      <c r="R106" s="229">
        <f>_xll.DBRW(Server&amp;Cube1,$N$15,$N$16,$N$17,$N$18,$N$14,$N$13,$R$2,$R$1,$B106)</f>
        <v>0</v>
      </c>
      <c r="S106" s="230">
        <f t="shared" si="56"/>
        <v>0</v>
      </c>
      <c r="T106" s="232">
        <f t="shared" si="57"/>
        <v>0</v>
      </c>
      <c r="U106" s="218"/>
      <c r="V106" s="229">
        <f>_xll.DBRW(Server&amp;Cube1,$N$15,$N$16,$N$17,$N$18,$N$14,$N$13,$V$2,$V$1,$B106)</f>
        <v>0</v>
      </c>
      <c r="W106" s="230">
        <f t="shared" si="58"/>
        <v>0</v>
      </c>
      <c r="X106" s="232">
        <f t="shared" si="59"/>
        <v>0</v>
      </c>
      <c r="Y106" s="54"/>
      <c r="Z106" s="54"/>
      <c r="AA106" s="54"/>
      <c r="AB106" s="229">
        <f>_xll.DBRW(Server&amp;Cube1,$N$15,$N$16,$N$17,$N$18,$N$14,$N$13,AB$2,AB$1,$B106)</f>
        <v>0</v>
      </c>
      <c r="AC106" s="229">
        <f>_xll.DBRW(Server&amp;Cube1,$N$15,$N$16,$N$17,$N$18,$N$14,$N$13,AC$2,AC$1,$B106)</f>
        <v>0</v>
      </c>
      <c r="AD106" s="229">
        <f>_xll.DBRW(Server&amp;Cube1,$N$15,$N$16,$N$17,$N$18,$N$14,$N$13,AD$2,AD$1,$B106)</f>
        <v>0</v>
      </c>
      <c r="AE106" s="32"/>
      <c r="AF106" s="229">
        <f>_xll.DBRW(Server&amp;Cube1,$N$15,$N$16,$N$17,$N$18,$N$14,$N$13,AF$2,AF$1,$B106)</f>
        <v>0</v>
      </c>
      <c r="AG106" s="229">
        <f>_xll.DBRW(Server&amp;Cube1,$N$15,$N$16,$N$17,$N$18,$N$14,$N$13,AG$2,AG$1,$B106)</f>
        <v>0</v>
      </c>
      <c r="AH106" s="229">
        <f>_xll.DBRW(Server&amp;Cube1,$N$15,$N$16,$N$17,$N$18,$N$14,$N$13,AH$2,AH$1,$B106)</f>
        <v>0</v>
      </c>
      <c r="AI106" s="32"/>
      <c r="AJ106" s="229">
        <f>_xll.DBRW(Server&amp;Cube1,$N$15,$N$16,$N$17,$N$18,$N$14,$N$13,AJ$2,AJ$1,$B106)</f>
        <v>0</v>
      </c>
      <c r="AK106" s="229">
        <f>_xll.DBRW(Server&amp;Cube1,$N$15,$N$16,$N$17,$N$18,$N$14,$N$13,AK$2,AK$1,$B106)</f>
        <v>0</v>
      </c>
      <c r="AL106" s="229">
        <f>_xll.DBRW(Server&amp;Cube1,$N$15,$N$16,$N$17,$N$18,$N$14,$N$13,AL$2,AL$1,$B106)</f>
        <v>0</v>
      </c>
      <c r="AM106" s="32"/>
      <c r="AN106" s="229">
        <f>_xll.DBRW(Server&amp;Cube1,$N$15,$N$16,$N$17,$N$18,$N$14,$N$13,AN$2,AN$1,$B106)</f>
        <v>0</v>
      </c>
      <c r="AO106" s="229">
        <f>_xll.DBRW(Server&amp;Cube1,$N$15,$N$16,$N$17,$N$18,$N$14,$N$13,AO$2,AO$1,$B106)</f>
        <v>0</v>
      </c>
      <c r="AP106" s="229">
        <f>_xll.DBRW(Server&amp;Cube1,$N$15,$N$16,$N$17,$N$18,$N$14,$N$13,AP$2,AP$1,$B106)</f>
        <v>0</v>
      </c>
      <c r="AQ106" s="32"/>
      <c r="AR106" s="229">
        <f>_xll.DBRW(Server&amp;Cube1,$N$15,$N$16,$N$17,$N$18,$N$14,$N$13,AR$2,AR$1,$B106)</f>
        <v>0</v>
      </c>
      <c r="AS106" s="229">
        <f>_xll.DBRW(Server&amp;Cube1,$N$15,$N$16,$N$17,$N$18,$N$14,$N$13,AS$2,AS$1,$B106)</f>
        <v>0</v>
      </c>
      <c r="AT106" s="229">
        <f>_xll.DBRW(Server&amp;Cube1,$N$15,$N$16,$N$17,$N$18,$N$14,$N$13,AT$2,AT$1,$B106)</f>
        <v>0</v>
      </c>
      <c r="AU106" s="32"/>
      <c r="AV106" s="229">
        <f>_xll.DBRW(Server&amp;Cube1,$N$15,$N$16,$N$17,$N$18,$N$14,$N$13,AV$2,AV$1,$B106)</f>
        <v>0</v>
      </c>
      <c r="AW106" s="229">
        <f>_xll.DBRW(Server&amp;Cube1,$N$15,$N$16,$N$17,$N$18,$N$14,$N$13,AW$2,AW$1,$B106)</f>
        <v>0</v>
      </c>
      <c r="AX106" s="229">
        <f>_xll.DBRW(Server&amp;Cube1,$N$15,$N$16,$N$17,$N$18,$N$14,$N$13,AX$2,AX$1,$B106)</f>
        <v>0</v>
      </c>
      <c r="AY106" s="32"/>
      <c r="AZ106" s="229">
        <f>_xll.DBRW(Server&amp;Cube1,$N$15,$N$16,$N$17,$N$18,$N$14,$N$13,AZ$2,AZ$1,$B106)</f>
        <v>0</v>
      </c>
      <c r="BA106" s="229">
        <f>_xll.DBRW(Server&amp;Cube1,$N$15,$N$16,$N$17,$N$18,$N$14,$N$13,BA$2,BA$1,$B106)</f>
        <v>0</v>
      </c>
      <c r="BB106" s="229">
        <f>_xll.DBRW(Server&amp;Cube1,$N$15,$N$16,$N$17,$N$18,$N$14,$N$13,BB$2,BB$1,$B106)</f>
        <v>0</v>
      </c>
      <c r="BC106" s="32"/>
      <c r="BD106" s="229">
        <f>_xll.DBRW(Server&amp;Cube1,$N$15,$N$16,$N$17,$N$18,$N$14,$N$13,BD$2,BD$1,$B106)</f>
        <v>0</v>
      </c>
      <c r="BE106" s="229">
        <f>_xll.DBRW(Server&amp;Cube1,$N$15,$N$16,$N$17,$N$18,$N$14,$N$13,BE$2,BE$1,$B106)</f>
        <v>0</v>
      </c>
      <c r="BF106" s="229">
        <f>_xll.DBRW(Server&amp;Cube1,$N$15,$N$16,$N$17,$N$18,$N$14,$N$13,BF$2,BF$1,$B106)</f>
        <v>0</v>
      </c>
      <c r="BG106" s="32"/>
      <c r="BH106" s="229">
        <f>_xll.DBRW(Server&amp;Cube1,$N$15,$N$16,$N$17,$N$18,$N$14,$N$13,BH$2,BH$1,$B106)</f>
        <v>0</v>
      </c>
      <c r="BI106" s="229">
        <f>_xll.DBRW(Server&amp;Cube1,$N$15,$N$16,$N$17,$N$18,$N$14,$N$13,BI$2,BI$1,$B106)</f>
        <v>0</v>
      </c>
      <c r="BJ106" s="229">
        <f>_xll.DBRW(Server&amp;Cube1,$N$15,$N$16,$N$17,$N$18,$N$14,$N$13,BJ$2,BJ$1,$B106)</f>
        <v>0</v>
      </c>
      <c r="BK106" s="32"/>
      <c r="BL106" s="229">
        <f>_xll.DBRW(Server&amp;Cube1,$N$15,$N$16,$N$17,$N$18,$N$14,$N$13,BL$2,BL$1,$B106)</f>
        <v>0</v>
      </c>
      <c r="BM106" s="229">
        <f>_xll.DBRW(Server&amp;Cube1,$N$15,$N$16,$N$17,$N$18,$N$14,$N$13,BM$2,BM$1,$B106)</f>
        <v>0</v>
      </c>
      <c r="BN106" s="229">
        <f>_xll.DBRW(Server&amp;Cube1,$N$15,$N$16,$N$17,$N$18,$N$14,$N$13,BN$2,BN$1,$B106)</f>
        <v>0</v>
      </c>
      <c r="BO106" s="32"/>
      <c r="BP106" s="229">
        <f>_xll.DBRW(Server&amp;Cube1,$N$15,$N$16,$N$17,$N$18,$N$14,$N$13,BP$2,BP$1,$B106)</f>
        <v>0</v>
      </c>
      <c r="BQ106" s="229">
        <f>_xll.DBRW(Server&amp;Cube1,$N$15,$N$16,$N$17,$N$18,$N$14,$N$13,BQ$2,BQ$1,$B106)</f>
        <v>0</v>
      </c>
      <c r="BR106" s="229">
        <f>_xll.DBRW(Server&amp;Cube1,$N$15,$N$16,$N$17,$N$18,$N$14,$N$13,BR$2,BR$1,$B106)</f>
        <v>0</v>
      </c>
      <c r="BS106" s="32"/>
      <c r="BT106" s="229">
        <f>_xll.DBRW(Server&amp;Cube1,$N$15,$N$16,$N$17,$N$18,$N$14,$N$13,BT$2,BT$1,$B106)</f>
        <v>0</v>
      </c>
      <c r="BU106" s="229">
        <f>_xll.DBRW(Server&amp;Cube1,$N$15,$N$16,$N$17,$N$18,$N$14,$N$13,BU$2,BU$1,$B106)</f>
        <v>0</v>
      </c>
      <c r="BV106" s="229">
        <f>_xll.DBRW(Server&amp;Cube1,$N$15,$N$16,$N$17,$N$18,$N$14,$N$13,BV$2,BV$1,$B106)</f>
        <v>0</v>
      </c>
      <c r="BW106" s="54"/>
      <c r="BX106" s="28"/>
    </row>
    <row r="107" spans="1:78" ht="19.5" hidden="1" customHeight="1" outlineLevel="1" x14ac:dyDescent="0.6">
      <c r="A107" s="56"/>
      <c r="B107" s="54" t="s">
        <v>432</v>
      </c>
      <c r="H107" s="54"/>
      <c r="I107" s="68"/>
      <c r="J107" s="53"/>
      <c r="K107" s="9"/>
      <c r="L107" s="552" t="str">
        <f>LEFT(_xll.DBRA(Server&amp;$B$32,$B107,$N$19),FIND("(",_xll.DBRA(Server&amp;$B$32,$B107,$N$19),1)-1)</f>
        <v xml:space="preserve">Fleet vehicle taxes </v>
      </c>
      <c r="M107" s="552"/>
      <c r="N107" s="552"/>
      <c r="O107" s="552"/>
      <c r="P107" s="112"/>
      <c r="Q107" s="229">
        <f>_xll.DBRW(Server&amp;Cube1,$N$15,$N$16,$N$17,$N$18,$N$14,$N$13,$N$11,$Q$1,$B107)</f>
        <v>-248107.80999999997</v>
      </c>
      <c r="R107" s="229">
        <f>_xll.DBRW(Server&amp;Cube1,$N$15,$N$16,$N$17,$N$18,$N$14,$N$13,$R$2,$R$1,$B107)</f>
        <v>0</v>
      </c>
      <c r="S107" s="230">
        <f t="shared" si="56"/>
        <v>-248107.80999999997</v>
      </c>
      <c r="T107" s="232">
        <f t="shared" si="57"/>
        <v>0</v>
      </c>
      <c r="U107" s="218"/>
      <c r="V107" s="229">
        <f>_xll.DBRW(Server&amp;Cube1,$N$15,$N$16,$N$17,$N$18,$N$14,$N$13,$V$2,$V$1,$B107)</f>
        <v>-23941569.259999987</v>
      </c>
      <c r="W107" s="230">
        <f t="shared" si="58"/>
        <v>23693461.449999988</v>
      </c>
      <c r="X107" s="232">
        <f t="shared" si="59"/>
        <v>0.9896369445417047</v>
      </c>
      <c r="Y107" s="54"/>
      <c r="Z107" s="54"/>
      <c r="AA107" s="54"/>
      <c r="AB107" s="229">
        <f>_xll.DBRW(Server&amp;Cube1,$N$15,$N$16,$N$17,$N$18,$N$14,$N$13,AB$2,AB$1,$B107)</f>
        <v>0</v>
      </c>
      <c r="AC107" s="229">
        <f>_xll.DBRW(Server&amp;Cube1,$N$15,$N$16,$N$17,$N$18,$N$14,$N$13,AC$2,AC$1,$B107)</f>
        <v>0</v>
      </c>
      <c r="AD107" s="229">
        <f>_xll.DBRW(Server&amp;Cube1,$N$15,$N$16,$N$17,$N$18,$N$14,$N$13,AD$2,AD$1,$B107)</f>
        <v>-825940.40000000014</v>
      </c>
      <c r="AE107" s="32"/>
      <c r="AF107" s="229">
        <f>_xll.DBRW(Server&amp;Cube1,$N$15,$N$16,$N$17,$N$18,$N$14,$N$13,AF$2,AF$1,$B107)</f>
        <v>0</v>
      </c>
      <c r="AG107" s="229">
        <f>_xll.DBRW(Server&amp;Cube1,$N$15,$N$16,$N$17,$N$18,$N$14,$N$13,AG$2,AG$1,$B107)</f>
        <v>0</v>
      </c>
      <c r="AH107" s="229">
        <f>_xll.DBRW(Server&amp;Cube1,$N$15,$N$16,$N$17,$N$18,$N$14,$N$13,AH$2,AH$1,$B107)</f>
        <v>-2790972.81</v>
      </c>
      <c r="AI107" s="32"/>
      <c r="AJ107" s="229">
        <f>_xll.DBRW(Server&amp;Cube1,$N$15,$N$16,$N$17,$N$18,$N$14,$N$13,AJ$2,AJ$1,$B107)</f>
        <v>0</v>
      </c>
      <c r="AK107" s="229">
        <f>_xll.DBRW(Server&amp;Cube1,$N$15,$N$16,$N$17,$N$18,$N$14,$N$13,AK$2,AK$1,$B107)</f>
        <v>0</v>
      </c>
      <c r="AL107" s="229">
        <f>_xll.DBRW(Server&amp;Cube1,$N$15,$N$16,$N$17,$N$18,$N$14,$N$13,AL$2,AL$1,$B107)</f>
        <v>-1928699.9900000002</v>
      </c>
      <c r="AM107" s="32"/>
      <c r="AN107" s="229">
        <f>_xll.DBRW(Server&amp;Cube1,$N$15,$N$16,$N$17,$N$18,$N$14,$N$13,AN$2,AN$1,$B107)</f>
        <v>0</v>
      </c>
      <c r="AO107" s="229">
        <f>_xll.DBRW(Server&amp;Cube1,$N$15,$N$16,$N$17,$N$18,$N$14,$N$13,AO$2,AO$1,$B107)</f>
        <v>0</v>
      </c>
      <c r="AP107" s="229">
        <f>_xll.DBRW(Server&amp;Cube1,$N$15,$N$16,$N$17,$N$18,$N$14,$N$13,AP$2,AP$1,$B107)</f>
        <v>-2162967.59</v>
      </c>
      <c r="AQ107" s="32"/>
      <c r="AR107" s="229">
        <f>_xll.DBRW(Server&amp;Cube1,$N$15,$N$16,$N$17,$N$18,$N$14,$N$13,AR$2,AR$1,$B107)</f>
        <v>0</v>
      </c>
      <c r="AS107" s="229">
        <f>_xll.DBRW(Server&amp;Cube1,$N$15,$N$16,$N$17,$N$18,$N$14,$N$13,AS$2,AS$1,$B107)</f>
        <v>0</v>
      </c>
      <c r="AT107" s="229">
        <f>_xll.DBRW(Server&amp;Cube1,$N$15,$N$16,$N$17,$N$18,$N$14,$N$13,AT$2,AT$1,$B107)</f>
        <v>-45323950.56000001</v>
      </c>
      <c r="AU107" s="32"/>
      <c r="AV107" s="229">
        <f>_xll.DBRW(Server&amp;Cube1,$N$15,$N$16,$N$17,$N$18,$N$14,$N$13,AV$2,AV$1,$B107)</f>
        <v>0</v>
      </c>
      <c r="AW107" s="229">
        <f>_xll.DBRW(Server&amp;Cube1,$N$15,$N$16,$N$17,$N$18,$N$14,$N$13,AW$2,AW$1,$B107)</f>
        <v>0</v>
      </c>
      <c r="AX107" s="229">
        <f>_xll.DBRW(Server&amp;Cube1,$N$15,$N$16,$N$17,$N$18,$N$14,$N$13,AX$2,AX$1,$B107)</f>
        <v>-2284958.4800000004</v>
      </c>
      <c r="AY107" s="32"/>
      <c r="AZ107" s="229">
        <f>_xll.DBRW(Server&amp;Cube1,$N$15,$N$16,$N$17,$N$18,$N$14,$N$13,AZ$2,AZ$1,$B107)</f>
        <v>0</v>
      </c>
      <c r="BA107" s="229">
        <f>_xll.DBRW(Server&amp;Cube1,$N$15,$N$16,$N$17,$N$18,$N$14,$N$13,BA$2,BA$1,$B107)</f>
        <v>0</v>
      </c>
      <c r="BB107" s="229">
        <f>_xll.DBRW(Server&amp;Cube1,$N$15,$N$16,$N$17,$N$18,$N$14,$N$13,BB$2,BB$1,$B107)</f>
        <v>-1099412.57</v>
      </c>
      <c r="BC107" s="32"/>
      <c r="BD107" s="229">
        <f>_xll.DBRW(Server&amp;Cube1,$N$15,$N$16,$N$17,$N$18,$N$14,$N$13,BD$2,BD$1,$B107)</f>
        <v>-248107.80999999997</v>
      </c>
      <c r="BE107" s="229">
        <f>_xll.DBRW(Server&amp;Cube1,$N$15,$N$16,$N$17,$N$18,$N$14,$N$13,BE$2,BE$1,$B107)</f>
        <v>0</v>
      </c>
      <c r="BF107" s="229">
        <f>_xll.DBRW(Server&amp;Cube1,$N$15,$N$16,$N$17,$N$18,$N$14,$N$13,BF$2,BF$1,$B107)</f>
        <v>32475333.139999993</v>
      </c>
      <c r="BG107" s="32"/>
      <c r="BH107" s="229">
        <f>_xll.DBRW(Server&amp;Cube1,$N$15,$N$16,$N$17,$N$18,$N$14,$N$13,BH$2,BH$1,$B107)</f>
        <v>0</v>
      </c>
      <c r="BI107" s="229">
        <f>_xll.DBRW(Server&amp;Cube1,$N$15,$N$16,$N$17,$N$18,$N$14,$N$13,BI$2,BI$1,$B107)</f>
        <v>0</v>
      </c>
      <c r="BJ107" s="229">
        <f>_xll.DBRW(Server&amp;Cube1,$N$15,$N$16,$N$17,$N$18,$N$14,$N$13,BJ$2,BJ$1,$B107)</f>
        <v>-1940778.6099999996</v>
      </c>
      <c r="BK107" s="32"/>
      <c r="BL107" s="229">
        <f>_xll.DBRW(Server&amp;Cube1,$N$15,$N$16,$N$17,$N$18,$N$14,$N$13,BL$2,BL$1,$B107)</f>
        <v>0</v>
      </c>
      <c r="BM107" s="229">
        <f>_xll.DBRW(Server&amp;Cube1,$N$15,$N$16,$N$17,$N$18,$N$14,$N$13,BM$2,BM$1,$B107)</f>
        <v>0</v>
      </c>
      <c r="BN107" s="229">
        <f>_xll.DBRW(Server&amp;Cube1,$N$15,$N$16,$N$17,$N$18,$N$14,$N$13,BN$2,BN$1,$B107)</f>
        <v>-1642842.9699999997</v>
      </c>
      <c r="BO107" s="32"/>
      <c r="BP107" s="229">
        <f>_xll.DBRW(Server&amp;Cube1,$N$15,$N$16,$N$17,$N$18,$N$14,$N$13,BP$2,BP$1,$B107)</f>
        <v>0</v>
      </c>
      <c r="BQ107" s="229">
        <f>_xll.DBRW(Server&amp;Cube1,$N$15,$N$16,$N$17,$N$18,$N$14,$N$13,BQ$2,BQ$1,$B107)</f>
        <v>0</v>
      </c>
      <c r="BR107" s="229">
        <f>_xll.DBRW(Server&amp;Cube1,$N$15,$N$16,$N$17,$N$18,$N$14,$N$13,BR$2,BR$1,$B107)</f>
        <v>1133104.2599999991</v>
      </c>
      <c r="BS107" s="32"/>
      <c r="BT107" s="229">
        <f>_xll.DBRW(Server&amp;Cube1,$N$15,$N$16,$N$17,$N$18,$N$14,$N$13,BT$2,BT$1,$B107)</f>
        <v>0</v>
      </c>
      <c r="BU107" s="229">
        <f>_xll.DBRW(Server&amp;Cube1,$N$15,$N$16,$N$17,$N$18,$N$14,$N$13,BU$2,BU$1,$B107)</f>
        <v>0</v>
      </c>
      <c r="BV107" s="229">
        <f>_xll.DBRW(Server&amp;Cube1,$N$15,$N$16,$N$17,$N$18,$N$14,$N$13,BV$2,BV$1,$B107)</f>
        <v>-14470016.9</v>
      </c>
      <c r="BW107" s="54"/>
      <c r="BX107" s="28"/>
    </row>
    <row r="108" spans="1:78" ht="19.5" hidden="1" customHeight="1" outlineLevel="1" x14ac:dyDescent="0.6">
      <c r="A108" s="56"/>
      <c r="B108" s="54" t="s">
        <v>433</v>
      </c>
      <c r="H108" s="54"/>
      <c r="I108" s="68"/>
      <c r="J108" s="53"/>
      <c r="K108" s="9"/>
      <c r="L108" s="552" t="str">
        <f>LEFT(_xll.DBRA(Server&amp;$B$32,$B108,$N$19),FIND("(",_xll.DBRA(Server&amp;$B$32,$B108,$N$19),1)-1)</f>
        <v xml:space="preserve">Others </v>
      </c>
      <c r="M108" s="552"/>
      <c r="N108" s="552"/>
      <c r="O108" s="552"/>
      <c r="P108" s="112"/>
      <c r="Q108" s="229">
        <f>_xll.DBRW(Server&amp;Cube1,$N$15,$N$16,$N$17,$N$18,$N$14,$N$13,$N$11,$Q$1,$B108)</f>
        <v>-1350369.46</v>
      </c>
      <c r="R108" s="229">
        <f>_xll.DBRW(Server&amp;Cube1,$N$15,$N$16,$N$17,$N$18,$N$14,$N$13,$R$2,$R$1,$B108)</f>
        <v>0</v>
      </c>
      <c r="S108" s="230">
        <f t="shared" si="56"/>
        <v>-1350369.46</v>
      </c>
      <c r="T108" s="232">
        <f t="shared" si="57"/>
        <v>0</v>
      </c>
      <c r="U108" s="218"/>
      <c r="V108" s="229">
        <f>_xll.DBRW(Server&amp;Cube1,$N$15,$N$16,$N$17,$N$18,$N$14,$N$13,$V$2,$V$1,$B108)</f>
        <v>-652888.37999999896</v>
      </c>
      <c r="W108" s="230">
        <f t="shared" si="58"/>
        <v>-697481.08000000101</v>
      </c>
      <c r="X108" s="232">
        <f t="shared" si="59"/>
        <v>-1.0683006488796785</v>
      </c>
      <c r="Y108" s="54"/>
      <c r="Z108" s="54"/>
      <c r="AA108" s="54"/>
      <c r="AB108" s="229">
        <f>_xll.DBRW(Server&amp;Cube1,$N$15,$N$16,$N$17,$N$18,$N$14,$N$13,AB$2,AB$1,$B108)</f>
        <v>0</v>
      </c>
      <c r="AC108" s="229">
        <f>_xll.DBRW(Server&amp;Cube1,$N$15,$N$16,$N$17,$N$18,$N$14,$N$13,AC$2,AC$1,$B108)</f>
        <v>0</v>
      </c>
      <c r="AD108" s="229">
        <f>_xll.DBRW(Server&amp;Cube1,$N$15,$N$16,$N$17,$N$18,$N$14,$N$13,AD$2,AD$1,$B108)</f>
        <v>-1722729.46</v>
      </c>
      <c r="AE108" s="32"/>
      <c r="AF108" s="229">
        <f>_xll.DBRW(Server&amp;Cube1,$N$15,$N$16,$N$17,$N$18,$N$14,$N$13,AF$2,AF$1,$B108)</f>
        <v>0</v>
      </c>
      <c r="AG108" s="229">
        <f>_xll.DBRW(Server&amp;Cube1,$N$15,$N$16,$N$17,$N$18,$N$14,$N$13,AG$2,AG$1,$B108)</f>
        <v>0</v>
      </c>
      <c r="AH108" s="229">
        <f>_xll.DBRW(Server&amp;Cube1,$N$15,$N$16,$N$17,$N$18,$N$14,$N$13,AH$2,AH$1,$B108)</f>
        <v>-5179236.169999999</v>
      </c>
      <c r="AI108" s="32"/>
      <c r="AJ108" s="229">
        <f>_xll.DBRW(Server&amp;Cube1,$N$15,$N$16,$N$17,$N$18,$N$14,$N$13,AJ$2,AJ$1,$B108)</f>
        <v>0</v>
      </c>
      <c r="AK108" s="229">
        <f>_xll.DBRW(Server&amp;Cube1,$N$15,$N$16,$N$17,$N$18,$N$14,$N$13,AK$2,AK$1,$B108)</f>
        <v>0</v>
      </c>
      <c r="AL108" s="229">
        <f>_xll.DBRW(Server&amp;Cube1,$N$15,$N$16,$N$17,$N$18,$N$14,$N$13,AL$2,AL$1,$B108)</f>
        <v>-8695662.1199999992</v>
      </c>
      <c r="AM108" s="32"/>
      <c r="AN108" s="229">
        <f>_xll.DBRW(Server&amp;Cube1,$N$15,$N$16,$N$17,$N$18,$N$14,$N$13,AN$2,AN$1,$B108)</f>
        <v>0</v>
      </c>
      <c r="AO108" s="229">
        <f>_xll.DBRW(Server&amp;Cube1,$N$15,$N$16,$N$17,$N$18,$N$14,$N$13,AO$2,AO$1,$B108)</f>
        <v>0</v>
      </c>
      <c r="AP108" s="229">
        <f>_xll.DBRW(Server&amp;Cube1,$N$15,$N$16,$N$17,$N$18,$N$14,$N$13,AP$2,AP$1,$B108)</f>
        <v>-5172332.7699999996</v>
      </c>
      <c r="AQ108" s="32"/>
      <c r="AR108" s="229">
        <f>_xll.DBRW(Server&amp;Cube1,$N$15,$N$16,$N$17,$N$18,$N$14,$N$13,AR$2,AR$1,$B108)</f>
        <v>0</v>
      </c>
      <c r="AS108" s="229">
        <f>_xll.DBRW(Server&amp;Cube1,$N$15,$N$16,$N$17,$N$18,$N$14,$N$13,AS$2,AS$1,$B108)</f>
        <v>0</v>
      </c>
      <c r="AT108" s="229">
        <f>_xll.DBRW(Server&amp;Cube1,$N$15,$N$16,$N$17,$N$18,$N$14,$N$13,AT$2,AT$1,$B108)</f>
        <v>-7820507.9000000004</v>
      </c>
      <c r="AU108" s="32"/>
      <c r="AV108" s="229">
        <f>_xll.DBRW(Server&amp;Cube1,$N$15,$N$16,$N$17,$N$18,$N$14,$N$13,AV$2,AV$1,$B108)</f>
        <v>0</v>
      </c>
      <c r="AW108" s="229">
        <f>_xll.DBRW(Server&amp;Cube1,$N$15,$N$16,$N$17,$N$18,$N$14,$N$13,AW$2,AW$1,$B108)</f>
        <v>0</v>
      </c>
      <c r="AX108" s="229">
        <f>_xll.DBRW(Server&amp;Cube1,$N$15,$N$16,$N$17,$N$18,$N$14,$N$13,AX$2,AX$1,$B108)</f>
        <v>-1270088.7599999998</v>
      </c>
      <c r="AY108" s="32"/>
      <c r="AZ108" s="229">
        <f>_xll.DBRW(Server&amp;Cube1,$N$15,$N$16,$N$17,$N$18,$N$14,$N$13,AZ$2,AZ$1,$B108)</f>
        <v>0</v>
      </c>
      <c r="BA108" s="229">
        <f>_xll.DBRW(Server&amp;Cube1,$N$15,$N$16,$N$17,$N$18,$N$14,$N$13,BA$2,BA$1,$B108)</f>
        <v>0</v>
      </c>
      <c r="BB108" s="229">
        <f>_xll.DBRW(Server&amp;Cube1,$N$15,$N$16,$N$17,$N$18,$N$14,$N$13,BB$2,BB$1,$B108)</f>
        <v>193131.51999999999</v>
      </c>
      <c r="BC108" s="32"/>
      <c r="BD108" s="229">
        <f>_xll.DBRW(Server&amp;Cube1,$N$15,$N$16,$N$17,$N$18,$N$14,$N$13,BD$2,BD$1,$B108)</f>
        <v>-1350369.46</v>
      </c>
      <c r="BE108" s="229">
        <f>_xll.DBRW(Server&amp;Cube1,$N$15,$N$16,$N$17,$N$18,$N$14,$N$13,BE$2,BE$1,$B108)</f>
        <v>0</v>
      </c>
      <c r="BF108" s="229">
        <f>_xll.DBRW(Server&amp;Cube1,$N$15,$N$16,$N$17,$N$18,$N$14,$N$13,BF$2,BF$1,$B108)</f>
        <v>29014537.280000005</v>
      </c>
      <c r="BG108" s="32"/>
      <c r="BH108" s="229">
        <f>_xll.DBRW(Server&amp;Cube1,$N$15,$N$16,$N$17,$N$18,$N$14,$N$13,BH$2,BH$1,$B108)</f>
        <v>0</v>
      </c>
      <c r="BI108" s="229">
        <f>_xll.DBRW(Server&amp;Cube1,$N$15,$N$16,$N$17,$N$18,$N$14,$N$13,BI$2,BI$1,$B108)</f>
        <v>0</v>
      </c>
      <c r="BJ108" s="229">
        <f>_xll.DBRW(Server&amp;Cube1,$N$15,$N$16,$N$17,$N$18,$N$14,$N$13,BJ$2,BJ$1,$B108)</f>
        <v>-649685612.67999995</v>
      </c>
      <c r="BK108" s="32"/>
      <c r="BL108" s="229">
        <f>_xll.DBRW(Server&amp;Cube1,$N$15,$N$16,$N$17,$N$18,$N$14,$N$13,BL$2,BL$1,$B108)</f>
        <v>0</v>
      </c>
      <c r="BM108" s="229">
        <f>_xll.DBRW(Server&amp;Cube1,$N$15,$N$16,$N$17,$N$18,$N$14,$N$13,BM$2,BM$1,$B108)</f>
        <v>0</v>
      </c>
      <c r="BN108" s="229">
        <f>_xll.DBRW(Server&amp;Cube1,$N$15,$N$16,$N$17,$N$18,$N$14,$N$13,BN$2,BN$1,$B108)</f>
        <v>-22697234.170000002</v>
      </c>
      <c r="BO108" s="32"/>
      <c r="BP108" s="229">
        <f>_xll.DBRW(Server&amp;Cube1,$N$15,$N$16,$N$17,$N$18,$N$14,$N$13,BP$2,BP$1,$B108)</f>
        <v>0</v>
      </c>
      <c r="BQ108" s="229">
        <f>_xll.DBRW(Server&amp;Cube1,$N$15,$N$16,$N$17,$N$18,$N$14,$N$13,BQ$2,BQ$1,$B108)</f>
        <v>0</v>
      </c>
      <c r="BR108" s="229">
        <f>_xll.DBRW(Server&amp;Cube1,$N$15,$N$16,$N$17,$N$18,$N$14,$N$13,BR$2,BR$1,$B108)</f>
        <v>-19802577.57</v>
      </c>
      <c r="BS108" s="32"/>
      <c r="BT108" s="229">
        <f>_xll.DBRW(Server&amp;Cube1,$N$15,$N$16,$N$17,$N$18,$N$14,$N$13,BT$2,BT$1,$B108)</f>
        <v>0</v>
      </c>
      <c r="BU108" s="229">
        <f>_xll.DBRW(Server&amp;Cube1,$N$15,$N$16,$N$17,$N$18,$N$14,$N$13,BU$2,BU$1,$B108)</f>
        <v>0</v>
      </c>
      <c r="BV108" s="229">
        <f>_xll.DBRW(Server&amp;Cube1,$N$15,$N$16,$N$17,$N$18,$N$14,$N$13,BV$2,BV$1,$B108)</f>
        <v>-25359100.799999997</v>
      </c>
      <c r="BW108" s="54"/>
      <c r="BX108" s="28"/>
    </row>
    <row r="109" spans="1:78" ht="19.5" hidden="1" customHeight="1" outlineLevel="1" x14ac:dyDescent="0.6">
      <c r="A109" s="56"/>
      <c r="B109" s="54" t="s">
        <v>434</v>
      </c>
      <c r="H109" s="54"/>
      <c r="I109" s="68"/>
      <c r="J109" s="53"/>
      <c r="K109" s="9"/>
      <c r="L109" s="552" t="str">
        <f>LEFT(_xll.DBRA(Server&amp;$B$32,$B109,$N$19),FIND("(",_xll.DBRA(Server&amp;$B$32,$B109,$N$19),1)-1)</f>
        <v xml:space="preserve">Operating lease </v>
      </c>
      <c r="M109" s="552"/>
      <c r="N109" s="552"/>
      <c r="O109" s="552"/>
      <c r="P109" s="112"/>
      <c r="Q109" s="229">
        <f>_xll.DBRW(Server&amp;Cube1,$N$15,$N$16,$N$17,$N$18,$N$14,$N$13,$N$11,$Q$1,$B109)</f>
        <v>0</v>
      </c>
      <c r="R109" s="229">
        <f>_xll.DBRW(Server&amp;Cube1,$N$15,$N$16,$N$17,$N$18,$N$14,$N$13,$R$2,$R$1,$B109)</f>
        <v>0</v>
      </c>
      <c r="S109" s="230">
        <f t="shared" si="48"/>
        <v>0</v>
      </c>
      <c r="T109" s="232">
        <f t="shared" si="49"/>
        <v>0</v>
      </c>
      <c r="U109" s="218"/>
      <c r="V109" s="229">
        <f>_xll.DBRW(Server&amp;Cube1,$N$15,$N$16,$N$17,$N$18,$N$14,$N$13,$V$2,$V$1,$B109)</f>
        <v>4589794.7400000095</v>
      </c>
      <c r="W109" s="230">
        <f t="shared" si="50"/>
        <v>-4589794.7400000095</v>
      </c>
      <c r="X109" s="232">
        <f t="shared" si="51"/>
        <v>-1</v>
      </c>
      <c r="Y109" s="54"/>
      <c r="Z109" s="54"/>
      <c r="AA109" s="54"/>
      <c r="AB109" s="233">
        <f>_xll.DBRW(Server&amp;Cube1,$N$15,$N$16,$N$17,$N$18,$N$14,$N$13,AB$2,AB$1,$B109)</f>
        <v>0</v>
      </c>
      <c r="AC109" s="233">
        <f>_xll.DBRW(Server&amp;Cube1,$N$15,$N$16,$N$17,$N$18,$N$14,$N$13,AC$2,AC$1,$B109)</f>
        <v>0</v>
      </c>
      <c r="AD109" s="233">
        <f>_xll.DBRW(Server&amp;Cube1,$N$15,$N$16,$N$17,$N$18,$N$14,$N$13,AD$2,AD$1,$B109)</f>
        <v>-55881892.789999999</v>
      </c>
      <c r="AE109" s="32"/>
      <c r="AF109" s="233">
        <f>_xll.DBRW(Server&amp;Cube1,$N$15,$N$16,$N$17,$N$18,$N$14,$N$13,AF$2,AF$1,$B109)</f>
        <v>0</v>
      </c>
      <c r="AG109" s="233">
        <f>_xll.DBRW(Server&amp;Cube1,$N$15,$N$16,$N$17,$N$18,$N$14,$N$13,AG$2,AG$1,$B109)</f>
        <v>0</v>
      </c>
      <c r="AH109" s="233">
        <f>_xll.DBRW(Server&amp;Cube1,$N$15,$N$16,$N$17,$N$18,$N$14,$N$13,AH$2,AH$1,$B109)</f>
        <v>17445924.109999999</v>
      </c>
      <c r="AI109" s="32"/>
      <c r="AJ109" s="233">
        <f>_xll.DBRW(Server&amp;Cube1,$N$15,$N$16,$N$17,$N$18,$N$14,$N$13,AJ$2,AJ$1,$B109)</f>
        <v>0</v>
      </c>
      <c r="AK109" s="233">
        <f>_xll.DBRW(Server&amp;Cube1,$N$15,$N$16,$N$17,$N$18,$N$14,$N$13,AK$2,AK$1,$B109)</f>
        <v>0</v>
      </c>
      <c r="AL109" s="233">
        <f>_xll.DBRW(Server&amp;Cube1,$N$15,$N$16,$N$17,$N$18,$N$14,$N$13,AL$2,AL$1,$B109)</f>
        <v>-91912253</v>
      </c>
      <c r="AM109" s="32"/>
      <c r="AN109" s="233">
        <f>_xll.DBRW(Server&amp;Cube1,$N$15,$N$16,$N$17,$N$18,$N$14,$N$13,AN$2,AN$1,$B109)</f>
        <v>0</v>
      </c>
      <c r="AO109" s="233">
        <f>_xll.DBRW(Server&amp;Cube1,$N$15,$N$16,$N$17,$N$18,$N$14,$N$13,AO$2,AO$1,$B109)</f>
        <v>0</v>
      </c>
      <c r="AP109" s="233">
        <f>_xll.DBRW(Server&amp;Cube1,$N$15,$N$16,$N$17,$N$18,$N$14,$N$13,AP$2,AP$1,$B109)</f>
        <v>-36996709.100000001</v>
      </c>
      <c r="AQ109" s="32"/>
      <c r="AR109" s="233">
        <f>_xll.DBRW(Server&amp;Cube1,$N$15,$N$16,$N$17,$N$18,$N$14,$N$13,AR$2,AR$1,$B109)</f>
        <v>0</v>
      </c>
      <c r="AS109" s="233">
        <f>_xll.DBRW(Server&amp;Cube1,$N$15,$N$16,$N$17,$N$18,$N$14,$N$13,AS$2,AS$1,$B109)</f>
        <v>0</v>
      </c>
      <c r="AT109" s="233">
        <f>_xll.DBRW(Server&amp;Cube1,$N$15,$N$16,$N$17,$N$18,$N$14,$N$13,AT$2,AT$1,$B109)</f>
        <v>-36651502.210000001</v>
      </c>
      <c r="AU109" s="32"/>
      <c r="AV109" s="233">
        <f>_xll.DBRW(Server&amp;Cube1,$N$15,$N$16,$N$17,$N$18,$N$14,$N$13,AV$2,AV$1,$B109)</f>
        <v>0</v>
      </c>
      <c r="AW109" s="233">
        <f>_xll.DBRW(Server&amp;Cube1,$N$15,$N$16,$N$17,$N$18,$N$14,$N$13,AW$2,AW$1,$B109)</f>
        <v>0</v>
      </c>
      <c r="AX109" s="233">
        <f>_xll.DBRW(Server&amp;Cube1,$N$15,$N$16,$N$17,$N$18,$N$14,$N$13,AX$2,AX$1,$B109)</f>
        <v>-41035972.32</v>
      </c>
      <c r="AY109" s="32"/>
      <c r="AZ109" s="233">
        <f>_xll.DBRW(Server&amp;Cube1,$N$15,$N$16,$N$17,$N$18,$N$14,$N$13,AZ$2,AZ$1,$B109)</f>
        <v>0</v>
      </c>
      <c r="BA109" s="233">
        <f>_xll.DBRW(Server&amp;Cube1,$N$15,$N$16,$N$17,$N$18,$N$14,$N$13,BA$2,BA$1,$B109)</f>
        <v>0</v>
      </c>
      <c r="BB109" s="233">
        <f>_xll.DBRW(Server&amp;Cube1,$N$15,$N$16,$N$17,$N$18,$N$14,$N$13,BB$2,BB$1,$B109)</f>
        <v>-43858822.420000002</v>
      </c>
      <c r="BC109" s="32"/>
      <c r="BD109" s="233">
        <f>_xll.DBRW(Server&amp;Cube1,$N$15,$N$16,$N$17,$N$18,$N$14,$N$13,BD$2,BD$1,$B109)</f>
        <v>0</v>
      </c>
      <c r="BE109" s="233">
        <f>_xll.DBRW(Server&amp;Cube1,$N$15,$N$16,$N$17,$N$18,$N$14,$N$13,BE$2,BE$1,$B109)</f>
        <v>0</v>
      </c>
      <c r="BF109" s="233">
        <f>_xll.DBRW(Server&amp;Cube1,$N$15,$N$16,$N$17,$N$18,$N$14,$N$13,BF$2,BF$1,$B109)</f>
        <v>293481022.47000003</v>
      </c>
      <c r="BG109" s="32"/>
      <c r="BH109" s="233">
        <f>_xll.DBRW(Server&amp;Cube1,$N$15,$N$16,$N$17,$N$18,$N$14,$N$13,BH$2,BH$1,$B109)</f>
        <v>0</v>
      </c>
      <c r="BI109" s="233">
        <f>_xll.DBRW(Server&amp;Cube1,$N$15,$N$16,$N$17,$N$18,$N$14,$N$13,BI$2,BI$1,$B109)</f>
        <v>0</v>
      </c>
      <c r="BJ109" s="233">
        <f>_xll.DBRW(Server&amp;Cube1,$N$15,$N$16,$N$17,$N$18,$N$14,$N$13,BJ$2,BJ$1,$B109)</f>
        <v>-35736798.640000001</v>
      </c>
      <c r="BK109" s="32"/>
      <c r="BL109" s="233">
        <f>_xll.DBRW(Server&amp;Cube1,$N$15,$N$16,$N$17,$N$18,$N$14,$N$13,BL$2,BL$1,$B109)</f>
        <v>0</v>
      </c>
      <c r="BM109" s="233">
        <f>_xll.DBRW(Server&amp;Cube1,$N$15,$N$16,$N$17,$N$18,$N$14,$N$13,BM$2,BM$1,$B109)</f>
        <v>0</v>
      </c>
      <c r="BN109" s="233">
        <f>_xll.DBRW(Server&amp;Cube1,$N$15,$N$16,$N$17,$N$18,$N$14,$N$13,BN$2,BN$1,$B109)</f>
        <v>-32142570.739999998</v>
      </c>
      <c r="BO109" s="32"/>
      <c r="BP109" s="233">
        <f>_xll.DBRW(Server&amp;Cube1,$N$15,$N$16,$N$17,$N$18,$N$14,$N$13,BP$2,BP$1,$B109)</f>
        <v>0</v>
      </c>
      <c r="BQ109" s="233">
        <f>_xll.DBRW(Server&amp;Cube1,$N$15,$N$16,$N$17,$N$18,$N$14,$N$13,BQ$2,BQ$1,$B109)</f>
        <v>0</v>
      </c>
      <c r="BR109" s="233">
        <f>_xll.DBRW(Server&amp;Cube1,$N$15,$N$16,$N$17,$N$18,$N$14,$N$13,BR$2,BR$1,$B109)</f>
        <v>-32001628.850000001</v>
      </c>
      <c r="BS109" s="32"/>
      <c r="BT109" s="233">
        <f>_xll.DBRW(Server&amp;Cube1,$N$15,$N$16,$N$17,$N$18,$N$14,$N$13,BT$2,BT$1,$B109)</f>
        <v>0</v>
      </c>
      <c r="BU109" s="233">
        <f>_xll.DBRW(Server&amp;Cube1,$N$15,$N$16,$N$17,$N$18,$N$14,$N$13,BU$2,BU$1,$B109)</f>
        <v>0</v>
      </c>
      <c r="BV109" s="233">
        <f>_xll.DBRW(Server&amp;Cube1,$N$15,$N$16,$N$17,$N$18,$N$14,$N$13,BV$2,BV$1,$B109)</f>
        <v>-39329331.490000002</v>
      </c>
      <c r="BW109" s="54"/>
      <c r="BX109" s="28"/>
    </row>
    <row r="110" spans="1:78" s="34" customFormat="1" ht="3" customHeight="1" x14ac:dyDescent="0.6">
      <c r="A110" s="56"/>
      <c r="B110" s="54"/>
      <c r="C110" s="9"/>
      <c r="D110" s="1"/>
      <c r="E110" s="1"/>
      <c r="H110" s="54"/>
      <c r="I110" s="68"/>
      <c r="J110" s="53"/>
      <c r="K110" s="68"/>
      <c r="L110" s="68"/>
      <c r="M110" s="54"/>
      <c r="N110" s="54"/>
      <c r="O110" s="54"/>
      <c r="P110" s="54"/>
      <c r="Q110" s="69"/>
      <c r="R110" s="69"/>
      <c r="S110" s="69"/>
      <c r="T110" s="70"/>
      <c r="U110" s="69"/>
      <c r="V110" s="69"/>
      <c r="W110" s="69"/>
      <c r="X110" s="70"/>
      <c r="Y110" s="54"/>
      <c r="Z110" s="54"/>
      <c r="AA110" s="54"/>
      <c r="AB110" s="69"/>
      <c r="AC110" s="69"/>
      <c r="AD110" s="69"/>
      <c r="AE110" s="32"/>
      <c r="AF110" s="69"/>
      <c r="AG110" s="69"/>
      <c r="AH110" s="69"/>
      <c r="AI110" s="32"/>
      <c r="AJ110" s="69"/>
      <c r="AK110" s="69"/>
      <c r="AL110" s="69"/>
      <c r="AM110" s="32"/>
      <c r="AN110" s="69"/>
      <c r="AO110" s="69"/>
      <c r="AP110" s="69"/>
      <c r="AQ110" s="32"/>
      <c r="AR110" s="69"/>
      <c r="AS110" s="69"/>
      <c r="AT110" s="69"/>
      <c r="AU110" s="32"/>
      <c r="AV110" s="69"/>
      <c r="AW110" s="69"/>
      <c r="AX110" s="69"/>
      <c r="AY110" s="32"/>
      <c r="AZ110" s="69"/>
      <c r="BA110" s="69"/>
      <c r="BB110" s="69"/>
      <c r="BC110" s="32"/>
      <c r="BD110" s="69"/>
      <c r="BE110" s="69"/>
      <c r="BF110" s="69"/>
      <c r="BG110" s="32"/>
      <c r="BH110" s="69"/>
      <c r="BI110" s="69"/>
      <c r="BJ110" s="69"/>
      <c r="BK110" s="32"/>
      <c r="BL110" s="69"/>
      <c r="BM110" s="69"/>
      <c r="BN110" s="69"/>
      <c r="BO110" s="32"/>
      <c r="BP110" s="69"/>
      <c r="BQ110" s="69"/>
      <c r="BR110" s="69"/>
      <c r="BS110" s="32"/>
      <c r="BT110" s="69"/>
      <c r="BU110" s="69"/>
      <c r="BV110" s="69"/>
      <c r="BW110" s="54"/>
      <c r="BX110" s="28"/>
    </row>
    <row r="111" spans="1:78" s="34" customFormat="1" ht="23.25" customHeight="1" collapsed="1" x14ac:dyDescent="0.8">
      <c r="A111" s="56"/>
      <c r="B111" s="54" t="s">
        <v>82</v>
      </c>
      <c r="C111" s="9"/>
      <c r="D111" s="1"/>
      <c r="E111" s="1"/>
      <c r="H111" s="54"/>
      <c r="I111" s="94"/>
      <c r="J111" s="57"/>
      <c r="K111" s="560" t="str">
        <f>"O - "&amp;_xll.DBRA(Server&amp;$B$32,$B111,$N$19)</f>
        <v>O - Other Operating cost</v>
      </c>
      <c r="L111" s="560"/>
      <c r="M111" s="560"/>
      <c r="N111" s="560"/>
      <c r="O111" s="560"/>
      <c r="P111" s="234"/>
      <c r="Q111" s="235">
        <f>_xll.DBRW(Server&amp;Cube1,$N$15,$N$16,$N$17,$N$18,$N$14,$N$13,$N$11,$Q$1,$B111)</f>
        <v>-50423509.68999999</v>
      </c>
      <c r="R111" s="235">
        <f>_xll.DBRW(Server&amp;Cube1,$N$15,$N$16,$N$17,$N$18,$N$14,$N$13,$R$2,$R$1,$B111)</f>
        <v>0</v>
      </c>
      <c r="S111" s="236">
        <f>Q111-R111</f>
        <v>-50423509.68999999</v>
      </c>
      <c r="T111" s="237">
        <f>IF(R111&lt;&gt;0,IF(R111&gt;0,S111/R111,-S111/R111),0)</f>
        <v>0</v>
      </c>
      <c r="U111" s="211"/>
      <c r="V111" s="235">
        <f>_xll.DBRW(Server&amp;Cube1,$N$15,$N$16,$N$17,$N$18,$N$14,$N$13,$V$2,$V$1,$B111)</f>
        <v>-1226624524.1625772</v>
      </c>
      <c r="W111" s="236">
        <f>Q111-V111</f>
        <v>1176201014.4725771</v>
      </c>
      <c r="X111" s="237">
        <f>IF(V111&lt;&gt;0,IF(V111&gt;0,W111/V111,-W111/V111),0)</f>
        <v>0.95889246570834341</v>
      </c>
      <c r="Y111" s="71"/>
      <c r="Z111" s="71"/>
      <c r="AA111" s="71"/>
      <c r="AB111" s="235">
        <f>_xll.DBRW(Server&amp;Cube1,$N$15,$N$16,$N$17,$N$18,$N$14,$N$13,AB$2,AB$1,$B111)</f>
        <v>0</v>
      </c>
      <c r="AC111" s="235">
        <f>_xll.DBRW(Server&amp;Cube1,$N$15,$N$16,$N$17,$N$18,$N$14,$N$13,AC$2,AC$1,$B111)</f>
        <v>0</v>
      </c>
      <c r="AD111" s="235">
        <f>_xll.DBRW(Server&amp;Cube1,$N$15,$N$16,$N$17,$N$18,$N$14,$N$13,AD$2,AD$1,$B111)</f>
        <v>-1533918602.3849118</v>
      </c>
      <c r="AE111" s="32"/>
      <c r="AF111" s="235">
        <f>_xll.DBRW(Server&amp;Cube1,$N$15,$N$16,$N$17,$N$18,$N$14,$N$13,AF$2,AF$1,$B111)</f>
        <v>0</v>
      </c>
      <c r="AG111" s="235">
        <f>_xll.DBRW(Server&amp;Cube1,$N$15,$N$16,$N$17,$N$18,$N$14,$N$13,AG$2,AG$1,$B111)</f>
        <v>0</v>
      </c>
      <c r="AH111" s="235">
        <f>_xll.DBRW(Server&amp;Cube1,$N$15,$N$16,$N$17,$N$18,$N$14,$N$13,AH$2,AH$1,$B111)</f>
        <v>-101991803.44217597</v>
      </c>
      <c r="AI111" s="32"/>
      <c r="AJ111" s="235">
        <f>_xll.DBRW(Server&amp;Cube1,$N$15,$N$16,$N$17,$N$18,$N$14,$N$13,AJ$2,AJ$1,$B111)</f>
        <v>0</v>
      </c>
      <c r="AK111" s="235">
        <f>_xll.DBRW(Server&amp;Cube1,$N$15,$N$16,$N$17,$N$18,$N$14,$N$13,AK$2,AK$1,$B111)</f>
        <v>0</v>
      </c>
      <c r="AL111" s="235">
        <f>_xll.DBRW(Server&amp;Cube1,$N$15,$N$16,$N$17,$N$18,$N$14,$N$13,AL$2,AL$1,$B111)</f>
        <v>-2986912472.7383051</v>
      </c>
      <c r="AM111" s="32"/>
      <c r="AN111" s="235">
        <f>_xll.DBRW(Server&amp;Cube1,$N$15,$N$16,$N$17,$N$18,$N$14,$N$13,AN$2,AN$1,$B111)</f>
        <v>0</v>
      </c>
      <c r="AO111" s="235">
        <f>_xll.DBRW(Server&amp;Cube1,$N$15,$N$16,$N$17,$N$18,$N$14,$N$13,AO$2,AO$1,$B111)</f>
        <v>0</v>
      </c>
      <c r="AP111" s="235">
        <f>_xll.DBRW(Server&amp;Cube1,$N$15,$N$16,$N$17,$N$18,$N$14,$N$13,AP$2,AP$1,$B111)</f>
        <v>-1077874109.4266503</v>
      </c>
      <c r="AQ111" s="32"/>
      <c r="AR111" s="235">
        <f>_xll.DBRW(Server&amp;Cube1,$N$15,$N$16,$N$17,$N$18,$N$14,$N$13,AR$2,AR$1,$B111)</f>
        <v>0</v>
      </c>
      <c r="AS111" s="235">
        <f>_xll.DBRW(Server&amp;Cube1,$N$15,$N$16,$N$17,$N$18,$N$14,$N$13,AS$2,AS$1,$B111)</f>
        <v>0</v>
      </c>
      <c r="AT111" s="235">
        <f>_xll.DBRW(Server&amp;Cube1,$N$15,$N$16,$N$17,$N$18,$N$14,$N$13,AT$2,AT$1,$B111)</f>
        <v>-1750161940.4290447</v>
      </c>
      <c r="AU111" s="32"/>
      <c r="AV111" s="235">
        <f>_xll.DBRW(Server&amp;Cube1,$N$15,$N$16,$N$17,$N$18,$N$14,$N$13,AV$2,AV$1,$B111)</f>
        <v>0</v>
      </c>
      <c r="AW111" s="235">
        <f>_xll.DBRW(Server&amp;Cube1,$N$15,$N$16,$N$17,$N$18,$N$14,$N$13,AW$2,AW$1,$B111)</f>
        <v>0</v>
      </c>
      <c r="AX111" s="235">
        <f>_xll.DBRW(Server&amp;Cube1,$N$15,$N$16,$N$17,$N$18,$N$14,$N$13,AX$2,AX$1,$B111)</f>
        <v>-1927691423.822814</v>
      </c>
      <c r="AY111" s="32"/>
      <c r="AZ111" s="235">
        <f>_xll.DBRW(Server&amp;Cube1,$N$15,$N$16,$N$17,$N$18,$N$14,$N$13,AZ$2,AZ$1,$B111)</f>
        <v>0</v>
      </c>
      <c r="BA111" s="235">
        <f>_xll.DBRW(Server&amp;Cube1,$N$15,$N$16,$N$17,$N$18,$N$14,$N$13,BA$2,BA$1,$B111)</f>
        <v>0</v>
      </c>
      <c r="BB111" s="235">
        <f>_xll.DBRW(Server&amp;Cube1,$N$15,$N$16,$N$17,$N$18,$N$14,$N$13,BB$2,BB$1,$B111)</f>
        <v>-1567354834.5609989</v>
      </c>
      <c r="BC111" s="32"/>
      <c r="BD111" s="235">
        <f>_xll.DBRW(Server&amp;Cube1,$N$15,$N$16,$N$17,$N$18,$N$14,$N$13,BD$2,BD$1,$B111)</f>
        <v>-50423509.689999983</v>
      </c>
      <c r="BE111" s="235">
        <f>_xll.DBRW(Server&amp;Cube1,$N$15,$N$16,$N$17,$N$18,$N$14,$N$13,BE$2,BE$1,$B111)</f>
        <v>0</v>
      </c>
      <c r="BF111" s="235">
        <f>_xll.DBRW(Server&amp;Cube1,$N$15,$N$16,$N$17,$N$18,$N$14,$N$13,BF$2,BF$1,$B111)</f>
        <v>9719280662.6423187</v>
      </c>
      <c r="BG111" s="32"/>
      <c r="BH111" s="235">
        <f>_xll.DBRW(Server&amp;Cube1,$N$15,$N$16,$N$17,$N$18,$N$14,$N$13,BH$2,BH$1,$B111)</f>
        <v>0</v>
      </c>
      <c r="BI111" s="235">
        <f>_xll.DBRW(Server&amp;Cube1,$N$15,$N$16,$N$17,$N$18,$N$14,$N$13,BI$2,BI$1,$B111)</f>
        <v>0</v>
      </c>
      <c r="BJ111" s="235">
        <f>_xll.DBRW(Server&amp;Cube1,$N$15,$N$16,$N$17,$N$18,$N$14,$N$13,BJ$2,BJ$1,$B111)</f>
        <v>-1732484275.6530206</v>
      </c>
      <c r="BK111" s="32"/>
      <c r="BL111" s="235">
        <f>_xll.DBRW(Server&amp;Cube1,$N$15,$N$16,$N$17,$N$18,$N$14,$N$13,BL$2,BL$1,$B111)</f>
        <v>0</v>
      </c>
      <c r="BM111" s="235">
        <f>_xll.DBRW(Server&amp;Cube1,$N$15,$N$16,$N$17,$N$18,$N$14,$N$13,BM$2,BM$1,$B111)</f>
        <v>0</v>
      </c>
      <c r="BN111" s="235">
        <f>_xll.DBRW(Server&amp;Cube1,$N$15,$N$16,$N$17,$N$18,$N$14,$N$13,BN$2,BN$1,$B111)</f>
        <v>-1622955294.4090722</v>
      </c>
      <c r="BO111" s="32"/>
      <c r="BP111" s="235">
        <f>_xll.DBRW(Server&amp;Cube1,$N$15,$N$16,$N$17,$N$18,$N$14,$N$13,BP$2,BP$1,$B111)</f>
        <v>0</v>
      </c>
      <c r="BQ111" s="235">
        <f>_xll.DBRW(Server&amp;Cube1,$N$15,$N$16,$N$17,$N$18,$N$14,$N$13,BQ$2,BQ$1,$B111)</f>
        <v>0</v>
      </c>
      <c r="BR111" s="235">
        <f>_xll.DBRW(Server&amp;Cube1,$N$15,$N$16,$N$17,$N$18,$N$14,$N$13,BR$2,BR$1,$B111)</f>
        <v>-2274791351.349885</v>
      </c>
      <c r="BS111" s="32"/>
      <c r="BT111" s="235">
        <f>_xll.DBRW(Server&amp;Cube1,$N$15,$N$16,$N$17,$N$18,$N$14,$N$13,BT$2,BT$1,$B111)</f>
        <v>0</v>
      </c>
      <c r="BU111" s="235">
        <f>_xll.DBRW(Server&amp;Cube1,$N$15,$N$16,$N$17,$N$18,$N$14,$N$13,BU$2,BU$1,$B111)</f>
        <v>0</v>
      </c>
      <c r="BV111" s="235">
        <f>_xll.DBRW(Server&amp;Cube1,$N$15,$N$16,$N$17,$N$18,$N$14,$N$13,BV$2,BV$1,$B111)</f>
        <v>-3905830631.8671694</v>
      </c>
      <c r="BW111" s="71"/>
      <c r="BX111" s="28"/>
    </row>
    <row r="112" spans="1:78" ht="19.5" hidden="1" customHeight="1" outlineLevel="1" x14ac:dyDescent="0.6">
      <c r="A112" s="56"/>
      <c r="B112" s="54" t="s">
        <v>76</v>
      </c>
      <c r="H112" s="54"/>
      <c r="I112" s="68"/>
      <c r="J112" s="53"/>
      <c r="K112" s="9"/>
      <c r="L112" s="563" t="str">
        <f>LEFT(_xll.DBRA(Server&amp;$B$32,$B112,$N$19),FIND("(",_xll.DBRA(Server&amp;$B$32,$B112,$N$19),1)-1)</f>
        <v xml:space="preserve">Maintenance &amp; cleaning of infrastructures </v>
      </c>
      <c r="M112" s="563"/>
      <c r="N112" s="563"/>
      <c r="O112" s="563"/>
      <c r="P112" s="112"/>
      <c r="Q112" s="229">
        <f>_xll.DBRW(Server&amp;Cube1,$N$15,$N$16,$N$17,$N$18,$N$14,$N$13,$N$11,$Q$1,$B112)</f>
        <v>-982384.93999999971</v>
      </c>
      <c r="R112" s="229">
        <f>_xll.DBRW(Server&amp;Cube1,$N$15,$N$16,$N$17,$N$18,$N$14,$N$13,$R$2,$R$1,$B112)</f>
        <v>0</v>
      </c>
      <c r="S112" s="230">
        <f t="shared" ref="S112:S117" si="60">Q112-R112</f>
        <v>-982384.93999999971</v>
      </c>
      <c r="T112" s="232">
        <f t="shared" ref="T112:T117" si="61">IF(R112&lt;&gt;0,IF(R112&gt;0,S112/R112,-S112/R112),0)</f>
        <v>0</v>
      </c>
      <c r="U112" s="218"/>
      <c r="V112" s="229">
        <f>_xll.DBRW(Server&amp;Cube1,$N$15,$N$16,$N$17,$N$18,$N$14,$N$13,$V$2,$V$1,$B112)</f>
        <v>-98485689.410000026</v>
      </c>
      <c r="W112" s="230">
        <f t="shared" ref="W112:W117" si="62">Q112-V112</f>
        <v>97503304.470000029</v>
      </c>
      <c r="X112" s="232">
        <f t="shared" ref="X112:X117" si="63">IF(V112&lt;&gt;0,IF(V112&gt;0,W112/V112,-W112/V112),0)</f>
        <v>0.99002509962731455</v>
      </c>
      <c r="Y112" s="54"/>
      <c r="Z112" s="54"/>
      <c r="AA112" s="54"/>
      <c r="AB112" s="229">
        <f>_xll.DBRW(Server&amp;Cube1,$N$15,$N$16,$N$17,$N$18,$N$14,$N$13,AB$2,AB$1,$B112)</f>
        <v>0</v>
      </c>
      <c r="AC112" s="229">
        <f>_xll.DBRW(Server&amp;Cube1,$N$15,$N$16,$N$17,$N$18,$N$14,$N$13,AC$2,AC$1,$B112)</f>
        <v>0</v>
      </c>
      <c r="AD112" s="229">
        <f>_xll.DBRW(Server&amp;Cube1,$N$15,$N$16,$N$17,$N$18,$N$14,$N$13,AD$2,AD$1,$B112)</f>
        <v>-121023236.36999999</v>
      </c>
      <c r="AE112" s="32"/>
      <c r="AF112" s="229">
        <f>_xll.DBRW(Server&amp;Cube1,$N$15,$N$16,$N$17,$N$18,$N$14,$N$13,AF$2,AF$1,$B112)</f>
        <v>0</v>
      </c>
      <c r="AG112" s="229">
        <f>_xll.DBRW(Server&amp;Cube1,$N$15,$N$16,$N$17,$N$18,$N$14,$N$13,AG$2,AG$1,$B112)</f>
        <v>0</v>
      </c>
      <c r="AH112" s="229">
        <f>_xll.DBRW(Server&amp;Cube1,$N$15,$N$16,$N$17,$N$18,$N$14,$N$13,AH$2,AH$1,$B112)</f>
        <v>-5276359.8099999987</v>
      </c>
      <c r="AI112" s="32"/>
      <c r="AJ112" s="229">
        <f>_xll.DBRW(Server&amp;Cube1,$N$15,$N$16,$N$17,$N$18,$N$14,$N$13,AJ$2,AJ$1,$B112)</f>
        <v>0</v>
      </c>
      <c r="AK112" s="229">
        <f>_xll.DBRW(Server&amp;Cube1,$N$15,$N$16,$N$17,$N$18,$N$14,$N$13,AK$2,AK$1,$B112)</f>
        <v>0</v>
      </c>
      <c r="AL112" s="229">
        <f>_xll.DBRW(Server&amp;Cube1,$N$15,$N$16,$N$17,$N$18,$N$14,$N$13,AL$2,AL$1,$B112)</f>
        <v>-241295641.67000005</v>
      </c>
      <c r="AM112" s="32"/>
      <c r="AN112" s="229">
        <f>_xll.DBRW(Server&amp;Cube1,$N$15,$N$16,$N$17,$N$18,$N$14,$N$13,AN$2,AN$1,$B112)</f>
        <v>0</v>
      </c>
      <c r="AO112" s="229">
        <f>_xll.DBRW(Server&amp;Cube1,$N$15,$N$16,$N$17,$N$18,$N$14,$N$13,AO$2,AO$1,$B112)</f>
        <v>0</v>
      </c>
      <c r="AP112" s="229">
        <f>_xll.DBRW(Server&amp;Cube1,$N$15,$N$16,$N$17,$N$18,$N$14,$N$13,AP$2,AP$1,$B112)</f>
        <v>-133839357.38</v>
      </c>
      <c r="AQ112" s="32"/>
      <c r="AR112" s="229">
        <f>_xll.DBRW(Server&amp;Cube1,$N$15,$N$16,$N$17,$N$18,$N$14,$N$13,AR$2,AR$1,$B112)</f>
        <v>0</v>
      </c>
      <c r="AS112" s="229">
        <f>_xll.DBRW(Server&amp;Cube1,$N$15,$N$16,$N$17,$N$18,$N$14,$N$13,AS$2,AS$1,$B112)</f>
        <v>0</v>
      </c>
      <c r="AT112" s="229">
        <f>_xll.DBRW(Server&amp;Cube1,$N$15,$N$16,$N$17,$N$18,$N$14,$N$13,AT$2,AT$1,$B112)</f>
        <v>-172508725.13999999</v>
      </c>
      <c r="AU112" s="32"/>
      <c r="AV112" s="229">
        <f>_xll.DBRW(Server&amp;Cube1,$N$15,$N$16,$N$17,$N$18,$N$14,$N$13,AV$2,AV$1,$B112)</f>
        <v>0</v>
      </c>
      <c r="AW112" s="229">
        <f>_xll.DBRW(Server&amp;Cube1,$N$15,$N$16,$N$17,$N$18,$N$14,$N$13,AW$2,AW$1,$B112)</f>
        <v>0</v>
      </c>
      <c r="AX112" s="229">
        <f>_xll.DBRW(Server&amp;Cube1,$N$15,$N$16,$N$17,$N$18,$N$14,$N$13,AX$2,AX$1,$B112)</f>
        <v>-178929732.81000003</v>
      </c>
      <c r="AY112" s="32"/>
      <c r="AZ112" s="229">
        <f>_xll.DBRW(Server&amp;Cube1,$N$15,$N$16,$N$17,$N$18,$N$14,$N$13,AZ$2,AZ$1,$B112)</f>
        <v>0</v>
      </c>
      <c r="BA112" s="229">
        <f>_xll.DBRW(Server&amp;Cube1,$N$15,$N$16,$N$17,$N$18,$N$14,$N$13,BA$2,BA$1,$B112)</f>
        <v>0</v>
      </c>
      <c r="BB112" s="229">
        <f>_xll.DBRW(Server&amp;Cube1,$N$15,$N$16,$N$17,$N$18,$N$14,$N$13,BB$2,BB$1,$B112)</f>
        <v>-124738120.03999998</v>
      </c>
      <c r="BC112" s="32"/>
      <c r="BD112" s="229">
        <f>_xll.DBRW(Server&amp;Cube1,$N$15,$N$16,$N$17,$N$18,$N$14,$N$13,BD$2,BD$1,$B112)</f>
        <v>-982384.94000000018</v>
      </c>
      <c r="BE112" s="229">
        <f>_xll.DBRW(Server&amp;Cube1,$N$15,$N$16,$N$17,$N$18,$N$14,$N$13,BE$2,BE$1,$B112)</f>
        <v>0</v>
      </c>
      <c r="BF112" s="229">
        <f>_xll.DBRW(Server&amp;Cube1,$N$15,$N$16,$N$17,$N$18,$N$14,$N$13,BF$2,BF$1,$B112)</f>
        <v>879125483.80999994</v>
      </c>
      <c r="BG112" s="32"/>
      <c r="BH112" s="229">
        <f>_xll.DBRW(Server&amp;Cube1,$N$15,$N$16,$N$17,$N$18,$N$14,$N$13,BH$2,BH$1,$B112)</f>
        <v>0</v>
      </c>
      <c r="BI112" s="229">
        <f>_xll.DBRW(Server&amp;Cube1,$N$15,$N$16,$N$17,$N$18,$N$14,$N$13,BI$2,BI$1,$B112)</f>
        <v>0</v>
      </c>
      <c r="BJ112" s="229">
        <f>_xll.DBRW(Server&amp;Cube1,$N$15,$N$16,$N$17,$N$18,$N$14,$N$13,BJ$2,BJ$1,$B112)</f>
        <v>-157494223.25999999</v>
      </c>
      <c r="BK112" s="32"/>
      <c r="BL112" s="229">
        <f>_xll.DBRW(Server&amp;Cube1,$N$15,$N$16,$N$17,$N$18,$N$14,$N$13,BL$2,BL$1,$B112)</f>
        <v>0</v>
      </c>
      <c r="BM112" s="229">
        <f>_xll.DBRW(Server&amp;Cube1,$N$15,$N$16,$N$17,$N$18,$N$14,$N$13,BM$2,BM$1,$B112)</f>
        <v>0</v>
      </c>
      <c r="BN112" s="229">
        <f>_xll.DBRW(Server&amp;Cube1,$N$15,$N$16,$N$17,$N$18,$N$14,$N$13,BN$2,BN$1,$B112)</f>
        <v>-149058157.01000002</v>
      </c>
      <c r="BO112" s="32"/>
      <c r="BP112" s="229">
        <f>_xll.DBRW(Server&amp;Cube1,$N$15,$N$16,$N$17,$N$18,$N$14,$N$13,BP$2,BP$1,$B112)</f>
        <v>0</v>
      </c>
      <c r="BQ112" s="229">
        <f>_xll.DBRW(Server&amp;Cube1,$N$15,$N$16,$N$17,$N$18,$N$14,$N$13,BQ$2,BQ$1,$B112)</f>
        <v>0</v>
      </c>
      <c r="BR112" s="229">
        <f>_xll.DBRW(Server&amp;Cube1,$N$15,$N$16,$N$17,$N$18,$N$14,$N$13,BR$2,BR$1,$B112)</f>
        <v>-654503972.33000004</v>
      </c>
      <c r="BS112" s="32"/>
      <c r="BT112" s="229">
        <f>_xll.DBRW(Server&amp;Cube1,$N$15,$N$16,$N$17,$N$18,$N$14,$N$13,BT$2,BT$1,$B112)</f>
        <v>0</v>
      </c>
      <c r="BU112" s="229">
        <f>_xll.DBRW(Server&amp;Cube1,$N$15,$N$16,$N$17,$N$18,$N$14,$N$13,BU$2,BU$1,$B112)</f>
        <v>0</v>
      </c>
      <c r="BV112" s="229">
        <f>_xll.DBRW(Server&amp;Cube1,$N$15,$N$16,$N$17,$N$18,$N$14,$N$13,BV$2,BV$1,$B112)</f>
        <v>-494566461.67999983</v>
      </c>
      <c r="BW112" s="54"/>
      <c r="BX112" s="28"/>
    </row>
    <row r="113" spans="1:78" ht="19.5" hidden="1" customHeight="1" outlineLevel="1" x14ac:dyDescent="0.6">
      <c r="A113" s="56"/>
      <c r="B113" s="54" t="s">
        <v>77</v>
      </c>
      <c r="H113" s="54"/>
      <c r="I113" s="68"/>
      <c r="J113" s="53"/>
      <c r="K113" s="9"/>
      <c r="L113" s="552" t="str">
        <f>LEFT(_xll.DBRA(Server&amp;$B$32,$B113,$N$19),FIND("(",_xll.DBRA(Server&amp;$B$32,$B113,$N$19),1)-1)</f>
        <v xml:space="preserve">Cost of damages </v>
      </c>
      <c r="M113" s="552"/>
      <c r="N113" s="552"/>
      <c r="O113" s="552"/>
      <c r="P113" s="112"/>
      <c r="Q113" s="229">
        <f>_xll.DBRW(Server&amp;Cube1,$N$15,$N$16,$N$17,$N$18,$N$14,$N$13,$N$11,$Q$1,$B113)</f>
        <v>-7095899.8399999999</v>
      </c>
      <c r="R113" s="229">
        <f>_xll.DBRW(Server&amp;Cube1,$N$15,$N$16,$N$17,$N$18,$N$14,$N$13,$R$2,$R$1,$B113)</f>
        <v>0</v>
      </c>
      <c r="S113" s="230">
        <f t="shared" si="60"/>
        <v>-7095899.8399999999</v>
      </c>
      <c r="T113" s="232">
        <f t="shared" si="61"/>
        <v>0</v>
      </c>
      <c r="U113" s="218"/>
      <c r="V113" s="229">
        <f>_xll.DBRW(Server&amp;Cube1,$N$15,$N$16,$N$17,$N$18,$N$14,$N$13,$V$2,$V$1,$B113)</f>
        <v>-169763840.97999978</v>
      </c>
      <c r="W113" s="230">
        <f t="shared" si="62"/>
        <v>162667941.13999978</v>
      </c>
      <c r="X113" s="232">
        <f t="shared" si="63"/>
        <v>0.95820134724192541</v>
      </c>
      <c r="Y113" s="54"/>
      <c r="Z113" s="54"/>
      <c r="AA113" s="54"/>
      <c r="AB113" s="229">
        <f>_xll.DBRW(Server&amp;Cube1,$N$15,$N$16,$N$17,$N$18,$N$14,$N$13,AB$2,AB$1,$B113)</f>
        <v>0</v>
      </c>
      <c r="AC113" s="229">
        <f>_xll.DBRW(Server&amp;Cube1,$N$15,$N$16,$N$17,$N$18,$N$14,$N$13,AC$2,AC$1,$B113)</f>
        <v>0</v>
      </c>
      <c r="AD113" s="229">
        <f>_xll.DBRW(Server&amp;Cube1,$N$15,$N$16,$N$17,$N$18,$N$14,$N$13,AD$2,AD$1,$B113)</f>
        <v>-311319771.10000002</v>
      </c>
      <c r="AE113" s="32"/>
      <c r="AF113" s="229">
        <f>_xll.DBRW(Server&amp;Cube1,$N$15,$N$16,$N$17,$N$18,$N$14,$N$13,AF$2,AF$1,$B113)</f>
        <v>0</v>
      </c>
      <c r="AG113" s="229">
        <f>_xll.DBRW(Server&amp;Cube1,$N$15,$N$16,$N$17,$N$18,$N$14,$N$13,AG$2,AG$1,$B113)</f>
        <v>0</v>
      </c>
      <c r="AH113" s="229">
        <f>_xll.DBRW(Server&amp;Cube1,$N$15,$N$16,$N$17,$N$18,$N$14,$N$13,AH$2,AH$1,$B113)</f>
        <v>-2747927.8199999952</v>
      </c>
      <c r="AI113" s="32"/>
      <c r="AJ113" s="229">
        <f>_xll.DBRW(Server&amp;Cube1,$N$15,$N$16,$N$17,$N$18,$N$14,$N$13,AJ$2,AJ$1,$B113)</f>
        <v>0</v>
      </c>
      <c r="AK113" s="229">
        <f>_xll.DBRW(Server&amp;Cube1,$N$15,$N$16,$N$17,$N$18,$N$14,$N$13,AK$2,AK$1,$B113)</f>
        <v>0</v>
      </c>
      <c r="AL113" s="229">
        <f>_xll.DBRW(Server&amp;Cube1,$N$15,$N$16,$N$17,$N$18,$N$14,$N$13,AL$2,AL$1,$B113)</f>
        <v>-646145124.1099999</v>
      </c>
      <c r="AM113" s="32"/>
      <c r="AN113" s="229">
        <f>_xll.DBRW(Server&amp;Cube1,$N$15,$N$16,$N$17,$N$18,$N$14,$N$13,AN$2,AN$1,$B113)</f>
        <v>0</v>
      </c>
      <c r="AO113" s="229">
        <f>_xll.DBRW(Server&amp;Cube1,$N$15,$N$16,$N$17,$N$18,$N$14,$N$13,AO$2,AO$1,$B113)</f>
        <v>0</v>
      </c>
      <c r="AP113" s="229">
        <f>_xll.DBRW(Server&amp;Cube1,$N$15,$N$16,$N$17,$N$18,$N$14,$N$13,AP$2,AP$1,$B113)</f>
        <v>-269855197.62</v>
      </c>
      <c r="AQ113" s="32"/>
      <c r="AR113" s="229">
        <f>_xll.DBRW(Server&amp;Cube1,$N$15,$N$16,$N$17,$N$18,$N$14,$N$13,AR$2,AR$1,$B113)</f>
        <v>0</v>
      </c>
      <c r="AS113" s="229">
        <f>_xll.DBRW(Server&amp;Cube1,$N$15,$N$16,$N$17,$N$18,$N$14,$N$13,AS$2,AS$1,$B113)</f>
        <v>0</v>
      </c>
      <c r="AT113" s="229">
        <f>_xll.DBRW(Server&amp;Cube1,$N$15,$N$16,$N$17,$N$18,$N$14,$N$13,AT$2,AT$1,$B113)</f>
        <v>-356492127.36000001</v>
      </c>
      <c r="AU113" s="32"/>
      <c r="AV113" s="229">
        <f>_xll.DBRW(Server&amp;Cube1,$N$15,$N$16,$N$17,$N$18,$N$14,$N$13,AV$2,AV$1,$B113)</f>
        <v>0</v>
      </c>
      <c r="AW113" s="229">
        <f>_xll.DBRW(Server&amp;Cube1,$N$15,$N$16,$N$17,$N$18,$N$14,$N$13,AW$2,AW$1,$B113)</f>
        <v>0</v>
      </c>
      <c r="AX113" s="229">
        <f>_xll.DBRW(Server&amp;Cube1,$N$15,$N$16,$N$17,$N$18,$N$14,$N$13,AX$2,AX$1,$B113)</f>
        <v>-327556214.54000002</v>
      </c>
      <c r="AY113" s="32"/>
      <c r="AZ113" s="229">
        <f>_xll.DBRW(Server&amp;Cube1,$N$15,$N$16,$N$17,$N$18,$N$14,$N$13,AZ$2,AZ$1,$B113)</f>
        <v>0</v>
      </c>
      <c r="BA113" s="229">
        <f>_xll.DBRW(Server&amp;Cube1,$N$15,$N$16,$N$17,$N$18,$N$14,$N$13,BA$2,BA$1,$B113)</f>
        <v>0</v>
      </c>
      <c r="BB113" s="229">
        <f>_xll.DBRW(Server&amp;Cube1,$N$15,$N$16,$N$17,$N$18,$N$14,$N$13,BB$2,BB$1,$B113)</f>
        <v>-327288801.78000003</v>
      </c>
      <c r="BC113" s="32"/>
      <c r="BD113" s="229">
        <f>_xll.DBRW(Server&amp;Cube1,$N$15,$N$16,$N$17,$N$18,$N$14,$N$13,BD$2,BD$1,$B113)</f>
        <v>-7095899.8400000017</v>
      </c>
      <c r="BE113" s="229">
        <f>_xll.DBRW(Server&amp;Cube1,$N$15,$N$16,$N$17,$N$18,$N$14,$N$13,BE$2,BE$1,$B113)</f>
        <v>0</v>
      </c>
      <c r="BF113" s="229">
        <f>_xll.DBRW(Server&amp;Cube1,$N$15,$N$16,$N$17,$N$18,$N$14,$N$13,BF$2,BF$1,$B113)</f>
        <v>2071641323.3499999</v>
      </c>
      <c r="BG113" s="32"/>
      <c r="BH113" s="229">
        <f>_xll.DBRW(Server&amp;Cube1,$N$15,$N$16,$N$17,$N$18,$N$14,$N$13,BH$2,BH$1,$B113)</f>
        <v>0</v>
      </c>
      <c r="BI113" s="229">
        <f>_xll.DBRW(Server&amp;Cube1,$N$15,$N$16,$N$17,$N$18,$N$14,$N$13,BI$2,BI$1,$B113)</f>
        <v>0</v>
      </c>
      <c r="BJ113" s="229">
        <f>_xll.DBRW(Server&amp;Cube1,$N$15,$N$16,$N$17,$N$18,$N$14,$N$13,BJ$2,BJ$1,$B113)</f>
        <v>-312243685.64999998</v>
      </c>
      <c r="BK113" s="32"/>
      <c r="BL113" s="229">
        <f>_xll.DBRW(Server&amp;Cube1,$N$15,$N$16,$N$17,$N$18,$N$14,$N$13,BL$2,BL$1,$B113)</f>
        <v>0</v>
      </c>
      <c r="BM113" s="229">
        <f>_xll.DBRW(Server&amp;Cube1,$N$15,$N$16,$N$17,$N$18,$N$14,$N$13,BM$2,BM$1,$B113)</f>
        <v>0</v>
      </c>
      <c r="BN113" s="229">
        <f>_xll.DBRW(Server&amp;Cube1,$N$15,$N$16,$N$17,$N$18,$N$14,$N$13,BN$2,BN$1,$B113)</f>
        <v>-305032662.86000001</v>
      </c>
      <c r="BO113" s="32"/>
      <c r="BP113" s="229">
        <f>_xll.DBRW(Server&amp;Cube1,$N$15,$N$16,$N$17,$N$18,$N$14,$N$13,BP$2,BP$1,$B113)</f>
        <v>0</v>
      </c>
      <c r="BQ113" s="229">
        <f>_xll.DBRW(Server&amp;Cube1,$N$15,$N$16,$N$17,$N$18,$N$14,$N$13,BQ$2,BQ$1,$B113)</f>
        <v>0</v>
      </c>
      <c r="BR113" s="229">
        <f>_xll.DBRW(Server&amp;Cube1,$N$15,$N$16,$N$17,$N$18,$N$14,$N$13,BR$2,BR$1,$B113)</f>
        <v>-200434470.71000004</v>
      </c>
      <c r="BS113" s="32"/>
      <c r="BT113" s="229">
        <f>_xll.DBRW(Server&amp;Cube1,$N$15,$N$16,$N$17,$N$18,$N$14,$N$13,BT$2,BT$1,$B113)</f>
        <v>0</v>
      </c>
      <c r="BU113" s="229">
        <f>_xll.DBRW(Server&amp;Cube1,$N$15,$N$16,$N$17,$N$18,$N$14,$N$13,BU$2,BU$1,$B113)</f>
        <v>0</v>
      </c>
      <c r="BV113" s="229">
        <f>_xll.DBRW(Server&amp;Cube1,$N$15,$N$16,$N$17,$N$18,$N$14,$N$13,BV$2,BV$1,$B113)</f>
        <v>-1364781195.5700002</v>
      </c>
      <c r="BW113" s="54"/>
      <c r="BX113" s="28"/>
    </row>
    <row r="114" spans="1:78" ht="19.5" hidden="1" customHeight="1" outlineLevel="1" x14ac:dyDescent="0.6">
      <c r="A114" s="56"/>
      <c r="B114" s="54" t="s">
        <v>78</v>
      </c>
      <c r="H114" s="54"/>
      <c r="I114" s="68"/>
      <c r="J114" s="53"/>
      <c r="K114" s="9"/>
      <c r="L114" s="552" t="str">
        <f>LEFT(_xll.DBRA(Server&amp;$B$32,$B114,$N$19),FIND("(",_xll.DBRA(Server&amp;$B$32,$B114,$N$19),1)-1)</f>
        <v xml:space="preserve">Customer services </v>
      </c>
      <c r="M114" s="552"/>
      <c r="N114" s="552"/>
      <c r="O114" s="552"/>
      <c r="P114" s="112"/>
      <c r="Q114" s="229">
        <f>_xll.DBRW(Server&amp;Cube1,$N$15,$N$16,$N$17,$N$18,$N$14,$N$13,$N$11,$Q$1,$B114)</f>
        <v>-8200286.549999998</v>
      </c>
      <c r="R114" s="229">
        <f>_xll.DBRW(Server&amp;Cube1,$N$15,$N$16,$N$17,$N$18,$N$14,$N$13,$R$2,$R$1,$B114)</f>
        <v>0</v>
      </c>
      <c r="S114" s="230">
        <f t="shared" si="60"/>
        <v>-8200286.549999998</v>
      </c>
      <c r="T114" s="232">
        <f t="shared" si="61"/>
        <v>0</v>
      </c>
      <c r="U114" s="218"/>
      <c r="V114" s="229">
        <f>_xll.DBRW(Server&amp;Cube1,$N$15,$N$16,$N$17,$N$18,$N$14,$N$13,$V$2,$V$1,$B114)</f>
        <v>-72848241.870000079</v>
      </c>
      <c r="W114" s="230">
        <f t="shared" si="62"/>
        <v>64647955.320000082</v>
      </c>
      <c r="X114" s="232">
        <f t="shared" si="63"/>
        <v>0.88743329503224444</v>
      </c>
      <c r="Y114" s="54"/>
      <c r="Z114" s="54"/>
      <c r="AA114" s="54"/>
      <c r="AB114" s="229">
        <f>_xll.DBRW(Server&amp;Cube1,$N$15,$N$16,$N$17,$N$18,$N$14,$N$13,AB$2,AB$1,$B114)</f>
        <v>0</v>
      </c>
      <c r="AC114" s="229">
        <f>_xll.DBRW(Server&amp;Cube1,$N$15,$N$16,$N$17,$N$18,$N$14,$N$13,AC$2,AC$1,$B114)</f>
        <v>0</v>
      </c>
      <c r="AD114" s="229">
        <f>_xll.DBRW(Server&amp;Cube1,$N$15,$N$16,$N$17,$N$18,$N$14,$N$13,AD$2,AD$1,$B114)</f>
        <v>-135659623.02000001</v>
      </c>
      <c r="AE114" s="32"/>
      <c r="AF114" s="229">
        <f>_xll.DBRW(Server&amp;Cube1,$N$15,$N$16,$N$17,$N$18,$N$14,$N$13,AF$2,AF$1,$B114)</f>
        <v>0</v>
      </c>
      <c r="AG114" s="229">
        <f>_xll.DBRW(Server&amp;Cube1,$N$15,$N$16,$N$17,$N$18,$N$14,$N$13,AG$2,AG$1,$B114)</f>
        <v>0</v>
      </c>
      <c r="AH114" s="229">
        <f>_xll.DBRW(Server&amp;Cube1,$N$15,$N$16,$N$17,$N$18,$N$14,$N$13,AH$2,AH$1,$B114)</f>
        <v>37394547.979999989</v>
      </c>
      <c r="AI114" s="32"/>
      <c r="AJ114" s="229">
        <f>_xll.DBRW(Server&amp;Cube1,$N$15,$N$16,$N$17,$N$18,$N$14,$N$13,AJ$2,AJ$1,$B114)</f>
        <v>0</v>
      </c>
      <c r="AK114" s="229">
        <f>_xll.DBRW(Server&amp;Cube1,$N$15,$N$16,$N$17,$N$18,$N$14,$N$13,AK$2,AK$1,$B114)</f>
        <v>0</v>
      </c>
      <c r="AL114" s="229">
        <f>_xll.DBRW(Server&amp;Cube1,$N$15,$N$16,$N$17,$N$18,$N$14,$N$13,AL$2,AL$1,$B114)</f>
        <v>-231043669.36000001</v>
      </c>
      <c r="AM114" s="32"/>
      <c r="AN114" s="229">
        <f>_xll.DBRW(Server&amp;Cube1,$N$15,$N$16,$N$17,$N$18,$N$14,$N$13,AN$2,AN$1,$B114)</f>
        <v>0</v>
      </c>
      <c r="AO114" s="229">
        <f>_xll.DBRW(Server&amp;Cube1,$N$15,$N$16,$N$17,$N$18,$N$14,$N$13,AO$2,AO$1,$B114)</f>
        <v>0</v>
      </c>
      <c r="AP114" s="229">
        <f>_xll.DBRW(Server&amp;Cube1,$N$15,$N$16,$N$17,$N$18,$N$14,$N$13,AP$2,AP$1,$B114)</f>
        <v>-101566976.18000004</v>
      </c>
      <c r="AQ114" s="32"/>
      <c r="AR114" s="229">
        <f>_xll.DBRW(Server&amp;Cube1,$N$15,$N$16,$N$17,$N$18,$N$14,$N$13,AR$2,AR$1,$B114)</f>
        <v>0</v>
      </c>
      <c r="AS114" s="229">
        <f>_xll.DBRW(Server&amp;Cube1,$N$15,$N$16,$N$17,$N$18,$N$14,$N$13,AS$2,AS$1,$B114)</f>
        <v>0</v>
      </c>
      <c r="AT114" s="229">
        <f>_xll.DBRW(Server&amp;Cube1,$N$15,$N$16,$N$17,$N$18,$N$14,$N$13,AT$2,AT$1,$B114)</f>
        <v>-104224488.47000001</v>
      </c>
      <c r="AU114" s="32"/>
      <c r="AV114" s="229">
        <f>_xll.DBRW(Server&amp;Cube1,$N$15,$N$16,$N$17,$N$18,$N$14,$N$13,AV$2,AV$1,$B114)</f>
        <v>0</v>
      </c>
      <c r="AW114" s="229">
        <f>_xll.DBRW(Server&amp;Cube1,$N$15,$N$16,$N$17,$N$18,$N$14,$N$13,AW$2,AW$1,$B114)</f>
        <v>0</v>
      </c>
      <c r="AX114" s="229">
        <f>_xll.DBRW(Server&amp;Cube1,$N$15,$N$16,$N$17,$N$18,$N$14,$N$13,AX$2,AX$1,$B114)</f>
        <v>-105623017.47999999</v>
      </c>
      <c r="AY114" s="32"/>
      <c r="AZ114" s="229">
        <f>_xll.DBRW(Server&amp;Cube1,$N$15,$N$16,$N$17,$N$18,$N$14,$N$13,AZ$2,AZ$1,$B114)</f>
        <v>0</v>
      </c>
      <c r="BA114" s="229">
        <f>_xll.DBRW(Server&amp;Cube1,$N$15,$N$16,$N$17,$N$18,$N$14,$N$13,BA$2,BA$1,$B114)</f>
        <v>0</v>
      </c>
      <c r="BB114" s="229">
        <f>_xll.DBRW(Server&amp;Cube1,$N$15,$N$16,$N$17,$N$18,$N$14,$N$13,BB$2,BB$1,$B114)</f>
        <v>-94392530.019999996</v>
      </c>
      <c r="BC114" s="32"/>
      <c r="BD114" s="229">
        <f>_xll.DBRW(Server&amp;Cube1,$N$15,$N$16,$N$17,$N$18,$N$14,$N$13,BD$2,BD$1,$B114)</f>
        <v>-8200286.549999998</v>
      </c>
      <c r="BE114" s="229">
        <f>_xll.DBRW(Server&amp;Cube1,$N$15,$N$16,$N$17,$N$18,$N$14,$N$13,BE$2,BE$1,$B114)</f>
        <v>0</v>
      </c>
      <c r="BF114" s="229">
        <f>_xll.DBRW(Server&amp;Cube1,$N$15,$N$16,$N$17,$N$18,$N$14,$N$13,BF$2,BF$1,$B114)</f>
        <v>662267514.67999971</v>
      </c>
      <c r="BG114" s="32"/>
      <c r="BH114" s="229">
        <f>_xll.DBRW(Server&amp;Cube1,$N$15,$N$16,$N$17,$N$18,$N$14,$N$13,BH$2,BH$1,$B114)</f>
        <v>0</v>
      </c>
      <c r="BI114" s="229">
        <f>_xll.DBRW(Server&amp;Cube1,$N$15,$N$16,$N$17,$N$18,$N$14,$N$13,BI$2,BI$1,$B114)</f>
        <v>0</v>
      </c>
      <c r="BJ114" s="229">
        <f>_xll.DBRW(Server&amp;Cube1,$N$15,$N$16,$N$17,$N$18,$N$14,$N$13,BJ$2,BJ$1,$B114)</f>
        <v>-123382147.68000001</v>
      </c>
      <c r="BK114" s="32"/>
      <c r="BL114" s="229">
        <f>_xll.DBRW(Server&amp;Cube1,$N$15,$N$16,$N$17,$N$18,$N$14,$N$13,BL$2,BL$1,$B114)</f>
        <v>0</v>
      </c>
      <c r="BM114" s="229">
        <f>_xll.DBRW(Server&amp;Cube1,$N$15,$N$16,$N$17,$N$18,$N$14,$N$13,BM$2,BM$1,$B114)</f>
        <v>0</v>
      </c>
      <c r="BN114" s="229">
        <f>_xll.DBRW(Server&amp;Cube1,$N$15,$N$16,$N$17,$N$18,$N$14,$N$13,BN$2,BN$1,$B114)</f>
        <v>-113166958.43999997</v>
      </c>
      <c r="BO114" s="32"/>
      <c r="BP114" s="229">
        <f>_xll.DBRW(Server&amp;Cube1,$N$15,$N$16,$N$17,$N$18,$N$14,$N$13,BP$2,BP$1,$B114)</f>
        <v>0</v>
      </c>
      <c r="BQ114" s="229">
        <f>_xll.DBRW(Server&amp;Cube1,$N$15,$N$16,$N$17,$N$18,$N$14,$N$13,BQ$2,BQ$1,$B114)</f>
        <v>0</v>
      </c>
      <c r="BR114" s="229">
        <f>_xll.DBRW(Server&amp;Cube1,$N$15,$N$16,$N$17,$N$18,$N$14,$N$13,BR$2,BR$1,$B114)</f>
        <v>-125464704.52000001</v>
      </c>
      <c r="BS114" s="32"/>
      <c r="BT114" s="229">
        <f>_xll.DBRW(Server&amp;Cube1,$N$15,$N$16,$N$17,$N$18,$N$14,$N$13,BT$2,BT$1,$B114)</f>
        <v>0</v>
      </c>
      <c r="BU114" s="229">
        <f>_xll.DBRW(Server&amp;Cube1,$N$15,$N$16,$N$17,$N$18,$N$14,$N$13,BU$2,BU$1,$B114)</f>
        <v>0</v>
      </c>
      <c r="BV114" s="229">
        <f>_xll.DBRW(Server&amp;Cube1,$N$15,$N$16,$N$17,$N$18,$N$14,$N$13,BV$2,BV$1,$B114)</f>
        <v>-131562806.76000002</v>
      </c>
      <c r="BW114" s="54"/>
      <c r="BX114" s="28"/>
    </row>
    <row r="115" spans="1:78" ht="19.5" hidden="1" customHeight="1" outlineLevel="1" x14ac:dyDescent="0.6">
      <c r="A115" s="56"/>
      <c r="B115" s="54" t="s">
        <v>79</v>
      </c>
      <c r="H115" s="54"/>
      <c r="I115" s="68"/>
      <c r="J115" s="53"/>
      <c r="K115" s="9"/>
      <c r="L115" s="552" t="str">
        <f>LEFT(_xll.DBRA(Server&amp;$B$32,$B115,$N$19),FIND("(",_xll.DBRA(Server&amp;$B$32,$B115,$N$19),1)-1)</f>
        <v xml:space="preserve">Direct support to operations </v>
      </c>
      <c r="M115" s="552"/>
      <c r="N115" s="552"/>
      <c r="O115" s="552"/>
      <c r="P115" s="112"/>
      <c r="Q115" s="229">
        <f>_xll.DBRW(Server&amp;Cube1,$N$15,$N$16,$N$17,$N$18,$N$14,$N$13,$N$11,$Q$1,$B115)</f>
        <v>-25206101</v>
      </c>
      <c r="R115" s="229">
        <f>_xll.DBRW(Server&amp;Cube1,$N$15,$N$16,$N$17,$N$18,$N$14,$N$13,$R$2,$R$1,$B115)</f>
        <v>0</v>
      </c>
      <c r="S115" s="230">
        <f t="shared" si="60"/>
        <v>-25206101</v>
      </c>
      <c r="T115" s="232">
        <f t="shared" si="61"/>
        <v>0</v>
      </c>
      <c r="U115" s="218"/>
      <c r="V115" s="229">
        <f>_xll.DBRW(Server&amp;Cube1,$N$15,$N$16,$N$17,$N$18,$N$14,$N$13,$V$2,$V$1,$B115)</f>
        <v>-624230316.969998</v>
      </c>
      <c r="W115" s="230">
        <f t="shared" si="62"/>
        <v>599024215.969998</v>
      </c>
      <c r="X115" s="232">
        <f t="shared" si="63"/>
        <v>0.95962051134851967</v>
      </c>
      <c r="Y115" s="54"/>
      <c r="Z115" s="54"/>
      <c r="AA115" s="54"/>
      <c r="AB115" s="229">
        <f>_xll.DBRW(Server&amp;Cube1,$N$15,$N$16,$N$17,$N$18,$N$14,$N$13,AB$2,AB$1,$B115)</f>
        <v>0</v>
      </c>
      <c r="AC115" s="229">
        <f>_xll.DBRW(Server&amp;Cube1,$N$15,$N$16,$N$17,$N$18,$N$14,$N$13,AC$2,AC$1,$B115)</f>
        <v>0</v>
      </c>
      <c r="AD115" s="229">
        <f>_xll.DBRW(Server&amp;Cube1,$N$15,$N$16,$N$17,$N$18,$N$14,$N$13,AD$2,AD$1,$B115)</f>
        <v>-808465607.93000019</v>
      </c>
      <c r="AE115" s="32"/>
      <c r="AF115" s="229">
        <f>_xll.DBRW(Server&amp;Cube1,$N$15,$N$16,$N$17,$N$18,$N$14,$N$13,AF$2,AF$1,$B115)</f>
        <v>0</v>
      </c>
      <c r="AG115" s="229">
        <f>_xll.DBRW(Server&amp;Cube1,$N$15,$N$16,$N$17,$N$18,$N$14,$N$13,AG$2,AG$1,$B115)</f>
        <v>0</v>
      </c>
      <c r="AH115" s="229">
        <f>_xll.DBRW(Server&amp;Cube1,$N$15,$N$16,$N$17,$N$18,$N$14,$N$13,AH$2,AH$1,$B115)</f>
        <v>-79306433.870000005</v>
      </c>
      <c r="AI115" s="32"/>
      <c r="AJ115" s="229">
        <f>_xll.DBRW(Server&amp;Cube1,$N$15,$N$16,$N$17,$N$18,$N$14,$N$13,AJ$2,AJ$1,$B115)</f>
        <v>0</v>
      </c>
      <c r="AK115" s="229">
        <f>_xll.DBRW(Server&amp;Cube1,$N$15,$N$16,$N$17,$N$18,$N$14,$N$13,AK$2,AK$1,$B115)</f>
        <v>0</v>
      </c>
      <c r="AL115" s="229">
        <f>_xll.DBRW(Server&amp;Cube1,$N$15,$N$16,$N$17,$N$18,$N$14,$N$13,AL$2,AL$1,$B115)</f>
        <v>-1542116745.5600002</v>
      </c>
      <c r="AM115" s="32"/>
      <c r="AN115" s="229">
        <f>_xll.DBRW(Server&amp;Cube1,$N$15,$N$16,$N$17,$N$18,$N$14,$N$13,AN$2,AN$1,$B115)</f>
        <v>0</v>
      </c>
      <c r="AO115" s="229">
        <f>_xll.DBRW(Server&amp;Cube1,$N$15,$N$16,$N$17,$N$18,$N$14,$N$13,AO$2,AO$1,$B115)</f>
        <v>0</v>
      </c>
      <c r="AP115" s="229">
        <f>_xll.DBRW(Server&amp;Cube1,$N$15,$N$16,$N$17,$N$18,$N$14,$N$13,AP$2,AP$1,$B115)</f>
        <v>-373577725.22000009</v>
      </c>
      <c r="AQ115" s="32"/>
      <c r="AR115" s="229">
        <f>_xll.DBRW(Server&amp;Cube1,$N$15,$N$16,$N$17,$N$18,$N$14,$N$13,AR$2,AR$1,$B115)</f>
        <v>0</v>
      </c>
      <c r="AS115" s="229">
        <f>_xll.DBRW(Server&amp;Cube1,$N$15,$N$16,$N$17,$N$18,$N$14,$N$13,AS$2,AS$1,$B115)</f>
        <v>0</v>
      </c>
      <c r="AT115" s="229">
        <f>_xll.DBRW(Server&amp;Cube1,$N$15,$N$16,$N$17,$N$18,$N$14,$N$13,AT$2,AT$1,$B115)</f>
        <v>-939658455.67999971</v>
      </c>
      <c r="AU115" s="32"/>
      <c r="AV115" s="229">
        <f>_xll.DBRW(Server&amp;Cube1,$N$15,$N$16,$N$17,$N$18,$N$14,$N$13,AV$2,AV$1,$B115)</f>
        <v>0</v>
      </c>
      <c r="AW115" s="229">
        <f>_xll.DBRW(Server&amp;Cube1,$N$15,$N$16,$N$17,$N$18,$N$14,$N$13,AW$2,AW$1,$B115)</f>
        <v>0</v>
      </c>
      <c r="AX115" s="229">
        <f>_xll.DBRW(Server&amp;Cube1,$N$15,$N$16,$N$17,$N$18,$N$14,$N$13,AX$2,AX$1,$B115)</f>
        <v>-825437543.3499999</v>
      </c>
      <c r="AY115" s="32"/>
      <c r="AZ115" s="229">
        <f>_xll.DBRW(Server&amp;Cube1,$N$15,$N$16,$N$17,$N$18,$N$14,$N$13,AZ$2,AZ$1,$B115)</f>
        <v>0</v>
      </c>
      <c r="BA115" s="229">
        <f>_xll.DBRW(Server&amp;Cube1,$N$15,$N$16,$N$17,$N$18,$N$14,$N$13,BA$2,BA$1,$B115)</f>
        <v>0</v>
      </c>
      <c r="BB115" s="229">
        <f>_xll.DBRW(Server&amp;Cube1,$N$15,$N$16,$N$17,$N$18,$N$14,$N$13,BB$2,BB$1,$B115)</f>
        <v>-829728954.86000001</v>
      </c>
      <c r="BC115" s="32"/>
      <c r="BD115" s="229">
        <f>_xll.DBRW(Server&amp;Cube1,$N$15,$N$16,$N$17,$N$18,$N$14,$N$13,BD$2,BD$1,$B115)</f>
        <v>-25206101</v>
      </c>
      <c r="BE115" s="229">
        <f>_xll.DBRW(Server&amp;Cube1,$N$15,$N$16,$N$17,$N$18,$N$14,$N$13,BE$2,BE$1,$B115)</f>
        <v>0</v>
      </c>
      <c r="BF115" s="229">
        <f>_xll.DBRW(Server&amp;Cube1,$N$15,$N$16,$N$17,$N$18,$N$14,$N$13,BF$2,BF$1,$B115)</f>
        <v>4774061149.5000019</v>
      </c>
      <c r="BG115" s="32"/>
      <c r="BH115" s="229">
        <f>_xll.DBRW(Server&amp;Cube1,$N$15,$N$16,$N$17,$N$18,$N$14,$N$13,BH$2,BH$1,$B115)</f>
        <v>0</v>
      </c>
      <c r="BI115" s="229">
        <f>_xll.DBRW(Server&amp;Cube1,$N$15,$N$16,$N$17,$N$18,$N$14,$N$13,BI$2,BI$1,$B115)</f>
        <v>0</v>
      </c>
      <c r="BJ115" s="229">
        <f>_xll.DBRW(Server&amp;Cube1,$N$15,$N$16,$N$17,$N$18,$N$14,$N$13,BJ$2,BJ$1,$B115)</f>
        <v>-926252853.1500001</v>
      </c>
      <c r="BK115" s="32"/>
      <c r="BL115" s="229">
        <f>_xll.DBRW(Server&amp;Cube1,$N$15,$N$16,$N$17,$N$18,$N$14,$N$13,BL$2,BL$1,$B115)</f>
        <v>0</v>
      </c>
      <c r="BM115" s="229">
        <f>_xll.DBRW(Server&amp;Cube1,$N$15,$N$16,$N$17,$N$18,$N$14,$N$13,BM$2,BM$1,$B115)</f>
        <v>0</v>
      </c>
      <c r="BN115" s="229">
        <f>_xll.DBRW(Server&amp;Cube1,$N$15,$N$16,$N$17,$N$18,$N$14,$N$13,BN$2,BN$1,$B115)</f>
        <v>-860000187.62000036</v>
      </c>
      <c r="BO115" s="32"/>
      <c r="BP115" s="229">
        <f>_xll.DBRW(Server&amp;Cube1,$N$15,$N$16,$N$17,$N$18,$N$14,$N$13,BP$2,BP$1,$B115)</f>
        <v>0</v>
      </c>
      <c r="BQ115" s="229">
        <f>_xll.DBRW(Server&amp;Cube1,$N$15,$N$16,$N$17,$N$18,$N$14,$N$13,BQ$2,BQ$1,$B115)</f>
        <v>0</v>
      </c>
      <c r="BR115" s="229">
        <f>_xll.DBRW(Server&amp;Cube1,$N$15,$N$16,$N$17,$N$18,$N$14,$N$13,BR$2,BR$1,$B115)</f>
        <v>-982892670.21999991</v>
      </c>
      <c r="BS115" s="32"/>
      <c r="BT115" s="229">
        <f>_xll.DBRW(Server&amp;Cube1,$N$15,$N$16,$N$17,$N$18,$N$14,$N$13,BT$2,BT$1,$B115)</f>
        <v>0</v>
      </c>
      <c r="BU115" s="229">
        <f>_xll.DBRW(Server&amp;Cube1,$N$15,$N$16,$N$17,$N$18,$N$14,$N$13,BU$2,BU$1,$B115)</f>
        <v>0</v>
      </c>
      <c r="BV115" s="229">
        <f>_xll.DBRW(Server&amp;Cube1,$N$15,$N$16,$N$17,$N$18,$N$14,$N$13,BV$2,BV$1,$B115)</f>
        <v>-1590334885.5900002</v>
      </c>
      <c r="BW115" s="54"/>
      <c r="BX115" s="28"/>
    </row>
    <row r="116" spans="1:78" ht="19.5" hidden="1" customHeight="1" outlineLevel="1" x14ac:dyDescent="0.6">
      <c r="A116" s="56"/>
      <c r="B116" s="54" t="s">
        <v>347</v>
      </c>
      <c r="H116" s="54"/>
      <c r="I116" s="68"/>
      <c r="J116" s="53"/>
      <c r="K116" s="9"/>
      <c r="L116" s="552" t="str">
        <f>LEFT(_xll.DBRA(Server&amp;$B$32,$B116,$N$19),FIND("(",_xll.DBRA(Server&amp;$B$32,$B116,$N$19),1)-1)</f>
        <v xml:space="preserve">Infrastructure </v>
      </c>
      <c r="M116" s="552"/>
      <c r="N116" s="552"/>
      <c r="O116" s="552"/>
      <c r="P116" s="112"/>
      <c r="Q116" s="229">
        <f>_xll.DBRW(Server&amp;Cube1,$N$15,$N$16,$N$17,$N$18,$N$14,$N$13,$N$11,$Q$1,$B116)</f>
        <v>-5389451.8199999994</v>
      </c>
      <c r="R116" s="229">
        <f>_xll.DBRW(Server&amp;Cube1,$N$15,$N$16,$N$17,$N$18,$N$14,$N$13,$R$2,$R$1,$B116)</f>
        <v>0</v>
      </c>
      <c r="S116" s="230">
        <f t="shared" si="60"/>
        <v>-5389451.8199999994</v>
      </c>
      <c r="T116" s="232">
        <f t="shared" si="61"/>
        <v>0</v>
      </c>
      <c r="U116" s="218"/>
      <c r="V116" s="229">
        <f>_xll.DBRW(Server&amp;Cube1,$N$15,$N$16,$N$17,$N$18,$N$14,$N$13,$V$2,$V$1,$B116)</f>
        <v>-199464413.63258398</v>
      </c>
      <c r="W116" s="230">
        <f t="shared" si="62"/>
        <v>194074961.81258398</v>
      </c>
      <c r="X116" s="232">
        <f t="shared" si="63"/>
        <v>0.97298038421065203</v>
      </c>
      <c r="Y116" s="54"/>
      <c r="Z116" s="54"/>
      <c r="AA116" s="54"/>
      <c r="AB116" s="229">
        <f>_xll.DBRW(Server&amp;Cube1,$N$15,$N$16,$N$17,$N$18,$N$14,$N$13,AB$2,AB$1,$B116)</f>
        <v>0</v>
      </c>
      <c r="AC116" s="229">
        <f>_xll.DBRW(Server&amp;Cube1,$N$15,$N$16,$N$17,$N$18,$N$14,$N$13,AC$2,AC$1,$B116)</f>
        <v>0</v>
      </c>
      <c r="AD116" s="229">
        <f>_xll.DBRW(Server&amp;Cube1,$N$15,$N$16,$N$17,$N$18,$N$14,$N$13,AD$2,AD$1,$B116)</f>
        <v>-155947097.48491177</v>
      </c>
      <c r="AE116" s="32"/>
      <c r="AF116" s="229">
        <f>_xll.DBRW(Server&amp;Cube1,$N$15,$N$16,$N$17,$N$18,$N$14,$N$13,AF$2,AF$1,$B116)</f>
        <v>0</v>
      </c>
      <c r="AG116" s="229">
        <f>_xll.DBRW(Server&amp;Cube1,$N$15,$N$16,$N$17,$N$18,$N$14,$N$13,AG$2,AG$1,$B116)</f>
        <v>0</v>
      </c>
      <c r="AH116" s="229">
        <f>_xll.DBRW(Server&amp;Cube1,$N$15,$N$16,$N$17,$N$18,$N$14,$N$13,AH$2,AH$1,$B116)</f>
        <v>-38054263.772175983</v>
      </c>
      <c r="AI116" s="32"/>
      <c r="AJ116" s="229">
        <f>_xll.DBRW(Server&amp;Cube1,$N$15,$N$16,$N$17,$N$18,$N$14,$N$13,AJ$2,AJ$1,$B116)</f>
        <v>0</v>
      </c>
      <c r="AK116" s="229">
        <f>_xll.DBRW(Server&amp;Cube1,$N$15,$N$16,$N$17,$N$18,$N$14,$N$13,AK$2,AK$1,$B116)</f>
        <v>0</v>
      </c>
      <c r="AL116" s="229">
        <f>_xll.DBRW(Server&amp;Cube1,$N$15,$N$16,$N$17,$N$18,$N$14,$N$13,AL$2,AL$1,$B116)</f>
        <v>-319816690.86830455</v>
      </c>
      <c r="AM116" s="32"/>
      <c r="AN116" s="229">
        <f>_xll.DBRW(Server&amp;Cube1,$N$15,$N$16,$N$17,$N$18,$N$14,$N$13,AN$2,AN$1,$B116)</f>
        <v>0</v>
      </c>
      <c r="AO116" s="229">
        <f>_xll.DBRW(Server&amp;Cube1,$N$15,$N$16,$N$17,$N$18,$N$14,$N$13,AO$2,AO$1,$B116)</f>
        <v>0</v>
      </c>
      <c r="AP116" s="229">
        <f>_xll.DBRW(Server&amp;Cube1,$N$15,$N$16,$N$17,$N$18,$N$14,$N$13,AP$2,AP$1,$B116)</f>
        <v>-192234698.85664994</v>
      </c>
      <c r="AQ116" s="32"/>
      <c r="AR116" s="229">
        <f>_xll.DBRW(Server&amp;Cube1,$N$15,$N$16,$N$17,$N$18,$N$14,$N$13,AR$2,AR$1,$B116)</f>
        <v>0</v>
      </c>
      <c r="AS116" s="229">
        <f>_xll.DBRW(Server&amp;Cube1,$N$15,$N$16,$N$17,$N$18,$N$14,$N$13,AS$2,AS$1,$B116)</f>
        <v>0</v>
      </c>
      <c r="AT116" s="229">
        <f>_xll.DBRW(Server&amp;Cube1,$N$15,$N$16,$N$17,$N$18,$N$14,$N$13,AT$2,AT$1,$B116)</f>
        <v>-181098998.62904412</v>
      </c>
      <c r="AU116" s="32"/>
      <c r="AV116" s="229">
        <f>_xll.DBRW(Server&amp;Cube1,$N$15,$N$16,$N$17,$N$18,$N$14,$N$13,AV$2,AV$1,$B116)</f>
        <v>0</v>
      </c>
      <c r="AW116" s="229">
        <f>_xll.DBRW(Server&amp;Cube1,$N$15,$N$16,$N$17,$N$18,$N$14,$N$13,AW$2,AW$1,$B116)</f>
        <v>0</v>
      </c>
      <c r="AX116" s="229">
        <f>_xll.DBRW(Server&amp;Cube1,$N$15,$N$16,$N$17,$N$18,$N$14,$N$13,AX$2,AX$1,$B116)</f>
        <v>-185286287.68281323</v>
      </c>
      <c r="AY116" s="32"/>
      <c r="AZ116" s="229">
        <f>_xll.DBRW(Server&amp;Cube1,$N$15,$N$16,$N$17,$N$18,$N$14,$N$13,AZ$2,AZ$1,$B116)</f>
        <v>0</v>
      </c>
      <c r="BA116" s="229">
        <f>_xll.DBRW(Server&amp;Cube1,$N$15,$N$16,$N$17,$N$18,$N$14,$N$13,BA$2,BA$1,$B116)</f>
        <v>0</v>
      </c>
      <c r="BB116" s="229">
        <f>_xll.DBRW(Server&amp;Cube1,$N$15,$N$16,$N$17,$N$18,$N$14,$N$13,BB$2,BB$1,$B116)</f>
        <v>-187667530.71099937</v>
      </c>
      <c r="BC116" s="32"/>
      <c r="BD116" s="229">
        <f>_xll.DBRW(Server&amp;Cube1,$N$15,$N$16,$N$17,$N$18,$N$14,$N$13,BD$2,BD$1,$B116)</f>
        <v>-5389451.8199999966</v>
      </c>
      <c r="BE116" s="229">
        <f>_xll.DBRW(Server&amp;Cube1,$N$15,$N$16,$N$17,$N$18,$N$14,$N$13,BE$2,BE$1,$B116)</f>
        <v>0</v>
      </c>
      <c r="BF116" s="229">
        <f>_xll.DBRW(Server&amp;Cube1,$N$15,$N$16,$N$17,$N$18,$N$14,$N$13,BF$2,BF$1,$B116)</f>
        <v>1060641154.372315</v>
      </c>
      <c r="BG116" s="32"/>
      <c r="BH116" s="229">
        <f>_xll.DBRW(Server&amp;Cube1,$N$15,$N$16,$N$17,$N$18,$N$14,$N$13,BH$2,BH$1,$B116)</f>
        <v>0</v>
      </c>
      <c r="BI116" s="229">
        <f>_xll.DBRW(Server&amp;Cube1,$N$15,$N$16,$N$17,$N$18,$N$14,$N$13,BI$2,BI$1,$B116)</f>
        <v>0</v>
      </c>
      <c r="BJ116" s="229">
        <f>_xll.DBRW(Server&amp;Cube1,$N$15,$N$16,$N$17,$N$18,$N$14,$N$13,BJ$2,BJ$1,$B116)</f>
        <v>-206284251.52302051</v>
      </c>
      <c r="BK116" s="32"/>
      <c r="BL116" s="229">
        <f>_xll.DBRW(Server&amp;Cube1,$N$15,$N$16,$N$17,$N$18,$N$14,$N$13,BL$2,BL$1,$B116)</f>
        <v>0</v>
      </c>
      <c r="BM116" s="229">
        <f>_xll.DBRW(Server&amp;Cube1,$N$15,$N$16,$N$17,$N$18,$N$14,$N$13,BM$2,BM$1,$B116)</f>
        <v>0</v>
      </c>
      <c r="BN116" s="229">
        <f>_xll.DBRW(Server&amp;Cube1,$N$15,$N$16,$N$17,$N$18,$N$14,$N$13,BN$2,BN$1,$B116)</f>
        <v>-193889342.26907155</v>
      </c>
      <c r="BO116" s="32"/>
      <c r="BP116" s="229">
        <f>_xll.DBRW(Server&amp;Cube1,$N$15,$N$16,$N$17,$N$18,$N$14,$N$13,BP$2,BP$1,$B116)</f>
        <v>0</v>
      </c>
      <c r="BQ116" s="229">
        <f>_xll.DBRW(Server&amp;Cube1,$N$15,$N$16,$N$17,$N$18,$N$14,$N$13,BQ$2,BQ$1,$B116)</f>
        <v>0</v>
      </c>
      <c r="BR116" s="229">
        <f>_xll.DBRW(Server&amp;Cube1,$N$15,$N$16,$N$17,$N$18,$N$14,$N$13,BR$2,BR$1,$B116)</f>
        <v>-198861729.53988519</v>
      </c>
      <c r="BS116" s="32"/>
      <c r="BT116" s="229">
        <f>_xll.DBRW(Server&amp;Cube1,$N$15,$N$16,$N$17,$N$18,$N$14,$N$13,BT$2,BT$1,$B116)</f>
        <v>0</v>
      </c>
      <c r="BU116" s="229">
        <f>_xll.DBRW(Server&amp;Cube1,$N$15,$N$16,$N$17,$N$18,$N$14,$N$13,BU$2,BU$1,$B116)</f>
        <v>0</v>
      </c>
      <c r="BV116" s="229">
        <f>_xll.DBRW(Server&amp;Cube1,$N$15,$N$16,$N$17,$N$18,$N$14,$N$13,BV$2,BV$1,$B116)</f>
        <v>-331557108.97717077</v>
      </c>
      <c r="BW116" s="54"/>
      <c r="BX116" s="28"/>
    </row>
    <row r="117" spans="1:78" ht="19.5" hidden="1" customHeight="1" outlineLevel="1" x14ac:dyDescent="0.6">
      <c r="A117" s="56"/>
      <c r="B117" s="54" t="s">
        <v>80</v>
      </c>
      <c r="H117" s="54"/>
      <c r="I117" s="68"/>
      <c r="J117" s="53"/>
      <c r="K117" s="9"/>
      <c r="L117" s="552" t="str">
        <f>LEFT(_xll.DBRA(Server&amp;$B$32,$B117,$N$19),FIND("(",_xll.DBRA(Server&amp;$B$32,$B117,$N$19),1)-1)</f>
        <v xml:space="preserve">Additional transport costs </v>
      </c>
      <c r="M117" s="552"/>
      <c r="N117" s="552"/>
      <c r="O117" s="552"/>
      <c r="P117" s="112"/>
      <c r="Q117" s="229">
        <f>_xll.DBRW(Server&amp;Cube1,$N$15,$N$16,$N$17,$N$18,$N$14,$N$13,$N$11,$Q$1,$B117)</f>
        <v>-3549385.54</v>
      </c>
      <c r="R117" s="229">
        <f>_xll.DBRW(Server&amp;Cube1,$N$15,$N$16,$N$17,$N$18,$N$14,$N$13,$R$2,$R$1,$B117)</f>
        <v>0</v>
      </c>
      <c r="S117" s="230">
        <f t="shared" si="60"/>
        <v>-3549385.54</v>
      </c>
      <c r="T117" s="232">
        <f t="shared" si="61"/>
        <v>0</v>
      </c>
      <c r="U117" s="218"/>
      <c r="V117" s="229">
        <f>_xll.DBRW(Server&amp;Cube1,$N$15,$N$16,$N$17,$N$18,$N$14,$N$13,$V$2,$V$1,$B117)</f>
        <v>-61832021.29999996</v>
      </c>
      <c r="W117" s="230">
        <f t="shared" si="62"/>
        <v>58282635.759999961</v>
      </c>
      <c r="X117" s="232">
        <f t="shared" si="63"/>
        <v>0.94259632039556174</v>
      </c>
      <c r="Y117" s="54"/>
      <c r="Z117" s="54"/>
      <c r="AA117" s="54"/>
      <c r="AB117" s="233">
        <f>_xll.DBRW(Server&amp;Cube1,$N$15,$N$16,$N$17,$N$18,$N$14,$N$13,AB$2,AB$1,$B117)</f>
        <v>0</v>
      </c>
      <c r="AC117" s="233">
        <f>_xll.DBRW(Server&amp;Cube1,$N$15,$N$16,$N$17,$N$18,$N$14,$N$13,AC$2,AC$1,$B117)</f>
        <v>0</v>
      </c>
      <c r="AD117" s="233">
        <f>_xll.DBRW(Server&amp;Cube1,$N$15,$N$16,$N$17,$N$18,$N$14,$N$13,AD$2,AD$1,$B117)</f>
        <v>-1503266.48</v>
      </c>
      <c r="AE117" s="32"/>
      <c r="AF117" s="233">
        <f>_xll.DBRW(Server&amp;Cube1,$N$15,$N$16,$N$17,$N$18,$N$14,$N$13,AF$2,AF$1,$B117)</f>
        <v>0</v>
      </c>
      <c r="AG117" s="233">
        <f>_xll.DBRW(Server&amp;Cube1,$N$15,$N$16,$N$17,$N$18,$N$14,$N$13,AG$2,AG$1,$B117)</f>
        <v>0</v>
      </c>
      <c r="AH117" s="233">
        <f>_xll.DBRW(Server&amp;Cube1,$N$15,$N$16,$N$17,$N$18,$N$14,$N$13,AH$2,AH$1,$B117)</f>
        <v>-14001366.149999997</v>
      </c>
      <c r="AI117" s="32"/>
      <c r="AJ117" s="233">
        <f>_xll.DBRW(Server&amp;Cube1,$N$15,$N$16,$N$17,$N$18,$N$14,$N$13,AJ$2,AJ$1,$B117)</f>
        <v>0</v>
      </c>
      <c r="AK117" s="233">
        <f>_xll.DBRW(Server&amp;Cube1,$N$15,$N$16,$N$17,$N$18,$N$14,$N$13,AK$2,AK$1,$B117)</f>
        <v>0</v>
      </c>
      <c r="AL117" s="233">
        <f>_xll.DBRW(Server&amp;Cube1,$N$15,$N$16,$N$17,$N$18,$N$14,$N$13,AL$2,AL$1,$B117)</f>
        <v>-6494601.1700000027</v>
      </c>
      <c r="AM117" s="32"/>
      <c r="AN117" s="233">
        <f>_xll.DBRW(Server&amp;Cube1,$N$15,$N$16,$N$17,$N$18,$N$14,$N$13,AN$2,AN$1,$B117)</f>
        <v>0</v>
      </c>
      <c r="AO117" s="233">
        <f>_xll.DBRW(Server&amp;Cube1,$N$15,$N$16,$N$17,$N$18,$N$14,$N$13,AO$2,AO$1,$B117)</f>
        <v>0</v>
      </c>
      <c r="AP117" s="233">
        <f>_xll.DBRW(Server&amp;Cube1,$N$15,$N$16,$N$17,$N$18,$N$14,$N$13,AP$2,AP$1,$B117)</f>
        <v>-6800154.1699999981</v>
      </c>
      <c r="AQ117" s="32"/>
      <c r="AR117" s="233">
        <f>_xll.DBRW(Server&amp;Cube1,$N$15,$N$16,$N$17,$N$18,$N$14,$N$13,AR$2,AR$1,$B117)</f>
        <v>0</v>
      </c>
      <c r="AS117" s="233">
        <f>_xll.DBRW(Server&amp;Cube1,$N$15,$N$16,$N$17,$N$18,$N$14,$N$13,AS$2,AS$1,$B117)</f>
        <v>0</v>
      </c>
      <c r="AT117" s="233">
        <f>_xll.DBRW(Server&amp;Cube1,$N$15,$N$16,$N$17,$N$18,$N$14,$N$13,AT$2,AT$1,$B117)</f>
        <v>3820854.8500000024</v>
      </c>
      <c r="AU117" s="32"/>
      <c r="AV117" s="233">
        <f>_xll.DBRW(Server&amp;Cube1,$N$15,$N$16,$N$17,$N$18,$N$14,$N$13,AV$2,AV$1,$B117)</f>
        <v>0</v>
      </c>
      <c r="AW117" s="233">
        <f>_xll.DBRW(Server&amp;Cube1,$N$15,$N$16,$N$17,$N$18,$N$14,$N$13,AW$2,AW$1,$B117)</f>
        <v>0</v>
      </c>
      <c r="AX117" s="233">
        <f>_xll.DBRW(Server&amp;Cube1,$N$15,$N$16,$N$17,$N$18,$N$14,$N$13,AX$2,AX$1,$B117)</f>
        <v>-304858627.9600001</v>
      </c>
      <c r="AY117" s="32"/>
      <c r="AZ117" s="233">
        <f>_xll.DBRW(Server&amp;Cube1,$N$15,$N$16,$N$17,$N$18,$N$14,$N$13,AZ$2,AZ$1,$B117)</f>
        <v>0</v>
      </c>
      <c r="BA117" s="233">
        <f>_xll.DBRW(Server&amp;Cube1,$N$15,$N$16,$N$17,$N$18,$N$14,$N$13,BA$2,BA$1,$B117)</f>
        <v>0</v>
      </c>
      <c r="BB117" s="233">
        <f>_xll.DBRW(Server&amp;Cube1,$N$15,$N$16,$N$17,$N$18,$N$14,$N$13,BB$2,BB$1,$B117)</f>
        <v>-3538897.15</v>
      </c>
      <c r="BC117" s="32"/>
      <c r="BD117" s="233">
        <f>_xll.DBRW(Server&amp;Cube1,$N$15,$N$16,$N$17,$N$18,$N$14,$N$13,BD$2,BD$1,$B117)</f>
        <v>-3549385.54</v>
      </c>
      <c r="BE117" s="233">
        <f>_xll.DBRW(Server&amp;Cube1,$N$15,$N$16,$N$17,$N$18,$N$14,$N$13,BE$2,BE$1,$B117)</f>
        <v>0</v>
      </c>
      <c r="BF117" s="233">
        <f>_xll.DBRW(Server&amp;Cube1,$N$15,$N$16,$N$17,$N$18,$N$14,$N$13,BF$2,BF$1,$B117)</f>
        <v>271544036.93000001</v>
      </c>
      <c r="BG117" s="32"/>
      <c r="BH117" s="233">
        <f>_xll.DBRW(Server&amp;Cube1,$N$15,$N$16,$N$17,$N$18,$N$14,$N$13,BH$2,BH$1,$B117)</f>
        <v>0</v>
      </c>
      <c r="BI117" s="233">
        <f>_xll.DBRW(Server&amp;Cube1,$N$15,$N$16,$N$17,$N$18,$N$14,$N$13,BI$2,BI$1,$B117)</f>
        <v>0</v>
      </c>
      <c r="BJ117" s="233">
        <f>_xll.DBRW(Server&amp;Cube1,$N$15,$N$16,$N$17,$N$18,$N$14,$N$13,BJ$2,BJ$1,$B117)</f>
        <v>-6827114.3899999997</v>
      </c>
      <c r="BK117" s="32"/>
      <c r="BL117" s="233">
        <f>_xll.DBRW(Server&amp;Cube1,$N$15,$N$16,$N$17,$N$18,$N$14,$N$13,BL$2,BL$1,$B117)</f>
        <v>0</v>
      </c>
      <c r="BM117" s="233">
        <f>_xll.DBRW(Server&amp;Cube1,$N$15,$N$16,$N$17,$N$18,$N$14,$N$13,BM$2,BM$1,$B117)</f>
        <v>0</v>
      </c>
      <c r="BN117" s="233">
        <f>_xll.DBRW(Server&amp;Cube1,$N$15,$N$16,$N$17,$N$18,$N$14,$N$13,BN$2,BN$1,$B117)</f>
        <v>-1807986.2100000002</v>
      </c>
      <c r="BO117" s="32"/>
      <c r="BP117" s="233">
        <f>_xll.DBRW(Server&amp;Cube1,$N$15,$N$16,$N$17,$N$18,$N$14,$N$13,BP$2,BP$1,$B117)</f>
        <v>0</v>
      </c>
      <c r="BQ117" s="233">
        <f>_xll.DBRW(Server&amp;Cube1,$N$15,$N$16,$N$17,$N$18,$N$14,$N$13,BQ$2,BQ$1,$B117)</f>
        <v>0</v>
      </c>
      <c r="BR117" s="233">
        <f>_xll.DBRW(Server&amp;Cube1,$N$15,$N$16,$N$17,$N$18,$N$14,$N$13,BR$2,BR$1,$B117)</f>
        <v>-112633804.02999999</v>
      </c>
      <c r="BS117" s="32"/>
      <c r="BT117" s="233">
        <f>_xll.DBRW(Server&amp;Cube1,$N$15,$N$16,$N$17,$N$18,$N$14,$N$13,BT$2,BT$1,$B117)</f>
        <v>0</v>
      </c>
      <c r="BU117" s="233">
        <f>_xll.DBRW(Server&amp;Cube1,$N$15,$N$16,$N$17,$N$18,$N$14,$N$13,BU$2,BU$1,$B117)</f>
        <v>0</v>
      </c>
      <c r="BV117" s="233">
        <f>_xll.DBRW(Server&amp;Cube1,$N$15,$N$16,$N$17,$N$18,$N$14,$N$13,BV$2,BV$1,$B117)</f>
        <v>6971826.7100000028</v>
      </c>
      <c r="BW117" s="54"/>
      <c r="BX117" s="28"/>
    </row>
    <row r="118" spans="1:78" ht="3.75" hidden="1" customHeight="1" x14ac:dyDescent="0.8">
      <c r="A118" s="56"/>
      <c r="B118" s="54"/>
      <c r="H118" s="54"/>
      <c r="I118" s="94"/>
      <c r="J118" s="57"/>
      <c r="K118" s="58"/>
      <c r="L118" s="59"/>
      <c r="M118" s="60"/>
      <c r="N118" s="60"/>
      <c r="O118" s="60"/>
      <c r="P118" s="61"/>
      <c r="Q118" s="62"/>
      <c r="R118" s="62"/>
      <c r="S118" s="63"/>
      <c r="T118" s="64"/>
      <c r="U118" s="65"/>
      <c r="V118" s="62"/>
      <c r="W118" s="63"/>
      <c r="X118" s="64"/>
      <c r="Y118" s="54"/>
      <c r="Z118" s="54"/>
      <c r="AA118" s="54"/>
      <c r="AB118" s="62"/>
      <c r="AC118" s="62"/>
      <c r="AD118" s="62"/>
      <c r="AE118" s="32"/>
      <c r="AF118" s="62"/>
      <c r="AG118" s="62"/>
      <c r="AH118" s="62"/>
      <c r="AI118" s="32"/>
      <c r="AJ118" s="62"/>
      <c r="AK118" s="62"/>
      <c r="AL118" s="62"/>
      <c r="AM118" s="32"/>
      <c r="AN118" s="62"/>
      <c r="AO118" s="62"/>
      <c r="AP118" s="62"/>
      <c r="AQ118" s="32"/>
      <c r="AR118" s="62"/>
      <c r="AS118" s="62"/>
      <c r="AT118" s="62"/>
      <c r="AU118" s="32"/>
      <c r="AV118" s="62"/>
      <c r="AW118" s="62"/>
      <c r="AX118" s="62"/>
      <c r="AY118" s="32"/>
      <c r="AZ118" s="62"/>
      <c r="BA118" s="62"/>
      <c r="BB118" s="62"/>
      <c r="BC118" s="32"/>
      <c r="BD118" s="62"/>
      <c r="BE118" s="62"/>
      <c r="BF118" s="62"/>
      <c r="BG118" s="32"/>
      <c r="BH118" s="62"/>
      <c r="BI118" s="62"/>
      <c r="BJ118" s="62"/>
      <c r="BK118" s="32"/>
      <c r="BL118" s="62"/>
      <c r="BM118" s="62"/>
      <c r="BN118" s="62"/>
      <c r="BO118" s="32"/>
      <c r="BP118" s="62"/>
      <c r="BQ118" s="62"/>
      <c r="BR118" s="62"/>
      <c r="BS118" s="32"/>
      <c r="BT118" s="62"/>
      <c r="BU118" s="62"/>
      <c r="BV118" s="62"/>
      <c r="BW118" s="54"/>
      <c r="BX118" s="28"/>
      <c r="BZ118" s="358"/>
    </row>
    <row r="119" spans="1:78" ht="6" customHeight="1" x14ac:dyDescent="0.6">
      <c r="A119" s="56"/>
      <c r="B119" s="68"/>
      <c r="H119" s="68"/>
      <c r="I119" s="68"/>
      <c r="J119" s="53"/>
      <c r="K119" s="68"/>
      <c r="L119" s="68"/>
      <c r="M119" s="54"/>
      <c r="N119" s="54"/>
      <c r="O119" s="54"/>
      <c r="P119" s="54"/>
      <c r="Q119" s="69"/>
      <c r="R119" s="69"/>
      <c r="S119" s="69"/>
      <c r="T119" s="70"/>
      <c r="U119" s="69"/>
      <c r="V119" s="69"/>
      <c r="W119" s="69"/>
      <c r="X119" s="70"/>
      <c r="Y119" s="54"/>
      <c r="Z119" s="54"/>
      <c r="AA119" s="54"/>
      <c r="AB119" s="54"/>
      <c r="AC119" s="54"/>
      <c r="AD119" s="54"/>
      <c r="AE119" s="32"/>
      <c r="AF119" s="54"/>
      <c r="AG119" s="54"/>
      <c r="AH119" s="54"/>
      <c r="AI119" s="32"/>
      <c r="AJ119" s="54"/>
      <c r="AK119" s="54"/>
      <c r="AL119" s="54"/>
      <c r="AM119" s="32"/>
      <c r="AN119" s="54"/>
      <c r="AO119" s="54"/>
      <c r="AP119" s="54"/>
      <c r="AQ119" s="32"/>
      <c r="AR119" s="54"/>
      <c r="AS119" s="54"/>
      <c r="AT119" s="54"/>
      <c r="AU119" s="32"/>
      <c r="AV119" s="54"/>
      <c r="AW119" s="54"/>
      <c r="AX119" s="54"/>
      <c r="AY119" s="32"/>
      <c r="AZ119" s="54"/>
      <c r="BA119" s="54"/>
      <c r="BB119" s="54"/>
      <c r="BC119" s="32"/>
      <c r="BD119" s="54"/>
      <c r="BE119" s="54"/>
      <c r="BF119" s="54"/>
      <c r="BG119" s="32"/>
      <c r="BH119" s="54"/>
      <c r="BI119" s="54"/>
      <c r="BJ119" s="54"/>
      <c r="BK119" s="32"/>
      <c r="BL119" s="54"/>
      <c r="BM119" s="54"/>
      <c r="BN119" s="54"/>
      <c r="BO119" s="32"/>
      <c r="BP119" s="54"/>
      <c r="BQ119" s="54"/>
      <c r="BR119" s="54"/>
      <c r="BS119" s="32"/>
      <c r="BT119" s="54"/>
      <c r="BU119" s="54"/>
      <c r="BV119" s="54"/>
      <c r="BW119" s="54"/>
      <c r="BX119" s="28"/>
    </row>
    <row r="120" spans="1:78" s="376" customFormat="1" ht="22.5" customHeight="1" x14ac:dyDescent="0.8">
      <c r="A120" s="374" t="s">
        <v>152</v>
      </c>
      <c r="B120" s="375" t="s">
        <v>152</v>
      </c>
      <c r="D120" s="377"/>
      <c r="E120" s="377"/>
      <c r="H120" s="375"/>
      <c r="I120" s="351"/>
      <c r="J120" s="222"/>
      <c r="K120" s="529" t="str">
        <f>_xll.DBRA(Server&amp;$B$32,$B120,$N$19)</f>
        <v>COST OF SALES (COS) net of subcontracted transport</v>
      </c>
      <c r="L120" s="530"/>
      <c r="M120" s="530"/>
      <c r="N120" s="530"/>
      <c r="O120" s="581"/>
      <c r="P120" s="223"/>
      <c r="Q120" s="224">
        <f>_xll.DBRW(Server&amp;Cube1,$N$15,$N$16,$N$17,$N$18,$N$14,$N$13,$N$11,$Q$1,$A120)</f>
        <v>-193922296.01000017</v>
      </c>
      <c r="R120" s="225">
        <f>_xll.DBRW(Server&amp;Cube1,$N$15,$N$16,$N$17,$N$18,$N$14,$N$13,$R$2,$R$1,$A120)</f>
        <v>0</v>
      </c>
      <c r="S120" s="226">
        <f>Q120-R120</f>
        <v>-193922296.01000017</v>
      </c>
      <c r="T120" s="305">
        <f>IF(R120&lt;&gt;0,IF(R120&gt;0,S120/R120,-S120/R120),0)</f>
        <v>0</v>
      </c>
      <c r="U120" s="378"/>
      <c r="V120" s="224">
        <f>_xll.DBRW(Server&amp;Cube1,$N$15,$N$16,$N$17,$N$18,$N$14,$N$13,$V$2,$V$1,$A120)</f>
        <v>-6761784249.3650351</v>
      </c>
      <c r="W120" s="226">
        <f>Q120-V120</f>
        <v>6567861953.3550348</v>
      </c>
      <c r="X120" s="305">
        <f>IF(V120&lt;&gt;0,IF(V120&gt;0,W120/V120,-W120/V120),0)</f>
        <v>0.97132083946212711</v>
      </c>
      <c r="Y120" s="238"/>
      <c r="Z120" s="238"/>
      <c r="AA120" s="238"/>
      <c r="AB120" s="224">
        <f>_xll.DBRW(Server&amp;Cube1,$N$15,$N$16,$N$17,$N$18,$N$14,$N$13,$N$11,$Q$1,$A120)</f>
        <v>-193922296.01000017</v>
      </c>
      <c r="AC120" s="225">
        <f>_xll.DBRW(Server&amp;Cube1,$N$15,$N$16,$N$17,$N$18,$N$14,$N$13,$R$2,$R$1,$A120)</f>
        <v>0</v>
      </c>
      <c r="AD120" s="225">
        <f>_xll.DBRW(Server&amp;Cube1,$N$15,$N$16,$N$17,$N$18,$N$14,$N$13,AD$2,AD$1,$B120)</f>
        <v>-5972551680.3127813</v>
      </c>
      <c r="AE120" s="32"/>
      <c r="AF120" s="224">
        <f>_xll.DBRW(Server&amp;Cube1,$N$15,$N$16,$N$17,$N$18,$N$14,$N$13,AF$2,AF$1,$B120)</f>
        <v>0</v>
      </c>
      <c r="AG120" s="225">
        <f>_xll.DBRW(Server&amp;Cube1,$N$15,$N$16,$N$17,$N$18,$N$14,$N$13,AG$2,AG$1,$B120)</f>
        <v>0</v>
      </c>
      <c r="AH120" s="225">
        <f>_xll.DBRW(Server&amp;Cube1,$N$15,$N$16,$N$17,$N$18,$N$14,$N$13,AH$2,AH$1,$B120)</f>
        <v>-611883759.12374902</v>
      </c>
      <c r="AI120" s="32"/>
      <c r="AJ120" s="224">
        <f>_xll.DBRW(Server&amp;Cube1,$N$15,$N$16,$N$17,$N$18,$N$14,$N$13,AJ$2,AJ$1,$B120)</f>
        <v>0</v>
      </c>
      <c r="AK120" s="225">
        <f>_xll.DBRW(Server&amp;Cube1,$N$15,$N$16,$N$17,$N$18,$N$14,$N$13,AK$2,AK$1,$B120)</f>
        <v>0</v>
      </c>
      <c r="AL120" s="225">
        <f>_xll.DBRW(Server&amp;Cube1,$N$15,$N$16,$N$17,$N$18,$N$14,$N$13,AL$2,AL$1,$B120)</f>
        <v>-12492264525.039572</v>
      </c>
      <c r="AM120" s="32"/>
      <c r="AN120" s="224">
        <f>_xll.DBRW(Server&amp;Cube1,$N$15,$N$16,$N$17,$N$18,$N$14,$N$13,AN$2,AN$1,$B120)</f>
        <v>0</v>
      </c>
      <c r="AO120" s="225">
        <f>_xll.DBRW(Server&amp;Cube1,$N$15,$N$16,$N$17,$N$18,$N$14,$N$13,AO$2,AO$1,$B120)</f>
        <v>0</v>
      </c>
      <c r="AP120" s="225">
        <f>_xll.DBRW(Server&amp;Cube1,$N$15,$N$16,$N$17,$N$18,$N$14,$N$13,AP$2,AP$1,$B120)</f>
        <v>-6387270111.8995438</v>
      </c>
      <c r="AQ120" s="32"/>
      <c r="AR120" s="224">
        <f>_xll.DBRW(Server&amp;Cube1,$N$15,$N$16,$N$17,$N$18,$N$14,$N$13,AR$2,AR$1,$B120)</f>
        <v>0</v>
      </c>
      <c r="AS120" s="225">
        <f>_xll.DBRW(Server&amp;Cube1,$N$15,$N$16,$N$17,$N$18,$N$14,$N$13,AS$2,AS$1,$B120)</f>
        <v>0</v>
      </c>
      <c r="AT120" s="225">
        <f>_xll.DBRW(Server&amp;Cube1,$N$15,$N$16,$N$17,$N$18,$N$14,$N$13,AT$2,AT$1,$B120)</f>
        <v>-7292481095.8234682</v>
      </c>
      <c r="AU120" s="32"/>
      <c r="AV120" s="224">
        <f>_xll.DBRW(Server&amp;Cube1,$N$15,$N$16,$N$17,$N$18,$N$14,$N$13,AV$2,AV$1,$B120)</f>
        <v>0</v>
      </c>
      <c r="AW120" s="225">
        <f>_xll.DBRW(Server&amp;Cube1,$N$15,$N$16,$N$17,$N$18,$N$14,$N$13,AW$2,AW$1,$B120)</f>
        <v>0</v>
      </c>
      <c r="AX120" s="225">
        <f>_xll.DBRW(Server&amp;Cube1,$N$15,$N$16,$N$17,$N$18,$N$14,$N$13,AX$2,AX$1,$B120)</f>
        <v>-7748807094.033227</v>
      </c>
      <c r="AY120" s="32"/>
      <c r="AZ120" s="224">
        <f>_xll.DBRW(Server&amp;Cube1,$N$15,$N$16,$N$17,$N$18,$N$14,$N$13,AZ$2,AZ$1,$B120)</f>
        <v>0</v>
      </c>
      <c r="BA120" s="225">
        <f>_xll.DBRW(Server&amp;Cube1,$N$15,$N$16,$N$17,$N$18,$N$14,$N$13,BA$2,BA$1,$B120)</f>
        <v>0</v>
      </c>
      <c r="BB120" s="225">
        <f>_xll.DBRW(Server&amp;Cube1,$N$15,$N$16,$N$17,$N$18,$N$14,$N$13,BB$2,BB$1,$B120)</f>
        <v>-7010893197.9667206</v>
      </c>
      <c r="BC120" s="32"/>
      <c r="BD120" s="224">
        <f>_xll.DBRW(Server&amp;Cube1,$N$15,$N$16,$N$17,$N$18,$N$14,$N$13,BD$2,BD$1,$B120)</f>
        <v>-193922296.01000017</v>
      </c>
      <c r="BE120" s="225">
        <f>_xll.DBRW(Server&amp;Cube1,$N$15,$N$16,$N$17,$N$18,$N$14,$N$13,BE$2,BE$1,$B120)</f>
        <v>0</v>
      </c>
      <c r="BF120" s="225">
        <f>_xll.DBRW(Server&amp;Cube1,$N$15,$N$16,$N$17,$N$18,$N$14,$N$13,BF$2,BF$1,$B120)</f>
        <v>40754367214.834045</v>
      </c>
      <c r="BG120" s="32"/>
      <c r="BH120" s="224">
        <f>_xll.DBRW(Server&amp;Cube1,$N$15,$N$16,$N$17,$N$18,$N$14,$N$13,BH$2,BH$1,$B120)</f>
        <v>0</v>
      </c>
      <c r="BI120" s="225">
        <f>_xll.DBRW(Server&amp;Cube1,$N$15,$N$16,$N$17,$N$18,$N$14,$N$13,BI$2,BI$1,$B120)</f>
        <v>0</v>
      </c>
      <c r="BJ120" s="225">
        <f>_xll.DBRW(Server&amp;Cube1,$N$15,$N$16,$N$17,$N$18,$N$14,$N$13,BJ$2,BJ$1,$B120)</f>
        <v>-8537911195.8609142</v>
      </c>
      <c r="BK120" s="32"/>
      <c r="BL120" s="224">
        <f>_xll.DBRW(Server&amp;Cube1,$N$15,$N$16,$N$17,$N$18,$N$14,$N$13,BL$2,BL$1,$B120)</f>
        <v>0</v>
      </c>
      <c r="BM120" s="225">
        <f>_xll.DBRW(Server&amp;Cube1,$N$15,$N$16,$N$17,$N$18,$N$14,$N$13,BM$2,BM$1,$B120)</f>
        <v>0</v>
      </c>
      <c r="BN120" s="225">
        <f>_xll.DBRW(Server&amp;Cube1,$N$15,$N$16,$N$17,$N$18,$N$14,$N$13,BN$2,BN$1,$B120)</f>
        <v>-7688506100.0588837</v>
      </c>
      <c r="BO120" s="32"/>
      <c r="BP120" s="224">
        <f>_xll.DBRW(Server&amp;Cube1,$N$15,$N$16,$N$17,$N$18,$N$14,$N$13,BP$2,BP$1,$B120)</f>
        <v>0</v>
      </c>
      <c r="BQ120" s="225">
        <f>_xll.DBRW(Server&amp;Cube1,$N$15,$N$16,$N$17,$N$18,$N$14,$N$13,BQ$2,BQ$1,$B120)</f>
        <v>0</v>
      </c>
      <c r="BR120" s="225">
        <f>_xll.DBRW(Server&amp;Cube1,$N$15,$N$16,$N$17,$N$18,$N$14,$N$13,BR$2,BR$1,$B120)</f>
        <v>-9325005694.4278984</v>
      </c>
      <c r="BS120" s="32"/>
      <c r="BT120" s="224">
        <f>_xll.DBRW(Server&amp;Cube1,$N$15,$N$16,$N$17,$N$18,$N$14,$N$13,BT$2,BT$1,$B120)</f>
        <v>0</v>
      </c>
      <c r="BU120" s="225">
        <f>_xll.DBRW(Server&amp;Cube1,$N$15,$N$16,$N$17,$N$18,$N$14,$N$13,BU$2,BU$1,$B120)</f>
        <v>0</v>
      </c>
      <c r="BV120" s="225">
        <f>_xll.DBRW(Server&amp;Cube1,$N$15,$N$16,$N$17,$N$18,$N$14,$N$13,BV$2,BV$1,$B120)</f>
        <v>-13016430240.163219</v>
      </c>
      <c r="BW120" s="238"/>
      <c r="BX120" s="379"/>
      <c r="BY120" s="380"/>
      <c r="BZ120" s="380"/>
    </row>
    <row r="121" spans="1:78" ht="8.25" customHeight="1" x14ac:dyDescent="0.6">
      <c r="A121" s="56"/>
      <c r="B121" s="54"/>
      <c r="H121" s="54"/>
      <c r="I121" s="68"/>
      <c r="J121" s="53"/>
      <c r="K121" s="68"/>
      <c r="L121" s="68"/>
      <c r="M121" s="54"/>
      <c r="N121" s="54"/>
      <c r="O121" s="54"/>
      <c r="P121" s="54"/>
      <c r="Q121" s="69"/>
      <c r="R121" s="69"/>
      <c r="S121" s="69"/>
      <c r="T121" s="70"/>
      <c r="U121" s="69"/>
      <c r="V121" s="69"/>
      <c r="W121" s="69"/>
      <c r="X121" s="204"/>
      <c r="Y121" s="205"/>
      <c r="Z121" s="54"/>
      <c r="AA121" s="54"/>
      <c r="AB121" s="54"/>
      <c r="AC121" s="54"/>
      <c r="AD121" s="54"/>
      <c r="AE121" s="32"/>
      <c r="AF121" s="54"/>
      <c r="AG121" s="54"/>
      <c r="AH121" s="54"/>
      <c r="AI121" s="32"/>
      <c r="AJ121" s="54"/>
      <c r="AK121" s="54"/>
      <c r="AL121" s="54"/>
      <c r="AM121" s="32"/>
      <c r="AN121" s="54"/>
      <c r="AO121" s="54"/>
      <c r="AP121" s="54"/>
      <c r="AQ121" s="32"/>
      <c r="AR121" s="54"/>
      <c r="AS121" s="54"/>
      <c r="AT121" s="54"/>
      <c r="AU121" s="32"/>
      <c r="AV121" s="54"/>
      <c r="AW121" s="54"/>
      <c r="AX121" s="54"/>
      <c r="AY121" s="32"/>
      <c r="AZ121" s="54"/>
      <c r="BA121" s="54"/>
      <c r="BB121" s="54"/>
      <c r="BC121" s="32"/>
      <c r="BD121" s="54"/>
      <c r="BE121" s="54"/>
      <c r="BF121" s="54"/>
      <c r="BG121" s="32"/>
      <c r="BH121" s="54"/>
      <c r="BI121" s="54"/>
      <c r="BJ121" s="54"/>
      <c r="BK121" s="32"/>
      <c r="BL121" s="54"/>
      <c r="BM121" s="54"/>
      <c r="BN121" s="54"/>
      <c r="BO121" s="32"/>
      <c r="BP121" s="54"/>
      <c r="BQ121" s="54"/>
      <c r="BR121" s="54"/>
      <c r="BS121" s="32"/>
      <c r="BT121" s="54"/>
      <c r="BU121" s="54"/>
      <c r="BV121" s="54"/>
      <c r="BW121" s="54"/>
      <c r="BX121" s="28"/>
    </row>
    <row r="122" spans="1:78" ht="8.25" customHeight="1" x14ac:dyDescent="0.75">
      <c r="A122" s="56"/>
      <c r="B122" s="54"/>
      <c r="H122" s="54"/>
      <c r="I122" s="68"/>
      <c r="J122" s="53"/>
      <c r="K122" s="68"/>
      <c r="L122" s="68"/>
      <c r="M122" s="54"/>
      <c r="N122" s="54"/>
      <c r="O122" s="54"/>
      <c r="P122" s="54"/>
      <c r="Q122" s="69"/>
      <c r="R122" s="69"/>
      <c r="S122" s="69"/>
      <c r="T122" s="70"/>
      <c r="U122" s="69"/>
      <c r="V122" s="69"/>
      <c r="W122" s="69"/>
      <c r="X122" s="70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54"/>
      <c r="BT122" s="54"/>
      <c r="BU122" s="54"/>
      <c r="BV122" s="54"/>
      <c r="BW122" s="54"/>
      <c r="BX122" s="28"/>
    </row>
    <row r="123" spans="1:78" ht="8.25" customHeight="1" x14ac:dyDescent="0.75">
      <c r="A123" s="56"/>
      <c r="B123" s="54"/>
      <c r="H123" s="54"/>
      <c r="I123" s="68"/>
      <c r="J123" s="53"/>
      <c r="K123" s="72"/>
      <c r="L123" s="73"/>
      <c r="M123" s="74"/>
      <c r="N123" s="74"/>
      <c r="O123" s="74"/>
      <c r="P123" s="74"/>
      <c r="Q123" s="75"/>
      <c r="R123" s="75"/>
      <c r="S123" s="75"/>
      <c r="T123" s="76"/>
      <c r="U123" s="75"/>
      <c r="V123" s="75"/>
      <c r="W123" s="75"/>
      <c r="X123" s="76"/>
      <c r="Y123" s="77"/>
      <c r="Z123" s="386"/>
      <c r="AA123" s="72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7"/>
      <c r="BX123" s="78"/>
      <c r="BY123" s="54"/>
      <c r="BZ123" s="54"/>
    </row>
    <row r="124" spans="1:78" s="52" customFormat="1" ht="22.5" customHeight="1" x14ac:dyDescent="0.75">
      <c r="A124" s="135" t="s">
        <v>141</v>
      </c>
      <c r="B124" s="54" t="str">
        <f>_xll.DBRA(Server&amp;$B$32,$A124,$N$19)</f>
        <v>GROSS MARGIN (by destination)</v>
      </c>
      <c r="D124" s="51"/>
      <c r="E124" s="51"/>
      <c r="H124" s="54"/>
      <c r="I124" s="352"/>
      <c r="J124" s="66"/>
      <c r="K124" s="79"/>
      <c r="L124" s="582" t="str">
        <f>LEFT(B124,FIND("(",B124,1)-1)</f>
        <v xml:space="preserve">GROSS MARGIN </v>
      </c>
      <c r="M124" s="583"/>
      <c r="N124" s="583"/>
      <c r="O124" s="584"/>
      <c r="P124" s="307"/>
      <c r="Q124" s="224">
        <f>_xll.DBRW(Server&amp;Cube1,$N$15,$N$16,$N$17,$N$18,$N$14,$N$13,$N$11,$Q$1,$A124)</f>
        <v>36216967.719999939</v>
      </c>
      <c r="R124" s="225">
        <f>_xll.DBRW(Server&amp;Cube1,$N$15,$N$16,$N$17,$N$18,$N$14,$N$13,$R$2,$R$1,$A124)</f>
        <v>0</v>
      </c>
      <c r="S124" s="226">
        <f>Q124-R124</f>
        <v>36216967.719999939</v>
      </c>
      <c r="T124" s="305">
        <f>IF(R124&lt;&gt;0,IF(R124&gt;0,S124/R124,-S124/R124),0)</f>
        <v>0</v>
      </c>
      <c r="U124" s="306"/>
      <c r="V124" s="224">
        <f>_xll.DBRW(Server&amp;Cube1,$N$15,$N$16,$N$17,$N$18,$N$14,$N$13,$V$2,$V$1,$A124)</f>
        <v>407382324.39798737</v>
      </c>
      <c r="W124" s="226">
        <f>Q124-V124</f>
        <v>-371165356.67798746</v>
      </c>
      <c r="X124" s="308">
        <f>IF(V124&lt;&gt;0,IF(V124&gt;0,W124/V124,-W124/V124),0)</f>
        <v>-0.91109833306214294</v>
      </c>
      <c r="Y124" s="80"/>
      <c r="Z124" s="387"/>
      <c r="AA124" s="79"/>
      <c r="AB124" s="224">
        <f>_xll.DBRW(Server&amp;Cube1,$N$15,$N$16,$N$17,$N$18,$N$14,$N$13,AB$2,AB$1,$B124)</f>
        <v>0</v>
      </c>
      <c r="AC124" s="225">
        <f>_xll.DBRW(Server&amp;Cube1,$N$15,$N$16,$N$17,$N$18,$N$14,$N$13,AC$2,AC$1,$B124)</f>
        <v>0</v>
      </c>
      <c r="AD124" s="225">
        <f>_xll.DBRW(Server&amp;Cube1,$N$15,$N$16,$N$17,$N$18,$N$14,$N$13,AD$2,AD$1,$B124)</f>
        <v>440794954.54227281</v>
      </c>
      <c r="AE124" s="302"/>
      <c r="AF124" s="224">
        <f>_xll.DBRW(Server&amp;Cube1,$N$15,$N$16,$N$17,$N$18,$N$14,$N$13,AF$2,AF$1,$B124)</f>
        <v>0</v>
      </c>
      <c r="AG124" s="225">
        <f>_xll.DBRW(Server&amp;Cube1,$N$15,$N$16,$N$17,$N$18,$N$14,$N$13,AG$2,AG$1,$B124)</f>
        <v>0</v>
      </c>
      <c r="AH124" s="225">
        <f>_xll.DBRW(Server&amp;Cube1,$N$15,$N$16,$N$17,$N$18,$N$14,$N$13,AH$2,AH$1,$B124)</f>
        <v>259399463.58885241</v>
      </c>
      <c r="AI124" s="302"/>
      <c r="AJ124" s="224">
        <f>_xll.DBRW(Server&amp;Cube1,$N$15,$N$16,$N$17,$N$18,$N$14,$N$13,AJ$2,AJ$1,$B124)</f>
        <v>0</v>
      </c>
      <c r="AK124" s="225">
        <f>_xll.DBRW(Server&amp;Cube1,$N$15,$N$16,$N$17,$N$18,$N$14,$N$13,AK$2,AK$1,$B124)</f>
        <v>0</v>
      </c>
      <c r="AL124" s="225">
        <f>_xll.DBRW(Server&amp;Cube1,$N$15,$N$16,$N$17,$N$18,$N$14,$N$13,AL$2,AL$1,$B124)</f>
        <v>2145349304.8810191</v>
      </c>
      <c r="AM124" s="302"/>
      <c r="AN124" s="224">
        <f>_xll.DBRW(Server&amp;Cube1,$N$15,$N$16,$N$17,$N$18,$N$14,$N$13,AN$2,AN$1,$B124)</f>
        <v>0</v>
      </c>
      <c r="AO124" s="225">
        <f>_xll.DBRW(Server&amp;Cube1,$N$15,$N$16,$N$17,$N$18,$N$14,$N$13,AO$2,AO$1,$B124)</f>
        <v>0</v>
      </c>
      <c r="AP124" s="225">
        <f>_xll.DBRW(Server&amp;Cube1,$N$15,$N$16,$N$17,$N$18,$N$14,$N$13,AP$2,AP$1,$B124)</f>
        <v>1517154985.2200029</v>
      </c>
      <c r="AQ124" s="302"/>
      <c r="AR124" s="224">
        <f>_xll.DBRW(Server&amp;Cube1,$N$15,$N$16,$N$17,$N$18,$N$14,$N$13,AR$2,AR$1,$B124)</f>
        <v>0</v>
      </c>
      <c r="AS124" s="225">
        <f>_xll.DBRW(Server&amp;Cube1,$N$15,$N$16,$N$17,$N$18,$N$14,$N$13,AS$2,AS$1,$B124)</f>
        <v>0</v>
      </c>
      <c r="AT124" s="225">
        <f>_xll.DBRW(Server&amp;Cube1,$N$15,$N$16,$N$17,$N$18,$N$14,$N$13,AT$2,AT$1,$B124)</f>
        <v>1408655999.6745138</v>
      </c>
      <c r="AU124" s="302"/>
      <c r="AV124" s="224">
        <f>_xll.DBRW(Server&amp;Cube1,$N$15,$N$16,$N$17,$N$18,$N$14,$N$13,AV$2,AV$1,$B124)</f>
        <v>0</v>
      </c>
      <c r="AW124" s="225">
        <f>_xll.DBRW(Server&amp;Cube1,$N$15,$N$16,$N$17,$N$18,$N$14,$N$13,AW$2,AW$1,$B124)</f>
        <v>0</v>
      </c>
      <c r="AX124" s="225">
        <f>_xll.DBRW(Server&amp;Cube1,$N$15,$N$16,$N$17,$N$18,$N$14,$N$13,AX$2,AX$1,$B124)</f>
        <v>896684222.92334938</v>
      </c>
      <c r="AY124" s="302"/>
      <c r="AZ124" s="224">
        <f>_xll.DBRW(Server&amp;Cube1,$N$15,$N$16,$N$17,$N$18,$N$14,$N$13,AZ$2,AZ$1,$B124)</f>
        <v>0</v>
      </c>
      <c r="BA124" s="225">
        <f>_xll.DBRW(Server&amp;Cube1,$N$15,$N$16,$N$17,$N$18,$N$14,$N$13,BA$2,BA$1,$B124)</f>
        <v>0</v>
      </c>
      <c r="BB124" s="225">
        <f>_xll.DBRW(Server&amp;Cube1,$N$15,$N$16,$N$17,$N$18,$N$14,$N$13,BB$2,BB$1,$B124)</f>
        <v>977979224.73107946</v>
      </c>
      <c r="BC124" s="302"/>
      <c r="BD124" s="224">
        <f>_xll.DBRW(Server&amp;Cube1,$N$15,$N$16,$N$17,$N$18,$N$14,$N$13,BD$2,BD$1,$B124)</f>
        <v>36216967.719999887</v>
      </c>
      <c r="BE124" s="225">
        <f>_xll.DBRW(Server&amp;Cube1,$N$15,$N$16,$N$17,$N$18,$N$14,$N$13,BE$2,BE$1,$B124)</f>
        <v>0</v>
      </c>
      <c r="BF124" s="225">
        <f>_xll.DBRW(Server&amp;Cube1,$N$15,$N$16,$N$17,$N$18,$N$14,$N$13,BF$2,BF$1,$B124)</f>
        <v>-7238635831.1630955</v>
      </c>
      <c r="BG124" s="302"/>
      <c r="BH124" s="224">
        <f>_xll.DBRW(Server&amp;Cube1,$N$15,$N$16,$N$17,$N$18,$N$14,$N$13,BH$2,BH$1,$B124)</f>
        <v>0</v>
      </c>
      <c r="BI124" s="225">
        <f>_xll.DBRW(Server&amp;Cube1,$N$15,$N$16,$N$17,$N$18,$N$14,$N$13,BI$2,BI$1,$B124)</f>
        <v>0</v>
      </c>
      <c r="BJ124" s="225">
        <f>_xll.DBRW(Server&amp;Cube1,$N$15,$N$16,$N$17,$N$18,$N$14,$N$13,BJ$2,BJ$1,$B124)</f>
        <v>1299549479.1065562</v>
      </c>
      <c r="BK124" s="302"/>
      <c r="BL124" s="224">
        <f>_xll.DBRW(Server&amp;Cube1,$N$15,$N$16,$N$17,$N$18,$N$14,$N$13,BL$2,BL$1,$B124)</f>
        <v>0</v>
      </c>
      <c r="BM124" s="225">
        <f>_xll.DBRW(Server&amp;Cube1,$N$15,$N$16,$N$17,$N$18,$N$14,$N$13,BM$2,BM$1,$B124)</f>
        <v>0</v>
      </c>
      <c r="BN124" s="225">
        <f>_xll.DBRW(Server&amp;Cube1,$N$15,$N$16,$N$17,$N$18,$N$14,$N$13,BN$2,BN$1,$B124)</f>
        <v>1526688046.1455269</v>
      </c>
      <c r="BO124" s="302"/>
      <c r="BP124" s="224">
        <f>_xll.DBRW(Server&amp;Cube1,$N$15,$N$16,$N$17,$N$18,$N$14,$N$13,BP$2,BP$1,$B124)</f>
        <v>0</v>
      </c>
      <c r="BQ124" s="225">
        <f>_xll.DBRW(Server&amp;Cube1,$N$15,$N$16,$N$17,$N$18,$N$14,$N$13,BQ$2,BQ$1,$B124)</f>
        <v>0</v>
      </c>
      <c r="BR124" s="225">
        <f>_xll.DBRW(Server&amp;Cube1,$N$15,$N$16,$N$17,$N$18,$N$14,$N$13,BR$2,BR$1,$B124)</f>
        <v>1296239879.1485832</v>
      </c>
      <c r="BS124" s="302"/>
      <c r="BT124" s="224">
        <f>_xll.DBRW(Server&amp;Cube1,$N$15,$N$16,$N$17,$N$18,$N$14,$N$13,BT$2,BT$1,$B124)</f>
        <v>0</v>
      </c>
      <c r="BU124" s="225">
        <f>_xll.DBRW(Server&amp;Cube1,$N$15,$N$16,$N$17,$N$18,$N$14,$N$13,BU$2,BU$1,$B124)</f>
        <v>0</v>
      </c>
      <c r="BV124" s="225">
        <f>_xll.DBRW(Server&amp;Cube1,$N$15,$N$16,$N$17,$N$18,$N$14,$N$13,BV$2,BV$1,$B124)</f>
        <v>-192401476.56059599</v>
      </c>
      <c r="BW124" s="80"/>
      <c r="BX124" s="81"/>
      <c r="BY124" s="360"/>
      <c r="BZ124" s="360"/>
    </row>
    <row r="125" spans="1:78" s="90" customFormat="1" ht="22.5" customHeight="1" collapsed="1" x14ac:dyDescent="0.7">
      <c r="A125" s="84"/>
      <c r="B125" s="370" t="s">
        <v>147</v>
      </c>
      <c r="C125" s="82"/>
      <c r="D125" s="83"/>
      <c r="E125" s="83"/>
      <c r="H125" s="370"/>
      <c r="I125" s="353"/>
      <c r="J125" s="85"/>
      <c r="K125" s="86"/>
      <c r="L125" s="87"/>
      <c r="M125" s="87"/>
      <c r="N125" s="87"/>
      <c r="O125" s="284" t="str">
        <f>_xll.DBRA(Server&amp;Context!$B$32,Context!$B$62,$N$19)</f>
        <v>Gross Margin (in percentage of ROA net of sub. transport)</v>
      </c>
      <c r="P125" s="285"/>
      <c r="Q125" s="302">
        <f>IF(ISERROR(Q124/Q36),"-",Q124/Q36)</f>
        <v>0.15963341767099815</v>
      </c>
      <c r="R125" s="302" t="str">
        <f>IF(ISERROR(R124/R36),"-",R124/R36)</f>
        <v>-</v>
      </c>
      <c r="S125" s="558" t="str">
        <f>IF(ISERROR((Q125-R125)*100),"-",(Q125-R125)*100)</f>
        <v>-</v>
      </c>
      <c r="T125" s="558"/>
      <c r="U125" s="286"/>
      <c r="V125" s="302">
        <f>IF(ISERROR(V124/V36),"-",V124/V36)</f>
        <v>5.6882759136944148E-2</v>
      </c>
      <c r="W125" s="559">
        <f>IF(ISERROR((Q125-V125)*100),"-",(Q125-V125)*100)</f>
        <v>10.275065853405399</v>
      </c>
      <c r="X125" s="559"/>
      <c r="Y125" s="88"/>
      <c r="Z125" s="87"/>
      <c r="AA125" s="86"/>
      <c r="AB125" s="302" t="str">
        <f>IF(ISERROR(AB124/AB36),"-",AB124/AB36)</f>
        <v>-</v>
      </c>
      <c r="AC125" s="302" t="str">
        <f>IF(ISERROR(AC124/AC36),"-",AC124/AC36)</f>
        <v>-</v>
      </c>
      <c r="AD125" s="302">
        <f>IF(ISERROR(AD124/AD36),"-",AD124/AD36)</f>
        <v>6.8728156008785651E-2</v>
      </c>
      <c r="AE125" s="302"/>
      <c r="AF125" s="302" t="str">
        <f>IF(ISERROR(AF124/AF36),"-",AF124/AF36)</f>
        <v>-</v>
      </c>
      <c r="AG125" s="302" t="str">
        <f>IF(ISERROR(AG124/AG36),"-",AG124/AG36)</f>
        <v>-</v>
      </c>
      <c r="AH125" s="302">
        <f>IF(ISERROR(AH124/AH36),"-",AH124/AH36)</f>
        <v>0.29830553975877333</v>
      </c>
      <c r="AI125" s="302"/>
      <c r="AJ125" s="302" t="str">
        <f>IF(ISERROR(AJ124/AJ36),"-",AJ124/AJ36)</f>
        <v>-</v>
      </c>
      <c r="AK125" s="302" t="str">
        <f>IF(ISERROR(AK124/AK36),"-",AK124/AK36)</f>
        <v>-</v>
      </c>
      <c r="AL125" s="302">
        <f>IF(ISERROR(AL124/AL36),"-",AL124/AL36)</f>
        <v>0.14657555929319027</v>
      </c>
      <c r="AM125" s="302"/>
      <c r="AN125" s="302" t="str">
        <f>IF(ISERROR(AN124/AN36),"-",AN124/AN36)</f>
        <v>-</v>
      </c>
      <c r="AO125" s="302" t="str">
        <f>IF(ISERROR(AO124/AO36),"-",AO124/AO36)</f>
        <v>-</v>
      </c>
      <c r="AP125" s="302">
        <f>IF(ISERROR(AP124/AP36),"-",AP124/AP36)</f>
        <v>0.19192924752440002</v>
      </c>
      <c r="AQ125" s="302"/>
      <c r="AR125" s="302" t="str">
        <f>IF(ISERROR(AR124/AR36),"-",AR124/AR36)</f>
        <v>-</v>
      </c>
      <c r="AS125" s="302" t="str">
        <f>IF(ISERROR(AS124/AS36),"-",AS124/AS36)</f>
        <v>-</v>
      </c>
      <c r="AT125" s="302">
        <f>IF(ISERROR(AT124/AT36),"-",AT124/AT36)</f>
        <v>0.16192977783619522</v>
      </c>
      <c r="AU125" s="302"/>
      <c r="AV125" s="302" t="str">
        <f>IF(ISERROR(AV124/AV36),"-",AV124/AV36)</f>
        <v>-</v>
      </c>
      <c r="AW125" s="302" t="str">
        <f>IF(ISERROR(AW124/AW36),"-",AW124/AW36)</f>
        <v>-</v>
      </c>
      <c r="AX125" s="302">
        <f>IF(ISERROR(AX124/AX36),"-",AX124/AX36)</f>
        <v>0.10373038196601575</v>
      </c>
      <c r="AY125" s="302"/>
      <c r="AZ125" s="302" t="str">
        <f>IF(ISERROR(AZ124/AZ36),"-",AZ124/AZ36)</f>
        <v>-</v>
      </c>
      <c r="BA125" s="302" t="str">
        <f>IF(ISERROR(BA124/BA36),"-",BA124/BA36)</f>
        <v>-</v>
      </c>
      <c r="BB125" s="302">
        <f>IF(ISERROR(BB124/BB36),"-",BB124/BB36)</f>
        <v>0.12241283392853931</v>
      </c>
      <c r="BC125" s="302"/>
      <c r="BD125" s="302">
        <f>IF(ISERROR(BD124/BD36),"-",BD124/BD36)</f>
        <v>0.15963341767099795</v>
      </c>
      <c r="BE125" s="302" t="str">
        <f>IF(ISERROR(BE124/BE36),"-",BE124/BE36)</f>
        <v>-</v>
      </c>
      <c r="BF125" s="302">
        <f>IF(ISERROR(BF124/BF36),"-",BF124/BF36)</f>
        <v>0.15081947833977083</v>
      </c>
      <c r="BG125" s="302"/>
      <c r="BH125" s="302" t="str">
        <f>IF(ISERROR(BH124/BH36),"-",BH124/BH36)</f>
        <v>-</v>
      </c>
      <c r="BI125" s="302" t="str">
        <f>IF(ISERROR(BI124/BI36),"-",BI124/BI36)</f>
        <v>-</v>
      </c>
      <c r="BJ125" s="302">
        <f>IF(ISERROR(BJ124/BJ36),"-",BJ124/BJ36)</f>
        <v>0.13211565372122874</v>
      </c>
      <c r="BK125" s="302"/>
      <c r="BL125" s="302" t="str">
        <f>IF(ISERROR(BL124/BL36),"-",BL124/BL36)</f>
        <v>-</v>
      </c>
      <c r="BM125" s="302" t="str">
        <f>IF(ISERROR(BM124/BM36),"-",BM124/BM36)</f>
        <v>-</v>
      </c>
      <c r="BN125" s="302">
        <f>IF(ISERROR(BN124/BN36),"-",BN124/BN36)</f>
        <v>0.16565916560405816</v>
      </c>
      <c r="BO125" s="302"/>
      <c r="BP125" s="302" t="str">
        <f>IF(ISERROR(BP124/BP36),"-",BP124/BP36)</f>
        <v>-</v>
      </c>
      <c r="BQ125" s="302" t="str">
        <f>IF(ISERROR(BQ124/BQ36),"-",BQ124/BQ36)</f>
        <v>-</v>
      </c>
      <c r="BR125" s="302">
        <f>IF(ISERROR(BR124/BR36),"-",BR124/BR36)</f>
        <v>0.12207150550717717</v>
      </c>
      <c r="BS125" s="302"/>
      <c r="BT125" s="302" t="str">
        <f>IF(ISERROR(BT124/BT36),"-",BT124/BT36)</f>
        <v>-</v>
      </c>
      <c r="BU125" s="302" t="str">
        <f>IF(ISERROR(BU124/BU36),"-",BU124/BU36)</f>
        <v>-</v>
      </c>
      <c r="BV125" s="302">
        <f>IF(ISERROR(BV124/BV36),"-",BV124/BV36)</f>
        <v>-1.5004668726008138E-2</v>
      </c>
      <c r="BW125" s="88"/>
      <c r="BX125" s="89"/>
    </row>
    <row r="126" spans="1:78" s="34" customFormat="1" ht="16.5" customHeight="1" collapsed="1" x14ac:dyDescent="0.75">
      <c r="A126" s="56"/>
      <c r="B126" s="368"/>
      <c r="C126" s="9"/>
      <c r="D126" s="1"/>
      <c r="E126" s="1"/>
      <c r="H126" s="368"/>
      <c r="I126" s="94"/>
      <c r="J126" s="57"/>
      <c r="K126" s="91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3"/>
      <c r="Z126" s="104"/>
      <c r="AA126" s="91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W126" s="92"/>
      <c r="AX126" s="92"/>
      <c r="AY126" s="92"/>
      <c r="AZ126" s="92"/>
      <c r="BA126" s="92"/>
      <c r="BB126" s="92"/>
      <c r="BC126" s="92"/>
      <c r="BD126" s="92"/>
      <c r="BE126" s="92"/>
      <c r="BF126" s="92"/>
      <c r="BG126" s="92"/>
      <c r="BH126" s="92"/>
      <c r="BI126" s="92"/>
      <c r="BJ126" s="92"/>
      <c r="BK126" s="92"/>
      <c r="BL126" s="92"/>
      <c r="BM126" s="92"/>
      <c r="BN126" s="92"/>
      <c r="BO126" s="92"/>
      <c r="BP126" s="92"/>
      <c r="BQ126" s="92"/>
      <c r="BR126" s="92"/>
      <c r="BS126" s="92"/>
      <c r="BT126" s="92"/>
      <c r="BU126" s="92"/>
      <c r="BV126" s="92"/>
      <c r="BW126" s="93"/>
      <c r="BX126" s="28"/>
    </row>
    <row r="127" spans="1:78" s="34" customFormat="1" ht="13.5" hidden="1" outlineLevel="1" x14ac:dyDescent="0.75">
      <c r="A127" s="56"/>
      <c r="C127" s="9"/>
      <c r="D127" s="1"/>
      <c r="E127" s="1"/>
      <c r="H127" s="368"/>
      <c r="I127" s="94"/>
      <c r="J127" s="57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28"/>
    </row>
    <row r="128" spans="1:78" s="34" customFormat="1" ht="13.5" hidden="1" outlineLevel="1" x14ac:dyDescent="0.75">
      <c r="A128" s="56"/>
      <c r="C128" s="9"/>
      <c r="D128" s="1"/>
      <c r="E128" s="1"/>
      <c r="H128" s="368"/>
      <c r="I128" s="94"/>
      <c r="J128" s="57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28"/>
    </row>
    <row r="129" spans="1:76" s="34" customFormat="1" ht="21" hidden="1" customHeight="1" outlineLevel="1" collapsed="1" x14ac:dyDescent="0.75">
      <c r="A129" s="370" t="s">
        <v>350</v>
      </c>
      <c r="B129" s="54" t="str">
        <f>_xll.DBRA(Server&amp;$B$32,$A129,$N$19)</f>
        <v>SELLING EXPENSES (by destination)</v>
      </c>
      <c r="C129" s="9"/>
      <c r="D129" s="1"/>
      <c r="E129" s="1"/>
      <c r="H129" s="368"/>
      <c r="I129" s="94"/>
      <c r="J129" s="57"/>
      <c r="K129" s="104"/>
      <c r="L129" s="576" t="str">
        <f>LEFT(B129,FIND("(",B129,1)-1)</f>
        <v xml:space="preserve">SELLING EXPENSES </v>
      </c>
      <c r="M129" s="576"/>
      <c r="N129" s="576"/>
      <c r="O129" s="576"/>
      <c r="P129" s="576"/>
      <c r="Q129" s="235">
        <f>_xll.DBRW(Server&amp;Cube1,$N$15,$N$16,$N$17,$N$18,$N$14,$N$13,$N$11,$Q$1,$A129)</f>
        <v>-706475.55</v>
      </c>
      <c r="R129" s="235">
        <f>_xll.DBRW(Server&amp;Cube1,$N$15,$N$16,$N$17,$N$18,$N$14,$N$13,$R$2,$R$1,$A129)</f>
        <v>0</v>
      </c>
      <c r="S129" s="236">
        <f>Q129-R129</f>
        <v>-706475.55</v>
      </c>
      <c r="T129" s="237">
        <f>IF(R129&lt;&gt;0,IF(R129&gt;0,S129/R129,-S129/R129),0)</f>
        <v>0</v>
      </c>
      <c r="U129" s="211"/>
      <c r="V129" s="235">
        <f>_xll.DBRW(Server&amp;Cube1,$N$15,$N$16,$N$17,$N$18,$N$14,$N$13,$V$2,$V$1,$B129)</f>
        <v>-4813330.2099999972</v>
      </c>
      <c r="W129" s="236">
        <f>Q129-V129</f>
        <v>4106854.6599999974</v>
      </c>
      <c r="X129" s="237">
        <f>IF(V129&lt;&gt;0,IF(V129&gt;0,W129/V129,-W129/V129),0)</f>
        <v>0.85322520600555263</v>
      </c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28"/>
    </row>
    <row r="130" spans="1:76" s="501" customFormat="1" ht="21" hidden="1" customHeight="1" outlineLevel="2" x14ac:dyDescent="0.75">
      <c r="A130" s="500" t="s">
        <v>358</v>
      </c>
      <c r="B130" s="68" t="str">
        <f>_xll.DBRA(Server&amp;$B$32,$A130,$N$19)</f>
        <v>Business development expenses (RESOP)</v>
      </c>
      <c r="C130" s="357"/>
      <c r="D130" s="1"/>
      <c r="E130" s="1"/>
      <c r="H130" s="502"/>
      <c r="I130" s="94"/>
      <c r="J130" s="57"/>
      <c r="K130" s="104"/>
      <c r="L130" s="573" t="str">
        <f>B130</f>
        <v>Business development expenses (RESOP)</v>
      </c>
      <c r="M130" s="573"/>
      <c r="N130" s="573"/>
      <c r="O130" s="573"/>
      <c r="P130" s="113"/>
      <c r="Q130" s="505">
        <f>_xll.DBRW(Server&amp;Cube1,$N$15,$N$16,$N$17,$N$18,$N$14,$N$13,$N$11,$Q$1,$A130)</f>
        <v>-706475.55</v>
      </c>
      <c r="R130" s="505">
        <f>_xll.DBRW(Server&amp;Cube1,$N$15,$N$16,$N$17,$N$18,$N$14,$N$13,$R$2,$R$1,$A130)</f>
        <v>0</v>
      </c>
      <c r="S130" s="506">
        <f t="shared" ref="S130:S159" si="64">Q130-R130</f>
        <v>-706475.55</v>
      </c>
      <c r="T130" s="507">
        <f t="shared" ref="T130:T159" si="65">IF(R130&lt;&gt;0,IF(R130&gt;0,S130/R130,-S130/R130),0)</f>
        <v>0</v>
      </c>
      <c r="U130" s="508"/>
      <c r="V130" s="505">
        <f>_xll.DBRW(Server&amp;Cube1,$N$15,$N$16,$N$17,$N$18,$N$14,$N$13,$V$2,$V$1,$B130)</f>
        <v>-4813330.2099999972</v>
      </c>
      <c r="W130" s="506">
        <f t="shared" ref="W130:W159" si="66">Q130-V130</f>
        <v>4106854.6599999974</v>
      </c>
      <c r="X130" s="507">
        <f t="shared" ref="X130:X159" si="67">IF(V130&lt;&gt;0,IF(V130&gt;0,W130/V130,-W130/V130),0)</f>
        <v>0.85322520600555263</v>
      </c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509"/>
    </row>
    <row r="131" spans="1:76" s="501" customFormat="1" ht="21" hidden="1" customHeight="1" outlineLevel="2" collapsed="1" x14ac:dyDescent="0.75">
      <c r="A131" s="500" t="s">
        <v>359</v>
      </c>
      <c r="B131" s="68" t="str">
        <f>_xll.DBRA(Server&amp;$B$32,$A131,$N$19)</f>
        <v>Business development expenses (CAFOP)</v>
      </c>
      <c r="C131" s="357"/>
      <c r="D131" s="1"/>
      <c r="E131" s="1"/>
      <c r="H131" s="502"/>
      <c r="I131" s="94"/>
      <c r="J131" s="57"/>
      <c r="K131" s="104"/>
      <c r="L131" s="577" t="str">
        <f t="shared" ref="L131:L159" si="68">B131</f>
        <v>Business development expenses (CAFOP)</v>
      </c>
      <c r="M131" s="577"/>
      <c r="N131" s="577"/>
      <c r="O131" s="577"/>
      <c r="P131" s="113"/>
      <c r="Q131" s="505">
        <f>_xll.DBRW(Server&amp;Cube1,$N$15,$N$16,$N$17,$N$18,$N$14,$N$13,$N$11,$Q$1,$A131)</f>
        <v>-706475.55</v>
      </c>
      <c r="R131" s="505">
        <f>_xll.DBRW(Server&amp;Cube1,$N$15,$N$16,$N$17,$N$18,$N$14,$N$13,$R$2,$R$1,$A131)</f>
        <v>0</v>
      </c>
      <c r="S131" s="506">
        <f t="shared" si="64"/>
        <v>-706475.55</v>
      </c>
      <c r="T131" s="507">
        <f t="shared" si="65"/>
        <v>0</v>
      </c>
      <c r="U131" s="508"/>
      <c r="V131" s="505">
        <f>_xll.DBRW(Server&amp;Cube1,$N$15,$N$16,$N$17,$N$18,$N$14,$N$13,$V$2,$V$1,$B131)</f>
        <v>-4802920.2099999972</v>
      </c>
      <c r="W131" s="506">
        <f t="shared" si="66"/>
        <v>4096444.6599999974</v>
      </c>
      <c r="X131" s="507">
        <f t="shared" si="67"/>
        <v>0.85290708171060781</v>
      </c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509"/>
    </row>
    <row r="132" spans="1:76" s="34" customFormat="1" ht="21" hidden="1" customHeight="1" outlineLevel="3" x14ac:dyDescent="0.75">
      <c r="A132" s="370" t="s">
        <v>360</v>
      </c>
      <c r="B132" s="54" t="str">
        <f>_xll.DBRA(Server&amp;$B$32,$A132,$N$19)</f>
        <v>Staff costs (BD)</v>
      </c>
      <c r="C132" s="9"/>
      <c r="D132" s="1"/>
      <c r="E132" s="1"/>
      <c r="H132" s="368"/>
      <c r="I132" s="94"/>
      <c r="J132" s="57"/>
      <c r="K132" s="104"/>
      <c r="L132" s="499" t="str">
        <f t="shared" si="68"/>
        <v>Staff costs (BD)</v>
      </c>
      <c r="M132" s="497"/>
      <c r="N132" s="497"/>
      <c r="O132" s="497"/>
      <c r="P132" s="112"/>
      <c r="Q132" s="229">
        <f>_xll.DBRW(Server&amp;Cube1,$N$15,$N$16,$N$17,$N$18,$N$14,$N$13,$N$11,$Q$1,$A132)</f>
        <v>-171105.87000000002</v>
      </c>
      <c r="R132" s="229">
        <f>_xll.DBRW(Server&amp;Cube1,$N$15,$N$16,$N$17,$N$18,$N$14,$N$13,$R$2,$R$1,$A132)</f>
        <v>0</v>
      </c>
      <c r="S132" s="230">
        <f t="shared" si="64"/>
        <v>-171105.87000000002</v>
      </c>
      <c r="T132" s="232">
        <f t="shared" si="65"/>
        <v>0</v>
      </c>
      <c r="U132" s="218"/>
      <c r="V132" s="229">
        <f>_xll.DBRW(Server&amp;Cube1,$N$15,$N$16,$N$17,$N$18,$N$14,$N$13,$V$2,$V$1,$B132)</f>
        <v>-3569984.0199999977</v>
      </c>
      <c r="W132" s="230">
        <f t="shared" si="66"/>
        <v>3398878.1499999976</v>
      </c>
      <c r="X132" s="232">
        <f t="shared" si="67"/>
        <v>0.9520709703344834</v>
      </c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28"/>
    </row>
    <row r="133" spans="1:76" s="34" customFormat="1" ht="21" hidden="1" customHeight="1" outlineLevel="3" x14ac:dyDescent="0.75">
      <c r="A133" s="370" t="s">
        <v>361</v>
      </c>
      <c r="B133" s="54" t="str">
        <f>_xll.DBRA(Server&amp;$B$32,$A133,$N$19)</f>
        <v>Health insurance costs (BD)</v>
      </c>
      <c r="C133" s="9"/>
      <c r="D133" s="1"/>
      <c r="E133" s="1"/>
      <c r="H133" s="368"/>
      <c r="I133" s="94"/>
      <c r="J133" s="57"/>
      <c r="K133" s="104"/>
      <c r="L133" s="499" t="str">
        <f t="shared" si="68"/>
        <v>Health insurance costs (BD)</v>
      </c>
      <c r="M133" s="497"/>
      <c r="N133" s="497"/>
      <c r="O133" s="497"/>
      <c r="P133" s="112"/>
      <c r="Q133" s="229">
        <f>_xll.DBRW(Server&amp;Cube1,$N$15,$N$16,$N$17,$N$18,$N$14,$N$13,$N$11,$Q$1,$A133)</f>
        <v>0</v>
      </c>
      <c r="R133" s="229">
        <f>_xll.DBRW(Server&amp;Cube1,$N$15,$N$16,$N$17,$N$18,$N$14,$N$13,$R$2,$R$1,$A133)</f>
        <v>0</v>
      </c>
      <c r="S133" s="230">
        <f t="shared" si="64"/>
        <v>0</v>
      </c>
      <c r="T133" s="232">
        <f t="shared" si="65"/>
        <v>0</v>
      </c>
      <c r="U133" s="218"/>
      <c r="V133" s="229">
        <f>_xll.DBRW(Server&amp;Cube1,$N$15,$N$16,$N$17,$N$18,$N$14,$N$13,$V$2,$V$1,$B133)</f>
        <v>0</v>
      </c>
      <c r="W133" s="230">
        <f t="shared" si="66"/>
        <v>0</v>
      </c>
      <c r="X133" s="232">
        <f t="shared" si="67"/>
        <v>0</v>
      </c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28"/>
    </row>
    <row r="134" spans="1:76" s="34" customFormat="1" ht="21" hidden="1" customHeight="1" outlineLevel="3" x14ac:dyDescent="0.75">
      <c r="A134" s="370" t="s">
        <v>362</v>
      </c>
      <c r="B134" s="54" t="str">
        <f>_xll.DBRA(Server&amp;$B$32,$A134,$N$19)</f>
        <v>Selling expenses - Lease expenses (BD)</v>
      </c>
      <c r="C134" s="9"/>
      <c r="D134" s="1"/>
      <c r="E134" s="1"/>
      <c r="H134" s="368"/>
      <c r="I134" s="94"/>
      <c r="J134" s="57"/>
      <c r="K134" s="104"/>
      <c r="L134" s="499" t="str">
        <f t="shared" si="68"/>
        <v>Selling expenses - Lease expenses (BD)</v>
      </c>
      <c r="M134" s="497"/>
      <c r="N134" s="497"/>
      <c r="O134" s="497"/>
      <c r="P134" s="112"/>
      <c r="Q134" s="229">
        <f>_xll.DBRW(Server&amp;Cube1,$N$15,$N$16,$N$17,$N$18,$N$14,$N$13,$N$11,$Q$1,$A134)</f>
        <v>0</v>
      </c>
      <c r="R134" s="229">
        <f>_xll.DBRW(Server&amp;Cube1,$N$15,$N$16,$N$17,$N$18,$N$14,$N$13,$R$2,$R$1,$A134)</f>
        <v>0</v>
      </c>
      <c r="S134" s="230">
        <f t="shared" si="64"/>
        <v>0</v>
      </c>
      <c r="T134" s="232">
        <f t="shared" si="65"/>
        <v>0</v>
      </c>
      <c r="U134" s="218"/>
      <c r="V134" s="229">
        <f>_xll.DBRW(Server&amp;Cube1,$N$15,$N$16,$N$17,$N$18,$N$14,$N$13,$V$2,$V$1,$B134)</f>
        <v>0</v>
      </c>
      <c r="W134" s="230">
        <f t="shared" si="66"/>
        <v>0</v>
      </c>
      <c r="X134" s="232">
        <f t="shared" si="67"/>
        <v>0</v>
      </c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28"/>
    </row>
    <row r="135" spans="1:76" s="34" customFormat="1" ht="21" hidden="1" customHeight="1" outlineLevel="3" x14ac:dyDescent="0.75">
      <c r="A135" s="370" t="s">
        <v>363</v>
      </c>
      <c r="B135" s="54" t="str">
        <f>_xll.DBRA(Server&amp;$B$32,$A135,$N$19)</f>
        <v>Reinvoicing (BD)</v>
      </c>
      <c r="C135" s="9"/>
      <c r="D135" s="1"/>
      <c r="E135" s="1"/>
      <c r="H135" s="368"/>
      <c r="I135" s="94"/>
      <c r="J135" s="57"/>
      <c r="K135" s="104"/>
      <c r="L135" s="499" t="str">
        <f t="shared" si="68"/>
        <v>Reinvoicing (BD)</v>
      </c>
      <c r="M135" s="497"/>
      <c r="N135" s="497"/>
      <c r="O135" s="497"/>
      <c r="P135" s="112"/>
      <c r="Q135" s="229">
        <f>_xll.DBRW(Server&amp;Cube1,$N$15,$N$16,$N$17,$N$18,$N$14,$N$13,$N$11,$Q$1,$A135)</f>
        <v>511078.66</v>
      </c>
      <c r="R135" s="229">
        <f>_xll.DBRW(Server&amp;Cube1,$N$15,$N$16,$N$17,$N$18,$N$14,$N$13,$R$2,$R$1,$A135)</f>
        <v>0</v>
      </c>
      <c r="S135" s="230">
        <f t="shared" si="64"/>
        <v>511078.66</v>
      </c>
      <c r="T135" s="232">
        <f t="shared" si="65"/>
        <v>0</v>
      </c>
      <c r="U135" s="218"/>
      <c r="V135" s="229">
        <f>_xll.DBRW(Server&amp;Cube1,$N$15,$N$16,$N$17,$N$18,$N$14,$N$13,$V$2,$V$1,$B135)</f>
        <v>748142.82</v>
      </c>
      <c r="W135" s="230">
        <f t="shared" si="66"/>
        <v>-237064.15999999997</v>
      </c>
      <c r="X135" s="232">
        <f t="shared" si="67"/>
        <v>-0.31687019331415889</v>
      </c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28"/>
    </row>
    <row r="136" spans="1:76" s="34" customFormat="1" ht="21" hidden="1" customHeight="1" outlineLevel="3" x14ac:dyDescent="0.75">
      <c r="A136" s="370" t="s">
        <v>364</v>
      </c>
      <c r="B136" s="54" t="str">
        <f>_xll.DBRA(Server&amp;$B$32,$A136,$N$19)</f>
        <v>Restructuring costs (BD)</v>
      </c>
      <c r="C136" s="9"/>
      <c r="D136" s="1"/>
      <c r="E136" s="1"/>
      <c r="H136" s="368"/>
      <c r="I136" s="94"/>
      <c r="J136" s="57"/>
      <c r="K136" s="104"/>
      <c r="L136" s="499" t="str">
        <f t="shared" si="68"/>
        <v>Restructuring costs (BD)</v>
      </c>
      <c r="M136" s="497"/>
      <c r="N136" s="497"/>
      <c r="O136" s="497"/>
      <c r="P136" s="112"/>
      <c r="Q136" s="229">
        <f>_xll.DBRW(Server&amp;Cube1,$N$15,$N$16,$N$17,$N$18,$N$14,$N$13,$N$11,$Q$1,$A136)</f>
        <v>0</v>
      </c>
      <c r="R136" s="229">
        <f>_xll.DBRW(Server&amp;Cube1,$N$15,$N$16,$N$17,$N$18,$N$14,$N$13,$R$2,$R$1,$A136)</f>
        <v>0</v>
      </c>
      <c r="S136" s="230">
        <f t="shared" si="64"/>
        <v>0</v>
      </c>
      <c r="T136" s="232">
        <f t="shared" si="65"/>
        <v>0</v>
      </c>
      <c r="U136" s="218"/>
      <c r="V136" s="229">
        <f>_xll.DBRW(Server&amp;Cube1,$N$15,$N$16,$N$17,$N$18,$N$14,$N$13,$V$2,$V$1,$B136)</f>
        <v>0</v>
      </c>
      <c r="W136" s="230">
        <f t="shared" si="66"/>
        <v>0</v>
      </c>
      <c r="X136" s="232">
        <f t="shared" si="67"/>
        <v>0</v>
      </c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28"/>
    </row>
    <row r="137" spans="1:76" s="501" customFormat="1" ht="21" hidden="1" customHeight="1" outlineLevel="3" collapsed="1" x14ac:dyDescent="0.75">
      <c r="A137" s="500" t="s">
        <v>365</v>
      </c>
      <c r="B137" s="68" t="str">
        <f>_xll.DBRA(Server&amp;$B$32,$A137,$N$19)</f>
        <v>Others expenses (BD)</v>
      </c>
      <c r="C137" s="357"/>
      <c r="D137" s="1"/>
      <c r="E137" s="1"/>
      <c r="H137" s="502"/>
      <c r="I137" s="94"/>
      <c r="J137" s="57"/>
      <c r="K137" s="104"/>
      <c r="L137" s="515" t="str">
        <f t="shared" si="68"/>
        <v>Others expenses (BD)</v>
      </c>
      <c r="M137" s="514"/>
      <c r="N137" s="514"/>
      <c r="O137" s="514"/>
      <c r="P137" s="113"/>
      <c r="Q137" s="505">
        <f>_xll.DBRW(Server&amp;Cube1,$N$15,$N$16,$N$17,$N$18,$N$14,$N$13,$N$11,$Q$1,$A137)</f>
        <v>-1046448.34</v>
      </c>
      <c r="R137" s="505">
        <f>_xll.DBRW(Server&amp;Cube1,$N$15,$N$16,$N$17,$N$18,$N$14,$N$13,$R$2,$R$1,$A137)</f>
        <v>0</v>
      </c>
      <c r="S137" s="506">
        <f t="shared" si="64"/>
        <v>-1046448.34</v>
      </c>
      <c r="T137" s="507">
        <f t="shared" si="65"/>
        <v>0</v>
      </c>
      <c r="U137" s="508"/>
      <c r="V137" s="505">
        <f>_xll.DBRW(Server&amp;Cube1,$N$15,$N$16,$N$17,$N$18,$N$14,$N$13,$V$2,$V$1,$B137)</f>
        <v>-1981079.01</v>
      </c>
      <c r="W137" s="506">
        <f t="shared" si="66"/>
        <v>934630.67</v>
      </c>
      <c r="X137" s="507">
        <f t="shared" si="67"/>
        <v>0.47177859402992717</v>
      </c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509"/>
    </row>
    <row r="138" spans="1:76" s="34" customFormat="1" ht="21" hidden="1" customHeight="1" outlineLevel="4" x14ac:dyDescent="0.75">
      <c r="A138" s="370" t="s">
        <v>384</v>
      </c>
      <c r="B138" s="54" t="str">
        <f>_xll.DBRA(Server&amp;$B$32,$A138,$N$19)</f>
        <v>Interim staff (BD)</v>
      </c>
      <c r="C138" s="9"/>
      <c r="D138" s="1"/>
      <c r="E138" s="1"/>
      <c r="H138" s="368"/>
      <c r="I138" s="94"/>
      <c r="J138" s="57"/>
      <c r="K138" s="104"/>
      <c r="L138" s="516" t="str">
        <f t="shared" ref="L138:L141" si="69">B138</f>
        <v>Interim staff (BD)</v>
      </c>
      <c r="M138" s="498"/>
      <c r="N138" s="497"/>
      <c r="O138" s="497"/>
      <c r="P138" s="112"/>
      <c r="Q138" s="229">
        <f>_xll.DBRW(Server&amp;Cube1,$N$15,$N$16,$N$17,$N$18,$N$14,$N$13,$N$11,$Q$1,$A138)</f>
        <v>0</v>
      </c>
      <c r="R138" s="229">
        <f>_xll.DBRW(Server&amp;Cube1,$N$15,$N$16,$N$17,$N$18,$N$14,$N$13,$R$2,$R$1,$A138)</f>
        <v>0</v>
      </c>
      <c r="S138" s="230">
        <f t="shared" ref="S138:S141" si="70">Q138-R138</f>
        <v>0</v>
      </c>
      <c r="T138" s="232">
        <f t="shared" ref="T138:T141" si="71">IF(R138&lt;&gt;0,IF(R138&gt;0,S138/R138,-S138/R138),0)</f>
        <v>0</v>
      </c>
      <c r="U138" s="218"/>
      <c r="V138" s="229">
        <f>_xll.DBRW(Server&amp;Cube1,$N$15,$N$16,$N$17,$N$18,$N$14,$N$13,$V$2,$V$1,$B138)</f>
        <v>0</v>
      </c>
      <c r="W138" s="230">
        <f t="shared" ref="W138:W141" si="72">Q138-V138</f>
        <v>0</v>
      </c>
      <c r="X138" s="232">
        <f t="shared" ref="X138:X141" si="73">IF(V138&lt;&gt;0,IF(V138&gt;0,W138/V138,-W138/V138),0)</f>
        <v>0</v>
      </c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28"/>
    </row>
    <row r="139" spans="1:76" s="34" customFormat="1" ht="21" hidden="1" customHeight="1" outlineLevel="4" x14ac:dyDescent="0.75">
      <c r="A139" s="370" t="s">
        <v>385</v>
      </c>
      <c r="B139" s="54" t="str">
        <f>_xll.DBRA(Server&amp;$B$32,$A139,$N$19)</f>
        <v>Travelling (BD)</v>
      </c>
      <c r="C139" s="9"/>
      <c r="D139" s="1"/>
      <c r="E139" s="1"/>
      <c r="H139" s="368"/>
      <c r="I139" s="94"/>
      <c r="J139" s="57"/>
      <c r="K139" s="104"/>
      <c r="L139" s="516" t="str">
        <f t="shared" si="69"/>
        <v>Travelling (BD)</v>
      </c>
      <c r="M139" s="498"/>
      <c r="N139" s="497"/>
      <c r="O139" s="497"/>
      <c r="P139" s="112"/>
      <c r="Q139" s="229">
        <f>_xll.DBRW(Server&amp;Cube1,$N$15,$N$16,$N$17,$N$18,$N$14,$N$13,$N$11,$Q$1,$A139)</f>
        <v>0</v>
      </c>
      <c r="R139" s="229">
        <f>_xll.DBRW(Server&amp;Cube1,$N$15,$N$16,$N$17,$N$18,$N$14,$N$13,$R$2,$R$1,$A139)</f>
        <v>0</v>
      </c>
      <c r="S139" s="230">
        <f t="shared" si="70"/>
        <v>0</v>
      </c>
      <c r="T139" s="232">
        <f t="shared" si="71"/>
        <v>0</v>
      </c>
      <c r="U139" s="218"/>
      <c r="V139" s="229">
        <f>_xll.DBRW(Server&amp;Cube1,$N$15,$N$16,$N$17,$N$18,$N$14,$N$13,$V$2,$V$1,$B139)</f>
        <v>0</v>
      </c>
      <c r="W139" s="230">
        <f t="shared" si="72"/>
        <v>0</v>
      </c>
      <c r="X139" s="232">
        <f t="shared" si="73"/>
        <v>0</v>
      </c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28"/>
    </row>
    <row r="140" spans="1:76" s="34" customFormat="1" ht="21" hidden="1" customHeight="1" outlineLevel="4" x14ac:dyDescent="0.75">
      <c r="A140" s="370" t="s">
        <v>386</v>
      </c>
      <c r="B140" s="54" t="str">
        <f>_xll.DBRA(Server&amp;$B$32,$A140,$N$19)</f>
        <v>Consulting (BD)</v>
      </c>
      <c r="C140" s="9"/>
      <c r="D140" s="1"/>
      <c r="E140" s="1"/>
      <c r="H140" s="368"/>
      <c r="I140" s="94"/>
      <c r="J140" s="57"/>
      <c r="K140" s="104"/>
      <c r="L140" s="516" t="str">
        <f t="shared" si="69"/>
        <v>Consulting (BD)</v>
      </c>
      <c r="M140" s="498"/>
      <c r="N140" s="497"/>
      <c r="O140" s="497"/>
      <c r="P140" s="112"/>
      <c r="Q140" s="229">
        <f>_xll.DBRW(Server&amp;Cube1,$N$15,$N$16,$N$17,$N$18,$N$14,$N$13,$N$11,$Q$1,$A140)</f>
        <v>-1040071.14</v>
      </c>
      <c r="R140" s="229">
        <f>_xll.DBRW(Server&amp;Cube1,$N$15,$N$16,$N$17,$N$18,$N$14,$N$13,$R$2,$R$1,$A140)</f>
        <v>0</v>
      </c>
      <c r="S140" s="230">
        <f t="shared" si="70"/>
        <v>-1040071.14</v>
      </c>
      <c r="T140" s="232">
        <f t="shared" si="71"/>
        <v>0</v>
      </c>
      <c r="U140" s="218"/>
      <c r="V140" s="229">
        <f>_xll.DBRW(Server&amp;Cube1,$N$15,$N$16,$N$17,$N$18,$N$14,$N$13,$V$2,$V$1,$B140)</f>
        <v>-751988.37999999989</v>
      </c>
      <c r="W140" s="230">
        <f t="shared" si="72"/>
        <v>-288082.76000000013</v>
      </c>
      <c r="X140" s="232">
        <f t="shared" si="73"/>
        <v>-0.38309469622389664</v>
      </c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28"/>
    </row>
    <row r="141" spans="1:76" s="34" customFormat="1" ht="21" hidden="1" customHeight="1" outlineLevel="4" x14ac:dyDescent="0.75">
      <c r="A141" s="370" t="s">
        <v>387</v>
      </c>
      <c r="B141" s="54" t="str">
        <f>_xll.DBRA(Server&amp;$B$32,$A141,$N$19)</f>
        <v>Others (BD)</v>
      </c>
      <c r="C141" s="9"/>
      <c r="D141" s="1"/>
      <c r="E141" s="1"/>
      <c r="H141" s="368"/>
      <c r="I141" s="94"/>
      <c r="J141" s="57"/>
      <c r="K141" s="104"/>
      <c r="L141" s="516" t="str">
        <f t="shared" si="69"/>
        <v>Others (BD)</v>
      </c>
      <c r="M141" s="498"/>
      <c r="N141" s="497"/>
      <c r="O141" s="497"/>
      <c r="P141" s="112"/>
      <c r="Q141" s="229">
        <f>_xll.DBRW(Server&amp;Cube1,$N$15,$N$16,$N$17,$N$18,$N$14,$N$13,$N$11,$Q$1,$A141)</f>
        <v>-6377.2000000000025</v>
      </c>
      <c r="R141" s="229">
        <f>_xll.DBRW(Server&amp;Cube1,$N$15,$N$16,$N$17,$N$18,$N$14,$N$13,$R$2,$R$1,$A141)</f>
        <v>0</v>
      </c>
      <c r="S141" s="230">
        <f t="shared" si="70"/>
        <v>-6377.2000000000025</v>
      </c>
      <c r="T141" s="232">
        <f t="shared" si="71"/>
        <v>0</v>
      </c>
      <c r="U141" s="218"/>
      <c r="V141" s="229">
        <f>_xll.DBRW(Server&amp;Cube1,$N$15,$N$16,$N$17,$N$18,$N$14,$N$13,$V$2,$V$1,$B141)</f>
        <v>-1229090.6300000001</v>
      </c>
      <c r="W141" s="230">
        <f t="shared" si="72"/>
        <v>1222713.4300000002</v>
      </c>
      <c r="X141" s="232">
        <f t="shared" si="73"/>
        <v>0.99481144852597247</v>
      </c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28"/>
    </row>
    <row r="142" spans="1:76" s="501" customFormat="1" ht="21" hidden="1" customHeight="1" outlineLevel="2" collapsed="1" x14ac:dyDescent="0.75">
      <c r="A142" s="500" t="s">
        <v>366</v>
      </c>
      <c r="B142" s="68" t="str">
        <f>_xll.DBRA(Server&amp;$B$32,$A142,$N$19)</f>
        <v>Business development expenses (Non cash)</v>
      </c>
      <c r="C142" s="357"/>
      <c r="D142" s="1"/>
      <c r="E142" s="1"/>
      <c r="H142" s="502"/>
      <c r="I142" s="94"/>
      <c r="J142" s="57"/>
      <c r="K142" s="104"/>
      <c r="L142" s="503" t="str">
        <f t="shared" si="68"/>
        <v>Business development expenses (Non cash)</v>
      </c>
      <c r="M142" s="514"/>
      <c r="N142" s="514"/>
      <c r="O142" s="514"/>
      <c r="P142" s="113"/>
      <c r="Q142" s="505">
        <f>_xll.DBRW(Server&amp;Cube1,$N$15,$N$16,$N$17,$N$18,$N$14,$N$13,$N$11,$Q$1,$A142)</f>
        <v>0</v>
      </c>
      <c r="R142" s="505">
        <f>_xll.DBRW(Server&amp;Cube1,$N$15,$N$16,$N$17,$N$18,$N$14,$N$13,$R$2,$R$1,$A142)</f>
        <v>0</v>
      </c>
      <c r="S142" s="506">
        <f t="shared" si="64"/>
        <v>0</v>
      </c>
      <c r="T142" s="507">
        <f t="shared" si="65"/>
        <v>0</v>
      </c>
      <c r="U142" s="508"/>
      <c r="V142" s="505">
        <f>_xll.DBRW(Server&amp;Cube1,$N$15,$N$16,$N$17,$N$18,$N$14,$N$13,$V$2,$V$1,$B142)</f>
        <v>-10410</v>
      </c>
      <c r="W142" s="506">
        <f t="shared" si="66"/>
        <v>10410</v>
      </c>
      <c r="X142" s="507">
        <f t="shared" si="67"/>
        <v>1</v>
      </c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509"/>
    </row>
    <row r="143" spans="1:76" s="34" customFormat="1" ht="21" hidden="1" customHeight="1" outlineLevel="3" x14ac:dyDescent="0.75">
      <c r="A143" s="370" t="s">
        <v>367</v>
      </c>
      <c r="B143" s="54" t="str">
        <f>_xll.DBRA(Server&amp;$B$32,$A143,$N$19)</f>
        <v>Staff costs - Stock Options (BD)</v>
      </c>
      <c r="C143" s="9"/>
      <c r="D143" s="1"/>
      <c r="E143" s="1"/>
      <c r="H143" s="368"/>
      <c r="I143" s="94"/>
      <c r="J143" s="57"/>
      <c r="K143" s="104"/>
      <c r="L143" s="499" t="str">
        <f t="shared" si="68"/>
        <v>Staff costs - Stock Options (BD)</v>
      </c>
      <c r="M143" s="497"/>
      <c r="N143" s="497"/>
      <c r="O143" s="497"/>
      <c r="P143" s="112"/>
      <c r="Q143" s="229">
        <f>_xll.DBRW(Server&amp;Cube1,$N$15,$N$16,$N$17,$N$18,$N$14,$N$13,$N$11,$Q$1,$A143)</f>
        <v>0</v>
      </c>
      <c r="R143" s="229">
        <f>_xll.DBRW(Server&amp;Cube1,$N$15,$N$16,$N$17,$N$18,$N$14,$N$13,$R$2,$R$1,$A143)</f>
        <v>0</v>
      </c>
      <c r="S143" s="230">
        <f t="shared" si="64"/>
        <v>0</v>
      </c>
      <c r="T143" s="232">
        <f t="shared" si="65"/>
        <v>0</v>
      </c>
      <c r="U143" s="218"/>
      <c r="V143" s="229">
        <f>_xll.DBRW(Server&amp;Cube1,$N$15,$N$16,$N$17,$N$18,$N$14,$N$13,$V$2,$V$1,$B143)</f>
        <v>0</v>
      </c>
      <c r="W143" s="230">
        <f t="shared" si="66"/>
        <v>0</v>
      </c>
      <c r="X143" s="232">
        <f t="shared" si="67"/>
        <v>0</v>
      </c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28"/>
    </row>
    <row r="144" spans="1:76" s="34" customFormat="1" ht="21" hidden="1" customHeight="1" outlineLevel="3" x14ac:dyDescent="0.75">
      <c r="A144" s="370" t="s">
        <v>368</v>
      </c>
      <c r="B144" s="54" t="str">
        <f>_xll.DBRA(Server&amp;$B$32,$A144,$N$19)</f>
        <v>Amortization (BD)</v>
      </c>
      <c r="C144" s="9"/>
      <c r="D144" s="1"/>
      <c r="E144" s="1"/>
      <c r="H144" s="368"/>
      <c r="I144" s="94"/>
      <c r="J144" s="57"/>
      <c r="K144" s="104"/>
      <c r="L144" s="499" t="str">
        <f t="shared" si="68"/>
        <v>Amortization (BD)</v>
      </c>
      <c r="M144" s="497"/>
      <c r="N144" s="497"/>
      <c r="O144" s="497"/>
      <c r="P144" s="112"/>
      <c r="Q144" s="229">
        <f>_xll.DBRW(Server&amp;Cube1,$N$15,$N$16,$N$17,$N$18,$N$14,$N$13,$N$11,$Q$1,$A144)</f>
        <v>0</v>
      </c>
      <c r="R144" s="229">
        <f>_xll.DBRW(Server&amp;Cube1,$N$15,$N$16,$N$17,$N$18,$N$14,$N$13,$R$2,$R$1,$A144)</f>
        <v>0</v>
      </c>
      <c r="S144" s="230">
        <f t="shared" si="64"/>
        <v>0</v>
      </c>
      <c r="T144" s="232">
        <f t="shared" si="65"/>
        <v>0</v>
      </c>
      <c r="U144" s="218"/>
      <c r="V144" s="229">
        <f>_xll.DBRW(Server&amp;Cube1,$N$15,$N$16,$N$17,$N$18,$N$14,$N$13,$V$2,$V$1,$B144)</f>
        <v>0</v>
      </c>
      <c r="W144" s="230">
        <f t="shared" si="66"/>
        <v>0</v>
      </c>
      <c r="X144" s="232">
        <f t="shared" si="67"/>
        <v>0</v>
      </c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28"/>
    </row>
    <row r="145" spans="1:76" s="34" customFormat="1" ht="21" hidden="1" customHeight="1" outlineLevel="3" x14ac:dyDescent="0.75">
      <c r="A145" s="370" t="s">
        <v>369</v>
      </c>
      <c r="B145" s="54" t="str">
        <f>_xll.DBRA(Server&amp;$B$32,$A145,$N$19)</f>
        <v>Gains/losses on disposal of tangible &amp; intangible fixed assets (BD)</v>
      </c>
      <c r="C145" s="9"/>
      <c r="D145" s="1"/>
      <c r="E145" s="1"/>
      <c r="H145" s="368"/>
      <c r="I145" s="94"/>
      <c r="J145" s="57"/>
      <c r="K145" s="104"/>
      <c r="L145" s="499" t="str">
        <f t="shared" si="68"/>
        <v>Gains/losses on disposal of tangible &amp; intangible fixed assets (BD)</v>
      </c>
      <c r="M145" s="497"/>
      <c r="N145" s="497"/>
      <c r="O145" s="497"/>
      <c r="P145" s="112"/>
      <c r="Q145" s="229">
        <f>_xll.DBRW(Server&amp;Cube1,$N$15,$N$16,$N$17,$N$18,$N$14,$N$13,$N$11,$Q$1,$A145)</f>
        <v>0</v>
      </c>
      <c r="R145" s="229">
        <f>_xll.DBRW(Server&amp;Cube1,$N$15,$N$16,$N$17,$N$18,$N$14,$N$13,$R$2,$R$1,$A145)</f>
        <v>0</v>
      </c>
      <c r="S145" s="230">
        <f t="shared" si="64"/>
        <v>0</v>
      </c>
      <c r="T145" s="232">
        <f t="shared" si="65"/>
        <v>0</v>
      </c>
      <c r="U145" s="218"/>
      <c r="V145" s="229">
        <f>_xll.DBRW(Server&amp;Cube1,$N$15,$N$16,$N$17,$N$18,$N$14,$N$13,$V$2,$V$1,$B145)</f>
        <v>0</v>
      </c>
      <c r="W145" s="230">
        <f t="shared" si="66"/>
        <v>0</v>
      </c>
      <c r="X145" s="232">
        <f t="shared" si="67"/>
        <v>0</v>
      </c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28"/>
    </row>
    <row r="146" spans="1:76" s="34" customFormat="1" ht="21" hidden="1" customHeight="1" outlineLevel="3" x14ac:dyDescent="0.75">
      <c r="A146" s="370" t="s">
        <v>370</v>
      </c>
      <c r="B146" s="54" t="str">
        <f>_xll.DBRA(Server&amp;$B$32,$A146,$N$19)</f>
        <v>Net provisions for restructuring costs (BD)</v>
      </c>
      <c r="C146" s="9"/>
      <c r="D146" s="1"/>
      <c r="E146" s="1"/>
      <c r="H146" s="368"/>
      <c r="I146" s="94"/>
      <c r="J146" s="57"/>
      <c r="K146" s="104"/>
      <c r="L146" s="499" t="str">
        <f t="shared" si="68"/>
        <v>Net provisions for restructuring costs (BD)</v>
      </c>
      <c r="M146" s="497"/>
      <c r="N146" s="497"/>
      <c r="O146" s="497"/>
      <c r="P146" s="112"/>
      <c r="Q146" s="229">
        <f>_xll.DBRW(Server&amp;Cube1,$N$15,$N$16,$N$17,$N$18,$N$14,$N$13,$N$11,$Q$1,$A146)</f>
        <v>0</v>
      </c>
      <c r="R146" s="229">
        <f>_xll.DBRW(Server&amp;Cube1,$N$15,$N$16,$N$17,$N$18,$N$14,$N$13,$R$2,$R$1,$A146)</f>
        <v>0</v>
      </c>
      <c r="S146" s="230">
        <f t="shared" si="64"/>
        <v>0</v>
      </c>
      <c r="T146" s="232">
        <f t="shared" si="65"/>
        <v>0</v>
      </c>
      <c r="U146" s="218"/>
      <c r="V146" s="229">
        <f>_xll.DBRW(Server&amp;Cube1,$N$15,$N$16,$N$17,$N$18,$N$14,$N$13,$V$2,$V$1,$B146)</f>
        <v>0</v>
      </c>
      <c r="W146" s="230">
        <f t="shared" si="66"/>
        <v>0</v>
      </c>
      <c r="X146" s="232">
        <f t="shared" si="67"/>
        <v>0</v>
      </c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28"/>
    </row>
    <row r="147" spans="1:76" s="34" customFormat="1" ht="21" hidden="1" customHeight="1" outlineLevel="3" x14ac:dyDescent="0.75">
      <c r="A147" s="370" t="s">
        <v>371</v>
      </c>
      <c r="B147" s="54" t="str">
        <f>_xll.DBRA(Server&amp;$B$32,$A147,$N$19)</f>
        <v>Impairment (BD)</v>
      </c>
      <c r="C147" s="9"/>
      <c r="D147" s="1"/>
      <c r="E147" s="1"/>
      <c r="H147" s="368"/>
      <c r="I147" s="94"/>
      <c r="J147" s="57"/>
      <c r="K147" s="104"/>
      <c r="L147" s="499" t="str">
        <f t="shared" si="68"/>
        <v>Impairment (BD)</v>
      </c>
      <c r="M147" s="497"/>
      <c r="N147" s="497"/>
      <c r="O147" s="497"/>
      <c r="P147" s="112"/>
      <c r="Q147" s="229">
        <f>_xll.DBRW(Server&amp;Cube1,$N$15,$N$16,$N$17,$N$18,$N$14,$N$13,$N$11,$Q$1,$A147)</f>
        <v>0</v>
      </c>
      <c r="R147" s="229">
        <f>_xll.DBRW(Server&amp;Cube1,$N$15,$N$16,$N$17,$N$18,$N$14,$N$13,$R$2,$R$1,$A147)</f>
        <v>0</v>
      </c>
      <c r="S147" s="230">
        <f t="shared" si="64"/>
        <v>0</v>
      </c>
      <c r="T147" s="232">
        <f t="shared" si="65"/>
        <v>0</v>
      </c>
      <c r="U147" s="218"/>
      <c r="V147" s="229">
        <f>_xll.DBRW(Server&amp;Cube1,$N$15,$N$16,$N$17,$N$18,$N$14,$N$13,$V$2,$V$1,$B147)</f>
        <v>-10410</v>
      </c>
      <c r="W147" s="230">
        <f t="shared" si="66"/>
        <v>10410</v>
      </c>
      <c r="X147" s="232">
        <f t="shared" si="67"/>
        <v>1</v>
      </c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28"/>
    </row>
    <row r="148" spans="1:76" s="501" customFormat="1" ht="21" hidden="1" customHeight="1" outlineLevel="2" collapsed="1" x14ac:dyDescent="0.75">
      <c r="A148" s="500" t="s">
        <v>372</v>
      </c>
      <c r="B148" s="68" t="str">
        <f>_xll.DBRA(Server&amp;$B$32,$A148,$N$19)</f>
        <v>Business development expenses - Vector Reconciliation</v>
      </c>
      <c r="C148" s="357"/>
      <c r="D148" s="1"/>
      <c r="E148" s="1"/>
      <c r="H148" s="502"/>
      <c r="I148" s="94"/>
      <c r="J148" s="57"/>
      <c r="K148" s="104"/>
      <c r="L148" s="514" t="str">
        <f t="shared" si="68"/>
        <v>Business development expenses - Vector Reconciliation</v>
      </c>
      <c r="M148" s="514"/>
      <c r="N148" s="514"/>
      <c r="O148" s="514"/>
      <c r="P148" s="113"/>
      <c r="Q148" s="505">
        <f>_xll.DBRW(Server&amp;Cube1,$N$15,$N$16,$N$17,$N$18,$N$14,$N$13,$N$11,$Q$1,$A148)</f>
        <v>0</v>
      </c>
      <c r="R148" s="505">
        <f>_xll.DBRW(Server&amp;Cube1,$N$15,$N$16,$N$17,$N$18,$N$14,$N$13,$R$2,$R$1,$A148)</f>
        <v>0</v>
      </c>
      <c r="S148" s="506">
        <f t="shared" si="64"/>
        <v>0</v>
      </c>
      <c r="T148" s="507">
        <f t="shared" si="65"/>
        <v>0</v>
      </c>
      <c r="U148" s="508"/>
      <c r="V148" s="505">
        <f>_xll.DBRW(Server&amp;Cube1,$N$15,$N$16,$N$17,$N$18,$N$14,$N$13,$V$2,$V$1,$B148)</f>
        <v>0</v>
      </c>
      <c r="W148" s="506">
        <f t="shared" si="66"/>
        <v>0</v>
      </c>
      <c r="X148" s="507">
        <f t="shared" si="67"/>
        <v>0</v>
      </c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509"/>
    </row>
    <row r="149" spans="1:76" s="34" customFormat="1" ht="21" hidden="1" customHeight="1" outlineLevel="3" x14ac:dyDescent="0.75">
      <c r="A149" s="370" t="s">
        <v>373</v>
      </c>
      <c r="B149" s="54" t="str">
        <f>_xll.DBRA(Server&amp;$B$32,$A149,$N$19)</f>
        <v>Vector Reconciliation (TPL12) - Staff costs - Cash</v>
      </c>
      <c r="C149" s="9"/>
      <c r="D149" s="1"/>
      <c r="E149" s="1"/>
      <c r="H149" s="368"/>
      <c r="I149" s="94"/>
      <c r="J149" s="57"/>
      <c r="K149" s="104"/>
      <c r="L149" s="498" t="str">
        <f t="shared" si="68"/>
        <v>Vector Reconciliation (TPL12) - Staff costs - Cash</v>
      </c>
      <c r="M149" s="498"/>
      <c r="N149" s="498"/>
      <c r="O149" s="498"/>
      <c r="P149" s="112"/>
      <c r="Q149" s="229">
        <f>_xll.DBRW(Server&amp;Cube1,$N$15,$N$16,$N$17,$N$18,$N$14,$N$13,$N$11,$Q$1,$A149)</f>
        <v>0</v>
      </c>
      <c r="R149" s="229">
        <f>_xll.DBRW(Server&amp;Cube1,$N$15,$N$16,$N$17,$N$18,$N$14,$N$13,$R$2,$R$1,$A149)</f>
        <v>0</v>
      </c>
      <c r="S149" s="230">
        <f t="shared" si="64"/>
        <v>0</v>
      </c>
      <c r="T149" s="232">
        <f t="shared" si="65"/>
        <v>0</v>
      </c>
      <c r="U149" s="218"/>
      <c r="V149" s="229">
        <f>_xll.DBRW(Server&amp;Cube1,$N$15,$N$16,$N$17,$N$18,$N$14,$N$13,$V$2,$V$1,$B149)</f>
        <v>0</v>
      </c>
      <c r="W149" s="230">
        <f t="shared" si="66"/>
        <v>0</v>
      </c>
      <c r="X149" s="232">
        <f t="shared" si="67"/>
        <v>0</v>
      </c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28"/>
    </row>
    <row r="150" spans="1:76" s="34" customFormat="1" ht="21" hidden="1" customHeight="1" outlineLevel="3" x14ac:dyDescent="0.75">
      <c r="A150" s="370" t="s">
        <v>374</v>
      </c>
      <c r="B150" s="54" t="str">
        <f>_xll.DBRA(Server&amp;$B$32,$A150,$N$19)</f>
        <v>Vector Reconciliation (TPL12) - Staff costs - Stock Options</v>
      </c>
      <c r="C150" s="9"/>
      <c r="D150" s="1"/>
      <c r="E150" s="1"/>
      <c r="H150" s="368"/>
      <c r="I150" s="94"/>
      <c r="J150" s="57"/>
      <c r="K150" s="104"/>
      <c r="L150" s="498" t="str">
        <f t="shared" si="68"/>
        <v>Vector Reconciliation (TPL12) - Staff costs - Stock Options</v>
      </c>
      <c r="M150" s="498"/>
      <c r="N150" s="498"/>
      <c r="O150" s="498"/>
      <c r="P150" s="112"/>
      <c r="Q150" s="229">
        <f>_xll.DBRW(Server&amp;Cube1,$N$15,$N$16,$N$17,$N$18,$N$14,$N$13,$N$11,$Q$1,$A150)</f>
        <v>0</v>
      </c>
      <c r="R150" s="229">
        <f>_xll.DBRW(Server&amp;Cube1,$N$15,$N$16,$N$17,$N$18,$N$14,$N$13,$R$2,$R$1,$A150)</f>
        <v>0</v>
      </c>
      <c r="S150" s="230">
        <f t="shared" si="64"/>
        <v>0</v>
      </c>
      <c r="T150" s="232">
        <f t="shared" si="65"/>
        <v>0</v>
      </c>
      <c r="U150" s="218"/>
      <c r="V150" s="229">
        <f>_xll.DBRW(Server&amp;Cube1,$N$15,$N$16,$N$17,$N$18,$N$14,$N$13,$V$2,$V$1,$B150)</f>
        <v>0</v>
      </c>
      <c r="W150" s="230">
        <f t="shared" si="66"/>
        <v>0</v>
      </c>
      <c r="X150" s="232">
        <f t="shared" si="67"/>
        <v>0</v>
      </c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28"/>
    </row>
    <row r="151" spans="1:76" s="34" customFormat="1" ht="21" hidden="1" customHeight="1" outlineLevel="3" x14ac:dyDescent="0.75">
      <c r="A151" s="370" t="s">
        <v>375</v>
      </c>
      <c r="B151" s="54" t="str">
        <f>_xll.DBRA(Server&amp;$B$32,$A151,$N$19)</f>
        <v>Vector Reconciliation (TPL12) - Other expenses</v>
      </c>
      <c r="C151" s="9"/>
      <c r="D151" s="1"/>
      <c r="E151" s="1"/>
      <c r="H151" s="368"/>
      <c r="I151" s="94"/>
      <c r="J151" s="57"/>
      <c r="K151" s="104"/>
      <c r="L151" s="498" t="str">
        <f t="shared" si="68"/>
        <v>Vector Reconciliation (TPL12) - Other expenses</v>
      </c>
      <c r="M151" s="498"/>
      <c r="N151" s="498"/>
      <c r="O151" s="498"/>
      <c r="P151" s="112"/>
      <c r="Q151" s="229">
        <f>_xll.DBRW(Server&amp;Cube1,$N$15,$N$16,$N$17,$N$18,$N$14,$N$13,$N$11,$Q$1,$A151)</f>
        <v>0</v>
      </c>
      <c r="R151" s="229">
        <f>_xll.DBRW(Server&amp;Cube1,$N$15,$N$16,$N$17,$N$18,$N$14,$N$13,$R$2,$R$1,$A151)</f>
        <v>0</v>
      </c>
      <c r="S151" s="230">
        <f t="shared" si="64"/>
        <v>0</v>
      </c>
      <c r="T151" s="232">
        <f t="shared" si="65"/>
        <v>0</v>
      </c>
      <c r="U151" s="218"/>
      <c r="V151" s="229">
        <f>_xll.DBRW(Server&amp;Cube1,$N$15,$N$16,$N$17,$N$18,$N$14,$N$13,$V$2,$V$1,$B151)</f>
        <v>0</v>
      </c>
      <c r="W151" s="230">
        <f t="shared" si="66"/>
        <v>0</v>
      </c>
      <c r="X151" s="232">
        <f t="shared" si="67"/>
        <v>0</v>
      </c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28"/>
    </row>
    <row r="152" spans="1:76" s="34" customFormat="1" ht="21" hidden="1" customHeight="1" outlineLevel="3" x14ac:dyDescent="0.75">
      <c r="A152" s="370" t="s">
        <v>376</v>
      </c>
      <c r="B152" s="54" t="str">
        <f>_xll.DBRA(Server&amp;$B$32,$A152,$N$19)</f>
        <v>Vector Reconciliation (TPL12) - Selling expenses - Lease expenses</v>
      </c>
      <c r="C152" s="9"/>
      <c r="D152" s="1"/>
      <c r="E152" s="1"/>
      <c r="H152" s="368"/>
      <c r="I152" s="94"/>
      <c r="J152" s="57"/>
      <c r="K152" s="104"/>
      <c r="L152" s="498" t="str">
        <f t="shared" si="68"/>
        <v>Vector Reconciliation (TPL12) - Selling expenses - Lease expenses</v>
      </c>
      <c r="M152" s="498"/>
      <c r="N152" s="498"/>
      <c r="O152" s="498"/>
      <c r="P152" s="112"/>
      <c r="Q152" s="229">
        <f>_xll.DBRW(Server&amp;Cube1,$N$15,$N$16,$N$17,$N$18,$N$14,$N$13,$N$11,$Q$1,$A152)</f>
        <v>0</v>
      </c>
      <c r="R152" s="229">
        <f>_xll.DBRW(Server&amp;Cube1,$N$15,$N$16,$N$17,$N$18,$N$14,$N$13,$R$2,$R$1,$A152)</f>
        <v>0</v>
      </c>
      <c r="S152" s="230">
        <f t="shared" si="64"/>
        <v>0</v>
      </c>
      <c r="T152" s="232">
        <f t="shared" si="65"/>
        <v>0</v>
      </c>
      <c r="U152" s="218"/>
      <c r="V152" s="229">
        <f>_xll.DBRW(Server&amp;Cube1,$N$15,$N$16,$N$17,$N$18,$N$14,$N$13,$V$2,$V$1,$B152)</f>
        <v>0</v>
      </c>
      <c r="W152" s="230">
        <f t="shared" si="66"/>
        <v>0</v>
      </c>
      <c r="X152" s="232">
        <f t="shared" si="67"/>
        <v>0</v>
      </c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28"/>
    </row>
    <row r="153" spans="1:76" s="34" customFormat="1" ht="21" hidden="1" customHeight="1" outlineLevel="3" x14ac:dyDescent="0.75">
      <c r="A153" s="370" t="s">
        <v>377</v>
      </c>
      <c r="B153" s="54" t="str">
        <f>_xll.DBRA(Server&amp;$B$32,$A153,$N$19)</f>
        <v>Vector Reconciliation (TPL12) - Amortization</v>
      </c>
      <c r="C153" s="9"/>
      <c r="D153" s="1"/>
      <c r="E153" s="1"/>
      <c r="H153" s="368"/>
      <c r="I153" s="94"/>
      <c r="J153" s="57"/>
      <c r="K153" s="104"/>
      <c r="L153" s="498" t="str">
        <f t="shared" si="68"/>
        <v>Vector Reconciliation (TPL12) - Amortization</v>
      </c>
      <c r="M153" s="498"/>
      <c r="N153" s="498"/>
      <c r="O153" s="498"/>
      <c r="P153" s="112"/>
      <c r="Q153" s="229">
        <f>_xll.DBRW(Server&amp;Cube1,$N$15,$N$16,$N$17,$N$18,$N$14,$N$13,$N$11,$Q$1,$A153)</f>
        <v>0</v>
      </c>
      <c r="R153" s="229">
        <f>_xll.DBRW(Server&amp;Cube1,$N$15,$N$16,$N$17,$N$18,$N$14,$N$13,$R$2,$R$1,$A153)</f>
        <v>0</v>
      </c>
      <c r="S153" s="230">
        <f t="shared" si="64"/>
        <v>0</v>
      </c>
      <c r="T153" s="232">
        <f t="shared" si="65"/>
        <v>0</v>
      </c>
      <c r="U153" s="218"/>
      <c r="V153" s="229">
        <f>_xll.DBRW(Server&amp;Cube1,$N$15,$N$16,$N$17,$N$18,$N$14,$N$13,$V$2,$V$1,$B153)</f>
        <v>0</v>
      </c>
      <c r="W153" s="230">
        <f t="shared" si="66"/>
        <v>0</v>
      </c>
      <c r="X153" s="232">
        <f t="shared" si="67"/>
        <v>0</v>
      </c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28"/>
    </row>
    <row r="154" spans="1:76" s="34" customFormat="1" ht="21" hidden="1" customHeight="1" outlineLevel="3" x14ac:dyDescent="0.75">
      <c r="A154" s="370" t="s">
        <v>378</v>
      </c>
      <c r="B154" s="54" t="str">
        <f>_xll.DBRA(Server&amp;$B$32,$A154,$N$19)</f>
        <v>Vector Reconciliation (TPL12) - Impairment - working capital</v>
      </c>
      <c r="C154" s="9"/>
      <c r="D154" s="1"/>
      <c r="E154" s="1"/>
      <c r="H154" s="368"/>
      <c r="I154" s="94"/>
      <c r="J154" s="57"/>
      <c r="K154" s="104"/>
      <c r="L154" s="498" t="str">
        <f t="shared" si="68"/>
        <v>Vector Reconciliation (TPL12) - Impairment - working capital</v>
      </c>
      <c r="M154" s="498"/>
      <c r="N154" s="498"/>
      <c r="O154" s="498"/>
      <c r="P154" s="112"/>
      <c r="Q154" s="229">
        <f>_xll.DBRW(Server&amp;Cube1,$N$15,$N$16,$N$17,$N$18,$N$14,$N$13,$N$11,$Q$1,$A154)</f>
        <v>0</v>
      </c>
      <c r="R154" s="229">
        <f>_xll.DBRW(Server&amp;Cube1,$N$15,$N$16,$N$17,$N$18,$N$14,$N$13,$R$2,$R$1,$A154)</f>
        <v>0</v>
      </c>
      <c r="S154" s="230">
        <f t="shared" si="64"/>
        <v>0</v>
      </c>
      <c r="T154" s="232">
        <f t="shared" si="65"/>
        <v>0</v>
      </c>
      <c r="U154" s="218"/>
      <c r="V154" s="229">
        <f>_xll.DBRW(Server&amp;Cube1,$N$15,$N$16,$N$17,$N$18,$N$14,$N$13,$V$2,$V$1,$B154)</f>
        <v>0</v>
      </c>
      <c r="W154" s="230">
        <f t="shared" si="66"/>
        <v>0</v>
      </c>
      <c r="X154" s="232">
        <f t="shared" si="67"/>
        <v>0</v>
      </c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28"/>
    </row>
    <row r="155" spans="1:76" s="34" customFormat="1" ht="21" hidden="1" customHeight="1" outlineLevel="3" x14ac:dyDescent="0.75">
      <c r="A155" s="370" t="s">
        <v>379</v>
      </c>
      <c r="B155" s="54" t="str">
        <f>_xll.DBRA(Server&amp;$B$32,$A155,$N$19)</f>
        <v>Vector Reconciliation (TPL12) - Impairment (other than working capital) and provisions</v>
      </c>
      <c r="C155" s="9"/>
      <c r="D155" s="1"/>
      <c r="E155" s="1"/>
      <c r="H155" s="368"/>
      <c r="I155" s="94"/>
      <c r="J155" s="57"/>
      <c r="K155" s="104"/>
      <c r="L155" s="498" t="str">
        <f t="shared" si="68"/>
        <v>Vector Reconciliation (TPL12) - Impairment (other than working capital) and provisions</v>
      </c>
      <c r="M155" s="498"/>
      <c r="N155" s="498"/>
      <c r="O155" s="498"/>
      <c r="P155" s="112"/>
      <c r="Q155" s="229">
        <f>_xll.DBRW(Server&amp;Cube1,$N$15,$N$16,$N$17,$N$18,$N$14,$N$13,$N$11,$Q$1,$A155)</f>
        <v>0</v>
      </c>
      <c r="R155" s="229">
        <f>_xll.DBRW(Server&amp;Cube1,$N$15,$N$16,$N$17,$N$18,$N$14,$N$13,$R$2,$R$1,$A155)</f>
        <v>0</v>
      </c>
      <c r="S155" s="230">
        <f t="shared" si="64"/>
        <v>0</v>
      </c>
      <c r="T155" s="232">
        <f t="shared" si="65"/>
        <v>0</v>
      </c>
      <c r="U155" s="218"/>
      <c r="V155" s="229">
        <f>_xll.DBRW(Server&amp;Cube1,$N$15,$N$16,$N$17,$N$18,$N$14,$N$13,$V$2,$V$1,$B155)</f>
        <v>0</v>
      </c>
      <c r="W155" s="230">
        <f t="shared" si="66"/>
        <v>0</v>
      </c>
      <c r="X155" s="232">
        <f t="shared" si="67"/>
        <v>0</v>
      </c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28"/>
    </row>
    <row r="156" spans="1:76" s="34" customFormat="1" ht="21" hidden="1" customHeight="1" outlineLevel="3" x14ac:dyDescent="0.75">
      <c r="A156" s="370" t="s">
        <v>380</v>
      </c>
      <c r="B156" s="54" t="str">
        <f>_xll.DBRA(Server&amp;$B$32,$A156,$N$19)</f>
        <v>Vector Reconciliation (TPL12) - Reinvoicing</v>
      </c>
      <c r="C156" s="9"/>
      <c r="D156" s="1"/>
      <c r="E156" s="1"/>
      <c r="H156" s="368"/>
      <c r="I156" s="94"/>
      <c r="J156" s="57"/>
      <c r="K156" s="104"/>
      <c r="L156" s="498" t="str">
        <f t="shared" si="68"/>
        <v>Vector Reconciliation (TPL12) - Reinvoicing</v>
      </c>
      <c r="M156" s="498"/>
      <c r="N156" s="498"/>
      <c r="O156" s="498"/>
      <c r="P156" s="112"/>
      <c r="Q156" s="229">
        <f>_xll.DBRW(Server&amp;Cube1,$N$15,$N$16,$N$17,$N$18,$N$14,$N$13,$N$11,$Q$1,$A156)</f>
        <v>0</v>
      </c>
      <c r="R156" s="229">
        <f>_xll.DBRW(Server&amp;Cube1,$N$15,$N$16,$N$17,$N$18,$N$14,$N$13,$R$2,$R$1,$A156)</f>
        <v>0</v>
      </c>
      <c r="S156" s="230">
        <f t="shared" si="64"/>
        <v>0</v>
      </c>
      <c r="T156" s="232">
        <f t="shared" si="65"/>
        <v>0</v>
      </c>
      <c r="U156" s="218"/>
      <c r="V156" s="229">
        <f>_xll.DBRW(Server&amp;Cube1,$N$15,$N$16,$N$17,$N$18,$N$14,$N$13,$V$2,$V$1,$B156)</f>
        <v>0</v>
      </c>
      <c r="W156" s="230">
        <f t="shared" si="66"/>
        <v>0</v>
      </c>
      <c r="X156" s="232">
        <f t="shared" si="67"/>
        <v>0</v>
      </c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28"/>
    </row>
    <row r="157" spans="1:76" s="34" customFormat="1" ht="21" hidden="1" customHeight="1" outlineLevel="3" x14ac:dyDescent="0.75">
      <c r="A157" s="370" t="s">
        <v>381</v>
      </c>
      <c r="B157" s="54" t="str">
        <f>_xll.DBRA(Server&amp;$B$32,$A157,$N$19)</f>
        <v>Vector Reconciliation (TPL12) - Gains/losses on disposal of tangible &amp; intangible fixed assets</v>
      </c>
      <c r="C157" s="9"/>
      <c r="D157" s="1"/>
      <c r="E157" s="1"/>
      <c r="H157" s="368"/>
      <c r="I157" s="94"/>
      <c r="J157" s="57"/>
      <c r="K157" s="104"/>
      <c r="L157" s="498" t="str">
        <f t="shared" si="68"/>
        <v>Vector Reconciliation (TPL12) - Gains/losses on disposal of tangible &amp; intangible fixed assets</v>
      </c>
      <c r="M157" s="498"/>
      <c r="N157" s="498"/>
      <c r="O157" s="498"/>
      <c r="P157" s="112"/>
      <c r="Q157" s="229">
        <f>_xll.DBRW(Server&amp;Cube1,$N$15,$N$16,$N$17,$N$18,$N$14,$N$13,$N$11,$Q$1,$A157)</f>
        <v>0</v>
      </c>
      <c r="R157" s="229">
        <f>_xll.DBRW(Server&amp;Cube1,$N$15,$N$16,$N$17,$N$18,$N$14,$N$13,$R$2,$R$1,$A157)</f>
        <v>0</v>
      </c>
      <c r="S157" s="230">
        <f t="shared" si="64"/>
        <v>0</v>
      </c>
      <c r="T157" s="232">
        <f t="shared" si="65"/>
        <v>0</v>
      </c>
      <c r="U157" s="218"/>
      <c r="V157" s="229">
        <f>_xll.DBRW(Server&amp;Cube1,$N$15,$N$16,$N$17,$N$18,$N$14,$N$13,$V$2,$V$1,$B157)</f>
        <v>0</v>
      </c>
      <c r="W157" s="230">
        <f t="shared" si="66"/>
        <v>0</v>
      </c>
      <c r="X157" s="232">
        <f t="shared" si="67"/>
        <v>0</v>
      </c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28"/>
    </row>
    <row r="158" spans="1:76" s="34" customFormat="1" ht="21" hidden="1" customHeight="1" outlineLevel="3" x14ac:dyDescent="0.75">
      <c r="A158" s="370" t="s">
        <v>382</v>
      </c>
      <c r="B158" s="54" t="str">
        <f>_xll.DBRA(Server&amp;$B$32,$A158,$N$19)</f>
        <v>Vector Reconciliation (TPL12) - Restructuring costs</v>
      </c>
      <c r="C158" s="9"/>
      <c r="D158" s="1"/>
      <c r="E158" s="1"/>
      <c r="H158" s="368"/>
      <c r="I158" s="94"/>
      <c r="J158" s="57"/>
      <c r="K158" s="104"/>
      <c r="L158" s="578" t="str">
        <f t="shared" si="68"/>
        <v>Vector Reconciliation (TPL12) - Restructuring costs</v>
      </c>
      <c r="M158" s="578"/>
      <c r="N158" s="578"/>
      <c r="O158" s="578"/>
      <c r="P158" s="112"/>
      <c r="Q158" s="229">
        <f>_xll.DBRW(Server&amp;Cube1,$N$15,$N$16,$N$17,$N$18,$N$14,$N$13,$N$11,$Q$1,$A158)</f>
        <v>0</v>
      </c>
      <c r="R158" s="229">
        <f>_xll.DBRW(Server&amp;Cube1,$N$15,$N$16,$N$17,$N$18,$N$14,$N$13,$R$2,$R$1,$A158)</f>
        <v>0</v>
      </c>
      <c r="S158" s="230">
        <f t="shared" si="64"/>
        <v>0</v>
      </c>
      <c r="T158" s="232">
        <f t="shared" si="65"/>
        <v>0</v>
      </c>
      <c r="U158" s="218"/>
      <c r="V158" s="229">
        <f>_xll.DBRW(Server&amp;Cube1,$N$15,$N$16,$N$17,$N$18,$N$14,$N$13,$V$2,$V$1,$B158)</f>
        <v>0</v>
      </c>
      <c r="W158" s="230">
        <f t="shared" si="66"/>
        <v>0</v>
      </c>
      <c r="X158" s="232">
        <f t="shared" si="67"/>
        <v>0</v>
      </c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28"/>
    </row>
    <row r="159" spans="1:76" s="34" customFormat="1" ht="21" hidden="1" customHeight="1" outlineLevel="3" x14ac:dyDescent="0.75">
      <c r="A159" s="370" t="s">
        <v>383</v>
      </c>
      <c r="B159" s="54" t="str">
        <f>_xll.DBRA(Server&amp;$B$32,$A159,$N$19)</f>
        <v>Vector Reconciliation (TPL12) - Net provisions for restructuring costs</v>
      </c>
      <c r="C159" s="9"/>
      <c r="D159" s="1"/>
      <c r="E159" s="1"/>
      <c r="H159" s="368"/>
      <c r="I159" s="94"/>
      <c r="J159" s="57"/>
      <c r="K159" s="104"/>
      <c r="L159" s="578" t="str">
        <f t="shared" si="68"/>
        <v>Vector Reconciliation (TPL12) - Net provisions for restructuring costs</v>
      </c>
      <c r="M159" s="578"/>
      <c r="N159" s="578"/>
      <c r="O159" s="578"/>
      <c r="P159" s="112"/>
      <c r="Q159" s="229">
        <f>_xll.DBRW(Server&amp;Cube1,$N$15,$N$16,$N$17,$N$18,$N$14,$N$13,$N$11,$Q$1,$A159)</f>
        <v>0</v>
      </c>
      <c r="R159" s="229">
        <f>_xll.DBRW(Server&amp;Cube1,$N$15,$N$16,$N$17,$N$18,$N$14,$N$13,$R$2,$R$1,$A159)</f>
        <v>0</v>
      </c>
      <c r="S159" s="230">
        <f t="shared" si="64"/>
        <v>0</v>
      </c>
      <c r="T159" s="232">
        <f t="shared" si="65"/>
        <v>0</v>
      </c>
      <c r="U159" s="218"/>
      <c r="V159" s="229">
        <f>_xll.DBRW(Server&amp;Cube1,$N$15,$N$16,$N$17,$N$18,$N$14,$N$13,$V$2,$V$1,$B159)</f>
        <v>0</v>
      </c>
      <c r="W159" s="230">
        <f t="shared" si="66"/>
        <v>0</v>
      </c>
      <c r="X159" s="232">
        <f t="shared" si="67"/>
        <v>0</v>
      </c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28"/>
    </row>
    <row r="160" spans="1:76" s="34" customFormat="1" ht="13.5" hidden="1" outlineLevel="1" x14ac:dyDescent="0.75">
      <c r="C160" s="9"/>
      <c r="D160" s="1"/>
      <c r="E160" s="1"/>
      <c r="H160" s="368"/>
      <c r="I160" s="94"/>
      <c r="J160" s="57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28"/>
    </row>
    <row r="161" spans="1:76" s="34" customFormat="1" ht="21" hidden="1" customHeight="1" outlineLevel="1" collapsed="1" x14ac:dyDescent="0.75">
      <c r="A161" s="370" t="s">
        <v>351</v>
      </c>
      <c r="B161" s="54" t="str">
        <f>_xll.DBRA(Server&amp;$B$32,$A161,$N$19)</f>
        <v>GENERAL AND ADMINISTRATIVE COSTS (by destination)</v>
      </c>
      <c r="C161" s="9"/>
      <c r="D161" s="1"/>
      <c r="E161" s="1"/>
      <c r="H161" s="368"/>
      <c r="I161" s="94"/>
      <c r="J161" s="57"/>
      <c r="K161" s="104"/>
      <c r="L161" s="576" t="str">
        <f>LEFT(B161,FIND("(",B161,1)-1)</f>
        <v xml:space="preserve">GENERAL AND ADMINISTRATIVE COSTS </v>
      </c>
      <c r="M161" s="576"/>
      <c r="N161" s="576"/>
      <c r="O161" s="576"/>
      <c r="P161" s="576"/>
      <c r="Q161" s="235">
        <f>_xll.DBRW(Server&amp;Cube1,$N$15,$N$16,$N$17,$N$18,$N$14,$N$13,$N$11,$Q$1,$A161)</f>
        <v>-29992309.940000027</v>
      </c>
      <c r="R161" s="235">
        <f>_xll.DBRW(Server&amp;Cube1,$N$15,$N$16,$N$17,$N$18,$N$14,$N$13,$R$2,$R$1,$A161)</f>
        <v>0</v>
      </c>
      <c r="S161" s="236">
        <f>Q161-R161</f>
        <v>-29992309.940000027</v>
      </c>
      <c r="T161" s="237">
        <f>IF(R161&lt;&gt;0,IF(R161&gt;0,S161/R161,-S161/R161),0)</f>
        <v>0</v>
      </c>
      <c r="U161" s="211"/>
      <c r="V161" s="235">
        <f>_xll.DBRW(Server&amp;Cube1,$N$15,$N$16,$N$17,$N$18,$N$14,$N$13,$V$2,$V$1,$B161)</f>
        <v>-617814342.27000022</v>
      </c>
      <c r="W161" s="236">
        <f>Q161-V161</f>
        <v>587822032.33000016</v>
      </c>
      <c r="X161" s="237">
        <f>IF(V161&lt;&gt;0,IF(V161&gt;0,W161/V161,-W161/V161),0)</f>
        <v>0.95145417014794276</v>
      </c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28"/>
    </row>
    <row r="162" spans="1:76" s="501" customFormat="1" ht="21" hidden="1" customHeight="1" outlineLevel="3" x14ac:dyDescent="0.75">
      <c r="A162" s="500" t="s">
        <v>388</v>
      </c>
      <c r="B162" s="68" t="str">
        <f>_xll.DBRA(Server&amp;$B$32,$A162,$N$19)</f>
        <v>G&amp;A Overhead costs - Vector Reconciliation</v>
      </c>
      <c r="C162" s="357"/>
      <c r="D162" s="1"/>
      <c r="E162" s="1"/>
      <c r="H162" s="502"/>
      <c r="I162" s="94"/>
      <c r="J162" s="57"/>
      <c r="K162" s="104"/>
      <c r="L162" s="573" t="str">
        <f>B162</f>
        <v>G&amp;A Overhead costs - Vector Reconciliation</v>
      </c>
      <c r="M162" s="573"/>
      <c r="N162" s="573"/>
      <c r="O162" s="573"/>
      <c r="P162" s="113"/>
      <c r="Q162" s="505">
        <f>_xll.DBRW(Server&amp;Cube1,$N$15,$N$16,$N$17,$N$18,$N$14,$N$13,$N$11,$Q$1,$A162)</f>
        <v>0</v>
      </c>
      <c r="R162" s="505">
        <f>_xll.DBRW(Server&amp;Cube1,$N$15,$N$16,$N$17,$N$18,$N$14,$N$13,$R$2,$R$1,$A162)</f>
        <v>0</v>
      </c>
      <c r="S162" s="506">
        <f t="shared" ref="S162" si="74">Q162-R162</f>
        <v>0</v>
      </c>
      <c r="T162" s="507">
        <f t="shared" ref="T162" si="75">IF(R162&lt;&gt;0,IF(R162&gt;0,S162/R162,-S162/R162),0)</f>
        <v>0</v>
      </c>
      <c r="U162" s="508"/>
      <c r="V162" s="505">
        <f>_xll.DBRW(Server&amp;Cube1,$N$15,$N$16,$N$17,$N$18,$N$14,$N$13,$V$2,$V$1,$B162)</f>
        <v>0</v>
      </c>
      <c r="W162" s="506">
        <f t="shared" ref="W162" si="76">Q162-V162</f>
        <v>0</v>
      </c>
      <c r="X162" s="507">
        <f t="shared" ref="X162" si="77">IF(V162&lt;&gt;0,IF(V162&gt;0,W162/V162,-W162/V162),0)</f>
        <v>0</v>
      </c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509"/>
    </row>
    <row r="163" spans="1:76" s="501" customFormat="1" ht="21" hidden="1" customHeight="1" outlineLevel="3" collapsed="1" x14ac:dyDescent="0.75">
      <c r="A163" s="500" t="s">
        <v>389</v>
      </c>
      <c r="B163" s="68" t="str">
        <f>_xll.DBRA(Server&amp;$B$32,$A163,$N$19)</f>
        <v>G&amp;A (management fees + overhead costs)</v>
      </c>
      <c r="C163" s="357"/>
      <c r="D163" s="1"/>
      <c r="E163" s="1"/>
      <c r="H163" s="502"/>
      <c r="I163" s="94"/>
      <c r="J163" s="57"/>
      <c r="K163" s="104"/>
      <c r="L163" s="573" t="str">
        <f>B163</f>
        <v>G&amp;A (management fees + overhead costs)</v>
      </c>
      <c r="M163" s="573"/>
      <c r="N163" s="573"/>
      <c r="O163" s="573"/>
      <c r="P163" s="113"/>
      <c r="Q163" s="505">
        <f>_xll.DBRW(Server&amp;Cube1,$N$15,$N$16,$N$17,$N$18,$N$14,$N$13,$N$11,$Q$1,$A163)</f>
        <v>-29992309.940000027</v>
      </c>
      <c r="R163" s="505">
        <f>_xll.DBRW(Server&amp;Cube1,$N$15,$N$16,$N$17,$N$18,$N$14,$N$13,$R$2,$R$1,$A163)</f>
        <v>0</v>
      </c>
      <c r="S163" s="506">
        <f t="shared" ref="S163:S164" si="78">Q163-R163</f>
        <v>-29992309.940000027</v>
      </c>
      <c r="T163" s="507">
        <f t="shared" ref="T163:T164" si="79">IF(R163&lt;&gt;0,IF(R163&gt;0,S163/R163,-S163/R163),0)</f>
        <v>0</v>
      </c>
      <c r="U163" s="508"/>
      <c r="V163" s="505">
        <f>_xll.DBRW(Server&amp;Cube1,$N$15,$N$16,$N$17,$N$18,$N$14,$N$13,$V$2,$V$1,$B163)</f>
        <v>-617814342.27000022</v>
      </c>
      <c r="W163" s="506">
        <f t="shared" ref="W163:W164" si="80">Q163-V163</f>
        <v>587822032.33000016</v>
      </c>
      <c r="X163" s="507">
        <f t="shared" ref="X163:X164" si="81">IF(V163&lt;&gt;0,IF(V163&gt;0,W163/V163,-W163/V163),0)</f>
        <v>0.95145417014794276</v>
      </c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509"/>
    </row>
    <row r="164" spans="1:76" s="501" customFormat="1" ht="21" hidden="1" customHeight="1" outlineLevel="4" x14ac:dyDescent="0.75">
      <c r="A164" s="500" t="s">
        <v>390</v>
      </c>
      <c r="B164" s="68" t="str">
        <f>_xll.DBRA(Server&amp;$B$32,$A164,$N$19)</f>
        <v>Communication</v>
      </c>
      <c r="C164" s="357"/>
      <c r="D164" s="1"/>
      <c r="E164" s="1"/>
      <c r="H164" s="502"/>
      <c r="I164" s="94"/>
      <c r="J164" s="57"/>
      <c r="K164" s="104"/>
      <c r="L164" s="498" t="str">
        <f t="shared" ref="L164" si="82">B164</f>
        <v>Communication</v>
      </c>
      <c r="M164" s="482"/>
      <c r="N164" s="482"/>
      <c r="O164" s="482"/>
      <c r="P164" s="112"/>
      <c r="Q164" s="229">
        <f>_xll.DBRW(Server&amp;Cube1,$N$15,$N$16,$N$17,$N$18,$N$14,$N$13,$N$11,$Q$1,$A164)</f>
        <v>0</v>
      </c>
      <c r="R164" s="229">
        <f>_xll.DBRW(Server&amp;Cube1,$N$15,$N$16,$N$17,$N$18,$N$14,$N$13,$R$2,$R$1,$A164)</f>
        <v>0</v>
      </c>
      <c r="S164" s="230">
        <f t="shared" si="78"/>
        <v>0</v>
      </c>
      <c r="T164" s="232">
        <f t="shared" si="79"/>
        <v>0</v>
      </c>
      <c r="U164" s="218"/>
      <c r="V164" s="229">
        <f>_xll.DBRW(Server&amp;Cube1,$N$15,$N$16,$N$17,$N$18,$N$14,$N$13,$V$2,$V$1,$B164)</f>
        <v>-2392811.7500000005</v>
      </c>
      <c r="W164" s="230">
        <f t="shared" si="80"/>
        <v>2392811.7500000005</v>
      </c>
      <c r="X164" s="232">
        <f t="shared" si="81"/>
        <v>1</v>
      </c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509"/>
    </row>
    <row r="165" spans="1:76" s="501" customFormat="1" ht="21" hidden="1" customHeight="1" outlineLevel="4" x14ac:dyDescent="0.75">
      <c r="A165" s="500" t="s">
        <v>391</v>
      </c>
      <c r="B165" s="68" t="str">
        <f>_xll.DBRA(Server&amp;$B$32,$A165,$N$19)</f>
        <v>Finance</v>
      </c>
      <c r="C165" s="357"/>
      <c r="D165" s="1"/>
      <c r="E165" s="1"/>
      <c r="H165" s="502"/>
      <c r="I165" s="94"/>
      <c r="J165" s="57"/>
      <c r="K165" s="104"/>
      <c r="L165" s="498" t="str">
        <f t="shared" ref="L165:L169" si="83">B165</f>
        <v>Finance</v>
      </c>
      <c r="M165" s="482"/>
      <c r="N165" s="482"/>
      <c r="O165" s="482"/>
      <c r="P165" s="112"/>
      <c r="Q165" s="229">
        <f>_xll.DBRW(Server&amp;Cube1,$N$15,$N$16,$N$17,$N$18,$N$14,$N$13,$N$11,$Q$1,$A165)</f>
        <v>-1103429.3799999999</v>
      </c>
      <c r="R165" s="229">
        <f>_xll.DBRW(Server&amp;Cube1,$N$15,$N$16,$N$17,$N$18,$N$14,$N$13,$R$2,$R$1,$A165)</f>
        <v>0</v>
      </c>
      <c r="S165" s="230">
        <f t="shared" ref="S165:S169" si="84">Q165-R165</f>
        <v>-1103429.3799999999</v>
      </c>
      <c r="T165" s="232">
        <f t="shared" ref="T165:T169" si="85">IF(R165&lt;&gt;0,IF(R165&gt;0,S165/R165,-S165/R165),0)</f>
        <v>0</v>
      </c>
      <c r="U165" s="218"/>
      <c r="V165" s="229">
        <f>_xll.DBRW(Server&amp;Cube1,$N$15,$N$16,$N$17,$N$18,$N$14,$N$13,$V$2,$V$1,$B165)</f>
        <v>-7455058.9399999958</v>
      </c>
      <c r="W165" s="230">
        <f t="shared" ref="W165:W169" si="86">Q165-V165</f>
        <v>6351629.5599999959</v>
      </c>
      <c r="X165" s="232">
        <f t="shared" ref="X165:X169" si="87">IF(V165&lt;&gt;0,IF(V165&gt;0,W165/V165,-W165/V165),0)</f>
        <v>0.85198918091987608</v>
      </c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509"/>
    </row>
    <row r="166" spans="1:76" s="501" customFormat="1" ht="21" hidden="1" customHeight="1" outlineLevel="4" x14ac:dyDescent="0.75">
      <c r="A166" s="500" t="s">
        <v>392</v>
      </c>
      <c r="B166" s="68" t="str">
        <f>_xll.DBRA(Server&amp;$B$32,$A166,$N$19)</f>
        <v>General Management (RESOP)</v>
      </c>
      <c r="C166" s="357"/>
      <c r="D166" s="1"/>
      <c r="E166" s="1"/>
      <c r="H166" s="502"/>
      <c r="I166" s="94"/>
      <c r="J166" s="57"/>
      <c r="K166" s="104"/>
      <c r="L166" s="498" t="str">
        <f t="shared" si="83"/>
        <v>General Management (RESOP)</v>
      </c>
      <c r="M166" s="482"/>
      <c r="N166" s="482"/>
      <c r="O166" s="482"/>
      <c r="P166" s="112"/>
      <c r="Q166" s="229">
        <f>_xll.DBRW(Server&amp;Cube1,$N$15,$N$16,$N$17,$N$18,$N$14,$N$13,$N$11,$Q$1,$A166)</f>
        <v>-18369376.76000002</v>
      </c>
      <c r="R166" s="229">
        <f>_xll.DBRW(Server&amp;Cube1,$N$15,$N$16,$N$17,$N$18,$N$14,$N$13,$R$2,$R$1,$A166)</f>
        <v>0</v>
      </c>
      <c r="S166" s="230">
        <f t="shared" si="84"/>
        <v>-18369376.76000002</v>
      </c>
      <c r="T166" s="232">
        <f t="shared" si="85"/>
        <v>0</v>
      </c>
      <c r="U166" s="218"/>
      <c r="V166" s="229">
        <f>_xll.DBRW(Server&amp;Cube1,$N$15,$N$16,$N$17,$N$18,$N$14,$N$13,$V$2,$V$1,$B166)</f>
        <v>-213508068.13000014</v>
      </c>
      <c r="W166" s="230">
        <f t="shared" si="86"/>
        <v>195138691.37000012</v>
      </c>
      <c r="X166" s="232">
        <f t="shared" si="87"/>
        <v>0.9139640158758997</v>
      </c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509"/>
    </row>
    <row r="167" spans="1:76" s="501" customFormat="1" ht="21" hidden="1" customHeight="1" outlineLevel="4" x14ac:dyDescent="0.75">
      <c r="A167" s="500" t="s">
        <v>393</v>
      </c>
      <c r="B167" s="68" t="str">
        <f>_xll.DBRA(Server&amp;$B$32,$A167,$N$19)</f>
        <v>General Services</v>
      </c>
      <c r="C167" s="357"/>
      <c r="D167" s="1"/>
      <c r="E167" s="1"/>
      <c r="H167" s="502"/>
      <c r="I167" s="94"/>
      <c r="J167" s="57"/>
      <c r="K167" s="104"/>
      <c r="L167" s="498" t="str">
        <f t="shared" si="83"/>
        <v>General Services</v>
      </c>
      <c r="M167" s="482"/>
      <c r="N167" s="482"/>
      <c r="O167" s="482"/>
      <c r="P167" s="112"/>
      <c r="Q167" s="229">
        <f>_xll.DBRW(Server&amp;Cube1,$N$15,$N$16,$N$17,$N$18,$N$14,$N$13,$N$11,$Q$1,$A167)</f>
        <v>-36406.949999999997</v>
      </c>
      <c r="R167" s="229">
        <f>_xll.DBRW(Server&amp;Cube1,$N$15,$N$16,$N$17,$N$18,$N$14,$N$13,$R$2,$R$1,$A167)</f>
        <v>0</v>
      </c>
      <c r="S167" s="230">
        <f t="shared" si="84"/>
        <v>-36406.949999999997</v>
      </c>
      <c r="T167" s="232">
        <f t="shared" si="85"/>
        <v>0</v>
      </c>
      <c r="U167" s="218"/>
      <c r="V167" s="229">
        <f>_xll.DBRW(Server&amp;Cube1,$N$15,$N$16,$N$17,$N$18,$N$14,$N$13,$V$2,$V$1,$B167)</f>
        <v>-12326496.179999996</v>
      </c>
      <c r="W167" s="230">
        <f t="shared" si="86"/>
        <v>12290089.229999997</v>
      </c>
      <c r="X167" s="232">
        <f t="shared" si="87"/>
        <v>0.99704644779275797</v>
      </c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509"/>
    </row>
    <row r="168" spans="1:76" s="501" customFormat="1" ht="21" hidden="1" customHeight="1" outlineLevel="4" x14ac:dyDescent="0.75">
      <c r="A168" s="500" t="s">
        <v>394</v>
      </c>
      <c r="B168" s="68" t="str">
        <f>_xll.DBRA(Server&amp;$B$32,$A168,$N$19)</f>
        <v>HR department</v>
      </c>
      <c r="C168" s="357"/>
      <c r="D168" s="1"/>
      <c r="E168" s="1"/>
      <c r="H168" s="502"/>
      <c r="I168" s="94"/>
      <c r="J168" s="57"/>
      <c r="K168" s="104"/>
      <c r="L168" s="498" t="str">
        <f t="shared" si="83"/>
        <v>HR department</v>
      </c>
      <c r="M168" s="482"/>
      <c r="N168" s="482"/>
      <c r="O168" s="482"/>
      <c r="P168" s="112"/>
      <c r="Q168" s="229">
        <f>_xll.DBRW(Server&amp;Cube1,$N$15,$N$16,$N$17,$N$18,$N$14,$N$13,$N$11,$Q$1,$A168)</f>
        <v>-233038.61000000007</v>
      </c>
      <c r="R168" s="229">
        <f>_xll.DBRW(Server&amp;Cube1,$N$15,$N$16,$N$17,$N$18,$N$14,$N$13,$R$2,$R$1,$A168)</f>
        <v>0</v>
      </c>
      <c r="S168" s="230">
        <f t="shared" si="84"/>
        <v>-233038.61000000007</v>
      </c>
      <c r="T168" s="232">
        <f t="shared" si="85"/>
        <v>0</v>
      </c>
      <c r="U168" s="218"/>
      <c r="V168" s="229">
        <f>_xll.DBRW(Server&amp;Cube1,$N$15,$N$16,$N$17,$N$18,$N$14,$N$13,$V$2,$V$1,$B168)</f>
        <v>-12323859.239999991</v>
      </c>
      <c r="W168" s="230">
        <f t="shared" si="86"/>
        <v>12090820.629999992</v>
      </c>
      <c r="X168" s="232">
        <f t="shared" si="87"/>
        <v>0.98109045182505672</v>
      </c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509"/>
    </row>
    <row r="169" spans="1:76" s="501" customFormat="1" ht="21" hidden="1" customHeight="1" outlineLevel="4" x14ac:dyDescent="0.75">
      <c r="A169" s="500" t="s">
        <v>395</v>
      </c>
      <c r="B169" s="68" t="str">
        <f>_xll.DBRA(Server&amp;$B$32,$A169,$N$19)</f>
        <v>Internal audit</v>
      </c>
      <c r="C169" s="357"/>
      <c r="D169" s="1"/>
      <c r="E169" s="1"/>
      <c r="H169" s="502"/>
      <c r="I169" s="94"/>
      <c r="J169" s="57"/>
      <c r="K169" s="104"/>
      <c r="L169" s="498" t="str">
        <f t="shared" si="83"/>
        <v>Internal audit</v>
      </c>
      <c r="M169" s="482"/>
      <c r="N169" s="482"/>
      <c r="O169" s="482"/>
      <c r="P169" s="112"/>
      <c r="Q169" s="229">
        <f>_xll.DBRW(Server&amp;Cube1,$N$15,$N$16,$N$17,$N$18,$N$14,$N$13,$N$11,$Q$1,$A169)</f>
        <v>0</v>
      </c>
      <c r="R169" s="229">
        <f>_xll.DBRW(Server&amp;Cube1,$N$15,$N$16,$N$17,$N$18,$N$14,$N$13,$R$2,$R$1,$A169)</f>
        <v>0</v>
      </c>
      <c r="S169" s="230">
        <f t="shared" si="84"/>
        <v>0</v>
      </c>
      <c r="T169" s="232">
        <f t="shared" si="85"/>
        <v>0</v>
      </c>
      <c r="U169" s="218"/>
      <c r="V169" s="229">
        <f>_xll.DBRW(Server&amp;Cube1,$N$15,$N$16,$N$17,$N$18,$N$14,$N$13,$V$2,$V$1,$B169)</f>
        <v>0</v>
      </c>
      <c r="W169" s="230">
        <f t="shared" si="86"/>
        <v>0</v>
      </c>
      <c r="X169" s="232">
        <f t="shared" si="87"/>
        <v>0</v>
      </c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509"/>
    </row>
    <row r="170" spans="1:76" s="501" customFormat="1" ht="21" hidden="1" customHeight="1" outlineLevel="4" x14ac:dyDescent="0.75">
      <c r="A170" s="500" t="s">
        <v>396</v>
      </c>
      <c r="B170" s="68" t="str">
        <f>_xll.DBRA(Server&amp;$B$32,$A170,$N$19)</f>
        <v>IT</v>
      </c>
      <c r="C170" s="357"/>
      <c r="D170" s="1"/>
      <c r="E170" s="1"/>
      <c r="H170" s="502"/>
      <c r="I170" s="94"/>
      <c r="J170" s="57"/>
      <c r="K170" s="104"/>
      <c r="L170" s="498" t="str">
        <f t="shared" ref="L170:L178" si="88">B170</f>
        <v>IT</v>
      </c>
      <c r="M170" s="482"/>
      <c r="N170" s="482"/>
      <c r="O170" s="482"/>
      <c r="P170" s="112"/>
      <c r="Q170" s="229">
        <f>_xll.DBRW(Server&amp;Cube1,$N$15,$N$16,$N$17,$N$18,$N$14,$N$13,$N$11,$Q$1,$A170)</f>
        <v>-8769.9299999999712</v>
      </c>
      <c r="R170" s="229">
        <f>_xll.DBRW(Server&amp;Cube1,$N$15,$N$16,$N$17,$N$18,$N$14,$N$13,$R$2,$R$1,$A170)</f>
        <v>0</v>
      </c>
      <c r="S170" s="230">
        <f t="shared" ref="S170:S178" si="89">Q170-R170</f>
        <v>-8769.9299999999712</v>
      </c>
      <c r="T170" s="232">
        <f t="shared" ref="T170:T178" si="90">IF(R170&lt;&gt;0,IF(R170&gt;0,S170/R170,-S170/R170),0)</f>
        <v>0</v>
      </c>
      <c r="U170" s="218"/>
      <c r="V170" s="229">
        <f>_xll.DBRW(Server&amp;Cube1,$N$15,$N$16,$N$17,$N$18,$N$14,$N$13,$V$2,$V$1,$B170)</f>
        <v>-17906818.539999999</v>
      </c>
      <c r="W170" s="230">
        <f t="shared" ref="W170:W178" si="91">Q170-V170</f>
        <v>17898048.609999999</v>
      </c>
      <c r="X170" s="232">
        <f t="shared" ref="X170:X178" si="92">IF(V170&lt;&gt;0,IF(V170&gt;0,W170/V170,-W170/V170),0)</f>
        <v>0.99951024633547214</v>
      </c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509"/>
    </row>
    <row r="171" spans="1:76" s="501" customFormat="1" ht="21" hidden="1" customHeight="1" outlineLevel="4" x14ac:dyDescent="0.75">
      <c r="A171" s="500" t="s">
        <v>397</v>
      </c>
      <c r="B171" s="68" t="str">
        <f>_xll.DBRA(Server&amp;$B$32,$A171,$N$19)</f>
        <v>Legal</v>
      </c>
      <c r="C171" s="357"/>
      <c r="D171" s="1"/>
      <c r="E171" s="1"/>
      <c r="H171" s="502"/>
      <c r="I171" s="94"/>
      <c r="J171" s="57"/>
      <c r="K171" s="104"/>
      <c r="L171" s="498" t="str">
        <f t="shared" si="88"/>
        <v>Legal</v>
      </c>
      <c r="M171" s="482"/>
      <c r="N171" s="482"/>
      <c r="O171" s="482"/>
      <c r="P171" s="112"/>
      <c r="Q171" s="229">
        <f>_xll.DBRW(Server&amp;Cube1,$N$15,$N$16,$N$17,$N$18,$N$14,$N$13,$N$11,$Q$1,$A171)</f>
        <v>-141281.71999999997</v>
      </c>
      <c r="R171" s="229">
        <f>_xll.DBRW(Server&amp;Cube1,$N$15,$N$16,$N$17,$N$18,$N$14,$N$13,$R$2,$R$1,$A171)</f>
        <v>0</v>
      </c>
      <c r="S171" s="230">
        <f t="shared" si="89"/>
        <v>-141281.71999999997</v>
      </c>
      <c r="T171" s="232">
        <f t="shared" si="90"/>
        <v>0</v>
      </c>
      <c r="U171" s="218"/>
      <c r="V171" s="229">
        <f>_xll.DBRW(Server&amp;Cube1,$N$15,$N$16,$N$17,$N$18,$N$14,$N$13,$V$2,$V$1,$B171)</f>
        <v>-4182855.6199999857</v>
      </c>
      <c r="W171" s="230">
        <f t="shared" si="91"/>
        <v>4041573.8999999855</v>
      </c>
      <c r="X171" s="232">
        <f t="shared" si="92"/>
        <v>0.96622362021665942</v>
      </c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509"/>
    </row>
    <row r="172" spans="1:76" s="501" customFormat="1" ht="21" hidden="1" customHeight="1" outlineLevel="4" x14ac:dyDescent="0.75">
      <c r="A172" s="500" t="s">
        <v>398</v>
      </c>
      <c r="B172" s="68" t="str">
        <f>_xll.DBRA(Server&amp;$B$32,$A172,$N$19)</f>
        <v>Management fees</v>
      </c>
      <c r="C172" s="357"/>
      <c r="D172" s="1"/>
      <c r="E172" s="1"/>
      <c r="H172" s="502"/>
      <c r="I172" s="94"/>
      <c r="J172" s="57"/>
      <c r="K172" s="104"/>
      <c r="L172" s="498" t="str">
        <f t="shared" si="88"/>
        <v>Management fees</v>
      </c>
      <c r="M172" s="482"/>
      <c r="N172" s="482"/>
      <c r="O172" s="482"/>
      <c r="P172" s="112"/>
      <c r="Q172" s="229">
        <f>_xll.DBRW(Server&amp;Cube1,$N$15,$N$16,$N$17,$N$18,$N$14,$N$13,$N$11,$Q$1,$A172)</f>
        <v>-9984353.3699999992</v>
      </c>
      <c r="R172" s="229">
        <f>_xll.DBRW(Server&amp;Cube1,$N$15,$N$16,$N$17,$N$18,$N$14,$N$13,$R$2,$R$1,$A172)</f>
        <v>0</v>
      </c>
      <c r="S172" s="230">
        <f t="shared" si="89"/>
        <v>-9984353.3699999992</v>
      </c>
      <c r="T172" s="232">
        <f t="shared" si="90"/>
        <v>0</v>
      </c>
      <c r="U172" s="218"/>
      <c r="V172" s="229">
        <f>_xll.DBRW(Server&amp;Cube1,$N$15,$N$16,$N$17,$N$18,$N$14,$N$13,$V$2,$V$1,$B172)</f>
        <v>-344500812.26000017</v>
      </c>
      <c r="W172" s="230">
        <f t="shared" si="91"/>
        <v>334516458.89000016</v>
      </c>
      <c r="X172" s="232">
        <f t="shared" si="92"/>
        <v>0.97101791051086217</v>
      </c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509"/>
    </row>
    <row r="173" spans="1:76" s="501" customFormat="1" ht="21" hidden="1" customHeight="1" outlineLevel="4" x14ac:dyDescent="0.75">
      <c r="A173" s="500" t="s">
        <v>399</v>
      </c>
      <c r="B173" s="68" t="str">
        <f>_xll.DBRA(Server&amp;$B$32,$A173,$N$19)</f>
        <v>Purchasing</v>
      </c>
      <c r="C173" s="357"/>
      <c r="D173" s="1"/>
      <c r="E173" s="1"/>
      <c r="H173" s="502"/>
      <c r="I173" s="94"/>
      <c r="J173" s="57"/>
      <c r="K173" s="104"/>
      <c r="L173" s="498" t="str">
        <f t="shared" si="88"/>
        <v>Purchasing</v>
      </c>
      <c r="M173" s="482"/>
      <c r="N173" s="482"/>
      <c r="O173" s="482"/>
      <c r="P173" s="112"/>
      <c r="Q173" s="229">
        <f>_xll.DBRW(Server&amp;Cube1,$N$15,$N$16,$N$17,$N$18,$N$14,$N$13,$N$11,$Q$1,$A173)</f>
        <v>-56122.289999999994</v>
      </c>
      <c r="R173" s="229">
        <f>_xll.DBRW(Server&amp;Cube1,$N$15,$N$16,$N$17,$N$18,$N$14,$N$13,$R$2,$R$1,$A173)</f>
        <v>0</v>
      </c>
      <c r="S173" s="230">
        <f t="shared" si="89"/>
        <v>-56122.289999999994</v>
      </c>
      <c r="T173" s="232">
        <f t="shared" si="90"/>
        <v>0</v>
      </c>
      <c r="U173" s="218"/>
      <c r="V173" s="229">
        <f>_xll.DBRW(Server&amp;Cube1,$N$15,$N$16,$N$17,$N$18,$N$14,$N$13,$V$2,$V$1,$B173)</f>
        <v>-823981.42</v>
      </c>
      <c r="W173" s="230">
        <f t="shared" si="91"/>
        <v>767859.13</v>
      </c>
      <c r="X173" s="232">
        <f t="shared" si="92"/>
        <v>0.93188888895091826</v>
      </c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509"/>
    </row>
    <row r="174" spans="1:76" s="501" customFormat="1" ht="21" hidden="1" customHeight="1" outlineLevel="4" x14ac:dyDescent="0.75">
      <c r="A174" s="500" t="s">
        <v>400</v>
      </c>
      <c r="B174" s="68" t="str">
        <f>_xll.DBRA(Server&amp;$B$32,$A174,$N$19)</f>
        <v>R &amp; D</v>
      </c>
      <c r="C174" s="357"/>
      <c r="D174" s="1"/>
      <c r="E174" s="1"/>
      <c r="H174" s="502"/>
      <c r="I174" s="94"/>
      <c r="J174" s="57"/>
      <c r="K174" s="104"/>
      <c r="L174" s="498" t="str">
        <f t="shared" si="88"/>
        <v>R &amp; D</v>
      </c>
      <c r="M174" s="482"/>
      <c r="N174" s="482"/>
      <c r="O174" s="482"/>
      <c r="P174" s="112"/>
      <c r="Q174" s="229">
        <f>_xll.DBRW(Server&amp;Cube1,$N$15,$N$16,$N$17,$N$18,$N$14,$N$13,$N$11,$Q$1,$A174)</f>
        <v>0</v>
      </c>
      <c r="R174" s="229">
        <f>_xll.DBRW(Server&amp;Cube1,$N$15,$N$16,$N$17,$N$18,$N$14,$N$13,$R$2,$R$1,$A174)</f>
        <v>0</v>
      </c>
      <c r="S174" s="230">
        <f t="shared" si="89"/>
        <v>0</v>
      </c>
      <c r="T174" s="232">
        <f t="shared" si="90"/>
        <v>0</v>
      </c>
      <c r="U174" s="218"/>
      <c r="V174" s="229">
        <f>_xll.DBRW(Server&amp;Cube1,$N$15,$N$16,$N$17,$N$18,$N$14,$N$13,$V$2,$V$1,$B174)</f>
        <v>-832503.28999999992</v>
      </c>
      <c r="W174" s="230">
        <f t="shared" si="91"/>
        <v>832503.28999999992</v>
      </c>
      <c r="X174" s="232">
        <f t="shared" si="92"/>
        <v>1</v>
      </c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509"/>
    </row>
    <row r="175" spans="1:76" s="501" customFormat="1" ht="21" hidden="1" customHeight="1" outlineLevel="4" x14ac:dyDescent="0.75">
      <c r="A175" s="500" t="s">
        <v>401</v>
      </c>
      <c r="B175" s="68" t="str">
        <f>_xll.DBRA(Server&amp;$B$32,$A175,$N$19)</f>
        <v>Risk management</v>
      </c>
      <c r="C175" s="357"/>
      <c r="D175" s="1"/>
      <c r="E175" s="1"/>
      <c r="H175" s="502"/>
      <c r="I175" s="94"/>
      <c r="J175" s="57"/>
      <c r="K175" s="104"/>
      <c r="L175" s="498" t="str">
        <f t="shared" si="88"/>
        <v>Risk management</v>
      </c>
      <c r="M175" s="482"/>
      <c r="N175" s="482"/>
      <c r="O175" s="482"/>
      <c r="P175" s="112"/>
      <c r="Q175" s="229">
        <f>_xll.DBRW(Server&amp;Cube1,$N$15,$N$16,$N$17,$N$18,$N$14,$N$13,$N$11,$Q$1,$A175)</f>
        <v>0</v>
      </c>
      <c r="R175" s="229">
        <f>_xll.DBRW(Server&amp;Cube1,$N$15,$N$16,$N$17,$N$18,$N$14,$N$13,$R$2,$R$1,$A175)</f>
        <v>0</v>
      </c>
      <c r="S175" s="230">
        <f t="shared" si="89"/>
        <v>0</v>
      </c>
      <c r="T175" s="232">
        <f t="shared" si="90"/>
        <v>0</v>
      </c>
      <c r="U175" s="218"/>
      <c r="V175" s="229">
        <f>_xll.DBRW(Server&amp;Cube1,$N$15,$N$16,$N$17,$N$18,$N$14,$N$13,$V$2,$V$1,$B175)</f>
        <v>-159681.15000000002</v>
      </c>
      <c r="W175" s="230">
        <f t="shared" si="91"/>
        <v>159681.15000000002</v>
      </c>
      <c r="X175" s="232">
        <f t="shared" si="92"/>
        <v>1</v>
      </c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509"/>
    </row>
    <row r="176" spans="1:76" s="501" customFormat="1" ht="21" hidden="1" customHeight="1" outlineLevel="4" x14ac:dyDescent="0.75">
      <c r="A176" s="500" t="s">
        <v>402</v>
      </c>
      <c r="B176" s="68" t="str">
        <f>_xll.DBRA(Server&amp;$B$32,$A176,$N$19)</f>
        <v>QHSE</v>
      </c>
      <c r="C176" s="357"/>
      <c r="D176" s="1"/>
      <c r="E176" s="1"/>
      <c r="H176" s="502"/>
      <c r="I176" s="94"/>
      <c r="J176" s="57"/>
      <c r="K176" s="104"/>
      <c r="L176" s="498" t="str">
        <f t="shared" si="88"/>
        <v>QHSE</v>
      </c>
      <c r="M176" s="482"/>
      <c r="N176" s="482"/>
      <c r="O176" s="482"/>
      <c r="P176" s="112"/>
      <c r="Q176" s="229">
        <f>_xll.DBRW(Server&amp;Cube1,$N$15,$N$16,$N$17,$N$18,$N$14,$N$13,$N$11,$Q$1,$A176)</f>
        <v>-50431.63</v>
      </c>
      <c r="R176" s="229">
        <f>_xll.DBRW(Server&amp;Cube1,$N$15,$N$16,$N$17,$N$18,$N$14,$N$13,$R$2,$R$1,$A176)</f>
        <v>0</v>
      </c>
      <c r="S176" s="230">
        <f t="shared" si="89"/>
        <v>-50431.63</v>
      </c>
      <c r="T176" s="232">
        <f t="shared" si="90"/>
        <v>0</v>
      </c>
      <c r="U176" s="218"/>
      <c r="V176" s="229">
        <f>_xll.DBRW(Server&amp;Cube1,$N$15,$N$16,$N$17,$N$18,$N$14,$N$13,$V$2,$V$1,$B176)</f>
        <v>-1277590.3</v>
      </c>
      <c r="W176" s="230">
        <f t="shared" si="91"/>
        <v>1227158.6700000002</v>
      </c>
      <c r="X176" s="232">
        <f t="shared" si="92"/>
        <v>0.9605259761286542</v>
      </c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509"/>
    </row>
    <row r="177" spans="1:76" s="501" customFormat="1" ht="21" hidden="1" customHeight="1" outlineLevel="4" x14ac:dyDescent="0.75">
      <c r="A177" s="500" t="s">
        <v>403</v>
      </c>
      <c r="B177" s="68" t="str">
        <f>_xll.DBRA(Server&amp;$B$32,$A177,$N$19)</f>
        <v>Technical department</v>
      </c>
      <c r="C177" s="357"/>
      <c r="D177" s="1"/>
      <c r="E177" s="1"/>
      <c r="H177" s="502"/>
      <c r="I177" s="94"/>
      <c r="J177" s="57"/>
      <c r="K177" s="104"/>
      <c r="L177" s="498" t="str">
        <f t="shared" si="88"/>
        <v>Technical department</v>
      </c>
      <c r="M177" s="482"/>
      <c r="N177" s="482"/>
      <c r="O177" s="482"/>
      <c r="P177" s="112"/>
      <c r="Q177" s="229">
        <f>_xll.DBRW(Server&amp;Cube1,$N$15,$N$16,$N$17,$N$18,$N$14,$N$13,$N$11,$Q$1,$A177)</f>
        <v>-9099.2999999999956</v>
      </c>
      <c r="R177" s="229">
        <f>_xll.DBRW(Server&amp;Cube1,$N$15,$N$16,$N$17,$N$18,$N$14,$N$13,$R$2,$R$1,$A177)</f>
        <v>0</v>
      </c>
      <c r="S177" s="230">
        <f t="shared" si="89"/>
        <v>-9099.2999999999956</v>
      </c>
      <c r="T177" s="232">
        <f t="shared" si="90"/>
        <v>0</v>
      </c>
      <c r="U177" s="218"/>
      <c r="V177" s="229">
        <f>_xll.DBRW(Server&amp;Cube1,$N$15,$N$16,$N$17,$N$18,$N$14,$N$13,$V$2,$V$1,$B177)</f>
        <v>-124948.22999999998</v>
      </c>
      <c r="W177" s="230">
        <f t="shared" si="91"/>
        <v>115848.93</v>
      </c>
      <c r="X177" s="232">
        <f t="shared" si="92"/>
        <v>0.92717543897980792</v>
      </c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509"/>
    </row>
    <row r="178" spans="1:76" s="501" customFormat="1" ht="21" hidden="1" customHeight="1" outlineLevel="4" x14ac:dyDescent="0.75">
      <c r="A178" s="500" t="s">
        <v>404</v>
      </c>
      <c r="B178" s="68" t="str">
        <f>_xll.DBRA(Server&amp;$B$32,$A178,$N$19)</f>
        <v>Tax Management</v>
      </c>
      <c r="C178" s="357"/>
      <c r="D178" s="1"/>
      <c r="E178" s="1"/>
      <c r="H178" s="502"/>
      <c r="I178" s="94"/>
      <c r="J178" s="57"/>
      <c r="K178" s="104"/>
      <c r="L178" s="498" t="str">
        <f t="shared" si="88"/>
        <v>Tax Management</v>
      </c>
      <c r="M178" s="482"/>
      <c r="N178" s="482"/>
      <c r="O178" s="482"/>
      <c r="P178" s="112"/>
      <c r="Q178" s="229">
        <f>_xll.DBRW(Server&amp;Cube1,$N$15,$N$16,$N$17,$N$18,$N$14,$N$13,$N$11,$Q$1,$A178)</f>
        <v>0</v>
      </c>
      <c r="R178" s="229">
        <f>_xll.DBRW(Server&amp;Cube1,$N$15,$N$16,$N$17,$N$18,$N$14,$N$13,$R$2,$R$1,$A178)</f>
        <v>0</v>
      </c>
      <c r="S178" s="230">
        <f t="shared" si="89"/>
        <v>0</v>
      </c>
      <c r="T178" s="232">
        <f t="shared" si="90"/>
        <v>0</v>
      </c>
      <c r="U178" s="218"/>
      <c r="V178" s="229">
        <f>_xll.DBRW(Server&amp;Cube1,$N$15,$N$16,$N$17,$N$18,$N$14,$N$13,$V$2,$V$1,$B178)</f>
        <v>1142.7800000000002</v>
      </c>
      <c r="W178" s="230">
        <f t="shared" si="91"/>
        <v>-1142.7800000000002</v>
      </c>
      <c r="X178" s="232">
        <f t="shared" si="92"/>
        <v>-1</v>
      </c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509"/>
    </row>
    <row r="179" spans="1:76" s="34" customFormat="1" ht="13.5" hidden="1" outlineLevel="1" x14ac:dyDescent="0.75">
      <c r="C179" s="9"/>
      <c r="D179" s="1"/>
      <c r="E179" s="1"/>
      <c r="H179" s="368"/>
      <c r="I179" s="94"/>
      <c r="J179" s="57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28"/>
    </row>
    <row r="180" spans="1:76" s="34" customFormat="1" ht="21" hidden="1" customHeight="1" outlineLevel="1" collapsed="1" x14ac:dyDescent="0.75">
      <c r="A180" s="370" t="s">
        <v>352</v>
      </c>
      <c r="B180" s="54" t="str">
        <f>_xll.DBRA(Server&amp;$B$32,$A180,$N$19)</f>
        <v>OTHER OPERATING REVENUE AND EXPENSE (by destination)</v>
      </c>
      <c r="C180" s="9"/>
      <c r="D180" s="1"/>
      <c r="E180" s="1"/>
      <c r="H180" s="368"/>
      <c r="I180" s="94"/>
      <c r="J180" s="57"/>
      <c r="K180" s="104"/>
      <c r="L180" s="576" t="str">
        <f>LEFT(B180,FIND("(",B180,1)-1)</f>
        <v xml:space="preserve">OTHER OPERATING REVENUE AND EXPENSE </v>
      </c>
      <c r="M180" s="576"/>
      <c r="N180" s="576"/>
      <c r="O180" s="576"/>
      <c r="P180" s="576"/>
      <c r="Q180" s="235">
        <f>_xll.DBRW(Server&amp;Cube1,$N$15,$N$16,$N$17,$N$18,$N$14,$N$13,$N$11,$Q$1,$A180)</f>
        <v>55000</v>
      </c>
      <c r="R180" s="235">
        <f>_xll.DBRW(Server&amp;Cube1,$N$15,$N$16,$N$17,$N$18,$N$14,$N$13,$R$2,$R$1,$A180)</f>
        <v>0</v>
      </c>
      <c r="S180" s="236">
        <f>Q180-R180</f>
        <v>55000</v>
      </c>
      <c r="T180" s="237">
        <f>IF(R180&lt;&gt;0,IF(R180&gt;0,S180/R180,-S180/R180),0)</f>
        <v>0</v>
      </c>
      <c r="U180" s="211"/>
      <c r="V180" s="235">
        <f>_xll.DBRW(Server&amp;Cube1,$N$15,$N$16,$N$17,$N$18,$N$14,$N$13,$V$2,$V$1,$B180)</f>
        <v>-1167203.6700000002</v>
      </c>
      <c r="W180" s="236">
        <f>Q180-V180</f>
        <v>1222203.6700000002</v>
      </c>
      <c r="X180" s="237">
        <f>IF(V180&lt;&gt;0,IF(V180&gt;0,W180/V180,-W180/V180),0)</f>
        <v>1.0471211678078429</v>
      </c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28"/>
    </row>
    <row r="181" spans="1:76" s="501" customFormat="1" ht="21" hidden="1" customHeight="1" outlineLevel="4" collapsed="1" x14ac:dyDescent="0.75">
      <c r="A181" s="500" t="s">
        <v>405</v>
      </c>
      <c r="B181" s="68" t="str">
        <f>_xll.DBRA(Server&amp;$B$32,$A181,$N$19)</f>
        <v>Other operating rev. &amp; exp.</v>
      </c>
      <c r="C181" s="357"/>
      <c r="D181" s="1"/>
      <c r="E181" s="1"/>
      <c r="H181" s="502"/>
      <c r="I181" s="94"/>
      <c r="J181" s="57"/>
      <c r="K181" s="104"/>
      <c r="L181" s="514" t="str">
        <f t="shared" ref="L181:L194" si="93">B181</f>
        <v>Other operating rev. &amp; exp.</v>
      </c>
      <c r="M181" s="504"/>
      <c r="N181" s="504"/>
      <c r="O181" s="504"/>
      <c r="P181" s="113"/>
      <c r="Q181" s="505">
        <f>_xll.DBRW(Server&amp;Cube1,$N$15,$N$16,$N$17,$N$18,$N$14,$N$13,$N$11,$Q$1,$A181)</f>
        <v>55000</v>
      </c>
      <c r="R181" s="505">
        <f>_xll.DBRW(Server&amp;Cube1,$N$15,$N$16,$N$17,$N$18,$N$14,$N$13,$R$2,$R$1,$A181)</f>
        <v>0</v>
      </c>
      <c r="S181" s="506">
        <f t="shared" ref="S181:S194" si="94">Q181-R181</f>
        <v>55000</v>
      </c>
      <c r="T181" s="507">
        <f t="shared" ref="T181:T194" si="95">IF(R181&lt;&gt;0,IF(R181&gt;0,S181/R181,-S181/R181),0)</f>
        <v>0</v>
      </c>
      <c r="U181" s="508"/>
      <c r="V181" s="505">
        <f>_xll.DBRW(Server&amp;Cube1,$N$15,$N$16,$N$17,$N$18,$N$14,$N$13,$V$2,$V$1,$B181)</f>
        <v>-1167203.6700000002</v>
      </c>
      <c r="W181" s="506">
        <f t="shared" ref="W181:W194" si="96">Q181-V181</f>
        <v>1222203.6700000002</v>
      </c>
      <c r="X181" s="507">
        <f t="shared" ref="X181:X194" si="97">IF(V181&lt;&gt;0,IF(V181&gt;0,W181/V181,-W181/V181),0)</f>
        <v>1.0471211678078429</v>
      </c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509"/>
    </row>
    <row r="182" spans="1:76" s="34" customFormat="1" ht="21" hidden="1" customHeight="1" outlineLevel="5" x14ac:dyDescent="0.75">
      <c r="A182" s="370" t="s">
        <v>406</v>
      </c>
      <c r="B182" s="54" t="str">
        <f>_xll.DBRA(Server&amp;$B$32,$A182,$N$19)</f>
        <v>Interco link ac - Revenue from Ordinary Activities</v>
      </c>
      <c r="C182" s="9"/>
      <c r="D182" s="510"/>
      <c r="E182" s="510"/>
      <c r="H182" s="368"/>
      <c r="I182" s="511"/>
      <c r="J182" s="512"/>
      <c r="K182" s="513"/>
      <c r="L182" s="498" t="str">
        <f t="shared" si="93"/>
        <v>Interco link ac - Revenue from Ordinary Activities</v>
      </c>
      <c r="M182" s="482"/>
      <c r="N182" s="482"/>
      <c r="O182" s="482"/>
      <c r="P182" s="112"/>
      <c r="Q182" s="229">
        <f>_xll.DBRW(Server&amp;Cube1,$N$15,$N$16,$N$17,$N$18,$N$14,$N$13,$N$11,$Q$1,$A182)</f>
        <v>0</v>
      </c>
      <c r="R182" s="229">
        <f>_xll.DBRW(Server&amp;Cube1,$N$15,$N$16,$N$17,$N$18,$N$14,$N$13,$R$2,$R$1,$A182)</f>
        <v>0</v>
      </c>
      <c r="S182" s="230">
        <f t="shared" si="94"/>
        <v>0</v>
      </c>
      <c r="T182" s="232">
        <f t="shared" si="95"/>
        <v>0</v>
      </c>
      <c r="U182" s="218"/>
      <c r="V182" s="229">
        <f>_xll.DBRW(Server&amp;Cube1,$N$15,$N$16,$N$17,$N$18,$N$14,$N$13,$V$2,$V$1,$B182)</f>
        <v>0</v>
      </c>
      <c r="W182" s="230">
        <f t="shared" si="96"/>
        <v>0</v>
      </c>
      <c r="X182" s="232">
        <f t="shared" si="97"/>
        <v>0</v>
      </c>
      <c r="Y182" s="513"/>
      <c r="Z182" s="513"/>
      <c r="AA182" s="513"/>
      <c r="AB182" s="513"/>
      <c r="AC182" s="513"/>
      <c r="AD182" s="513"/>
      <c r="AE182" s="513"/>
      <c r="AF182" s="513"/>
      <c r="AG182" s="513"/>
      <c r="AH182" s="513"/>
      <c r="AI182" s="513"/>
      <c r="AJ182" s="513"/>
      <c r="AK182" s="513"/>
      <c r="AL182" s="513"/>
      <c r="AM182" s="513"/>
      <c r="AN182" s="513"/>
      <c r="AO182" s="513"/>
      <c r="AP182" s="513"/>
      <c r="AQ182" s="513"/>
      <c r="AR182" s="513"/>
      <c r="AS182" s="513"/>
      <c r="AT182" s="513"/>
      <c r="AU182" s="513"/>
      <c r="AV182" s="513"/>
      <c r="AW182" s="513"/>
      <c r="AX182" s="513"/>
      <c r="AY182" s="513"/>
      <c r="AZ182" s="513"/>
      <c r="BA182" s="513"/>
      <c r="BB182" s="513"/>
      <c r="BC182" s="513"/>
      <c r="BD182" s="513"/>
      <c r="BE182" s="513"/>
      <c r="BF182" s="513"/>
      <c r="BG182" s="513"/>
      <c r="BH182" s="513"/>
      <c r="BI182" s="513"/>
      <c r="BJ182" s="513"/>
      <c r="BK182" s="513"/>
      <c r="BL182" s="513"/>
      <c r="BM182" s="513"/>
      <c r="BN182" s="513"/>
      <c r="BO182" s="513"/>
      <c r="BP182" s="513"/>
      <c r="BQ182" s="513"/>
      <c r="BR182" s="513"/>
      <c r="BS182" s="513"/>
      <c r="BT182" s="513"/>
      <c r="BU182" s="513"/>
      <c r="BV182" s="513"/>
      <c r="BW182" s="513"/>
      <c r="BX182" s="28"/>
    </row>
    <row r="183" spans="1:76" s="34" customFormat="1" ht="21" hidden="1" customHeight="1" outlineLevel="5" x14ac:dyDescent="0.75">
      <c r="A183" s="370" t="s">
        <v>407</v>
      </c>
      <c r="B183" s="54" t="str">
        <f>_xll.DBRA(Server&amp;$B$32,$A183,$N$19)</f>
        <v>Interco link a/c - Cost of sales, operating profit</v>
      </c>
      <c r="C183" s="9"/>
      <c r="D183" s="510"/>
      <c r="E183" s="510"/>
      <c r="H183" s="368"/>
      <c r="I183" s="511"/>
      <c r="J183" s="512"/>
      <c r="K183" s="513"/>
      <c r="L183" s="498" t="str">
        <f t="shared" si="93"/>
        <v>Interco link a/c - Cost of sales, operating profit</v>
      </c>
      <c r="M183" s="482"/>
      <c r="N183" s="482"/>
      <c r="O183" s="482"/>
      <c r="P183" s="112"/>
      <c r="Q183" s="229">
        <f>_xll.DBRW(Server&amp;Cube1,$N$15,$N$16,$N$17,$N$18,$N$14,$N$13,$N$11,$Q$1,$A183)</f>
        <v>0</v>
      </c>
      <c r="R183" s="229">
        <f>_xll.DBRW(Server&amp;Cube1,$N$15,$N$16,$N$17,$N$18,$N$14,$N$13,$R$2,$R$1,$A183)</f>
        <v>0</v>
      </c>
      <c r="S183" s="230">
        <f t="shared" si="94"/>
        <v>0</v>
      </c>
      <c r="T183" s="232">
        <f t="shared" si="95"/>
        <v>0</v>
      </c>
      <c r="U183" s="218"/>
      <c r="V183" s="229">
        <f>_xll.DBRW(Server&amp;Cube1,$N$15,$N$16,$N$17,$N$18,$N$14,$N$13,$V$2,$V$1,$B183)</f>
        <v>0</v>
      </c>
      <c r="W183" s="230">
        <f t="shared" si="96"/>
        <v>0</v>
      </c>
      <c r="X183" s="232">
        <f t="shared" si="97"/>
        <v>0</v>
      </c>
      <c r="Y183" s="513"/>
      <c r="Z183" s="513"/>
      <c r="AA183" s="513"/>
      <c r="AB183" s="513"/>
      <c r="AC183" s="513"/>
      <c r="AD183" s="513"/>
      <c r="AE183" s="513"/>
      <c r="AF183" s="513"/>
      <c r="AG183" s="513"/>
      <c r="AH183" s="513"/>
      <c r="AI183" s="513"/>
      <c r="AJ183" s="513"/>
      <c r="AK183" s="513"/>
      <c r="AL183" s="513"/>
      <c r="AM183" s="513"/>
      <c r="AN183" s="513"/>
      <c r="AO183" s="513"/>
      <c r="AP183" s="513"/>
      <c r="AQ183" s="513"/>
      <c r="AR183" s="513"/>
      <c r="AS183" s="513"/>
      <c r="AT183" s="513"/>
      <c r="AU183" s="513"/>
      <c r="AV183" s="513"/>
      <c r="AW183" s="513"/>
      <c r="AX183" s="513"/>
      <c r="AY183" s="513"/>
      <c r="AZ183" s="513"/>
      <c r="BA183" s="513"/>
      <c r="BB183" s="513"/>
      <c r="BC183" s="513"/>
      <c r="BD183" s="513"/>
      <c r="BE183" s="513"/>
      <c r="BF183" s="513"/>
      <c r="BG183" s="513"/>
      <c r="BH183" s="513"/>
      <c r="BI183" s="513"/>
      <c r="BJ183" s="513"/>
      <c r="BK183" s="513"/>
      <c r="BL183" s="513"/>
      <c r="BM183" s="513"/>
      <c r="BN183" s="513"/>
      <c r="BO183" s="513"/>
      <c r="BP183" s="513"/>
      <c r="BQ183" s="513"/>
      <c r="BR183" s="513"/>
      <c r="BS183" s="513"/>
      <c r="BT183" s="513"/>
      <c r="BU183" s="513"/>
      <c r="BV183" s="513"/>
      <c r="BW183" s="513"/>
      <c r="BX183" s="28"/>
    </row>
    <row r="184" spans="1:76" s="34" customFormat="1" ht="21" hidden="1" customHeight="1" outlineLevel="5" x14ac:dyDescent="0.75">
      <c r="A184" s="370" t="s">
        <v>408</v>
      </c>
      <c r="B184" s="54" t="str">
        <f>_xll.DBRA(Server&amp;$B$32,$A184,$N$19)</f>
        <v>Interco link a/c - Selling costs, operating profit</v>
      </c>
      <c r="C184" s="9"/>
      <c r="D184" s="510"/>
      <c r="E184" s="510"/>
      <c r="H184" s="368"/>
      <c r="I184" s="511"/>
      <c r="J184" s="512"/>
      <c r="K184" s="513"/>
      <c r="L184" s="498" t="str">
        <f t="shared" si="93"/>
        <v>Interco link a/c - Selling costs, operating profit</v>
      </c>
      <c r="M184" s="482"/>
      <c r="N184" s="482"/>
      <c r="O184" s="482"/>
      <c r="P184" s="112"/>
      <c r="Q184" s="229">
        <f>_xll.DBRW(Server&amp;Cube1,$N$15,$N$16,$N$17,$N$18,$N$14,$N$13,$N$11,$Q$1,$A184)</f>
        <v>0</v>
      </c>
      <c r="R184" s="229">
        <f>_xll.DBRW(Server&amp;Cube1,$N$15,$N$16,$N$17,$N$18,$N$14,$N$13,$R$2,$R$1,$A184)</f>
        <v>0</v>
      </c>
      <c r="S184" s="230">
        <f t="shared" si="94"/>
        <v>0</v>
      </c>
      <c r="T184" s="232">
        <f t="shared" si="95"/>
        <v>0</v>
      </c>
      <c r="U184" s="218"/>
      <c r="V184" s="229">
        <f>_xll.DBRW(Server&amp;Cube1,$N$15,$N$16,$N$17,$N$18,$N$14,$N$13,$V$2,$V$1,$B184)</f>
        <v>0</v>
      </c>
      <c r="W184" s="230">
        <f t="shared" si="96"/>
        <v>0</v>
      </c>
      <c r="X184" s="232">
        <f t="shared" si="97"/>
        <v>0</v>
      </c>
      <c r="Y184" s="513"/>
      <c r="Z184" s="513"/>
      <c r="AA184" s="513"/>
      <c r="AB184" s="513"/>
      <c r="AC184" s="513"/>
      <c r="AD184" s="513"/>
      <c r="AE184" s="513"/>
      <c r="AF184" s="513"/>
      <c r="AG184" s="513"/>
      <c r="AH184" s="513"/>
      <c r="AI184" s="513"/>
      <c r="AJ184" s="513"/>
      <c r="AK184" s="513"/>
      <c r="AL184" s="513"/>
      <c r="AM184" s="513"/>
      <c r="AN184" s="513"/>
      <c r="AO184" s="513"/>
      <c r="AP184" s="513"/>
      <c r="AQ184" s="513"/>
      <c r="AR184" s="513"/>
      <c r="AS184" s="513"/>
      <c r="AT184" s="513"/>
      <c r="AU184" s="513"/>
      <c r="AV184" s="513"/>
      <c r="AW184" s="513"/>
      <c r="AX184" s="513"/>
      <c r="AY184" s="513"/>
      <c r="AZ184" s="513"/>
      <c r="BA184" s="513"/>
      <c r="BB184" s="513"/>
      <c r="BC184" s="513"/>
      <c r="BD184" s="513"/>
      <c r="BE184" s="513"/>
      <c r="BF184" s="513"/>
      <c r="BG184" s="513"/>
      <c r="BH184" s="513"/>
      <c r="BI184" s="513"/>
      <c r="BJ184" s="513"/>
      <c r="BK184" s="513"/>
      <c r="BL184" s="513"/>
      <c r="BM184" s="513"/>
      <c r="BN184" s="513"/>
      <c r="BO184" s="513"/>
      <c r="BP184" s="513"/>
      <c r="BQ184" s="513"/>
      <c r="BR184" s="513"/>
      <c r="BS184" s="513"/>
      <c r="BT184" s="513"/>
      <c r="BU184" s="513"/>
      <c r="BV184" s="513"/>
      <c r="BW184" s="513"/>
      <c r="BX184" s="28"/>
    </row>
    <row r="185" spans="1:76" s="34" customFormat="1" ht="21" hidden="1" customHeight="1" outlineLevel="5" x14ac:dyDescent="0.75">
      <c r="A185" s="370" t="s">
        <v>409</v>
      </c>
      <c r="B185" s="54" t="str">
        <f>_xll.DBRA(Server&amp;$B$32,$A185,$N$19)</f>
        <v>Interco link a/c - General &amp; Administration , operating profit</v>
      </c>
      <c r="C185" s="9"/>
      <c r="D185" s="510"/>
      <c r="E185" s="510"/>
      <c r="H185" s="368"/>
      <c r="I185" s="511"/>
      <c r="J185" s="512"/>
      <c r="K185" s="513"/>
      <c r="L185" s="498" t="str">
        <f t="shared" si="93"/>
        <v>Interco link a/c - General &amp; Administration , operating profit</v>
      </c>
      <c r="M185" s="482"/>
      <c r="N185" s="482"/>
      <c r="O185" s="482"/>
      <c r="P185" s="112"/>
      <c r="Q185" s="229">
        <f>_xll.DBRW(Server&amp;Cube1,$N$15,$N$16,$N$17,$N$18,$N$14,$N$13,$N$11,$Q$1,$A185)</f>
        <v>0</v>
      </c>
      <c r="R185" s="229">
        <f>_xll.DBRW(Server&amp;Cube1,$N$15,$N$16,$N$17,$N$18,$N$14,$N$13,$R$2,$R$1,$A185)</f>
        <v>0</v>
      </c>
      <c r="S185" s="230">
        <f t="shared" si="94"/>
        <v>0</v>
      </c>
      <c r="T185" s="232">
        <f t="shared" si="95"/>
        <v>0</v>
      </c>
      <c r="U185" s="218"/>
      <c r="V185" s="229">
        <f>_xll.DBRW(Server&amp;Cube1,$N$15,$N$16,$N$17,$N$18,$N$14,$N$13,$V$2,$V$1,$B185)</f>
        <v>0</v>
      </c>
      <c r="W185" s="230">
        <f t="shared" si="96"/>
        <v>0</v>
      </c>
      <c r="X185" s="232">
        <f t="shared" si="97"/>
        <v>0</v>
      </c>
      <c r="Y185" s="513"/>
      <c r="Z185" s="513"/>
      <c r="AA185" s="513"/>
      <c r="AB185" s="513"/>
      <c r="AC185" s="513"/>
      <c r="AD185" s="513"/>
      <c r="AE185" s="513"/>
      <c r="AF185" s="513"/>
      <c r="AG185" s="513"/>
      <c r="AH185" s="513"/>
      <c r="AI185" s="513"/>
      <c r="AJ185" s="513"/>
      <c r="AK185" s="513"/>
      <c r="AL185" s="513"/>
      <c r="AM185" s="513"/>
      <c r="AN185" s="513"/>
      <c r="AO185" s="513"/>
      <c r="AP185" s="513"/>
      <c r="AQ185" s="513"/>
      <c r="AR185" s="513"/>
      <c r="AS185" s="513"/>
      <c r="AT185" s="513"/>
      <c r="AU185" s="513"/>
      <c r="AV185" s="513"/>
      <c r="AW185" s="513"/>
      <c r="AX185" s="513"/>
      <c r="AY185" s="513"/>
      <c r="AZ185" s="513"/>
      <c r="BA185" s="513"/>
      <c r="BB185" s="513"/>
      <c r="BC185" s="513"/>
      <c r="BD185" s="513"/>
      <c r="BE185" s="513"/>
      <c r="BF185" s="513"/>
      <c r="BG185" s="513"/>
      <c r="BH185" s="513"/>
      <c r="BI185" s="513"/>
      <c r="BJ185" s="513"/>
      <c r="BK185" s="513"/>
      <c r="BL185" s="513"/>
      <c r="BM185" s="513"/>
      <c r="BN185" s="513"/>
      <c r="BO185" s="513"/>
      <c r="BP185" s="513"/>
      <c r="BQ185" s="513"/>
      <c r="BR185" s="513"/>
      <c r="BS185" s="513"/>
      <c r="BT185" s="513"/>
      <c r="BU185" s="513"/>
      <c r="BV185" s="513"/>
      <c r="BW185" s="513"/>
      <c r="BX185" s="28"/>
    </row>
    <row r="186" spans="1:76" s="34" customFormat="1" ht="21" hidden="1" customHeight="1" outlineLevel="5" x14ac:dyDescent="0.75">
      <c r="A186" s="370" t="s">
        <v>410</v>
      </c>
      <c r="B186" s="54" t="str">
        <f>_xll.DBRA(Server&amp;$B$32,$A186,$N$19)</f>
        <v>Other - Gains/losses on disposal of investments and shares in Associates</v>
      </c>
      <c r="C186" s="9"/>
      <c r="D186" s="510"/>
      <c r="E186" s="510"/>
      <c r="H186" s="368"/>
      <c r="I186" s="511"/>
      <c r="J186" s="512"/>
      <c r="K186" s="513"/>
      <c r="L186" s="498" t="str">
        <f t="shared" si="93"/>
        <v>Other - Gains/losses on disposal of investments and shares in Associates</v>
      </c>
      <c r="M186" s="482"/>
      <c r="N186" s="482"/>
      <c r="O186" s="482"/>
      <c r="P186" s="112"/>
      <c r="Q186" s="229">
        <f>_xll.DBRW(Server&amp;Cube1,$N$15,$N$16,$N$17,$N$18,$N$14,$N$13,$N$11,$Q$1,$A186)</f>
        <v>55000</v>
      </c>
      <c r="R186" s="229">
        <f>_xll.DBRW(Server&amp;Cube1,$N$15,$N$16,$N$17,$N$18,$N$14,$N$13,$R$2,$R$1,$A186)</f>
        <v>0</v>
      </c>
      <c r="S186" s="230">
        <f t="shared" si="94"/>
        <v>55000</v>
      </c>
      <c r="T186" s="232">
        <f t="shared" si="95"/>
        <v>0</v>
      </c>
      <c r="U186" s="218"/>
      <c r="V186" s="229">
        <f>_xll.DBRW(Server&amp;Cube1,$N$15,$N$16,$N$17,$N$18,$N$14,$N$13,$V$2,$V$1,$B186)</f>
        <v>-1214362.8</v>
      </c>
      <c r="W186" s="230">
        <f t="shared" si="96"/>
        <v>1269362.8</v>
      </c>
      <c r="X186" s="232">
        <f t="shared" si="97"/>
        <v>1.0452912424524203</v>
      </c>
      <c r="Y186" s="513"/>
      <c r="Z186" s="513"/>
      <c r="AA186" s="513"/>
      <c r="AB186" s="513"/>
      <c r="AC186" s="513"/>
      <c r="AD186" s="513"/>
      <c r="AE186" s="513"/>
      <c r="AF186" s="513"/>
      <c r="AG186" s="513"/>
      <c r="AH186" s="513"/>
      <c r="AI186" s="513"/>
      <c r="AJ186" s="513"/>
      <c r="AK186" s="513"/>
      <c r="AL186" s="513"/>
      <c r="AM186" s="513"/>
      <c r="AN186" s="513"/>
      <c r="AO186" s="513"/>
      <c r="AP186" s="513"/>
      <c r="AQ186" s="513"/>
      <c r="AR186" s="513"/>
      <c r="AS186" s="513"/>
      <c r="AT186" s="513"/>
      <c r="AU186" s="513"/>
      <c r="AV186" s="513"/>
      <c r="AW186" s="513"/>
      <c r="AX186" s="513"/>
      <c r="AY186" s="513"/>
      <c r="AZ186" s="513"/>
      <c r="BA186" s="513"/>
      <c r="BB186" s="513"/>
      <c r="BC186" s="513"/>
      <c r="BD186" s="513"/>
      <c r="BE186" s="513"/>
      <c r="BF186" s="513"/>
      <c r="BG186" s="513"/>
      <c r="BH186" s="513"/>
      <c r="BI186" s="513"/>
      <c r="BJ186" s="513"/>
      <c r="BK186" s="513"/>
      <c r="BL186" s="513"/>
      <c r="BM186" s="513"/>
      <c r="BN186" s="513"/>
      <c r="BO186" s="513"/>
      <c r="BP186" s="513"/>
      <c r="BQ186" s="513"/>
      <c r="BR186" s="513"/>
      <c r="BS186" s="513"/>
      <c r="BT186" s="513"/>
      <c r="BU186" s="513"/>
      <c r="BV186" s="513"/>
      <c r="BW186" s="513"/>
      <c r="BX186" s="28"/>
    </row>
    <row r="187" spans="1:76" s="34" customFormat="1" ht="21" hidden="1" customHeight="1" outlineLevel="5" x14ac:dyDescent="0.75">
      <c r="A187" s="370" t="s">
        <v>411</v>
      </c>
      <c r="B187" s="54" t="str">
        <f>_xll.DBRA(Server&amp;$B$32,$A187,$N$19)</f>
        <v>Other - Reversal of impairment on shares sold</v>
      </c>
      <c r="C187" s="9"/>
      <c r="D187" s="510"/>
      <c r="E187" s="510"/>
      <c r="H187" s="368"/>
      <c r="I187" s="511"/>
      <c r="J187" s="512"/>
      <c r="K187" s="513"/>
      <c r="L187" s="498" t="str">
        <f t="shared" si="93"/>
        <v>Other - Reversal of impairment on shares sold</v>
      </c>
      <c r="M187" s="482"/>
      <c r="N187" s="482"/>
      <c r="O187" s="482"/>
      <c r="P187" s="112"/>
      <c r="Q187" s="229">
        <f>_xll.DBRW(Server&amp;Cube1,$N$15,$N$16,$N$17,$N$18,$N$14,$N$13,$N$11,$Q$1,$A187)</f>
        <v>0</v>
      </c>
      <c r="R187" s="229">
        <f>_xll.DBRW(Server&amp;Cube1,$N$15,$N$16,$N$17,$N$18,$N$14,$N$13,$R$2,$R$1,$A187)</f>
        <v>0</v>
      </c>
      <c r="S187" s="230">
        <f t="shared" si="94"/>
        <v>0</v>
      </c>
      <c r="T187" s="232">
        <f t="shared" si="95"/>
        <v>0</v>
      </c>
      <c r="U187" s="218"/>
      <c r="V187" s="229">
        <f>_xll.DBRW(Server&amp;Cube1,$N$15,$N$16,$N$17,$N$18,$N$14,$N$13,$V$2,$V$1,$B187)</f>
        <v>0</v>
      </c>
      <c r="W187" s="230">
        <f t="shared" si="96"/>
        <v>0</v>
      </c>
      <c r="X187" s="232">
        <f t="shared" si="97"/>
        <v>0</v>
      </c>
      <c r="Y187" s="513"/>
      <c r="Z187" s="513"/>
      <c r="AA187" s="513"/>
      <c r="AB187" s="513"/>
      <c r="AC187" s="513"/>
      <c r="AD187" s="513"/>
      <c r="AE187" s="513"/>
      <c r="AF187" s="513"/>
      <c r="AG187" s="513"/>
      <c r="AH187" s="513"/>
      <c r="AI187" s="513"/>
      <c r="AJ187" s="513"/>
      <c r="AK187" s="513"/>
      <c r="AL187" s="513"/>
      <c r="AM187" s="513"/>
      <c r="AN187" s="513"/>
      <c r="AO187" s="513"/>
      <c r="AP187" s="513"/>
      <c r="AQ187" s="513"/>
      <c r="AR187" s="513"/>
      <c r="AS187" s="513"/>
      <c r="AT187" s="513"/>
      <c r="AU187" s="513"/>
      <c r="AV187" s="513"/>
      <c r="AW187" s="513"/>
      <c r="AX187" s="513"/>
      <c r="AY187" s="513"/>
      <c r="AZ187" s="513"/>
      <c r="BA187" s="513"/>
      <c r="BB187" s="513"/>
      <c r="BC187" s="513"/>
      <c r="BD187" s="513"/>
      <c r="BE187" s="513"/>
      <c r="BF187" s="513"/>
      <c r="BG187" s="513"/>
      <c r="BH187" s="513"/>
      <c r="BI187" s="513"/>
      <c r="BJ187" s="513"/>
      <c r="BK187" s="513"/>
      <c r="BL187" s="513"/>
      <c r="BM187" s="513"/>
      <c r="BN187" s="513"/>
      <c r="BO187" s="513"/>
      <c r="BP187" s="513"/>
      <c r="BQ187" s="513"/>
      <c r="BR187" s="513"/>
      <c r="BS187" s="513"/>
      <c r="BT187" s="513"/>
      <c r="BU187" s="513"/>
      <c r="BV187" s="513"/>
      <c r="BW187" s="513"/>
      <c r="BX187" s="28"/>
    </row>
    <row r="188" spans="1:76" s="34" customFormat="1" ht="21" hidden="1" customHeight="1" outlineLevel="5" x14ac:dyDescent="0.75">
      <c r="A188" s="370" t="s">
        <v>412</v>
      </c>
      <c r="B188" s="54" t="str">
        <f>_xll.DBRA(Server&amp;$B$32,$A188,$N$19)</f>
        <v>Other - Gains/losses on disposal - investments fair value</v>
      </c>
      <c r="C188" s="9"/>
      <c r="D188" s="510"/>
      <c r="E188" s="510"/>
      <c r="H188" s="368"/>
      <c r="I188" s="511"/>
      <c r="J188" s="512"/>
      <c r="K188" s="513"/>
      <c r="L188" s="498" t="str">
        <f t="shared" si="93"/>
        <v>Other - Gains/losses on disposal - investments fair value</v>
      </c>
      <c r="M188" s="482"/>
      <c r="N188" s="482"/>
      <c r="O188" s="482"/>
      <c r="P188" s="112"/>
      <c r="Q188" s="229">
        <f>_xll.DBRW(Server&amp;Cube1,$N$15,$N$16,$N$17,$N$18,$N$14,$N$13,$N$11,$Q$1,$A188)</f>
        <v>0</v>
      </c>
      <c r="R188" s="229">
        <f>_xll.DBRW(Server&amp;Cube1,$N$15,$N$16,$N$17,$N$18,$N$14,$N$13,$R$2,$R$1,$A188)</f>
        <v>0</v>
      </c>
      <c r="S188" s="230">
        <f t="shared" si="94"/>
        <v>0</v>
      </c>
      <c r="T188" s="232">
        <f t="shared" si="95"/>
        <v>0</v>
      </c>
      <c r="U188" s="218"/>
      <c r="V188" s="229">
        <f>_xll.DBRW(Server&amp;Cube1,$N$15,$N$16,$N$17,$N$18,$N$14,$N$13,$V$2,$V$1,$B188)</f>
        <v>0</v>
      </c>
      <c r="W188" s="230">
        <f t="shared" si="96"/>
        <v>0</v>
      </c>
      <c r="X188" s="232">
        <f t="shared" si="97"/>
        <v>0</v>
      </c>
      <c r="Y188" s="513"/>
      <c r="Z188" s="513"/>
      <c r="AA188" s="513"/>
      <c r="AB188" s="513"/>
      <c r="AC188" s="513"/>
      <c r="AD188" s="513"/>
      <c r="AE188" s="513"/>
      <c r="AF188" s="513"/>
      <c r="AG188" s="513"/>
      <c r="AH188" s="513"/>
      <c r="AI188" s="513"/>
      <c r="AJ188" s="513"/>
      <c r="AK188" s="513"/>
      <c r="AL188" s="513"/>
      <c r="AM188" s="513"/>
      <c r="AN188" s="513"/>
      <c r="AO188" s="513"/>
      <c r="AP188" s="513"/>
      <c r="AQ188" s="513"/>
      <c r="AR188" s="513"/>
      <c r="AS188" s="513"/>
      <c r="AT188" s="513"/>
      <c r="AU188" s="513"/>
      <c r="AV188" s="513"/>
      <c r="AW188" s="513"/>
      <c r="AX188" s="513"/>
      <c r="AY188" s="513"/>
      <c r="AZ188" s="513"/>
      <c r="BA188" s="513"/>
      <c r="BB188" s="513"/>
      <c r="BC188" s="513"/>
      <c r="BD188" s="513"/>
      <c r="BE188" s="513"/>
      <c r="BF188" s="513"/>
      <c r="BG188" s="513"/>
      <c r="BH188" s="513"/>
      <c r="BI188" s="513"/>
      <c r="BJ188" s="513"/>
      <c r="BK188" s="513"/>
      <c r="BL188" s="513"/>
      <c r="BM188" s="513"/>
      <c r="BN188" s="513"/>
      <c r="BO188" s="513"/>
      <c r="BP188" s="513"/>
      <c r="BQ188" s="513"/>
      <c r="BR188" s="513"/>
      <c r="BS188" s="513"/>
      <c r="BT188" s="513"/>
      <c r="BU188" s="513"/>
      <c r="BV188" s="513"/>
      <c r="BW188" s="513"/>
      <c r="BX188" s="28"/>
    </row>
    <row r="189" spans="1:76" s="34" customFormat="1" ht="21" hidden="1" customHeight="1" outlineLevel="5" x14ac:dyDescent="0.75">
      <c r="A189" s="370" t="s">
        <v>413</v>
      </c>
      <c r="B189" s="54" t="str">
        <f>_xll.DBRA(Server&amp;$B$32,$A189,$N$19)</f>
        <v>Other - Gains/losses on consolidation</v>
      </c>
      <c r="C189" s="9"/>
      <c r="D189" s="510"/>
      <c r="E189" s="510"/>
      <c r="H189" s="368"/>
      <c r="I189" s="511"/>
      <c r="J189" s="512"/>
      <c r="K189" s="513"/>
      <c r="L189" s="498" t="str">
        <f t="shared" si="93"/>
        <v>Other - Gains/losses on consolidation</v>
      </c>
      <c r="M189" s="482"/>
      <c r="N189" s="482"/>
      <c r="O189" s="482"/>
      <c r="P189" s="112"/>
      <c r="Q189" s="229">
        <f>_xll.DBRW(Server&amp;Cube1,$N$15,$N$16,$N$17,$N$18,$N$14,$N$13,$N$11,$Q$1,$A189)</f>
        <v>0</v>
      </c>
      <c r="R189" s="229">
        <f>_xll.DBRW(Server&amp;Cube1,$N$15,$N$16,$N$17,$N$18,$N$14,$N$13,$R$2,$R$1,$A189)</f>
        <v>0</v>
      </c>
      <c r="S189" s="230">
        <f t="shared" si="94"/>
        <v>0</v>
      </c>
      <c r="T189" s="232">
        <f t="shared" si="95"/>
        <v>0</v>
      </c>
      <c r="U189" s="218"/>
      <c r="V189" s="229">
        <f>_xll.DBRW(Server&amp;Cube1,$N$15,$N$16,$N$17,$N$18,$N$14,$N$13,$V$2,$V$1,$B189)</f>
        <v>0</v>
      </c>
      <c r="W189" s="230">
        <f t="shared" si="96"/>
        <v>0</v>
      </c>
      <c r="X189" s="232">
        <f t="shared" si="97"/>
        <v>0</v>
      </c>
      <c r="Y189" s="513"/>
      <c r="Z189" s="513"/>
      <c r="AA189" s="513"/>
      <c r="AB189" s="513"/>
      <c r="AC189" s="513"/>
      <c r="AD189" s="513"/>
      <c r="AE189" s="513"/>
      <c r="AF189" s="513"/>
      <c r="AG189" s="513"/>
      <c r="AH189" s="513"/>
      <c r="AI189" s="513"/>
      <c r="AJ189" s="513"/>
      <c r="AK189" s="513"/>
      <c r="AL189" s="513"/>
      <c r="AM189" s="513"/>
      <c r="AN189" s="513"/>
      <c r="AO189" s="513"/>
      <c r="AP189" s="513"/>
      <c r="AQ189" s="513"/>
      <c r="AR189" s="513"/>
      <c r="AS189" s="513"/>
      <c r="AT189" s="513"/>
      <c r="AU189" s="513"/>
      <c r="AV189" s="513"/>
      <c r="AW189" s="513"/>
      <c r="AX189" s="513"/>
      <c r="AY189" s="513"/>
      <c r="AZ189" s="513"/>
      <c r="BA189" s="513"/>
      <c r="BB189" s="513"/>
      <c r="BC189" s="513"/>
      <c r="BD189" s="513"/>
      <c r="BE189" s="513"/>
      <c r="BF189" s="513"/>
      <c r="BG189" s="513"/>
      <c r="BH189" s="513"/>
      <c r="BI189" s="513"/>
      <c r="BJ189" s="513"/>
      <c r="BK189" s="513"/>
      <c r="BL189" s="513"/>
      <c r="BM189" s="513"/>
      <c r="BN189" s="513"/>
      <c r="BO189" s="513"/>
      <c r="BP189" s="513"/>
      <c r="BQ189" s="513"/>
      <c r="BR189" s="513"/>
      <c r="BS189" s="513"/>
      <c r="BT189" s="513"/>
      <c r="BU189" s="513"/>
      <c r="BV189" s="513"/>
      <c r="BW189" s="513"/>
      <c r="BX189" s="28"/>
    </row>
    <row r="190" spans="1:76" s="34" customFormat="1" ht="21" hidden="1" customHeight="1" outlineLevel="5" x14ac:dyDescent="0.75">
      <c r="A190" s="370" t="s">
        <v>414</v>
      </c>
      <c r="B190" s="54" t="str">
        <f>_xll.DBRA(Server&amp;$B$32,$A190,$N$19)</f>
        <v>Other - Gains/losses on consolidation (without loss of control)</v>
      </c>
      <c r="C190" s="9"/>
      <c r="D190" s="510"/>
      <c r="E190" s="510"/>
      <c r="H190" s="368"/>
      <c r="I190" s="511"/>
      <c r="J190" s="512"/>
      <c r="K190" s="513"/>
      <c r="L190" s="498" t="str">
        <f t="shared" si="93"/>
        <v>Other - Gains/losses on consolidation (without loss of control)</v>
      </c>
      <c r="M190" s="482"/>
      <c r="N190" s="482"/>
      <c r="O190" s="482"/>
      <c r="P190" s="112"/>
      <c r="Q190" s="229">
        <f>_xll.DBRW(Server&amp;Cube1,$N$15,$N$16,$N$17,$N$18,$N$14,$N$13,$N$11,$Q$1,$A190)</f>
        <v>0</v>
      </c>
      <c r="R190" s="229">
        <f>_xll.DBRW(Server&amp;Cube1,$N$15,$N$16,$N$17,$N$18,$N$14,$N$13,$R$2,$R$1,$A190)</f>
        <v>0</v>
      </c>
      <c r="S190" s="230">
        <f t="shared" si="94"/>
        <v>0</v>
      </c>
      <c r="T190" s="232">
        <f t="shared" si="95"/>
        <v>0</v>
      </c>
      <c r="U190" s="218"/>
      <c r="V190" s="229">
        <f>_xll.DBRW(Server&amp;Cube1,$N$15,$N$16,$N$17,$N$18,$N$14,$N$13,$V$2,$V$1,$B190)</f>
        <v>0</v>
      </c>
      <c r="W190" s="230">
        <f t="shared" si="96"/>
        <v>0</v>
      </c>
      <c r="X190" s="232">
        <f t="shared" si="97"/>
        <v>0</v>
      </c>
      <c r="Y190" s="513"/>
      <c r="Z190" s="513"/>
      <c r="AA190" s="513"/>
      <c r="AB190" s="513"/>
      <c r="AC190" s="513"/>
      <c r="AD190" s="513"/>
      <c r="AE190" s="513"/>
      <c r="AF190" s="513"/>
      <c r="AG190" s="513"/>
      <c r="AH190" s="513"/>
      <c r="AI190" s="513"/>
      <c r="AJ190" s="513"/>
      <c r="AK190" s="513"/>
      <c r="AL190" s="513"/>
      <c r="AM190" s="513"/>
      <c r="AN190" s="513"/>
      <c r="AO190" s="513"/>
      <c r="AP190" s="513"/>
      <c r="AQ190" s="513"/>
      <c r="AR190" s="513"/>
      <c r="AS190" s="513"/>
      <c r="AT190" s="513"/>
      <c r="AU190" s="513"/>
      <c r="AV190" s="513"/>
      <c r="AW190" s="513"/>
      <c r="AX190" s="513"/>
      <c r="AY190" s="513"/>
      <c r="AZ190" s="513"/>
      <c r="BA190" s="513"/>
      <c r="BB190" s="513"/>
      <c r="BC190" s="513"/>
      <c r="BD190" s="513"/>
      <c r="BE190" s="513"/>
      <c r="BF190" s="513"/>
      <c r="BG190" s="513"/>
      <c r="BH190" s="513"/>
      <c r="BI190" s="513"/>
      <c r="BJ190" s="513"/>
      <c r="BK190" s="513"/>
      <c r="BL190" s="513"/>
      <c r="BM190" s="513"/>
      <c r="BN190" s="513"/>
      <c r="BO190" s="513"/>
      <c r="BP190" s="513"/>
      <c r="BQ190" s="513"/>
      <c r="BR190" s="513"/>
      <c r="BS190" s="513"/>
      <c r="BT190" s="513"/>
      <c r="BU190" s="513"/>
      <c r="BV190" s="513"/>
      <c r="BW190" s="513"/>
      <c r="BX190" s="28"/>
    </row>
    <row r="191" spans="1:76" s="34" customFormat="1" ht="21" hidden="1" customHeight="1" outlineLevel="5" x14ac:dyDescent="0.75">
      <c r="A191" s="370" t="s">
        <v>415</v>
      </c>
      <c r="B191" s="54" t="str">
        <f>_xll.DBRA(Server&amp;$B$32,$A191,$N$19)</f>
        <v>Other - Impact of change in accounting policies and other non cash operations</v>
      </c>
      <c r="C191" s="9"/>
      <c r="D191" s="510"/>
      <c r="E191" s="510"/>
      <c r="H191" s="368"/>
      <c r="I191" s="511"/>
      <c r="J191" s="512"/>
      <c r="K191" s="513"/>
      <c r="L191" s="498" t="str">
        <f t="shared" si="93"/>
        <v>Other - Impact of change in accounting policies and other non cash operations</v>
      </c>
      <c r="M191" s="482"/>
      <c r="N191" s="482"/>
      <c r="O191" s="482"/>
      <c r="P191" s="112"/>
      <c r="Q191" s="229">
        <f>_xll.DBRW(Server&amp;Cube1,$N$15,$N$16,$N$17,$N$18,$N$14,$N$13,$N$11,$Q$1,$A191)</f>
        <v>0</v>
      </c>
      <c r="R191" s="229">
        <f>_xll.DBRW(Server&amp;Cube1,$N$15,$N$16,$N$17,$N$18,$N$14,$N$13,$R$2,$R$1,$A191)</f>
        <v>0</v>
      </c>
      <c r="S191" s="230">
        <f t="shared" si="94"/>
        <v>0</v>
      </c>
      <c r="T191" s="232">
        <f t="shared" si="95"/>
        <v>0</v>
      </c>
      <c r="U191" s="218"/>
      <c r="V191" s="229">
        <f>_xll.DBRW(Server&amp;Cube1,$N$15,$N$16,$N$17,$N$18,$N$14,$N$13,$V$2,$V$1,$B191)</f>
        <v>0</v>
      </c>
      <c r="W191" s="230">
        <f t="shared" si="96"/>
        <v>0</v>
      </c>
      <c r="X191" s="232">
        <f t="shared" si="97"/>
        <v>0</v>
      </c>
      <c r="Y191" s="513"/>
      <c r="Z191" s="513"/>
      <c r="AA191" s="513"/>
      <c r="AB191" s="513"/>
      <c r="AC191" s="513"/>
      <c r="AD191" s="513"/>
      <c r="AE191" s="513"/>
      <c r="AF191" s="513"/>
      <c r="AG191" s="513"/>
      <c r="AH191" s="513"/>
      <c r="AI191" s="513"/>
      <c r="AJ191" s="513"/>
      <c r="AK191" s="513"/>
      <c r="AL191" s="513"/>
      <c r="AM191" s="513"/>
      <c r="AN191" s="513"/>
      <c r="AO191" s="513"/>
      <c r="AP191" s="513"/>
      <c r="AQ191" s="513"/>
      <c r="AR191" s="513"/>
      <c r="AS191" s="513"/>
      <c r="AT191" s="513"/>
      <c r="AU191" s="513"/>
      <c r="AV191" s="513"/>
      <c r="AW191" s="513"/>
      <c r="AX191" s="513"/>
      <c r="AY191" s="513"/>
      <c r="AZ191" s="513"/>
      <c r="BA191" s="513"/>
      <c r="BB191" s="513"/>
      <c r="BC191" s="513"/>
      <c r="BD191" s="513"/>
      <c r="BE191" s="513"/>
      <c r="BF191" s="513"/>
      <c r="BG191" s="513"/>
      <c r="BH191" s="513"/>
      <c r="BI191" s="513"/>
      <c r="BJ191" s="513"/>
      <c r="BK191" s="513"/>
      <c r="BL191" s="513"/>
      <c r="BM191" s="513"/>
      <c r="BN191" s="513"/>
      <c r="BO191" s="513"/>
      <c r="BP191" s="513"/>
      <c r="BQ191" s="513"/>
      <c r="BR191" s="513"/>
      <c r="BS191" s="513"/>
      <c r="BT191" s="513"/>
      <c r="BU191" s="513"/>
      <c r="BV191" s="513"/>
      <c r="BW191" s="513"/>
      <c r="BX191" s="28"/>
    </row>
    <row r="192" spans="1:76" s="34" customFormat="1" ht="21" hidden="1" customHeight="1" outlineLevel="5" x14ac:dyDescent="0.75">
      <c r="A192" s="370" t="s">
        <v>416</v>
      </c>
      <c r="B192" s="54" t="str">
        <f>_xll.DBRA(Server&amp;$B$32,$A192,$N$19)</f>
        <v>Other - Impact of sales of businesses and mergers (F88)</v>
      </c>
      <c r="C192" s="9"/>
      <c r="D192" s="510"/>
      <c r="E192" s="510"/>
      <c r="H192" s="368"/>
      <c r="I192" s="511"/>
      <c r="J192" s="512"/>
      <c r="K192" s="513"/>
      <c r="L192" s="498" t="str">
        <f t="shared" si="93"/>
        <v>Other - Impact of sales of businesses and mergers (F88)</v>
      </c>
      <c r="M192" s="482"/>
      <c r="N192" s="482"/>
      <c r="O192" s="482"/>
      <c r="P192" s="112"/>
      <c r="Q192" s="229">
        <f>_xll.DBRW(Server&amp;Cube1,$N$15,$N$16,$N$17,$N$18,$N$14,$N$13,$N$11,$Q$1,$A192)</f>
        <v>0</v>
      </c>
      <c r="R192" s="229">
        <f>_xll.DBRW(Server&amp;Cube1,$N$15,$N$16,$N$17,$N$18,$N$14,$N$13,$R$2,$R$1,$A192)</f>
        <v>0</v>
      </c>
      <c r="S192" s="230">
        <f t="shared" si="94"/>
        <v>0</v>
      </c>
      <c r="T192" s="232">
        <f t="shared" si="95"/>
        <v>0</v>
      </c>
      <c r="U192" s="218"/>
      <c r="V192" s="229">
        <f>_xll.DBRW(Server&amp;Cube1,$N$15,$N$16,$N$17,$N$18,$N$14,$N$13,$V$2,$V$1,$B192)</f>
        <v>47159.13</v>
      </c>
      <c r="W192" s="230">
        <f t="shared" si="96"/>
        <v>-47159.13</v>
      </c>
      <c r="X192" s="232">
        <f t="shared" si="97"/>
        <v>-1</v>
      </c>
      <c r="Y192" s="513"/>
      <c r="Z192" s="513"/>
      <c r="AA192" s="513"/>
      <c r="AB192" s="513"/>
      <c r="AC192" s="513"/>
      <c r="AD192" s="513"/>
      <c r="AE192" s="513"/>
      <c r="AF192" s="513"/>
      <c r="AG192" s="513"/>
      <c r="AH192" s="513"/>
      <c r="AI192" s="513"/>
      <c r="AJ192" s="513"/>
      <c r="AK192" s="513"/>
      <c r="AL192" s="513"/>
      <c r="AM192" s="513"/>
      <c r="AN192" s="513"/>
      <c r="AO192" s="513"/>
      <c r="AP192" s="513"/>
      <c r="AQ192" s="513"/>
      <c r="AR192" s="513"/>
      <c r="AS192" s="513"/>
      <c r="AT192" s="513"/>
      <c r="AU192" s="513"/>
      <c r="AV192" s="513"/>
      <c r="AW192" s="513"/>
      <c r="AX192" s="513"/>
      <c r="AY192" s="513"/>
      <c r="AZ192" s="513"/>
      <c r="BA192" s="513"/>
      <c r="BB192" s="513"/>
      <c r="BC192" s="513"/>
      <c r="BD192" s="513"/>
      <c r="BE192" s="513"/>
      <c r="BF192" s="513"/>
      <c r="BG192" s="513"/>
      <c r="BH192" s="513"/>
      <c r="BI192" s="513"/>
      <c r="BJ192" s="513"/>
      <c r="BK192" s="513"/>
      <c r="BL192" s="513"/>
      <c r="BM192" s="513"/>
      <c r="BN192" s="513"/>
      <c r="BO192" s="513"/>
      <c r="BP192" s="513"/>
      <c r="BQ192" s="513"/>
      <c r="BR192" s="513"/>
      <c r="BS192" s="513"/>
      <c r="BT192" s="513"/>
      <c r="BU192" s="513"/>
      <c r="BV192" s="513"/>
      <c r="BW192" s="513"/>
      <c r="BX192" s="28"/>
    </row>
    <row r="193" spans="1:76" s="34" customFormat="1" ht="21" hidden="1" customHeight="1" outlineLevel="5" x14ac:dyDescent="0.75">
      <c r="A193" s="370" t="s">
        <v>417</v>
      </c>
      <c r="B193" s="54" t="str">
        <f>_xll.DBRA(Server&amp;$B$32,$A193,$N$19)</f>
        <v>Interco link a/c - Operating Leases , operating profit</v>
      </c>
      <c r="C193" s="9"/>
      <c r="D193" s="510"/>
      <c r="E193" s="510"/>
      <c r="H193" s="368"/>
      <c r="I193" s="511"/>
      <c r="J193" s="512"/>
      <c r="K193" s="513"/>
      <c r="L193" s="498" t="str">
        <f t="shared" si="93"/>
        <v>Interco link a/c - Operating Leases , operating profit</v>
      </c>
      <c r="M193" s="482"/>
      <c r="N193" s="482"/>
      <c r="O193" s="482"/>
      <c r="P193" s="112"/>
      <c r="Q193" s="229">
        <f>_xll.DBRW(Server&amp;Cube1,$N$15,$N$16,$N$17,$N$18,$N$14,$N$13,$N$11,$Q$1,$A193)</f>
        <v>0</v>
      </c>
      <c r="R193" s="229">
        <f>_xll.DBRW(Server&amp;Cube1,$N$15,$N$16,$N$17,$N$18,$N$14,$N$13,$R$2,$R$1,$A193)</f>
        <v>0</v>
      </c>
      <c r="S193" s="230">
        <f t="shared" si="94"/>
        <v>0</v>
      </c>
      <c r="T193" s="232">
        <f t="shared" si="95"/>
        <v>0</v>
      </c>
      <c r="U193" s="218"/>
      <c r="V193" s="229">
        <f>_xll.DBRW(Server&amp;Cube1,$N$15,$N$16,$N$17,$N$18,$N$14,$N$13,$V$2,$V$1,$B193)</f>
        <v>0</v>
      </c>
      <c r="W193" s="230">
        <f t="shared" si="96"/>
        <v>0</v>
      </c>
      <c r="X193" s="232">
        <f t="shared" si="97"/>
        <v>0</v>
      </c>
      <c r="Y193" s="513"/>
      <c r="Z193" s="513"/>
      <c r="AA193" s="513"/>
      <c r="AB193" s="513"/>
      <c r="AC193" s="513"/>
      <c r="AD193" s="513"/>
      <c r="AE193" s="513"/>
      <c r="AF193" s="513"/>
      <c r="AG193" s="513"/>
      <c r="AH193" s="513"/>
      <c r="AI193" s="513"/>
      <c r="AJ193" s="513"/>
      <c r="AK193" s="513"/>
      <c r="AL193" s="513"/>
      <c r="AM193" s="513"/>
      <c r="AN193" s="513"/>
      <c r="AO193" s="513"/>
      <c r="AP193" s="513"/>
      <c r="AQ193" s="513"/>
      <c r="AR193" s="513"/>
      <c r="AS193" s="513"/>
      <c r="AT193" s="513"/>
      <c r="AU193" s="513"/>
      <c r="AV193" s="513"/>
      <c r="AW193" s="513"/>
      <c r="AX193" s="513"/>
      <c r="AY193" s="513"/>
      <c r="AZ193" s="513"/>
      <c r="BA193" s="513"/>
      <c r="BB193" s="513"/>
      <c r="BC193" s="513"/>
      <c r="BD193" s="513"/>
      <c r="BE193" s="513"/>
      <c r="BF193" s="513"/>
      <c r="BG193" s="513"/>
      <c r="BH193" s="513"/>
      <c r="BI193" s="513"/>
      <c r="BJ193" s="513"/>
      <c r="BK193" s="513"/>
      <c r="BL193" s="513"/>
      <c r="BM193" s="513"/>
      <c r="BN193" s="513"/>
      <c r="BO193" s="513"/>
      <c r="BP193" s="513"/>
      <c r="BQ193" s="513"/>
      <c r="BR193" s="513"/>
      <c r="BS193" s="513"/>
      <c r="BT193" s="513"/>
      <c r="BU193" s="513"/>
      <c r="BV193" s="513"/>
      <c r="BW193" s="513"/>
      <c r="BX193" s="28"/>
    </row>
    <row r="194" spans="1:76" s="501" customFormat="1" ht="21" hidden="1" customHeight="1" outlineLevel="4" x14ac:dyDescent="0.75">
      <c r="A194" s="500" t="s">
        <v>418</v>
      </c>
      <c r="B194" s="68" t="str">
        <f>_xll.DBRA(Server&amp;$B$32,$A194,$N$19)</f>
        <v>Other operating rev. &amp; exp. - Vector Reconciliation</v>
      </c>
      <c r="C194" s="357"/>
      <c r="D194" s="1"/>
      <c r="E194" s="1"/>
      <c r="H194" s="502"/>
      <c r="I194" s="94"/>
      <c r="J194" s="57"/>
      <c r="K194" s="104"/>
      <c r="L194" s="514" t="str">
        <f t="shared" si="93"/>
        <v>Other operating rev. &amp; exp. - Vector Reconciliation</v>
      </c>
      <c r="M194" s="504"/>
      <c r="N194" s="504"/>
      <c r="O194" s="504"/>
      <c r="P194" s="113"/>
      <c r="Q194" s="505">
        <f>_xll.DBRW(Server&amp;Cube1,$N$15,$N$16,$N$17,$N$18,$N$14,$N$13,$N$11,$Q$1,$A194)</f>
        <v>0</v>
      </c>
      <c r="R194" s="505">
        <f>_xll.DBRW(Server&amp;Cube1,$N$15,$N$16,$N$17,$N$18,$N$14,$N$13,$R$2,$R$1,$A194)</f>
        <v>0</v>
      </c>
      <c r="S194" s="506">
        <f t="shared" si="94"/>
        <v>0</v>
      </c>
      <c r="T194" s="507">
        <f t="shared" si="95"/>
        <v>0</v>
      </c>
      <c r="U194" s="508"/>
      <c r="V194" s="505">
        <f>_xll.DBRW(Server&amp;Cube1,$N$15,$N$16,$N$17,$N$18,$N$14,$N$13,$V$2,$V$1,$B194)</f>
        <v>0</v>
      </c>
      <c r="W194" s="506">
        <f t="shared" si="96"/>
        <v>0</v>
      </c>
      <c r="X194" s="507">
        <f t="shared" si="97"/>
        <v>0</v>
      </c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509"/>
    </row>
    <row r="195" spans="1:76" s="34" customFormat="1" ht="13.5" hidden="1" outlineLevel="1" x14ac:dyDescent="0.75">
      <c r="C195" s="9"/>
      <c r="D195" s="1"/>
      <c r="E195" s="1"/>
      <c r="H195" s="368"/>
      <c r="I195" s="94"/>
      <c r="J195" s="57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28"/>
    </row>
    <row r="196" spans="1:76" s="34" customFormat="1" ht="21" hidden="1" customHeight="1" outlineLevel="1" collapsed="1" x14ac:dyDescent="0.75">
      <c r="A196" s="370" t="s">
        <v>353</v>
      </c>
      <c r="B196" s="54" t="str">
        <f>_xll.DBRA(Server&amp;$B$32,$A196,$N$19)</f>
        <v>PROFIT OR LOSS OF JOINT VENTURES (from 2013)  (by destination)</v>
      </c>
      <c r="C196" s="9"/>
      <c r="D196" s="1"/>
      <c r="E196" s="1"/>
      <c r="H196" s="368"/>
      <c r="I196" s="94"/>
      <c r="J196" s="57"/>
      <c r="K196" s="104"/>
      <c r="L196" s="576" t="str">
        <f>LEFT(B196,FIND("(",B196,1)-1)</f>
        <v xml:space="preserve">PROFIT OR LOSS OF JOINT VENTURES </v>
      </c>
      <c r="M196" s="576"/>
      <c r="N196" s="576"/>
      <c r="O196" s="576"/>
      <c r="P196" s="576"/>
      <c r="Q196" s="235">
        <f>_xll.DBRW(Server&amp;Cube1,$N$15,$N$16,$N$17,$N$18,$N$14,$N$13,$N$11,$Q$1,$A196)</f>
        <v>0</v>
      </c>
      <c r="R196" s="235">
        <f>_xll.DBRW(Server&amp;Cube1,$N$15,$N$16,$N$17,$N$18,$N$14,$N$13,$R$2,$R$1,$A196)</f>
        <v>0</v>
      </c>
      <c r="S196" s="236">
        <f>Q196-R196</f>
        <v>0</v>
      </c>
      <c r="T196" s="237">
        <f>IF(R196&lt;&gt;0,IF(R196&gt;0,S196/R196,-S196/R196),0)</f>
        <v>0</v>
      </c>
      <c r="U196" s="211"/>
      <c r="V196" s="235">
        <f>_xll.DBRW(Server&amp;Cube1,$N$15,$N$16,$N$17,$N$18,$N$14,$N$13,$V$2,$V$1,$B196)</f>
        <v>0</v>
      </c>
      <c r="W196" s="236">
        <f>Q196-V196</f>
        <v>0</v>
      </c>
      <c r="X196" s="237">
        <f>IF(V196&lt;&gt;0,IF(V196&gt;0,W196/V196,-W196/V196),0)</f>
        <v>0</v>
      </c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28"/>
    </row>
    <row r="197" spans="1:76" s="501" customFormat="1" ht="21" hidden="1" customHeight="1" outlineLevel="4" collapsed="1" x14ac:dyDescent="0.75">
      <c r="A197" s="500" t="s">
        <v>419</v>
      </c>
      <c r="B197" s="68" t="str">
        <f>_xll.DBRA(Server&amp;$B$32,$A197,$N$19)</f>
        <v>Profit or loss of joint ventures (from 2013)</v>
      </c>
      <c r="C197" s="357"/>
      <c r="D197" s="1"/>
      <c r="E197" s="1"/>
      <c r="H197" s="502"/>
      <c r="I197" s="94"/>
      <c r="J197" s="57"/>
      <c r="K197" s="104"/>
      <c r="L197" s="514" t="str">
        <f t="shared" ref="L197:L200" si="98">B197</f>
        <v>Profit or loss of joint ventures (from 2013)</v>
      </c>
      <c r="M197" s="504"/>
      <c r="N197" s="504"/>
      <c r="O197" s="504"/>
      <c r="P197" s="113"/>
      <c r="Q197" s="505">
        <f>_xll.DBRW(Server&amp;Cube1,$N$15,$N$16,$N$17,$N$18,$N$14,$N$13,$N$11,$Q$1,$A197)</f>
        <v>0</v>
      </c>
      <c r="R197" s="505">
        <f>_xll.DBRW(Server&amp;Cube1,$N$15,$N$16,$N$17,$N$18,$N$14,$N$13,$R$2,$R$1,$A197)</f>
        <v>0</v>
      </c>
      <c r="S197" s="506">
        <f t="shared" ref="S197:S200" si="99">Q197-R197</f>
        <v>0</v>
      </c>
      <c r="T197" s="507">
        <f t="shared" ref="T197:T200" si="100">IF(R197&lt;&gt;0,IF(R197&gt;0,S197/R197,-S197/R197),0)</f>
        <v>0</v>
      </c>
      <c r="U197" s="508"/>
      <c r="V197" s="505">
        <f>_xll.DBRW(Server&amp;Cube1,$N$15,$N$16,$N$17,$N$18,$N$14,$N$13,$V$2,$V$1,$B197)</f>
        <v>0</v>
      </c>
      <c r="W197" s="506">
        <f t="shared" ref="W197:W200" si="101">Q197-V197</f>
        <v>0</v>
      </c>
      <c r="X197" s="507">
        <f t="shared" ref="X197:X200" si="102">IF(V197&lt;&gt;0,IF(V197&gt;0,W197/V197,-W197/V197),0)</f>
        <v>0</v>
      </c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509"/>
    </row>
    <row r="198" spans="1:76" s="34" customFormat="1" ht="21" hidden="1" customHeight="1" outlineLevel="5" x14ac:dyDescent="0.75">
      <c r="A198" s="370" t="s">
        <v>420</v>
      </c>
      <c r="B198" s="54" t="str">
        <f>_xll.DBRA(Server&amp;$B$32,$A198,$N$19)</f>
        <v>P&amp;L JV - Share in profit or loss of joint ventures (from 2013)</v>
      </c>
      <c r="C198" s="9"/>
      <c r="D198" s="510"/>
      <c r="E198" s="510"/>
      <c r="H198" s="368"/>
      <c r="I198" s="511"/>
      <c r="J198" s="512"/>
      <c r="K198" s="513"/>
      <c r="L198" s="498" t="str">
        <f t="shared" si="98"/>
        <v>P&amp;L JV - Share in profit or loss of joint ventures (from 2013)</v>
      </c>
      <c r="M198" s="482"/>
      <c r="N198" s="482"/>
      <c r="O198" s="482"/>
      <c r="P198" s="112"/>
      <c r="Q198" s="229">
        <f>_xll.DBRW(Server&amp;Cube1,$N$15,$N$16,$N$17,$N$18,$N$14,$N$13,$N$11,$Q$1,$A198)</f>
        <v>0</v>
      </c>
      <c r="R198" s="229">
        <f>_xll.DBRW(Server&amp;Cube1,$N$15,$N$16,$N$17,$N$18,$N$14,$N$13,$R$2,$R$1,$A198)</f>
        <v>0</v>
      </c>
      <c r="S198" s="230">
        <f t="shared" si="99"/>
        <v>0</v>
      </c>
      <c r="T198" s="232">
        <f t="shared" si="100"/>
        <v>0</v>
      </c>
      <c r="U198" s="218"/>
      <c r="V198" s="229">
        <f>_xll.DBRW(Server&amp;Cube1,$N$15,$N$16,$N$17,$N$18,$N$14,$N$13,$V$2,$V$1,$B198)</f>
        <v>0</v>
      </c>
      <c r="W198" s="230">
        <f t="shared" si="101"/>
        <v>0</v>
      </c>
      <c r="X198" s="232">
        <f t="shared" si="102"/>
        <v>0</v>
      </c>
      <c r="Y198" s="513"/>
      <c r="Z198" s="513"/>
      <c r="AA198" s="513"/>
      <c r="AB198" s="513"/>
      <c r="AC198" s="513"/>
      <c r="AD198" s="513"/>
      <c r="AE198" s="513"/>
      <c r="AF198" s="513"/>
      <c r="AG198" s="513"/>
      <c r="AH198" s="513"/>
      <c r="AI198" s="513"/>
      <c r="AJ198" s="513"/>
      <c r="AK198" s="513"/>
      <c r="AL198" s="513"/>
      <c r="AM198" s="513"/>
      <c r="AN198" s="513"/>
      <c r="AO198" s="513"/>
      <c r="AP198" s="513"/>
      <c r="AQ198" s="513"/>
      <c r="AR198" s="513"/>
      <c r="AS198" s="513"/>
      <c r="AT198" s="513"/>
      <c r="AU198" s="513"/>
      <c r="AV198" s="513"/>
      <c r="AW198" s="513"/>
      <c r="AX198" s="513"/>
      <c r="AY198" s="513"/>
      <c r="AZ198" s="513"/>
      <c r="BA198" s="513"/>
      <c r="BB198" s="513"/>
      <c r="BC198" s="513"/>
      <c r="BD198" s="513"/>
      <c r="BE198" s="513"/>
      <c r="BF198" s="513"/>
      <c r="BG198" s="513"/>
      <c r="BH198" s="513"/>
      <c r="BI198" s="513"/>
      <c r="BJ198" s="513"/>
      <c r="BK198" s="513"/>
      <c r="BL198" s="513"/>
      <c r="BM198" s="513"/>
      <c r="BN198" s="513"/>
      <c r="BO198" s="513"/>
      <c r="BP198" s="513"/>
      <c r="BQ198" s="513"/>
      <c r="BR198" s="513"/>
      <c r="BS198" s="513"/>
      <c r="BT198" s="513"/>
      <c r="BU198" s="513"/>
      <c r="BV198" s="513"/>
      <c r="BW198" s="513"/>
      <c r="BX198" s="28"/>
    </row>
    <row r="199" spans="1:76" s="34" customFormat="1" ht="21" hidden="1" customHeight="1" outlineLevel="5" x14ac:dyDescent="0.75">
      <c r="A199" s="370" t="s">
        <v>421</v>
      </c>
      <c r="B199" s="54" t="str">
        <f>_xll.DBRA(Server&amp;$B$32,$A199,$N$19)</f>
        <v>P&amp;L JV - Impairment - Goodwill (joint ventures)  (from 2013)</v>
      </c>
      <c r="C199" s="9"/>
      <c r="D199" s="510"/>
      <c r="E199" s="510"/>
      <c r="H199" s="368"/>
      <c r="I199" s="511"/>
      <c r="J199" s="512"/>
      <c r="K199" s="513"/>
      <c r="L199" s="498" t="str">
        <f t="shared" si="98"/>
        <v>P&amp;L JV - Impairment - Goodwill (joint ventures)  (from 2013)</v>
      </c>
      <c r="M199" s="482"/>
      <c r="N199" s="482"/>
      <c r="O199" s="482"/>
      <c r="P199" s="112"/>
      <c r="Q199" s="229">
        <f>_xll.DBRW(Server&amp;Cube1,$N$15,$N$16,$N$17,$N$18,$N$14,$N$13,$N$11,$Q$1,$A199)</f>
        <v>0</v>
      </c>
      <c r="R199" s="229">
        <f>_xll.DBRW(Server&amp;Cube1,$N$15,$N$16,$N$17,$N$18,$N$14,$N$13,$R$2,$R$1,$A199)</f>
        <v>0</v>
      </c>
      <c r="S199" s="230">
        <f t="shared" si="99"/>
        <v>0</v>
      </c>
      <c r="T199" s="232">
        <f t="shared" si="100"/>
        <v>0</v>
      </c>
      <c r="U199" s="218"/>
      <c r="V199" s="229">
        <f>_xll.DBRW(Server&amp;Cube1,$N$15,$N$16,$N$17,$N$18,$N$14,$N$13,$V$2,$V$1,$B199)</f>
        <v>0</v>
      </c>
      <c r="W199" s="230">
        <f t="shared" si="101"/>
        <v>0</v>
      </c>
      <c r="X199" s="232">
        <f t="shared" si="102"/>
        <v>0</v>
      </c>
      <c r="Y199" s="513"/>
      <c r="Z199" s="513"/>
      <c r="AA199" s="513"/>
      <c r="AB199" s="513"/>
      <c r="AC199" s="513"/>
      <c r="AD199" s="513"/>
      <c r="AE199" s="513"/>
      <c r="AF199" s="513"/>
      <c r="AG199" s="513"/>
      <c r="AH199" s="513"/>
      <c r="AI199" s="513"/>
      <c r="AJ199" s="513"/>
      <c r="AK199" s="513"/>
      <c r="AL199" s="513"/>
      <c r="AM199" s="513"/>
      <c r="AN199" s="513"/>
      <c r="AO199" s="513"/>
      <c r="AP199" s="513"/>
      <c r="AQ199" s="513"/>
      <c r="AR199" s="513"/>
      <c r="AS199" s="513"/>
      <c r="AT199" s="513"/>
      <c r="AU199" s="513"/>
      <c r="AV199" s="513"/>
      <c r="AW199" s="513"/>
      <c r="AX199" s="513"/>
      <c r="AY199" s="513"/>
      <c r="AZ199" s="513"/>
      <c r="BA199" s="513"/>
      <c r="BB199" s="513"/>
      <c r="BC199" s="513"/>
      <c r="BD199" s="513"/>
      <c r="BE199" s="513"/>
      <c r="BF199" s="513"/>
      <c r="BG199" s="513"/>
      <c r="BH199" s="513"/>
      <c r="BI199" s="513"/>
      <c r="BJ199" s="513"/>
      <c r="BK199" s="513"/>
      <c r="BL199" s="513"/>
      <c r="BM199" s="513"/>
      <c r="BN199" s="513"/>
      <c r="BO199" s="513"/>
      <c r="BP199" s="513"/>
      <c r="BQ199" s="513"/>
      <c r="BR199" s="513"/>
      <c r="BS199" s="513"/>
      <c r="BT199" s="513"/>
      <c r="BU199" s="513"/>
      <c r="BV199" s="513"/>
      <c r="BW199" s="513"/>
      <c r="BX199" s="28"/>
    </row>
    <row r="200" spans="1:76" s="501" customFormat="1" ht="21" hidden="1" customHeight="1" outlineLevel="4" x14ac:dyDescent="0.75">
      <c r="A200" s="500" t="s">
        <v>422</v>
      </c>
      <c r="B200" s="68" t="str">
        <f>_xll.DBRA(Server&amp;$B$32,$A200,$N$19)</f>
        <v>Profit or loss of joint ventures (from 2013) - Vector Reconciliation</v>
      </c>
      <c r="C200" s="357"/>
      <c r="D200" s="1"/>
      <c r="E200" s="1"/>
      <c r="H200" s="502"/>
      <c r="I200" s="94"/>
      <c r="J200" s="57"/>
      <c r="K200" s="104"/>
      <c r="L200" s="514" t="str">
        <f t="shared" si="98"/>
        <v>Profit or loss of joint ventures (from 2013) - Vector Reconciliation</v>
      </c>
      <c r="M200" s="504"/>
      <c r="N200" s="504"/>
      <c r="O200" s="504"/>
      <c r="P200" s="113"/>
      <c r="Q200" s="505">
        <f>_xll.DBRW(Server&amp;Cube1,$N$15,$N$16,$N$17,$N$18,$N$14,$N$13,$N$11,$Q$1,$A200)</f>
        <v>0</v>
      </c>
      <c r="R200" s="505">
        <f>_xll.DBRW(Server&amp;Cube1,$N$15,$N$16,$N$17,$N$18,$N$14,$N$13,$R$2,$R$1,$A200)</f>
        <v>0</v>
      </c>
      <c r="S200" s="506">
        <f t="shared" si="99"/>
        <v>0</v>
      </c>
      <c r="T200" s="507">
        <f t="shared" si="100"/>
        <v>0</v>
      </c>
      <c r="U200" s="508"/>
      <c r="V200" s="505">
        <f>_xll.DBRW(Server&amp;Cube1,$N$15,$N$16,$N$17,$N$18,$N$14,$N$13,$V$2,$V$1,$B200)</f>
        <v>0</v>
      </c>
      <c r="W200" s="506">
        <f t="shared" si="101"/>
        <v>0</v>
      </c>
      <c r="X200" s="507">
        <f t="shared" si="102"/>
        <v>0</v>
      </c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509"/>
    </row>
    <row r="201" spans="1:76" s="34" customFormat="1" ht="13.5" hidden="1" outlineLevel="1" x14ac:dyDescent="0.75">
      <c r="C201" s="9"/>
      <c r="D201" s="1"/>
      <c r="E201" s="1"/>
      <c r="H201" s="368"/>
      <c r="I201" s="94"/>
      <c r="J201" s="57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28"/>
    </row>
    <row r="202" spans="1:76" s="34" customFormat="1" ht="21" hidden="1" customHeight="1" outlineLevel="1" collapsed="1" x14ac:dyDescent="0.75">
      <c r="A202" s="370" t="s">
        <v>354</v>
      </c>
      <c r="B202" s="54" t="str">
        <f>_xll.DBRA(Server&amp;$B$32,$A202,$N$19)</f>
        <v>PROFIT OR LOSS OF ASSOCIATES (from 2013) (by destination)</v>
      </c>
      <c r="C202" s="9"/>
      <c r="D202" s="1"/>
      <c r="E202" s="1"/>
      <c r="H202" s="368"/>
      <c r="I202" s="94"/>
      <c r="J202" s="57"/>
      <c r="K202" s="104"/>
      <c r="L202" s="576" t="str">
        <f>LEFT(B202,FIND("(",B202,1)-1)</f>
        <v xml:space="preserve">PROFIT OR LOSS OF ASSOCIATES </v>
      </c>
      <c r="M202" s="576"/>
      <c r="N202" s="576"/>
      <c r="O202" s="576"/>
      <c r="P202" s="576"/>
      <c r="Q202" s="235">
        <f>_xll.DBRW(Server&amp;Cube1,$N$15,$N$16,$N$17,$N$18,$N$14,$N$13,$N$11,$Q$1,$A202)</f>
        <v>0</v>
      </c>
      <c r="R202" s="235">
        <f>_xll.DBRW(Server&amp;Cube1,$N$15,$N$16,$N$17,$N$18,$N$14,$N$13,$R$2,$R$1,$A202)</f>
        <v>0</v>
      </c>
      <c r="S202" s="236">
        <f>Q202-R202</f>
        <v>0</v>
      </c>
      <c r="T202" s="237">
        <f>IF(R202&lt;&gt;0,IF(R202&gt;0,S202/R202,-S202/R202),0)</f>
        <v>0</v>
      </c>
      <c r="U202" s="211"/>
      <c r="V202" s="235">
        <f>_xll.DBRW(Server&amp;Cube1,$N$15,$N$16,$N$17,$N$18,$N$14,$N$13,$V$2,$V$1,$B202)</f>
        <v>0</v>
      </c>
      <c r="W202" s="236">
        <f>Q202-V202</f>
        <v>0</v>
      </c>
      <c r="X202" s="237">
        <f>IF(V202&lt;&gt;0,IF(V202&gt;0,W202/V202,-W202/V202),0)</f>
        <v>0</v>
      </c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28"/>
    </row>
    <row r="203" spans="1:76" s="501" customFormat="1" ht="21" hidden="1" customHeight="1" outlineLevel="4" collapsed="1" x14ac:dyDescent="0.75">
      <c r="A203" s="500" t="s">
        <v>423</v>
      </c>
      <c r="B203" s="68" t="str">
        <f>_xll.DBRA(Server&amp;$B$32,$A203,$N$19)</f>
        <v>Profit or loss of associates (from 2013)</v>
      </c>
      <c r="C203" s="357"/>
      <c r="D203" s="1"/>
      <c r="E203" s="1"/>
      <c r="H203" s="502"/>
      <c r="I203" s="94"/>
      <c r="J203" s="57"/>
      <c r="K203" s="104"/>
      <c r="L203" s="514" t="str">
        <f t="shared" ref="L203:L206" si="103">B203</f>
        <v>Profit or loss of associates (from 2013)</v>
      </c>
      <c r="M203" s="504"/>
      <c r="N203" s="504"/>
      <c r="O203" s="504"/>
      <c r="P203" s="113"/>
      <c r="Q203" s="505">
        <f>_xll.DBRW(Server&amp;Cube1,$N$15,$N$16,$N$17,$N$18,$N$14,$N$13,$N$11,$Q$1,$A203)</f>
        <v>0</v>
      </c>
      <c r="R203" s="505">
        <f>_xll.DBRW(Server&amp;Cube1,$N$15,$N$16,$N$17,$N$18,$N$14,$N$13,$R$2,$R$1,$A203)</f>
        <v>0</v>
      </c>
      <c r="S203" s="506">
        <f t="shared" ref="S203:S206" si="104">Q203-R203</f>
        <v>0</v>
      </c>
      <c r="T203" s="507">
        <f t="shared" ref="T203:T206" si="105">IF(R203&lt;&gt;0,IF(R203&gt;0,S203/R203,-S203/R203),0)</f>
        <v>0</v>
      </c>
      <c r="U203" s="508"/>
      <c r="V203" s="505">
        <f>_xll.DBRW(Server&amp;Cube1,$N$15,$N$16,$N$17,$N$18,$N$14,$N$13,$V$2,$V$1,$B203)</f>
        <v>0</v>
      </c>
      <c r="W203" s="506">
        <f t="shared" ref="W203:W206" si="106">Q203-V203</f>
        <v>0</v>
      </c>
      <c r="X203" s="507">
        <f t="shared" ref="X203:X206" si="107">IF(V203&lt;&gt;0,IF(V203&gt;0,W203/V203,-W203/V203),0)</f>
        <v>0</v>
      </c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509"/>
    </row>
    <row r="204" spans="1:76" s="34" customFormat="1" ht="21" hidden="1" customHeight="1" outlineLevel="5" x14ac:dyDescent="0.75">
      <c r="A204" s="370" t="s">
        <v>424</v>
      </c>
      <c r="B204" s="54" t="str">
        <f>_xll.DBRA(Server&amp;$B$32,$A204,$N$19)</f>
        <v>P&amp;L AS - Share in profit or loss of associates (from 2013)</v>
      </c>
      <c r="C204" s="9"/>
      <c r="D204" s="510"/>
      <c r="E204" s="510"/>
      <c r="H204" s="368"/>
      <c r="I204" s="511"/>
      <c r="J204" s="512"/>
      <c r="K204" s="513"/>
      <c r="L204" s="498" t="str">
        <f t="shared" si="103"/>
        <v>P&amp;L AS - Share in profit or loss of associates (from 2013)</v>
      </c>
      <c r="M204" s="482"/>
      <c r="N204" s="482"/>
      <c r="O204" s="482"/>
      <c r="P204" s="112"/>
      <c r="Q204" s="229">
        <f>_xll.DBRW(Server&amp;Cube1,$N$15,$N$16,$N$17,$N$18,$N$14,$N$13,$N$11,$Q$1,$A204)</f>
        <v>0</v>
      </c>
      <c r="R204" s="229">
        <f>_xll.DBRW(Server&amp;Cube1,$N$15,$N$16,$N$17,$N$18,$N$14,$N$13,$R$2,$R$1,$A204)</f>
        <v>0</v>
      </c>
      <c r="S204" s="230">
        <f t="shared" si="104"/>
        <v>0</v>
      </c>
      <c r="T204" s="232">
        <f t="shared" si="105"/>
        <v>0</v>
      </c>
      <c r="U204" s="218"/>
      <c r="V204" s="229">
        <f>_xll.DBRW(Server&amp;Cube1,$N$15,$N$16,$N$17,$N$18,$N$14,$N$13,$V$2,$V$1,$B204)</f>
        <v>0</v>
      </c>
      <c r="W204" s="230">
        <f t="shared" si="106"/>
        <v>0</v>
      </c>
      <c r="X204" s="232">
        <f t="shared" si="107"/>
        <v>0</v>
      </c>
      <c r="Y204" s="513"/>
      <c r="Z204" s="513"/>
      <c r="AA204" s="513"/>
      <c r="AB204" s="513"/>
      <c r="AC204" s="513"/>
      <c r="AD204" s="513"/>
      <c r="AE204" s="513"/>
      <c r="AF204" s="513"/>
      <c r="AG204" s="513"/>
      <c r="AH204" s="513"/>
      <c r="AI204" s="513"/>
      <c r="AJ204" s="513"/>
      <c r="AK204" s="513"/>
      <c r="AL204" s="513"/>
      <c r="AM204" s="513"/>
      <c r="AN204" s="513"/>
      <c r="AO204" s="513"/>
      <c r="AP204" s="513"/>
      <c r="AQ204" s="513"/>
      <c r="AR204" s="513"/>
      <c r="AS204" s="513"/>
      <c r="AT204" s="513"/>
      <c r="AU204" s="513"/>
      <c r="AV204" s="513"/>
      <c r="AW204" s="513"/>
      <c r="AX204" s="513"/>
      <c r="AY204" s="513"/>
      <c r="AZ204" s="513"/>
      <c r="BA204" s="513"/>
      <c r="BB204" s="513"/>
      <c r="BC204" s="513"/>
      <c r="BD204" s="513"/>
      <c r="BE204" s="513"/>
      <c r="BF204" s="513"/>
      <c r="BG204" s="513"/>
      <c r="BH204" s="513"/>
      <c r="BI204" s="513"/>
      <c r="BJ204" s="513"/>
      <c r="BK204" s="513"/>
      <c r="BL204" s="513"/>
      <c r="BM204" s="513"/>
      <c r="BN204" s="513"/>
      <c r="BO204" s="513"/>
      <c r="BP204" s="513"/>
      <c r="BQ204" s="513"/>
      <c r="BR204" s="513"/>
      <c r="BS204" s="513"/>
      <c r="BT204" s="513"/>
      <c r="BU204" s="513"/>
      <c r="BV204" s="513"/>
      <c r="BW204" s="513"/>
      <c r="BX204" s="28"/>
    </row>
    <row r="205" spans="1:76" s="34" customFormat="1" ht="21" hidden="1" customHeight="1" outlineLevel="5" x14ac:dyDescent="0.75">
      <c r="A205" s="370" t="s">
        <v>425</v>
      </c>
      <c r="B205" s="54" t="str">
        <f>_xll.DBRA(Server&amp;$B$32,$A205,$N$19)</f>
        <v>P&amp;L AS - Impairment - Goodwill (Associates) (from 2013)</v>
      </c>
      <c r="C205" s="9"/>
      <c r="D205" s="510"/>
      <c r="E205" s="510"/>
      <c r="H205" s="368"/>
      <c r="I205" s="511"/>
      <c r="J205" s="512"/>
      <c r="K205" s="513"/>
      <c r="L205" s="498" t="str">
        <f t="shared" si="103"/>
        <v>P&amp;L AS - Impairment - Goodwill (Associates) (from 2013)</v>
      </c>
      <c r="M205" s="482"/>
      <c r="N205" s="482"/>
      <c r="O205" s="482"/>
      <c r="P205" s="112"/>
      <c r="Q205" s="229">
        <f>_xll.DBRW(Server&amp;Cube1,$N$15,$N$16,$N$17,$N$18,$N$14,$N$13,$N$11,$Q$1,$A205)</f>
        <v>0</v>
      </c>
      <c r="R205" s="229">
        <f>_xll.DBRW(Server&amp;Cube1,$N$15,$N$16,$N$17,$N$18,$N$14,$N$13,$R$2,$R$1,$A205)</f>
        <v>0</v>
      </c>
      <c r="S205" s="230">
        <f t="shared" si="104"/>
        <v>0</v>
      </c>
      <c r="T205" s="232">
        <f t="shared" si="105"/>
        <v>0</v>
      </c>
      <c r="U205" s="218"/>
      <c r="V205" s="229">
        <f>_xll.DBRW(Server&amp;Cube1,$N$15,$N$16,$N$17,$N$18,$N$14,$N$13,$V$2,$V$1,$B205)</f>
        <v>0</v>
      </c>
      <c r="W205" s="230">
        <f t="shared" si="106"/>
        <v>0</v>
      </c>
      <c r="X205" s="232">
        <f t="shared" si="107"/>
        <v>0</v>
      </c>
      <c r="Y205" s="513"/>
      <c r="Z205" s="513"/>
      <c r="AA205" s="513"/>
      <c r="AB205" s="513"/>
      <c r="AC205" s="513"/>
      <c r="AD205" s="513"/>
      <c r="AE205" s="513"/>
      <c r="AF205" s="513"/>
      <c r="AG205" s="513"/>
      <c r="AH205" s="513"/>
      <c r="AI205" s="513"/>
      <c r="AJ205" s="513"/>
      <c r="AK205" s="513"/>
      <c r="AL205" s="513"/>
      <c r="AM205" s="513"/>
      <c r="AN205" s="513"/>
      <c r="AO205" s="513"/>
      <c r="AP205" s="513"/>
      <c r="AQ205" s="513"/>
      <c r="AR205" s="513"/>
      <c r="AS205" s="513"/>
      <c r="AT205" s="513"/>
      <c r="AU205" s="513"/>
      <c r="AV205" s="513"/>
      <c r="AW205" s="513"/>
      <c r="AX205" s="513"/>
      <c r="AY205" s="513"/>
      <c r="AZ205" s="513"/>
      <c r="BA205" s="513"/>
      <c r="BB205" s="513"/>
      <c r="BC205" s="513"/>
      <c r="BD205" s="513"/>
      <c r="BE205" s="513"/>
      <c r="BF205" s="513"/>
      <c r="BG205" s="513"/>
      <c r="BH205" s="513"/>
      <c r="BI205" s="513"/>
      <c r="BJ205" s="513"/>
      <c r="BK205" s="513"/>
      <c r="BL205" s="513"/>
      <c r="BM205" s="513"/>
      <c r="BN205" s="513"/>
      <c r="BO205" s="513"/>
      <c r="BP205" s="513"/>
      <c r="BQ205" s="513"/>
      <c r="BR205" s="513"/>
      <c r="BS205" s="513"/>
      <c r="BT205" s="513"/>
      <c r="BU205" s="513"/>
      <c r="BV205" s="513"/>
      <c r="BW205" s="513"/>
      <c r="BX205" s="28"/>
    </row>
    <row r="206" spans="1:76" s="501" customFormat="1" ht="21" hidden="1" customHeight="1" outlineLevel="4" x14ac:dyDescent="0.75">
      <c r="A206" s="500" t="s">
        <v>426</v>
      </c>
      <c r="B206" s="68" t="str">
        <f>_xll.DBRA(Server&amp;$B$32,$A206,$N$19)</f>
        <v>Profit or loss of associates (from 2013) - Vector Reconciliation</v>
      </c>
      <c r="C206" s="357"/>
      <c r="D206" s="1"/>
      <c r="E206" s="1"/>
      <c r="H206" s="502"/>
      <c r="I206" s="94"/>
      <c r="J206" s="57"/>
      <c r="K206" s="104"/>
      <c r="L206" s="514" t="str">
        <f t="shared" si="103"/>
        <v>Profit or loss of associates (from 2013) - Vector Reconciliation</v>
      </c>
      <c r="M206" s="504"/>
      <c r="N206" s="504"/>
      <c r="O206" s="504"/>
      <c r="P206" s="113"/>
      <c r="Q206" s="505">
        <f>_xll.DBRW(Server&amp;Cube1,$N$15,$N$16,$N$17,$N$18,$N$14,$N$13,$N$11,$Q$1,$A206)</f>
        <v>0</v>
      </c>
      <c r="R206" s="505">
        <f>_xll.DBRW(Server&amp;Cube1,$N$15,$N$16,$N$17,$N$18,$N$14,$N$13,$R$2,$R$1,$A206)</f>
        <v>0</v>
      </c>
      <c r="S206" s="506">
        <f t="shared" si="104"/>
        <v>0</v>
      </c>
      <c r="T206" s="507">
        <f t="shared" si="105"/>
        <v>0</v>
      </c>
      <c r="U206" s="508"/>
      <c r="V206" s="505">
        <f>_xll.DBRW(Server&amp;Cube1,$N$15,$N$16,$N$17,$N$18,$N$14,$N$13,$V$2,$V$1,$B206)</f>
        <v>0</v>
      </c>
      <c r="W206" s="506">
        <f t="shared" si="106"/>
        <v>0</v>
      </c>
      <c r="X206" s="507">
        <f t="shared" si="107"/>
        <v>0</v>
      </c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509"/>
    </row>
    <row r="207" spans="1:76" s="34" customFormat="1" ht="13.5" hidden="1" outlineLevel="1" x14ac:dyDescent="0.75">
      <c r="A207" s="56"/>
      <c r="B207" s="368"/>
      <c r="C207" s="9"/>
      <c r="D207" s="1"/>
      <c r="E207" s="1"/>
      <c r="H207" s="368"/>
      <c r="I207" s="94"/>
      <c r="J207" s="57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28"/>
    </row>
    <row r="208" spans="1:76" s="34" customFormat="1" ht="13.5" x14ac:dyDescent="0.75">
      <c r="A208" s="56"/>
      <c r="B208" s="368"/>
      <c r="C208" s="9"/>
      <c r="D208" s="1"/>
      <c r="E208" s="1"/>
      <c r="H208" s="368"/>
      <c r="I208" s="94"/>
      <c r="J208" s="57"/>
      <c r="K208" s="95"/>
      <c r="L208" s="96"/>
      <c r="M208" s="96"/>
      <c r="N208" s="96"/>
      <c r="O208" s="96"/>
      <c r="P208" s="96"/>
      <c r="Q208" s="96"/>
      <c r="R208" s="96"/>
      <c r="S208" s="96"/>
      <c r="T208" s="96"/>
      <c r="U208" s="96"/>
      <c r="V208" s="96"/>
      <c r="W208" s="96"/>
      <c r="X208" s="96"/>
      <c r="Y208" s="98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28"/>
    </row>
    <row r="209" spans="1:76" s="34" customFormat="1" ht="26.25" customHeight="1" x14ac:dyDescent="0.75">
      <c r="A209" s="56" t="s">
        <v>355</v>
      </c>
      <c r="B209" s="54" t="str">
        <f>_xll.DBRA(Server&amp;$B$32,$A209,$N$19)</f>
        <v>OPERATING PROFIT (by destination)</v>
      </c>
      <c r="C209" s="9"/>
      <c r="D209" s="1"/>
      <c r="E209" s="1"/>
      <c r="H209" s="368"/>
      <c r="I209" s="94"/>
      <c r="J209" s="57"/>
      <c r="K209" s="103"/>
      <c r="L209" s="585" t="str">
        <f>LEFT(B209,FIND("(",B209,1)-1)&amp;" - EBIT "</f>
        <v xml:space="preserve">OPERATING PROFIT  - EBIT </v>
      </c>
      <c r="M209" s="586"/>
      <c r="N209" s="586"/>
      <c r="O209" s="587"/>
      <c r="P209" s="104"/>
      <c r="Q209" s="224">
        <f>_xll.DBRW(Server&amp;Cube1,$N$15,$N$16,$N$17,$N$18,$N$14,$N$13,$N$11,$Q$1,$A209)</f>
        <v>5573182.2299999446</v>
      </c>
      <c r="R209" s="225">
        <f>_xll.DBRW(Server&amp;Cube1,$N$15,$N$16,$N$17,$N$18,$N$14,$N$13,$R$2,$R$1,$A209)</f>
        <v>0</v>
      </c>
      <c r="S209" s="226">
        <f>Q209-R209</f>
        <v>5573182.2299999446</v>
      </c>
      <c r="T209" s="305">
        <f>IF(R209&lt;&gt;0,IF(R209&gt;0,S209/R209,-S209/R209),0)</f>
        <v>0</v>
      </c>
      <c r="U209" s="306"/>
      <c r="V209" s="224">
        <f>_xll.DBRW(Server&amp;Cube1,$N$15,$N$16,$N$17,$N$18,$N$14,$N$13,$V$2,$V$1,$A209)</f>
        <v>-216412551.75201434</v>
      </c>
      <c r="W209" s="226">
        <f>Q209-V209</f>
        <v>221985733.9820143</v>
      </c>
      <c r="X209" s="308">
        <f>IF(V209&lt;&gt;0,IF(V209&gt;0,W209/V209,-W209/V209),0)</f>
        <v>1.0257525831329146</v>
      </c>
      <c r="Y209" s="105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28"/>
    </row>
    <row r="210" spans="1:76" s="34" customFormat="1" ht="26.25" customHeight="1" x14ac:dyDescent="0.75">
      <c r="A210" s="56"/>
      <c r="B210" s="54"/>
      <c r="C210" s="9"/>
      <c r="D210" s="1"/>
      <c r="E210" s="1"/>
      <c r="H210" s="368"/>
      <c r="I210" s="94"/>
      <c r="J210" s="57"/>
      <c r="K210" s="103"/>
      <c r="M210" s="104"/>
      <c r="N210" s="104"/>
      <c r="O210" s="284" t="str">
        <f>IF(V_LANG="English","Operating Profit (in percentage of ROA net of sub. Transport)","Résultat opérationnel (en pourcentage de PAO net de ST transport")</f>
        <v>Operating Profit (in percentage of ROA net of sub. Transport)</v>
      </c>
      <c r="P210" s="285"/>
      <c r="Q210" s="302">
        <f>IF(ISERROR(Q209/Q$36),"-",Q209/Q$36)</f>
        <v>2.4564898242070927E-2</v>
      </c>
      <c r="R210" s="302" t="str">
        <f>IF(ISERROR(R209/R$36),"-",R209/R$36)</f>
        <v>-</v>
      </c>
      <c r="S210" s="558" t="str">
        <f>IF(ISERROR((Q210-R210)*100),"-",(Q210-R210)*100)</f>
        <v>-</v>
      </c>
      <c r="T210" s="558"/>
      <c r="U210" s="286"/>
      <c r="V210" s="302">
        <f>IF(ISERROR(V209/V$36),"-",V209/V$36)</f>
        <v>-3.0217666104470069E-2</v>
      </c>
      <c r="W210" s="559">
        <f>IF(ISERROR((Q210-V210)*100),"-",(Q210-V210)*100)</f>
        <v>5.4782564346540994</v>
      </c>
      <c r="X210" s="559"/>
      <c r="Y210" s="105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28"/>
    </row>
    <row r="211" spans="1:76" s="34" customFormat="1" ht="13.5" x14ac:dyDescent="0.75">
      <c r="A211" s="56"/>
      <c r="B211" s="368"/>
      <c r="C211" s="9"/>
      <c r="D211" s="1"/>
      <c r="E211" s="1"/>
      <c r="H211" s="368"/>
      <c r="I211" s="94"/>
      <c r="J211" s="57"/>
      <c r="K211" s="91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3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28"/>
    </row>
    <row r="212" spans="1:76" s="34" customFormat="1" ht="13.5" x14ac:dyDescent="0.75">
      <c r="A212" s="56"/>
      <c r="B212" s="368"/>
      <c r="C212" s="9"/>
      <c r="D212" s="1"/>
      <c r="E212" s="1"/>
      <c r="H212" s="368"/>
      <c r="I212" s="94"/>
      <c r="J212" s="57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28"/>
    </row>
    <row r="213" spans="1:76" s="34" customFormat="1" ht="21" x14ac:dyDescent="1">
      <c r="A213" s="56"/>
      <c r="B213" s="368"/>
      <c r="C213" s="9"/>
      <c r="D213" s="1"/>
      <c r="E213" s="1"/>
      <c r="H213" s="368"/>
      <c r="I213" s="94"/>
      <c r="J213" s="57"/>
      <c r="K213" s="570" t="s">
        <v>356</v>
      </c>
      <c r="L213" s="570"/>
      <c r="M213" s="570"/>
      <c r="N213" s="570"/>
      <c r="O213" s="570"/>
      <c r="R213" s="464"/>
      <c r="S213" s="465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28"/>
    </row>
    <row r="214" spans="1:76" s="34" customFormat="1" ht="19.25" thickBot="1" x14ac:dyDescent="0.9">
      <c r="A214" s="56"/>
      <c r="B214" s="368"/>
      <c r="C214" s="9"/>
      <c r="D214" s="1"/>
      <c r="E214" s="1"/>
      <c r="H214" s="368"/>
      <c r="I214" s="94"/>
      <c r="J214" s="57"/>
      <c r="K214" s="94"/>
      <c r="L214" s="94"/>
      <c r="M214" s="94"/>
      <c r="N214" s="94"/>
      <c r="O214" s="94"/>
      <c r="P214" s="94"/>
      <c r="Q214" s="94"/>
      <c r="R214" s="463" t="str">
        <f>R32</f>
        <v>Budget V current N</v>
      </c>
      <c r="S214" s="94"/>
      <c r="T214" s="94"/>
      <c r="U214" s="104"/>
      <c r="V214" s="463" t="str">
        <f>V32</f>
        <v>Actual N-1</v>
      </c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28"/>
    </row>
    <row r="215" spans="1:76" s="34" customFormat="1" ht="21.75" customHeight="1" thickBot="1" x14ac:dyDescent="0.9">
      <c r="A215" s="56"/>
      <c r="B215" s="368"/>
      <c r="C215" s="9"/>
      <c r="D215" s="1"/>
      <c r="E215" s="1"/>
      <c r="H215" s="368"/>
      <c r="I215" s="94"/>
      <c r="J215" s="57"/>
      <c r="K215" s="574" t="str">
        <f>IF(V_LANG="French","Marge brute", "Gross Margin")</f>
        <v>Gross Margin</v>
      </c>
      <c r="L215" s="575"/>
      <c r="M215" s="575"/>
      <c r="N215" s="575"/>
      <c r="O215" s="575"/>
      <c r="P215" s="575"/>
      <c r="Q215" s="575"/>
      <c r="R215" s="491">
        <f>R124/1000</f>
        <v>0</v>
      </c>
      <c r="S215" s="94"/>
      <c r="U215" s="104"/>
      <c r="V215" s="494">
        <f>V124/1000</f>
        <v>407382.32439798734</v>
      </c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28"/>
    </row>
    <row r="216" spans="1:76" s="34" customFormat="1" ht="18.75" customHeight="1" x14ac:dyDescent="0.75">
      <c r="A216" s="56"/>
      <c r="C216" s="9"/>
      <c r="D216" s="1"/>
      <c r="E216" s="1"/>
      <c r="H216" s="368"/>
      <c r="I216" s="94"/>
      <c r="J216" s="57"/>
      <c r="K216" s="467"/>
      <c r="L216" s="468"/>
      <c r="M216" s="571" t="str">
        <f>IF(V_LANG="French","Variances de performance impactant le taux de marge","Cost variance (impacts on gross margin)")</f>
        <v>Cost variance (impacts on gross margin)</v>
      </c>
      <c r="N216" s="492" t="str">
        <f>IF(V_LANG="FR","∑  Effets de performance", "∑  Performance effects")</f>
        <v>∑  Performance effects</v>
      </c>
      <c r="O216" s="493"/>
      <c r="P216" s="489"/>
      <c r="Q216" s="489"/>
      <c r="R216" s="490">
        <f>SUM(R217:R241)</f>
        <v>0</v>
      </c>
      <c r="S216" s="94"/>
      <c r="U216" s="104"/>
      <c r="V216" s="495">
        <f>SUM(V217:V241)</f>
        <v>0</v>
      </c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28"/>
    </row>
    <row r="217" spans="1:76" s="34" customFormat="1" ht="18.75" customHeight="1" x14ac:dyDescent="0.75">
      <c r="A217" s="56"/>
      <c r="B217" s="135" t="s">
        <v>15</v>
      </c>
      <c r="C217" s="9"/>
      <c r="D217" s="1"/>
      <c r="E217" s="1"/>
      <c r="H217" s="368"/>
      <c r="I217" s="94"/>
      <c r="J217" s="57"/>
      <c r="K217" s="467"/>
      <c r="L217" s="468"/>
      <c r="M217" s="571"/>
      <c r="N217" s="469" t="str">
        <f>"D - "&amp;_xll.DBRA(Server&amp;$B$32,$B217,$N$19)</f>
        <v>D - Driving/operating (RESOP)</v>
      </c>
      <c r="R217" s="485"/>
      <c r="S217" s="94"/>
      <c r="T217" s="545">
        <f>R246-R215</f>
        <v>36216.967719999942</v>
      </c>
      <c r="U217" s="104"/>
      <c r="V217" s="470"/>
      <c r="W217" s="104"/>
      <c r="X217" s="546">
        <f>V246-V215</f>
        <v>-371165.35667798738</v>
      </c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28"/>
    </row>
    <row r="218" spans="1:76" s="34" customFormat="1" ht="18.75" customHeight="1" x14ac:dyDescent="0.75">
      <c r="A218" s="56"/>
      <c r="B218" s="54" t="s">
        <v>90</v>
      </c>
      <c r="C218" s="9"/>
      <c r="D218" s="1"/>
      <c r="E218" s="1"/>
      <c r="H218" s="368"/>
      <c r="I218" s="94"/>
      <c r="J218" s="57"/>
      <c r="K218" s="467"/>
      <c r="L218" s="468"/>
      <c r="M218" s="571"/>
      <c r="N218" s="471" t="str">
        <f>_xll.DBRA(Server&amp;$B$32,$B218,$N$19)</f>
        <v>D1 - Driving cost variance - Cost effect</v>
      </c>
      <c r="R218" s="486">
        <f>S322/1000</f>
        <v>0</v>
      </c>
      <c r="S218" s="94"/>
      <c r="T218" s="545"/>
      <c r="U218" s="104"/>
      <c r="V218" s="472">
        <f>W322/1000</f>
        <v>0</v>
      </c>
      <c r="W218" s="104"/>
      <c r="X218" s="546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28"/>
    </row>
    <row r="219" spans="1:76" s="34" customFormat="1" ht="18.75" customHeight="1" x14ac:dyDescent="0.75">
      <c r="A219" s="56"/>
      <c r="B219" s="54" t="s">
        <v>91</v>
      </c>
      <c r="C219" s="9"/>
      <c r="D219" s="1"/>
      <c r="E219" s="1"/>
      <c r="H219" s="368"/>
      <c r="I219" s="94"/>
      <c r="J219" s="57"/>
      <c r="K219" s="467"/>
      <c r="L219" s="468"/>
      <c r="M219" s="571"/>
      <c r="N219" s="471" t="str">
        <f>_xll.DBRA(Server&amp;$B$32,$B219,$N$19)</f>
        <v>D2 - Driving cost variance - Efficiency effect</v>
      </c>
      <c r="R219" s="486">
        <f>S323/1000</f>
        <v>0</v>
      </c>
      <c r="S219" s="94"/>
      <c r="T219" s="545"/>
      <c r="U219" s="104"/>
      <c r="V219" s="472">
        <f>W323/1000</f>
        <v>0</v>
      </c>
      <c r="W219" s="104"/>
      <c r="X219" s="546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28"/>
    </row>
    <row r="220" spans="1:76" s="34" customFormat="1" ht="18.75" hidden="1" customHeight="1" x14ac:dyDescent="0.75">
      <c r="A220" s="56"/>
      <c r="B220" s="54" t="s">
        <v>92</v>
      </c>
      <c r="C220" s="9"/>
      <c r="D220" s="1"/>
      <c r="E220" s="1"/>
      <c r="H220" s="368"/>
      <c r="I220" s="94"/>
      <c r="J220" s="57"/>
      <c r="K220" s="467"/>
      <c r="L220" s="468"/>
      <c r="M220" s="571"/>
      <c r="N220" s="471" t="str">
        <f>_xll.DBRA(Server&amp;$B$32,$B220,$N$19)</f>
        <v>D3 - Driving cost variance - Price effect</v>
      </c>
      <c r="R220" s="486">
        <f>S324/1000</f>
        <v>0</v>
      </c>
      <c r="S220" s="94"/>
      <c r="T220" s="545"/>
      <c r="U220" s="104"/>
      <c r="V220" s="472">
        <f>W324/1000</f>
        <v>0</v>
      </c>
      <c r="W220" s="104"/>
      <c r="X220" s="546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28"/>
    </row>
    <row r="221" spans="1:76" s="34" customFormat="1" ht="18.75" hidden="1" customHeight="1" x14ac:dyDescent="0.75">
      <c r="A221" s="56"/>
      <c r="B221" s="54" t="s">
        <v>93</v>
      </c>
      <c r="C221" s="9"/>
      <c r="D221" s="1"/>
      <c r="E221" s="1"/>
      <c r="H221" s="368"/>
      <c r="I221" s="94"/>
      <c r="J221" s="57"/>
      <c r="K221" s="467"/>
      <c r="L221" s="468"/>
      <c r="M221" s="571"/>
      <c r="N221" s="471" t="str">
        <f>_xll.DBRA(Server&amp;$B$32,$B221,$N$19)</f>
        <v>D - Compound</v>
      </c>
      <c r="R221" s="486">
        <f>S325/1000</f>
        <v>0</v>
      </c>
      <c r="S221" s="94"/>
      <c r="T221" s="545"/>
      <c r="U221" s="104"/>
      <c r="V221" s="472">
        <f>W325/1000</f>
        <v>0</v>
      </c>
      <c r="W221" s="104"/>
      <c r="X221" s="546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28"/>
    </row>
    <row r="222" spans="1:76" s="34" customFormat="1" ht="18.75" customHeight="1" x14ac:dyDescent="0.75">
      <c r="A222" s="56"/>
      <c r="B222" s="135" t="s">
        <v>345</v>
      </c>
      <c r="C222" s="9"/>
      <c r="D222" s="1"/>
      <c r="E222" s="1"/>
      <c r="H222" s="368"/>
      <c r="I222" s="94"/>
      <c r="J222" s="57"/>
      <c r="K222" s="467"/>
      <c r="L222" s="468"/>
      <c r="M222" s="571"/>
      <c r="N222" s="469" t="str">
        <f>"M - " &amp;_xll.DBRA(Server&amp;$B$32,$B222,$N$19)</f>
        <v>M - Maintenance &amp; cleaning of fleet PMM</v>
      </c>
      <c r="R222" s="485"/>
      <c r="S222" s="94"/>
      <c r="T222" s="545"/>
      <c r="U222" s="104"/>
      <c r="V222" s="470"/>
      <c r="W222" s="104"/>
      <c r="X222" s="546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28"/>
    </row>
    <row r="223" spans="1:76" s="34" customFormat="1" ht="18.75" customHeight="1" x14ac:dyDescent="0.75">
      <c r="A223" s="56"/>
      <c r="B223" s="54" t="s">
        <v>87</v>
      </c>
      <c r="C223" s="9"/>
      <c r="D223" s="1"/>
      <c r="E223" s="1"/>
      <c r="H223" s="368"/>
      <c r="I223" s="94"/>
      <c r="J223" s="57"/>
      <c r="K223" s="467"/>
      <c r="L223" s="468"/>
      <c r="M223" s="571"/>
      <c r="N223" s="471" t="str">
        <f>_xll.DBRA(Server&amp;$B$32,$B223,$N$19)</f>
        <v>M1 - Maintenance cost variance - Cost effect</v>
      </c>
      <c r="R223" s="486">
        <f>S385/1000</f>
        <v>0</v>
      </c>
      <c r="S223" s="94"/>
      <c r="T223" s="545"/>
      <c r="U223" s="104"/>
      <c r="V223" s="472">
        <f>W385/1000</f>
        <v>0</v>
      </c>
      <c r="W223" s="104"/>
      <c r="X223" s="546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28"/>
    </row>
    <row r="224" spans="1:76" s="34" customFormat="1" ht="18.75" customHeight="1" x14ac:dyDescent="0.75">
      <c r="A224" s="56"/>
      <c r="B224" s="54" t="s">
        <v>88</v>
      </c>
      <c r="C224" s="9"/>
      <c r="D224" s="1"/>
      <c r="E224" s="1"/>
      <c r="H224" s="368"/>
      <c r="I224" s="94"/>
      <c r="J224" s="57"/>
      <c r="K224" s="467"/>
      <c r="L224" s="468"/>
      <c r="M224" s="571"/>
      <c r="N224" s="471" t="str">
        <f>_xll.DBRA(Server&amp;$B$32,$B224,$N$19)</f>
        <v>M2 - Maintenance cost variance - Efficiency effect</v>
      </c>
      <c r="R224" s="486">
        <f>S386/1000</f>
        <v>0</v>
      </c>
      <c r="S224" s="94"/>
      <c r="T224" s="545"/>
      <c r="U224" s="104"/>
      <c r="V224" s="472">
        <f>W386/1000</f>
        <v>0</v>
      </c>
      <c r="W224" s="104"/>
      <c r="X224" s="546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28"/>
    </row>
    <row r="225" spans="1:76" s="34" customFormat="1" ht="18.75" hidden="1" customHeight="1" x14ac:dyDescent="0.75">
      <c r="A225" s="56"/>
      <c r="B225" s="54" t="s">
        <v>89</v>
      </c>
      <c r="C225" s="9"/>
      <c r="D225" s="1"/>
      <c r="E225" s="1"/>
      <c r="H225" s="368"/>
      <c r="I225" s="94"/>
      <c r="J225" s="57"/>
      <c r="K225" s="467"/>
      <c r="L225" s="468"/>
      <c r="M225" s="571"/>
      <c r="N225" s="471" t="str">
        <f>_xll.DBRA(Server&amp;$B$32,$B225,$N$19)</f>
        <v>M3 - Maintenance cost variance - Price effect</v>
      </c>
      <c r="R225" s="486">
        <f>S387/1000</f>
        <v>0</v>
      </c>
      <c r="S225" s="94"/>
      <c r="T225" s="545"/>
      <c r="U225" s="104"/>
      <c r="V225" s="472">
        <f>W387/1000</f>
        <v>0</v>
      </c>
      <c r="W225" s="104"/>
      <c r="X225" s="546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28"/>
    </row>
    <row r="226" spans="1:76" s="34" customFormat="1" ht="18.75" hidden="1" customHeight="1" x14ac:dyDescent="0.75">
      <c r="A226" s="56"/>
      <c r="B226" s="54" t="s">
        <v>102</v>
      </c>
      <c r="C226" s="9"/>
      <c r="D226" s="1"/>
      <c r="E226" s="1"/>
      <c r="H226" s="368"/>
      <c r="I226" s="94"/>
      <c r="J226" s="57"/>
      <c r="K226" s="467"/>
      <c r="L226" s="468"/>
      <c r="M226" s="571"/>
      <c r="N226" s="471" t="str">
        <f>_xll.DBRA(Server&amp;$B$32,$B226,$N$19)</f>
        <v>M - Compound</v>
      </c>
      <c r="R226" s="486">
        <f>S388/1000</f>
        <v>0</v>
      </c>
      <c r="S226" s="94"/>
      <c r="T226" s="545"/>
      <c r="U226" s="104"/>
      <c r="V226" s="472">
        <f>W388/1000</f>
        <v>0</v>
      </c>
      <c r="W226" s="104"/>
      <c r="X226" s="546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28"/>
    </row>
    <row r="227" spans="1:76" s="34" customFormat="1" ht="18.75" customHeight="1" x14ac:dyDescent="0.75">
      <c r="A227" s="56"/>
      <c r="B227" s="54" t="s">
        <v>344</v>
      </c>
      <c r="C227" s="9"/>
      <c r="D227" s="1"/>
      <c r="E227" s="1"/>
      <c r="H227" s="368"/>
      <c r="I227" s="94"/>
      <c r="J227" s="57"/>
      <c r="K227" s="467"/>
      <c r="L227" s="468"/>
      <c r="M227" s="571"/>
      <c r="N227" s="469" t="str">
        <f>"E - "&amp;_xll.DBRA(Server&amp;$B$32,$B227,$N$19)</f>
        <v>E - Energy for traction PMM</v>
      </c>
      <c r="R227" s="485"/>
      <c r="S227" s="94"/>
      <c r="T227" s="545"/>
      <c r="U227" s="104"/>
      <c r="V227" s="470"/>
      <c r="W227" s="104"/>
      <c r="X227" s="546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28"/>
    </row>
    <row r="228" spans="1:76" s="34" customFormat="1" ht="18.75" customHeight="1" x14ac:dyDescent="0.75">
      <c r="A228" s="56"/>
      <c r="B228" s="54" t="s">
        <v>113</v>
      </c>
      <c r="C228" s="9"/>
      <c r="D228" s="1"/>
      <c r="E228" s="1"/>
      <c r="H228" s="368"/>
      <c r="I228" s="94"/>
      <c r="J228" s="57"/>
      <c r="K228" s="467"/>
      <c r="L228" s="468"/>
      <c r="M228" s="571"/>
      <c r="N228" s="471" t="str">
        <f>_xll.DBRA(Server&amp;$B$32,$B228,$N$19)</f>
        <v>E1 - Energy cost variance - Cost effect</v>
      </c>
      <c r="R228" s="486">
        <f>S448/1000</f>
        <v>0</v>
      </c>
      <c r="S228" s="94"/>
      <c r="T228" s="545"/>
      <c r="U228" s="104"/>
      <c r="V228" s="472">
        <f>W448/1000</f>
        <v>0</v>
      </c>
      <c r="W228" s="104"/>
      <c r="X228" s="546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28"/>
    </row>
    <row r="229" spans="1:76" s="34" customFormat="1" ht="18.75" customHeight="1" x14ac:dyDescent="0.75">
      <c r="A229" s="56"/>
      <c r="B229" s="54" t="s">
        <v>114</v>
      </c>
      <c r="C229" s="9"/>
      <c r="D229" s="1"/>
      <c r="E229" s="1"/>
      <c r="H229" s="368"/>
      <c r="I229" s="94"/>
      <c r="J229" s="57"/>
      <c r="K229" s="467"/>
      <c r="L229" s="468"/>
      <c r="M229" s="571"/>
      <c r="N229" s="471" t="str">
        <f>_xll.DBRA(Server&amp;$B$32,$B229,$N$19)</f>
        <v>E2 - Energy cost variance - Efficiency effect</v>
      </c>
      <c r="R229" s="486">
        <f>S449/1000</f>
        <v>0</v>
      </c>
      <c r="S229" s="94"/>
      <c r="T229" s="545"/>
      <c r="U229" s="104"/>
      <c r="V229" s="472">
        <f>W449/1000</f>
        <v>0</v>
      </c>
      <c r="W229" s="104"/>
      <c r="X229" s="546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28"/>
    </row>
    <row r="230" spans="1:76" s="34" customFormat="1" ht="18.75" hidden="1" customHeight="1" x14ac:dyDescent="0.75">
      <c r="A230" s="56"/>
      <c r="B230" s="54" t="s">
        <v>115</v>
      </c>
      <c r="C230" s="9"/>
      <c r="D230" s="1"/>
      <c r="E230" s="1"/>
      <c r="H230" s="368"/>
      <c r="I230" s="94"/>
      <c r="J230" s="57"/>
      <c r="K230" s="467"/>
      <c r="L230" s="468"/>
      <c r="M230" s="571"/>
      <c r="N230" s="471" t="str">
        <f>_xll.DBRA(Server&amp;$B$32,$B230,$N$19)</f>
        <v>E3 - Energy cost variance - Price effect</v>
      </c>
      <c r="R230" s="486">
        <f>S450/1000</f>
        <v>0</v>
      </c>
      <c r="S230" s="94"/>
      <c r="T230" s="545"/>
      <c r="U230" s="104"/>
      <c r="V230" s="472">
        <f>W450/1000</f>
        <v>0</v>
      </c>
      <c r="W230" s="104"/>
      <c r="X230" s="546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28"/>
    </row>
    <row r="231" spans="1:76" s="34" customFormat="1" ht="18.75" hidden="1" customHeight="1" x14ac:dyDescent="0.75">
      <c r="A231" s="56"/>
      <c r="B231" s="54" t="s">
        <v>116</v>
      </c>
      <c r="C231" s="9"/>
      <c r="D231" s="1"/>
      <c r="E231" s="1"/>
      <c r="H231" s="368"/>
      <c r="I231" s="94"/>
      <c r="J231" s="57"/>
      <c r="K231" s="467"/>
      <c r="L231" s="468"/>
      <c r="M231" s="571"/>
      <c r="N231" s="471" t="str">
        <f>_xll.DBRA(Server&amp;$B$32,$B231,$N$19)</f>
        <v>E - Compound</v>
      </c>
      <c r="R231" s="486">
        <f>S451/1000</f>
        <v>0</v>
      </c>
      <c r="S231" s="94"/>
      <c r="T231" s="545"/>
      <c r="U231" s="104"/>
      <c r="V231" s="472">
        <f>W451/1000</f>
        <v>0</v>
      </c>
      <c r="W231" s="104"/>
      <c r="X231" s="546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28"/>
    </row>
    <row r="232" spans="1:76" s="34" customFormat="1" ht="18.75" customHeight="1" x14ac:dyDescent="0.75">
      <c r="A232" s="56"/>
      <c r="B232" s="135" t="s">
        <v>346</v>
      </c>
      <c r="C232" s="9"/>
      <c r="D232" s="1"/>
      <c r="E232" s="1"/>
      <c r="H232" s="368"/>
      <c r="I232" s="94"/>
      <c r="J232" s="57"/>
      <c r="K232" s="467"/>
      <c r="L232" s="468"/>
      <c r="M232" s="571"/>
      <c r="N232" s="469" t="str">
        <f>"F - "&amp;_xll.DBRA(Server&amp;$B$32,$B232,$N$19)</f>
        <v>F - Fleet (RESOP) PMM</v>
      </c>
      <c r="R232" s="485"/>
      <c r="S232" s="94"/>
      <c r="T232" s="545"/>
      <c r="U232" s="104"/>
      <c r="V232" s="470"/>
      <c r="W232" s="104"/>
      <c r="X232" s="546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28"/>
    </row>
    <row r="233" spans="1:76" s="34" customFormat="1" ht="18.75" customHeight="1" x14ac:dyDescent="0.75">
      <c r="A233" s="56"/>
      <c r="B233" s="54" t="s">
        <v>125</v>
      </c>
      <c r="C233" s="9"/>
      <c r="D233" s="1"/>
      <c r="E233" s="1"/>
      <c r="H233" s="368"/>
      <c r="I233" s="94"/>
      <c r="J233" s="57"/>
      <c r="K233" s="467"/>
      <c r="L233" s="468"/>
      <c r="M233" s="571"/>
      <c r="N233" s="471" t="str">
        <f>_xll.DBRA(Server&amp;$B$32,$B233,$N$19)</f>
        <v>F1 - Fleet cost variance - Cost effect</v>
      </c>
      <c r="R233" s="486">
        <f>S512/1000</f>
        <v>0</v>
      </c>
      <c r="S233" s="94"/>
      <c r="T233" s="545"/>
      <c r="U233" s="104"/>
      <c r="V233" s="472">
        <f>W512/1000</f>
        <v>0</v>
      </c>
      <c r="W233" s="104"/>
      <c r="X233" s="546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28"/>
    </row>
    <row r="234" spans="1:76" s="34" customFormat="1" ht="18.75" customHeight="1" x14ac:dyDescent="0.75">
      <c r="A234" s="56"/>
      <c r="B234" s="54" t="s">
        <v>126</v>
      </c>
      <c r="C234" s="9"/>
      <c r="D234" s="1"/>
      <c r="E234" s="1"/>
      <c r="H234" s="368"/>
      <c r="I234" s="94"/>
      <c r="J234" s="57"/>
      <c r="K234" s="467"/>
      <c r="L234" s="468"/>
      <c r="M234" s="571"/>
      <c r="N234" s="471" t="str">
        <f>_xll.DBRA(Server&amp;$B$32,$B234,$N$19)</f>
        <v>F2 - Fleet cost variance - Efficiency effect</v>
      </c>
      <c r="R234" s="486">
        <f>S513/1000</f>
        <v>0</v>
      </c>
      <c r="S234" s="94"/>
      <c r="T234" s="545"/>
      <c r="U234" s="104"/>
      <c r="V234" s="472">
        <f>W513/1000</f>
        <v>0</v>
      </c>
      <c r="W234" s="104"/>
      <c r="X234" s="546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28"/>
    </row>
    <row r="235" spans="1:76" s="34" customFormat="1" ht="18.75" hidden="1" customHeight="1" x14ac:dyDescent="0.75">
      <c r="A235" s="56"/>
      <c r="B235" s="54" t="s">
        <v>127</v>
      </c>
      <c r="C235" s="9"/>
      <c r="D235" s="1"/>
      <c r="E235" s="1"/>
      <c r="H235" s="368"/>
      <c r="I235" s="94"/>
      <c r="J235" s="57"/>
      <c r="K235" s="467"/>
      <c r="L235" s="468"/>
      <c r="M235" s="571"/>
      <c r="N235" s="471" t="str">
        <f>_xll.DBRA(Server&amp;$B$32,$B235,$N$19)</f>
        <v>F3 - Fleet cost variance - Price effect</v>
      </c>
      <c r="R235" s="486">
        <f>S514/1000</f>
        <v>0</v>
      </c>
      <c r="S235" s="94"/>
      <c r="T235" s="545"/>
      <c r="U235" s="104"/>
      <c r="V235" s="472">
        <f>W514/1000</f>
        <v>0</v>
      </c>
      <c r="W235" s="104"/>
      <c r="X235" s="546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28"/>
    </row>
    <row r="236" spans="1:76" s="34" customFormat="1" ht="18.75" hidden="1" customHeight="1" x14ac:dyDescent="0.75">
      <c r="A236" s="56"/>
      <c r="B236" s="54" t="s">
        <v>128</v>
      </c>
      <c r="C236" s="9"/>
      <c r="D236" s="1"/>
      <c r="E236" s="1"/>
      <c r="H236" s="368"/>
      <c r="I236" s="94"/>
      <c r="J236" s="57"/>
      <c r="K236" s="467"/>
      <c r="L236" s="468"/>
      <c r="M236" s="571"/>
      <c r="N236" s="471" t="str">
        <f>_xll.DBRA(Server&amp;$B$32,$B236,$N$19)</f>
        <v>F - Compound</v>
      </c>
      <c r="R236" s="486">
        <f>S515/1000</f>
        <v>0</v>
      </c>
      <c r="S236" s="94"/>
      <c r="T236" s="545"/>
      <c r="U236" s="104"/>
      <c r="V236" s="472">
        <f>W515/1000</f>
        <v>0</v>
      </c>
      <c r="W236" s="104"/>
      <c r="X236" s="546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28"/>
    </row>
    <row r="237" spans="1:76" s="34" customFormat="1" ht="18.75" customHeight="1" x14ac:dyDescent="0.75">
      <c r="A237" s="56"/>
      <c r="B237" s="54" t="s">
        <v>82</v>
      </c>
      <c r="C237" s="9"/>
      <c r="D237" s="1"/>
      <c r="E237" s="1"/>
      <c r="H237" s="368"/>
      <c r="I237" s="94"/>
      <c r="J237" s="57"/>
      <c r="K237" s="467"/>
      <c r="L237" s="468"/>
      <c r="M237" s="571"/>
      <c r="N237" s="469" t="str">
        <f>"O - "&amp;_xll.DBRA(Server&amp;$B$32,$B237,$N$19)</f>
        <v>O - Other Operating cost</v>
      </c>
      <c r="R237" s="485"/>
      <c r="S237" s="94"/>
      <c r="T237" s="545"/>
      <c r="U237" s="104"/>
      <c r="V237" s="470"/>
      <c r="W237" s="104"/>
      <c r="X237" s="546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28"/>
    </row>
    <row r="238" spans="1:76" s="34" customFormat="1" ht="18.75" customHeight="1" x14ac:dyDescent="0.75">
      <c r="A238" s="56"/>
      <c r="B238" s="54" t="s">
        <v>135</v>
      </c>
      <c r="C238" s="9"/>
      <c r="D238" s="1"/>
      <c r="E238" s="1"/>
      <c r="H238" s="368"/>
      <c r="I238" s="94"/>
      <c r="J238" s="57"/>
      <c r="K238" s="467"/>
      <c r="L238" s="468"/>
      <c r="M238" s="571"/>
      <c r="N238" s="471" t="str">
        <f>_xll.DBRA(Server&amp;$B$32,$B238,$N$19)</f>
        <v>O1 - Other op. cost variance - Costs effect</v>
      </c>
      <c r="R238" s="486">
        <f>S575/1000</f>
        <v>0</v>
      </c>
      <c r="S238" s="94"/>
      <c r="T238" s="545"/>
      <c r="U238" s="104"/>
      <c r="V238" s="472">
        <f>W575/1000</f>
        <v>0</v>
      </c>
      <c r="W238" s="104"/>
      <c r="X238" s="546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28"/>
    </row>
    <row r="239" spans="1:76" s="34" customFormat="1" ht="18.75" customHeight="1" x14ac:dyDescent="0.75">
      <c r="A239" s="56"/>
      <c r="B239" s="54" t="s">
        <v>136</v>
      </c>
      <c r="C239" s="9"/>
      <c r="D239" s="1"/>
      <c r="E239" s="1"/>
      <c r="H239" s="368"/>
      <c r="I239" s="94"/>
      <c r="J239" s="57"/>
      <c r="K239" s="467"/>
      <c r="L239" s="468"/>
      <c r="M239" s="571"/>
      <c r="N239" s="471" t="str">
        <f>_xll.DBRA(Server&amp;$B$32,$B239,$N$19)</f>
        <v>O2 - Other op. cost variance - Costs efficiency effect</v>
      </c>
      <c r="R239" s="486">
        <f t="shared" ref="R239:R241" si="108">S576/1000</f>
        <v>0</v>
      </c>
      <c r="S239" s="94"/>
      <c r="T239" s="545"/>
      <c r="U239" s="104"/>
      <c r="V239" s="472">
        <f t="shared" ref="V239:V241" si="109">W576/1000</f>
        <v>0</v>
      </c>
      <c r="W239" s="104"/>
      <c r="X239" s="546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28"/>
    </row>
    <row r="240" spans="1:76" s="34" customFormat="1" ht="18.75" hidden="1" customHeight="1" x14ac:dyDescent="0.75">
      <c r="A240" s="56"/>
      <c r="B240" s="54" t="s">
        <v>137</v>
      </c>
      <c r="C240" s="9"/>
      <c r="D240" s="1"/>
      <c r="E240" s="1"/>
      <c r="H240" s="368"/>
      <c r="I240" s="94"/>
      <c r="J240" s="57"/>
      <c r="K240" s="467"/>
      <c r="L240" s="468"/>
      <c r="M240" s="571"/>
      <c r="N240" s="471" t="str">
        <f>_xll.DBRA(Server&amp;$B$32,$B240,$N$19)</f>
        <v>O3 - Other op. cost variance - Price effect</v>
      </c>
      <c r="R240" s="486">
        <f t="shared" si="108"/>
        <v>0</v>
      </c>
      <c r="S240" s="94"/>
      <c r="T240" s="545"/>
      <c r="U240" s="104"/>
      <c r="V240" s="472">
        <f t="shared" si="109"/>
        <v>0</v>
      </c>
      <c r="W240" s="104"/>
      <c r="X240" s="546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28"/>
    </row>
    <row r="241" spans="1:76" s="34" customFormat="1" ht="18.75" hidden="1" customHeight="1" x14ac:dyDescent="0.75">
      <c r="A241" s="56"/>
      <c r="B241" s="54" t="s">
        <v>138</v>
      </c>
      <c r="C241" s="9"/>
      <c r="D241" s="1"/>
      <c r="E241" s="1"/>
      <c r="H241" s="368"/>
      <c r="I241" s="94"/>
      <c r="J241" s="57"/>
      <c r="K241" s="467"/>
      <c r="L241" s="468"/>
      <c r="M241" s="571"/>
      <c r="N241" s="471" t="str">
        <f>_xll.DBRA(Server&amp;$B$32,$B241,$N$19)</f>
        <v>O - Compound</v>
      </c>
      <c r="R241" s="486">
        <f t="shared" si="108"/>
        <v>0</v>
      </c>
      <c r="S241" s="94"/>
      <c r="T241" s="545"/>
      <c r="U241" s="104"/>
      <c r="V241" s="472">
        <f t="shared" si="109"/>
        <v>0</v>
      </c>
      <c r="W241" s="104"/>
      <c r="X241" s="546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28"/>
    </row>
    <row r="242" spans="1:76" s="34" customFormat="1" ht="18.75" customHeight="1" x14ac:dyDescent="0.75">
      <c r="A242" s="56"/>
      <c r="B242" s="368"/>
      <c r="C242" s="9"/>
      <c r="D242" s="1"/>
      <c r="E242" s="1"/>
      <c r="H242" s="368"/>
      <c r="I242" s="94"/>
      <c r="J242" s="57"/>
      <c r="K242" s="467"/>
      <c r="L242" s="468"/>
      <c r="M242" s="571"/>
      <c r="N242" s="469" t="s">
        <v>357</v>
      </c>
      <c r="R242" s="485">
        <f>R220+R225+R230+R235+R240</f>
        <v>0</v>
      </c>
      <c r="S242" s="94"/>
      <c r="T242" s="545"/>
      <c r="U242" s="104"/>
      <c r="V242" s="470">
        <f>V220+V225+V230+V235+V240</f>
        <v>0</v>
      </c>
      <c r="W242" s="104"/>
      <c r="X242" s="546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28"/>
    </row>
    <row r="243" spans="1:76" s="34" customFormat="1" ht="18.75" customHeight="1" x14ac:dyDescent="0.75">
      <c r="A243" s="56"/>
      <c r="B243" s="54" t="s">
        <v>138</v>
      </c>
      <c r="C243" s="9"/>
      <c r="D243" s="1"/>
      <c r="E243" s="1"/>
      <c r="H243" s="368"/>
      <c r="I243" s="94"/>
      <c r="J243" s="57"/>
      <c r="K243" s="467"/>
      <c r="L243" s="468"/>
      <c r="M243" s="572"/>
      <c r="N243" s="473" t="str">
        <f>"∑ "&amp;MID(_xll.DBRA(Server&amp;$B$32,$B243,$N$19),3,100)</f>
        <v>∑ - Compound</v>
      </c>
      <c r="O243" s="484"/>
      <c r="P243" s="484"/>
      <c r="Q243" s="484"/>
      <c r="R243" s="487">
        <f>R241+R236+R231+R226+R221</f>
        <v>0</v>
      </c>
      <c r="S243" s="94"/>
      <c r="U243" s="104"/>
      <c r="V243" s="474">
        <f>V241+V236+V231+V226+V221</f>
        <v>0</v>
      </c>
      <c r="W243" s="104"/>
      <c r="X243" s="496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28"/>
    </row>
    <row r="244" spans="1:76" s="34" customFormat="1" ht="18.75" customHeight="1" x14ac:dyDescent="0.75">
      <c r="A244" s="56"/>
      <c r="B244" s="368"/>
      <c r="C244" s="9"/>
      <c r="D244" s="1"/>
      <c r="E244" s="1"/>
      <c r="H244" s="368"/>
      <c r="I244" s="94"/>
      <c r="J244" s="57"/>
      <c r="K244" s="467"/>
      <c r="L244" s="468"/>
      <c r="M244" s="579" t="str">
        <f>IF(V_LANG="French","Autres variances sans impact sur le taux de marge","Other Cost variance (with no impacts on gross margin)")</f>
        <v>Other Cost variance (with no impacts on gross margin)</v>
      </c>
      <c r="N244" s="475" t="str">
        <f>IF(V_LANG="French","∆ Revenu","∆ Revenue")</f>
        <v>∆ Revenue</v>
      </c>
      <c r="R244" s="486">
        <f>S36/1000</f>
        <v>226875.85249000002</v>
      </c>
      <c r="S244" s="94"/>
      <c r="U244" s="104"/>
      <c r="V244" s="472">
        <f>W36/1000</f>
        <v>-6934913.2480918169</v>
      </c>
      <c r="W244" s="104"/>
      <c r="X244" s="496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28"/>
    </row>
    <row r="245" spans="1:76" s="34" customFormat="1" ht="18.75" customHeight="1" thickBot="1" x14ac:dyDescent="0.9">
      <c r="A245" s="56"/>
      <c r="B245" s="368"/>
      <c r="C245" s="9"/>
      <c r="D245" s="1"/>
      <c r="E245" s="1"/>
      <c r="H245" s="368"/>
      <c r="I245" s="94"/>
      <c r="J245" s="57"/>
      <c r="K245" s="476"/>
      <c r="L245" s="477"/>
      <c r="M245" s="580"/>
      <c r="N245" s="475" t="str">
        <f>IF(V_LANG="French","∆ Charges au prorata","∆ Costs")</f>
        <v>∆ Costs</v>
      </c>
      <c r="R245" s="488">
        <f>(S328+S391+S454+S518+S581)/1000</f>
        <v>0</v>
      </c>
      <c r="S245" s="94"/>
      <c r="U245" s="104"/>
      <c r="V245" s="478">
        <f>(W328+W391+W454+W518+W581)/1000</f>
        <v>6547580.0129119046</v>
      </c>
      <c r="W245" s="104"/>
      <c r="X245" s="496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28"/>
    </row>
    <row r="246" spans="1:76" s="34" customFormat="1" ht="21" customHeight="1" x14ac:dyDescent="0.75">
      <c r="A246" s="56"/>
      <c r="B246" s="368"/>
      <c r="C246" s="9"/>
      <c r="D246" s="1"/>
      <c r="E246" s="1"/>
      <c r="H246" s="368"/>
      <c r="I246" s="94"/>
      <c r="J246" s="57"/>
      <c r="K246" s="548" t="str">
        <f>IF(V_LANG="French","Marge brute", "Gross Margin")</f>
        <v>Gross Margin</v>
      </c>
      <c r="L246" s="548"/>
      <c r="M246" s="548"/>
      <c r="N246" s="548"/>
      <c r="O246" s="548"/>
      <c r="P246" s="548"/>
      <c r="Q246" s="548"/>
      <c r="R246" s="479">
        <f>Q124/1000</f>
        <v>36216.967719999942</v>
      </c>
      <c r="S246" s="94"/>
      <c r="U246" s="104"/>
      <c r="V246" s="466">
        <f>Q124/1000</f>
        <v>36216.967719999942</v>
      </c>
      <c r="W246" s="104"/>
      <c r="X246" s="496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28"/>
    </row>
    <row r="247" spans="1:76" s="34" customFormat="1" ht="21" x14ac:dyDescent="0.75">
      <c r="A247" s="56"/>
      <c r="B247" s="368"/>
      <c r="C247" s="9"/>
      <c r="D247" s="1"/>
      <c r="E247" s="1"/>
      <c r="H247" s="368"/>
      <c r="I247" s="94"/>
      <c r="J247" s="57"/>
      <c r="K247" s="480"/>
      <c r="L247" s="480"/>
      <c r="M247" s="480"/>
      <c r="N247" s="480"/>
      <c r="O247" s="480"/>
      <c r="P247" s="481"/>
      <c r="Q247"/>
      <c r="R247" s="463" t="str">
        <f>$Q$32</f>
        <v>Actual</v>
      </c>
      <c r="S247" s="94"/>
      <c r="T247" s="481"/>
      <c r="U247" s="94"/>
      <c r="V247" s="463" t="str">
        <f>$Q$32</f>
        <v>Actual</v>
      </c>
      <c r="W247" s="104"/>
      <c r="X247" s="496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28"/>
    </row>
    <row r="248" spans="1:76" s="34" customFormat="1" ht="21" x14ac:dyDescent="0.75">
      <c r="A248" s="56"/>
      <c r="B248" s="368"/>
      <c r="C248" s="9"/>
      <c r="D248" s="1"/>
      <c r="E248" s="1"/>
      <c r="H248" s="368"/>
      <c r="I248" s="94"/>
      <c r="J248" s="57"/>
      <c r="K248" s="480"/>
      <c r="L248" s="480"/>
      <c r="M248" s="480"/>
      <c r="N248" s="480"/>
      <c r="O248" s="94"/>
      <c r="R248" s="483"/>
      <c r="S248" s="94"/>
      <c r="U248" s="94"/>
      <c r="V248" s="94"/>
      <c r="W248" s="104"/>
      <c r="X248" s="496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28"/>
    </row>
    <row r="249" spans="1:76" s="34" customFormat="1" ht="21" x14ac:dyDescent="0.75">
      <c r="A249" s="56"/>
      <c r="B249" s="368"/>
      <c r="C249" s="9"/>
      <c r="D249" s="1"/>
      <c r="E249" s="1"/>
      <c r="H249" s="368"/>
      <c r="I249" s="94"/>
      <c r="J249" s="57"/>
      <c r="K249" s="480"/>
      <c r="L249" s="480"/>
      <c r="M249" s="480"/>
      <c r="N249" s="480"/>
      <c r="O249" s="480"/>
      <c r="P249" s="481"/>
      <c r="Q249"/>
      <c r="R249" s="94"/>
      <c r="S249" s="94"/>
      <c r="T249" s="481"/>
      <c r="U249" s="94"/>
      <c r="V249" s="94"/>
      <c r="W249" s="104"/>
      <c r="X249" s="496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28"/>
    </row>
    <row r="250" spans="1:76" s="34" customFormat="1" ht="14.75" collapsed="1" x14ac:dyDescent="0.75">
      <c r="A250"/>
      <c r="B250" t="str">
        <f>$N$12&amp;" N"</f>
        <v>Actual N</v>
      </c>
      <c r="C250" t="str">
        <f>$N$20&amp;" "&amp;$N$21</f>
        <v>Budget V current N</v>
      </c>
      <c r="D250" t="str">
        <f>$O$20&amp;" "&amp;$O$21</f>
        <v>Actual N-1</v>
      </c>
      <c r="E250" s="1"/>
      <c r="H250" s="368"/>
      <c r="I250" s="94"/>
      <c r="J250" s="57"/>
      <c r="K250" s="94"/>
      <c r="L250" s="94"/>
      <c r="M250" s="94"/>
      <c r="N250" s="94"/>
      <c r="O250" s="94"/>
      <c r="P250"/>
      <c r="Q250" s="94"/>
      <c r="R250" s="94"/>
      <c r="S250" s="94"/>
      <c r="T250" s="94"/>
      <c r="U250" s="94"/>
      <c r="V250" s="94"/>
      <c r="W250" s="104"/>
      <c r="X250" s="496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28"/>
    </row>
    <row r="251" spans="1:76" s="34" customFormat="1" ht="15.75" hidden="1" customHeight="1" outlineLevel="1" x14ac:dyDescent="0.75">
      <c r="A251" s="381" t="s">
        <v>262</v>
      </c>
      <c r="B251" s="382">
        <f>ROUND(Q36,6)</f>
        <v>226875852.49000001</v>
      </c>
      <c r="C251" s="382">
        <f>ROUND(R36,6)</f>
        <v>0</v>
      </c>
      <c r="D251" s="382">
        <f>ROUND(V36,6)</f>
        <v>7161789100.5818195</v>
      </c>
      <c r="E251" s="1"/>
      <c r="H251" s="368"/>
      <c r="I251" s="94"/>
      <c r="J251" s="57"/>
      <c r="K251" s="94"/>
      <c r="L251" s="94"/>
      <c r="M251" s="94"/>
      <c r="N251" s="94"/>
      <c r="O251" s="94"/>
      <c r="P251" s="463"/>
      <c r="Q251" s="94"/>
      <c r="R251" s="94"/>
      <c r="S251" s="94"/>
      <c r="T251" s="463"/>
      <c r="U251" s="104"/>
      <c r="V251" s="104"/>
      <c r="W251" s="104"/>
      <c r="X251" s="496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28"/>
    </row>
    <row r="252" spans="1:76" s="34" customFormat="1" ht="15.75" hidden="1" customHeight="1" outlineLevel="1" x14ac:dyDescent="0.75">
      <c r="A252" s="381" t="str">
        <f>L124</f>
        <v xml:space="preserve">GROSS MARGIN </v>
      </c>
      <c r="B252" s="419">
        <f>IF(ROUND(B$251,6)&lt;&gt;0,ROUND(Q124/B$251,6),0)</f>
        <v>0.159633</v>
      </c>
      <c r="C252" s="419">
        <f>IF(ROUND(C$251,6)&lt;&gt;0,ROUND(R124/C$251,6),0)</f>
        <v>0</v>
      </c>
      <c r="D252" s="419">
        <f>IF(ROUND(D$251,6)&lt;&gt;0,ROUND(V124/D$251,6),0)</f>
        <v>5.6883000000000003E-2</v>
      </c>
      <c r="E252" s="1"/>
      <c r="H252" s="368"/>
      <c r="I252" s="94"/>
      <c r="J252" s="57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28"/>
    </row>
    <row r="253" spans="1:76" s="34" customFormat="1" ht="15.75" hidden="1" customHeight="1" outlineLevel="1" x14ac:dyDescent="0.75">
      <c r="A253" s="381" t="str">
        <f>K111</f>
        <v>O - Other Operating cost</v>
      </c>
      <c r="B253" s="419">
        <f>IF(ROUND(B$251,6)&lt;&gt;0,ROUND(ABS(Q111)/B$251,6),0)</f>
        <v>0.22225200000000001</v>
      </c>
      <c r="C253" s="419">
        <f>IF(ROUND(C$251,6)&lt;&gt;0,ROUND(ABS(R111)/C$251,6),0)</f>
        <v>0</v>
      </c>
      <c r="D253" s="419">
        <f>IF(ROUND(D$251,6)&lt;&gt;0,ROUND(ABS(V111)/D$251,6),0)</f>
        <v>0.17127300000000001</v>
      </c>
      <c r="E253" s="1"/>
      <c r="H253" s="368"/>
      <c r="I253" s="94"/>
      <c r="J253" s="57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28"/>
    </row>
    <row r="254" spans="1:76" s="34" customFormat="1" ht="15.75" hidden="1" customHeight="1" outlineLevel="1" x14ac:dyDescent="0.75">
      <c r="A254" s="381" t="str">
        <f>K98</f>
        <v xml:space="preserve">F - Fleet </v>
      </c>
      <c r="B254" s="419">
        <f>IF(ROUND(B$251&lt;&gt;0,6),ROUND(ABS(Q98)/B$251,6),0)</f>
        <v>5.5428999999999999E-2</v>
      </c>
      <c r="C254" s="419">
        <f>IF(ROUND(C$251&lt;&gt;0,6),ROUND(ABS(R98)/C$251,6),0)</f>
        <v>0</v>
      </c>
      <c r="D254" s="419">
        <f>IF(ROUND(D$251&lt;&gt;0,6),ROUND(ABS(V98)/D$251,6),0)</f>
        <v>8.6130999999999999E-2</v>
      </c>
      <c r="E254" s="1"/>
      <c r="H254" s="368"/>
      <c r="I254" s="94"/>
      <c r="J254" s="57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28"/>
    </row>
    <row r="255" spans="1:76" s="34" customFormat="1" ht="15.75" hidden="1" customHeight="1" outlineLevel="1" x14ac:dyDescent="0.75">
      <c r="A255" s="381" t="str">
        <f>K81</f>
        <v>E - Energy for traction PMM</v>
      </c>
      <c r="B255" s="419">
        <f>IF(ROUND(B$251&lt;&gt;0,6),ROUND(ABS(Q81)/B$251,6),0)</f>
        <v>0.111984</v>
      </c>
      <c r="C255" s="419">
        <f>IF(ROUND(C$251&lt;&gt;0,6),ROUND(ABS(R81)/C$251,6),0)</f>
        <v>0</v>
      </c>
      <c r="D255" s="419">
        <f>IF(ROUND(D$251&lt;&gt;0,6),ROUND(ABS(V81)/D$251,6),0)</f>
        <v>0.151339</v>
      </c>
      <c r="E255" s="1"/>
      <c r="H255" s="368"/>
      <c r="I255" s="94"/>
      <c r="J255" s="57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28"/>
    </row>
    <row r="256" spans="1:76" s="34" customFormat="1" ht="15.75" hidden="1" customHeight="1" outlineLevel="1" x14ac:dyDescent="0.75">
      <c r="A256" s="381" t="str">
        <f>K62</f>
        <v>M - Maintenance &amp; cleaning of fleet PMM</v>
      </c>
      <c r="B256" s="419">
        <f>IF(ROUND(B$251&lt;&gt;0,6),ROUND(ABS(Q62)/B$251,6),0)</f>
        <v>0.10643900000000001</v>
      </c>
      <c r="C256" s="419">
        <f>IF(ROUND(C$251&lt;&gt;0,6),ROUND(ABS(R62)/C$251,6),0)</f>
        <v>0</v>
      </c>
      <c r="D256" s="419">
        <f>IF(ROUND(D$251&lt;&gt;0,6),ROUND(ABS(V62)/D$251,6),0)</f>
        <v>0.112096</v>
      </c>
      <c r="E256" s="1"/>
      <c r="H256" s="368"/>
      <c r="I256" s="94"/>
      <c r="J256" s="57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28"/>
    </row>
    <row r="257" spans="1:76" s="34" customFormat="1" ht="15.75" hidden="1" customHeight="1" outlineLevel="1" x14ac:dyDescent="0.75">
      <c r="A257" s="381" t="str">
        <f>K53</f>
        <v xml:space="preserve">D - Driving/operating </v>
      </c>
      <c r="B257" s="419">
        <f>IF(ROUND(B$251&lt;&gt;0,6),ROUND(ABS(Q53)/B$251,6),0)</f>
        <v>0.35864699999999999</v>
      </c>
      <c r="C257" s="419">
        <f>IF(ROUND(C$251&lt;&gt;0,6),ROUND(ABS(R53)/C$251,6),0)</f>
        <v>0</v>
      </c>
      <c r="D257" s="419">
        <f>IF(ROUND(D$251&lt;&gt;0,6),ROUND(ABS(V53)/D$251,6),0)</f>
        <v>0.42330899999999999</v>
      </c>
      <c r="E257" s="1"/>
      <c r="H257" s="368"/>
      <c r="I257" s="94"/>
      <c r="J257" s="57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28"/>
    </row>
    <row r="258" spans="1:76" s="34" customFormat="1" ht="12.75" hidden="1" customHeight="1" outlineLevel="1" x14ac:dyDescent="0.75">
      <c r="E258" s="1"/>
      <c r="H258" s="368"/>
      <c r="I258" s="94"/>
      <c r="J258" s="57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28"/>
    </row>
    <row r="259" spans="1:76" s="34" customFormat="1" ht="15" hidden="1" customHeight="1" outlineLevel="1" x14ac:dyDescent="0.75">
      <c r="A259"/>
      <c r="B259" t="str">
        <f>$N$12&amp;" N"</f>
        <v>Actual N</v>
      </c>
      <c r="C259" t="str">
        <f>$N$20&amp;" "&amp;$N$21</f>
        <v>Budget V current N</v>
      </c>
      <c r="D259" t="str">
        <f>$O$20&amp;" "&amp;$O$21</f>
        <v>Actual N-1</v>
      </c>
      <c r="E259" s="1"/>
      <c r="H259" s="368"/>
      <c r="I259" s="94"/>
      <c r="J259" s="57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28"/>
    </row>
    <row r="260" spans="1:76" s="34" customFormat="1" ht="15" hidden="1" customHeight="1" outlineLevel="1" x14ac:dyDescent="0.75">
      <c r="A260" s="383" t="str">
        <f>IF($N$19="English","J","J")</f>
        <v>J</v>
      </c>
      <c r="B260" s="410" t="e">
        <f>IF(AB36&lt;&gt;0,IF(AB124/AB36&lt;&gt;0,AB124/AB36,NA()),NA())</f>
        <v>#N/A</v>
      </c>
      <c r="C260" s="410" t="e">
        <f>IF(AC36&lt;&gt;0,IF(AC124/AC36&lt;&gt;0,AC124/AC36,NA()),NA())</f>
        <v>#N/A</v>
      </c>
      <c r="D260" s="410">
        <f>IF(AD36&lt;&gt;0,IF(AD124/AD36&lt;&gt;0,AD124/AD36,NA()),NA())</f>
        <v>6.8728156008785651E-2</v>
      </c>
      <c r="E260" s="1" t="s">
        <v>279</v>
      </c>
      <c r="H260" s="368"/>
      <c r="I260" s="94"/>
      <c r="J260" s="57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28"/>
    </row>
    <row r="261" spans="1:76" s="34" customFormat="1" ht="15" hidden="1" customHeight="1" outlineLevel="1" x14ac:dyDescent="0.75">
      <c r="A261" s="383" t="s">
        <v>213</v>
      </c>
      <c r="B261" s="410" t="e">
        <f>IF(AF36&lt;&gt;0,IF(AF124/AF36&lt;&gt;0,AF124/AF36,NA()),NA())</f>
        <v>#N/A</v>
      </c>
      <c r="C261" s="410" t="e">
        <f>IF(AG36&lt;&gt;0,IF(AG124/AG36&lt;&gt;0,AG124/AG36,NA()),NA())</f>
        <v>#N/A</v>
      </c>
      <c r="D261" s="410">
        <f>IF(AH36&lt;&gt;0,IF(AH124/AH36&lt;&gt;0,AH124/AH36,NA()),NA())</f>
        <v>0.29830553975877333</v>
      </c>
      <c r="E261" s="1" t="s">
        <v>280</v>
      </c>
      <c r="H261" s="368"/>
      <c r="I261" s="94"/>
      <c r="J261" s="57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28"/>
    </row>
    <row r="262" spans="1:76" s="34" customFormat="1" ht="15" hidden="1" customHeight="1" outlineLevel="1" x14ac:dyDescent="0.75">
      <c r="A262" s="383" t="s">
        <v>215</v>
      </c>
      <c r="B262" s="410" t="e">
        <f>IF(AJ36&lt;&gt;0,IF(AJ124/AJ36&lt;&gt;0,AJ124/AJ36,NA()),NA())</f>
        <v>#N/A</v>
      </c>
      <c r="C262" s="410" t="e">
        <f>IF(AK36&lt;&gt;0,IF(AK124/AK36&lt;&gt;0,AK124/AK36,NA()),NA())</f>
        <v>#N/A</v>
      </c>
      <c r="D262" s="410">
        <f>IF(AL36&lt;&gt;0,IF(AL124/AL36&lt;&gt;0,AL124/AL36,NA()),NA())</f>
        <v>0.14657555929319027</v>
      </c>
      <c r="E262" s="1" t="s">
        <v>281</v>
      </c>
      <c r="H262" s="368"/>
      <c r="I262" s="94"/>
      <c r="J262" s="57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28"/>
    </row>
    <row r="263" spans="1:76" s="34" customFormat="1" ht="15" hidden="1" customHeight="1" outlineLevel="1" x14ac:dyDescent="0.75">
      <c r="A263" s="383" t="s">
        <v>42</v>
      </c>
      <c r="B263" s="410" t="e">
        <f>IF(AN36&lt;&gt;0,IF(AN124/AN36&lt;&gt;0,AN124/AN36,NA()),NA())</f>
        <v>#N/A</v>
      </c>
      <c r="C263" s="410" t="e">
        <f>IF(AO36&lt;&gt;0,IF(AO124/AO36&lt;&gt;0,AO124/AO36,NA()),NA())</f>
        <v>#N/A</v>
      </c>
      <c r="D263" s="410">
        <f>IF(AP36&lt;&gt;0,IF(AP124/AP36&lt;&gt;0,AP124/AP36,NA()),NA())</f>
        <v>0.19192924752440002</v>
      </c>
      <c r="E263" s="1" t="s">
        <v>282</v>
      </c>
      <c r="H263" s="368"/>
      <c r="I263" s="94"/>
      <c r="J263" s="57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28"/>
    </row>
    <row r="264" spans="1:76" s="34" customFormat="1" ht="15" hidden="1" customHeight="1" outlineLevel="1" x14ac:dyDescent="0.75">
      <c r="A264" s="383" t="s">
        <v>215</v>
      </c>
      <c r="B264" s="410" t="e">
        <f>IF(AR36&lt;&gt;0,IF(AR124/AR36&lt;&gt;0,AR124/AR36,NA()),NA())</f>
        <v>#N/A</v>
      </c>
      <c r="C264" s="410" t="e">
        <f>IF(AS36&lt;&gt;0,IF(AS124/AS36&lt;&gt;0,AS124/AS36,NA()),NA())</f>
        <v>#N/A</v>
      </c>
      <c r="D264" s="410">
        <f>IF(AT36&lt;&gt;0,IF(AT124/AT36&lt;&gt;0,AT124/AT36,NA()),NA())</f>
        <v>0.16192977783619522</v>
      </c>
      <c r="E264" s="1" t="s">
        <v>283</v>
      </c>
      <c r="H264" s="368"/>
      <c r="I264" s="94"/>
      <c r="J264" s="57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28"/>
    </row>
    <row r="265" spans="1:76" s="34" customFormat="1" ht="15" hidden="1" customHeight="1" outlineLevel="1" x14ac:dyDescent="0.75">
      <c r="A265" s="383" t="s">
        <v>263</v>
      </c>
      <c r="B265" s="410" t="e">
        <f>IF(AV36&lt;&gt;0,IF(AV124/AV36&lt;&gt;0,AV124/AV36,NA()),NA())</f>
        <v>#N/A</v>
      </c>
      <c r="C265" s="410" t="e">
        <f>IF(AW36&lt;&gt;0,IF(AW124/AW36&lt;&gt;0,AW124/AW36,NA()),NA())</f>
        <v>#N/A</v>
      </c>
      <c r="D265" s="410">
        <f>IF(AX36&lt;&gt;0,IF(AX124/AX36&lt;&gt;0,AX124/AX36,NA()),NA())</f>
        <v>0.10373038196601575</v>
      </c>
      <c r="E265" s="1" t="s">
        <v>284</v>
      </c>
      <c r="H265" s="368"/>
      <c r="I265" s="94"/>
      <c r="J265" s="57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28"/>
    </row>
    <row r="266" spans="1:76" s="34" customFormat="1" ht="15" hidden="1" customHeight="1" outlineLevel="1" x14ac:dyDescent="0.75">
      <c r="A266" s="383" t="s">
        <v>263</v>
      </c>
      <c r="B266" s="410" t="e">
        <f>IF(AZ36&lt;&gt;0,IF(AZ124/AZ36&lt;&gt;0,AZ124/AZ36,NA()),NA())</f>
        <v>#N/A</v>
      </c>
      <c r="C266" s="410" t="e">
        <f>IF(BA36&lt;&gt;0,IF(BA124/BA36&lt;&gt;0,BA124/BA36,NA()),NA())</f>
        <v>#N/A</v>
      </c>
      <c r="D266" s="410">
        <f>IF(BB36&lt;&gt;0,IF(BB124/BB36&lt;&gt;0,BB124/BB36,NA()),NA())</f>
        <v>0.12241283392853931</v>
      </c>
      <c r="E266" s="1" t="s">
        <v>285</v>
      </c>
      <c r="H266" s="368"/>
      <c r="I266" s="94"/>
      <c r="J266" s="57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28"/>
    </row>
    <row r="267" spans="1:76" s="34" customFormat="1" ht="15" hidden="1" customHeight="1" outlineLevel="1" x14ac:dyDescent="0.75">
      <c r="A267" s="383" t="s">
        <v>42</v>
      </c>
      <c r="B267" s="410">
        <f>IF(BD36&lt;&gt;0,IF(BD124/BD36&lt;&gt;0,BD124/BD36,NA()),NA())</f>
        <v>0.15963341767099795</v>
      </c>
      <c r="C267" s="410" t="e">
        <f>IF(BE36&lt;&gt;0,IF(BE124/BE36&lt;&gt;0,BE124/BE36,NA()),NA())</f>
        <v>#N/A</v>
      </c>
      <c r="D267" s="410">
        <f>IF(BF36&lt;&gt;0,IF(BF124/BF36&lt;&gt;0,BF124/BF36,NA()),NA())</f>
        <v>0.15081947833977083</v>
      </c>
      <c r="E267" s="1" t="s">
        <v>286</v>
      </c>
      <c r="H267" s="368"/>
      <c r="I267" s="94"/>
      <c r="J267" s="57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28"/>
    </row>
    <row r="268" spans="1:76" s="34" customFormat="1" ht="15" hidden="1" customHeight="1" outlineLevel="1" x14ac:dyDescent="0.75">
      <c r="A268" s="383" t="s">
        <v>264</v>
      </c>
      <c r="B268" s="410" t="e">
        <f>IF(BH36&lt;&gt;0,IF(BH124/BH36&lt;&gt;0,BH124/BH36,NA()),NA())</f>
        <v>#N/A</v>
      </c>
      <c r="C268" s="410" t="e">
        <f>IF(BI36&lt;&gt;0,IF(BI124/BI36&lt;&gt;0,BI124/BI36,NA()),NA())</f>
        <v>#N/A</v>
      </c>
      <c r="D268" s="410">
        <f>IF(BJ36&lt;&gt;0,IF(BJ124/BJ36&lt;&gt;0,BJ124/BJ36,NA()),NA())</f>
        <v>0.13211565372122874</v>
      </c>
      <c r="E268" s="1" t="s">
        <v>287</v>
      </c>
      <c r="H268" s="368"/>
      <c r="I268" s="94"/>
      <c r="J268" s="57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28"/>
    </row>
    <row r="269" spans="1:76" s="34" customFormat="1" ht="15" hidden="1" customHeight="1" outlineLevel="1" x14ac:dyDescent="0.75">
      <c r="A269" s="383" t="s">
        <v>212</v>
      </c>
      <c r="B269" s="410" t="e">
        <f>IF(BL36&lt;&gt;0,IF(BL124/BL36&lt;&gt;0,BL124/BL36,NA()),NA())</f>
        <v>#N/A</v>
      </c>
      <c r="C269" s="410" t="e">
        <f>IF(BM36&lt;&gt;0,IF(BM124/BM36&lt;&gt;0,BM124/BM36,NA()),NA())</f>
        <v>#N/A</v>
      </c>
      <c r="D269" s="410">
        <f>IF(BN36&lt;&gt;0,IF(BN124/BN36&lt;&gt;0,BN124/BN36,NA()),NA())</f>
        <v>0.16565916560405816</v>
      </c>
      <c r="E269" s="1" t="s">
        <v>288</v>
      </c>
      <c r="H269" s="368"/>
      <c r="I269" s="94"/>
      <c r="J269" s="57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28"/>
    </row>
    <row r="270" spans="1:76" s="34" customFormat="1" ht="15" hidden="1" customHeight="1" outlineLevel="1" x14ac:dyDescent="0.75">
      <c r="A270" s="383" t="s">
        <v>257</v>
      </c>
      <c r="B270" s="410" t="e">
        <f>IF(BP36&lt;&gt;0,IF(BP124/BP36&lt;&gt;0,BP124/BP36,NA()),NA())</f>
        <v>#N/A</v>
      </c>
      <c r="C270" s="410" t="e">
        <f>IF(BQ36&lt;&gt;0,IF(BQ124/BQ36&lt;&gt;0,BQ124/BQ36,NA()),NA())</f>
        <v>#N/A</v>
      </c>
      <c r="D270" s="410">
        <f>IF(BR36&lt;&gt;0,IF(BR124/BR36&lt;&gt;0,BR124/BR36,NA()),NA())</f>
        <v>0.12207150550717717</v>
      </c>
      <c r="E270" s="1" t="s">
        <v>289</v>
      </c>
      <c r="H270" s="368"/>
      <c r="I270" s="94"/>
      <c r="J270" s="57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28"/>
    </row>
    <row r="271" spans="1:76" s="34" customFormat="1" ht="15" hidden="1" customHeight="1" outlineLevel="1" x14ac:dyDescent="0.75">
      <c r="A271" s="383" t="s">
        <v>216</v>
      </c>
      <c r="B271" s="410" t="e">
        <f>IF(BT36&lt;&gt;0,IF(BT124/BT36&lt;&gt;0,BT124/BT36,NA()),NA())</f>
        <v>#N/A</v>
      </c>
      <c r="C271" s="410" t="e">
        <f>IF(BU36&lt;&gt;0,IF(BU124/BU36&lt;&gt;0,BU124/BU36,NA()),NA())</f>
        <v>#N/A</v>
      </c>
      <c r="D271" s="410">
        <f>IF(BV36&lt;&gt;0,IF(BV124/BV36&lt;&gt;0,BV124/BV36,NA()),NA())</f>
        <v>-1.5004668726008138E-2</v>
      </c>
      <c r="E271" s="1" t="s">
        <v>290</v>
      </c>
      <c r="H271" s="368"/>
      <c r="I271" s="94"/>
      <c r="J271" s="57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28"/>
    </row>
    <row r="272" spans="1:76" s="34" customFormat="1" ht="12.75" hidden="1" customHeight="1" outlineLevel="1" x14ac:dyDescent="0.75">
      <c r="A272" s="56"/>
      <c r="B272" s="368"/>
      <c r="C272" s="9"/>
      <c r="D272" s="1"/>
      <c r="E272" s="1"/>
      <c r="H272" s="368"/>
      <c r="I272" s="94"/>
      <c r="J272" s="57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28"/>
    </row>
    <row r="273" spans="1:76" s="34" customFormat="1" ht="15" hidden="1" customHeight="1" outlineLevel="1" x14ac:dyDescent="0.75">
      <c r="A273" t="s">
        <v>277</v>
      </c>
      <c r="B273" t="str">
        <f>$N$12&amp;" N"</f>
        <v>Actual N</v>
      </c>
      <c r="C273" t="str">
        <f>$N$20&amp;" "&amp;$N$21</f>
        <v>Budget V current N</v>
      </c>
      <c r="D273" t="str">
        <f>$O$20&amp;" "&amp;$O$21</f>
        <v>Actual N-1</v>
      </c>
      <c r="E273" s="1"/>
      <c r="H273" s="368"/>
      <c r="I273" s="94"/>
      <c r="J273" s="57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28"/>
    </row>
    <row r="274" spans="1:76" s="34" customFormat="1" ht="15" hidden="1" customHeight="1" outlineLevel="1" x14ac:dyDescent="0.75">
      <c r="A274" s="383" t="str">
        <f>IF($N$19="English","J","J")</f>
        <v>J</v>
      </c>
      <c r="B274" s="384" t="e">
        <f>IF(ROUND(AB$332,6),ROUND(AB$332,6),NA())</f>
        <v>#N/A</v>
      </c>
      <c r="C274" s="384" t="e">
        <f>IF(ROUND(AC$332,6),ROUND(AC$332,6),NA())</f>
        <v>#N/A</v>
      </c>
      <c r="D274" s="384" t="e">
        <f>IF(ROUND(AD$332,6),ROUND(AD$332,6),NA())</f>
        <v>#N/A</v>
      </c>
      <c r="E274" s="1" t="s">
        <v>279</v>
      </c>
      <c r="H274" s="368"/>
      <c r="I274" s="94"/>
      <c r="J274" s="57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28"/>
    </row>
    <row r="275" spans="1:76" s="34" customFormat="1" ht="15" hidden="1" customHeight="1" outlineLevel="1" x14ac:dyDescent="0.75">
      <c r="A275" s="383" t="s">
        <v>213</v>
      </c>
      <c r="B275" s="384" t="e">
        <f>IF(ROUND(AF$332,6),ROUND(AF$332,6),NA())</f>
        <v>#N/A</v>
      </c>
      <c r="C275" s="384" t="e">
        <f>IF(ROUND(AG$332,6),ROUND(AG$332,6),NA())</f>
        <v>#N/A</v>
      </c>
      <c r="D275" s="384" t="e">
        <f>IF(ROUND(AH$332,6),ROUND(AH$332,6),NA())</f>
        <v>#N/A</v>
      </c>
      <c r="E275" s="1" t="s">
        <v>280</v>
      </c>
      <c r="H275" s="368"/>
      <c r="I275" s="94"/>
      <c r="J275" s="57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28"/>
    </row>
    <row r="276" spans="1:76" s="34" customFormat="1" ht="15" hidden="1" customHeight="1" outlineLevel="1" x14ac:dyDescent="0.75">
      <c r="A276" s="383" t="s">
        <v>215</v>
      </c>
      <c r="B276" s="384" t="e">
        <f>IF(ROUND(AJ$332,6),ROUND(AJ$332,6),NA())</f>
        <v>#N/A</v>
      </c>
      <c r="C276" s="384" t="e">
        <f>IF(ROUND(AK$332,6),ROUND(AK$332,6),NA())</f>
        <v>#N/A</v>
      </c>
      <c r="D276" s="384" t="e">
        <f>IF(ROUND(AL$332,6),ROUND(AL$332,6),NA())</f>
        <v>#N/A</v>
      </c>
      <c r="E276" s="1" t="s">
        <v>281</v>
      </c>
      <c r="H276" s="368"/>
      <c r="I276" s="94"/>
      <c r="J276" s="57"/>
      <c r="K276" s="547" t="str">
        <f>O125</f>
        <v>Gross Margin (in percentage of ROA net of sub. transport)</v>
      </c>
      <c r="L276" s="547"/>
      <c r="M276" s="547"/>
      <c r="N276" s="547"/>
      <c r="O276" s="547"/>
      <c r="P276" s="547"/>
      <c r="Q276" s="547"/>
      <c r="R276" s="547"/>
      <c r="S276" s="547"/>
      <c r="T276" s="547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28"/>
    </row>
    <row r="277" spans="1:76" s="34" customFormat="1" ht="15" hidden="1" customHeight="1" outlineLevel="1" x14ac:dyDescent="0.75">
      <c r="A277" s="383" t="s">
        <v>42</v>
      </c>
      <c r="B277" s="384" t="e">
        <f>IF(ROUND(AN$332,6),ROUND(AN$332,6),NA())</f>
        <v>#N/A</v>
      </c>
      <c r="C277" s="384" t="e">
        <f>IF(ROUND(AO$332,6),ROUND(AO$332,6),NA())</f>
        <v>#N/A</v>
      </c>
      <c r="D277" s="384" t="e">
        <f>IF(ROUND(AP$332,6),ROUND(AP$332,6),NA())</f>
        <v>#N/A</v>
      </c>
      <c r="E277" s="1" t="s">
        <v>282</v>
      </c>
      <c r="H277" s="368"/>
      <c r="I277" s="94"/>
      <c r="J277" s="57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28"/>
    </row>
    <row r="278" spans="1:76" s="34" customFormat="1" ht="15" hidden="1" customHeight="1" outlineLevel="1" x14ac:dyDescent="0.75">
      <c r="A278" s="383" t="s">
        <v>215</v>
      </c>
      <c r="B278" s="384" t="e">
        <f>IF(ROUND(AR$332,6),ROUND(AR$332,6),NA())</f>
        <v>#N/A</v>
      </c>
      <c r="C278" s="384" t="e">
        <f>IF(ROUND(AS$332,6),ROUND(AS$332,6),NA())</f>
        <v>#N/A</v>
      </c>
      <c r="D278" s="384" t="e">
        <f>IF(ROUND(AT$332,6),ROUND(AT$332,6),NA())</f>
        <v>#N/A</v>
      </c>
      <c r="E278" s="1" t="s">
        <v>283</v>
      </c>
      <c r="H278" s="368"/>
      <c r="I278" s="94"/>
      <c r="J278" s="57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28"/>
    </row>
    <row r="279" spans="1:76" s="34" customFormat="1" ht="15" hidden="1" customHeight="1" outlineLevel="1" x14ac:dyDescent="0.75">
      <c r="A279" s="383" t="s">
        <v>263</v>
      </c>
      <c r="B279" s="384" t="e">
        <f>IF(ROUND(AV$332,6),ROUND(AV$332,6),NA())</f>
        <v>#N/A</v>
      </c>
      <c r="C279" s="384" t="e">
        <f>IF(ROUND(AW$332,6),ROUND(AW$332,6),NA())</f>
        <v>#N/A</v>
      </c>
      <c r="D279" s="384" t="e">
        <f>IF(ROUND(AX$332,6),ROUND(AX$332,6),NA())</f>
        <v>#N/A</v>
      </c>
      <c r="E279" s="1" t="s">
        <v>284</v>
      </c>
      <c r="H279" s="368"/>
      <c r="I279" s="94"/>
      <c r="J279" s="57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28"/>
    </row>
    <row r="280" spans="1:76" s="34" customFormat="1" ht="15" hidden="1" customHeight="1" outlineLevel="1" x14ac:dyDescent="0.75">
      <c r="A280" s="383" t="s">
        <v>263</v>
      </c>
      <c r="B280" s="384" t="e">
        <f>IF(ROUND(AZ$332,6),ROUND(AZ$332,6),NA())</f>
        <v>#N/A</v>
      </c>
      <c r="C280" s="384" t="e">
        <f>IF(ROUND(BA$332,6),ROUND(BA$332,6),NA())</f>
        <v>#N/A</v>
      </c>
      <c r="D280" s="384" t="e">
        <f>IF(ROUND(BB$332,6),ROUND(BB$332,6),NA())</f>
        <v>#N/A</v>
      </c>
      <c r="E280" s="1" t="s">
        <v>285</v>
      </c>
      <c r="H280" s="368"/>
      <c r="I280" s="94"/>
      <c r="J280" s="57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28"/>
    </row>
    <row r="281" spans="1:76" s="34" customFormat="1" ht="15" hidden="1" customHeight="1" outlineLevel="1" x14ac:dyDescent="0.75">
      <c r="A281" s="383" t="s">
        <v>42</v>
      </c>
      <c r="B281" s="384" t="e">
        <f>IF(ROUND(BD$332,6),ROUND(BD$332,6),NA())</f>
        <v>#N/A</v>
      </c>
      <c r="C281" s="384" t="e">
        <f>IF(ROUND(BE$332,6),ROUND(BE$332,6),NA())</f>
        <v>#N/A</v>
      </c>
      <c r="D281" s="384" t="e">
        <f>IF(ROUND(BF$332,6),ROUND(BF$332,6),NA())</f>
        <v>#N/A</v>
      </c>
      <c r="E281" s="1" t="s">
        <v>286</v>
      </c>
      <c r="H281" s="368"/>
      <c r="I281" s="94"/>
      <c r="J281" s="57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28"/>
    </row>
    <row r="282" spans="1:76" s="34" customFormat="1" ht="15" hidden="1" customHeight="1" outlineLevel="1" x14ac:dyDescent="0.75">
      <c r="A282" s="383" t="s">
        <v>264</v>
      </c>
      <c r="B282" s="384" t="e">
        <f>IF(ROUND(BH$332,6),ROUND(BH$332,6),NA())</f>
        <v>#N/A</v>
      </c>
      <c r="C282" s="384" t="e">
        <f>IF(ROUND(BI$332,6),ROUND(BI$332,6),NA())</f>
        <v>#N/A</v>
      </c>
      <c r="D282" s="384" t="e">
        <f>IF(ROUND(BJ$332,6),ROUND(BJ$332,6),NA())</f>
        <v>#N/A</v>
      </c>
      <c r="E282" s="1" t="s">
        <v>287</v>
      </c>
      <c r="H282" s="368"/>
      <c r="I282" s="94"/>
      <c r="J282" s="57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28"/>
    </row>
    <row r="283" spans="1:76" s="34" customFormat="1" ht="15" hidden="1" customHeight="1" outlineLevel="1" x14ac:dyDescent="0.75">
      <c r="A283" s="383" t="s">
        <v>212</v>
      </c>
      <c r="B283" s="384" t="e">
        <f>IF(ROUND(BL$332,6),ROUND(BL$332,6),NA())</f>
        <v>#N/A</v>
      </c>
      <c r="C283" s="384" t="e">
        <f>IF(ROUND(BM$332,6),ROUND(BM$332,6),NA())</f>
        <v>#N/A</v>
      </c>
      <c r="D283" s="384" t="e">
        <f>IF(ROUND(BN$332,6),ROUND(BN$332,6),NA())</f>
        <v>#N/A</v>
      </c>
      <c r="E283" s="1" t="s">
        <v>288</v>
      </c>
      <c r="H283" s="368"/>
      <c r="I283" s="94"/>
      <c r="J283" s="57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28"/>
    </row>
    <row r="284" spans="1:76" s="34" customFormat="1" ht="15" hidden="1" customHeight="1" outlineLevel="1" x14ac:dyDescent="0.75">
      <c r="A284" s="383" t="s">
        <v>257</v>
      </c>
      <c r="B284" s="384" t="e">
        <f>IF(ROUND(BP$332,6),ROUND(BP$332,6),NA())</f>
        <v>#N/A</v>
      </c>
      <c r="C284" s="384" t="e">
        <f>IF(ROUND(BQ$332,6),ROUND(BQ$332,6),NA())</f>
        <v>#N/A</v>
      </c>
      <c r="D284" s="384" t="e">
        <f>IF(ROUND(BR$332,6),ROUND(BR$332,6),NA())</f>
        <v>#N/A</v>
      </c>
      <c r="E284" s="1" t="s">
        <v>289</v>
      </c>
      <c r="H284" s="368"/>
      <c r="I284" s="94"/>
      <c r="J284" s="57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28"/>
    </row>
    <row r="285" spans="1:76" s="34" customFormat="1" ht="15" hidden="1" customHeight="1" outlineLevel="1" x14ac:dyDescent="0.75">
      <c r="A285" s="383" t="s">
        <v>216</v>
      </c>
      <c r="B285" s="384" t="e">
        <f>IF(ROUND(BT$332,6),ROUND(BT$332,6),NA())</f>
        <v>#N/A</v>
      </c>
      <c r="C285" s="384" t="e">
        <f>IF(ROUND(BU$332,6),ROUND(BU$332,6),NA())</f>
        <v>#N/A</v>
      </c>
      <c r="D285" s="384" t="e">
        <f>IF(ROUND(BV$332,6),ROUND(BV$332,6),NA())</f>
        <v>#N/A</v>
      </c>
      <c r="E285" s="1" t="s">
        <v>290</v>
      </c>
      <c r="H285" s="368"/>
      <c r="I285" s="94"/>
      <c r="J285" s="57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28"/>
    </row>
    <row r="286" spans="1:76" s="34" customFormat="1" ht="12.75" hidden="1" customHeight="1" outlineLevel="1" x14ac:dyDescent="0.75">
      <c r="A286" s="56"/>
      <c r="B286" s="368"/>
      <c r="C286" s="9"/>
      <c r="D286" s="1"/>
      <c r="E286" s="1"/>
      <c r="H286" s="368"/>
      <c r="I286" s="94"/>
      <c r="J286" s="57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28"/>
    </row>
    <row r="287" spans="1:76" s="34" customFormat="1" ht="15" hidden="1" customHeight="1" outlineLevel="1" x14ac:dyDescent="0.75">
      <c r="A287" s="56" t="s">
        <v>278</v>
      </c>
      <c r="B287" t="str">
        <f>$N$12&amp;" N"</f>
        <v>Actual N</v>
      </c>
      <c r="C287" t="str">
        <f>$N$20&amp;" "&amp;$N$21</f>
        <v>Budget V current N</v>
      </c>
      <c r="D287" t="str">
        <f>$O$20&amp;" "&amp;$O$21</f>
        <v>Actual N-1</v>
      </c>
      <c r="E287" s="1"/>
      <c r="H287" s="368"/>
      <c r="I287" s="94"/>
      <c r="J287" s="57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28"/>
    </row>
    <row r="288" spans="1:76" s="34" customFormat="1" ht="15" hidden="1" customHeight="1" outlineLevel="1" x14ac:dyDescent="0.75">
      <c r="A288" s="383" t="str">
        <f>IF($N$19="English","J","J")</f>
        <v>J</v>
      </c>
      <c r="B288" s="411" t="e">
        <f>IF(B274,IF(ROUND(AB$36/B274,6)&lt;&gt;0,ROUND(AB$36/B274,6),NA()),NA())</f>
        <v>#N/A</v>
      </c>
      <c r="C288" s="411" t="e">
        <f>IF(C274,IF(ROUND(AC$36/C274,6)&lt;&gt;0,ROUND(AC$36/C274,6),NA()),NA())</f>
        <v>#N/A</v>
      </c>
      <c r="D288" s="411" t="e">
        <f>IF(D274,IF(ROUND(AD$36/D274,6)&lt;&gt;0,ROUND(AD$36/D274,6),NA()),NA())</f>
        <v>#N/A</v>
      </c>
      <c r="E288" s="1"/>
      <c r="H288" s="368"/>
      <c r="I288" s="94"/>
      <c r="J288" s="57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28"/>
    </row>
    <row r="289" spans="1:76" s="34" customFormat="1" ht="15" hidden="1" customHeight="1" outlineLevel="1" x14ac:dyDescent="0.75">
      <c r="A289" s="383" t="s">
        <v>213</v>
      </c>
      <c r="B289" s="411" t="e">
        <f>IF(B275,IF(ROUND(AF$36/B275,6)&lt;&gt;0,ROUND(AF$36/B275,6),NA()),NA())</f>
        <v>#N/A</v>
      </c>
      <c r="C289" s="411" t="e">
        <f>IF(C275,IF(ROUND(AG$36/C275,6)&lt;&gt;0,ROUND(AG$36/C275,6),NA()),NA())</f>
        <v>#N/A</v>
      </c>
      <c r="D289" s="411" t="e">
        <f>IF(D275,IF(ROUND(AH$36/D275,6)&lt;&gt;0,ROUND(AH$36/D275,6),NA()),NA())</f>
        <v>#N/A</v>
      </c>
      <c r="E289" s="1"/>
      <c r="H289" s="368"/>
      <c r="I289" s="94"/>
      <c r="J289" s="57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28"/>
    </row>
    <row r="290" spans="1:76" s="34" customFormat="1" ht="15" hidden="1" customHeight="1" outlineLevel="1" x14ac:dyDescent="0.75">
      <c r="A290" s="383" t="s">
        <v>215</v>
      </c>
      <c r="B290" s="411" t="e">
        <f>IF(B276,IF(ROUND(AJ$36/B276,6)&lt;&gt;0,ROUND(AJ$36/B276,6),NA()),NA())</f>
        <v>#N/A</v>
      </c>
      <c r="C290" s="411" t="e">
        <f>IF(C276,IF(ROUND(AK$36/C276,6)&lt;&gt;0,ROUND(AK$36/C276,6),NA()),NA())</f>
        <v>#N/A</v>
      </c>
      <c r="D290" s="411" t="e">
        <f>IF(D276,IF(ROUND(AL$36/D276,6)&lt;&gt;0,ROUND(AL$36/D276,6),NA()),NA())</f>
        <v>#N/A</v>
      </c>
      <c r="E290" s="1"/>
      <c r="H290" s="368"/>
      <c r="I290" s="94"/>
      <c r="J290" s="57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28"/>
    </row>
    <row r="291" spans="1:76" s="34" customFormat="1" ht="15" hidden="1" customHeight="1" outlineLevel="1" x14ac:dyDescent="0.75">
      <c r="A291" s="383" t="s">
        <v>42</v>
      </c>
      <c r="B291" s="411" t="e">
        <f>IF(B277,IF(ROUND(AN$36/B277,6)&lt;&gt;0,ROUND(AN$36/B277,6),NA()),NA())</f>
        <v>#N/A</v>
      </c>
      <c r="C291" s="411" t="e">
        <f>IF(C277,IF(ROUND(AO$36/C277,6)&lt;&gt;0,ROUND(AO$36/C277,6),NA()),NA())</f>
        <v>#N/A</v>
      </c>
      <c r="D291" s="411" t="e">
        <f>IF(D277,IF(ROUND(AP$36/D277,6)&lt;&gt;0,ROUND(AP$36/D277,6),NA()),NA())</f>
        <v>#N/A</v>
      </c>
      <c r="E291" s="1"/>
      <c r="H291" s="368"/>
      <c r="I291" s="94"/>
      <c r="J291" s="57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28"/>
    </row>
    <row r="292" spans="1:76" s="34" customFormat="1" ht="15" hidden="1" customHeight="1" outlineLevel="1" x14ac:dyDescent="0.75">
      <c r="A292" s="383" t="s">
        <v>215</v>
      </c>
      <c r="B292" s="411" t="e">
        <f>IF(B278,IF(ROUND(AR$36/B278,6)&lt;&gt;0,ROUND(AR$36/B278,6),NA()),NA())</f>
        <v>#N/A</v>
      </c>
      <c r="C292" s="411" t="e">
        <f>IF(C278,IF(ROUND(AS$36/C278,6)&lt;&gt;0,ROUND(AS$36/C278,6),NA()),NA())</f>
        <v>#N/A</v>
      </c>
      <c r="D292" s="411" t="e">
        <f>IF(D278,IF(ROUND(AT$36/D278,6)&lt;&gt;0,ROUND(AT$36/D278,6),NA()),NA())</f>
        <v>#N/A</v>
      </c>
      <c r="E292" s="1"/>
      <c r="H292" s="368"/>
      <c r="I292" s="94"/>
      <c r="J292" s="57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28"/>
    </row>
    <row r="293" spans="1:76" s="34" customFormat="1" ht="15" hidden="1" customHeight="1" outlineLevel="1" x14ac:dyDescent="0.75">
      <c r="A293" s="383" t="s">
        <v>263</v>
      </c>
      <c r="B293" s="411" t="e">
        <f>IF(B279,IF(ROUND(AV$36/B279,6)&lt;&gt;0,ROUND(AV$36/B279,6),NA()),NA())</f>
        <v>#N/A</v>
      </c>
      <c r="C293" s="411" t="e">
        <f>IF(C279,IF(ROUND(AW$36/C279,6)&lt;&gt;0,ROUND(AW$36/C279,6),NA()),NA())</f>
        <v>#N/A</v>
      </c>
      <c r="D293" s="411" t="e">
        <f>IF(D279,IF(ROUND(AX$36/D279,6)&lt;&gt;0,ROUND(AX$36/D279,6),NA()),NA())</f>
        <v>#N/A</v>
      </c>
      <c r="E293" s="1"/>
      <c r="H293" s="368"/>
      <c r="I293" s="94"/>
      <c r="J293" s="57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28"/>
    </row>
    <row r="294" spans="1:76" s="34" customFormat="1" ht="15" hidden="1" customHeight="1" outlineLevel="1" x14ac:dyDescent="0.75">
      <c r="A294" s="383" t="s">
        <v>263</v>
      </c>
      <c r="B294" s="411" t="e">
        <f>IF(B280,IF(ROUND(AZ$36/B280,6)&lt;&gt;0,ROUND(AZ$36/B280,6),NA()),NA())</f>
        <v>#N/A</v>
      </c>
      <c r="C294" s="411" t="e">
        <f>IF(C280,IF(ROUND(BA$36/C280,6)&lt;&gt;0,ROUND(BA$36/C280,6),NA()),NA())</f>
        <v>#N/A</v>
      </c>
      <c r="D294" s="411" t="e">
        <f>IF(D280,IF(ROUND(BB$36/D280,6)&lt;&gt;0,ROUND(BB$36/D280,6),NA()),NA())</f>
        <v>#N/A</v>
      </c>
      <c r="E294" s="1"/>
      <c r="H294" s="368"/>
      <c r="I294" s="94"/>
      <c r="J294" s="57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28"/>
    </row>
    <row r="295" spans="1:76" s="34" customFormat="1" ht="15" hidden="1" customHeight="1" outlineLevel="1" x14ac:dyDescent="0.75">
      <c r="A295" s="383" t="s">
        <v>42</v>
      </c>
      <c r="B295" s="411" t="e">
        <f>IF(B281,IF(ROUND(BD$36/B281,6)&lt;&gt;0,ROUND(BD$36/B281,6),NA()),NA())</f>
        <v>#N/A</v>
      </c>
      <c r="C295" s="411" t="e">
        <f>IF(C281,IF(ROUND(BE$36/C281,6)&lt;&gt;0,ROUND(BE$36/C281,6),NA()),NA())</f>
        <v>#N/A</v>
      </c>
      <c r="D295" s="411" t="e">
        <f>IF(D281,IF(ROUND(BF$36/D281,6)&lt;&gt;0,ROUND(BF$36/D281,6),NA()),NA())</f>
        <v>#N/A</v>
      </c>
      <c r="E295" s="1"/>
      <c r="H295" s="368"/>
      <c r="I295" s="94"/>
      <c r="J295" s="57"/>
      <c r="K295" s="547" t="str">
        <f>MID(IF(OR(O330="Not defined",O330="Non défini",O332="Not defined",O332="Non défini"),_xll.DBRA(Server&amp;$B$32,$B320,$N$19),_xll.DBRA(Server&amp;Context!$B$32,Context!$B$47,$N$19)&amp;" "&amp;O332),6,256)</f>
        <v>Revenue per Price Work Unit</v>
      </c>
      <c r="L295" s="547"/>
      <c r="M295" s="547"/>
      <c r="N295" s="547"/>
      <c r="O295" s="547"/>
      <c r="P295" s="547"/>
      <c r="Q295" s="547"/>
      <c r="R295" s="547"/>
      <c r="S295" s="547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28"/>
    </row>
    <row r="296" spans="1:76" s="34" customFormat="1" ht="15" hidden="1" customHeight="1" outlineLevel="1" x14ac:dyDescent="0.75">
      <c r="A296" s="383" t="s">
        <v>264</v>
      </c>
      <c r="B296" s="411" t="e">
        <f>IF(B282,IF(ROUND(BH$36/B282,6)&lt;&gt;0,ROUND(BH$36/B282,6),NA()),NA())</f>
        <v>#N/A</v>
      </c>
      <c r="C296" s="411" t="e">
        <f>IF(C282,IF(ROUND(BI$36/C282,6)&lt;&gt;0,ROUND(BI$36/C282,6),NA()),NA())</f>
        <v>#N/A</v>
      </c>
      <c r="D296" s="411" t="e">
        <f>IF(D282,IF(ROUND(BJ$36/D282,6)&lt;&gt;0,ROUND(BJ$36/D282,6),NA()),NA())</f>
        <v>#N/A</v>
      </c>
      <c r="E296" s="1"/>
      <c r="H296" s="368"/>
      <c r="I296" s="94"/>
      <c r="J296" s="57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28"/>
    </row>
    <row r="297" spans="1:76" s="34" customFormat="1" ht="15" hidden="1" customHeight="1" outlineLevel="1" x14ac:dyDescent="0.75">
      <c r="A297" s="383" t="s">
        <v>212</v>
      </c>
      <c r="B297" s="411" t="e">
        <f>IF(B283,IF(ROUND(BL$36/B283,6)&lt;&gt;0,ROUND(BL$36/B283,6),NA()),NA())</f>
        <v>#N/A</v>
      </c>
      <c r="C297" s="411" t="e">
        <f>IF(C283,IF(ROUND(BM$36/C283,6)&lt;&gt;0,ROUND(BM$36/C283,6),NA()),NA())</f>
        <v>#N/A</v>
      </c>
      <c r="D297" s="411" t="e">
        <f>IF(D283,IF(ROUND(BN$36/D283,6)&lt;&gt;0,ROUND(BN$36/D283,6),NA()),NA())</f>
        <v>#N/A</v>
      </c>
      <c r="E297" s="1"/>
      <c r="H297" s="368"/>
      <c r="I297" s="94"/>
      <c r="J297" s="57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28"/>
    </row>
    <row r="298" spans="1:76" s="34" customFormat="1" ht="15" hidden="1" customHeight="1" outlineLevel="1" x14ac:dyDescent="0.75">
      <c r="A298" s="383" t="s">
        <v>257</v>
      </c>
      <c r="B298" s="411" t="e">
        <f>IF(B284,IF(ROUND(BP$36/B284,6)&lt;&gt;0,ROUND(BP$36/B284,6),NA()),NA())</f>
        <v>#N/A</v>
      </c>
      <c r="C298" s="411" t="e">
        <f>IF(C284,IF(ROUND(BQ$36/C284,6)&lt;&gt;0,ROUND(BQ$36/C284,6),NA()),NA())</f>
        <v>#N/A</v>
      </c>
      <c r="D298" s="411" t="e">
        <f>IF(D284,IF(ROUND(BR$36/D284,6)&lt;&gt;0,ROUND(BR$36/D284,6),NA()),NA())</f>
        <v>#N/A</v>
      </c>
      <c r="E298" s="1"/>
      <c r="H298" s="368"/>
      <c r="I298" s="94"/>
      <c r="J298" s="57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28"/>
    </row>
    <row r="299" spans="1:76" s="34" customFormat="1" ht="15" hidden="1" customHeight="1" outlineLevel="1" x14ac:dyDescent="0.75">
      <c r="A299" s="383" t="s">
        <v>216</v>
      </c>
      <c r="B299" s="411" t="e">
        <f>IF(B285,IF(ROUND(BT$36/B285,6)&lt;&gt;0,ROUND(BT$36/B285,6),NA()),NA())</f>
        <v>#N/A</v>
      </c>
      <c r="C299" s="411" t="e">
        <f>IF(C285,IF(ROUND(BU$36/C285,6)&lt;&gt;0,ROUND(BU$36/C285,6),NA()),NA())</f>
        <v>#N/A</v>
      </c>
      <c r="D299" s="411" t="e">
        <f>IF(D285,IF(ROUND(BV$36/D285,6)&lt;&gt;0,ROUND(BV$36/D285,6),NA()),NA())</f>
        <v>#N/A</v>
      </c>
      <c r="E299" s="1"/>
      <c r="H299" s="368"/>
      <c r="I299" s="94"/>
      <c r="J299" s="57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28"/>
    </row>
    <row r="300" spans="1:76" s="34" customFormat="1" ht="12.75" hidden="1" customHeight="1" outlineLevel="1" x14ac:dyDescent="0.75">
      <c r="A300" s="56"/>
      <c r="B300" s="368"/>
      <c r="C300" s="9"/>
      <c r="D300" s="1"/>
      <c r="E300" s="1"/>
      <c r="H300" s="368"/>
      <c r="I300" s="94"/>
      <c r="J300" s="57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28"/>
    </row>
    <row r="301" spans="1:76" s="34" customFormat="1" ht="12.75" hidden="1" customHeight="1" outlineLevel="1" x14ac:dyDescent="0.75">
      <c r="A301" s="56"/>
      <c r="B301" s="368"/>
      <c r="C301" s="9"/>
      <c r="D301" s="1"/>
      <c r="E301" s="1"/>
      <c r="H301" s="368"/>
      <c r="I301" s="94"/>
      <c r="J301" s="57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28"/>
    </row>
    <row r="302" spans="1:76" s="34" customFormat="1" ht="12.75" hidden="1" customHeight="1" outlineLevel="1" x14ac:dyDescent="0.75">
      <c r="A302" s="56"/>
      <c r="B302" s="368"/>
      <c r="C302" s="9"/>
      <c r="D302" s="1"/>
      <c r="E302" s="1"/>
      <c r="H302" s="368"/>
      <c r="I302" s="94"/>
      <c r="J302" s="57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28"/>
    </row>
    <row r="303" spans="1:76" s="34" customFormat="1" ht="12.75" hidden="1" customHeight="1" outlineLevel="1" x14ac:dyDescent="0.75">
      <c r="A303" s="56"/>
      <c r="B303" s="368"/>
      <c r="C303" s="9"/>
      <c r="D303" s="1"/>
      <c r="E303" s="1"/>
      <c r="H303" s="368"/>
      <c r="I303" s="94"/>
      <c r="J303" s="57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28"/>
    </row>
    <row r="304" spans="1:76" s="34" customFormat="1" ht="12.75" hidden="1" customHeight="1" outlineLevel="1" x14ac:dyDescent="0.75">
      <c r="A304" s="56"/>
      <c r="B304" s="368"/>
      <c r="C304" s="9"/>
      <c r="D304" s="1"/>
      <c r="E304" s="1"/>
      <c r="H304" s="368"/>
      <c r="I304" s="94"/>
      <c r="J304" s="57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28"/>
    </row>
    <row r="305" spans="1:79" s="34" customFormat="1" ht="12.75" hidden="1" customHeight="1" outlineLevel="1" x14ac:dyDescent="0.75">
      <c r="A305" s="56"/>
      <c r="B305" s="368"/>
      <c r="C305" s="9"/>
      <c r="D305" s="1"/>
      <c r="E305" s="1"/>
      <c r="H305" s="368"/>
      <c r="I305" s="94"/>
      <c r="J305" s="57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28"/>
    </row>
    <row r="306" spans="1:79" s="34" customFormat="1" ht="12.75" hidden="1" customHeight="1" outlineLevel="1" x14ac:dyDescent="0.75">
      <c r="A306" s="56"/>
      <c r="B306" s="368"/>
      <c r="C306" s="9"/>
      <c r="D306" s="1"/>
      <c r="E306" s="1"/>
      <c r="H306" s="368"/>
      <c r="I306" s="94"/>
      <c r="J306" s="57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28"/>
    </row>
    <row r="307" spans="1:79" s="34" customFormat="1" ht="12.75" hidden="1" customHeight="1" outlineLevel="1" x14ac:dyDescent="0.75">
      <c r="A307" s="56"/>
      <c r="B307" s="368"/>
      <c r="C307" s="9"/>
      <c r="D307" s="1"/>
      <c r="E307" s="1"/>
      <c r="H307" s="368"/>
      <c r="I307" s="94"/>
      <c r="J307" s="57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28"/>
    </row>
    <row r="308" spans="1:79" s="34" customFormat="1" ht="12.75" hidden="1" customHeight="1" outlineLevel="1" x14ac:dyDescent="0.75">
      <c r="A308" s="56"/>
      <c r="B308" s="368"/>
      <c r="C308" s="9"/>
      <c r="D308" s="1"/>
      <c r="E308" s="1"/>
      <c r="H308" s="368"/>
      <c r="I308" s="94"/>
      <c r="J308" s="57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28"/>
    </row>
    <row r="309" spans="1:79" s="34" customFormat="1" ht="12.75" hidden="1" customHeight="1" outlineLevel="1" x14ac:dyDescent="0.75">
      <c r="A309" s="56"/>
      <c r="B309" s="368"/>
      <c r="C309" s="9"/>
      <c r="D309" s="1"/>
      <c r="E309" s="1"/>
      <c r="H309" s="368"/>
      <c r="I309" s="94"/>
      <c r="J309" s="57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28"/>
    </row>
    <row r="310" spans="1:79" s="34" customFormat="1" ht="12.75" hidden="1" customHeight="1" outlineLevel="1" x14ac:dyDescent="0.75">
      <c r="A310" s="56"/>
      <c r="B310" s="368"/>
      <c r="C310" s="9"/>
      <c r="D310" s="1"/>
      <c r="E310" s="1"/>
      <c r="H310" s="368"/>
      <c r="I310" s="94"/>
      <c r="J310" s="57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28"/>
    </row>
    <row r="311" spans="1:79" s="34" customFormat="1" ht="12.75" hidden="1" customHeight="1" outlineLevel="1" x14ac:dyDescent="0.75">
      <c r="A311" s="56"/>
      <c r="B311" s="368"/>
      <c r="C311" s="9"/>
      <c r="D311" s="1"/>
      <c r="E311" s="1"/>
      <c r="H311" s="368"/>
      <c r="I311" s="94"/>
      <c r="J311" s="57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28"/>
    </row>
    <row r="312" spans="1:79" s="34" customFormat="1" ht="12.75" hidden="1" customHeight="1" outlineLevel="1" x14ac:dyDescent="0.75">
      <c r="A312" s="56"/>
      <c r="B312" s="368"/>
      <c r="C312" s="9"/>
      <c r="D312" s="1"/>
      <c r="E312" s="1"/>
      <c r="H312" s="368"/>
      <c r="I312" s="94"/>
      <c r="J312" s="57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28"/>
    </row>
    <row r="313" spans="1:79" s="34" customFormat="1" ht="12.75" hidden="1" customHeight="1" outlineLevel="1" x14ac:dyDescent="0.75">
      <c r="A313" s="56"/>
      <c r="B313" s="368"/>
      <c r="C313" s="9"/>
      <c r="D313" s="1"/>
      <c r="E313" s="1"/>
      <c r="H313" s="368"/>
      <c r="I313" s="94"/>
      <c r="J313" s="57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28"/>
    </row>
    <row r="314" spans="1:79" s="34" customFormat="1" ht="12.75" hidden="1" customHeight="1" outlineLevel="1" x14ac:dyDescent="0.75">
      <c r="A314" s="56"/>
      <c r="B314" s="368"/>
      <c r="C314" s="9"/>
      <c r="D314" s="1"/>
      <c r="E314" s="1"/>
      <c r="H314" s="368"/>
      <c r="I314" s="94"/>
      <c r="J314" s="57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28"/>
    </row>
    <row r="315" spans="1:79" s="34" customFormat="1" ht="13.5" collapsed="1" x14ac:dyDescent="0.75">
      <c r="A315" s="56"/>
      <c r="B315" s="368"/>
      <c r="C315" s="9"/>
      <c r="D315" s="1"/>
      <c r="E315" s="1"/>
      <c r="H315" s="368"/>
      <c r="I315" s="94"/>
      <c r="J315" s="57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4"/>
      <c r="X315" s="94"/>
      <c r="Y315" s="94"/>
      <c r="Z315" s="94"/>
      <c r="AA315" s="94"/>
      <c r="AB315" s="94"/>
      <c r="AC315" s="94"/>
      <c r="AD315" s="94"/>
      <c r="AE315" s="94"/>
      <c r="AF315" s="94"/>
      <c r="AG315" s="94"/>
      <c r="AH315" s="94"/>
      <c r="AI315" s="94"/>
      <c r="AJ315" s="94"/>
      <c r="AK315" s="94"/>
      <c r="AL315" s="94"/>
      <c r="AM315" s="94"/>
      <c r="AN315" s="94"/>
      <c r="AO315" s="94"/>
      <c r="AP315" s="94"/>
      <c r="AQ315" s="94"/>
      <c r="AR315" s="94"/>
      <c r="AS315" s="94"/>
      <c r="AT315" s="94"/>
      <c r="AU315" s="94"/>
      <c r="AV315" s="94"/>
      <c r="AW315" s="94"/>
      <c r="AX315" s="94"/>
      <c r="AY315" s="94"/>
      <c r="AZ315" s="94"/>
      <c r="BA315" s="94"/>
      <c r="BB315" s="94"/>
      <c r="BC315" s="94"/>
      <c r="BD315" s="94"/>
      <c r="BE315" s="94"/>
      <c r="BF315" s="94"/>
      <c r="BG315" s="94"/>
      <c r="BH315" s="94"/>
      <c r="BI315" s="94"/>
      <c r="BJ315" s="94"/>
      <c r="BK315" s="94"/>
      <c r="BL315" s="94"/>
      <c r="BM315" s="94"/>
      <c r="BN315" s="94"/>
      <c r="BO315" s="94"/>
      <c r="BP315" s="94"/>
      <c r="BQ315" s="94"/>
      <c r="BR315" s="94"/>
      <c r="BS315" s="94"/>
      <c r="BT315" s="94"/>
      <c r="BU315" s="94"/>
      <c r="BV315" s="94"/>
      <c r="BW315" s="94"/>
      <c r="BX315" s="28"/>
    </row>
    <row r="316" spans="1:79" s="34" customFormat="1" ht="7.5" customHeight="1" x14ac:dyDescent="0.75">
      <c r="A316" s="56"/>
      <c r="B316" s="368"/>
      <c r="C316" s="9"/>
      <c r="D316" s="1"/>
      <c r="E316" s="1"/>
      <c r="H316" s="368"/>
      <c r="I316" s="94"/>
      <c r="J316" s="57"/>
      <c r="K316" s="95"/>
      <c r="L316" s="96"/>
      <c r="M316" s="96"/>
      <c r="N316" s="96"/>
      <c r="O316" s="96"/>
      <c r="P316" s="96"/>
      <c r="Q316" s="96"/>
      <c r="R316" s="96"/>
      <c r="S316" s="97"/>
      <c r="T316" s="97"/>
      <c r="U316" s="96"/>
      <c r="V316" s="96"/>
      <c r="W316" s="97"/>
      <c r="X316" s="97"/>
      <c r="Y316" s="98"/>
      <c r="Z316" s="104"/>
      <c r="AA316" s="95"/>
      <c r="AB316" s="96"/>
      <c r="AC316" s="96"/>
      <c r="AD316" s="96"/>
      <c r="AE316" s="96"/>
      <c r="AF316" s="96"/>
      <c r="AG316" s="96"/>
      <c r="AH316" s="96"/>
      <c r="AI316" s="96"/>
      <c r="AJ316" s="96"/>
      <c r="AK316" s="96"/>
      <c r="AL316" s="96"/>
      <c r="AM316" s="96"/>
      <c r="AN316" s="96"/>
      <c r="AO316" s="96"/>
      <c r="AP316" s="96"/>
      <c r="AQ316" s="96"/>
      <c r="AR316" s="96"/>
      <c r="AS316" s="96"/>
      <c r="AT316" s="96"/>
      <c r="AU316" s="96"/>
      <c r="AV316" s="96"/>
      <c r="AW316" s="96"/>
      <c r="AX316" s="96"/>
      <c r="AY316" s="96"/>
      <c r="AZ316" s="96"/>
      <c r="BA316" s="96"/>
      <c r="BB316" s="96"/>
      <c r="BC316" s="96"/>
      <c r="BD316" s="96"/>
      <c r="BE316" s="96"/>
      <c r="BF316" s="96"/>
      <c r="BG316" s="96"/>
      <c r="BH316" s="96"/>
      <c r="BI316" s="96"/>
      <c r="BJ316" s="96"/>
      <c r="BK316" s="96"/>
      <c r="BL316" s="96"/>
      <c r="BM316" s="96"/>
      <c r="BN316" s="96"/>
      <c r="BO316" s="96"/>
      <c r="BP316" s="96"/>
      <c r="BQ316" s="96"/>
      <c r="BR316" s="96"/>
      <c r="BS316" s="96"/>
      <c r="BT316" s="96"/>
      <c r="BU316" s="96"/>
      <c r="BV316" s="96"/>
      <c r="BW316" s="98"/>
      <c r="BX316" s="28"/>
    </row>
    <row r="317" spans="1:79" s="34" customFormat="1" ht="23.25" customHeight="1" x14ac:dyDescent="0.8">
      <c r="A317" s="56"/>
      <c r="B317" s="54" t="s">
        <v>96</v>
      </c>
      <c r="C317" s="9"/>
      <c r="D317" s="1"/>
      <c r="E317" s="1"/>
      <c r="H317" s="54"/>
      <c r="I317" s="94"/>
      <c r="J317" s="57"/>
      <c r="K317" s="99"/>
      <c r="L317" s="529" t="str">
        <f>_xll.DBRA(Server&amp;$B$32,$B317,$N$19)</f>
        <v>D - Driving Cost as % of Revenue</v>
      </c>
      <c r="M317" s="530" t="s">
        <v>16</v>
      </c>
      <c r="N317" s="530"/>
      <c r="O317" s="531"/>
      <c r="P317" s="207"/>
      <c r="Q317" s="303">
        <f>_xll.DBRW(Server&amp;Cube1,$N$15,$N$16,$N$17,$N$18,$N$14,$N$13,$N$11,$Q$1,$B317)</f>
        <v>0</v>
      </c>
      <c r="R317" s="304">
        <f>_xll.DBRW(Server&amp;Cube1,$N$15,$N$16,$N$17,$N$18,$N$14,$N$13,$R$2,$R$1,$B317)</f>
        <v>0</v>
      </c>
      <c r="S317" s="291" t="str">
        <f>IF(T317=0,"è",IF(T317&lt;0,"ì","î"))</f>
        <v>è</v>
      </c>
      <c r="T317" s="287">
        <f>-($Q317-R317)*100</f>
        <v>0</v>
      </c>
      <c r="U317" s="239"/>
      <c r="V317" s="303">
        <f>_xll.DBRW(Server&amp;Cube1,$N$15,$N$16,$N$17,$N$18,$N$14,$N$13,$V$2,$V$1,$B317)</f>
        <v>0</v>
      </c>
      <c r="W317" s="292" t="str">
        <f>IF(X317=0,"è",IF(X317&lt;0,"ì","î"))</f>
        <v>è</v>
      </c>
      <c r="X317" s="287">
        <f>-($Q317-V317)*100</f>
        <v>0</v>
      </c>
      <c r="Y317" s="100"/>
      <c r="Z317" s="388"/>
      <c r="AA317" s="99"/>
      <c r="AB317" s="303">
        <f>_xll.DBRW(Server&amp;Cube1,$N$15,$N$16,$N$17,$N$18,$N$14,$N$13,AB$2,AB$1,$B317)</f>
        <v>0</v>
      </c>
      <c r="AC317" s="303">
        <f>_xll.DBRW(Server&amp;Cube1,$N$15,$N$16,$N$17,$N$18,$N$14,$N$13,AC$2,AC$1,$B317)</f>
        <v>0</v>
      </c>
      <c r="AD317" s="391">
        <f>_xll.DBRW(Server&amp;Cube1,$N$15,$N$16,$N$17,$N$18,$N$14,$N$13,AD$2,AD$1,$B317)</f>
        <v>0</v>
      </c>
      <c r="AE317" s="104"/>
      <c r="AF317" s="303">
        <f>_xll.DBRW(Server&amp;Cube1,$N$15,$N$16,$N$17,$N$18,$N$14,$N$13,AF$2,AF$1,$B317)</f>
        <v>0</v>
      </c>
      <c r="AG317" s="303">
        <f>_xll.DBRW(Server&amp;Cube1,$N$15,$N$16,$N$17,$N$18,$N$14,$N$13,AG$2,AG$1,$B317)</f>
        <v>0</v>
      </c>
      <c r="AH317" s="391">
        <f>_xll.DBRW(Server&amp;Cube1,$N$15,$N$16,$N$17,$N$18,$N$14,$N$13,AH$2,AH$1,$B317)</f>
        <v>0</v>
      </c>
      <c r="AI317" s="104"/>
      <c r="AJ317" s="303">
        <f>_xll.DBRW(Server&amp;Cube1,$N$15,$N$16,$N$17,$N$18,$N$14,$N$13,AJ$2,AJ$1,$B317)</f>
        <v>0</v>
      </c>
      <c r="AK317" s="303">
        <f>_xll.DBRW(Server&amp;Cube1,$N$15,$N$16,$N$17,$N$18,$N$14,$N$13,AK$2,AK$1,$B317)</f>
        <v>0</v>
      </c>
      <c r="AL317" s="391">
        <f>_xll.DBRW(Server&amp;Cube1,$N$15,$N$16,$N$17,$N$18,$N$14,$N$13,AL$2,AL$1,$B317)</f>
        <v>0</v>
      </c>
      <c r="AM317" s="104"/>
      <c r="AN317" s="303">
        <f>_xll.DBRW(Server&amp;Cube1,$N$15,$N$16,$N$17,$N$18,$N$14,$N$13,AN$2,AN$1,$B317)</f>
        <v>0</v>
      </c>
      <c r="AO317" s="303">
        <f>_xll.DBRW(Server&amp;Cube1,$N$15,$N$16,$N$17,$N$18,$N$14,$N$13,AO$2,AO$1,$B317)</f>
        <v>0</v>
      </c>
      <c r="AP317" s="391">
        <f>_xll.DBRW(Server&amp;Cube1,$N$15,$N$16,$N$17,$N$18,$N$14,$N$13,AP$2,AP$1,$B317)</f>
        <v>0</v>
      </c>
      <c r="AQ317" s="104"/>
      <c r="AR317" s="303">
        <f>_xll.DBRW(Server&amp;Cube1,$N$15,$N$16,$N$17,$N$18,$N$14,$N$13,AR$2,AR$1,$B317)</f>
        <v>0</v>
      </c>
      <c r="AS317" s="303">
        <f>_xll.DBRW(Server&amp;Cube1,$N$15,$N$16,$N$17,$N$18,$N$14,$N$13,AS$2,AS$1,$B317)</f>
        <v>0</v>
      </c>
      <c r="AT317" s="391">
        <f>_xll.DBRW(Server&amp;Cube1,$N$15,$N$16,$N$17,$N$18,$N$14,$N$13,AT$2,AT$1,$B317)</f>
        <v>0</v>
      </c>
      <c r="AU317" s="104"/>
      <c r="AV317" s="303">
        <f>_xll.DBRW(Server&amp;Cube1,$N$15,$N$16,$N$17,$N$18,$N$14,$N$13,AV$2,AV$1,$B317)</f>
        <v>0</v>
      </c>
      <c r="AW317" s="303">
        <f>_xll.DBRW(Server&amp;Cube1,$N$15,$N$16,$N$17,$N$18,$N$14,$N$13,AW$2,AW$1,$B317)</f>
        <v>0</v>
      </c>
      <c r="AX317" s="391">
        <f>_xll.DBRW(Server&amp;Cube1,$N$15,$N$16,$N$17,$N$18,$N$14,$N$13,AX$2,AX$1,$B317)</f>
        <v>0</v>
      </c>
      <c r="AY317" s="104"/>
      <c r="AZ317" s="303">
        <f>_xll.DBRW(Server&amp;Cube1,$N$15,$N$16,$N$17,$N$18,$N$14,$N$13,AZ$2,AZ$1,$B317)</f>
        <v>0</v>
      </c>
      <c r="BA317" s="303">
        <f>_xll.DBRW(Server&amp;Cube1,$N$15,$N$16,$N$17,$N$18,$N$14,$N$13,BA$2,BA$1,$B317)</f>
        <v>0</v>
      </c>
      <c r="BB317" s="391">
        <f>_xll.DBRW(Server&amp;Cube1,$N$15,$N$16,$N$17,$N$18,$N$14,$N$13,BB$2,BB$1,$B317)</f>
        <v>0</v>
      </c>
      <c r="BC317" s="104"/>
      <c r="BD317" s="303">
        <f>_xll.DBRW(Server&amp;Cube1,$N$15,$N$16,$N$17,$N$18,$N$14,$N$13,BD$2,BD$1,$B317)</f>
        <v>0</v>
      </c>
      <c r="BE317" s="303">
        <f>_xll.DBRW(Server&amp;Cube1,$N$15,$N$16,$N$17,$N$18,$N$14,$N$13,BE$2,BE$1,$B317)</f>
        <v>0</v>
      </c>
      <c r="BF317" s="391">
        <f>_xll.DBRW(Server&amp;Cube1,$N$15,$N$16,$N$17,$N$18,$N$14,$N$13,BF$2,BF$1,$B317)</f>
        <v>0</v>
      </c>
      <c r="BG317" s="104"/>
      <c r="BH317" s="303">
        <f>_xll.DBRW(Server&amp;Cube1,$N$15,$N$16,$N$17,$N$18,$N$14,$N$13,BH$2,BH$1,$B317)</f>
        <v>0</v>
      </c>
      <c r="BI317" s="303">
        <f>_xll.DBRW(Server&amp;Cube1,$N$15,$N$16,$N$17,$N$18,$N$14,$N$13,BI$2,BI$1,$B317)</f>
        <v>0</v>
      </c>
      <c r="BJ317" s="391">
        <f>_xll.DBRW(Server&amp;Cube1,$N$15,$N$16,$N$17,$N$18,$N$14,$N$13,BJ$2,BJ$1,$B317)</f>
        <v>0</v>
      </c>
      <c r="BK317" s="104"/>
      <c r="BL317" s="303">
        <f>_xll.DBRW(Server&amp;Cube1,$N$15,$N$16,$N$17,$N$18,$N$14,$N$13,BL$2,BL$1,$B317)</f>
        <v>0</v>
      </c>
      <c r="BM317" s="303">
        <f>_xll.DBRW(Server&amp;Cube1,$N$15,$N$16,$N$17,$N$18,$N$14,$N$13,BM$2,BM$1,$B317)</f>
        <v>0</v>
      </c>
      <c r="BN317" s="391">
        <f>_xll.DBRW(Server&amp;Cube1,$N$15,$N$16,$N$17,$N$18,$N$14,$N$13,BN$2,BN$1,$B317)</f>
        <v>0</v>
      </c>
      <c r="BO317" s="104"/>
      <c r="BP317" s="303">
        <f>_xll.DBRW(Server&amp;Cube1,$N$15,$N$16,$N$17,$N$18,$N$14,$N$13,BP$2,BP$1,$B317)</f>
        <v>0</v>
      </c>
      <c r="BQ317" s="303">
        <f>_xll.DBRW(Server&amp;Cube1,$N$15,$N$16,$N$17,$N$18,$N$14,$N$13,BQ$2,BQ$1,$B317)</f>
        <v>0</v>
      </c>
      <c r="BR317" s="391">
        <f>_xll.DBRW(Server&amp;Cube1,$N$15,$N$16,$N$17,$N$18,$N$14,$N$13,BR$2,BR$1,$B317)</f>
        <v>0</v>
      </c>
      <c r="BS317" s="104"/>
      <c r="BT317" s="303">
        <f>_xll.DBRW(Server&amp;Cube1,$N$15,$N$16,$N$17,$N$18,$N$14,$N$13,BT$2,BT$1,$B317)</f>
        <v>0</v>
      </c>
      <c r="BU317" s="303">
        <f>_xll.DBRW(Server&amp;Cube1,$N$15,$N$16,$N$17,$N$18,$N$14,$N$13,BU$2,BU$1,$B317)</f>
        <v>0</v>
      </c>
      <c r="BV317" s="391">
        <f>_xll.DBRW(Server&amp;Cube1,$N$15,$N$16,$N$17,$N$18,$N$14,$N$13,BV$2,BV$1,$B317)</f>
        <v>0</v>
      </c>
      <c r="BW317" s="100"/>
      <c r="BX317" s="28"/>
      <c r="BZ317" s="358"/>
    </row>
    <row r="318" spans="1:79" s="34" customFormat="1" ht="27.75" customHeight="1" x14ac:dyDescent="0.8">
      <c r="A318" s="56"/>
      <c r="B318" s="54" t="s">
        <v>83</v>
      </c>
      <c r="C318" s="9"/>
      <c r="D318" s="1"/>
      <c r="E318" s="1"/>
      <c r="H318" s="54"/>
      <c r="I318" s="94"/>
      <c r="J318" s="57"/>
      <c r="K318" s="99"/>
      <c r="L318" s="532" t="str">
        <f>_xll.DBRA(Server&amp;Context!$B$32,Context!$B$45,$N$19)</f>
        <v>LEVEL 2</v>
      </c>
      <c r="M318" s="535" t="str">
        <f>IF(OR(O330="Not defined",O330="Non défini",O332="Not defined",O332="Non défini"),_xll.DBRA(Server&amp;$B$32,$B318,$N$19),_xll.DBRA(Server&amp;Context!$B$32,Context!$B$46,$N$19)&amp;" "&amp;O330)</f>
        <v>D1 - Driving Cost per Cost Work Unit</v>
      </c>
      <c r="N318" s="535"/>
      <c r="O318" s="536"/>
      <c r="P318" s="240"/>
      <c r="Q318" s="312">
        <f>_xll.DBRW(Server&amp;Cube1,$N$15,$N$16,$N$17,$N$18,$N$14,$N$13,$N$11,$Q$1,$B318)</f>
        <v>0</v>
      </c>
      <c r="R318" s="313">
        <f>_xll.DBRW(Server&amp;Cube1,$N$15,$N$16,$N$17,$N$18,$N$14,$N$13,$R$2,$R$1,$B318)</f>
        <v>0</v>
      </c>
      <c r="S318" s="420">
        <f>$Q318-R318</f>
        <v>0</v>
      </c>
      <c r="T318" s="315"/>
      <c r="U318" s="239"/>
      <c r="V318" s="323">
        <f>_xll.DBRW(Server&amp;Cube1,$N$15,$N$16,$N$17,$N$18,$N$14,$N$13,$V$2,$V$1,$B318)</f>
        <v>0</v>
      </c>
      <c r="W318" s="314">
        <f>$Q318-V318</f>
        <v>0</v>
      </c>
      <c r="X318" s="315"/>
      <c r="Y318" s="100"/>
      <c r="Z318" s="388"/>
      <c r="AA318" s="99"/>
      <c r="AB318" s="312">
        <f>_xll.DBRW(Server&amp;Cube1,$N$15,$N$16,$N$17,$N$18,$N$14,$N$13,AB$2,AB$1,$B318)</f>
        <v>0</v>
      </c>
      <c r="AC318" s="312">
        <f>_xll.DBRW(Server&amp;Cube1,$N$15,$N$16,$N$17,$N$18,$N$14,$N$13,AC$2,AC$1,$B318)</f>
        <v>0</v>
      </c>
      <c r="AD318" s="392">
        <f>_xll.DBRW(Server&amp;Cube1,$N$15,$N$16,$N$17,$N$18,$N$14,$N$13,AD$2,AD$1,$B318)</f>
        <v>0</v>
      </c>
      <c r="AE318" s="104"/>
      <c r="AF318" s="312">
        <f>_xll.DBRW(Server&amp;Cube1,$N$15,$N$16,$N$17,$N$18,$N$14,$N$13,AF$2,AF$1,$B318)</f>
        <v>0</v>
      </c>
      <c r="AG318" s="312">
        <f>_xll.DBRW(Server&amp;Cube1,$N$15,$N$16,$N$17,$N$18,$N$14,$N$13,AG$2,AG$1,$B318)</f>
        <v>0</v>
      </c>
      <c r="AH318" s="392">
        <f>_xll.DBRW(Server&amp;Cube1,$N$15,$N$16,$N$17,$N$18,$N$14,$N$13,AH$2,AH$1,$B318)</f>
        <v>0</v>
      </c>
      <c r="AI318" s="104"/>
      <c r="AJ318" s="312">
        <f>_xll.DBRW(Server&amp;Cube1,$N$15,$N$16,$N$17,$N$18,$N$14,$N$13,AJ$2,AJ$1,$B318)</f>
        <v>0</v>
      </c>
      <c r="AK318" s="312">
        <f>_xll.DBRW(Server&amp;Cube1,$N$15,$N$16,$N$17,$N$18,$N$14,$N$13,AK$2,AK$1,$B318)</f>
        <v>0</v>
      </c>
      <c r="AL318" s="392">
        <f>_xll.DBRW(Server&amp;Cube1,$N$15,$N$16,$N$17,$N$18,$N$14,$N$13,AL$2,AL$1,$B318)</f>
        <v>0</v>
      </c>
      <c r="AM318" s="104"/>
      <c r="AN318" s="312">
        <f>_xll.DBRW(Server&amp;Cube1,$N$15,$N$16,$N$17,$N$18,$N$14,$N$13,AN$2,AN$1,$B318)</f>
        <v>0</v>
      </c>
      <c r="AO318" s="312">
        <f>_xll.DBRW(Server&amp;Cube1,$N$15,$N$16,$N$17,$N$18,$N$14,$N$13,AO$2,AO$1,$B318)</f>
        <v>0</v>
      </c>
      <c r="AP318" s="392">
        <f>_xll.DBRW(Server&amp;Cube1,$N$15,$N$16,$N$17,$N$18,$N$14,$N$13,AP$2,AP$1,$B318)</f>
        <v>0</v>
      </c>
      <c r="AQ318" s="104"/>
      <c r="AR318" s="312">
        <f>_xll.DBRW(Server&amp;Cube1,$N$15,$N$16,$N$17,$N$18,$N$14,$N$13,AR$2,AR$1,$B318)</f>
        <v>0</v>
      </c>
      <c r="AS318" s="312">
        <f>_xll.DBRW(Server&amp;Cube1,$N$15,$N$16,$N$17,$N$18,$N$14,$N$13,AS$2,AS$1,$B318)</f>
        <v>0</v>
      </c>
      <c r="AT318" s="392">
        <f>_xll.DBRW(Server&amp;Cube1,$N$15,$N$16,$N$17,$N$18,$N$14,$N$13,AT$2,AT$1,$B318)</f>
        <v>0</v>
      </c>
      <c r="AU318" s="104"/>
      <c r="AV318" s="312">
        <f>_xll.DBRW(Server&amp;Cube1,$N$15,$N$16,$N$17,$N$18,$N$14,$N$13,AV$2,AV$1,$B318)</f>
        <v>0</v>
      </c>
      <c r="AW318" s="312">
        <f>_xll.DBRW(Server&amp;Cube1,$N$15,$N$16,$N$17,$N$18,$N$14,$N$13,AW$2,AW$1,$B318)</f>
        <v>0</v>
      </c>
      <c r="AX318" s="392">
        <f>_xll.DBRW(Server&amp;Cube1,$N$15,$N$16,$N$17,$N$18,$N$14,$N$13,AX$2,AX$1,$B318)</f>
        <v>0</v>
      </c>
      <c r="AY318" s="104"/>
      <c r="AZ318" s="312">
        <f>_xll.DBRW(Server&amp;Cube1,$N$15,$N$16,$N$17,$N$18,$N$14,$N$13,AZ$2,AZ$1,$B318)</f>
        <v>0</v>
      </c>
      <c r="BA318" s="312">
        <f>_xll.DBRW(Server&amp;Cube1,$N$15,$N$16,$N$17,$N$18,$N$14,$N$13,BA$2,BA$1,$B318)</f>
        <v>0</v>
      </c>
      <c r="BB318" s="392">
        <f>_xll.DBRW(Server&amp;Cube1,$N$15,$N$16,$N$17,$N$18,$N$14,$N$13,BB$2,BB$1,$B318)</f>
        <v>0</v>
      </c>
      <c r="BC318" s="104"/>
      <c r="BD318" s="312">
        <f>_xll.DBRW(Server&amp;Cube1,$N$15,$N$16,$N$17,$N$18,$N$14,$N$13,BD$2,BD$1,$B318)</f>
        <v>0</v>
      </c>
      <c r="BE318" s="312">
        <f>_xll.DBRW(Server&amp;Cube1,$N$15,$N$16,$N$17,$N$18,$N$14,$N$13,BE$2,BE$1,$B318)</f>
        <v>0</v>
      </c>
      <c r="BF318" s="392">
        <f>_xll.DBRW(Server&amp;Cube1,$N$15,$N$16,$N$17,$N$18,$N$14,$N$13,BF$2,BF$1,$B318)</f>
        <v>0</v>
      </c>
      <c r="BG318" s="104"/>
      <c r="BH318" s="312">
        <f>_xll.DBRW(Server&amp;Cube1,$N$15,$N$16,$N$17,$N$18,$N$14,$N$13,BH$2,BH$1,$B318)</f>
        <v>0</v>
      </c>
      <c r="BI318" s="312">
        <f>_xll.DBRW(Server&amp;Cube1,$N$15,$N$16,$N$17,$N$18,$N$14,$N$13,BI$2,BI$1,$B318)</f>
        <v>0</v>
      </c>
      <c r="BJ318" s="392">
        <f>_xll.DBRW(Server&amp;Cube1,$N$15,$N$16,$N$17,$N$18,$N$14,$N$13,BJ$2,BJ$1,$B318)</f>
        <v>0</v>
      </c>
      <c r="BK318" s="104"/>
      <c r="BL318" s="312">
        <f>_xll.DBRW(Server&amp;Cube1,$N$15,$N$16,$N$17,$N$18,$N$14,$N$13,BL$2,BL$1,$B318)</f>
        <v>0</v>
      </c>
      <c r="BM318" s="312">
        <f>_xll.DBRW(Server&amp;Cube1,$N$15,$N$16,$N$17,$N$18,$N$14,$N$13,BM$2,BM$1,$B318)</f>
        <v>0</v>
      </c>
      <c r="BN318" s="392">
        <f>_xll.DBRW(Server&amp;Cube1,$N$15,$N$16,$N$17,$N$18,$N$14,$N$13,BN$2,BN$1,$B318)</f>
        <v>0</v>
      </c>
      <c r="BO318" s="104"/>
      <c r="BP318" s="312">
        <f>_xll.DBRW(Server&amp;Cube1,$N$15,$N$16,$N$17,$N$18,$N$14,$N$13,BP$2,BP$1,$B318)</f>
        <v>0</v>
      </c>
      <c r="BQ318" s="312">
        <f>_xll.DBRW(Server&amp;Cube1,$N$15,$N$16,$N$17,$N$18,$N$14,$N$13,BQ$2,BQ$1,$B318)</f>
        <v>0</v>
      </c>
      <c r="BR318" s="392">
        <f>_xll.DBRW(Server&amp;Cube1,$N$15,$N$16,$N$17,$N$18,$N$14,$N$13,BR$2,BR$1,$B318)</f>
        <v>0</v>
      </c>
      <c r="BS318" s="104"/>
      <c r="BT318" s="312">
        <f>_xll.DBRW(Server&amp;Cube1,$N$15,$N$16,$N$17,$N$18,$N$14,$N$13,BT$2,BT$1,$B318)</f>
        <v>0</v>
      </c>
      <c r="BU318" s="312">
        <f>_xll.DBRW(Server&amp;Cube1,$N$15,$N$16,$N$17,$N$18,$N$14,$N$13,BU$2,BU$1,$B318)</f>
        <v>0</v>
      </c>
      <c r="BV318" s="392">
        <f>_xll.DBRW(Server&amp;Cube1,$N$15,$N$16,$N$17,$N$18,$N$14,$N$13,BV$2,BV$1,$B318)</f>
        <v>0</v>
      </c>
      <c r="BW318" s="100"/>
      <c r="BX318" s="28"/>
      <c r="BZ318" s="361"/>
    </row>
    <row r="319" spans="1:79" s="34" customFormat="1" ht="27.75" customHeight="1" x14ac:dyDescent="0.8">
      <c r="A319" s="56"/>
      <c r="B319" s="54" t="s">
        <v>84</v>
      </c>
      <c r="C319" s="9"/>
      <c r="D319" s="1"/>
      <c r="E319" s="1"/>
      <c r="H319" s="54"/>
      <c r="I319" s="94"/>
      <c r="J319" s="57"/>
      <c r="K319" s="99"/>
      <c r="L319" s="533"/>
      <c r="M319" s="519" t="str">
        <f>IF(OR(O330="Not defined",O330="Non défini",O332="Not defined",O332="Non défini"),_xll.DBRA(Server&amp;$B$32,$B319,$N$19),_xll.DBRA(Server&amp;$B$32,$B319,$N$19)&amp;" - ("&amp;O330&amp;" / "&amp;O332&amp;")")</f>
        <v>D2 - Driving efficiency</v>
      </c>
      <c r="N319" s="519"/>
      <c r="O319" s="519"/>
      <c r="P319" s="240"/>
      <c r="Q319" s="316">
        <f>_xll.DBRW(Server&amp;Cube1,$N$15,$N$16,$N$17,$N$18,$N$14,$N$13,$N$11,$Q$1,$B319)</f>
        <v>0</v>
      </c>
      <c r="R319" s="311">
        <f>_xll.DBRW(Server&amp;Cube1,$N$15,$N$16,$N$17,$N$18,$N$14,$N$13,$R$2,$R$1,$B319)</f>
        <v>0</v>
      </c>
      <c r="S319" s="317">
        <f>$Q319-R319</f>
        <v>0</v>
      </c>
      <c r="T319" s="318"/>
      <c r="U319" s="239"/>
      <c r="V319" s="324">
        <f>_xll.DBRW(Server&amp;Cube1,$N$15,$N$16,$N$17,$N$18,$N$14,$N$13,$V$2,$V$1,$B319)</f>
        <v>0</v>
      </c>
      <c r="W319" s="317">
        <f>$Q319-V319</f>
        <v>0</v>
      </c>
      <c r="X319" s="318"/>
      <c r="Y319" s="100"/>
      <c r="Z319" s="388"/>
      <c r="AA319" s="99"/>
      <c r="AB319" s="316">
        <f>_xll.DBRW(Server&amp;Cube1,$N$15,$N$16,$N$17,$N$18,$N$14,$N$13,AB$2,AB$1,$B319)</f>
        <v>0</v>
      </c>
      <c r="AC319" s="316">
        <f>_xll.DBRW(Server&amp;Cube1,$N$15,$N$16,$N$17,$N$18,$N$14,$N$13,AC$2,AC$1,$B319)</f>
        <v>0</v>
      </c>
      <c r="AD319" s="393">
        <f>_xll.DBRW(Server&amp;Cube1,$N$15,$N$16,$N$17,$N$18,$N$14,$N$13,AD$2,AD$1,$B319)</f>
        <v>0</v>
      </c>
      <c r="AE319" s="104"/>
      <c r="AF319" s="316">
        <f>_xll.DBRW(Server&amp;Cube1,$N$15,$N$16,$N$17,$N$18,$N$14,$N$13,AF$2,AF$1,$B319)</f>
        <v>0</v>
      </c>
      <c r="AG319" s="316">
        <f>_xll.DBRW(Server&amp;Cube1,$N$15,$N$16,$N$17,$N$18,$N$14,$N$13,AG$2,AG$1,$B319)</f>
        <v>0</v>
      </c>
      <c r="AH319" s="393">
        <f>_xll.DBRW(Server&amp;Cube1,$N$15,$N$16,$N$17,$N$18,$N$14,$N$13,AH$2,AH$1,$B319)</f>
        <v>0</v>
      </c>
      <c r="AI319" s="104"/>
      <c r="AJ319" s="316">
        <f>_xll.DBRW(Server&amp;Cube1,$N$15,$N$16,$N$17,$N$18,$N$14,$N$13,AJ$2,AJ$1,$B319)</f>
        <v>0</v>
      </c>
      <c r="AK319" s="316">
        <f>_xll.DBRW(Server&amp;Cube1,$N$15,$N$16,$N$17,$N$18,$N$14,$N$13,AK$2,AK$1,$B319)</f>
        <v>0</v>
      </c>
      <c r="AL319" s="393">
        <f>_xll.DBRW(Server&amp;Cube1,$N$15,$N$16,$N$17,$N$18,$N$14,$N$13,AL$2,AL$1,$B319)</f>
        <v>0</v>
      </c>
      <c r="AM319" s="104"/>
      <c r="AN319" s="316">
        <f>_xll.DBRW(Server&amp;Cube1,$N$15,$N$16,$N$17,$N$18,$N$14,$N$13,AN$2,AN$1,$B319)</f>
        <v>0</v>
      </c>
      <c r="AO319" s="316">
        <f>_xll.DBRW(Server&amp;Cube1,$N$15,$N$16,$N$17,$N$18,$N$14,$N$13,AO$2,AO$1,$B319)</f>
        <v>0</v>
      </c>
      <c r="AP319" s="393">
        <f>_xll.DBRW(Server&amp;Cube1,$N$15,$N$16,$N$17,$N$18,$N$14,$N$13,AP$2,AP$1,$B319)</f>
        <v>0</v>
      </c>
      <c r="AQ319" s="104"/>
      <c r="AR319" s="316">
        <f>_xll.DBRW(Server&amp;Cube1,$N$15,$N$16,$N$17,$N$18,$N$14,$N$13,AR$2,AR$1,$B319)</f>
        <v>0</v>
      </c>
      <c r="AS319" s="316">
        <f>_xll.DBRW(Server&amp;Cube1,$N$15,$N$16,$N$17,$N$18,$N$14,$N$13,AS$2,AS$1,$B319)</f>
        <v>0</v>
      </c>
      <c r="AT319" s="393">
        <f>_xll.DBRW(Server&amp;Cube1,$N$15,$N$16,$N$17,$N$18,$N$14,$N$13,AT$2,AT$1,$B319)</f>
        <v>0</v>
      </c>
      <c r="AU319" s="104"/>
      <c r="AV319" s="316">
        <f>_xll.DBRW(Server&amp;Cube1,$N$15,$N$16,$N$17,$N$18,$N$14,$N$13,AV$2,AV$1,$B319)</f>
        <v>0</v>
      </c>
      <c r="AW319" s="316">
        <f>_xll.DBRW(Server&amp;Cube1,$N$15,$N$16,$N$17,$N$18,$N$14,$N$13,AW$2,AW$1,$B319)</f>
        <v>0</v>
      </c>
      <c r="AX319" s="393">
        <f>_xll.DBRW(Server&amp;Cube1,$N$15,$N$16,$N$17,$N$18,$N$14,$N$13,AX$2,AX$1,$B319)</f>
        <v>0</v>
      </c>
      <c r="AY319" s="104"/>
      <c r="AZ319" s="316">
        <f>_xll.DBRW(Server&amp;Cube1,$N$15,$N$16,$N$17,$N$18,$N$14,$N$13,AZ$2,AZ$1,$B319)</f>
        <v>0</v>
      </c>
      <c r="BA319" s="316">
        <f>_xll.DBRW(Server&amp;Cube1,$N$15,$N$16,$N$17,$N$18,$N$14,$N$13,BA$2,BA$1,$B319)</f>
        <v>0</v>
      </c>
      <c r="BB319" s="393">
        <f>_xll.DBRW(Server&amp;Cube1,$N$15,$N$16,$N$17,$N$18,$N$14,$N$13,BB$2,BB$1,$B319)</f>
        <v>0</v>
      </c>
      <c r="BC319" s="104"/>
      <c r="BD319" s="316">
        <f>_xll.DBRW(Server&amp;Cube1,$N$15,$N$16,$N$17,$N$18,$N$14,$N$13,BD$2,BD$1,$B319)</f>
        <v>0</v>
      </c>
      <c r="BE319" s="316">
        <f>_xll.DBRW(Server&amp;Cube1,$N$15,$N$16,$N$17,$N$18,$N$14,$N$13,BE$2,BE$1,$B319)</f>
        <v>0</v>
      </c>
      <c r="BF319" s="393">
        <f>_xll.DBRW(Server&amp;Cube1,$N$15,$N$16,$N$17,$N$18,$N$14,$N$13,BF$2,BF$1,$B319)</f>
        <v>0</v>
      </c>
      <c r="BG319" s="104"/>
      <c r="BH319" s="316">
        <f>_xll.DBRW(Server&amp;Cube1,$N$15,$N$16,$N$17,$N$18,$N$14,$N$13,BH$2,BH$1,$B319)</f>
        <v>0</v>
      </c>
      <c r="BI319" s="316">
        <f>_xll.DBRW(Server&amp;Cube1,$N$15,$N$16,$N$17,$N$18,$N$14,$N$13,BI$2,BI$1,$B319)</f>
        <v>0</v>
      </c>
      <c r="BJ319" s="393">
        <f>_xll.DBRW(Server&amp;Cube1,$N$15,$N$16,$N$17,$N$18,$N$14,$N$13,BJ$2,BJ$1,$B319)</f>
        <v>0</v>
      </c>
      <c r="BK319" s="104"/>
      <c r="BL319" s="316">
        <f>_xll.DBRW(Server&amp;Cube1,$N$15,$N$16,$N$17,$N$18,$N$14,$N$13,BL$2,BL$1,$B319)</f>
        <v>0</v>
      </c>
      <c r="BM319" s="316">
        <f>_xll.DBRW(Server&amp;Cube1,$N$15,$N$16,$N$17,$N$18,$N$14,$N$13,BM$2,BM$1,$B319)</f>
        <v>0</v>
      </c>
      <c r="BN319" s="393">
        <f>_xll.DBRW(Server&amp;Cube1,$N$15,$N$16,$N$17,$N$18,$N$14,$N$13,BN$2,BN$1,$B319)</f>
        <v>0</v>
      </c>
      <c r="BO319" s="104"/>
      <c r="BP319" s="316">
        <f>_xll.DBRW(Server&amp;Cube1,$N$15,$N$16,$N$17,$N$18,$N$14,$N$13,BP$2,BP$1,$B319)</f>
        <v>0</v>
      </c>
      <c r="BQ319" s="316">
        <f>_xll.DBRW(Server&amp;Cube1,$N$15,$N$16,$N$17,$N$18,$N$14,$N$13,BQ$2,BQ$1,$B319)</f>
        <v>0</v>
      </c>
      <c r="BR319" s="393">
        <f>_xll.DBRW(Server&amp;Cube1,$N$15,$N$16,$N$17,$N$18,$N$14,$N$13,BR$2,BR$1,$B319)</f>
        <v>0</v>
      </c>
      <c r="BS319" s="104"/>
      <c r="BT319" s="316">
        <f>_xll.DBRW(Server&amp;Cube1,$N$15,$N$16,$N$17,$N$18,$N$14,$N$13,BT$2,BT$1,$B319)</f>
        <v>0</v>
      </c>
      <c r="BU319" s="316">
        <f>_xll.DBRW(Server&amp;Cube1,$N$15,$N$16,$N$17,$N$18,$N$14,$N$13,BU$2,BU$1,$B319)</f>
        <v>0</v>
      </c>
      <c r="BV319" s="393">
        <f>_xll.DBRW(Server&amp;Cube1,$N$15,$N$16,$N$17,$N$18,$N$14,$N$13,BV$2,BV$1,$B319)</f>
        <v>0</v>
      </c>
      <c r="BW319" s="100"/>
      <c r="BX319" s="28"/>
      <c r="BZ319" s="418"/>
      <c r="CA319" s="418"/>
    </row>
    <row r="320" spans="1:79" s="34" customFormat="1" ht="27.75" customHeight="1" collapsed="1" thickBot="1" x14ac:dyDescent="0.95">
      <c r="A320" s="56"/>
      <c r="B320" s="54" t="s">
        <v>85</v>
      </c>
      <c r="C320" s="9"/>
      <c r="D320" s="1"/>
      <c r="E320" s="1"/>
      <c r="H320" s="54"/>
      <c r="I320" s="94"/>
      <c r="J320" s="57"/>
      <c r="K320" s="99"/>
      <c r="L320" s="533"/>
      <c r="M320" s="520" t="str">
        <f>IF(OR(O330="Not defined",O330="Non défini",O332="Not defined",O332="Non défini"),_xll.DBRA(Server&amp;$B$32,$B320,$N$19),_xll.DBRA(Server&amp;Context!$B$32,Context!$B$47,$N$19)&amp;" "&amp;O332)</f>
        <v>D3 - Revenue per Price Work Unit</v>
      </c>
      <c r="N320" s="520"/>
      <c r="O320" s="520"/>
      <c r="P320" s="240"/>
      <c r="Q320" s="319">
        <f>_xll.DBRW(Server&amp;Cube1,$N$15,$N$16,$N$17,$N$18,$N$14,$N$13,$N$11,$Q$1,$B320)</f>
        <v>0</v>
      </c>
      <c r="R320" s="320">
        <f>_xll.DBRW(Server&amp;Cube1,$N$15,$N$16,$N$17,$N$18,$N$14,$N$13,$R$2,$R$1,$B320)</f>
        <v>0</v>
      </c>
      <c r="S320" s="321">
        <f>$Q320-R320</f>
        <v>0</v>
      </c>
      <c r="T320" s="322"/>
      <c r="U320" s="239"/>
      <c r="V320" s="325">
        <f>_xll.DBRW(Server&amp;Cube1,$N$15,$N$16,$N$17,$N$18,$N$14,$N$13,$V$2,$V$1,$B320)</f>
        <v>0</v>
      </c>
      <c r="W320" s="321">
        <f>$Q320-V320</f>
        <v>0</v>
      </c>
      <c r="X320" s="322"/>
      <c r="Y320" s="100"/>
      <c r="Z320" s="388"/>
      <c r="AA320" s="99"/>
      <c r="AB320" s="319">
        <f>_xll.DBRW(Server&amp;Cube1,$N$15,$N$16,$N$17,$N$18,$N$14,$N$13,AB$2,AB$1,$B320)</f>
        <v>0</v>
      </c>
      <c r="AC320" s="319">
        <f>_xll.DBRW(Server&amp;Cube1,$N$15,$N$16,$N$17,$N$18,$N$14,$N$13,AC$2,AC$1,$B320)</f>
        <v>0</v>
      </c>
      <c r="AD320" s="394">
        <f>_xll.DBRW(Server&amp;Cube1,$N$15,$N$16,$N$17,$N$18,$N$14,$N$13,AD$2,AD$1,$B320)</f>
        <v>0</v>
      </c>
      <c r="AE320" s="104"/>
      <c r="AF320" s="319">
        <f>_xll.DBRW(Server&amp;Cube1,$N$15,$N$16,$N$17,$N$18,$N$14,$N$13,AF$2,AF$1,$B320)</f>
        <v>0</v>
      </c>
      <c r="AG320" s="319">
        <f>_xll.DBRW(Server&amp;Cube1,$N$15,$N$16,$N$17,$N$18,$N$14,$N$13,AG$2,AG$1,$B320)</f>
        <v>0</v>
      </c>
      <c r="AH320" s="394">
        <f>_xll.DBRW(Server&amp;Cube1,$N$15,$N$16,$N$17,$N$18,$N$14,$N$13,AH$2,AH$1,$B320)</f>
        <v>0</v>
      </c>
      <c r="AI320" s="104"/>
      <c r="AJ320" s="319">
        <f>_xll.DBRW(Server&amp;Cube1,$N$15,$N$16,$N$17,$N$18,$N$14,$N$13,AJ$2,AJ$1,$B320)</f>
        <v>0</v>
      </c>
      <c r="AK320" s="319">
        <f>_xll.DBRW(Server&amp;Cube1,$N$15,$N$16,$N$17,$N$18,$N$14,$N$13,AK$2,AK$1,$B320)</f>
        <v>0</v>
      </c>
      <c r="AL320" s="394">
        <f>_xll.DBRW(Server&amp;Cube1,$N$15,$N$16,$N$17,$N$18,$N$14,$N$13,AL$2,AL$1,$B320)</f>
        <v>0</v>
      </c>
      <c r="AM320" s="104"/>
      <c r="AN320" s="319">
        <f>_xll.DBRW(Server&amp;Cube1,$N$15,$N$16,$N$17,$N$18,$N$14,$N$13,AN$2,AN$1,$B320)</f>
        <v>0</v>
      </c>
      <c r="AO320" s="319">
        <f>_xll.DBRW(Server&amp;Cube1,$N$15,$N$16,$N$17,$N$18,$N$14,$N$13,AO$2,AO$1,$B320)</f>
        <v>0</v>
      </c>
      <c r="AP320" s="394">
        <f>_xll.DBRW(Server&amp;Cube1,$N$15,$N$16,$N$17,$N$18,$N$14,$N$13,AP$2,AP$1,$B320)</f>
        <v>0</v>
      </c>
      <c r="AQ320" s="104"/>
      <c r="AR320" s="319">
        <f>_xll.DBRW(Server&amp;Cube1,$N$15,$N$16,$N$17,$N$18,$N$14,$N$13,AR$2,AR$1,$B320)</f>
        <v>0</v>
      </c>
      <c r="AS320" s="319">
        <f>_xll.DBRW(Server&amp;Cube1,$N$15,$N$16,$N$17,$N$18,$N$14,$N$13,AS$2,AS$1,$B320)</f>
        <v>0</v>
      </c>
      <c r="AT320" s="394">
        <f>_xll.DBRW(Server&amp;Cube1,$N$15,$N$16,$N$17,$N$18,$N$14,$N$13,AT$2,AT$1,$B320)</f>
        <v>0</v>
      </c>
      <c r="AU320" s="104"/>
      <c r="AV320" s="319">
        <f>_xll.DBRW(Server&amp;Cube1,$N$15,$N$16,$N$17,$N$18,$N$14,$N$13,AV$2,AV$1,$B320)</f>
        <v>0</v>
      </c>
      <c r="AW320" s="319">
        <f>_xll.DBRW(Server&amp;Cube1,$N$15,$N$16,$N$17,$N$18,$N$14,$N$13,AW$2,AW$1,$B320)</f>
        <v>0</v>
      </c>
      <c r="AX320" s="394">
        <f>_xll.DBRW(Server&amp;Cube1,$N$15,$N$16,$N$17,$N$18,$N$14,$N$13,AX$2,AX$1,$B320)</f>
        <v>0</v>
      </c>
      <c r="AY320" s="104"/>
      <c r="AZ320" s="319">
        <f>_xll.DBRW(Server&amp;Cube1,$N$15,$N$16,$N$17,$N$18,$N$14,$N$13,AZ$2,AZ$1,$B320)</f>
        <v>0</v>
      </c>
      <c r="BA320" s="319">
        <f>_xll.DBRW(Server&amp;Cube1,$N$15,$N$16,$N$17,$N$18,$N$14,$N$13,BA$2,BA$1,$B320)</f>
        <v>0</v>
      </c>
      <c r="BB320" s="394">
        <f>_xll.DBRW(Server&amp;Cube1,$N$15,$N$16,$N$17,$N$18,$N$14,$N$13,BB$2,BB$1,$B320)</f>
        <v>0</v>
      </c>
      <c r="BC320" s="104"/>
      <c r="BD320" s="319">
        <f>_xll.DBRW(Server&amp;Cube1,$N$15,$N$16,$N$17,$N$18,$N$14,$N$13,BD$2,BD$1,$B320)</f>
        <v>0</v>
      </c>
      <c r="BE320" s="319">
        <f>_xll.DBRW(Server&amp;Cube1,$N$15,$N$16,$N$17,$N$18,$N$14,$N$13,BE$2,BE$1,$B320)</f>
        <v>0</v>
      </c>
      <c r="BF320" s="394">
        <f>_xll.DBRW(Server&amp;Cube1,$N$15,$N$16,$N$17,$N$18,$N$14,$N$13,BF$2,BF$1,$B320)</f>
        <v>0</v>
      </c>
      <c r="BG320" s="104"/>
      <c r="BH320" s="319">
        <f>_xll.DBRW(Server&amp;Cube1,$N$15,$N$16,$N$17,$N$18,$N$14,$N$13,BH$2,BH$1,$B320)</f>
        <v>0</v>
      </c>
      <c r="BI320" s="319">
        <f>_xll.DBRW(Server&amp;Cube1,$N$15,$N$16,$N$17,$N$18,$N$14,$N$13,BI$2,BI$1,$B320)</f>
        <v>0</v>
      </c>
      <c r="BJ320" s="394">
        <f>_xll.DBRW(Server&amp;Cube1,$N$15,$N$16,$N$17,$N$18,$N$14,$N$13,BJ$2,BJ$1,$B320)</f>
        <v>0</v>
      </c>
      <c r="BK320" s="104"/>
      <c r="BL320" s="319">
        <f>_xll.DBRW(Server&amp;Cube1,$N$15,$N$16,$N$17,$N$18,$N$14,$N$13,BL$2,BL$1,$B320)</f>
        <v>0</v>
      </c>
      <c r="BM320" s="319">
        <f>_xll.DBRW(Server&amp;Cube1,$N$15,$N$16,$N$17,$N$18,$N$14,$N$13,BM$2,BM$1,$B320)</f>
        <v>0</v>
      </c>
      <c r="BN320" s="394">
        <f>_xll.DBRW(Server&amp;Cube1,$N$15,$N$16,$N$17,$N$18,$N$14,$N$13,BN$2,BN$1,$B320)</f>
        <v>0</v>
      </c>
      <c r="BO320" s="104"/>
      <c r="BP320" s="319">
        <f>_xll.DBRW(Server&amp;Cube1,$N$15,$N$16,$N$17,$N$18,$N$14,$N$13,BP$2,BP$1,$B320)</f>
        <v>0</v>
      </c>
      <c r="BQ320" s="319">
        <f>_xll.DBRW(Server&amp;Cube1,$N$15,$N$16,$N$17,$N$18,$N$14,$N$13,BQ$2,BQ$1,$B320)</f>
        <v>0</v>
      </c>
      <c r="BR320" s="394">
        <f>_xll.DBRW(Server&amp;Cube1,$N$15,$N$16,$N$17,$N$18,$N$14,$N$13,BR$2,BR$1,$B320)</f>
        <v>0</v>
      </c>
      <c r="BS320" s="104"/>
      <c r="BT320" s="319">
        <f>_xll.DBRW(Server&amp;Cube1,$N$15,$N$16,$N$17,$N$18,$N$14,$N$13,BT$2,BT$1,$B320)</f>
        <v>0</v>
      </c>
      <c r="BU320" s="319">
        <f>_xll.DBRW(Server&amp;Cube1,$N$15,$N$16,$N$17,$N$18,$N$14,$N$13,BU$2,BU$1,$B320)</f>
        <v>0</v>
      </c>
      <c r="BV320" s="394">
        <f>_xll.DBRW(Server&amp;Cube1,$N$15,$N$16,$N$17,$N$18,$N$14,$N$13,BV$2,BV$1,$B320)</f>
        <v>0</v>
      </c>
      <c r="BW320" s="100"/>
      <c r="BX320" s="28"/>
      <c r="BZ320" s="418"/>
    </row>
    <row r="321" spans="1:78" ht="3.75" hidden="1" customHeight="1" outlineLevel="1" thickTop="1" x14ac:dyDescent="0.8">
      <c r="A321" s="56"/>
      <c r="B321" s="54"/>
      <c r="H321" s="54"/>
      <c r="I321" s="94"/>
      <c r="J321" s="57"/>
      <c r="K321" s="99"/>
      <c r="L321" s="533"/>
      <c r="M321" s="293"/>
      <c r="N321" s="293"/>
      <c r="O321" s="293"/>
      <c r="P321" s="61"/>
      <c r="Q321" s="345"/>
      <c r="R321" s="346"/>
      <c r="S321" s="347"/>
      <c r="T321" s="348"/>
      <c r="U321" s="242"/>
      <c r="V321" s="345"/>
      <c r="W321" s="347"/>
      <c r="X321" s="348"/>
      <c r="Y321" s="100"/>
      <c r="Z321" s="388"/>
      <c r="AA321" s="99"/>
      <c r="AB321" s="345"/>
      <c r="AC321" s="345"/>
      <c r="AD321" s="395"/>
      <c r="AE321" s="104"/>
      <c r="AF321" s="345"/>
      <c r="AG321" s="345"/>
      <c r="AH321" s="395"/>
      <c r="AI321" s="104"/>
      <c r="AJ321" s="345"/>
      <c r="AK321" s="345"/>
      <c r="AL321" s="395"/>
      <c r="AM321" s="104"/>
      <c r="AN321" s="345"/>
      <c r="AO321" s="345"/>
      <c r="AP321" s="395"/>
      <c r="AQ321" s="104"/>
      <c r="AR321" s="345"/>
      <c r="AS321" s="345"/>
      <c r="AT321" s="395"/>
      <c r="AU321" s="104"/>
      <c r="AV321" s="345"/>
      <c r="AW321" s="345"/>
      <c r="AX321" s="395"/>
      <c r="AY321" s="104"/>
      <c r="AZ321" s="345"/>
      <c r="BA321" s="345"/>
      <c r="BB321" s="395"/>
      <c r="BC321" s="104"/>
      <c r="BD321" s="345"/>
      <c r="BE321" s="345"/>
      <c r="BF321" s="395"/>
      <c r="BG321" s="104"/>
      <c r="BH321" s="345"/>
      <c r="BI321" s="345"/>
      <c r="BJ321" s="395"/>
      <c r="BK321" s="104"/>
      <c r="BL321" s="345"/>
      <c r="BM321" s="345"/>
      <c r="BN321" s="395"/>
      <c r="BO321" s="104"/>
      <c r="BP321" s="345"/>
      <c r="BQ321" s="345"/>
      <c r="BR321" s="395"/>
      <c r="BS321" s="104"/>
      <c r="BT321" s="345"/>
      <c r="BU321" s="345"/>
      <c r="BV321" s="395"/>
      <c r="BW321" s="100"/>
      <c r="BX321" s="28"/>
      <c r="BZ321" s="358"/>
    </row>
    <row r="322" spans="1:78" s="34" customFormat="1" ht="21.75" hidden="1" customHeight="1" outlineLevel="1" x14ac:dyDescent="0.8">
      <c r="A322" s="56"/>
      <c r="B322" s="54" t="s">
        <v>90</v>
      </c>
      <c r="C322" s="9"/>
      <c r="D322" s="54" t="b">
        <f>AND($Q330&lt;&gt;0,$R330&lt;&gt;0)</f>
        <v>0</v>
      </c>
      <c r="E322" s="54"/>
      <c r="F322" s="54" t="b">
        <f>AND($Q330&lt;&gt;0,$V330&lt;&gt;0)</f>
        <v>0</v>
      </c>
      <c r="H322" s="54"/>
      <c r="I322" s="94"/>
      <c r="J322" s="57"/>
      <c r="K322" s="99"/>
      <c r="L322" s="533"/>
      <c r="M322" s="521" t="str">
        <f>_xll.DBRA(Server&amp;$B$32,$B322,$N$19)</f>
        <v>D1 - Driving cost variance - Cost effect</v>
      </c>
      <c r="N322" s="521"/>
      <c r="O322" s="522"/>
      <c r="P322" s="240"/>
      <c r="Q322" s="243"/>
      <c r="R322" s="244"/>
      <c r="S322" s="245">
        <f>IF(D322,-1*S318*$Q330,0)</f>
        <v>0</v>
      </c>
      <c r="T322" s="297">
        <f>IF(ISERROR(S322/#REF!*100),,S322/#REF!*100)</f>
        <v>0</v>
      </c>
      <c r="U322" s="239"/>
      <c r="V322" s="246"/>
      <c r="W322" s="245">
        <f>IF(F322,-1*W318*$Q330,0)</f>
        <v>0</v>
      </c>
      <c r="X322" s="301">
        <f>IF(ISERROR(W322/#REF!*100),,W322/#REF!*100)</f>
        <v>0</v>
      </c>
      <c r="Y322" s="100"/>
      <c r="Z322" s="388"/>
      <c r="AA322" s="99"/>
      <c r="AB322" s="334"/>
      <c r="AC322" s="334"/>
      <c r="AD322" s="396"/>
      <c r="AE322" s="104"/>
      <c r="AF322" s="334"/>
      <c r="AG322" s="334"/>
      <c r="AH322" s="396"/>
      <c r="AI322" s="104"/>
      <c r="AJ322" s="334"/>
      <c r="AK322" s="334"/>
      <c r="AL322" s="396"/>
      <c r="AM322" s="104"/>
      <c r="AN322" s="334"/>
      <c r="AO322" s="334"/>
      <c r="AP322" s="396"/>
      <c r="AQ322" s="104"/>
      <c r="AR322" s="334"/>
      <c r="AS322" s="334"/>
      <c r="AT322" s="396"/>
      <c r="AU322" s="104"/>
      <c r="AV322" s="334"/>
      <c r="AW322" s="334"/>
      <c r="AX322" s="396"/>
      <c r="AY322" s="104"/>
      <c r="AZ322" s="334"/>
      <c r="BA322" s="334"/>
      <c r="BB322" s="396"/>
      <c r="BC322" s="104"/>
      <c r="BD322" s="334"/>
      <c r="BE322" s="334"/>
      <c r="BF322" s="396"/>
      <c r="BG322" s="104"/>
      <c r="BH322" s="334"/>
      <c r="BI322" s="334"/>
      <c r="BJ322" s="396"/>
      <c r="BK322" s="104"/>
      <c r="BL322" s="334"/>
      <c r="BM322" s="334"/>
      <c r="BN322" s="396"/>
      <c r="BO322" s="104"/>
      <c r="BP322" s="334"/>
      <c r="BQ322" s="334"/>
      <c r="BR322" s="396"/>
      <c r="BS322" s="104"/>
      <c r="BT322" s="334"/>
      <c r="BU322" s="334"/>
      <c r="BV322" s="396"/>
      <c r="BW322" s="100"/>
      <c r="BX322" s="28"/>
    </row>
    <row r="323" spans="1:78" s="34" customFormat="1" ht="21.75" hidden="1" customHeight="1" outlineLevel="1" x14ac:dyDescent="0.8">
      <c r="A323" s="56"/>
      <c r="B323" s="54" t="s">
        <v>91</v>
      </c>
      <c r="C323" s="9"/>
      <c r="D323" s="54" t="b">
        <f>AND($Q332&lt;&gt;0,$R332&lt;&gt;0,$Q330&lt;&gt;0,$R330&lt;&gt;0)</f>
        <v>0</v>
      </c>
      <c r="E323" s="54"/>
      <c r="F323" s="54" t="b">
        <f>AND($Q332&lt;&gt;0,$V332&lt;&gt;0,$Q330&lt;&gt;0,$V330&lt;&gt;0)</f>
        <v>0</v>
      </c>
      <c r="H323" s="54"/>
      <c r="I323" s="94"/>
      <c r="J323" s="57"/>
      <c r="K323" s="99"/>
      <c r="L323" s="533"/>
      <c r="M323" s="523" t="str">
        <f>_xll.DBRA(Server&amp;$B$32,$B323,$N$19)</f>
        <v>D2 - Driving cost variance - Efficiency effect</v>
      </c>
      <c r="N323" s="523"/>
      <c r="O323" s="524"/>
      <c r="P323" s="240"/>
      <c r="Q323" s="243"/>
      <c r="R323" s="247"/>
      <c r="S323" s="245">
        <f>IF(D323,IF($Q319&lt;&gt;0,S319/$Q319*$Q$53,0),0)</f>
        <v>0</v>
      </c>
      <c r="T323" s="297">
        <f>IF(ISERROR(S323/$Q$36*100),,S323/$Q$36*100)</f>
        <v>0</v>
      </c>
      <c r="U323" s="239"/>
      <c r="V323" s="246"/>
      <c r="W323" s="245">
        <f>IF(F323,IF($Q319&lt;&gt;0,W319/$Q319*$Q$53,0),0)</f>
        <v>0</v>
      </c>
      <c r="X323" s="301">
        <f>IF(ISERROR(W323/$Q$36*100),,W323/$Q$36*100)</f>
        <v>0</v>
      </c>
      <c r="Y323" s="100"/>
      <c r="Z323" s="388"/>
      <c r="AA323" s="99"/>
      <c r="AB323" s="334"/>
      <c r="AC323" s="334"/>
      <c r="AD323" s="396"/>
      <c r="AE323" s="104"/>
      <c r="AF323" s="334"/>
      <c r="AG323" s="334"/>
      <c r="AH323" s="396"/>
      <c r="AI323" s="104"/>
      <c r="AJ323" s="334"/>
      <c r="AK323" s="334"/>
      <c r="AL323" s="396"/>
      <c r="AM323" s="104"/>
      <c r="AN323" s="334"/>
      <c r="AO323" s="334"/>
      <c r="AP323" s="396"/>
      <c r="AQ323" s="104"/>
      <c r="AR323" s="334"/>
      <c r="AS323" s="334"/>
      <c r="AT323" s="396"/>
      <c r="AU323" s="104"/>
      <c r="AV323" s="334"/>
      <c r="AW323" s="334"/>
      <c r="AX323" s="396"/>
      <c r="AY323" s="104"/>
      <c r="AZ323" s="334"/>
      <c r="BA323" s="334"/>
      <c r="BB323" s="396"/>
      <c r="BC323" s="104"/>
      <c r="BD323" s="334"/>
      <c r="BE323" s="334"/>
      <c r="BF323" s="396"/>
      <c r="BG323" s="104"/>
      <c r="BH323" s="334"/>
      <c r="BI323" s="334"/>
      <c r="BJ323" s="396"/>
      <c r="BK323" s="104"/>
      <c r="BL323" s="334"/>
      <c r="BM323" s="334"/>
      <c r="BN323" s="396"/>
      <c r="BO323" s="104"/>
      <c r="BP323" s="334"/>
      <c r="BQ323" s="334"/>
      <c r="BR323" s="396"/>
      <c r="BS323" s="104"/>
      <c r="BT323" s="334"/>
      <c r="BU323" s="334"/>
      <c r="BV323" s="396"/>
      <c r="BW323" s="100"/>
      <c r="BX323" s="28"/>
    </row>
    <row r="324" spans="1:78" s="34" customFormat="1" ht="21.75" hidden="1" customHeight="1" outlineLevel="1" x14ac:dyDescent="0.8">
      <c r="A324" s="56"/>
      <c r="B324" s="54" t="s">
        <v>92</v>
      </c>
      <c r="C324" s="9"/>
      <c r="D324" s="54" t="b">
        <f>AND($Q332&lt;&gt;0,$R332&lt;&gt;0)</f>
        <v>0</v>
      </c>
      <c r="E324" s="54"/>
      <c r="F324" s="54" t="b">
        <f>AND($Q332&lt;&gt;0,$V332&lt;&gt;0)</f>
        <v>0</v>
      </c>
      <c r="H324" s="54"/>
      <c r="I324" s="94"/>
      <c r="J324" s="57"/>
      <c r="K324" s="99"/>
      <c r="L324" s="533"/>
      <c r="M324" s="523" t="str">
        <f>_xll.DBRA(Server&amp;$B$32,$B324,$N$19)</f>
        <v>D3 - Driving cost variance - Price effect</v>
      </c>
      <c r="N324" s="523"/>
      <c r="O324" s="524"/>
      <c r="P324" s="240"/>
      <c r="Q324" s="243"/>
      <c r="R324" s="247"/>
      <c r="S324" s="245">
        <f>IF(D324,$Q317*S320*$Q332,0)</f>
        <v>0</v>
      </c>
      <c r="T324" s="297">
        <f>IF(ISERROR(S324/$Q$36*100),,S324/$Q$36*100)</f>
        <v>0</v>
      </c>
      <c r="U324" s="239"/>
      <c r="V324" s="246"/>
      <c r="W324" s="248">
        <f>IF(F324,$Q317*W320*$Q332,0)</f>
        <v>0</v>
      </c>
      <c r="X324" s="301">
        <f>IF(ISERROR(W324/$Q$36*100),,W324/$Q$36*100)</f>
        <v>0</v>
      </c>
      <c r="Y324" s="100"/>
      <c r="Z324" s="388"/>
      <c r="AA324" s="99"/>
      <c r="AB324" s="334"/>
      <c r="AC324" s="334"/>
      <c r="AD324" s="396"/>
      <c r="AE324" s="104"/>
      <c r="AF324" s="334"/>
      <c r="AG324" s="334"/>
      <c r="AH324" s="396"/>
      <c r="AI324" s="104"/>
      <c r="AJ324" s="334"/>
      <c r="AK324" s="334"/>
      <c r="AL324" s="396"/>
      <c r="AM324" s="104"/>
      <c r="AN324" s="334"/>
      <c r="AO324" s="334"/>
      <c r="AP324" s="396"/>
      <c r="AQ324" s="104"/>
      <c r="AR324" s="334"/>
      <c r="AS324" s="334"/>
      <c r="AT324" s="396"/>
      <c r="AU324" s="104"/>
      <c r="AV324" s="334"/>
      <c r="AW324" s="334"/>
      <c r="AX324" s="396"/>
      <c r="AY324" s="104"/>
      <c r="AZ324" s="334"/>
      <c r="BA324" s="334"/>
      <c r="BB324" s="396"/>
      <c r="BC324" s="104"/>
      <c r="BD324" s="334"/>
      <c r="BE324" s="334"/>
      <c r="BF324" s="396"/>
      <c r="BG324" s="104"/>
      <c r="BH324" s="334"/>
      <c r="BI324" s="334"/>
      <c r="BJ324" s="396"/>
      <c r="BK324" s="104"/>
      <c r="BL324" s="334"/>
      <c r="BM324" s="334"/>
      <c r="BN324" s="396"/>
      <c r="BO324" s="104"/>
      <c r="BP324" s="334"/>
      <c r="BQ324" s="334"/>
      <c r="BR324" s="396"/>
      <c r="BS324" s="104"/>
      <c r="BT324" s="334"/>
      <c r="BU324" s="334"/>
      <c r="BV324" s="396"/>
      <c r="BW324" s="100"/>
      <c r="BX324" s="28"/>
    </row>
    <row r="325" spans="1:78" s="34" customFormat="1" ht="21.75" hidden="1" customHeight="1" outlineLevel="1" x14ac:dyDescent="0.8">
      <c r="A325" s="56"/>
      <c r="B325" s="54" t="s">
        <v>93</v>
      </c>
      <c r="C325" s="9"/>
      <c r="D325" s="54" t="b">
        <f>AND($Q332&lt;&gt;0,$R332&lt;&gt;0,$Q330&lt;&gt;0,$R330&lt;&gt;0)</f>
        <v>0</v>
      </c>
      <c r="E325" s="54"/>
      <c r="F325" s="54" t="b">
        <f>AND($Q332&lt;&gt;0,$V332&lt;&gt;0,$Q330&lt;&gt;0,$V330&lt;&gt;0)</f>
        <v>0</v>
      </c>
      <c r="H325" s="54"/>
      <c r="I325" s="94"/>
      <c r="J325" s="57"/>
      <c r="K325" s="99"/>
      <c r="L325" s="533"/>
      <c r="M325" s="541" t="str">
        <f>_xll.DBRA(Server&amp;$B$32,$B325,$N$19)</f>
        <v>D - Compound</v>
      </c>
      <c r="N325" s="541"/>
      <c r="O325" s="542"/>
      <c r="P325" s="240"/>
      <c r="Q325" s="243"/>
      <c r="R325" s="247"/>
      <c r="S325" s="249">
        <f>IF(D325,$S53-S322-S323-S324-S328,0)</f>
        <v>0</v>
      </c>
      <c r="T325" s="298">
        <f>IF(ISERROR(S325/$Q$36*100),,S325/$Q$36*100)</f>
        <v>0</v>
      </c>
      <c r="U325" s="239"/>
      <c r="V325" s="246"/>
      <c r="W325" s="249">
        <f>IF(F325,$W53-W322-W323-W324-W328,0)</f>
        <v>0</v>
      </c>
      <c r="X325" s="298">
        <f>IF(ISERROR(W325/$Q$36*100),,W325/$Q$36*100)</f>
        <v>0</v>
      </c>
      <c r="Y325" s="100"/>
      <c r="Z325" s="388"/>
      <c r="AA325" s="99"/>
      <c r="AB325" s="334"/>
      <c r="AC325" s="334"/>
      <c r="AD325" s="396"/>
      <c r="AE325" s="104"/>
      <c r="AF325" s="334"/>
      <c r="AG325" s="334"/>
      <c r="AH325" s="396"/>
      <c r="AI325" s="104"/>
      <c r="AJ325" s="334"/>
      <c r="AK325" s="334"/>
      <c r="AL325" s="396"/>
      <c r="AM325" s="104"/>
      <c r="AN325" s="334"/>
      <c r="AO325" s="334"/>
      <c r="AP325" s="396"/>
      <c r="AQ325" s="104"/>
      <c r="AR325" s="334"/>
      <c r="AS325" s="334"/>
      <c r="AT325" s="396"/>
      <c r="AU325" s="104"/>
      <c r="AV325" s="334"/>
      <c r="AW325" s="334"/>
      <c r="AX325" s="396"/>
      <c r="AY325" s="104"/>
      <c r="AZ325" s="334"/>
      <c r="BA325" s="334"/>
      <c r="BB325" s="396"/>
      <c r="BC325" s="104"/>
      <c r="BD325" s="334"/>
      <c r="BE325" s="334"/>
      <c r="BF325" s="396"/>
      <c r="BG325" s="104"/>
      <c r="BH325" s="334"/>
      <c r="BI325" s="334"/>
      <c r="BJ325" s="396"/>
      <c r="BK325" s="104"/>
      <c r="BL325" s="334"/>
      <c r="BM325" s="334"/>
      <c r="BN325" s="396"/>
      <c r="BO325" s="104"/>
      <c r="BP325" s="334"/>
      <c r="BQ325" s="334"/>
      <c r="BR325" s="396"/>
      <c r="BS325" s="104"/>
      <c r="BT325" s="334"/>
      <c r="BU325" s="334"/>
      <c r="BV325" s="396"/>
      <c r="BW325" s="100"/>
      <c r="BX325" s="28"/>
    </row>
    <row r="326" spans="1:78" s="34" customFormat="1" ht="21.75" hidden="1" customHeight="1" outlineLevel="1" x14ac:dyDescent="0.8">
      <c r="A326" s="56"/>
      <c r="B326" s="371" t="s">
        <v>142</v>
      </c>
      <c r="C326" s="9"/>
      <c r="D326" s="54" t="b">
        <f>OR($Q332=0,$R332=0,$Q330=0,$R330=0)</f>
        <v>1</v>
      </c>
      <c r="E326" s="54"/>
      <c r="F326" s="54" t="b">
        <f>OR($Q332=0,$V332=0,$Q330=0,$V330=0)</f>
        <v>1</v>
      </c>
      <c r="H326" s="371"/>
      <c r="I326" s="94"/>
      <c r="J326" s="57"/>
      <c r="K326" s="99"/>
      <c r="L326" s="533"/>
      <c r="M326" s="543" t="str">
        <f>_xll.DBRA(Server&amp;$B$32,$B326,$N$19)</f>
        <v>D - Driving cost variance not addressed due to missing Work Unit(s)</v>
      </c>
      <c r="N326" s="543"/>
      <c r="O326" s="544"/>
      <c r="P326" s="250"/>
      <c r="Q326" s="251"/>
      <c r="R326" s="252"/>
      <c r="S326" s="253">
        <f>IF(D326,$S$53-S322-S323-S324-S328,0)</f>
        <v>-81368372.480000019</v>
      </c>
      <c r="T326" s="299">
        <f>IF(ISERROR(S326/$Q$36*100),,S326/$Q$36*100)</f>
        <v>-35.864712611310843</v>
      </c>
      <c r="U326" s="254"/>
      <c r="V326" s="255"/>
      <c r="W326" s="249">
        <f>IF(F326,$W$53-W322-W323-W324-W328,0)</f>
        <v>14670146.639996052</v>
      </c>
      <c r="X326" s="299">
        <f>IF(ISERROR(W326/$Q$36*100),,W326/$Q$36*100)</f>
        <v>6.4661560404021694</v>
      </c>
      <c r="Y326" s="100"/>
      <c r="Z326" s="388"/>
      <c r="AA326" s="99"/>
      <c r="AB326" s="335"/>
      <c r="AC326" s="335"/>
      <c r="AD326" s="397"/>
      <c r="AE326" s="104"/>
      <c r="AF326" s="335"/>
      <c r="AG326" s="335"/>
      <c r="AH326" s="397"/>
      <c r="AI326" s="104"/>
      <c r="AJ326" s="335"/>
      <c r="AK326" s="335"/>
      <c r="AL326" s="397"/>
      <c r="AM326" s="104"/>
      <c r="AN326" s="335"/>
      <c r="AO326" s="335"/>
      <c r="AP326" s="397"/>
      <c r="AQ326" s="104"/>
      <c r="AR326" s="335"/>
      <c r="AS326" s="335"/>
      <c r="AT326" s="397"/>
      <c r="AU326" s="104"/>
      <c r="AV326" s="335"/>
      <c r="AW326" s="335"/>
      <c r="AX326" s="397"/>
      <c r="AY326" s="104"/>
      <c r="AZ326" s="335"/>
      <c r="BA326" s="335"/>
      <c r="BB326" s="397"/>
      <c r="BC326" s="104"/>
      <c r="BD326" s="335"/>
      <c r="BE326" s="335"/>
      <c r="BF326" s="397"/>
      <c r="BG326" s="104"/>
      <c r="BH326" s="335"/>
      <c r="BI326" s="335"/>
      <c r="BJ326" s="397"/>
      <c r="BK326" s="104"/>
      <c r="BL326" s="335"/>
      <c r="BM326" s="335"/>
      <c r="BN326" s="397"/>
      <c r="BO326" s="104"/>
      <c r="BP326" s="335"/>
      <c r="BQ326" s="335"/>
      <c r="BR326" s="397"/>
      <c r="BS326" s="104"/>
      <c r="BT326" s="335"/>
      <c r="BU326" s="335"/>
      <c r="BV326" s="397"/>
      <c r="BW326" s="100"/>
      <c r="BX326" s="28"/>
    </row>
    <row r="327" spans="1:78" s="34" customFormat="1" ht="22.5" customHeight="1" collapsed="1" thickTop="1" x14ac:dyDescent="0.75">
      <c r="A327" s="56"/>
      <c r="B327" s="54" t="s">
        <v>86</v>
      </c>
      <c r="C327" s="9"/>
      <c r="D327" s="1"/>
      <c r="E327" s="1"/>
      <c r="H327" s="54"/>
      <c r="I327" s="94"/>
      <c r="J327" s="57"/>
      <c r="K327" s="99"/>
      <c r="L327" s="533"/>
      <c r="M327" s="537" t="str">
        <f>_xll.DBRA(Server&amp;$B$32,$B327,$N$19)</f>
        <v>D - Part of Driving cost variance due to Level 2 ratios change</v>
      </c>
      <c r="N327" s="537"/>
      <c r="O327" s="538"/>
      <c r="P327" s="256"/>
      <c r="Q327" s="336"/>
      <c r="R327" s="337"/>
      <c r="S327" s="326">
        <f>SUM(S322:S326)</f>
        <v>-81368372.480000019</v>
      </c>
      <c r="T327" s="327">
        <f>-($Q317-R317)*100</f>
        <v>0</v>
      </c>
      <c r="U327" s="260"/>
      <c r="V327" s="342"/>
      <c r="W327" s="326">
        <f>SUM(W322:W326)</f>
        <v>14670146.639996052</v>
      </c>
      <c r="X327" s="327">
        <f>-($Q317-V317)*100</f>
        <v>0</v>
      </c>
      <c r="Y327" s="100"/>
      <c r="Z327" s="388"/>
      <c r="AA327" s="99"/>
      <c r="AB327" s="336"/>
      <c r="AC327" s="336"/>
      <c r="AD327" s="398"/>
      <c r="AE327" s="104"/>
      <c r="AF327" s="336"/>
      <c r="AG327" s="336"/>
      <c r="AH327" s="398"/>
      <c r="AI327" s="104"/>
      <c r="AJ327" s="336"/>
      <c r="AK327" s="336"/>
      <c r="AL327" s="398"/>
      <c r="AM327" s="104"/>
      <c r="AN327" s="336"/>
      <c r="AO327" s="336"/>
      <c r="AP327" s="398"/>
      <c r="AQ327" s="104"/>
      <c r="AR327" s="336"/>
      <c r="AS327" s="336"/>
      <c r="AT327" s="398"/>
      <c r="AU327" s="104"/>
      <c r="AV327" s="336"/>
      <c r="AW327" s="336"/>
      <c r="AX327" s="398"/>
      <c r="AY327" s="104"/>
      <c r="AZ327" s="336"/>
      <c r="BA327" s="336"/>
      <c r="BB327" s="398"/>
      <c r="BC327" s="104"/>
      <c r="BD327" s="336"/>
      <c r="BE327" s="336"/>
      <c r="BF327" s="398"/>
      <c r="BG327" s="104"/>
      <c r="BH327" s="336"/>
      <c r="BI327" s="336"/>
      <c r="BJ327" s="398"/>
      <c r="BK327" s="104"/>
      <c r="BL327" s="336"/>
      <c r="BM327" s="336"/>
      <c r="BN327" s="398"/>
      <c r="BO327" s="104"/>
      <c r="BP327" s="336"/>
      <c r="BQ327" s="336"/>
      <c r="BR327" s="398"/>
      <c r="BS327" s="104"/>
      <c r="BT327" s="336"/>
      <c r="BU327" s="336"/>
      <c r="BV327" s="398"/>
      <c r="BW327" s="100"/>
      <c r="BX327" s="28"/>
    </row>
    <row r="328" spans="1:78" s="34" customFormat="1" ht="22.5" customHeight="1" x14ac:dyDescent="0.75">
      <c r="A328" s="56"/>
      <c r="B328" s="54" t="s">
        <v>94</v>
      </c>
      <c r="C328" s="9"/>
      <c r="D328" s="1"/>
      <c r="E328" s="1"/>
      <c r="H328" s="54"/>
      <c r="I328" s="94"/>
      <c r="J328" s="57"/>
      <c r="K328" s="99"/>
      <c r="L328" s="534"/>
      <c r="M328" s="539" t="str">
        <f>_xll.DBRA(Server&amp;$B$32,$B328,$N$19)</f>
        <v>D - Part of Driving cost variance due to ROA change</v>
      </c>
      <c r="N328" s="539"/>
      <c r="O328" s="540"/>
      <c r="P328" s="262"/>
      <c r="Q328" s="338"/>
      <c r="R328" s="339"/>
      <c r="S328" s="265">
        <f>(IF($R$36&lt;&gt;0,IF($R$36&gt;0,$S$36/$R$36,-$S$36/$R$36),0))*R53</f>
        <v>0</v>
      </c>
      <c r="T328" s="328"/>
      <c r="U328" s="267"/>
      <c r="V328" s="343"/>
      <c r="W328" s="265">
        <f>(IF($V$36&lt;&gt;0,IF($V$36&gt;0,$W$36/$V$36,-$W$36/$V$36),0))*V53</f>
        <v>2935609018.1600013</v>
      </c>
      <c r="X328" s="328"/>
      <c r="Y328" s="100"/>
      <c r="Z328" s="388"/>
      <c r="AA328" s="99"/>
      <c r="AB328" s="338"/>
      <c r="AC328" s="338"/>
      <c r="AD328" s="399"/>
      <c r="AE328" s="104"/>
      <c r="AF328" s="338"/>
      <c r="AG328" s="338"/>
      <c r="AH328" s="399"/>
      <c r="AI328" s="104"/>
      <c r="AJ328" s="338"/>
      <c r="AK328" s="338"/>
      <c r="AL328" s="399"/>
      <c r="AM328" s="104"/>
      <c r="AN328" s="338"/>
      <c r="AO328" s="338"/>
      <c r="AP328" s="399"/>
      <c r="AQ328" s="104"/>
      <c r="AR328" s="338"/>
      <c r="AS328" s="338"/>
      <c r="AT328" s="399"/>
      <c r="AU328" s="104"/>
      <c r="AV328" s="338"/>
      <c r="AW328" s="338"/>
      <c r="AX328" s="399"/>
      <c r="AY328" s="104"/>
      <c r="AZ328" s="338"/>
      <c r="BA328" s="338"/>
      <c r="BB328" s="399"/>
      <c r="BC328" s="104"/>
      <c r="BD328" s="338"/>
      <c r="BE328" s="338"/>
      <c r="BF328" s="399"/>
      <c r="BG328" s="104"/>
      <c r="BH328" s="338"/>
      <c r="BI328" s="338"/>
      <c r="BJ328" s="399"/>
      <c r="BK328" s="104"/>
      <c r="BL328" s="338"/>
      <c r="BM328" s="338"/>
      <c r="BN328" s="399"/>
      <c r="BO328" s="104"/>
      <c r="BP328" s="338"/>
      <c r="BQ328" s="338"/>
      <c r="BR328" s="399"/>
      <c r="BS328" s="104"/>
      <c r="BT328" s="338"/>
      <c r="BU328" s="338"/>
      <c r="BV328" s="399"/>
      <c r="BW328" s="100"/>
      <c r="BX328" s="28"/>
    </row>
    <row r="329" spans="1:78" s="34" customFormat="1" ht="39.75" customHeight="1" collapsed="1" x14ac:dyDescent="0.8">
      <c r="A329" s="56"/>
      <c r="B329" s="370" t="s">
        <v>147</v>
      </c>
      <c r="C329" s="9"/>
      <c r="D329" s="1"/>
      <c r="E329" s="1"/>
      <c r="H329" s="370"/>
      <c r="I329" s="94"/>
      <c r="J329" s="57"/>
      <c r="K329" s="99"/>
      <c r="L329" s="525" t="str">
        <f>_xll.DBRA(Server&amp;Context!$B$32,Context!$B$56,$N$19)</f>
        <v>Total Driving cost variance (impact on Gross Margin variance)</v>
      </c>
      <c r="M329" s="526"/>
      <c r="N329" s="526"/>
      <c r="O329" s="527"/>
      <c r="P329" s="207"/>
      <c r="Q329" s="340"/>
      <c r="R329" s="341"/>
      <c r="S329" s="271">
        <f>SUM(S327:S328)</f>
        <v>-81368372.480000019</v>
      </c>
      <c r="T329" s="329"/>
      <c r="U329" s="241"/>
      <c r="V329" s="344"/>
      <c r="W329" s="271">
        <f>SUM(W327:W328)</f>
        <v>2950279164.7999973</v>
      </c>
      <c r="X329" s="329"/>
      <c r="Y329" s="100"/>
      <c r="Z329" s="388"/>
      <c r="AA329" s="99"/>
      <c r="AB329" s="340"/>
      <c r="AC329" s="340"/>
      <c r="AD329" s="400"/>
      <c r="AE329" s="104"/>
      <c r="AF329" s="340"/>
      <c r="AG329" s="340"/>
      <c r="AH329" s="400"/>
      <c r="AI329" s="104"/>
      <c r="AJ329" s="340"/>
      <c r="AK329" s="340"/>
      <c r="AL329" s="400"/>
      <c r="AM329" s="104"/>
      <c r="AN329" s="340"/>
      <c r="AO329" s="340"/>
      <c r="AP329" s="400"/>
      <c r="AQ329" s="104"/>
      <c r="AR329" s="340"/>
      <c r="AS329" s="340"/>
      <c r="AT329" s="400"/>
      <c r="AU329" s="104"/>
      <c r="AV329" s="340"/>
      <c r="AW329" s="340"/>
      <c r="AX329" s="400"/>
      <c r="AY329" s="104"/>
      <c r="AZ329" s="340"/>
      <c r="BA329" s="340"/>
      <c r="BB329" s="400"/>
      <c r="BC329" s="104"/>
      <c r="BD329" s="340"/>
      <c r="BE329" s="340"/>
      <c r="BF329" s="400"/>
      <c r="BG329" s="104"/>
      <c r="BH329" s="340"/>
      <c r="BI329" s="340"/>
      <c r="BJ329" s="400"/>
      <c r="BK329" s="104"/>
      <c r="BL329" s="340"/>
      <c r="BM329" s="340"/>
      <c r="BN329" s="400"/>
      <c r="BO329" s="104"/>
      <c r="BP329" s="340"/>
      <c r="BQ329" s="340"/>
      <c r="BR329" s="400"/>
      <c r="BS329" s="104"/>
      <c r="BT329" s="340"/>
      <c r="BU329" s="340"/>
      <c r="BV329" s="400"/>
      <c r="BW329" s="100"/>
      <c r="BX329" s="28"/>
    </row>
    <row r="330" spans="1:78" s="34" customFormat="1" ht="18.75" hidden="1" customHeight="1" outlineLevel="1" x14ac:dyDescent="0.8">
      <c r="A330" s="135" t="str">
        <f>_xll.DBR(Server&amp;Cube2,$N$15,$N$13,$B330,IF($N$19="French","STR_VAR3","STR_VAR2"))</f>
        <v/>
      </c>
      <c r="B330" s="54" t="s">
        <v>100</v>
      </c>
      <c r="C330" s="135" t="str">
        <f>_xll.DBR(Server&amp;Cube2,$N$15,$N$13,$B330,"STR_VAR1")</f>
        <v/>
      </c>
      <c r="D330" s="1"/>
      <c r="E330" s="1"/>
      <c r="H330" s="54"/>
      <c r="I330" s="1"/>
      <c r="J330" s="30"/>
      <c r="K330" s="99"/>
      <c r="L330" s="102"/>
      <c r="M330" s="294" t="str">
        <f>_xll.DBRA(Server&amp;$B$32,$B330,$N$19)&amp;"      ---&gt;"</f>
        <v>Driving - Cost Work Unit      ---&gt;</v>
      </c>
      <c r="N330" s="294"/>
      <c r="O330" s="412" t="str">
        <f>IF(A330="",_xll.DBRA(Server&amp;Context!$B$32,Context!$B$66,$N$19),_xll.DBRA(Server&amp;$B$32,$A330,$N$19))</f>
        <v>Not defined</v>
      </c>
      <c r="P330" s="207"/>
      <c r="Q330" s="274">
        <f>_xll.DBRW(Server&amp;Cube1,$N$15,$N$16,$N$17,$N$18,$N$14,$N$13,$N$11,$Q$1,$B330)</f>
        <v>0</v>
      </c>
      <c r="R330" s="275">
        <f>_xll.DBRW(Server&amp;Cube1,$N$15,$N$16,$N$17,$N$18,$N$14,$N$13,$R$2,$R$1,$B330)</f>
        <v>0</v>
      </c>
      <c r="S330" s="276">
        <f>$Q330-R330</f>
        <v>0</v>
      </c>
      <c r="T330" s="277">
        <f>IF(R330&lt;&gt;0,IF(R330&gt;0,S330/R330,-S330/R330),0)</f>
        <v>0</v>
      </c>
      <c r="U330" s="239"/>
      <c r="V330" s="274">
        <f>_xll.DBRW(Server&amp;Cube1,$N$15,$N$16,$N$17,$N$18,$N$14,$N$13,$V$2,$V$1,$B330)</f>
        <v>0</v>
      </c>
      <c r="W330" s="276">
        <f>$Q330-V330</f>
        <v>0</v>
      </c>
      <c r="X330" s="277">
        <f>IF(V330&lt;&gt;0,IF(V330&gt;0,W330/V330,-W330/V330),0)</f>
        <v>0</v>
      </c>
      <c r="Y330" s="209"/>
      <c r="Z330" s="386"/>
      <c r="AA330" s="99"/>
      <c r="AB330" s="274">
        <f>_xll.DBRW(Server&amp;Cube1,$N$15,$N$16,$N$17,$N$18,$N$14,$N$13,AB$2,AB$1,$B330)</f>
        <v>0</v>
      </c>
      <c r="AC330" s="274">
        <f>_xll.DBRW(Server&amp;Cube1,$N$15,$N$16,$N$17,$N$18,$N$14,$N$13,AC$2,AC$1,$B330)</f>
        <v>0</v>
      </c>
      <c r="AD330" s="401">
        <f>_xll.DBRW(Server&amp;Cube1,$N$15,$N$16,$N$17,$N$18,$N$14,$N$13,AD$2,AD$1,$B330)</f>
        <v>0</v>
      </c>
      <c r="AE330" s="104"/>
      <c r="AF330" s="274">
        <f>_xll.DBRW(Server&amp;Cube1,$N$15,$N$16,$N$17,$N$18,$N$14,$N$13,AF$2,AF$1,$B330)</f>
        <v>0</v>
      </c>
      <c r="AG330" s="274">
        <f>_xll.DBRW(Server&amp;Cube1,$N$15,$N$16,$N$17,$N$18,$N$14,$N$13,AG$2,AG$1,$B330)</f>
        <v>0</v>
      </c>
      <c r="AH330" s="401">
        <f>_xll.DBRW(Server&amp;Cube1,$N$15,$N$16,$N$17,$N$18,$N$14,$N$13,AH$2,AH$1,$B330)</f>
        <v>0</v>
      </c>
      <c r="AI330" s="104"/>
      <c r="AJ330" s="274">
        <f>_xll.DBRW(Server&amp;Cube1,$N$15,$N$16,$N$17,$N$18,$N$14,$N$13,AJ$2,AJ$1,$B330)</f>
        <v>0</v>
      </c>
      <c r="AK330" s="274">
        <f>_xll.DBRW(Server&amp;Cube1,$N$15,$N$16,$N$17,$N$18,$N$14,$N$13,AK$2,AK$1,$B330)</f>
        <v>0</v>
      </c>
      <c r="AL330" s="401">
        <f>_xll.DBRW(Server&amp;Cube1,$N$15,$N$16,$N$17,$N$18,$N$14,$N$13,AL$2,AL$1,$B330)</f>
        <v>0</v>
      </c>
      <c r="AM330" s="104"/>
      <c r="AN330" s="274">
        <f>_xll.DBRW(Server&amp;Cube1,$N$15,$N$16,$N$17,$N$18,$N$14,$N$13,AN$2,AN$1,$B330)</f>
        <v>0</v>
      </c>
      <c r="AO330" s="274">
        <f>_xll.DBRW(Server&amp;Cube1,$N$15,$N$16,$N$17,$N$18,$N$14,$N$13,AO$2,AO$1,$B330)</f>
        <v>0</v>
      </c>
      <c r="AP330" s="401">
        <f>_xll.DBRW(Server&amp;Cube1,$N$15,$N$16,$N$17,$N$18,$N$14,$N$13,AP$2,AP$1,$B330)</f>
        <v>0</v>
      </c>
      <c r="AQ330" s="104"/>
      <c r="AR330" s="274">
        <f>_xll.DBRW(Server&amp;Cube1,$N$15,$N$16,$N$17,$N$18,$N$14,$N$13,AR$2,AR$1,$B330)</f>
        <v>0</v>
      </c>
      <c r="AS330" s="274">
        <f>_xll.DBRW(Server&amp;Cube1,$N$15,$N$16,$N$17,$N$18,$N$14,$N$13,AS$2,AS$1,$B330)</f>
        <v>0</v>
      </c>
      <c r="AT330" s="401">
        <f>_xll.DBRW(Server&amp;Cube1,$N$15,$N$16,$N$17,$N$18,$N$14,$N$13,AT$2,AT$1,$B330)</f>
        <v>0</v>
      </c>
      <c r="AU330" s="104"/>
      <c r="AV330" s="274">
        <f>_xll.DBRW(Server&amp;Cube1,$N$15,$N$16,$N$17,$N$18,$N$14,$N$13,AV$2,AV$1,$B330)</f>
        <v>0</v>
      </c>
      <c r="AW330" s="274">
        <f>_xll.DBRW(Server&amp;Cube1,$N$15,$N$16,$N$17,$N$18,$N$14,$N$13,AW$2,AW$1,$B330)</f>
        <v>0</v>
      </c>
      <c r="AX330" s="401">
        <f>_xll.DBRW(Server&amp;Cube1,$N$15,$N$16,$N$17,$N$18,$N$14,$N$13,AX$2,AX$1,$B330)</f>
        <v>0</v>
      </c>
      <c r="AY330" s="104"/>
      <c r="AZ330" s="274">
        <f>_xll.DBRW(Server&amp;Cube1,$N$15,$N$16,$N$17,$N$18,$N$14,$N$13,AZ$2,AZ$1,$B330)</f>
        <v>0</v>
      </c>
      <c r="BA330" s="274">
        <f>_xll.DBRW(Server&amp;Cube1,$N$15,$N$16,$N$17,$N$18,$N$14,$N$13,BA$2,BA$1,$B330)</f>
        <v>0</v>
      </c>
      <c r="BB330" s="401">
        <f>_xll.DBRW(Server&amp;Cube1,$N$15,$N$16,$N$17,$N$18,$N$14,$N$13,BB$2,BB$1,$B330)</f>
        <v>0</v>
      </c>
      <c r="BC330" s="104"/>
      <c r="BD330" s="274">
        <f>_xll.DBRW(Server&amp;Cube1,$N$15,$N$16,$N$17,$N$18,$N$14,$N$13,BD$2,BD$1,$B330)</f>
        <v>0</v>
      </c>
      <c r="BE330" s="274">
        <f>_xll.DBRW(Server&amp;Cube1,$N$15,$N$16,$N$17,$N$18,$N$14,$N$13,BE$2,BE$1,$B330)</f>
        <v>0</v>
      </c>
      <c r="BF330" s="401">
        <f>_xll.DBRW(Server&amp;Cube1,$N$15,$N$16,$N$17,$N$18,$N$14,$N$13,BF$2,BF$1,$B330)</f>
        <v>0</v>
      </c>
      <c r="BG330" s="104"/>
      <c r="BH330" s="274">
        <f>_xll.DBRW(Server&amp;Cube1,$N$15,$N$16,$N$17,$N$18,$N$14,$N$13,BH$2,BH$1,$B330)</f>
        <v>0</v>
      </c>
      <c r="BI330" s="274">
        <f>_xll.DBRW(Server&amp;Cube1,$N$15,$N$16,$N$17,$N$18,$N$14,$N$13,BI$2,BI$1,$B330)</f>
        <v>0</v>
      </c>
      <c r="BJ330" s="401">
        <f>_xll.DBRW(Server&amp;Cube1,$N$15,$N$16,$N$17,$N$18,$N$14,$N$13,BJ$2,BJ$1,$B330)</f>
        <v>0</v>
      </c>
      <c r="BK330" s="104"/>
      <c r="BL330" s="274">
        <f>_xll.DBRW(Server&amp;Cube1,$N$15,$N$16,$N$17,$N$18,$N$14,$N$13,BL$2,BL$1,$B330)</f>
        <v>0</v>
      </c>
      <c r="BM330" s="274">
        <f>_xll.DBRW(Server&amp;Cube1,$N$15,$N$16,$N$17,$N$18,$N$14,$N$13,BM$2,BM$1,$B330)</f>
        <v>0</v>
      </c>
      <c r="BN330" s="401">
        <f>_xll.DBRW(Server&amp;Cube1,$N$15,$N$16,$N$17,$N$18,$N$14,$N$13,BN$2,BN$1,$B330)</f>
        <v>0</v>
      </c>
      <c r="BO330" s="104"/>
      <c r="BP330" s="274">
        <f>_xll.DBRW(Server&amp;Cube1,$N$15,$N$16,$N$17,$N$18,$N$14,$N$13,BP$2,BP$1,$B330)</f>
        <v>0</v>
      </c>
      <c r="BQ330" s="274">
        <f>_xll.DBRW(Server&amp;Cube1,$N$15,$N$16,$N$17,$N$18,$N$14,$N$13,BQ$2,BQ$1,$B330)</f>
        <v>0</v>
      </c>
      <c r="BR330" s="401">
        <f>_xll.DBRW(Server&amp;Cube1,$N$15,$N$16,$N$17,$N$18,$N$14,$N$13,BR$2,BR$1,$B330)</f>
        <v>0</v>
      </c>
      <c r="BS330" s="104"/>
      <c r="BT330" s="274">
        <f>_xll.DBRW(Server&amp;Cube1,$N$15,$N$16,$N$17,$N$18,$N$14,$N$13,BT$2,BT$1,$B330)</f>
        <v>0</v>
      </c>
      <c r="BU330" s="274">
        <f>_xll.DBRW(Server&amp;Cube1,$N$15,$N$16,$N$17,$N$18,$N$14,$N$13,BU$2,BU$1,$B330)</f>
        <v>0</v>
      </c>
      <c r="BV330" s="401">
        <f>_xll.DBRW(Server&amp;Cube1,$N$15,$N$16,$N$17,$N$18,$N$14,$N$13,BV$2,BV$1,$B330)</f>
        <v>0</v>
      </c>
      <c r="BW330" s="209"/>
      <c r="BX330" s="78"/>
      <c r="BY330" s="54"/>
      <c r="BZ330" s="361"/>
    </row>
    <row r="331" spans="1:78" s="34" customFormat="1" ht="9.75" hidden="1" customHeight="1" outlineLevel="1" x14ac:dyDescent="0.8">
      <c r="A331" s="135"/>
      <c r="B331" s="54"/>
      <c r="C331" s="135"/>
      <c r="D331" s="1"/>
      <c r="E331" s="1"/>
      <c r="H331" s="54"/>
      <c r="I331" s="1"/>
      <c r="J331" s="30"/>
      <c r="K331" s="99"/>
      <c r="L331" s="102"/>
      <c r="M331" s="295"/>
      <c r="N331" s="295"/>
      <c r="O331" s="456" t="str">
        <f>IF(COUNTIF($C330,"*Tot_km*"),$B$6,IF(COUNTIF($C330,"Tot_nb_vehicle"),$B$7,IF(COUNTIF($C330,"Rev_km"),$B$8,IF(COUNTIF($C330,"Tot_driv_hours"),$B$9,""))))</f>
        <v/>
      </c>
      <c r="P331" s="207"/>
      <c r="Q331" s="438"/>
      <c r="R331" s="439"/>
      <c r="S331" s="440"/>
      <c r="T331" s="441"/>
      <c r="U331" s="239"/>
      <c r="V331" s="438"/>
      <c r="W331" s="440"/>
      <c r="X331" s="441"/>
      <c r="Y331" s="209"/>
      <c r="Z331" s="386"/>
      <c r="AA331" s="99"/>
      <c r="AB331" s="438"/>
      <c r="AC331" s="438"/>
      <c r="AD331" s="442"/>
      <c r="AE331" s="104"/>
      <c r="AF331" s="438"/>
      <c r="AG331" s="438"/>
      <c r="AH331" s="442"/>
      <c r="AI331" s="104"/>
      <c r="AJ331" s="438"/>
      <c r="AK331" s="438"/>
      <c r="AL331" s="442"/>
      <c r="AM331" s="104"/>
      <c r="AN331" s="438"/>
      <c r="AO331" s="438"/>
      <c r="AP331" s="442"/>
      <c r="AQ331" s="104"/>
      <c r="AR331" s="438"/>
      <c r="AS331" s="438"/>
      <c r="AT331" s="442"/>
      <c r="AU331" s="104"/>
      <c r="AV331" s="438"/>
      <c r="AW331" s="438"/>
      <c r="AX331" s="442"/>
      <c r="AY331" s="104"/>
      <c r="AZ331" s="438"/>
      <c r="BA331" s="438"/>
      <c r="BB331" s="442"/>
      <c r="BC331" s="104"/>
      <c r="BD331" s="438"/>
      <c r="BE331" s="438"/>
      <c r="BF331" s="442"/>
      <c r="BG331" s="104"/>
      <c r="BH331" s="438"/>
      <c r="BI331" s="438"/>
      <c r="BJ331" s="442"/>
      <c r="BK331" s="104"/>
      <c r="BL331" s="438"/>
      <c r="BM331" s="438"/>
      <c r="BN331" s="442"/>
      <c r="BO331" s="104"/>
      <c r="BP331" s="438"/>
      <c r="BQ331" s="438"/>
      <c r="BR331" s="442"/>
      <c r="BS331" s="104"/>
      <c r="BT331" s="438"/>
      <c r="BU331" s="438"/>
      <c r="BV331" s="442"/>
      <c r="BW331" s="209"/>
      <c r="BX331" s="78"/>
      <c r="BY331" s="54"/>
      <c r="BZ331" s="361"/>
    </row>
    <row r="332" spans="1:78" s="34" customFormat="1" ht="18.75" hidden="1" customHeight="1" outlineLevel="1" x14ac:dyDescent="0.8">
      <c r="A332" s="135" t="str">
        <f>_xll.DBR(Server&amp;Cube2,$N$15,$N$13,$B332,IF($N$19="French","STR_VAR3","STR_VAR2"))</f>
        <v/>
      </c>
      <c r="B332" s="54" t="s">
        <v>101</v>
      </c>
      <c r="C332" s="135" t="str">
        <f>_xll.DBR(Server&amp;Cube2,$N$15,$N$13,$B332,"STR_VAR1")</f>
        <v/>
      </c>
      <c r="D332" s="1"/>
      <c r="E332" s="1"/>
      <c r="H332" s="54"/>
      <c r="I332" s="1"/>
      <c r="J332" s="30"/>
      <c r="K332" s="99"/>
      <c r="L332" s="102"/>
      <c r="M332" s="295" t="str">
        <f>_xll.DBRA(Server&amp;$B$32,$B332,$N$19)&amp;"     ---&gt;"</f>
        <v>Driving - Price Work Unit     ---&gt;</v>
      </c>
      <c r="N332" s="295"/>
      <c r="O332" s="413" t="str">
        <f>IF(A332="",_xll.DBRA(Server&amp;Context!$B$32,Context!$B$66,$N$19),_xll.DBRA(Server&amp;$B$32,$A332,$N$19))</f>
        <v>Not defined</v>
      </c>
      <c r="P332" s="207"/>
      <c r="Q332" s="278">
        <f>_xll.DBRW(Server&amp;Cube1,$N$15,$N$16,$N$17,$N$18,$N$14,$N$13,$N$11,$Q$1,$B332)</f>
        <v>0</v>
      </c>
      <c r="R332" s="279">
        <f>_xll.DBRW(Server&amp;Cube1,$N$15,$N$16,$N$17,$N$18,$N$14,$N$13,$R$2,$R$1,$B332)</f>
        <v>0</v>
      </c>
      <c r="S332" s="280">
        <f>$Q332-R332</f>
        <v>0</v>
      </c>
      <c r="T332" s="281">
        <f>IF(R332&lt;&gt;0,IF(R332&gt;0,S332/R332,-S332/R332),0)</f>
        <v>0</v>
      </c>
      <c r="U332" s="239"/>
      <c r="V332" s="278">
        <f>_xll.DBRW(Server&amp;Cube1,$N$15,$N$16,$N$17,$N$18,$N$14,$N$13,$V$2,$V$1,$B332)</f>
        <v>0</v>
      </c>
      <c r="W332" s="280">
        <f>$Q332-V332</f>
        <v>0</v>
      </c>
      <c r="X332" s="281">
        <f>IF(V332&lt;&gt;0,IF(V332&gt;0,W332/V332,-W332/V332),0)</f>
        <v>0</v>
      </c>
      <c r="Y332" s="209"/>
      <c r="Z332" s="386"/>
      <c r="AA332" s="99"/>
      <c r="AB332" s="278">
        <f>_xll.DBRW(Server&amp;Cube1,$N$15,$N$16,$N$17,$N$18,$N$14,$N$13,AB$2,AB$1,$B332)</f>
        <v>0</v>
      </c>
      <c r="AC332" s="278">
        <f>_xll.DBRW(Server&amp;Cube1,$N$15,$N$16,$N$17,$N$18,$N$14,$N$13,AC$2,AC$1,$B332)</f>
        <v>0</v>
      </c>
      <c r="AD332" s="402">
        <f>_xll.DBRW(Server&amp;Cube1,$N$15,$N$16,$N$17,$N$18,$N$14,$N$13,AD$2,AD$1,$B332)</f>
        <v>0</v>
      </c>
      <c r="AE332" s="104"/>
      <c r="AF332" s="278">
        <f>_xll.DBRW(Server&amp;Cube1,$N$15,$N$16,$N$17,$N$18,$N$14,$N$13,AF$2,AF$1,$B332)</f>
        <v>0</v>
      </c>
      <c r="AG332" s="278">
        <f>_xll.DBRW(Server&amp;Cube1,$N$15,$N$16,$N$17,$N$18,$N$14,$N$13,AG$2,AG$1,$B332)</f>
        <v>0</v>
      </c>
      <c r="AH332" s="402">
        <f>_xll.DBRW(Server&amp;Cube1,$N$15,$N$16,$N$17,$N$18,$N$14,$N$13,AH$2,AH$1,$B332)</f>
        <v>0</v>
      </c>
      <c r="AI332" s="104"/>
      <c r="AJ332" s="278">
        <f>_xll.DBRW(Server&amp;Cube1,$N$15,$N$16,$N$17,$N$18,$N$14,$N$13,AJ$2,AJ$1,$B332)</f>
        <v>0</v>
      </c>
      <c r="AK332" s="278">
        <f>_xll.DBRW(Server&amp;Cube1,$N$15,$N$16,$N$17,$N$18,$N$14,$N$13,AK$2,AK$1,$B332)</f>
        <v>0</v>
      </c>
      <c r="AL332" s="402">
        <f>_xll.DBRW(Server&amp;Cube1,$N$15,$N$16,$N$17,$N$18,$N$14,$N$13,AL$2,AL$1,$B332)</f>
        <v>0</v>
      </c>
      <c r="AM332" s="104"/>
      <c r="AN332" s="278">
        <f>_xll.DBRW(Server&amp;Cube1,$N$15,$N$16,$N$17,$N$18,$N$14,$N$13,AN$2,AN$1,$B332)</f>
        <v>0</v>
      </c>
      <c r="AO332" s="278">
        <f>_xll.DBRW(Server&amp;Cube1,$N$15,$N$16,$N$17,$N$18,$N$14,$N$13,AO$2,AO$1,$B332)</f>
        <v>0</v>
      </c>
      <c r="AP332" s="402">
        <f>_xll.DBRW(Server&amp;Cube1,$N$15,$N$16,$N$17,$N$18,$N$14,$N$13,AP$2,AP$1,$B332)</f>
        <v>0</v>
      </c>
      <c r="AQ332" s="104"/>
      <c r="AR332" s="278">
        <f>_xll.DBRW(Server&amp;Cube1,$N$15,$N$16,$N$17,$N$18,$N$14,$N$13,AR$2,AR$1,$B332)</f>
        <v>0</v>
      </c>
      <c r="AS332" s="278">
        <f>_xll.DBRW(Server&amp;Cube1,$N$15,$N$16,$N$17,$N$18,$N$14,$N$13,AS$2,AS$1,$B332)</f>
        <v>0</v>
      </c>
      <c r="AT332" s="402">
        <f>_xll.DBRW(Server&amp;Cube1,$N$15,$N$16,$N$17,$N$18,$N$14,$N$13,AT$2,AT$1,$B332)</f>
        <v>0</v>
      </c>
      <c r="AU332" s="104"/>
      <c r="AV332" s="278">
        <f>_xll.DBRW(Server&amp;Cube1,$N$15,$N$16,$N$17,$N$18,$N$14,$N$13,AV$2,AV$1,$B332)</f>
        <v>0</v>
      </c>
      <c r="AW332" s="278">
        <f>_xll.DBRW(Server&amp;Cube1,$N$15,$N$16,$N$17,$N$18,$N$14,$N$13,AW$2,AW$1,$B332)</f>
        <v>0</v>
      </c>
      <c r="AX332" s="402">
        <f>_xll.DBRW(Server&amp;Cube1,$N$15,$N$16,$N$17,$N$18,$N$14,$N$13,AX$2,AX$1,$B332)</f>
        <v>0</v>
      </c>
      <c r="AY332" s="104"/>
      <c r="AZ332" s="278">
        <f>_xll.DBRW(Server&amp;Cube1,$N$15,$N$16,$N$17,$N$18,$N$14,$N$13,AZ$2,AZ$1,$B332)</f>
        <v>0</v>
      </c>
      <c r="BA332" s="278">
        <f>_xll.DBRW(Server&amp;Cube1,$N$15,$N$16,$N$17,$N$18,$N$14,$N$13,BA$2,BA$1,$B332)</f>
        <v>0</v>
      </c>
      <c r="BB332" s="402">
        <f>_xll.DBRW(Server&amp;Cube1,$N$15,$N$16,$N$17,$N$18,$N$14,$N$13,BB$2,BB$1,$B332)</f>
        <v>0</v>
      </c>
      <c r="BC332" s="104"/>
      <c r="BD332" s="278">
        <f>_xll.DBRW(Server&amp;Cube1,$N$15,$N$16,$N$17,$N$18,$N$14,$N$13,BD$2,BD$1,$B332)</f>
        <v>0</v>
      </c>
      <c r="BE332" s="278">
        <f>_xll.DBRW(Server&amp;Cube1,$N$15,$N$16,$N$17,$N$18,$N$14,$N$13,BE$2,BE$1,$B332)</f>
        <v>0</v>
      </c>
      <c r="BF332" s="402">
        <f>_xll.DBRW(Server&amp;Cube1,$N$15,$N$16,$N$17,$N$18,$N$14,$N$13,BF$2,BF$1,$B332)</f>
        <v>0</v>
      </c>
      <c r="BG332" s="104"/>
      <c r="BH332" s="278">
        <f>_xll.DBRW(Server&amp;Cube1,$N$15,$N$16,$N$17,$N$18,$N$14,$N$13,BH$2,BH$1,$B332)</f>
        <v>0</v>
      </c>
      <c r="BI332" s="278">
        <f>_xll.DBRW(Server&amp;Cube1,$N$15,$N$16,$N$17,$N$18,$N$14,$N$13,BI$2,BI$1,$B332)</f>
        <v>0</v>
      </c>
      <c r="BJ332" s="402">
        <f>_xll.DBRW(Server&amp;Cube1,$N$15,$N$16,$N$17,$N$18,$N$14,$N$13,BJ$2,BJ$1,$B332)</f>
        <v>0</v>
      </c>
      <c r="BK332" s="104"/>
      <c r="BL332" s="278">
        <f>_xll.DBRW(Server&amp;Cube1,$N$15,$N$16,$N$17,$N$18,$N$14,$N$13,BL$2,BL$1,$B332)</f>
        <v>0</v>
      </c>
      <c r="BM332" s="278">
        <f>_xll.DBRW(Server&amp;Cube1,$N$15,$N$16,$N$17,$N$18,$N$14,$N$13,BM$2,BM$1,$B332)</f>
        <v>0</v>
      </c>
      <c r="BN332" s="402">
        <f>_xll.DBRW(Server&amp;Cube1,$N$15,$N$16,$N$17,$N$18,$N$14,$N$13,BN$2,BN$1,$B332)</f>
        <v>0</v>
      </c>
      <c r="BO332" s="104"/>
      <c r="BP332" s="278">
        <f>_xll.DBRW(Server&amp;Cube1,$N$15,$N$16,$N$17,$N$18,$N$14,$N$13,BP$2,BP$1,$B332)</f>
        <v>0</v>
      </c>
      <c r="BQ332" s="278">
        <f>_xll.DBRW(Server&amp;Cube1,$N$15,$N$16,$N$17,$N$18,$N$14,$N$13,BQ$2,BQ$1,$B332)</f>
        <v>0</v>
      </c>
      <c r="BR332" s="402">
        <f>_xll.DBRW(Server&amp;Cube1,$N$15,$N$16,$N$17,$N$18,$N$14,$N$13,BR$2,BR$1,$B332)</f>
        <v>0</v>
      </c>
      <c r="BS332" s="104"/>
      <c r="BT332" s="278">
        <f>_xll.DBRW(Server&amp;Cube1,$N$15,$N$16,$N$17,$N$18,$N$14,$N$13,BT$2,BT$1,$B332)</f>
        <v>0</v>
      </c>
      <c r="BU332" s="278">
        <f>_xll.DBRW(Server&amp;Cube1,$N$15,$N$16,$N$17,$N$18,$N$14,$N$13,BU$2,BU$1,$B332)</f>
        <v>0</v>
      </c>
      <c r="BV332" s="402">
        <f>_xll.DBRW(Server&amp;Cube1,$N$15,$N$16,$N$17,$N$18,$N$14,$N$13,BV$2,BV$1,$B332)</f>
        <v>0</v>
      </c>
      <c r="BW332" s="209"/>
      <c r="BX332" s="78"/>
      <c r="BY332" s="54"/>
    </row>
    <row r="333" spans="1:78" s="34" customFormat="1" ht="9" hidden="1" customHeight="1" outlineLevel="1" x14ac:dyDescent="0.8">
      <c r="A333" s="135"/>
      <c r="B333" s="54"/>
      <c r="C333" s="135"/>
      <c r="D333" s="1"/>
      <c r="E333" s="1"/>
      <c r="H333" s="54"/>
      <c r="I333" s="1"/>
      <c r="J333" s="30"/>
      <c r="K333" s="99"/>
      <c r="L333" s="102"/>
      <c r="M333" s="295"/>
      <c r="N333" s="295"/>
      <c r="O333" s="456" t="str">
        <f>IF(COUNTIF($C332,"*Tot_km*"),$B$6,IF(COUNTIF($C332,"Tot_nb_vehicle"),$B$7,IF(COUNTIF($C332,"Rev_km"),$B$8,IF(COUNTIF($C332,"Tot_driv_hours"),$B$9,""))))</f>
        <v/>
      </c>
      <c r="P333" s="443"/>
      <c r="Q333" s="444"/>
      <c r="R333" s="444"/>
      <c r="S333" s="440"/>
      <c r="T333" s="445"/>
      <c r="U333" s="446"/>
      <c r="V333" s="444"/>
      <c r="W333" s="440"/>
      <c r="X333" s="445"/>
      <c r="Y333" s="209"/>
      <c r="Z333" s="386"/>
      <c r="AA333" s="99"/>
      <c r="AB333" s="444"/>
      <c r="AC333" s="444"/>
      <c r="AD333" s="444"/>
      <c r="AE333" s="104"/>
      <c r="AF333" s="444"/>
      <c r="AG333" s="444"/>
      <c r="AH333" s="444"/>
      <c r="AI333" s="104"/>
      <c r="AJ333" s="444"/>
      <c r="AK333" s="444"/>
      <c r="AL333" s="444"/>
      <c r="AM333" s="104"/>
      <c r="AN333" s="444"/>
      <c r="AO333" s="444"/>
      <c r="AP333" s="444"/>
      <c r="AQ333" s="104"/>
      <c r="AR333" s="444"/>
      <c r="AS333" s="444"/>
      <c r="AT333" s="444"/>
      <c r="AU333" s="104"/>
      <c r="AV333" s="444"/>
      <c r="AW333" s="444"/>
      <c r="AX333" s="444"/>
      <c r="AY333" s="104"/>
      <c r="AZ333" s="444"/>
      <c r="BA333" s="444"/>
      <c r="BB333" s="444"/>
      <c r="BC333" s="104"/>
      <c r="BD333" s="444"/>
      <c r="BE333" s="444"/>
      <c r="BF333" s="444"/>
      <c r="BG333" s="104"/>
      <c r="BH333" s="444"/>
      <c r="BI333" s="444"/>
      <c r="BJ333" s="444"/>
      <c r="BK333" s="104"/>
      <c r="BL333" s="444"/>
      <c r="BM333" s="444"/>
      <c r="BN333" s="444"/>
      <c r="BO333" s="104"/>
      <c r="BP333" s="444"/>
      <c r="BQ333" s="444"/>
      <c r="BR333" s="444"/>
      <c r="BS333" s="104"/>
      <c r="BT333" s="444"/>
      <c r="BU333" s="444"/>
      <c r="BV333" s="444"/>
      <c r="BW333" s="209"/>
      <c r="BX333" s="78"/>
      <c r="BY333" s="54"/>
    </row>
    <row r="334" spans="1:78" s="34" customFormat="1" ht="23.25" customHeight="1" collapsed="1" x14ac:dyDescent="0.75">
      <c r="A334" s="56"/>
      <c r="B334" s="368"/>
      <c r="C334" s="9"/>
      <c r="D334" s="1"/>
      <c r="E334" s="1"/>
      <c r="H334" s="368"/>
      <c r="I334" s="94"/>
      <c r="J334" s="57"/>
      <c r="K334" s="154"/>
      <c r="L334" s="309"/>
      <c r="M334" s="437"/>
      <c r="N334" s="155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5"/>
      <c r="Z334" s="104"/>
      <c r="AA334" s="15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5"/>
      <c r="BX334" s="28"/>
    </row>
    <row r="335" spans="1:78" s="34" customFormat="1" ht="30" hidden="1" customHeight="1" outlineLevel="1" x14ac:dyDescent="0.75">
      <c r="A335" t="s">
        <v>295</v>
      </c>
      <c r="B335" t="str">
        <f>$N$12&amp;" N"</f>
        <v>Actual N</v>
      </c>
      <c r="C335" t="str">
        <f>$N$20&amp;" "&amp;$N$21</f>
        <v>Budget V current N</v>
      </c>
      <c r="D335" t="str">
        <f>$O$20&amp;" "&amp;$O$21</f>
        <v>Actual N-1</v>
      </c>
      <c r="E335" s="1"/>
      <c r="H335" s="368"/>
      <c r="I335" s="94"/>
      <c r="J335" s="57"/>
      <c r="K335" s="154"/>
      <c r="L335" s="309"/>
      <c r="M335" s="518" t="str">
        <f>M318</f>
        <v>D1 - Driving Cost per Cost Work Unit</v>
      </c>
      <c r="N335" s="518"/>
      <c r="O335" s="518"/>
      <c r="P335" s="518"/>
      <c r="Q335" s="518"/>
      <c r="R335" s="518"/>
      <c r="S335" s="518"/>
      <c r="T335" s="518"/>
      <c r="U335" s="104"/>
      <c r="V335" s="104"/>
      <c r="W335" s="104"/>
      <c r="X335" s="104"/>
      <c r="Y335" s="105"/>
      <c r="Z335" s="104"/>
      <c r="AA335" s="15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5"/>
      <c r="BX335" s="28"/>
    </row>
    <row r="336" spans="1:78" s="34" customFormat="1" ht="15" hidden="1" customHeight="1" outlineLevel="1" x14ac:dyDescent="0.75">
      <c r="A336" s="383" t="str">
        <f>IF($N$19="English","J","J")</f>
        <v>J</v>
      </c>
      <c r="B336" s="384" t="e">
        <f>IF(ROUND(AB$318,6),ROUND(AB$318,6),NA())</f>
        <v>#N/A</v>
      </c>
      <c r="C336" s="384" t="e">
        <f>IF(ROUND(AC$318,6),ROUND(AC$318,6),NA())</f>
        <v>#N/A</v>
      </c>
      <c r="D336" s="384" t="e">
        <f>IF(ROUND(AD$318,6),ROUND(AD$318,6),NA())</f>
        <v>#N/A</v>
      </c>
      <c r="E336" s="1" t="s">
        <v>279</v>
      </c>
      <c r="H336" s="368"/>
      <c r="I336" s="94"/>
      <c r="J336" s="57"/>
      <c r="K336" s="154"/>
      <c r="L336" s="309"/>
      <c r="M336" s="155"/>
      <c r="N336" s="155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5"/>
      <c r="Z336" s="104"/>
      <c r="AA336" s="15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5"/>
      <c r="BX336" s="28"/>
    </row>
    <row r="337" spans="1:76" s="34" customFormat="1" ht="15" hidden="1" customHeight="1" outlineLevel="1" x14ac:dyDescent="0.75">
      <c r="A337" s="383" t="s">
        <v>213</v>
      </c>
      <c r="B337" s="384" t="e">
        <f>IF(ROUND(AF$318,6),ROUND(AF$318,6),NA())</f>
        <v>#N/A</v>
      </c>
      <c r="C337" s="384" t="e">
        <f>IF(ROUND(AG$318,6),ROUND(AG$318,6),NA())</f>
        <v>#N/A</v>
      </c>
      <c r="D337" s="384" t="e">
        <f>IF(ROUND(AH$318,6),ROUND(AH$318,6),NA())</f>
        <v>#N/A</v>
      </c>
      <c r="E337" s="1" t="s">
        <v>280</v>
      </c>
      <c r="H337" s="368"/>
      <c r="I337" s="94"/>
      <c r="J337" s="57"/>
      <c r="K337" s="154"/>
      <c r="L337" s="309"/>
      <c r="M337" s="155"/>
      <c r="N337" s="155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5"/>
      <c r="Z337" s="104"/>
      <c r="AA337" s="15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5"/>
      <c r="BX337" s="28"/>
    </row>
    <row r="338" spans="1:76" s="34" customFormat="1" ht="15" hidden="1" customHeight="1" outlineLevel="1" x14ac:dyDescent="0.75">
      <c r="A338" s="383" t="s">
        <v>215</v>
      </c>
      <c r="B338" s="384" t="e">
        <f>IF(ROUND(AJ$318,6),ROUND(AJ$318,6),NA())</f>
        <v>#N/A</v>
      </c>
      <c r="C338" s="384" t="e">
        <f>IF(ROUND(AK$318,6),ROUND(AK$318,6),NA())</f>
        <v>#N/A</v>
      </c>
      <c r="D338" s="384" t="e">
        <f>IF(ROUND(AL$318,6),ROUND(AL$318,6),NA())</f>
        <v>#N/A</v>
      </c>
      <c r="E338" s="1" t="s">
        <v>281</v>
      </c>
      <c r="H338" s="368"/>
      <c r="I338" s="94"/>
      <c r="J338" s="57"/>
      <c r="K338" s="154"/>
      <c r="L338" s="309"/>
      <c r="M338" s="155"/>
      <c r="N338" s="155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5"/>
      <c r="Z338" s="104"/>
      <c r="AA338" s="15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5"/>
      <c r="BX338" s="28"/>
    </row>
    <row r="339" spans="1:76" s="34" customFormat="1" ht="15" hidden="1" customHeight="1" outlineLevel="1" x14ac:dyDescent="0.75">
      <c r="A339" s="383" t="s">
        <v>42</v>
      </c>
      <c r="B339" s="384" t="e">
        <f>IF(ROUND(AN$318,6),ROUND(AN$318,6),NA())</f>
        <v>#N/A</v>
      </c>
      <c r="C339" s="384" t="e">
        <f>IF(ROUND(AO$318,6),ROUND(AO$318,6),NA())</f>
        <v>#N/A</v>
      </c>
      <c r="D339" s="384" t="e">
        <f>IF(ROUND(AP$318,6),ROUND(AP$318,6),NA())</f>
        <v>#N/A</v>
      </c>
      <c r="E339" s="1" t="s">
        <v>282</v>
      </c>
      <c r="H339" s="368"/>
      <c r="I339" s="94"/>
      <c r="J339" s="57"/>
      <c r="K339" s="154"/>
      <c r="L339" s="309"/>
      <c r="M339" s="155"/>
      <c r="N339" s="155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5"/>
      <c r="Z339" s="104"/>
      <c r="AA339" s="15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5"/>
      <c r="BX339" s="28"/>
    </row>
    <row r="340" spans="1:76" s="34" customFormat="1" ht="15" hidden="1" customHeight="1" outlineLevel="1" x14ac:dyDescent="0.75">
      <c r="A340" s="383" t="s">
        <v>215</v>
      </c>
      <c r="B340" s="384" t="e">
        <f>IF(ROUND(AR$318,6),ROUND(AR$318,6),NA())</f>
        <v>#N/A</v>
      </c>
      <c r="C340" s="384" t="e">
        <f>IF(ROUND(AS$318,6),ROUND(AS$318,6),NA())</f>
        <v>#N/A</v>
      </c>
      <c r="D340" s="384" t="e">
        <f>IF(ROUND(AT$318,6),ROUND(AT$318,6),NA())</f>
        <v>#N/A</v>
      </c>
      <c r="E340" s="1" t="s">
        <v>283</v>
      </c>
      <c r="H340" s="368"/>
      <c r="I340" s="94"/>
      <c r="J340" s="57"/>
      <c r="K340" s="154"/>
      <c r="L340" s="309"/>
      <c r="M340" s="155"/>
      <c r="N340" s="155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5"/>
      <c r="Z340" s="104"/>
      <c r="AA340" s="15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5"/>
      <c r="BX340" s="28"/>
    </row>
    <row r="341" spans="1:76" s="34" customFormat="1" ht="15" hidden="1" customHeight="1" outlineLevel="1" x14ac:dyDescent="0.75">
      <c r="A341" s="383" t="s">
        <v>263</v>
      </c>
      <c r="B341" s="384" t="e">
        <f>IF(ROUND(AV$318,6),ROUND(AV$318,6),NA())</f>
        <v>#N/A</v>
      </c>
      <c r="C341" s="384" t="e">
        <f>IF(ROUND(AW$318,6),ROUND(AW$318,6),NA())</f>
        <v>#N/A</v>
      </c>
      <c r="D341" s="384" t="e">
        <f>IF(ROUND(AX$318,6),ROUND(AX$318,6),NA())</f>
        <v>#N/A</v>
      </c>
      <c r="E341" s="1" t="s">
        <v>284</v>
      </c>
      <c r="H341" s="368"/>
      <c r="I341" s="94"/>
      <c r="J341" s="57"/>
      <c r="K341" s="154"/>
      <c r="L341" s="309"/>
      <c r="M341" s="155"/>
      <c r="N341" s="155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5"/>
      <c r="Z341" s="104"/>
      <c r="AA341" s="15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5"/>
      <c r="BX341" s="28"/>
    </row>
    <row r="342" spans="1:76" s="34" customFormat="1" ht="15" hidden="1" customHeight="1" outlineLevel="1" x14ac:dyDescent="0.75">
      <c r="A342" s="383" t="s">
        <v>263</v>
      </c>
      <c r="B342" s="384" t="e">
        <f>IF(ROUND(AZ$318,6),ROUND(AZ$318,6),NA())</f>
        <v>#N/A</v>
      </c>
      <c r="C342" s="384" t="e">
        <f>IF(ROUND(BA$318,6),ROUND(BA$318,6),NA())</f>
        <v>#N/A</v>
      </c>
      <c r="D342" s="384" t="e">
        <f>IF(ROUND(BB$318,6),ROUND(BB$318,6),NA())</f>
        <v>#N/A</v>
      </c>
      <c r="E342" s="1" t="s">
        <v>285</v>
      </c>
      <c r="H342" s="368"/>
      <c r="I342" s="94"/>
      <c r="J342" s="57"/>
      <c r="K342" s="154"/>
      <c r="L342" s="309"/>
      <c r="M342" s="155"/>
      <c r="N342" s="155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5"/>
      <c r="Z342" s="104"/>
      <c r="AA342" s="15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5"/>
      <c r="BX342" s="28"/>
    </row>
    <row r="343" spans="1:76" s="34" customFormat="1" ht="15" hidden="1" customHeight="1" outlineLevel="1" x14ac:dyDescent="0.75">
      <c r="A343" s="383" t="s">
        <v>42</v>
      </c>
      <c r="B343" s="384" t="e">
        <f>IF(ROUND(BD$318,6),ROUND(BD$318,6),NA())</f>
        <v>#N/A</v>
      </c>
      <c r="C343" s="384" t="e">
        <f>IF(ROUND(BE$318,6),ROUND(BE$318,6),NA())</f>
        <v>#N/A</v>
      </c>
      <c r="D343" s="384" t="e">
        <f>IF(ROUND(BF$318,6),ROUND(BF$318,6),NA())</f>
        <v>#N/A</v>
      </c>
      <c r="E343" s="1" t="s">
        <v>286</v>
      </c>
      <c r="H343" s="368"/>
      <c r="I343" s="94"/>
      <c r="J343" s="57"/>
      <c r="K343" s="154"/>
      <c r="L343" s="309"/>
      <c r="M343" s="155"/>
      <c r="N343" s="155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5"/>
      <c r="Z343" s="104"/>
      <c r="AA343" s="15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5"/>
      <c r="BX343" s="28"/>
    </row>
    <row r="344" spans="1:76" s="34" customFormat="1" ht="15" hidden="1" customHeight="1" outlineLevel="1" x14ac:dyDescent="0.75">
      <c r="A344" s="383" t="s">
        <v>264</v>
      </c>
      <c r="B344" s="384" t="e">
        <f>IF(ROUND(BH$318,6),ROUND(BH$318,6),NA())</f>
        <v>#N/A</v>
      </c>
      <c r="C344" s="384" t="e">
        <f>IF(ROUND(BI$318,6),ROUND(BI$318,6),NA())</f>
        <v>#N/A</v>
      </c>
      <c r="D344" s="384" t="e">
        <f>IF(ROUND(BJ$318,6),ROUND(BJ$318,6),NA())</f>
        <v>#N/A</v>
      </c>
      <c r="E344" s="1" t="s">
        <v>287</v>
      </c>
      <c r="H344" s="368"/>
      <c r="I344" s="94"/>
      <c r="J344" s="57"/>
      <c r="K344" s="154"/>
      <c r="L344" s="309"/>
      <c r="M344" s="155"/>
      <c r="N344" s="155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5"/>
      <c r="Z344" s="104"/>
      <c r="AA344" s="15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5"/>
      <c r="BX344" s="28"/>
    </row>
    <row r="345" spans="1:76" s="34" customFormat="1" ht="15" hidden="1" customHeight="1" outlineLevel="1" x14ac:dyDescent="0.75">
      <c r="A345" s="383" t="s">
        <v>212</v>
      </c>
      <c r="B345" s="384" t="e">
        <f>IF(ROUND(BL$318,6),ROUND(BL$318,6),NA())</f>
        <v>#N/A</v>
      </c>
      <c r="C345" s="384" t="e">
        <f>IF(ROUND(BM$318,6),ROUND(BM$318,6),NA())</f>
        <v>#N/A</v>
      </c>
      <c r="D345" s="384" t="e">
        <f>IF(ROUND(BN$318,6),ROUND(BN$318,6),NA())</f>
        <v>#N/A</v>
      </c>
      <c r="E345" s="1" t="s">
        <v>288</v>
      </c>
      <c r="H345" s="368"/>
      <c r="I345" s="94"/>
      <c r="J345" s="57"/>
      <c r="K345" s="154"/>
      <c r="L345" s="309"/>
      <c r="M345" s="155"/>
      <c r="N345" s="155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5"/>
      <c r="Z345" s="104"/>
      <c r="AA345" s="15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5"/>
      <c r="BX345" s="28"/>
    </row>
    <row r="346" spans="1:76" s="34" customFormat="1" ht="15" hidden="1" customHeight="1" outlineLevel="1" x14ac:dyDescent="0.75">
      <c r="A346" s="383" t="s">
        <v>257</v>
      </c>
      <c r="B346" s="384" t="e">
        <f>IF(ROUND(BP$318,6),ROUND(BP$318,6),NA())</f>
        <v>#N/A</v>
      </c>
      <c r="C346" s="384" t="e">
        <f>IF(ROUND(BQ$318,6),ROUND(BQ$318,6),NA())</f>
        <v>#N/A</v>
      </c>
      <c r="D346" s="384" t="e">
        <f>IF(ROUND(BR$318,6),ROUND(BR$318,6),NA())</f>
        <v>#N/A</v>
      </c>
      <c r="E346" s="1" t="s">
        <v>289</v>
      </c>
      <c r="H346" s="368"/>
      <c r="I346" s="94"/>
      <c r="J346" s="57"/>
      <c r="K346" s="154"/>
      <c r="L346" s="309"/>
      <c r="M346" s="155"/>
      <c r="N346" s="155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5"/>
      <c r="Z346" s="104"/>
      <c r="AA346" s="15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5"/>
      <c r="BX346" s="28"/>
    </row>
    <row r="347" spans="1:76" s="34" customFormat="1" ht="15" hidden="1" customHeight="1" outlineLevel="1" x14ac:dyDescent="0.75">
      <c r="A347" s="383" t="s">
        <v>216</v>
      </c>
      <c r="B347" s="384" t="e">
        <f>IF(ROUND(BT$318,6),ROUND(BT$318,6),NA())</f>
        <v>#N/A</v>
      </c>
      <c r="C347" s="384" t="e">
        <f>IF(ROUND(BU$318,6),ROUND(BU$318,6),NA())</f>
        <v>#N/A</v>
      </c>
      <c r="D347" s="384" t="e">
        <f>IF(ROUND(BV$318,6),ROUND(BV$318,6),NA())</f>
        <v>#N/A</v>
      </c>
      <c r="E347" s="1" t="s">
        <v>290</v>
      </c>
      <c r="H347" s="368"/>
      <c r="I347" s="94"/>
      <c r="J347" s="57"/>
      <c r="K347" s="154"/>
      <c r="L347" s="309"/>
      <c r="M347" s="155"/>
      <c r="N347" s="155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5"/>
      <c r="Z347" s="104"/>
      <c r="AA347" s="15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5"/>
      <c r="BX347" s="28"/>
    </row>
    <row r="348" spans="1:76" s="34" customFormat="1" ht="15" hidden="1" customHeight="1" outlineLevel="1" x14ac:dyDescent="0.75">
      <c r="A348" s="56"/>
      <c r="B348" s="368"/>
      <c r="C348" s="9"/>
      <c r="D348" s="1"/>
      <c r="E348" s="1"/>
      <c r="H348" s="368"/>
      <c r="I348" s="94"/>
      <c r="J348" s="57"/>
      <c r="K348" s="154"/>
      <c r="L348" s="309"/>
      <c r="M348" s="155"/>
      <c r="N348" s="155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5"/>
      <c r="Z348" s="104"/>
      <c r="AA348" s="15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5"/>
      <c r="BX348" s="28"/>
    </row>
    <row r="349" spans="1:76" s="34" customFormat="1" ht="15" hidden="1" customHeight="1" outlineLevel="1" x14ac:dyDescent="0.75">
      <c r="A349" t="s">
        <v>296</v>
      </c>
      <c r="B349" t="str">
        <f>$N$12&amp;" N"</f>
        <v>Actual N</v>
      </c>
      <c r="C349" t="str">
        <f>$N$20&amp;" "&amp;$N$21</f>
        <v>Budget V current N</v>
      </c>
      <c r="D349" t="str">
        <f>$O$20&amp;" "&amp;$O$21</f>
        <v>Actual N-1</v>
      </c>
      <c r="E349" s="1"/>
      <c r="H349" s="368"/>
      <c r="I349" s="94"/>
      <c r="J349" s="57"/>
      <c r="K349" s="154"/>
      <c r="L349" s="309"/>
      <c r="M349" s="155"/>
      <c r="N349" s="155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5"/>
      <c r="Z349" s="104"/>
      <c r="AA349" s="15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5"/>
      <c r="BX349" s="28"/>
    </row>
    <row r="350" spans="1:76" s="34" customFormat="1" ht="15" hidden="1" customHeight="1" outlineLevel="1" x14ac:dyDescent="0.75">
      <c r="A350" s="383" t="str">
        <f>IF($N$19="English","J","J")</f>
        <v>J</v>
      </c>
      <c r="B350" s="410" t="e">
        <f>IF(ROUND(AB$319,6),ROUND(AB$319,6),NA())</f>
        <v>#N/A</v>
      </c>
      <c r="C350" s="410" t="e">
        <f>IF(ROUND(AC$319,6),ROUND(AC$319,6),NA())</f>
        <v>#N/A</v>
      </c>
      <c r="D350" s="410" t="e">
        <f>IF(ROUND(AD$319,6),ROUND(AD$319,6),NA())</f>
        <v>#N/A</v>
      </c>
      <c r="E350" s="1" t="s">
        <v>279</v>
      </c>
      <c r="H350" s="368"/>
      <c r="I350" s="94"/>
      <c r="J350" s="57"/>
      <c r="K350" s="154"/>
      <c r="L350" s="309"/>
      <c r="M350" s="155"/>
      <c r="N350" s="155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5"/>
      <c r="Z350" s="104"/>
      <c r="AA350" s="15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5"/>
      <c r="BX350" s="28"/>
    </row>
    <row r="351" spans="1:76" s="34" customFormat="1" ht="15" hidden="1" customHeight="1" outlineLevel="1" x14ac:dyDescent="0.75">
      <c r="A351" s="383" t="s">
        <v>213</v>
      </c>
      <c r="B351" s="410" t="e">
        <f>IF(ROUND(AF$319,6),ROUND(AF$319,6),NA())</f>
        <v>#N/A</v>
      </c>
      <c r="C351" s="410" t="e">
        <f>IF(ROUND(AG$319,6),ROUND(AG$319,6),NA())</f>
        <v>#N/A</v>
      </c>
      <c r="D351" s="410" t="e">
        <f>IF(ROUND(AH$319,6),ROUND(AH$319,6),NA())</f>
        <v>#N/A</v>
      </c>
      <c r="E351" s="1" t="s">
        <v>280</v>
      </c>
      <c r="H351" s="368"/>
      <c r="I351" s="94"/>
      <c r="J351" s="57"/>
      <c r="K351" s="154"/>
      <c r="L351" s="309"/>
      <c r="M351" s="155"/>
      <c r="N351" s="155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5"/>
      <c r="Z351" s="104"/>
      <c r="AA351" s="15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5"/>
      <c r="BX351" s="28"/>
    </row>
    <row r="352" spans="1:76" s="34" customFormat="1" ht="15" hidden="1" customHeight="1" outlineLevel="1" x14ac:dyDescent="0.75">
      <c r="A352" s="383" t="s">
        <v>215</v>
      </c>
      <c r="B352" s="410" t="e">
        <f>IF(ROUND(AJ$319,6),ROUND(AJ$319,6),NA())</f>
        <v>#N/A</v>
      </c>
      <c r="C352" s="410" t="e">
        <f>IF(ROUND(AK$319,6),ROUND(AK$319,6),NA())</f>
        <v>#N/A</v>
      </c>
      <c r="D352" s="410" t="e">
        <f>IF(ROUND(AL$319,6),ROUND(AL$319,6),NA())</f>
        <v>#N/A</v>
      </c>
      <c r="E352" s="1" t="s">
        <v>281</v>
      </c>
      <c r="H352" s="368"/>
      <c r="I352" s="94"/>
      <c r="J352" s="57"/>
      <c r="K352" s="154"/>
      <c r="L352" s="309"/>
      <c r="M352" s="155"/>
      <c r="N352" s="155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5"/>
      <c r="Z352" s="104"/>
      <c r="AA352" s="15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5"/>
      <c r="BX352" s="28"/>
    </row>
    <row r="353" spans="1:76" s="34" customFormat="1" ht="15" hidden="1" customHeight="1" outlineLevel="1" x14ac:dyDescent="0.75">
      <c r="A353" s="383" t="s">
        <v>42</v>
      </c>
      <c r="B353" s="410" t="e">
        <f>IF(ROUND(AN$319,6),ROUND(AN$319,6),NA())</f>
        <v>#N/A</v>
      </c>
      <c r="C353" s="410" t="e">
        <f>IF(ROUND(AO$319,6),ROUND(AO$319,6),NA())</f>
        <v>#N/A</v>
      </c>
      <c r="D353" s="410" t="e">
        <f>IF(ROUND(AP$319,6),ROUND(AP$319,6),NA())</f>
        <v>#N/A</v>
      </c>
      <c r="E353" s="1" t="s">
        <v>282</v>
      </c>
      <c r="H353" s="368"/>
      <c r="I353" s="94"/>
      <c r="J353" s="57"/>
      <c r="K353" s="154"/>
      <c r="L353" s="309"/>
      <c r="M353" s="155"/>
      <c r="N353" s="155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5"/>
      <c r="Z353" s="104"/>
      <c r="AA353" s="15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5"/>
      <c r="BX353" s="28"/>
    </row>
    <row r="354" spans="1:76" s="34" customFormat="1" ht="15" hidden="1" customHeight="1" outlineLevel="1" x14ac:dyDescent="0.75">
      <c r="A354" s="383" t="s">
        <v>215</v>
      </c>
      <c r="B354" s="410" t="e">
        <f>IF(ROUND(AR$319,6),ROUND(AR$319,6),NA())</f>
        <v>#N/A</v>
      </c>
      <c r="C354" s="410" t="e">
        <f>IF(ROUND(AS$319,6),ROUND(AS$319,6),NA())</f>
        <v>#N/A</v>
      </c>
      <c r="D354" s="410" t="e">
        <f>IF(ROUND(AT$319,6),ROUND(AT$319,6),NA())</f>
        <v>#N/A</v>
      </c>
      <c r="E354" s="1" t="s">
        <v>283</v>
      </c>
      <c r="H354" s="368"/>
      <c r="I354" s="94"/>
      <c r="J354" s="57"/>
      <c r="K354" s="154"/>
      <c r="L354" s="309"/>
      <c r="M354" s="155"/>
      <c r="N354" s="155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5"/>
      <c r="Z354" s="104"/>
      <c r="AA354" s="15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5"/>
      <c r="BX354" s="28"/>
    </row>
    <row r="355" spans="1:76" s="34" customFormat="1" ht="15" hidden="1" customHeight="1" outlineLevel="1" x14ac:dyDescent="0.75">
      <c r="A355" s="383" t="s">
        <v>263</v>
      </c>
      <c r="B355" s="410" t="e">
        <f>IF(ROUND(AV$319,6),ROUND(AV$319,6),NA())</f>
        <v>#N/A</v>
      </c>
      <c r="C355" s="410" t="e">
        <f>IF(ROUND(AW$319,6),ROUND(AW$319,6),NA())</f>
        <v>#N/A</v>
      </c>
      <c r="D355" s="410" t="e">
        <f>IF(ROUND(AX$319,6),ROUND(AX$319,6),NA())</f>
        <v>#N/A</v>
      </c>
      <c r="E355" s="1" t="s">
        <v>284</v>
      </c>
      <c r="H355" s="368"/>
      <c r="I355" s="94"/>
      <c r="J355" s="57"/>
      <c r="K355" s="154"/>
      <c r="L355" s="309"/>
      <c r="M355" s="155"/>
      <c r="N355" s="155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5"/>
      <c r="Z355" s="104"/>
      <c r="AA355" s="15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5"/>
      <c r="BX355" s="28"/>
    </row>
    <row r="356" spans="1:76" s="34" customFormat="1" ht="30" hidden="1" customHeight="1" outlineLevel="1" x14ac:dyDescent="0.75">
      <c r="A356" s="383" t="s">
        <v>263</v>
      </c>
      <c r="B356" s="410" t="e">
        <f>IF(ROUND(AZ$319,6),ROUND(AZ$319,6),NA())</f>
        <v>#N/A</v>
      </c>
      <c r="C356" s="410" t="e">
        <f>IF(ROUND(BA$319,6),ROUND(BA$319,6),NA())</f>
        <v>#N/A</v>
      </c>
      <c r="D356" s="410" t="e">
        <f>IF(ROUND(BB$319,6),ROUND(BB$319,6),NA())</f>
        <v>#N/A</v>
      </c>
      <c r="E356" s="1" t="s">
        <v>285</v>
      </c>
      <c r="H356" s="368"/>
      <c r="I356" s="94"/>
      <c r="J356" s="57"/>
      <c r="K356" s="154"/>
      <c r="L356" s="309"/>
      <c r="M356" s="518" t="str">
        <f>M319</f>
        <v>D2 - Driving efficiency</v>
      </c>
      <c r="N356" s="518"/>
      <c r="O356" s="518"/>
      <c r="P356" s="518"/>
      <c r="Q356" s="518"/>
      <c r="R356" s="518"/>
      <c r="S356" s="518"/>
      <c r="T356" s="518"/>
      <c r="U356" s="104"/>
      <c r="V356" s="104"/>
      <c r="W356" s="104"/>
      <c r="X356" s="104"/>
      <c r="Y356" s="105"/>
      <c r="Z356" s="104"/>
      <c r="AA356" s="15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5"/>
      <c r="BX356" s="28"/>
    </row>
    <row r="357" spans="1:76" s="34" customFormat="1" ht="15" hidden="1" customHeight="1" outlineLevel="1" x14ac:dyDescent="0.75">
      <c r="A357" s="383" t="s">
        <v>42</v>
      </c>
      <c r="B357" s="410" t="e">
        <f>IF(ROUND(BD$319,6),ROUND(BD$319,6),NA())</f>
        <v>#N/A</v>
      </c>
      <c r="C357" s="410" t="e">
        <f>IF(ROUND(BE$319,6),ROUND(BE$319,6),NA())</f>
        <v>#N/A</v>
      </c>
      <c r="D357" s="410" t="e">
        <f>IF(ROUND(BF$319,6),ROUND(BF$319,6),NA())</f>
        <v>#N/A</v>
      </c>
      <c r="E357" s="1" t="s">
        <v>286</v>
      </c>
      <c r="H357" s="368"/>
      <c r="I357" s="94"/>
      <c r="J357" s="57"/>
      <c r="K357" s="154"/>
      <c r="L357" s="309"/>
      <c r="M357" s="155"/>
      <c r="N357" s="155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5"/>
      <c r="Z357" s="104"/>
      <c r="AA357" s="15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5"/>
      <c r="BX357" s="28"/>
    </row>
    <row r="358" spans="1:76" s="34" customFormat="1" ht="15" hidden="1" customHeight="1" outlineLevel="1" x14ac:dyDescent="0.75">
      <c r="A358" s="383" t="s">
        <v>264</v>
      </c>
      <c r="B358" s="410" t="e">
        <f>IF(ROUND(BH$319,6),ROUND(BH$319,6),NA())</f>
        <v>#N/A</v>
      </c>
      <c r="C358" s="410" t="e">
        <f>IF(ROUND(BI$319,6),ROUND(BI$319,6),NA())</f>
        <v>#N/A</v>
      </c>
      <c r="D358" s="410" t="e">
        <f>IF(ROUND(BJ$319,6),ROUND(BJ$319,6),NA())</f>
        <v>#N/A</v>
      </c>
      <c r="E358" s="1" t="s">
        <v>287</v>
      </c>
      <c r="H358" s="368"/>
      <c r="I358" s="94"/>
      <c r="J358" s="57"/>
      <c r="K358" s="154"/>
      <c r="L358" s="309"/>
      <c r="M358" s="155"/>
      <c r="N358" s="155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5"/>
      <c r="Z358" s="104"/>
      <c r="AA358" s="15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5"/>
      <c r="BX358" s="28"/>
    </row>
    <row r="359" spans="1:76" s="34" customFormat="1" ht="15" hidden="1" customHeight="1" outlineLevel="1" x14ac:dyDescent="0.75">
      <c r="A359" s="383" t="s">
        <v>212</v>
      </c>
      <c r="B359" s="410" t="e">
        <f>IF(ROUND(BL$319,6),ROUND(BL$319,6),NA())</f>
        <v>#N/A</v>
      </c>
      <c r="C359" s="410" t="e">
        <f>IF(ROUND(BM$319,6),ROUND(BM$319,6),NA())</f>
        <v>#N/A</v>
      </c>
      <c r="D359" s="410" t="e">
        <f>IF(ROUND(BN$319,6),ROUND(BN$319,6),NA())</f>
        <v>#N/A</v>
      </c>
      <c r="E359" s="1" t="s">
        <v>288</v>
      </c>
      <c r="H359" s="368"/>
      <c r="I359" s="94"/>
      <c r="J359" s="57"/>
      <c r="K359" s="154"/>
      <c r="L359" s="309"/>
      <c r="M359" s="155"/>
      <c r="N359" s="155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5"/>
      <c r="Z359" s="104"/>
      <c r="AA359" s="15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5"/>
      <c r="BX359" s="28"/>
    </row>
    <row r="360" spans="1:76" s="34" customFormat="1" ht="15" hidden="1" customHeight="1" outlineLevel="1" x14ac:dyDescent="0.75">
      <c r="A360" s="383" t="s">
        <v>257</v>
      </c>
      <c r="B360" s="410" t="e">
        <f>IF(ROUND(BP$319,6),ROUND(BP$319,6),NA())</f>
        <v>#N/A</v>
      </c>
      <c r="C360" s="410" t="e">
        <f>IF(ROUND(BQ$319,6),ROUND(BQ$319,6),NA())</f>
        <v>#N/A</v>
      </c>
      <c r="D360" s="410" t="e">
        <f>IF(ROUND(BR$319,6),ROUND(BR$319,6),NA())</f>
        <v>#N/A</v>
      </c>
      <c r="E360" s="1" t="s">
        <v>289</v>
      </c>
      <c r="H360" s="368"/>
      <c r="I360" s="94"/>
      <c r="J360" s="57"/>
      <c r="K360" s="154"/>
      <c r="L360" s="309"/>
      <c r="M360" s="155"/>
      <c r="N360" s="155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5"/>
      <c r="Z360" s="104"/>
      <c r="AA360" s="15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5"/>
      <c r="BX360" s="28"/>
    </row>
    <row r="361" spans="1:76" s="34" customFormat="1" ht="15" hidden="1" customHeight="1" outlineLevel="1" x14ac:dyDescent="0.75">
      <c r="A361" s="383" t="s">
        <v>216</v>
      </c>
      <c r="B361" s="410" t="e">
        <f>IF(ROUND(BT$319,6),ROUND(BT$319,6),NA())</f>
        <v>#N/A</v>
      </c>
      <c r="C361" s="410" t="e">
        <f>IF(ROUND(BU$319,6),ROUND(BU$319,6),NA())</f>
        <v>#N/A</v>
      </c>
      <c r="D361" s="410" t="e">
        <f>IF(ROUND(BV$319,6),ROUND(BV$319,6),NA())</f>
        <v>#N/A</v>
      </c>
      <c r="E361" s="1" t="s">
        <v>290</v>
      </c>
      <c r="H361" s="368"/>
      <c r="I361" s="94"/>
      <c r="J361" s="57"/>
      <c r="K361" s="154"/>
      <c r="L361" s="309"/>
      <c r="M361" s="155"/>
      <c r="N361" s="155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5"/>
      <c r="Z361" s="104"/>
      <c r="AA361" s="15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5"/>
      <c r="BX361" s="28"/>
    </row>
    <row r="362" spans="1:76" s="34" customFormat="1" ht="16.5" hidden="1" customHeight="1" outlineLevel="1" x14ac:dyDescent="0.75">
      <c r="A362" s="56"/>
      <c r="B362" s="368"/>
      <c r="C362" s="9"/>
      <c r="D362" s="1"/>
      <c r="E362" s="1"/>
      <c r="H362" s="368"/>
      <c r="I362" s="94"/>
      <c r="J362" s="57"/>
      <c r="K362" s="154"/>
      <c r="L362" s="309"/>
      <c r="M362" s="155"/>
      <c r="N362" s="155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5"/>
      <c r="Z362" s="104"/>
      <c r="AA362" s="15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5"/>
      <c r="BX362" s="28"/>
    </row>
    <row r="363" spans="1:76" s="34" customFormat="1" ht="16.5" hidden="1" customHeight="1" outlineLevel="1" x14ac:dyDescent="0.75">
      <c r="A363" s="56"/>
      <c r="B363" s="368"/>
      <c r="C363" s="9"/>
      <c r="D363" s="1"/>
      <c r="E363" s="1"/>
      <c r="H363" s="368"/>
      <c r="I363" s="94"/>
      <c r="J363" s="57"/>
      <c r="K363" s="154"/>
      <c r="L363" s="309"/>
      <c r="M363" s="155"/>
      <c r="N363" s="155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5"/>
      <c r="Z363" s="104"/>
      <c r="AA363" s="15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5"/>
      <c r="BX363" s="28"/>
    </row>
    <row r="364" spans="1:76" s="34" customFormat="1" ht="16.5" hidden="1" customHeight="1" outlineLevel="1" x14ac:dyDescent="0.75">
      <c r="A364" s="56"/>
      <c r="B364" s="368"/>
      <c r="C364" s="9"/>
      <c r="D364" s="1"/>
      <c r="E364" s="1"/>
      <c r="H364" s="368"/>
      <c r="I364" s="94"/>
      <c r="J364" s="57"/>
      <c r="K364" s="154"/>
      <c r="L364" s="309"/>
      <c r="M364" s="155"/>
      <c r="N364" s="155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5"/>
      <c r="Z364" s="104"/>
      <c r="AA364" s="15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5"/>
      <c r="BX364" s="28"/>
    </row>
    <row r="365" spans="1:76" s="34" customFormat="1" ht="16.5" hidden="1" customHeight="1" outlineLevel="1" x14ac:dyDescent="0.75">
      <c r="A365" s="56"/>
      <c r="B365" s="368"/>
      <c r="C365" s="9"/>
      <c r="D365" s="1"/>
      <c r="E365" s="1"/>
      <c r="H365" s="368"/>
      <c r="I365" s="94"/>
      <c r="J365" s="57"/>
      <c r="K365" s="154"/>
      <c r="L365" s="309"/>
      <c r="M365" s="155"/>
      <c r="N365" s="155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5"/>
      <c r="Z365" s="104"/>
      <c r="AA365" s="15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5"/>
      <c r="BX365" s="28"/>
    </row>
    <row r="366" spans="1:76" s="34" customFormat="1" ht="16.5" hidden="1" customHeight="1" outlineLevel="1" x14ac:dyDescent="0.75">
      <c r="A366" s="56"/>
      <c r="B366" s="368"/>
      <c r="C366" s="9"/>
      <c r="D366" s="1"/>
      <c r="E366" s="1"/>
      <c r="H366" s="368"/>
      <c r="I366" s="94"/>
      <c r="J366" s="57"/>
      <c r="K366" s="154"/>
      <c r="L366" s="309"/>
      <c r="M366" s="155"/>
      <c r="N366" s="155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5"/>
      <c r="Z366" s="104"/>
      <c r="AA366" s="15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5"/>
      <c r="BX366" s="28"/>
    </row>
    <row r="367" spans="1:76" s="34" customFormat="1" ht="16.5" hidden="1" customHeight="1" outlineLevel="1" x14ac:dyDescent="0.75">
      <c r="A367" s="56"/>
      <c r="B367" s="368"/>
      <c r="C367" s="9"/>
      <c r="D367" s="1"/>
      <c r="E367" s="1"/>
      <c r="H367" s="368"/>
      <c r="I367" s="94"/>
      <c r="J367" s="57"/>
      <c r="K367" s="154"/>
      <c r="L367" s="309"/>
      <c r="M367" s="155"/>
      <c r="N367" s="155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5"/>
      <c r="Z367" s="104"/>
      <c r="AA367" s="15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5"/>
      <c r="BX367" s="28"/>
    </row>
    <row r="368" spans="1:76" s="34" customFormat="1" ht="16.5" hidden="1" customHeight="1" outlineLevel="1" x14ac:dyDescent="0.75">
      <c r="A368" s="56"/>
      <c r="B368" s="368"/>
      <c r="C368" s="9"/>
      <c r="D368" s="1"/>
      <c r="E368" s="1"/>
      <c r="H368" s="368"/>
      <c r="I368" s="94"/>
      <c r="J368" s="57"/>
      <c r="K368" s="154"/>
      <c r="L368" s="309"/>
      <c r="M368" s="155"/>
      <c r="N368" s="155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5"/>
      <c r="Z368" s="104"/>
      <c r="AA368" s="15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5"/>
      <c r="BX368" s="28"/>
    </row>
    <row r="369" spans="1:78" s="34" customFormat="1" ht="16.5" hidden="1" customHeight="1" outlineLevel="1" x14ac:dyDescent="0.75">
      <c r="A369" s="56"/>
      <c r="B369" s="368"/>
      <c r="C369" s="9"/>
      <c r="D369" s="1"/>
      <c r="E369" s="1"/>
      <c r="H369" s="368"/>
      <c r="I369" s="94"/>
      <c r="J369" s="57"/>
      <c r="K369" s="154"/>
      <c r="L369" s="309"/>
      <c r="M369" s="155"/>
      <c r="N369" s="155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5"/>
      <c r="Z369" s="104"/>
      <c r="AA369" s="15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5"/>
      <c r="BX369" s="28"/>
    </row>
    <row r="370" spans="1:78" s="34" customFormat="1" ht="16.5" hidden="1" customHeight="1" outlineLevel="1" x14ac:dyDescent="0.75">
      <c r="A370" s="56"/>
      <c r="B370" s="368"/>
      <c r="C370" s="9"/>
      <c r="D370" s="1"/>
      <c r="E370" s="1"/>
      <c r="H370" s="368"/>
      <c r="I370" s="94"/>
      <c r="J370" s="57"/>
      <c r="K370" s="154"/>
      <c r="L370" s="309"/>
      <c r="M370" s="155"/>
      <c r="N370" s="155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5"/>
      <c r="Z370" s="104"/>
      <c r="AA370" s="15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5"/>
      <c r="BX370" s="28"/>
    </row>
    <row r="371" spans="1:78" s="34" customFormat="1" ht="16.5" hidden="1" customHeight="1" outlineLevel="1" x14ac:dyDescent="0.75">
      <c r="A371" s="56"/>
      <c r="B371" s="368"/>
      <c r="C371" s="9"/>
      <c r="D371" s="1"/>
      <c r="E371" s="1"/>
      <c r="H371" s="368"/>
      <c r="I371" s="94"/>
      <c r="J371" s="57"/>
      <c r="K371" s="154"/>
      <c r="L371" s="309"/>
      <c r="M371" s="155"/>
      <c r="N371" s="155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5"/>
      <c r="Z371" s="104"/>
      <c r="AA371" s="15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5"/>
      <c r="BX371" s="28"/>
    </row>
    <row r="372" spans="1:78" s="34" customFormat="1" ht="16.5" hidden="1" customHeight="1" outlineLevel="1" x14ac:dyDescent="0.75">
      <c r="A372" s="56"/>
      <c r="B372" s="368"/>
      <c r="C372" s="9"/>
      <c r="D372" s="1"/>
      <c r="E372" s="1"/>
      <c r="H372" s="368"/>
      <c r="I372" s="94"/>
      <c r="J372" s="57"/>
      <c r="K372" s="154"/>
      <c r="L372" s="309"/>
      <c r="M372" s="155"/>
      <c r="N372" s="155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5"/>
      <c r="Z372" s="104"/>
      <c r="AA372" s="15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5"/>
      <c r="BX372" s="28"/>
    </row>
    <row r="373" spans="1:78" s="34" customFormat="1" ht="16.5" hidden="1" customHeight="1" outlineLevel="1" x14ac:dyDescent="0.75">
      <c r="A373" s="56"/>
      <c r="B373" s="368"/>
      <c r="C373" s="9"/>
      <c r="D373" s="1"/>
      <c r="E373" s="1"/>
      <c r="H373" s="368"/>
      <c r="I373" s="94"/>
      <c r="J373" s="57"/>
      <c r="K373" s="154"/>
      <c r="L373" s="309"/>
      <c r="M373" s="155"/>
      <c r="N373" s="155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5"/>
      <c r="Z373" s="104"/>
      <c r="AA373" s="15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5"/>
      <c r="BX373" s="28"/>
    </row>
    <row r="374" spans="1:78" s="34" customFormat="1" ht="16.5" hidden="1" customHeight="1" outlineLevel="1" x14ac:dyDescent="0.75">
      <c r="A374" s="56"/>
      <c r="B374" s="368"/>
      <c r="C374" s="9"/>
      <c r="D374" s="1"/>
      <c r="E374" s="1"/>
      <c r="H374" s="368"/>
      <c r="I374" s="94"/>
      <c r="J374" s="57"/>
      <c r="K374" s="154"/>
      <c r="L374" s="309"/>
      <c r="M374" s="155"/>
      <c r="N374" s="155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5"/>
      <c r="Z374" s="104"/>
      <c r="AA374" s="15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5"/>
      <c r="BX374" s="28"/>
    </row>
    <row r="375" spans="1:78" s="34" customFormat="1" ht="16.5" hidden="1" customHeight="1" outlineLevel="1" x14ac:dyDescent="0.75">
      <c r="A375" s="56"/>
      <c r="B375" s="368"/>
      <c r="C375" s="9"/>
      <c r="D375" s="1"/>
      <c r="E375" s="1"/>
      <c r="H375" s="368"/>
      <c r="I375" s="94"/>
      <c r="J375" s="57"/>
      <c r="K375" s="154"/>
      <c r="L375" s="309"/>
      <c r="M375" s="155"/>
      <c r="N375" s="155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5"/>
      <c r="Z375" s="104"/>
      <c r="AA375" s="15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5"/>
      <c r="BX375" s="28"/>
    </row>
    <row r="376" spans="1:78" s="34" customFormat="1" ht="23.25" hidden="1" customHeight="1" outlineLevel="1" x14ac:dyDescent="0.75">
      <c r="A376" s="56"/>
      <c r="B376" s="368"/>
      <c r="C376" s="9"/>
      <c r="D376" s="1"/>
      <c r="E376" s="1"/>
      <c r="H376" s="368"/>
      <c r="I376" s="94"/>
      <c r="J376" s="57"/>
      <c r="K376" s="154"/>
      <c r="L376" s="309"/>
      <c r="M376" s="155"/>
      <c r="N376" s="155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5"/>
      <c r="Z376" s="104"/>
      <c r="AA376" s="15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5"/>
      <c r="BX376" s="28"/>
    </row>
    <row r="377" spans="1:78" s="34" customFormat="1" ht="23.25" customHeight="1" collapsed="1" x14ac:dyDescent="0.75">
      <c r="A377" s="56"/>
      <c r="B377" s="368"/>
      <c r="C377" s="9"/>
      <c r="D377" s="1"/>
      <c r="E377" s="1"/>
      <c r="H377" s="368"/>
      <c r="I377" s="94"/>
      <c r="J377" s="57"/>
      <c r="K377" s="154"/>
      <c r="L377" s="309"/>
      <c r="M377" s="155"/>
      <c r="N377" s="155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5"/>
      <c r="Z377" s="104"/>
      <c r="AA377" s="15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5"/>
      <c r="BX377" s="28"/>
    </row>
    <row r="378" spans="1:78" ht="3" customHeight="1" x14ac:dyDescent="0.75">
      <c r="A378" s="56"/>
      <c r="B378" s="54"/>
      <c r="H378" s="54"/>
      <c r="I378" s="68"/>
      <c r="J378" s="53"/>
      <c r="K378" s="106"/>
      <c r="L378" s="107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105"/>
      <c r="Z378" s="104"/>
      <c r="AA378" s="106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5"/>
      <c r="BX378" s="28"/>
      <c r="BZ378" s="54"/>
    </row>
    <row r="379" spans="1:78" s="34" customFormat="1" ht="8.25" customHeight="1" x14ac:dyDescent="0.75">
      <c r="A379" s="56"/>
      <c r="B379" s="368"/>
      <c r="C379" s="9"/>
      <c r="D379" s="1"/>
      <c r="E379" s="1"/>
      <c r="H379" s="368"/>
      <c r="I379" s="94"/>
      <c r="J379" s="57"/>
      <c r="K379" s="103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5"/>
      <c r="Z379" s="104"/>
      <c r="AA379" s="103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5"/>
      <c r="BX379" s="28"/>
    </row>
    <row r="380" spans="1:78" s="34" customFormat="1" ht="23.25" customHeight="1" x14ac:dyDescent="0.8">
      <c r="A380" s="56"/>
      <c r="B380" s="54" t="s">
        <v>95</v>
      </c>
      <c r="C380" s="9"/>
      <c r="D380" s="1"/>
      <c r="E380" s="1"/>
      <c r="H380" s="54"/>
      <c r="I380" s="94"/>
      <c r="J380" s="57"/>
      <c r="K380" s="99"/>
      <c r="L380" s="529" t="str">
        <f>_xll.DBRA(Server&amp;$B$32,$B380,$N$19)</f>
        <v>M - Maintenance Cost as % of revenue</v>
      </c>
      <c r="M380" s="530" t="s">
        <v>16</v>
      </c>
      <c r="N380" s="530"/>
      <c r="O380" s="531"/>
      <c r="P380" s="207"/>
      <c r="Q380" s="303">
        <f>_xll.DBRW(Server&amp;Cube1,$N$15,$N$16,$N$17,$N$18,$N$14,$N$13,$N$11,$Q$1,$B380)</f>
        <v>0</v>
      </c>
      <c r="R380" s="304">
        <f>_xll.DBRW(Server&amp;Cube1,$N$15,$N$16,$N$17,$N$18,$N$14,$N$13,$R$2,$R$1,$B380)</f>
        <v>0</v>
      </c>
      <c r="S380" s="291" t="str">
        <f>IF(T380=0,"è",IF(T380&lt;0,"ì","î"))</f>
        <v>è</v>
      </c>
      <c r="T380" s="287">
        <f>-(Q380-R380)*100</f>
        <v>0</v>
      </c>
      <c r="U380" s="239"/>
      <c r="V380" s="303">
        <f>_xll.DBRW(Server&amp;Cube1,$N$15,$N$16,$N$17,$N$18,$N$14,$N$13,$V$2,$V$1,$B380)</f>
        <v>0</v>
      </c>
      <c r="W380" s="292" t="str">
        <f>IF(X380=0,"è",IF(X380&lt;0,"ì","î"))</f>
        <v>è</v>
      </c>
      <c r="X380" s="287">
        <f>-($Q380-V380)*100</f>
        <v>0</v>
      </c>
      <c r="Y380" s="100"/>
      <c r="Z380" s="388"/>
      <c r="AA380" s="99"/>
      <c r="AB380" s="303">
        <f>_xll.DBRW(Server&amp;Cube1,$N$15,$N$16,$N$17,$N$18,$N$14,$N$13,AB$2,AB$1,$B380)</f>
        <v>0</v>
      </c>
      <c r="AC380" s="303">
        <f>_xll.DBRW(Server&amp;Cube1,$N$15,$N$16,$N$17,$N$18,$N$14,$N$13,AC$2,AC$1,$B380)</f>
        <v>0</v>
      </c>
      <c r="AD380" s="391">
        <f>_xll.DBRW(Server&amp;Cube1,$N$15,$N$16,$N$17,$N$18,$N$14,$N$13,AD$2,AD$1,$B380)</f>
        <v>0</v>
      </c>
      <c r="AE380" s="388"/>
      <c r="AF380" s="303">
        <f>_xll.DBRW(Server&amp;Cube1,$N$15,$N$16,$N$17,$N$18,$N$14,$N$13,AF$2,AF$1,$B380)</f>
        <v>0</v>
      </c>
      <c r="AG380" s="303">
        <f>_xll.DBRW(Server&amp;Cube1,$N$15,$N$16,$N$17,$N$18,$N$14,$N$13,AG$2,AG$1,$B380)</f>
        <v>0</v>
      </c>
      <c r="AH380" s="391">
        <f>_xll.DBRW(Server&amp;Cube1,$N$15,$N$16,$N$17,$N$18,$N$14,$N$13,AH$2,AH$1,$B380)</f>
        <v>0</v>
      </c>
      <c r="AI380" s="388"/>
      <c r="AJ380" s="303">
        <f>_xll.DBRW(Server&amp;Cube1,$N$15,$N$16,$N$17,$N$18,$N$14,$N$13,AJ$2,AJ$1,$B380)</f>
        <v>0</v>
      </c>
      <c r="AK380" s="303">
        <f>_xll.DBRW(Server&amp;Cube1,$N$15,$N$16,$N$17,$N$18,$N$14,$N$13,AK$2,AK$1,$B380)</f>
        <v>0</v>
      </c>
      <c r="AL380" s="391">
        <f>_xll.DBRW(Server&amp;Cube1,$N$15,$N$16,$N$17,$N$18,$N$14,$N$13,AL$2,AL$1,$B380)</f>
        <v>0</v>
      </c>
      <c r="AM380" s="388"/>
      <c r="AN380" s="303">
        <f>_xll.DBRW(Server&amp;Cube1,$N$15,$N$16,$N$17,$N$18,$N$14,$N$13,AN$2,AN$1,$B380)</f>
        <v>0</v>
      </c>
      <c r="AO380" s="303">
        <f>_xll.DBRW(Server&amp;Cube1,$N$15,$N$16,$N$17,$N$18,$N$14,$N$13,AO$2,AO$1,$B380)</f>
        <v>0</v>
      </c>
      <c r="AP380" s="391">
        <f>_xll.DBRW(Server&amp;Cube1,$N$15,$N$16,$N$17,$N$18,$N$14,$N$13,AP$2,AP$1,$B380)</f>
        <v>0</v>
      </c>
      <c r="AQ380" s="388"/>
      <c r="AR380" s="303">
        <f>_xll.DBRW(Server&amp;Cube1,$N$15,$N$16,$N$17,$N$18,$N$14,$N$13,AR$2,AR$1,$B380)</f>
        <v>0</v>
      </c>
      <c r="AS380" s="303">
        <f>_xll.DBRW(Server&amp;Cube1,$N$15,$N$16,$N$17,$N$18,$N$14,$N$13,AS$2,AS$1,$B380)</f>
        <v>0</v>
      </c>
      <c r="AT380" s="391">
        <f>_xll.DBRW(Server&amp;Cube1,$N$15,$N$16,$N$17,$N$18,$N$14,$N$13,AT$2,AT$1,$B380)</f>
        <v>0</v>
      </c>
      <c r="AU380" s="388"/>
      <c r="AV380" s="303">
        <f>_xll.DBRW(Server&amp;Cube1,$N$15,$N$16,$N$17,$N$18,$N$14,$N$13,AV$2,AV$1,$B380)</f>
        <v>0</v>
      </c>
      <c r="AW380" s="303">
        <f>_xll.DBRW(Server&amp;Cube1,$N$15,$N$16,$N$17,$N$18,$N$14,$N$13,AW$2,AW$1,$B380)</f>
        <v>0</v>
      </c>
      <c r="AX380" s="391">
        <f>_xll.DBRW(Server&amp;Cube1,$N$15,$N$16,$N$17,$N$18,$N$14,$N$13,AX$2,AX$1,$B380)</f>
        <v>0</v>
      </c>
      <c r="AY380" s="388"/>
      <c r="AZ380" s="303">
        <f>_xll.DBRW(Server&amp;Cube1,$N$15,$N$16,$N$17,$N$18,$N$14,$N$13,AZ$2,AZ$1,$B380)</f>
        <v>0</v>
      </c>
      <c r="BA380" s="303">
        <f>_xll.DBRW(Server&amp;Cube1,$N$15,$N$16,$N$17,$N$18,$N$14,$N$13,BA$2,BA$1,$B380)</f>
        <v>0</v>
      </c>
      <c r="BB380" s="391">
        <f>_xll.DBRW(Server&amp;Cube1,$N$15,$N$16,$N$17,$N$18,$N$14,$N$13,BB$2,BB$1,$B380)</f>
        <v>0</v>
      </c>
      <c r="BC380" s="388"/>
      <c r="BD380" s="303">
        <f>_xll.DBRW(Server&amp;Cube1,$N$15,$N$16,$N$17,$N$18,$N$14,$N$13,BD$2,BD$1,$B380)</f>
        <v>0</v>
      </c>
      <c r="BE380" s="303">
        <f>_xll.DBRW(Server&amp;Cube1,$N$15,$N$16,$N$17,$N$18,$N$14,$N$13,BE$2,BE$1,$B380)</f>
        <v>0</v>
      </c>
      <c r="BF380" s="391">
        <f>_xll.DBRW(Server&amp;Cube1,$N$15,$N$16,$N$17,$N$18,$N$14,$N$13,BF$2,BF$1,$B380)</f>
        <v>0</v>
      </c>
      <c r="BG380" s="388"/>
      <c r="BH380" s="303">
        <f>_xll.DBRW(Server&amp;Cube1,$N$15,$N$16,$N$17,$N$18,$N$14,$N$13,BH$2,BH$1,$B380)</f>
        <v>0</v>
      </c>
      <c r="BI380" s="303">
        <f>_xll.DBRW(Server&amp;Cube1,$N$15,$N$16,$N$17,$N$18,$N$14,$N$13,BI$2,BI$1,$B380)</f>
        <v>0</v>
      </c>
      <c r="BJ380" s="391">
        <f>_xll.DBRW(Server&amp;Cube1,$N$15,$N$16,$N$17,$N$18,$N$14,$N$13,BJ$2,BJ$1,$B380)</f>
        <v>0</v>
      </c>
      <c r="BK380" s="388"/>
      <c r="BL380" s="303">
        <f>_xll.DBRW(Server&amp;Cube1,$N$15,$N$16,$N$17,$N$18,$N$14,$N$13,BL$2,BL$1,$B380)</f>
        <v>0</v>
      </c>
      <c r="BM380" s="303">
        <f>_xll.DBRW(Server&amp;Cube1,$N$15,$N$16,$N$17,$N$18,$N$14,$N$13,BM$2,BM$1,$B380)</f>
        <v>0</v>
      </c>
      <c r="BN380" s="391">
        <f>_xll.DBRW(Server&amp;Cube1,$N$15,$N$16,$N$17,$N$18,$N$14,$N$13,BN$2,BN$1,$B380)</f>
        <v>0</v>
      </c>
      <c r="BO380" s="388"/>
      <c r="BP380" s="303">
        <f>_xll.DBRW(Server&amp;Cube1,$N$15,$N$16,$N$17,$N$18,$N$14,$N$13,BP$2,BP$1,$B380)</f>
        <v>0</v>
      </c>
      <c r="BQ380" s="303">
        <f>_xll.DBRW(Server&amp;Cube1,$N$15,$N$16,$N$17,$N$18,$N$14,$N$13,BQ$2,BQ$1,$B380)</f>
        <v>0</v>
      </c>
      <c r="BR380" s="391">
        <f>_xll.DBRW(Server&amp;Cube1,$N$15,$N$16,$N$17,$N$18,$N$14,$N$13,BR$2,BR$1,$B380)</f>
        <v>0</v>
      </c>
      <c r="BS380" s="388"/>
      <c r="BT380" s="303">
        <f>_xll.DBRW(Server&amp;Cube1,$N$15,$N$16,$N$17,$N$18,$N$14,$N$13,BT$2,BT$1,$B380)</f>
        <v>0</v>
      </c>
      <c r="BU380" s="303">
        <f>_xll.DBRW(Server&amp;Cube1,$N$15,$N$16,$N$17,$N$18,$N$14,$N$13,BU$2,BU$1,$B380)</f>
        <v>0</v>
      </c>
      <c r="BV380" s="391">
        <f>_xll.DBRW(Server&amp;Cube1,$N$15,$N$16,$N$17,$N$18,$N$14,$N$13,BV$2,BV$1,$B380)</f>
        <v>0</v>
      </c>
      <c r="BW380" s="100"/>
      <c r="BX380" s="28"/>
      <c r="BZ380" s="358"/>
    </row>
    <row r="381" spans="1:78" s="34" customFormat="1" ht="27.75" customHeight="1" x14ac:dyDescent="0.9">
      <c r="A381" s="56"/>
      <c r="B381" s="54" t="s">
        <v>97</v>
      </c>
      <c r="C381" s="9"/>
      <c r="D381" s="1"/>
      <c r="E381" s="1"/>
      <c r="H381" s="54"/>
      <c r="I381" s="94"/>
      <c r="J381" s="57"/>
      <c r="K381" s="99"/>
      <c r="L381" s="532" t="str">
        <f>_xll.DBRA(Server&amp;Context!$B$32,Context!$B$45,$N$19)</f>
        <v>LEVEL 2</v>
      </c>
      <c r="M381" s="535" t="str">
        <f>IF(OR(O393="Not defined",O393="Non défini",O395="Not defined",O395="Non défini"),_xll.DBRA(Server&amp;$B$32,$B381,$N$19),_xll.DBRA(Server&amp;Context!$B$32,Context!$B$48,$N$19)&amp;" "&amp;O393)</f>
        <v>M1 - Maintenance Cost per cost work unit</v>
      </c>
      <c r="N381" s="535"/>
      <c r="O381" s="536"/>
      <c r="P381" s="206"/>
      <c r="Q381" s="312">
        <f>_xll.DBRW(Server&amp;Cube1,$N$15,$N$16,$N$17,$N$18,$N$14,$N$13,$N$11,$Q$1,$B381)</f>
        <v>0</v>
      </c>
      <c r="R381" s="313">
        <f>_xll.DBRW(Server&amp;Cube1,$N$15,$N$16,$N$17,$N$18,$N$14,$N$13,$R$2,$R$1,$B381)</f>
        <v>0</v>
      </c>
      <c r="S381" s="314">
        <f>Q381-R381</f>
        <v>0</v>
      </c>
      <c r="T381" s="315"/>
      <c r="U381" s="239"/>
      <c r="V381" s="323">
        <f>_xll.DBRW(Server&amp;Cube1,$N$15,$N$16,$N$17,$N$18,$N$14,$N$13,$V$2,$V$1,$B381)</f>
        <v>0</v>
      </c>
      <c r="W381" s="314">
        <f>$Q381-V381</f>
        <v>0</v>
      </c>
      <c r="X381" s="315"/>
      <c r="Y381" s="100"/>
      <c r="Z381" s="388"/>
      <c r="AA381" s="99"/>
      <c r="AB381" s="312">
        <f>_xll.DBRW(Server&amp;Cube1,$N$15,$N$16,$N$17,$N$18,$N$14,$N$13,AB$2,AB$1,$B381)</f>
        <v>0</v>
      </c>
      <c r="AC381" s="312">
        <f>_xll.DBRW(Server&amp;Cube1,$N$15,$N$16,$N$17,$N$18,$N$14,$N$13,AC$2,AC$1,$B381)</f>
        <v>0</v>
      </c>
      <c r="AD381" s="392">
        <f>_xll.DBRW(Server&amp;Cube1,$N$15,$N$16,$N$17,$N$18,$N$14,$N$13,AD$2,AD$1,$B381)</f>
        <v>0</v>
      </c>
      <c r="AE381" s="388"/>
      <c r="AF381" s="312">
        <f>_xll.DBRW(Server&amp;Cube1,$N$15,$N$16,$N$17,$N$18,$N$14,$N$13,AF$2,AF$1,$B381)</f>
        <v>0</v>
      </c>
      <c r="AG381" s="312">
        <f>_xll.DBRW(Server&amp;Cube1,$N$15,$N$16,$N$17,$N$18,$N$14,$N$13,AG$2,AG$1,$B381)</f>
        <v>0</v>
      </c>
      <c r="AH381" s="392">
        <f>_xll.DBRW(Server&amp;Cube1,$N$15,$N$16,$N$17,$N$18,$N$14,$N$13,AH$2,AH$1,$B381)</f>
        <v>0</v>
      </c>
      <c r="AI381" s="388"/>
      <c r="AJ381" s="312">
        <f>_xll.DBRW(Server&amp;Cube1,$N$15,$N$16,$N$17,$N$18,$N$14,$N$13,AJ$2,AJ$1,$B381)</f>
        <v>0</v>
      </c>
      <c r="AK381" s="312">
        <f>_xll.DBRW(Server&amp;Cube1,$N$15,$N$16,$N$17,$N$18,$N$14,$N$13,AK$2,AK$1,$B381)</f>
        <v>0</v>
      </c>
      <c r="AL381" s="392">
        <f>_xll.DBRW(Server&amp;Cube1,$N$15,$N$16,$N$17,$N$18,$N$14,$N$13,AL$2,AL$1,$B381)</f>
        <v>0</v>
      </c>
      <c r="AM381" s="388"/>
      <c r="AN381" s="312">
        <f>_xll.DBRW(Server&amp;Cube1,$N$15,$N$16,$N$17,$N$18,$N$14,$N$13,AN$2,AN$1,$B381)</f>
        <v>0</v>
      </c>
      <c r="AO381" s="312">
        <f>_xll.DBRW(Server&amp;Cube1,$N$15,$N$16,$N$17,$N$18,$N$14,$N$13,AO$2,AO$1,$B381)</f>
        <v>0</v>
      </c>
      <c r="AP381" s="392">
        <f>_xll.DBRW(Server&amp;Cube1,$N$15,$N$16,$N$17,$N$18,$N$14,$N$13,AP$2,AP$1,$B381)</f>
        <v>0</v>
      </c>
      <c r="AQ381" s="388"/>
      <c r="AR381" s="312">
        <f>_xll.DBRW(Server&amp;Cube1,$N$15,$N$16,$N$17,$N$18,$N$14,$N$13,AR$2,AR$1,$B381)</f>
        <v>0</v>
      </c>
      <c r="AS381" s="312">
        <f>_xll.DBRW(Server&amp;Cube1,$N$15,$N$16,$N$17,$N$18,$N$14,$N$13,AS$2,AS$1,$B381)</f>
        <v>0</v>
      </c>
      <c r="AT381" s="392">
        <f>_xll.DBRW(Server&amp;Cube1,$N$15,$N$16,$N$17,$N$18,$N$14,$N$13,AT$2,AT$1,$B381)</f>
        <v>0</v>
      </c>
      <c r="AU381" s="388"/>
      <c r="AV381" s="312">
        <f>_xll.DBRW(Server&amp;Cube1,$N$15,$N$16,$N$17,$N$18,$N$14,$N$13,AV$2,AV$1,$B381)</f>
        <v>0</v>
      </c>
      <c r="AW381" s="312">
        <f>_xll.DBRW(Server&amp;Cube1,$N$15,$N$16,$N$17,$N$18,$N$14,$N$13,AW$2,AW$1,$B381)</f>
        <v>0</v>
      </c>
      <c r="AX381" s="392">
        <f>_xll.DBRW(Server&amp;Cube1,$N$15,$N$16,$N$17,$N$18,$N$14,$N$13,AX$2,AX$1,$B381)</f>
        <v>0</v>
      </c>
      <c r="AY381" s="388"/>
      <c r="AZ381" s="312">
        <f>_xll.DBRW(Server&amp;Cube1,$N$15,$N$16,$N$17,$N$18,$N$14,$N$13,AZ$2,AZ$1,$B381)</f>
        <v>0</v>
      </c>
      <c r="BA381" s="312">
        <f>_xll.DBRW(Server&amp;Cube1,$N$15,$N$16,$N$17,$N$18,$N$14,$N$13,BA$2,BA$1,$B381)</f>
        <v>0</v>
      </c>
      <c r="BB381" s="392">
        <f>_xll.DBRW(Server&amp;Cube1,$N$15,$N$16,$N$17,$N$18,$N$14,$N$13,BB$2,BB$1,$B381)</f>
        <v>0</v>
      </c>
      <c r="BC381" s="388"/>
      <c r="BD381" s="312">
        <f>_xll.DBRW(Server&amp;Cube1,$N$15,$N$16,$N$17,$N$18,$N$14,$N$13,BD$2,BD$1,$B381)</f>
        <v>0</v>
      </c>
      <c r="BE381" s="312">
        <f>_xll.DBRW(Server&amp;Cube1,$N$15,$N$16,$N$17,$N$18,$N$14,$N$13,BE$2,BE$1,$B381)</f>
        <v>0</v>
      </c>
      <c r="BF381" s="392">
        <f>_xll.DBRW(Server&amp;Cube1,$N$15,$N$16,$N$17,$N$18,$N$14,$N$13,BF$2,BF$1,$B381)</f>
        <v>0</v>
      </c>
      <c r="BG381" s="388"/>
      <c r="BH381" s="312">
        <f>_xll.DBRW(Server&amp;Cube1,$N$15,$N$16,$N$17,$N$18,$N$14,$N$13,BH$2,BH$1,$B381)</f>
        <v>0</v>
      </c>
      <c r="BI381" s="312">
        <f>_xll.DBRW(Server&amp;Cube1,$N$15,$N$16,$N$17,$N$18,$N$14,$N$13,BI$2,BI$1,$B381)</f>
        <v>0</v>
      </c>
      <c r="BJ381" s="392">
        <f>_xll.DBRW(Server&amp;Cube1,$N$15,$N$16,$N$17,$N$18,$N$14,$N$13,BJ$2,BJ$1,$B381)</f>
        <v>0</v>
      </c>
      <c r="BK381" s="388"/>
      <c r="BL381" s="312">
        <f>_xll.DBRW(Server&amp;Cube1,$N$15,$N$16,$N$17,$N$18,$N$14,$N$13,BL$2,BL$1,$B381)</f>
        <v>0</v>
      </c>
      <c r="BM381" s="312">
        <f>_xll.DBRW(Server&amp;Cube1,$N$15,$N$16,$N$17,$N$18,$N$14,$N$13,BM$2,BM$1,$B381)</f>
        <v>0</v>
      </c>
      <c r="BN381" s="392">
        <f>_xll.DBRW(Server&amp;Cube1,$N$15,$N$16,$N$17,$N$18,$N$14,$N$13,BN$2,BN$1,$B381)</f>
        <v>0</v>
      </c>
      <c r="BO381" s="388"/>
      <c r="BP381" s="312">
        <f>_xll.DBRW(Server&amp;Cube1,$N$15,$N$16,$N$17,$N$18,$N$14,$N$13,BP$2,BP$1,$B381)</f>
        <v>0</v>
      </c>
      <c r="BQ381" s="312">
        <f>_xll.DBRW(Server&amp;Cube1,$N$15,$N$16,$N$17,$N$18,$N$14,$N$13,BQ$2,BQ$1,$B381)</f>
        <v>0</v>
      </c>
      <c r="BR381" s="392">
        <f>_xll.DBRW(Server&amp;Cube1,$N$15,$N$16,$N$17,$N$18,$N$14,$N$13,BR$2,BR$1,$B381)</f>
        <v>0</v>
      </c>
      <c r="BS381" s="388"/>
      <c r="BT381" s="312">
        <f>_xll.DBRW(Server&amp;Cube1,$N$15,$N$16,$N$17,$N$18,$N$14,$N$13,BT$2,BT$1,$B381)</f>
        <v>0</v>
      </c>
      <c r="BU381" s="312">
        <f>_xll.DBRW(Server&amp;Cube1,$N$15,$N$16,$N$17,$N$18,$N$14,$N$13,BU$2,BU$1,$B381)</f>
        <v>0</v>
      </c>
      <c r="BV381" s="392">
        <f>_xll.DBRW(Server&amp;Cube1,$N$15,$N$16,$N$17,$N$18,$N$14,$N$13,BV$2,BV$1,$B381)</f>
        <v>0</v>
      </c>
      <c r="BW381" s="100"/>
      <c r="BX381" s="28"/>
      <c r="BZ381" s="361"/>
    </row>
    <row r="382" spans="1:78" s="34" customFormat="1" ht="27.75" customHeight="1" x14ac:dyDescent="0.9">
      <c r="A382" s="56"/>
      <c r="B382" s="54" t="s">
        <v>98</v>
      </c>
      <c r="C382" s="9"/>
      <c r="D382" s="1"/>
      <c r="E382" s="1"/>
      <c r="H382" s="54"/>
      <c r="I382" s="94"/>
      <c r="J382" s="57"/>
      <c r="K382" s="99"/>
      <c r="L382" s="533"/>
      <c r="M382" s="519" t="str">
        <f>IF(OR(O393="Not defined",O393="Non défini",O395="Not defined",O395="Non défini"),_xll.DBRA(Server&amp;$B$32,$B382,$N$19),_xll.DBRA(Server&amp;$B$32,$B382,$N$19)&amp;" - ("&amp;O393&amp;" / "&amp;O395&amp;")")</f>
        <v>M2 - Maintenance efficiency</v>
      </c>
      <c r="N382" s="519"/>
      <c r="O382" s="519"/>
      <c r="P382" s="206"/>
      <c r="Q382" s="316">
        <f>_xll.DBRW(Server&amp;Cube1,$N$15,$N$16,$N$17,$N$18,$N$14,$N$13,$N$11,$Q$1,$B382)</f>
        <v>0</v>
      </c>
      <c r="R382" s="311">
        <f>_xll.DBRW(Server&amp;Cube1,$N$15,$N$16,$N$17,$N$18,$N$14,$N$13,$R$2,$R$1,$B382)</f>
        <v>0</v>
      </c>
      <c r="S382" s="317">
        <f>Q382-R382</f>
        <v>0</v>
      </c>
      <c r="T382" s="318"/>
      <c r="U382" s="241"/>
      <c r="V382" s="324">
        <f>_xll.DBRW(Server&amp;Cube1,$N$15,$N$16,$N$17,$N$18,$N$14,$N$13,$V$2,$V$1,$B382)</f>
        <v>0</v>
      </c>
      <c r="W382" s="317">
        <f>$Q382-V382</f>
        <v>0</v>
      </c>
      <c r="X382" s="318"/>
      <c r="Y382" s="100"/>
      <c r="Z382" s="388"/>
      <c r="AA382" s="99"/>
      <c r="AB382" s="316">
        <f>_xll.DBRW(Server&amp;Cube1,$N$15,$N$16,$N$17,$N$18,$N$14,$N$13,AB$2,AB$1,$B382)</f>
        <v>0</v>
      </c>
      <c r="AC382" s="316">
        <f>_xll.DBRW(Server&amp;Cube1,$N$15,$N$16,$N$17,$N$18,$N$14,$N$13,AC$2,AC$1,$B382)</f>
        <v>0</v>
      </c>
      <c r="AD382" s="393">
        <f>_xll.DBRW(Server&amp;Cube1,$N$15,$N$16,$N$17,$N$18,$N$14,$N$13,AD$2,AD$1,$B382)</f>
        <v>0</v>
      </c>
      <c r="AE382" s="388"/>
      <c r="AF382" s="316">
        <f>_xll.DBRW(Server&amp;Cube1,$N$15,$N$16,$N$17,$N$18,$N$14,$N$13,AF$2,AF$1,$B382)</f>
        <v>0</v>
      </c>
      <c r="AG382" s="316">
        <f>_xll.DBRW(Server&amp;Cube1,$N$15,$N$16,$N$17,$N$18,$N$14,$N$13,AG$2,AG$1,$B382)</f>
        <v>0</v>
      </c>
      <c r="AH382" s="393">
        <f>_xll.DBRW(Server&amp;Cube1,$N$15,$N$16,$N$17,$N$18,$N$14,$N$13,AH$2,AH$1,$B382)</f>
        <v>0</v>
      </c>
      <c r="AI382" s="388"/>
      <c r="AJ382" s="316">
        <f>_xll.DBRW(Server&amp;Cube1,$N$15,$N$16,$N$17,$N$18,$N$14,$N$13,AJ$2,AJ$1,$B382)</f>
        <v>0</v>
      </c>
      <c r="AK382" s="316">
        <f>_xll.DBRW(Server&amp;Cube1,$N$15,$N$16,$N$17,$N$18,$N$14,$N$13,AK$2,AK$1,$B382)</f>
        <v>0</v>
      </c>
      <c r="AL382" s="393">
        <f>_xll.DBRW(Server&amp;Cube1,$N$15,$N$16,$N$17,$N$18,$N$14,$N$13,AL$2,AL$1,$B382)</f>
        <v>0</v>
      </c>
      <c r="AM382" s="388"/>
      <c r="AN382" s="316">
        <f>_xll.DBRW(Server&amp;Cube1,$N$15,$N$16,$N$17,$N$18,$N$14,$N$13,AN$2,AN$1,$B382)</f>
        <v>0</v>
      </c>
      <c r="AO382" s="316">
        <f>_xll.DBRW(Server&amp;Cube1,$N$15,$N$16,$N$17,$N$18,$N$14,$N$13,AO$2,AO$1,$B382)</f>
        <v>0</v>
      </c>
      <c r="AP382" s="393">
        <f>_xll.DBRW(Server&amp;Cube1,$N$15,$N$16,$N$17,$N$18,$N$14,$N$13,AP$2,AP$1,$B382)</f>
        <v>0</v>
      </c>
      <c r="AQ382" s="388"/>
      <c r="AR382" s="316">
        <f>_xll.DBRW(Server&amp;Cube1,$N$15,$N$16,$N$17,$N$18,$N$14,$N$13,AR$2,AR$1,$B382)</f>
        <v>0</v>
      </c>
      <c r="AS382" s="316">
        <f>_xll.DBRW(Server&amp;Cube1,$N$15,$N$16,$N$17,$N$18,$N$14,$N$13,AS$2,AS$1,$B382)</f>
        <v>0</v>
      </c>
      <c r="AT382" s="393">
        <f>_xll.DBRW(Server&amp;Cube1,$N$15,$N$16,$N$17,$N$18,$N$14,$N$13,AT$2,AT$1,$B382)</f>
        <v>0</v>
      </c>
      <c r="AU382" s="388"/>
      <c r="AV382" s="316">
        <f>_xll.DBRW(Server&amp;Cube1,$N$15,$N$16,$N$17,$N$18,$N$14,$N$13,AV$2,AV$1,$B382)</f>
        <v>0</v>
      </c>
      <c r="AW382" s="316">
        <f>_xll.DBRW(Server&amp;Cube1,$N$15,$N$16,$N$17,$N$18,$N$14,$N$13,AW$2,AW$1,$B382)</f>
        <v>0</v>
      </c>
      <c r="AX382" s="393">
        <f>_xll.DBRW(Server&amp;Cube1,$N$15,$N$16,$N$17,$N$18,$N$14,$N$13,AX$2,AX$1,$B382)</f>
        <v>0</v>
      </c>
      <c r="AY382" s="388"/>
      <c r="AZ382" s="316">
        <f>_xll.DBRW(Server&amp;Cube1,$N$15,$N$16,$N$17,$N$18,$N$14,$N$13,AZ$2,AZ$1,$B382)</f>
        <v>0</v>
      </c>
      <c r="BA382" s="316">
        <f>_xll.DBRW(Server&amp;Cube1,$N$15,$N$16,$N$17,$N$18,$N$14,$N$13,BA$2,BA$1,$B382)</f>
        <v>0</v>
      </c>
      <c r="BB382" s="393">
        <f>_xll.DBRW(Server&amp;Cube1,$N$15,$N$16,$N$17,$N$18,$N$14,$N$13,BB$2,BB$1,$B382)</f>
        <v>0</v>
      </c>
      <c r="BC382" s="388"/>
      <c r="BD382" s="316">
        <f>_xll.DBRW(Server&amp;Cube1,$N$15,$N$16,$N$17,$N$18,$N$14,$N$13,BD$2,BD$1,$B382)</f>
        <v>0</v>
      </c>
      <c r="BE382" s="316">
        <f>_xll.DBRW(Server&amp;Cube1,$N$15,$N$16,$N$17,$N$18,$N$14,$N$13,BE$2,BE$1,$B382)</f>
        <v>0</v>
      </c>
      <c r="BF382" s="393">
        <f>_xll.DBRW(Server&amp;Cube1,$N$15,$N$16,$N$17,$N$18,$N$14,$N$13,BF$2,BF$1,$B382)</f>
        <v>0</v>
      </c>
      <c r="BG382" s="388"/>
      <c r="BH382" s="316">
        <f>_xll.DBRW(Server&amp;Cube1,$N$15,$N$16,$N$17,$N$18,$N$14,$N$13,BH$2,BH$1,$B382)</f>
        <v>0</v>
      </c>
      <c r="BI382" s="316">
        <f>_xll.DBRW(Server&amp;Cube1,$N$15,$N$16,$N$17,$N$18,$N$14,$N$13,BI$2,BI$1,$B382)</f>
        <v>0</v>
      </c>
      <c r="BJ382" s="393">
        <f>_xll.DBRW(Server&amp;Cube1,$N$15,$N$16,$N$17,$N$18,$N$14,$N$13,BJ$2,BJ$1,$B382)</f>
        <v>0</v>
      </c>
      <c r="BK382" s="388"/>
      <c r="BL382" s="316">
        <f>_xll.DBRW(Server&amp;Cube1,$N$15,$N$16,$N$17,$N$18,$N$14,$N$13,BL$2,BL$1,$B382)</f>
        <v>0</v>
      </c>
      <c r="BM382" s="316">
        <f>_xll.DBRW(Server&amp;Cube1,$N$15,$N$16,$N$17,$N$18,$N$14,$N$13,BM$2,BM$1,$B382)</f>
        <v>0</v>
      </c>
      <c r="BN382" s="393">
        <f>_xll.DBRW(Server&amp;Cube1,$N$15,$N$16,$N$17,$N$18,$N$14,$N$13,BN$2,BN$1,$B382)</f>
        <v>0</v>
      </c>
      <c r="BO382" s="388"/>
      <c r="BP382" s="316">
        <f>_xll.DBRW(Server&amp;Cube1,$N$15,$N$16,$N$17,$N$18,$N$14,$N$13,BP$2,BP$1,$B382)</f>
        <v>0</v>
      </c>
      <c r="BQ382" s="316">
        <f>_xll.DBRW(Server&amp;Cube1,$N$15,$N$16,$N$17,$N$18,$N$14,$N$13,BQ$2,BQ$1,$B382)</f>
        <v>0</v>
      </c>
      <c r="BR382" s="393">
        <f>_xll.DBRW(Server&amp;Cube1,$N$15,$N$16,$N$17,$N$18,$N$14,$N$13,BR$2,BR$1,$B382)</f>
        <v>0</v>
      </c>
      <c r="BS382" s="388"/>
      <c r="BT382" s="316">
        <f>_xll.DBRW(Server&amp;Cube1,$N$15,$N$16,$N$17,$N$18,$N$14,$N$13,BT$2,BT$1,$B382)</f>
        <v>0</v>
      </c>
      <c r="BU382" s="316">
        <f>_xll.DBRW(Server&amp;Cube1,$N$15,$N$16,$N$17,$N$18,$N$14,$N$13,BU$2,BU$1,$B382)</f>
        <v>0</v>
      </c>
      <c r="BV382" s="393">
        <f>_xll.DBRW(Server&amp;Cube1,$N$15,$N$16,$N$17,$N$18,$N$14,$N$13,BV$2,BV$1,$B382)</f>
        <v>0</v>
      </c>
      <c r="BW382" s="100"/>
      <c r="BX382" s="28"/>
      <c r="BZ382" s="362"/>
    </row>
    <row r="383" spans="1:78" s="34" customFormat="1" ht="27.75" customHeight="1" collapsed="1" thickBot="1" x14ac:dyDescent="1.05">
      <c r="A383" s="56"/>
      <c r="B383" s="54" t="s">
        <v>99</v>
      </c>
      <c r="C383" s="9"/>
      <c r="D383" s="1"/>
      <c r="E383" s="1"/>
      <c r="H383" s="54"/>
      <c r="I383" s="94"/>
      <c r="J383" s="57"/>
      <c r="K383" s="99"/>
      <c r="L383" s="533"/>
      <c r="M383" s="520" t="str">
        <f>IF(OR(O393="Not defined",O393="Non défini",O395="Not defined",O395="Non défini"),_xll.DBRA(Server&amp;$B$32,$B383,$N$19),_xll.DBRA(Server&amp;Context!$B$32,Context!$B$49,$N$19)&amp;" "&amp;O395)</f>
        <v>M3 - Revenue per price work unit</v>
      </c>
      <c r="N383" s="520"/>
      <c r="O383" s="520"/>
      <c r="P383" s="206"/>
      <c r="Q383" s="319">
        <f>_xll.DBRW(Server&amp;Cube1,$N$15,$N$16,$N$17,$N$18,$N$14,$N$13,$N$11,$Q$1,$B383)</f>
        <v>0</v>
      </c>
      <c r="R383" s="320">
        <f>_xll.DBRW(Server&amp;Cube1,$N$15,$N$16,$N$17,$N$18,$N$14,$N$13,$R$2,$R$1,$B383)</f>
        <v>0</v>
      </c>
      <c r="S383" s="321">
        <f>Q383-R383</f>
        <v>0</v>
      </c>
      <c r="T383" s="322"/>
      <c r="U383" s="239"/>
      <c r="V383" s="325">
        <f>_xll.DBRW(Server&amp;Cube1,$N$15,$N$16,$N$17,$N$18,$N$14,$N$13,$V$2,$V$1,$B383)</f>
        <v>0</v>
      </c>
      <c r="W383" s="321">
        <f>$Q383-V383</f>
        <v>0</v>
      </c>
      <c r="X383" s="322"/>
      <c r="Y383" s="100"/>
      <c r="Z383" s="388"/>
      <c r="AA383" s="99"/>
      <c r="AB383" s="319">
        <f>_xll.DBRW(Server&amp;Cube1,$N$15,$N$16,$N$17,$N$18,$N$14,$N$13,AB$2,AB$1,$B383)</f>
        <v>0</v>
      </c>
      <c r="AC383" s="319">
        <f>_xll.DBRW(Server&amp;Cube1,$N$15,$N$16,$N$17,$N$18,$N$14,$N$13,AC$2,AC$1,$B383)</f>
        <v>0</v>
      </c>
      <c r="AD383" s="394">
        <f>_xll.DBRW(Server&amp;Cube1,$N$15,$N$16,$N$17,$N$18,$N$14,$N$13,AD$2,AD$1,$B383)</f>
        <v>0</v>
      </c>
      <c r="AE383" s="388"/>
      <c r="AF383" s="319">
        <f>_xll.DBRW(Server&amp;Cube1,$N$15,$N$16,$N$17,$N$18,$N$14,$N$13,AF$2,AF$1,$B383)</f>
        <v>0</v>
      </c>
      <c r="AG383" s="319">
        <f>_xll.DBRW(Server&amp;Cube1,$N$15,$N$16,$N$17,$N$18,$N$14,$N$13,AG$2,AG$1,$B383)</f>
        <v>0</v>
      </c>
      <c r="AH383" s="394">
        <f>_xll.DBRW(Server&amp;Cube1,$N$15,$N$16,$N$17,$N$18,$N$14,$N$13,AH$2,AH$1,$B383)</f>
        <v>0</v>
      </c>
      <c r="AI383" s="388"/>
      <c r="AJ383" s="319">
        <f>_xll.DBRW(Server&amp;Cube1,$N$15,$N$16,$N$17,$N$18,$N$14,$N$13,AJ$2,AJ$1,$B383)</f>
        <v>0</v>
      </c>
      <c r="AK383" s="319">
        <f>_xll.DBRW(Server&amp;Cube1,$N$15,$N$16,$N$17,$N$18,$N$14,$N$13,AK$2,AK$1,$B383)</f>
        <v>0</v>
      </c>
      <c r="AL383" s="394">
        <f>_xll.DBRW(Server&amp;Cube1,$N$15,$N$16,$N$17,$N$18,$N$14,$N$13,AL$2,AL$1,$B383)</f>
        <v>0</v>
      </c>
      <c r="AM383" s="388"/>
      <c r="AN383" s="319">
        <f>_xll.DBRW(Server&amp;Cube1,$N$15,$N$16,$N$17,$N$18,$N$14,$N$13,AN$2,AN$1,$B383)</f>
        <v>0</v>
      </c>
      <c r="AO383" s="319">
        <f>_xll.DBRW(Server&amp;Cube1,$N$15,$N$16,$N$17,$N$18,$N$14,$N$13,AO$2,AO$1,$B383)</f>
        <v>0</v>
      </c>
      <c r="AP383" s="394">
        <f>_xll.DBRW(Server&amp;Cube1,$N$15,$N$16,$N$17,$N$18,$N$14,$N$13,AP$2,AP$1,$B383)</f>
        <v>0</v>
      </c>
      <c r="AQ383" s="388"/>
      <c r="AR383" s="319">
        <f>_xll.DBRW(Server&amp;Cube1,$N$15,$N$16,$N$17,$N$18,$N$14,$N$13,AR$2,AR$1,$B383)</f>
        <v>0</v>
      </c>
      <c r="AS383" s="319">
        <f>_xll.DBRW(Server&amp;Cube1,$N$15,$N$16,$N$17,$N$18,$N$14,$N$13,AS$2,AS$1,$B383)</f>
        <v>0</v>
      </c>
      <c r="AT383" s="394">
        <f>_xll.DBRW(Server&amp;Cube1,$N$15,$N$16,$N$17,$N$18,$N$14,$N$13,AT$2,AT$1,$B383)</f>
        <v>0</v>
      </c>
      <c r="AU383" s="388"/>
      <c r="AV383" s="319">
        <f>_xll.DBRW(Server&amp;Cube1,$N$15,$N$16,$N$17,$N$18,$N$14,$N$13,AV$2,AV$1,$B383)</f>
        <v>0</v>
      </c>
      <c r="AW383" s="319">
        <f>_xll.DBRW(Server&amp;Cube1,$N$15,$N$16,$N$17,$N$18,$N$14,$N$13,AW$2,AW$1,$B383)</f>
        <v>0</v>
      </c>
      <c r="AX383" s="394">
        <f>_xll.DBRW(Server&amp;Cube1,$N$15,$N$16,$N$17,$N$18,$N$14,$N$13,AX$2,AX$1,$B383)</f>
        <v>0</v>
      </c>
      <c r="AY383" s="388"/>
      <c r="AZ383" s="319">
        <f>_xll.DBRW(Server&amp;Cube1,$N$15,$N$16,$N$17,$N$18,$N$14,$N$13,AZ$2,AZ$1,$B383)</f>
        <v>0</v>
      </c>
      <c r="BA383" s="319">
        <f>_xll.DBRW(Server&amp;Cube1,$N$15,$N$16,$N$17,$N$18,$N$14,$N$13,BA$2,BA$1,$B383)</f>
        <v>0</v>
      </c>
      <c r="BB383" s="394">
        <f>_xll.DBRW(Server&amp;Cube1,$N$15,$N$16,$N$17,$N$18,$N$14,$N$13,BB$2,BB$1,$B383)</f>
        <v>0</v>
      </c>
      <c r="BC383" s="388"/>
      <c r="BD383" s="319">
        <f>_xll.DBRW(Server&amp;Cube1,$N$15,$N$16,$N$17,$N$18,$N$14,$N$13,BD$2,BD$1,$B383)</f>
        <v>0</v>
      </c>
      <c r="BE383" s="319">
        <f>_xll.DBRW(Server&amp;Cube1,$N$15,$N$16,$N$17,$N$18,$N$14,$N$13,BE$2,BE$1,$B383)</f>
        <v>0</v>
      </c>
      <c r="BF383" s="394">
        <f>_xll.DBRW(Server&amp;Cube1,$N$15,$N$16,$N$17,$N$18,$N$14,$N$13,BF$2,BF$1,$B383)</f>
        <v>0</v>
      </c>
      <c r="BG383" s="388"/>
      <c r="BH383" s="319">
        <f>_xll.DBRW(Server&amp;Cube1,$N$15,$N$16,$N$17,$N$18,$N$14,$N$13,BH$2,BH$1,$B383)</f>
        <v>0</v>
      </c>
      <c r="BI383" s="319">
        <f>_xll.DBRW(Server&amp;Cube1,$N$15,$N$16,$N$17,$N$18,$N$14,$N$13,BI$2,BI$1,$B383)</f>
        <v>0</v>
      </c>
      <c r="BJ383" s="394">
        <f>_xll.DBRW(Server&amp;Cube1,$N$15,$N$16,$N$17,$N$18,$N$14,$N$13,BJ$2,BJ$1,$B383)</f>
        <v>0</v>
      </c>
      <c r="BK383" s="388"/>
      <c r="BL383" s="319">
        <f>_xll.DBRW(Server&amp;Cube1,$N$15,$N$16,$N$17,$N$18,$N$14,$N$13,BL$2,BL$1,$B383)</f>
        <v>0</v>
      </c>
      <c r="BM383" s="319">
        <f>_xll.DBRW(Server&amp;Cube1,$N$15,$N$16,$N$17,$N$18,$N$14,$N$13,BM$2,BM$1,$B383)</f>
        <v>0</v>
      </c>
      <c r="BN383" s="394">
        <f>_xll.DBRW(Server&amp;Cube1,$N$15,$N$16,$N$17,$N$18,$N$14,$N$13,BN$2,BN$1,$B383)</f>
        <v>0</v>
      </c>
      <c r="BO383" s="388"/>
      <c r="BP383" s="319">
        <f>_xll.DBRW(Server&amp;Cube1,$N$15,$N$16,$N$17,$N$18,$N$14,$N$13,BP$2,BP$1,$B383)</f>
        <v>0</v>
      </c>
      <c r="BQ383" s="319">
        <f>_xll.DBRW(Server&amp;Cube1,$N$15,$N$16,$N$17,$N$18,$N$14,$N$13,BQ$2,BQ$1,$B383)</f>
        <v>0</v>
      </c>
      <c r="BR383" s="394">
        <f>_xll.DBRW(Server&amp;Cube1,$N$15,$N$16,$N$17,$N$18,$N$14,$N$13,BR$2,BR$1,$B383)</f>
        <v>0</v>
      </c>
      <c r="BS383" s="388"/>
      <c r="BT383" s="319">
        <f>_xll.DBRW(Server&amp;Cube1,$N$15,$N$16,$N$17,$N$18,$N$14,$N$13,BT$2,BT$1,$B383)</f>
        <v>0</v>
      </c>
      <c r="BU383" s="319">
        <f>_xll.DBRW(Server&amp;Cube1,$N$15,$N$16,$N$17,$N$18,$N$14,$N$13,BU$2,BU$1,$B383)</f>
        <v>0</v>
      </c>
      <c r="BV383" s="394">
        <f>_xll.DBRW(Server&amp;Cube1,$N$15,$N$16,$N$17,$N$18,$N$14,$N$13,BV$2,BV$1,$B383)</f>
        <v>0</v>
      </c>
      <c r="BW383" s="100"/>
      <c r="BX383" s="28"/>
    </row>
    <row r="384" spans="1:78" ht="3.75" hidden="1" customHeight="1" outlineLevel="1" thickTop="1" x14ac:dyDescent="0.8">
      <c r="A384" s="56"/>
      <c r="B384" s="54"/>
      <c r="H384" s="54"/>
      <c r="I384" s="94"/>
      <c r="J384" s="57"/>
      <c r="K384" s="99"/>
      <c r="L384" s="533"/>
      <c r="M384" s="296"/>
      <c r="N384" s="296"/>
      <c r="O384" s="296"/>
      <c r="P384" s="61"/>
      <c r="Q384" s="330"/>
      <c r="R384" s="331"/>
      <c r="S384" s="332"/>
      <c r="T384" s="333"/>
      <c r="U384" s="210"/>
      <c r="V384" s="330"/>
      <c r="W384" s="332"/>
      <c r="X384" s="333"/>
      <c r="Y384" s="100"/>
      <c r="Z384" s="388"/>
      <c r="AA384" s="99"/>
      <c r="AB384" s="330"/>
      <c r="AC384" s="330"/>
      <c r="AD384" s="403"/>
      <c r="AE384" s="388"/>
      <c r="AF384" s="330"/>
      <c r="AG384" s="330"/>
      <c r="AH384" s="403"/>
      <c r="AI384" s="388"/>
      <c r="AJ384" s="330"/>
      <c r="AK384" s="330"/>
      <c r="AL384" s="403"/>
      <c r="AM384" s="388"/>
      <c r="AN384" s="330"/>
      <c r="AO384" s="330"/>
      <c r="AP384" s="403"/>
      <c r="AQ384" s="388"/>
      <c r="AR384" s="330"/>
      <c r="AS384" s="330"/>
      <c r="AT384" s="403"/>
      <c r="AU384" s="388"/>
      <c r="AV384" s="330"/>
      <c r="AW384" s="330"/>
      <c r="AX384" s="403"/>
      <c r="AY384" s="388"/>
      <c r="AZ384" s="330"/>
      <c r="BA384" s="330"/>
      <c r="BB384" s="403"/>
      <c r="BC384" s="388"/>
      <c r="BD384" s="330"/>
      <c r="BE384" s="330"/>
      <c r="BF384" s="403"/>
      <c r="BG384" s="388"/>
      <c r="BH384" s="330"/>
      <c r="BI384" s="330"/>
      <c r="BJ384" s="403"/>
      <c r="BK384" s="388"/>
      <c r="BL384" s="330"/>
      <c r="BM384" s="330"/>
      <c r="BN384" s="403"/>
      <c r="BO384" s="388"/>
      <c r="BP384" s="330"/>
      <c r="BQ384" s="330"/>
      <c r="BR384" s="403"/>
      <c r="BS384" s="388"/>
      <c r="BT384" s="330"/>
      <c r="BU384" s="330"/>
      <c r="BV384" s="403"/>
      <c r="BW384" s="100"/>
      <c r="BX384" s="28"/>
      <c r="BZ384" s="358"/>
    </row>
    <row r="385" spans="1:78" s="34" customFormat="1" ht="21.75" hidden="1" customHeight="1" outlineLevel="1" x14ac:dyDescent="0.8">
      <c r="A385" s="56"/>
      <c r="B385" s="54" t="s">
        <v>87</v>
      </c>
      <c r="C385" s="9"/>
      <c r="D385" s="54" t="b">
        <f>AND($Q393&lt;&gt;0,$R393&lt;&gt;0)</f>
        <v>0</v>
      </c>
      <c r="E385" s="54"/>
      <c r="F385" s="54" t="b">
        <f>AND($Q393&lt;&gt;0,$V393&lt;&gt;0)</f>
        <v>0</v>
      </c>
      <c r="H385" s="54"/>
      <c r="I385" s="94"/>
      <c r="J385" s="57"/>
      <c r="K385" s="99"/>
      <c r="L385" s="533"/>
      <c r="M385" s="521" t="str">
        <f>_xll.DBRA(Server&amp;$B$32,$B385,$N$19)</f>
        <v>M1 - Maintenance cost variance - Cost effect</v>
      </c>
      <c r="N385" s="521"/>
      <c r="O385" s="522"/>
      <c r="P385" s="240"/>
      <c r="Q385" s="243"/>
      <c r="R385" s="244"/>
      <c r="S385" s="245">
        <f>IF(D385,-1*S381*Q393,0)</f>
        <v>0</v>
      </c>
      <c r="T385" s="297">
        <f>IF(ISERROR(S385/#REF!*100),,S385/#REF!*100)</f>
        <v>0</v>
      </c>
      <c r="U385" s="239"/>
      <c r="V385" s="246"/>
      <c r="W385" s="245">
        <f>IF(F385,-1*W381*$Q393,0)</f>
        <v>0</v>
      </c>
      <c r="X385" s="301">
        <f>IF(ISERROR(W385/#REF!*100),,W385/#REF!*100)</f>
        <v>0</v>
      </c>
      <c r="Y385" s="100"/>
      <c r="Z385" s="388"/>
      <c r="AA385" s="99"/>
      <c r="AB385" s="334"/>
      <c r="AC385" s="334"/>
      <c r="AD385" s="396"/>
      <c r="AE385" s="388"/>
      <c r="AF385" s="334"/>
      <c r="AG385" s="334"/>
      <c r="AH385" s="396"/>
      <c r="AI385" s="388"/>
      <c r="AJ385" s="334"/>
      <c r="AK385" s="334"/>
      <c r="AL385" s="396"/>
      <c r="AM385" s="388"/>
      <c r="AN385" s="334"/>
      <c r="AO385" s="334"/>
      <c r="AP385" s="396"/>
      <c r="AQ385" s="388"/>
      <c r="AR385" s="334"/>
      <c r="AS385" s="334"/>
      <c r="AT385" s="396"/>
      <c r="AU385" s="388"/>
      <c r="AV385" s="334"/>
      <c r="AW385" s="334"/>
      <c r="AX385" s="396"/>
      <c r="AY385" s="388"/>
      <c r="AZ385" s="334"/>
      <c r="BA385" s="334"/>
      <c r="BB385" s="396"/>
      <c r="BC385" s="388"/>
      <c r="BD385" s="334"/>
      <c r="BE385" s="334"/>
      <c r="BF385" s="396"/>
      <c r="BG385" s="388"/>
      <c r="BH385" s="334"/>
      <c r="BI385" s="334"/>
      <c r="BJ385" s="396"/>
      <c r="BK385" s="388"/>
      <c r="BL385" s="334"/>
      <c r="BM385" s="334"/>
      <c r="BN385" s="396"/>
      <c r="BO385" s="388"/>
      <c r="BP385" s="334"/>
      <c r="BQ385" s="334"/>
      <c r="BR385" s="396"/>
      <c r="BS385" s="388"/>
      <c r="BT385" s="334"/>
      <c r="BU385" s="334"/>
      <c r="BV385" s="396"/>
      <c r="BW385" s="100"/>
      <c r="BX385" s="28"/>
    </row>
    <row r="386" spans="1:78" s="34" customFormat="1" ht="21.75" hidden="1" customHeight="1" outlineLevel="1" x14ac:dyDescent="0.8">
      <c r="A386" s="56"/>
      <c r="B386" s="54" t="s">
        <v>88</v>
      </c>
      <c r="C386" s="9"/>
      <c r="D386" s="54" t="b">
        <f>AND($Q395&lt;&gt;0,$R395&lt;&gt;0,$Q393&lt;&gt;0,$R393&lt;&gt;0)</f>
        <v>0</v>
      </c>
      <c r="E386" s="54"/>
      <c r="F386" s="54" t="b">
        <f>AND($Q395&lt;&gt;0,$V395&lt;&gt;0,$Q393&lt;&gt;0,$V393&lt;&gt;0)</f>
        <v>0</v>
      </c>
      <c r="H386" s="54"/>
      <c r="I386" s="94"/>
      <c r="J386" s="57"/>
      <c r="K386" s="99"/>
      <c r="L386" s="533"/>
      <c r="M386" s="523" t="str">
        <f>_xll.DBRA(Server&amp;$B$32,$B386,$N$19)</f>
        <v>M2 - Maintenance cost variance - Efficiency effect</v>
      </c>
      <c r="N386" s="523"/>
      <c r="O386" s="524"/>
      <c r="P386" s="240"/>
      <c r="Q386" s="243"/>
      <c r="R386" s="247"/>
      <c r="S386" s="245">
        <f>IF(D386,IF(Q382&lt;&gt;0,S382/Q382*$Q$62,0),0)</f>
        <v>0</v>
      </c>
      <c r="T386" s="297">
        <f>IF(ISERROR(S386/$Q$36*100),,S386/$Q$36*100)</f>
        <v>0</v>
      </c>
      <c r="U386" s="239"/>
      <c r="V386" s="246"/>
      <c r="W386" s="245">
        <f>IF(F386,IF($Q382&lt;&gt;0,W382/$Q382*$Q$62,0),0)</f>
        <v>0</v>
      </c>
      <c r="X386" s="301">
        <f>IF(ISERROR(W386/$Q$36*100),,W386/$Q$36*100)</f>
        <v>0</v>
      </c>
      <c r="Y386" s="100"/>
      <c r="Z386" s="388"/>
      <c r="AA386" s="99"/>
      <c r="AB386" s="334"/>
      <c r="AC386" s="334"/>
      <c r="AD386" s="396"/>
      <c r="AE386" s="388"/>
      <c r="AF386" s="334"/>
      <c r="AG386" s="334"/>
      <c r="AH386" s="396"/>
      <c r="AI386" s="388"/>
      <c r="AJ386" s="334"/>
      <c r="AK386" s="334"/>
      <c r="AL386" s="396"/>
      <c r="AM386" s="388"/>
      <c r="AN386" s="334"/>
      <c r="AO386" s="334"/>
      <c r="AP386" s="396"/>
      <c r="AQ386" s="388"/>
      <c r="AR386" s="334"/>
      <c r="AS386" s="334"/>
      <c r="AT386" s="396"/>
      <c r="AU386" s="388"/>
      <c r="AV386" s="334"/>
      <c r="AW386" s="334"/>
      <c r="AX386" s="396"/>
      <c r="AY386" s="388"/>
      <c r="AZ386" s="334"/>
      <c r="BA386" s="334"/>
      <c r="BB386" s="396"/>
      <c r="BC386" s="388"/>
      <c r="BD386" s="334"/>
      <c r="BE386" s="334"/>
      <c r="BF386" s="396"/>
      <c r="BG386" s="388"/>
      <c r="BH386" s="334"/>
      <c r="BI386" s="334"/>
      <c r="BJ386" s="396"/>
      <c r="BK386" s="388"/>
      <c r="BL386" s="334"/>
      <c r="BM386" s="334"/>
      <c r="BN386" s="396"/>
      <c r="BO386" s="388"/>
      <c r="BP386" s="334"/>
      <c r="BQ386" s="334"/>
      <c r="BR386" s="396"/>
      <c r="BS386" s="388"/>
      <c r="BT386" s="334"/>
      <c r="BU386" s="334"/>
      <c r="BV386" s="396"/>
      <c r="BW386" s="100"/>
      <c r="BX386" s="28"/>
    </row>
    <row r="387" spans="1:78" s="34" customFormat="1" ht="21.75" hidden="1" customHeight="1" outlineLevel="1" x14ac:dyDescent="0.8">
      <c r="A387" s="56"/>
      <c r="B387" s="54" t="s">
        <v>89</v>
      </c>
      <c r="C387" s="9"/>
      <c r="D387" s="54" t="b">
        <f>AND($Q395&lt;&gt;0,$R395&lt;&gt;0)</f>
        <v>0</v>
      </c>
      <c r="E387" s="54"/>
      <c r="F387" s="54" t="b">
        <f>AND($Q395&lt;&gt;0,$V395&lt;&gt;0)</f>
        <v>0</v>
      </c>
      <c r="H387" s="54"/>
      <c r="I387" s="94"/>
      <c r="J387" s="57"/>
      <c r="K387" s="99"/>
      <c r="L387" s="533"/>
      <c r="M387" s="523" t="str">
        <f>_xll.DBRA(Server&amp;$B$32,$B387,$N$19)</f>
        <v>M3 - Maintenance cost variance - Price effect</v>
      </c>
      <c r="N387" s="523"/>
      <c r="O387" s="524"/>
      <c r="P387" s="240"/>
      <c r="Q387" s="243"/>
      <c r="R387" s="247"/>
      <c r="S387" s="245">
        <f>IF(D387,Q380*S383*Q395,0)</f>
        <v>0</v>
      </c>
      <c r="T387" s="297">
        <f>IF(ISERROR(S387/$Q$36*100),,S387/$Q$36*100)</f>
        <v>0</v>
      </c>
      <c r="U387" s="239"/>
      <c r="V387" s="246"/>
      <c r="W387" s="248">
        <f>IF(F387,$Q380*W383*$Q395,0)</f>
        <v>0</v>
      </c>
      <c r="X387" s="301">
        <f>IF(ISERROR(W387/$Q$36*100),,W387/$Q$36*100)</f>
        <v>0</v>
      </c>
      <c r="Y387" s="100"/>
      <c r="Z387" s="388"/>
      <c r="AA387" s="99"/>
      <c r="AB387" s="334"/>
      <c r="AC387" s="334"/>
      <c r="AD387" s="396"/>
      <c r="AE387" s="388"/>
      <c r="AF387" s="334"/>
      <c r="AG387" s="334"/>
      <c r="AH387" s="396"/>
      <c r="AI387" s="388"/>
      <c r="AJ387" s="334"/>
      <c r="AK387" s="334"/>
      <c r="AL387" s="396"/>
      <c r="AM387" s="388"/>
      <c r="AN387" s="334"/>
      <c r="AO387" s="334"/>
      <c r="AP387" s="396"/>
      <c r="AQ387" s="388"/>
      <c r="AR387" s="334"/>
      <c r="AS387" s="334"/>
      <c r="AT387" s="396"/>
      <c r="AU387" s="388"/>
      <c r="AV387" s="334"/>
      <c r="AW387" s="334"/>
      <c r="AX387" s="396"/>
      <c r="AY387" s="388"/>
      <c r="AZ387" s="334"/>
      <c r="BA387" s="334"/>
      <c r="BB387" s="396"/>
      <c r="BC387" s="388"/>
      <c r="BD387" s="334"/>
      <c r="BE387" s="334"/>
      <c r="BF387" s="396"/>
      <c r="BG387" s="388"/>
      <c r="BH387" s="334"/>
      <c r="BI387" s="334"/>
      <c r="BJ387" s="396"/>
      <c r="BK387" s="388"/>
      <c r="BL387" s="334"/>
      <c r="BM387" s="334"/>
      <c r="BN387" s="396"/>
      <c r="BO387" s="388"/>
      <c r="BP387" s="334"/>
      <c r="BQ387" s="334"/>
      <c r="BR387" s="396"/>
      <c r="BS387" s="388"/>
      <c r="BT387" s="334"/>
      <c r="BU387" s="334"/>
      <c r="BV387" s="396"/>
      <c r="BW387" s="100"/>
      <c r="BX387" s="28"/>
    </row>
    <row r="388" spans="1:78" s="34" customFormat="1" ht="21.75" hidden="1" customHeight="1" outlineLevel="1" x14ac:dyDescent="0.8">
      <c r="A388" s="56"/>
      <c r="B388" s="54" t="s">
        <v>102</v>
      </c>
      <c r="C388" s="9"/>
      <c r="D388" s="54" t="b">
        <f>AND($Q395&lt;&gt;0,$R395&lt;&gt;0,$Q393&lt;&gt;0,$R393&lt;&gt;0)</f>
        <v>0</v>
      </c>
      <c r="E388" s="54"/>
      <c r="F388" s="54" t="b">
        <f>AND($Q395&lt;&gt;0,$V395&lt;&gt;0,$Q393&lt;&gt;0,$V393&lt;&gt;0)</f>
        <v>0</v>
      </c>
      <c r="H388" s="54"/>
      <c r="I388" s="94"/>
      <c r="J388" s="57"/>
      <c r="K388" s="99"/>
      <c r="L388" s="533"/>
      <c r="M388" s="541" t="str">
        <f>_xll.DBRA(Server&amp;$B$32,$B388,$N$19)</f>
        <v>M - Compound</v>
      </c>
      <c r="N388" s="541"/>
      <c r="O388" s="542"/>
      <c r="P388" s="240"/>
      <c r="Q388" s="243"/>
      <c r="R388" s="247"/>
      <c r="S388" s="249">
        <f>IF(D388,$S62-S385-S386-S387-S391,0)</f>
        <v>0</v>
      </c>
      <c r="T388" s="298">
        <f>IF(ISERROR(S388/$Q$36*100),,S388/$Q$36*100)</f>
        <v>0</v>
      </c>
      <c r="U388" s="239"/>
      <c r="V388" s="246"/>
      <c r="W388" s="249">
        <f>IF(F388,$W62-W385-W386-W387-W391,0)</f>
        <v>0</v>
      </c>
      <c r="X388" s="298">
        <f>IF(ISERROR(W388/$Q$36*100),,W388/$Q$36*100)</f>
        <v>0</v>
      </c>
      <c r="Y388" s="100"/>
      <c r="Z388" s="388"/>
      <c r="AA388" s="99"/>
      <c r="AB388" s="334"/>
      <c r="AC388" s="334"/>
      <c r="AD388" s="396"/>
      <c r="AE388" s="388"/>
      <c r="AF388" s="334"/>
      <c r="AG388" s="334"/>
      <c r="AH388" s="396"/>
      <c r="AI388" s="388"/>
      <c r="AJ388" s="334"/>
      <c r="AK388" s="334"/>
      <c r="AL388" s="396"/>
      <c r="AM388" s="388"/>
      <c r="AN388" s="334"/>
      <c r="AO388" s="334"/>
      <c r="AP388" s="396"/>
      <c r="AQ388" s="388"/>
      <c r="AR388" s="334"/>
      <c r="AS388" s="334"/>
      <c r="AT388" s="396"/>
      <c r="AU388" s="388"/>
      <c r="AV388" s="334"/>
      <c r="AW388" s="334"/>
      <c r="AX388" s="396"/>
      <c r="AY388" s="388"/>
      <c r="AZ388" s="334"/>
      <c r="BA388" s="334"/>
      <c r="BB388" s="396"/>
      <c r="BC388" s="388"/>
      <c r="BD388" s="334"/>
      <c r="BE388" s="334"/>
      <c r="BF388" s="396"/>
      <c r="BG388" s="388"/>
      <c r="BH388" s="334"/>
      <c r="BI388" s="334"/>
      <c r="BJ388" s="396"/>
      <c r="BK388" s="388"/>
      <c r="BL388" s="334"/>
      <c r="BM388" s="334"/>
      <c r="BN388" s="396"/>
      <c r="BO388" s="388"/>
      <c r="BP388" s="334"/>
      <c r="BQ388" s="334"/>
      <c r="BR388" s="396"/>
      <c r="BS388" s="388"/>
      <c r="BT388" s="334"/>
      <c r="BU388" s="334"/>
      <c r="BV388" s="396"/>
      <c r="BW388" s="100"/>
      <c r="BX388" s="28"/>
    </row>
    <row r="389" spans="1:78" s="34" customFormat="1" ht="21.75" hidden="1" customHeight="1" outlineLevel="1" x14ac:dyDescent="0.8">
      <c r="A389" s="56"/>
      <c r="B389" s="371" t="s">
        <v>143</v>
      </c>
      <c r="C389" s="9"/>
      <c r="D389" s="54" t="b">
        <f>OR($Q395=0,$R395=0,$Q393=0,$R393=0)</f>
        <v>1</v>
      </c>
      <c r="E389" s="54"/>
      <c r="F389" s="54" t="b">
        <f>OR($Q395=0,$V395=0,$Q393=0,$V393=0)</f>
        <v>1</v>
      </c>
      <c r="H389" s="371"/>
      <c r="I389" s="94"/>
      <c r="J389" s="57"/>
      <c r="K389" s="99"/>
      <c r="L389" s="533"/>
      <c r="M389" s="543" t="str">
        <f>_xll.DBRA(Server&amp;$B$32,$B389,$N$19)</f>
        <v>M - Maintenance cost variance not addressed due to missing Work Unit(s)</v>
      </c>
      <c r="N389" s="543"/>
      <c r="O389" s="544"/>
      <c r="P389" s="250"/>
      <c r="Q389" s="251"/>
      <c r="R389" s="252"/>
      <c r="S389" s="253">
        <f>IF(D389,S$62-S385-S386-S387-S391,0)</f>
        <v>-24148475.230000004</v>
      </c>
      <c r="T389" s="299">
        <f>IF(ISERROR(S389/$Q$36*100),,S389/$Q$36*100)</f>
        <v>-10.643916029390741</v>
      </c>
      <c r="U389" s="254"/>
      <c r="V389" s="255"/>
      <c r="W389" s="249">
        <f>IF(F389,$W$62-W385-W386-W387-W391,0)</f>
        <v>1283319.4785163403</v>
      </c>
      <c r="X389" s="299">
        <f>IF(ISERROR(W389/$Q$36*100),,W389/$Q$36*100)</f>
        <v>0.56564833340864473</v>
      </c>
      <c r="Y389" s="100"/>
      <c r="Z389" s="388"/>
      <c r="AA389" s="99"/>
      <c r="AB389" s="335"/>
      <c r="AC389" s="335"/>
      <c r="AD389" s="397"/>
      <c r="AE389" s="388"/>
      <c r="AF389" s="335"/>
      <c r="AG389" s="335"/>
      <c r="AH389" s="397"/>
      <c r="AI389" s="388"/>
      <c r="AJ389" s="335"/>
      <c r="AK389" s="335"/>
      <c r="AL389" s="397"/>
      <c r="AM389" s="388"/>
      <c r="AN389" s="335"/>
      <c r="AO389" s="335"/>
      <c r="AP389" s="397"/>
      <c r="AQ389" s="388"/>
      <c r="AR389" s="335"/>
      <c r="AS389" s="335"/>
      <c r="AT389" s="397"/>
      <c r="AU389" s="388"/>
      <c r="AV389" s="335"/>
      <c r="AW389" s="335"/>
      <c r="AX389" s="397"/>
      <c r="AY389" s="388"/>
      <c r="AZ389" s="335"/>
      <c r="BA389" s="335"/>
      <c r="BB389" s="397"/>
      <c r="BC389" s="388"/>
      <c r="BD389" s="335"/>
      <c r="BE389" s="335"/>
      <c r="BF389" s="397"/>
      <c r="BG389" s="388"/>
      <c r="BH389" s="335"/>
      <c r="BI389" s="335"/>
      <c r="BJ389" s="397"/>
      <c r="BK389" s="388"/>
      <c r="BL389" s="335"/>
      <c r="BM389" s="335"/>
      <c r="BN389" s="397"/>
      <c r="BO389" s="388"/>
      <c r="BP389" s="335"/>
      <c r="BQ389" s="335"/>
      <c r="BR389" s="397"/>
      <c r="BS389" s="388"/>
      <c r="BT389" s="335"/>
      <c r="BU389" s="335"/>
      <c r="BV389" s="397"/>
      <c r="BW389" s="100"/>
      <c r="BX389" s="28"/>
    </row>
    <row r="390" spans="1:78" s="34" customFormat="1" ht="22.5" customHeight="1" collapsed="1" thickTop="1" x14ac:dyDescent="0.75">
      <c r="A390" s="56"/>
      <c r="B390" s="54" t="s">
        <v>104</v>
      </c>
      <c r="C390" s="9"/>
      <c r="D390" s="1"/>
      <c r="E390" s="1"/>
      <c r="H390" s="54"/>
      <c r="I390" s="94"/>
      <c r="J390" s="57"/>
      <c r="K390" s="99"/>
      <c r="L390" s="533"/>
      <c r="M390" s="537" t="str">
        <f>_xll.DBRA(Server&amp;$B$32,$B390,$N$19)</f>
        <v>M - Part of Maintenance cost variance due to Level 2 ratios change</v>
      </c>
      <c r="N390" s="537"/>
      <c r="O390" s="538"/>
      <c r="P390" s="256"/>
      <c r="Q390" s="336"/>
      <c r="R390" s="337"/>
      <c r="S390" s="326">
        <f>SUM(S385:S389)</f>
        <v>-24148475.230000004</v>
      </c>
      <c r="T390" s="327">
        <f>-(Q380-R380)*100</f>
        <v>0</v>
      </c>
      <c r="U390" s="260"/>
      <c r="V390" s="342"/>
      <c r="W390" s="326">
        <f>SUM(W385:W389)</f>
        <v>1283319.4785163403</v>
      </c>
      <c r="X390" s="327">
        <f>-($Q380-V380)*100</f>
        <v>0</v>
      </c>
      <c r="Y390" s="100"/>
      <c r="Z390" s="388"/>
      <c r="AA390" s="99"/>
      <c r="AB390" s="336"/>
      <c r="AC390" s="336"/>
      <c r="AD390" s="398"/>
      <c r="AE390" s="388"/>
      <c r="AF390" s="336"/>
      <c r="AG390" s="336"/>
      <c r="AH390" s="398"/>
      <c r="AI390" s="388"/>
      <c r="AJ390" s="336"/>
      <c r="AK390" s="336"/>
      <c r="AL390" s="398"/>
      <c r="AM390" s="388"/>
      <c r="AN390" s="336"/>
      <c r="AO390" s="336"/>
      <c r="AP390" s="398"/>
      <c r="AQ390" s="388"/>
      <c r="AR390" s="336"/>
      <c r="AS390" s="336"/>
      <c r="AT390" s="398"/>
      <c r="AU390" s="388"/>
      <c r="AV390" s="336"/>
      <c r="AW390" s="336"/>
      <c r="AX390" s="398"/>
      <c r="AY390" s="388"/>
      <c r="AZ390" s="336"/>
      <c r="BA390" s="336"/>
      <c r="BB390" s="398"/>
      <c r="BC390" s="388"/>
      <c r="BD390" s="336"/>
      <c r="BE390" s="336"/>
      <c r="BF390" s="398"/>
      <c r="BG390" s="388"/>
      <c r="BH390" s="336"/>
      <c r="BI390" s="336"/>
      <c r="BJ390" s="398"/>
      <c r="BK390" s="388"/>
      <c r="BL390" s="336"/>
      <c r="BM390" s="336"/>
      <c r="BN390" s="398"/>
      <c r="BO390" s="388"/>
      <c r="BP390" s="336"/>
      <c r="BQ390" s="336"/>
      <c r="BR390" s="398"/>
      <c r="BS390" s="388"/>
      <c r="BT390" s="336"/>
      <c r="BU390" s="336"/>
      <c r="BV390" s="398"/>
      <c r="BW390" s="100"/>
      <c r="BX390" s="28"/>
    </row>
    <row r="391" spans="1:78" s="34" customFormat="1" ht="22.5" customHeight="1" x14ac:dyDescent="0.75">
      <c r="A391" s="56"/>
      <c r="B391" s="54" t="s">
        <v>103</v>
      </c>
      <c r="C391" s="9"/>
      <c r="D391" s="1"/>
      <c r="E391" s="1"/>
      <c r="H391" s="54"/>
      <c r="I391" s="94"/>
      <c r="J391" s="57"/>
      <c r="K391" s="99"/>
      <c r="L391" s="534"/>
      <c r="M391" s="539" t="str">
        <f>_xll.DBRA(Server&amp;$B$32,$B391,$N$19)</f>
        <v>M - Part of Maintenance cost variance due to ROA change</v>
      </c>
      <c r="N391" s="539"/>
      <c r="O391" s="540"/>
      <c r="P391" s="262"/>
      <c r="Q391" s="338"/>
      <c r="R391" s="339"/>
      <c r="S391" s="265">
        <f>(IF($R$36&lt;&gt;0,IF($R$36&gt;0,$S$36/$R$36,-$S$36/$R$36),0))*R62</f>
        <v>0</v>
      </c>
      <c r="T391" s="328"/>
      <c r="U391" s="267"/>
      <c r="V391" s="343"/>
      <c r="W391" s="265">
        <f>(IF($V$36&lt;&gt;0,IF($V$36&gt;0,$W$36/$V$36,-$W$36/$V$36),0))*V62</f>
        <v>777373564.04915643</v>
      </c>
      <c r="X391" s="328"/>
      <c r="Y391" s="100"/>
      <c r="Z391" s="388"/>
      <c r="AA391" s="99"/>
      <c r="AB391" s="338"/>
      <c r="AC391" s="338"/>
      <c r="AD391" s="399"/>
      <c r="AE391" s="388"/>
      <c r="AF391" s="338"/>
      <c r="AG391" s="338"/>
      <c r="AH391" s="399"/>
      <c r="AI391" s="388"/>
      <c r="AJ391" s="338"/>
      <c r="AK391" s="338"/>
      <c r="AL391" s="399"/>
      <c r="AM391" s="388"/>
      <c r="AN391" s="338"/>
      <c r="AO391" s="338"/>
      <c r="AP391" s="399"/>
      <c r="AQ391" s="388"/>
      <c r="AR391" s="338"/>
      <c r="AS391" s="338"/>
      <c r="AT391" s="399"/>
      <c r="AU391" s="388"/>
      <c r="AV391" s="338"/>
      <c r="AW391" s="338"/>
      <c r="AX391" s="399"/>
      <c r="AY391" s="388"/>
      <c r="AZ391" s="338"/>
      <c r="BA391" s="338"/>
      <c r="BB391" s="399"/>
      <c r="BC391" s="388"/>
      <c r="BD391" s="338"/>
      <c r="BE391" s="338"/>
      <c r="BF391" s="399"/>
      <c r="BG391" s="388"/>
      <c r="BH391" s="338"/>
      <c r="BI391" s="338"/>
      <c r="BJ391" s="399"/>
      <c r="BK391" s="388"/>
      <c r="BL391" s="338"/>
      <c r="BM391" s="338"/>
      <c r="BN391" s="399"/>
      <c r="BO391" s="388"/>
      <c r="BP391" s="338"/>
      <c r="BQ391" s="338"/>
      <c r="BR391" s="399"/>
      <c r="BS391" s="388"/>
      <c r="BT391" s="338"/>
      <c r="BU391" s="338"/>
      <c r="BV391" s="399"/>
      <c r="BW391" s="100"/>
      <c r="BX391" s="28"/>
    </row>
    <row r="392" spans="1:78" s="34" customFormat="1" ht="43.5" customHeight="1" collapsed="1" x14ac:dyDescent="0.8">
      <c r="A392" s="56"/>
      <c r="B392" s="370" t="s">
        <v>147</v>
      </c>
      <c r="C392" s="9"/>
      <c r="D392" s="1"/>
      <c r="E392" s="1"/>
      <c r="H392" s="370"/>
      <c r="I392" s="94"/>
      <c r="J392" s="57"/>
      <c r="K392" s="99"/>
      <c r="L392" s="525" t="str">
        <f>_xll.DBRA(Server&amp;Context!$B$32,Context!$B$57,$N$19)</f>
        <v>Total Maintenance cost variance (impact on Gross Margin variance)</v>
      </c>
      <c r="M392" s="526"/>
      <c r="N392" s="526"/>
      <c r="O392" s="527"/>
      <c r="P392" s="207"/>
      <c r="Q392" s="340"/>
      <c r="R392" s="341"/>
      <c r="S392" s="271">
        <f>SUM(S390:S391)</f>
        <v>-24148475.230000004</v>
      </c>
      <c r="T392" s="329"/>
      <c r="U392" s="241"/>
      <c r="V392" s="344"/>
      <c r="W392" s="271">
        <f>SUM(W390:W391)</f>
        <v>778656883.52767277</v>
      </c>
      <c r="X392" s="329"/>
      <c r="Y392" s="100"/>
      <c r="Z392" s="388"/>
      <c r="AA392" s="99"/>
      <c r="AB392" s="340"/>
      <c r="AC392" s="340"/>
      <c r="AD392" s="400"/>
      <c r="AE392" s="388"/>
      <c r="AF392" s="340"/>
      <c r="AG392" s="340"/>
      <c r="AH392" s="400"/>
      <c r="AI392" s="388"/>
      <c r="AJ392" s="340"/>
      <c r="AK392" s="340"/>
      <c r="AL392" s="400"/>
      <c r="AM392" s="388"/>
      <c r="AN392" s="340"/>
      <c r="AO392" s="340"/>
      <c r="AP392" s="400"/>
      <c r="AQ392" s="388"/>
      <c r="AR392" s="340"/>
      <c r="AS392" s="340"/>
      <c r="AT392" s="400"/>
      <c r="AU392" s="388"/>
      <c r="AV392" s="340"/>
      <c r="AW392" s="340"/>
      <c r="AX392" s="400"/>
      <c r="AY392" s="388"/>
      <c r="AZ392" s="340"/>
      <c r="BA392" s="340"/>
      <c r="BB392" s="400"/>
      <c r="BC392" s="388"/>
      <c r="BD392" s="340"/>
      <c r="BE392" s="340"/>
      <c r="BF392" s="400"/>
      <c r="BG392" s="388"/>
      <c r="BH392" s="340"/>
      <c r="BI392" s="340"/>
      <c r="BJ392" s="400"/>
      <c r="BK392" s="388"/>
      <c r="BL392" s="340"/>
      <c r="BM392" s="340"/>
      <c r="BN392" s="400"/>
      <c r="BO392" s="388"/>
      <c r="BP392" s="340"/>
      <c r="BQ392" s="340"/>
      <c r="BR392" s="400"/>
      <c r="BS392" s="388"/>
      <c r="BT392" s="340"/>
      <c r="BU392" s="340"/>
      <c r="BV392" s="400"/>
      <c r="BW392" s="100"/>
      <c r="BX392" s="28"/>
    </row>
    <row r="393" spans="1:78" s="34" customFormat="1" ht="18.75" hidden="1" customHeight="1" outlineLevel="1" x14ac:dyDescent="0.8">
      <c r="A393" s="135" t="str">
        <f>_xll.DBR(Server&amp;Cube2,$N$15,$N$13,$B393,IF($N$19="French","STR_VAR3","STR_VAR2"))</f>
        <v/>
      </c>
      <c r="B393" s="54" t="s">
        <v>105</v>
      </c>
      <c r="C393" s="135" t="str">
        <f>_xll.DBR(Server&amp;Cube2,$N$15,$N$13,$B393,"STR_VAR1")</f>
        <v/>
      </c>
      <c r="D393" s="1"/>
      <c r="E393" s="1"/>
      <c r="H393" s="54"/>
      <c r="I393" s="1"/>
      <c r="J393" s="30"/>
      <c r="K393" s="99"/>
      <c r="L393" s="102"/>
      <c r="M393" s="294" t="str">
        <f>_xll.DBRA(Server&amp;$B$32,$B393,$N$19)&amp;"   ---&gt;"</f>
        <v>Maintenance - Cost Work Unit   ---&gt;</v>
      </c>
      <c r="N393" s="294"/>
      <c r="O393" s="412" t="str">
        <f>IF(A393="",_xll.DBRA(Server&amp;Context!$B$32,Context!$B$66,$N$19),_xll.DBRA(Server&amp;$B$32,$A393,$N$19))</f>
        <v>Not defined</v>
      </c>
      <c r="P393" s="207"/>
      <c r="Q393" s="274">
        <f>_xll.DBRW(Server&amp;Cube1,$N$15,$N$16,$N$17,$N$18,$N$14,$N$13,$N$11,$Q$1,$B393)</f>
        <v>0</v>
      </c>
      <c r="R393" s="275">
        <f>_xll.DBRW(Server&amp;Cube1,$N$15,$N$16,$N$17,$N$18,$N$14,$N$13,$R$2,$R$1,$B393)</f>
        <v>0</v>
      </c>
      <c r="S393" s="276">
        <f>Q393-R393</f>
        <v>0</v>
      </c>
      <c r="T393" s="277">
        <f>IF(R393&lt;&gt;0,IF(R393&gt;0,S393/R393,-S393/R393),0)</f>
        <v>0</v>
      </c>
      <c r="U393" s="239"/>
      <c r="V393" s="274">
        <f>_xll.DBRW(Server&amp;Cube1,$N$15,$N$16,$N$17,$N$18,$N$14,$N$13,$V$2,$V$1,$B393)</f>
        <v>0</v>
      </c>
      <c r="W393" s="276">
        <f>$Q393-V393</f>
        <v>0</v>
      </c>
      <c r="X393" s="277">
        <f>IF(V393&lt;&gt;0,IF(V393&gt;0,W393/V393,-W393/V393),0)</f>
        <v>0</v>
      </c>
      <c r="Y393" s="209"/>
      <c r="Z393" s="386"/>
      <c r="AA393" s="99"/>
      <c r="AB393" s="274">
        <f>_xll.DBRW(Server&amp;Cube1,$N$15,$N$16,$N$17,$N$18,$N$14,$N$13,AB$2,AB$1,$B393)</f>
        <v>0</v>
      </c>
      <c r="AC393" s="274">
        <f>_xll.DBRW(Server&amp;Cube1,$N$15,$N$16,$N$17,$N$18,$N$14,$N$13,AC$2,AC$1,$B393)</f>
        <v>0</v>
      </c>
      <c r="AD393" s="401">
        <f>_xll.DBRW(Server&amp;Cube1,$N$15,$N$16,$N$17,$N$18,$N$14,$N$13,AD$2,AD$1,$B393)</f>
        <v>0</v>
      </c>
      <c r="AE393" s="386"/>
      <c r="AF393" s="274">
        <f>_xll.DBRW(Server&amp;Cube1,$N$15,$N$16,$N$17,$N$18,$N$14,$N$13,AF$2,AF$1,$B393)</f>
        <v>0</v>
      </c>
      <c r="AG393" s="274">
        <f>_xll.DBRW(Server&amp;Cube1,$N$15,$N$16,$N$17,$N$18,$N$14,$N$13,AG$2,AG$1,$B393)</f>
        <v>0</v>
      </c>
      <c r="AH393" s="401">
        <f>_xll.DBRW(Server&amp;Cube1,$N$15,$N$16,$N$17,$N$18,$N$14,$N$13,AH$2,AH$1,$B393)</f>
        <v>0</v>
      </c>
      <c r="AI393" s="386"/>
      <c r="AJ393" s="274">
        <f>_xll.DBRW(Server&amp;Cube1,$N$15,$N$16,$N$17,$N$18,$N$14,$N$13,AJ$2,AJ$1,$B393)</f>
        <v>0</v>
      </c>
      <c r="AK393" s="274">
        <f>_xll.DBRW(Server&amp;Cube1,$N$15,$N$16,$N$17,$N$18,$N$14,$N$13,AK$2,AK$1,$B393)</f>
        <v>0</v>
      </c>
      <c r="AL393" s="401">
        <f>_xll.DBRW(Server&amp;Cube1,$N$15,$N$16,$N$17,$N$18,$N$14,$N$13,AL$2,AL$1,$B393)</f>
        <v>0</v>
      </c>
      <c r="AM393" s="386"/>
      <c r="AN393" s="274">
        <f>_xll.DBRW(Server&amp;Cube1,$N$15,$N$16,$N$17,$N$18,$N$14,$N$13,AN$2,AN$1,$B393)</f>
        <v>0</v>
      </c>
      <c r="AO393" s="274">
        <f>_xll.DBRW(Server&amp;Cube1,$N$15,$N$16,$N$17,$N$18,$N$14,$N$13,AO$2,AO$1,$B393)</f>
        <v>0</v>
      </c>
      <c r="AP393" s="401">
        <f>_xll.DBRW(Server&amp;Cube1,$N$15,$N$16,$N$17,$N$18,$N$14,$N$13,AP$2,AP$1,$B393)</f>
        <v>0</v>
      </c>
      <c r="AQ393" s="386"/>
      <c r="AR393" s="274">
        <f>_xll.DBRW(Server&amp;Cube1,$N$15,$N$16,$N$17,$N$18,$N$14,$N$13,AR$2,AR$1,$B393)</f>
        <v>0</v>
      </c>
      <c r="AS393" s="274">
        <f>_xll.DBRW(Server&amp;Cube1,$N$15,$N$16,$N$17,$N$18,$N$14,$N$13,AS$2,AS$1,$B393)</f>
        <v>0</v>
      </c>
      <c r="AT393" s="401">
        <f>_xll.DBRW(Server&amp;Cube1,$N$15,$N$16,$N$17,$N$18,$N$14,$N$13,AT$2,AT$1,$B393)</f>
        <v>0</v>
      </c>
      <c r="AU393" s="386"/>
      <c r="AV393" s="274">
        <f>_xll.DBRW(Server&amp;Cube1,$N$15,$N$16,$N$17,$N$18,$N$14,$N$13,AV$2,AV$1,$B393)</f>
        <v>0</v>
      </c>
      <c r="AW393" s="274">
        <f>_xll.DBRW(Server&amp;Cube1,$N$15,$N$16,$N$17,$N$18,$N$14,$N$13,AW$2,AW$1,$B393)</f>
        <v>0</v>
      </c>
      <c r="AX393" s="401">
        <f>_xll.DBRW(Server&amp;Cube1,$N$15,$N$16,$N$17,$N$18,$N$14,$N$13,AX$2,AX$1,$B393)</f>
        <v>0</v>
      </c>
      <c r="AY393" s="386"/>
      <c r="AZ393" s="274">
        <f>_xll.DBRW(Server&amp;Cube1,$N$15,$N$16,$N$17,$N$18,$N$14,$N$13,AZ$2,AZ$1,$B393)</f>
        <v>0</v>
      </c>
      <c r="BA393" s="274">
        <f>_xll.DBRW(Server&amp;Cube1,$N$15,$N$16,$N$17,$N$18,$N$14,$N$13,BA$2,BA$1,$B393)</f>
        <v>0</v>
      </c>
      <c r="BB393" s="401">
        <f>_xll.DBRW(Server&amp;Cube1,$N$15,$N$16,$N$17,$N$18,$N$14,$N$13,BB$2,BB$1,$B393)</f>
        <v>0</v>
      </c>
      <c r="BC393" s="386"/>
      <c r="BD393" s="274">
        <f>_xll.DBRW(Server&amp;Cube1,$N$15,$N$16,$N$17,$N$18,$N$14,$N$13,BD$2,BD$1,$B393)</f>
        <v>0</v>
      </c>
      <c r="BE393" s="274">
        <f>_xll.DBRW(Server&amp;Cube1,$N$15,$N$16,$N$17,$N$18,$N$14,$N$13,BE$2,BE$1,$B393)</f>
        <v>0</v>
      </c>
      <c r="BF393" s="401">
        <f>_xll.DBRW(Server&amp;Cube1,$N$15,$N$16,$N$17,$N$18,$N$14,$N$13,BF$2,BF$1,$B393)</f>
        <v>0</v>
      </c>
      <c r="BG393" s="386"/>
      <c r="BH393" s="274">
        <f>_xll.DBRW(Server&amp;Cube1,$N$15,$N$16,$N$17,$N$18,$N$14,$N$13,BH$2,BH$1,$B393)</f>
        <v>0</v>
      </c>
      <c r="BI393" s="274">
        <f>_xll.DBRW(Server&amp;Cube1,$N$15,$N$16,$N$17,$N$18,$N$14,$N$13,BI$2,BI$1,$B393)</f>
        <v>0</v>
      </c>
      <c r="BJ393" s="401">
        <f>_xll.DBRW(Server&amp;Cube1,$N$15,$N$16,$N$17,$N$18,$N$14,$N$13,BJ$2,BJ$1,$B393)</f>
        <v>0</v>
      </c>
      <c r="BK393" s="386"/>
      <c r="BL393" s="274">
        <f>_xll.DBRW(Server&amp;Cube1,$N$15,$N$16,$N$17,$N$18,$N$14,$N$13,BL$2,BL$1,$B393)</f>
        <v>0</v>
      </c>
      <c r="BM393" s="274">
        <f>_xll.DBRW(Server&amp;Cube1,$N$15,$N$16,$N$17,$N$18,$N$14,$N$13,BM$2,BM$1,$B393)</f>
        <v>0</v>
      </c>
      <c r="BN393" s="401">
        <f>_xll.DBRW(Server&amp;Cube1,$N$15,$N$16,$N$17,$N$18,$N$14,$N$13,BN$2,BN$1,$B393)</f>
        <v>0</v>
      </c>
      <c r="BO393" s="386"/>
      <c r="BP393" s="274">
        <f>_xll.DBRW(Server&amp;Cube1,$N$15,$N$16,$N$17,$N$18,$N$14,$N$13,BP$2,BP$1,$B393)</f>
        <v>0</v>
      </c>
      <c r="BQ393" s="274">
        <f>_xll.DBRW(Server&amp;Cube1,$N$15,$N$16,$N$17,$N$18,$N$14,$N$13,BQ$2,BQ$1,$B393)</f>
        <v>0</v>
      </c>
      <c r="BR393" s="401">
        <f>_xll.DBRW(Server&amp;Cube1,$N$15,$N$16,$N$17,$N$18,$N$14,$N$13,BR$2,BR$1,$B393)</f>
        <v>0</v>
      </c>
      <c r="BS393" s="386"/>
      <c r="BT393" s="274">
        <f>_xll.DBRW(Server&amp;Cube1,$N$15,$N$16,$N$17,$N$18,$N$14,$N$13,BT$2,BT$1,$B393)</f>
        <v>0</v>
      </c>
      <c r="BU393" s="274">
        <f>_xll.DBRW(Server&amp;Cube1,$N$15,$N$16,$N$17,$N$18,$N$14,$N$13,BU$2,BU$1,$B393)</f>
        <v>0</v>
      </c>
      <c r="BV393" s="401">
        <f>_xll.DBRW(Server&amp;Cube1,$N$15,$N$16,$N$17,$N$18,$N$14,$N$13,BV$2,BV$1,$B393)</f>
        <v>0</v>
      </c>
      <c r="BW393" s="209"/>
      <c r="BX393" s="78"/>
      <c r="BY393" s="54"/>
      <c r="BZ393" s="361"/>
    </row>
    <row r="394" spans="1:78" s="34" customFormat="1" ht="9" hidden="1" customHeight="1" outlineLevel="1" x14ac:dyDescent="0.8">
      <c r="A394" s="135"/>
      <c r="B394" s="54"/>
      <c r="C394" s="135"/>
      <c r="D394" s="1"/>
      <c r="E394" s="1"/>
      <c r="H394" s="54"/>
      <c r="I394" s="1"/>
      <c r="J394" s="30"/>
      <c r="K394" s="99"/>
      <c r="L394" s="102"/>
      <c r="M394" s="295"/>
      <c r="N394" s="295"/>
      <c r="O394" s="456" t="str">
        <f>IF(COUNTIF($C393,"*Tot_km*"),$B$6,IF(COUNTIF($C393,"Tot_nb_vehicle"),$B$7,IF(COUNTIF($C393,"Rev_km"),$B$8,IF(COUNTIF($C393,"Tot_driv_hours"),$B$9,""))))</f>
        <v/>
      </c>
      <c r="P394" s="207"/>
      <c r="Q394" s="438"/>
      <c r="R394" s="439"/>
      <c r="S394" s="440"/>
      <c r="T394" s="441"/>
      <c r="U394" s="239"/>
      <c r="V394" s="438"/>
      <c r="W394" s="440"/>
      <c r="X394" s="441"/>
      <c r="Y394" s="209"/>
      <c r="Z394" s="386"/>
      <c r="AA394" s="99"/>
      <c r="AB394" s="438"/>
      <c r="AC394" s="438"/>
      <c r="AD394" s="442"/>
      <c r="AE394" s="386"/>
      <c r="AF394" s="438"/>
      <c r="AG394" s="438"/>
      <c r="AH394" s="442"/>
      <c r="AI394" s="386"/>
      <c r="AJ394" s="438"/>
      <c r="AK394" s="438"/>
      <c r="AL394" s="442"/>
      <c r="AM394" s="386"/>
      <c r="AN394" s="438"/>
      <c r="AO394" s="438"/>
      <c r="AP394" s="442"/>
      <c r="AQ394" s="386"/>
      <c r="AR394" s="438"/>
      <c r="AS394" s="438"/>
      <c r="AT394" s="442"/>
      <c r="AU394" s="386"/>
      <c r="AV394" s="438"/>
      <c r="AW394" s="438"/>
      <c r="AX394" s="442"/>
      <c r="AY394" s="386"/>
      <c r="AZ394" s="438"/>
      <c r="BA394" s="438"/>
      <c r="BB394" s="442"/>
      <c r="BC394" s="386"/>
      <c r="BD394" s="438"/>
      <c r="BE394" s="438"/>
      <c r="BF394" s="442"/>
      <c r="BG394" s="386"/>
      <c r="BH394" s="438"/>
      <c r="BI394" s="438"/>
      <c r="BJ394" s="442"/>
      <c r="BK394" s="386"/>
      <c r="BL394" s="438"/>
      <c r="BM394" s="438"/>
      <c r="BN394" s="442"/>
      <c r="BO394" s="386"/>
      <c r="BP394" s="438"/>
      <c r="BQ394" s="438"/>
      <c r="BR394" s="442"/>
      <c r="BS394" s="386"/>
      <c r="BT394" s="438"/>
      <c r="BU394" s="438"/>
      <c r="BV394" s="442"/>
      <c r="BW394" s="209"/>
      <c r="BX394" s="78"/>
      <c r="BY394" s="54"/>
      <c r="BZ394" s="361"/>
    </row>
    <row r="395" spans="1:78" s="34" customFormat="1" ht="18.75" hidden="1" customHeight="1" outlineLevel="1" x14ac:dyDescent="0.8">
      <c r="A395" s="135" t="str">
        <f>_xll.DBR(Server&amp;Cube2,$N$15,$N$13,$B395,IF($N$19="French","STR_VAR3","STR_VAR2"))</f>
        <v/>
      </c>
      <c r="B395" s="54" t="s">
        <v>106</v>
      </c>
      <c r="C395" s="135" t="str">
        <f>_xll.DBR(Server&amp;Cube2,$N$15,$N$13,$B395,"STR_VAR1")</f>
        <v/>
      </c>
      <c r="D395" s="1"/>
      <c r="E395" s="1"/>
      <c r="H395" s="54"/>
      <c r="I395" s="1"/>
      <c r="J395" s="30"/>
      <c r="K395" s="99"/>
      <c r="L395" s="102"/>
      <c r="M395" s="295" t="str">
        <f>_xll.DBRA(Server&amp;$B$32,$B395,$N$19)&amp;"  ---&gt;"</f>
        <v>Maintenance - Price Work Unit  ---&gt;</v>
      </c>
      <c r="N395" s="295"/>
      <c r="O395" s="412" t="str">
        <f>IF(A395="",_xll.DBRA(Server&amp;Context!$B$32,Context!$B$66,$N$19),_xll.DBRA(Server&amp;$B$32,$A395,$N$19))</f>
        <v>Not defined</v>
      </c>
      <c r="P395" s="207"/>
      <c r="Q395" s="278">
        <f>_xll.DBRW(Server&amp;Cube1,$N$15,$N$16,$N$17,$N$18,$N$14,$N$13,$N$11,$Q$1,$B395)</f>
        <v>0</v>
      </c>
      <c r="R395" s="279">
        <f>_xll.DBRW(Server&amp;Cube1,$N$15,$N$16,$N$17,$N$18,$N$14,$N$13,$R$2,$R$1,$B395)</f>
        <v>0</v>
      </c>
      <c r="S395" s="280">
        <f>Q395-R395</f>
        <v>0</v>
      </c>
      <c r="T395" s="281">
        <f>IF(R395&lt;&gt;0,IF(R395&gt;0,S395/R395,-S395/R395),0)</f>
        <v>0</v>
      </c>
      <c r="U395" s="239"/>
      <c r="V395" s="278">
        <f>_xll.DBRW(Server&amp;Cube1,$N$15,$N$16,$N$17,$N$18,$N$14,$N$13,$V$2,$V$1,$B395)</f>
        <v>0</v>
      </c>
      <c r="W395" s="280">
        <f>$Q395-V395</f>
        <v>0</v>
      </c>
      <c r="X395" s="281">
        <f>IF(V395&lt;&gt;0,IF(V395&gt;0,W395/V395,-W395/V395),0)</f>
        <v>0</v>
      </c>
      <c r="Y395" s="209"/>
      <c r="Z395" s="386"/>
      <c r="AA395" s="99"/>
      <c r="AB395" s="278">
        <f>_xll.DBRW(Server&amp;Cube1,$N$15,$N$16,$N$17,$N$18,$N$14,$N$13,AB$2,AB$1,$B395)</f>
        <v>0</v>
      </c>
      <c r="AC395" s="278">
        <f>_xll.DBRW(Server&amp;Cube1,$N$15,$N$16,$N$17,$N$18,$N$14,$N$13,AC$2,AC$1,$B395)</f>
        <v>0</v>
      </c>
      <c r="AD395" s="402">
        <f>_xll.DBRW(Server&amp;Cube1,$N$15,$N$16,$N$17,$N$18,$N$14,$N$13,AD$2,AD$1,$B395)</f>
        <v>0</v>
      </c>
      <c r="AE395" s="386"/>
      <c r="AF395" s="278">
        <f>_xll.DBRW(Server&amp;Cube1,$N$15,$N$16,$N$17,$N$18,$N$14,$N$13,AF$2,AF$1,$B395)</f>
        <v>0</v>
      </c>
      <c r="AG395" s="278">
        <f>_xll.DBRW(Server&amp;Cube1,$N$15,$N$16,$N$17,$N$18,$N$14,$N$13,AG$2,AG$1,$B395)</f>
        <v>0</v>
      </c>
      <c r="AH395" s="402">
        <f>_xll.DBRW(Server&amp;Cube1,$N$15,$N$16,$N$17,$N$18,$N$14,$N$13,AH$2,AH$1,$B395)</f>
        <v>0</v>
      </c>
      <c r="AI395" s="386"/>
      <c r="AJ395" s="278">
        <f>_xll.DBRW(Server&amp;Cube1,$N$15,$N$16,$N$17,$N$18,$N$14,$N$13,AJ$2,AJ$1,$B395)</f>
        <v>0</v>
      </c>
      <c r="AK395" s="278">
        <f>_xll.DBRW(Server&amp;Cube1,$N$15,$N$16,$N$17,$N$18,$N$14,$N$13,AK$2,AK$1,$B395)</f>
        <v>0</v>
      </c>
      <c r="AL395" s="402">
        <f>_xll.DBRW(Server&amp;Cube1,$N$15,$N$16,$N$17,$N$18,$N$14,$N$13,AL$2,AL$1,$B395)</f>
        <v>0</v>
      </c>
      <c r="AM395" s="386"/>
      <c r="AN395" s="278">
        <f>_xll.DBRW(Server&amp;Cube1,$N$15,$N$16,$N$17,$N$18,$N$14,$N$13,AN$2,AN$1,$B395)</f>
        <v>0</v>
      </c>
      <c r="AO395" s="278">
        <f>_xll.DBRW(Server&amp;Cube1,$N$15,$N$16,$N$17,$N$18,$N$14,$N$13,AO$2,AO$1,$B395)</f>
        <v>0</v>
      </c>
      <c r="AP395" s="402">
        <f>_xll.DBRW(Server&amp;Cube1,$N$15,$N$16,$N$17,$N$18,$N$14,$N$13,AP$2,AP$1,$B395)</f>
        <v>0</v>
      </c>
      <c r="AQ395" s="386"/>
      <c r="AR395" s="278">
        <f>_xll.DBRW(Server&amp;Cube1,$N$15,$N$16,$N$17,$N$18,$N$14,$N$13,AR$2,AR$1,$B395)</f>
        <v>0</v>
      </c>
      <c r="AS395" s="278">
        <f>_xll.DBRW(Server&amp;Cube1,$N$15,$N$16,$N$17,$N$18,$N$14,$N$13,AS$2,AS$1,$B395)</f>
        <v>0</v>
      </c>
      <c r="AT395" s="402">
        <f>_xll.DBRW(Server&amp;Cube1,$N$15,$N$16,$N$17,$N$18,$N$14,$N$13,AT$2,AT$1,$B395)</f>
        <v>0</v>
      </c>
      <c r="AU395" s="386"/>
      <c r="AV395" s="278">
        <f>_xll.DBRW(Server&amp;Cube1,$N$15,$N$16,$N$17,$N$18,$N$14,$N$13,AV$2,AV$1,$B395)</f>
        <v>0</v>
      </c>
      <c r="AW395" s="278">
        <f>_xll.DBRW(Server&amp;Cube1,$N$15,$N$16,$N$17,$N$18,$N$14,$N$13,AW$2,AW$1,$B395)</f>
        <v>0</v>
      </c>
      <c r="AX395" s="402">
        <f>_xll.DBRW(Server&amp;Cube1,$N$15,$N$16,$N$17,$N$18,$N$14,$N$13,AX$2,AX$1,$B395)</f>
        <v>0</v>
      </c>
      <c r="AY395" s="386"/>
      <c r="AZ395" s="278">
        <f>_xll.DBRW(Server&amp;Cube1,$N$15,$N$16,$N$17,$N$18,$N$14,$N$13,AZ$2,AZ$1,$B395)</f>
        <v>0</v>
      </c>
      <c r="BA395" s="278">
        <f>_xll.DBRW(Server&amp;Cube1,$N$15,$N$16,$N$17,$N$18,$N$14,$N$13,BA$2,BA$1,$B395)</f>
        <v>0</v>
      </c>
      <c r="BB395" s="402">
        <f>_xll.DBRW(Server&amp;Cube1,$N$15,$N$16,$N$17,$N$18,$N$14,$N$13,BB$2,BB$1,$B395)</f>
        <v>0</v>
      </c>
      <c r="BC395" s="386"/>
      <c r="BD395" s="278">
        <f>_xll.DBRW(Server&amp;Cube1,$N$15,$N$16,$N$17,$N$18,$N$14,$N$13,BD$2,BD$1,$B395)</f>
        <v>0</v>
      </c>
      <c r="BE395" s="278">
        <f>_xll.DBRW(Server&amp;Cube1,$N$15,$N$16,$N$17,$N$18,$N$14,$N$13,BE$2,BE$1,$B395)</f>
        <v>0</v>
      </c>
      <c r="BF395" s="402">
        <f>_xll.DBRW(Server&amp;Cube1,$N$15,$N$16,$N$17,$N$18,$N$14,$N$13,BF$2,BF$1,$B395)</f>
        <v>0</v>
      </c>
      <c r="BG395" s="386"/>
      <c r="BH395" s="278">
        <f>_xll.DBRW(Server&amp;Cube1,$N$15,$N$16,$N$17,$N$18,$N$14,$N$13,BH$2,BH$1,$B395)</f>
        <v>0</v>
      </c>
      <c r="BI395" s="278">
        <f>_xll.DBRW(Server&amp;Cube1,$N$15,$N$16,$N$17,$N$18,$N$14,$N$13,BI$2,BI$1,$B395)</f>
        <v>0</v>
      </c>
      <c r="BJ395" s="402">
        <f>_xll.DBRW(Server&amp;Cube1,$N$15,$N$16,$N$17,$N$18,$N$14,$N$13,BJ$2,BJ$1,$B395)</f>
        <v>0</v>
      </c>
      <c r="BK395" s="386"/>
      <c r="BL395" s="278">
        <f>_xll.DBRW(Server&amp;Cube1,$N$15,$N$16,$N$17,$N$18,$N$14,$N$13,BL$2,BL$1,$B395)</f>
        <v>0</v>
      </c>
      <c r="BM395" s="278">
        <f>_xll.DBRW(Server&amp;Cube1,$N$15,$N$16,$N$17,$N$18,$N$14,$N$13,BM$2,BM$1,$B395)</f>
        <v>0</v>
      </c>
      <c r="BN395" s="402">
        <f>_xll.DBRW(Server&amp;Cube1,$N$15,$N$16,$N$17,$N$18,$N$14,$N$13,BN$2,BN$1,$B395)</f>
        <v>0</v>
      </c>
      <c r="BO395" s="386"/>
      <c r="BP395" s="278">
        <f>_xll.DBRW(Server&amp;Cube1,$N$15,$N$16,$N$17,$N$18,$N$14,$N$13,BP$2,BP$1,$B395)</f>
        <v>0</v>
      </c>
      <c r="BQ395" s="278">
        <f>_xll.DBRW(Server&amp;Cube1,$N$15,$N$16,$N$17,$N$18,$N$14,$N$13,BQ$2,BQ$1,$B395)</f>
        <v>0</v>
      </c>
      <c r="BR395" s="402">
        <f>_xll.DBRW(Server&amp;Cube1,$N$15,$N$16,$N$17,$N$18,$N$14,$N$13,BR$2,BR$1,$B395)</f>
        <v>0</v>
      </c>
      <c r="BS395" s="386"/>
      <c r="BT395" s="278">
        <f>_xll.DBRW(Server&amp;Cube1,$N$15,$N$16,$N$17,$N$18,$N$14,$N$13,BT$2,BT$1,$B395)</f>
        <v>0</v>
      </c>
      <c r="BU395" s="278">
        <f>_xll.DBRW(Server&amp;Cube1,$N$15,$N$16,$N$17,$N$18,$N$14,$N$13,BU$2,BU$1,$B395)</f>
        <v>0</v>
      </c>
      <c r="BV395" s="402">
        <f>_xll.DBRW(Server&amp;Cube1,$N$15,$N$16,$N$17,$N$18,$N$14,$N$13,BV$2,BV$1,$B395)</f>
        <v>0</v>
      </c>
      <c r="BW395" s="209"/>
      <c r="BX395" s="78"/>
      <c r="BY395" s="54"/>
    </row>
    <row r="396" spans="1:78" s="34" customFormat="1" ht="9" hidden="1" customHeight="1" outlineLevel="1" x14ac:dyDescent="0.8">
      <c r="A396" s="135"/>
      <c r="B396" s="54"/>
      <c r="C396" s="135"/>
      <c r="D396" s="1"/>
      <c r="E396" s="1"/>
      <c r="H396" s="54"/>
      <c r="I396" s="1"/>
      <c r="J396" s="30"/>
      <c r="K396" s="99"/>
      <c r="L396" s="102"/>
      <c r="M396" s="295"/>
      <c r="N396" s="295"/>
      <c r="O396" s="456" t="str">
        <f>IF(COUNTIF($C395,"*Tot_km*"),$B$6,IF(COUNTIF($C395,"Tot_nb_vehicle"),$B$7,IF(COUNTIF($C395,"Rev_km"),$B$8,IF(COUNTIF($C395,"Tot_driv_hours"),$B$9,""))))</f>
        <v/>
      </c>
      <c r="P396" s="443"/>
      <c r="Q396" s="444"/>
      <c r="R396" s="444"/>
      <c r="S396" s="440"/>
      <c r="T396" s="445"/>
      <c r="U396" s="446"/>
      <c r="V396" s="444"/>
      <c r="W396" s="440"/>
      <c r="X396" s="445"/>
      <c r="Y396" s="209"/>
      <c r="Z396" s="386"/>
      <c r="AA396" s="99"/>
      <c r="AB396" s="444"/>
      <c r="AC396" s="444"/>
      <c r="AD396" s="444"/>
      <c r="AE396" s="386"/>
      <c r="AF396" s="444"/>
      <c r="AG396" s="444"/>
      <c r="AH396" s="444"/>
      <c r="AI396" s="386"/>
      <c r="AJ396" s="444"/>
      <c r="AK396" s="444"/>
      <c r="AL396" s="444"/>
      <c r="AM396" s="386"/>
      <c r="AN396" s="444"/>
      <c r="AO396" s="444"/>
      <c r="AP396" s="444"/>
      <c r="AQ396" s="386"/>
      <c r="AR396" s="444"/>
      <c r="AS396" s="444"/>
      <c r="AT396" s="444"/>
      <c r="AU396" s="386"/>
      <c r="AV396" s="444"/>
      <c r="AW396" s="444"/>
      <c r="AX396" s="444"/>
      <c r="AY396" s="386"/>
      <c r="AZ396" s="444"/>
      <c r="BA396" s="444"/>
      <c r="BB396" s="444"/>
      <c r="BC396" s="386"/>
      <c r="BD396" s="444"/>
      <c r="BE396" s="444"/>
      <c r="BF396" s="444"/>
      <c r="BG396" s="386"/>
      <c r="BH396" s="444"/>
      <c r="BI396" s="444"/>
      <c r="BJ396" s="444"/>
      <c r="BK396" s="386"/>
      <c r="BL396" s="444"/>
      <c r="BM396" s="444"/>
      <c r="BN396" s="444"/>
      <c r="BO396" s="386"/>
      <c r="BP396" s="444"/>
      <c r="BQ396" s="444"/>
      <c r="BR396" s="444"/>
      <c r="BS396" s="386"/>
      <c r="BT396" s="444"/>
      <c r="BU396" s="444"/>
      <c r="BV396" s="444"/>
      <c r="BW396" s="209"/>
      <c r="BX396" s="78"/>
      <c r="BY396" s="54"/>
    </row>
    <row r="397" spans="1:78" s="34" customFormat="1" ht="23.25" customHeight="1" collapsed="1" x14ac:dyDescent="0.75">
      <c r="A397" s="56"/>
      <c r="B397" s="368"/>
      <c r="C397" s="9"/>
      <c r="D397" s="1"/>
      <c r="E397" s="1"/>
      <c r="H397" s="368"/>
      <c r="I397" s="94"/>
      <c r="J397" s="57"/>
      <c r="K397" s="103"/>
      <c r="L397" s="309"/>
      <c r="M397" s="155"/>
      <c r="N397" s="155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5"/>
      <c r="Z397" s="104"/>
      <c r="AA397" s="103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5"/>
      <c r="BX397" s="28"/>
    </row>
    <row r="398" spans="1:78" s="34" customFormat="1" ht="30" hidden="1" customHeight="1" outlineLevel="1" x14ac:dyDescent="0.75">
      <c r="A398" t="s">
        <v>297</v>
      </c>
      <c r="B398" t="str">
        <f>$N$12&amp;" N"</f>
        <v>Actual N</v>
      </c>
      <c r="C398" t="str">
        <f>$N$20&amp;" "&amp;$N$21</f>
        <v>Budget V current N</v>
      </c>
      <c r="D398" t="str">
        <f>$O$20&amp;" "&amp;$O$21</f>
        <v>Actual N-1</v>
      </c>
      <c r="E398" s="1"/>
      <c r="H398" s="368"/>
      <c r="I398" s="94"/>
      <c r="J398" s="57"/>
      <c r="K398" s="154"/>
      <c r="L398" s="309"/>
      <c r="M398" s="518" t="str">
        <f>M381</f>
        <v>M1 - Maintenance Cost per cost work unit</v>
      </c>
      <c r="N398" s="518"/>
      <c r="O398" s="518"/>
      <c r="P398" s="518"/>
      <c r="Q398" s="518"/>
      <c r="R398" s="518"/>
      <c r="S398" s="518"/>
      <c r="T398" s="518"/>
      <c r="U398" s="104"/>
      <c r="V398" s="104"/>
      <c r="W398" s="104"/>
      <c r="X398" s="104"/>
      <c r="Y398" s="105"/>
      <c r="Z398" s="104"/>
      <c r="AA398" s="103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5"/>
      <c r="BX398" s="28"/>
    </row>
    <row r="399" spans="1:78" s="34" customFormat="1" ht="17.25" hidden="1" customHeight="1" outlineLevel="1" x14ac:dyDescent="0.75">
      <c r="A399" s="383" t="str">
        <f>IF($N$19="English","J","J")</f>
        <v>J</v>
      </c>
      <c r="B399" s="410" t="e">
        <f>IF(ROUND(AB$381,6),ROUND(AB$381,6),NA())</f>
        <v>#N/A</v>
      </c>
      <c r="C399" s="410" t="e">
        <f>IF(ROUND(AC$381,6),ROUND(AC$381,6),NA())</f>
        <v>#N/A</v>
      </c>
      <c r="D399" s="410" t="e">
        <f>IF(ROUND(AD$381,6),ROUND(AD$381,6),NA())</f>
        <v>#N/A</v>
      </c>
      <c r="E399" s="1" t="s">
        <v>279</v>
      </c>
      <c r="H399" s="368"/>
      <c r="I399" s="94"/>
      <c r="J399" s="57"/>
      <c r="K399" s="154"/>
      <c r="L399" s="309"/>
      <c r="M399" s="155"/>
      <c r="N399" s="155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5"/>
      <c r="Z399" s="104"/>
      <c r="AA399" s="103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5"/>
      <c r="BX399" s="28"/>
    </row>
    <row r="400" spans="1:78" s="34" customFormat="1" ht="17.25" hidden="1" customHeight="1" outlineLevel="1" x14ac:dyDescent="0.75">
      <c r="A400" s="383" t="s">
        <v>213</v>
      </c>
      <c r="B400" s="410" t="e">
        <f>IF(ROUND(AF$381,6),ROUND(AF$381,6),NA())</f>
        <v>#N/A</v>
      </c>
      <c r="C400" s="410" t="e">
        <f>IF(ROUND(AG$381,6),ROUND(AG$381,6),NA())</f>
        <v>#N/A</v>
      </c>
      <c r="D400" s="410" t="e">
        <f>IF(ROUND(AH$381,6),ROUND(AH$381,6),NA())</f>
        <v>#N/A</v>
      </c>
      <c r="E400" s="1" t="s">
        <v>280</v>
      </c>
      <c r="H400" s="368"/>
      <c r="I400" s="94"/>
      <c r="J400" s="57"/>
      <c r="K400" s="154"/>
      <c r="L400" s="309"/>
      <c r="M400" s="155"/>
      <c r="N400" s="155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5"/>
      <c r="Z400" s="104"/>
      <c r="AA400" s="103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5"/>
      <c r="BX400" s="28"/>
    </row>
    <row r="401" spans="1:76" s="34" customFormat="1" ht="17.25" hidden="1" customHeight="1" outlineLevel="1" x14ac:dyDescent="0.75">
      <c r="A401" s="383" t="s">
        <v>215</v>
      </c>
      <c r="B401" s="410" t="e">
        <f>IF(ROUND(AJ$381,6),ROUND(AJ$381,6),NA())</f>
        <v>#N/A</v>
      </c>
      <c r="C401" s="410" t="e">
        <f>IF(ROUND(AK$381,6),ROUND(AK$381,6),NA())</f>
        <v>#N/A</v>
      </c>
      <c r="D401" s="410" t="e">
        <f>IF(ROUND(AL$381,6),ROUND(AL$381,6),NA())</f>
        <v>#N/A</v>
      </c>
      <c r="E401" s="1" t="s">
        <v>281</v>
      </c>
      <c r="H401" s="368"/>
      <c r="I401" s="94"/>
      <c r="J401" s="57"/>
      <c r="K401" s="154"/>
      <c r="L401" s="309"/>
      <c r="M401" s="155"/>
      <c r="N401" s="155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5"/>
      <c r="Z401" s="104"/>
      <c r="AA401" s="103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5"/>
      <c r="BX401" s="28"/>
    </row>
    <row r="402" spans="1:76" s="34" customFormat="1" ht="17.25" hidden="1" customHeight="1" outlineLevel="1" x14ac:dyDescent="0.75">
      <c r="A402" s="383" t="s">
        <v>42</v>
      </c>
      <c r="B402" s="410" t="e">
        <f>IF(ROUND(AN$381,6),ROUND(AN$381,6),NA())</f>
        <v>#N/A</v>
      </c>
      <c r="C402" s="410" t="e">
        <f>IF(ROUND(AO$381,6),ROUND(AO$381,6),NA())</f>
        <v>#N/A</v>
      </c>
      <c r="D402" s="410" t="e">
        <f>IF(ROUND(AP$381,6),ROUND(AP$381,6),NA())</f>
        <v>#N/A</v>
      </c>
      <c r="E402" s="1" t="s">
        <v>282</v>
      </c>
      <c r="H402" s="368"/>
      <c r="I402" s="94"/>
      <c r="J402" s="57"/>
      <c r="K402" s="154"/>
      <c r="L402" s="309"/>
      <c r="M402" s="155"/>
      <c r="N402" s="155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5"/>
      <c r="Z402" s="104"/>
      <c r="AA402" s="103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5"/>
      <c r="BX402" s="28"/>
    </row>
    <row r="403" spans="1:76" s="34" customFormat="1" ht="17.25" hidden="1" customHeight="1" outlineLevel="1" x14ac:dyDescent="0.75">
      <c r="A403" s="383" t="s">
        <v>215</v>
      </c>
      <c r="B403" s="410" t="e">
        <f>IF(ROUND(AR$381,6),ROUND(AR$381,6),NA())</f>
        <v>#N/A</v>
      </c>
      <c r="C403" s="410" t="e">
        <f>IF(ROUND(AS$381,6),ROUND(AS$381,6),NA())</f>
        <v>#N/A</v>
      </c>
      <c r="D403" s="410" t="e">
        <f>IF(ROUND(AT$381,6),ROUND(AT$381,6),NA())</f>
        <v>#N/A</v>
      </c>
      <c r="E403" s="1" t="s">
        <v>283</v>
      </c>
      <c r="H403" s="368"/>
      <c r="I403" s="94"/>
      <c r="J403" s="57"/>
      <c r="K403" s="154"/>
      <c r="L403" s="309"/>
      <c r="M403" s="155"/>
      <c r="N403" s="155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5"/>
      <c r="Z403" s="104"/>
      <c r="AA403" s="103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5"/>
      <c r="BX403" s="28"/>
    </row>
    <row r="404" spans="1:76" s="34" customFormat="1" ht="17.25" hidden="1" customHeight="1" outlineLevel="1" x14ac:dyDescent="0.75">
      <c r="A404" s="383" t="s">
        <v>263</v>
      </c>
      <c r="B404" s="410" t="e">
        <f>IF(ROUND(AV$381,6),ROUND(AV$381,6),NA())</f>
        <v>#N/A</v>
      </c>
      <c r="C404" s="410" t="e">
        <f>IF(ROUND(AW$381,6),ROUND(AW$381,6),NA())</f>
        <v>#N/A</v>
      </c>
      <c r="D404" s="410" t="e">
        <f>IF(ROUND(AX$381,6),ROUND(AX$381,6),NA())</f>
        <v>#N/A</v>
      </c>
      <c r="E404" s="1" t="s">
        <v>284</v>
      </c>
      <c r="H404" s="368"/>
      <c r="I404" s="94"/>
      <c r="J404" s="57"/>
      <c r="K404" s="154"/>
      <c r="L404" s="309"/>
      <c r="M404" s="155"/>
      <c r="N404" s="155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5"/>
      <c r="Z404" s="104"/>
      <c r="AA404" s="103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5"/>
      <c r="BX404" s="28"/>
    </row>
    <row r="405" spans="1:76" s="34" customFormat="1" ht="17.25" hidden="1" customHeight="1" outlineLevel="1" x14ac:dyDescent="0.75">
      <c r="A405" s="383" t="s">
        <v>263</v>
      </c>
      <c r="B405" s="410" t="e">
        <f>IF(ROUND(AZ$381,6),ROUND(AZ$381,6),NA())</f>
        <v>#N/A</v>
      </c>
      <c r="C405" s="410" t="e">
        <f>IF(ROUND(BA$381,6),ROUND(BA$381,6),NA())</f>
        <v>#N/A</v>
      </c>
      <c r="D405" s="410" t="e">
        <f>IF(ROUND(BB$381,6),ROUND(BB$381,6),NA())</f>
        <v>#N/A</v>
      </c>
      <c r="E405" s="1" t="s">
        <v>285</v>
      </c>
      <c r="H405" s="368"/>
      <c r="I405" s="94"/>
      <c r="J405" s="57"/>
      <c r="K405" s="154"/>
      <c r="L405" s="309"/>
      <c r="M405" s="155"/>
      <c r="N405" s="155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5"/>
      <c r="Z405" s="104"/>
      <c r="AA405" s="103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5"/>
      <c r="BX405" s="28"/>
    </row>
    <row r="406" spans="1:76" s="34" customFormat="1" ht="17.25" hidden="1" customHeight="1" outlineLevel="1" x14ac:dyDescent="0.75">
      <c r="A406" s="383" t="s">
        <v>42</v>
      </c>
      <c r="B406" s="410" t="e">
        <f>IF(ROUND(BD$381,6),ROUND(BD$381,6),NA())</f>
        <v>#N/A</v>
      </c>
      <c r="C406" s="410" t="e">
        <f>IF(ROUND(BE$381,6),ROUND(BE$381,6),NA())</f>
        <v>#N/A</v>
      </c>
      <c r="D406" s="410" t="e">
        <f>IF(ROUND(BF$381,6),ROUND(BF$381,6),NA())</f>
        <v>#N/A</v>
      </c>
      <c r="E406" s="1" t="s">
        <v>286</v>
      </c>
      <c r="H406" s="368"/>
      <c r="I406" s="94"/>
      <c r="J406" s="57"/>
      <c r="K406" s="154"/>
      <c r="L406" s="309"/>
      <c r="M406" s="155"/>
      <c r="N406" s="155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5"/>
      <c r="Z406" s="104"/>
      <c r="AA406" s="103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5"/>
      <c r="BX406" s="28"/>
    </row>
    <row r="407" spans="1:76" s="34" customFormat="1" ht="17.25" hidden="1" customHeight="1" outlineLevel="1" x14ac:dyDescent="0.75">
      <c r="A407" s="383" t="s">
        <v>264</v>
      </c>
      <c r="B407" s="410" t="e">
        <f>IF(ROUND(BH$381,6),ROUND(BH$381,6),NA())</f>
        <v>#N/A</v>
      </c>
      <c r="C407" s="410" t="e">
        <f>IF(ROUND(BI$381,6),ROUND(BI$381,6),NA())</f>
        <v>#N/A</v>
      </c>
      <c r="D407" s="410" t="e">
        <f>IF(ROUND(BJ$381,6),ROUND(BJ$381,6),NA())</f>
        <v>#N/A</v>
      </c>
      <c r="E407" s="1" t="s">
        <v>287</v>
      </c>
      <c r="H407" s="368"/>
      <c r="I407" s="94"/>
      <c r="J407" s="57"/>
      <c r="K407" s="154"/>
      <c r="L407" s="309"/>
      <c r="M407" s="155"/>
      <c r="N407" s="155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5"/>
      <c r="Z407" s="104"/>
      <c r="AA407" s="103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5"/>
      <c r="BX407" s="28"/>
    </row>
    <row r="408" spans="1:76" s="34" customFormat="1" ht="17.25" hidden="1" customHeight="1" outlineLevel="1" x14ac:dyDescent="0.75">
      <c r="A408" s="383" t="s">
        <v>212</v>
      </c>
      <c r="B408" s="410" t="e">
        <f>IF(ROUND(BL$381,6),ROUND(BL$381,6),NA())</f>
        <v>#N/A</v>
      </c>
      <c r="C408" s="410" t="e">
        <f>IF(ROUND(BM$381,6),ROUND(BM$381,6),NA())</f>
        <v>#N/A</v>
      </c>
      <c r="D408" s="410" t="e">
        <f>IF(ROUND(BN$381,6),ROUND(BN$381,6),NA())</f>
        <v>#N/A</v>
      </c>
      <c r="E408" s="1" t="s">
        <v>288</v>
      </c>
      <c r="H408" s="368"/>
      <c r="I408" s="94"/>
      <c r="J408" s="57"/>
      <c r="K408" s="154"/>
      <c r="L408" s="309"/>
      <c r="M408" s="155"/>
      <c r="N408" s="155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5"/>
      <c r="Z408" s="104"/>
      <c r="AA408" s="103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5"/>
      <c r="BX408" s="28"/>
    </row>
    <row r="409" spans="1:76" s="34" customFormat="1" ht="17.25" hidden="1" customHeight="1" outlineLevel="1" x14ac:dyDescent="0.75">
      <c r="A409" s="383" t="s">
        <v>257</v>
      </c>
      <c r="B409" s="410" t="e">
        <f>IF(ROUND(BP$381,6),ROUND(BP$381,6),NA())</f>
        <v>#N/A</v>
      </c>
      <c r="C409" s="410" t="e">
        <f>IF(ROUND(BQ$381,6),ROUND(BQ$381,6),NA())</f>
        <v>#N/A</v>
      </c>
      <c r="D409" s="410" t="e">
        <f>IF(ROUND(BR$381,6),ROUND(BR$381,6),NA())</f>
        <v>#N/A</v>
      </c>
      <c r="E409" s="1" t="s">
        <v>289</v>
      </c>
      <c r="H409" s="368"/>
      <c r="I409" s="94"/>
      <c r="J409" s="57"/>
      <c r="K409" s="154"/>
      <c r="L409" s="309"/>
      <c r="M409" s="155"/>
      <c r="N409" s="155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5"/>
      <c r="Z409" s="104"/>
      <c r="AA409" s="103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5"/>
      <c r="BX409" s="28"/>
    </row>
    <row r="410" spans="1:76" s="34" customFormat="1" ht="17.25" hidden="1" customHeight="1" outlineLevel="1" x14ac:dyDescent="0.75">
      <c r="A410" s="383" t="s">
        <v>216</v>
      </c>
      <c r="B410" s="410" t="e">
        <f>IF(ROUND(BT$381,6),ROUND(BT$381,6),NA())</f>
        <v>#N/A</v>
      </c>
      <c r="C410" s="410" t="e">
        <f>IF(ROUND(BU$381,6),ROUND(BU$381,6),NA())</f>
        <v>#N/A</v>
      </c>
      <c r="D410" s="410" t="e">
        <f>IF(ROUND(BV$381,6),ROUND(BV$381,6),NA())</f>
        <v>#N/A</v>
      </c>
      <c r="E410" s="1" t="s">
        <v>290</v>
      </c>
      <c r="H410" s="368"/>
      <c r="I410" s="94"/>
      <c r="J410" s="57"/>
      <c r="K410" s="154"/>
      <c r="L410" s="309"/>
      <c r="M410" s="155"/>
      <c r="N410" s="155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5"/>
      <c r="Z410" s="104"/>
      <c r="AA410" s="103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5"/>
      <c r="BX410" s="28"/>
    </row>
    <row r="411" spans="1:76" s="34" customFormat="1" ht="17.25" hidden="1" customHeight="1" outlineLevel="1" x14ac:dyDescent="0.75">
      <c r="A411" s="56"/>
      <c r="B411" s="368"/>
      <c r="C411" s="9"/>
      <c r="D411" s="1"/>
      <c r="E411" s="1"/>
      <c r="H411" s="368"/>
      <c r="I411" s="94"/>
      <c r="J411" s="57"/>
      <c r="K411" s="154"/>
      <c r="L411" s="309"/>
      <c r="M411" s="155"/>
      <c r="N411" s="155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5"/>
      <c r="Z411" s="104"/>
      <c r="AA411" s="103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5"/>
      <c r="BX411" s="28"/>
    </row>
    <row r="412" spans="1:76" s="34" customFormat="1" ht="17.25" hidden="1" customHeight="1" outlineLevel="1" x14ac:dyDescent="0.75">
      <c r="A412" t="s">
        <v>298</v>
      </c>
      <c r="B412" t="str">
        <f>$N$12&amp;" N"</f>
        <v>Actual N</v>
      </c>
      <c r="C412" t="str">
        <f>$N$20&amp;" "&amp;$N$21</f>
        <v>Budget V current N</v>
      </c>
      <c r="D412" t="str">
        <f>$O$20&amp;" "&amp;$O$21</f>
        <v>Actual N-1</v>
      </c>
      <c r="E412" s="1"/>
      <c r="H412" s="368"/>
      <c r="I412" s="94"/>
      <c r="J412" s="57"/>
      <c r="K412" s="154"/>
      <c r="L412" s="309"/>
      <c r="M412" s="155"/>
      <c r="N412" s="155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5"/>
      <c r="Z412" s="104"/>
      <c r="AA412" s="103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5"/>
      <c r="BX412" s="28"/>
    </row>
    <row r="413" spans="1:76" s="34" customFormat="1" ht="17.25" hidden="1" customHeight="1" outlineLevel="1" x14ac:dyDescent="0.75">
      <c r="A413" s="383" t="str">
        <f>IF($N$19="English","J","J")</f>
        <v>J</v>
      </c>
      <c r="B413" s="410" t="e">
        <f>IF(ROUND(AB$382,6),ROUND(AB$382,6),NA())</f>
        <v>#N/A</v>
      </c>
      <c r="C413" s="410" t="e">
        <f>IF(ROUND(AC$382,6),ROUND(AC$382,6),NA())</f>
        <v>#N/A</v>
      </c>
      <c r="D413" s="410" t="e">
        <f>IF(ROUND(AD$382,6),ROUND(AD$382,6),NA())</f>
        <v>#N/A</v>
      </c>
      <c r="E413" s="1" t="s">
        <v>279</v>
      </c>
      <c r="H413" s="368"/>
      <c r="I413" s="94"/>
      <c r="J413" s="57"/>
      <c r="K413" s="154"/>
      <c r="L413" s="309"/>
      <c r="M413" s="155"/>
      <c r="N413" s="155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5"/>
      <c r="Z413" s="104"/>
      <c r="AA413" s="103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5"/>
      <c r="BX413" s="28"/>
    </row>
    <row r="414" spans="1:76" s="34" customFormat="1" ht="17.25" hidden="1" customHeight="1" outlineLevel="1" x14ac:dyDescent="0.75">
      <c r="A414" s="383" t="s">
        <v>213</v>
      </c>
      <c r="B414" s="410" t="e">
        <f>IF(ROUND(AF$382,6),ROUND(AF$382,6),NA())</f>
        <v>#N/A</v>
      </c>
      <c r="C414" s="410" t="e">
        <f>IF(ROUND(AG$382,6),ROUND(AG$382,6),NA())</f>
        <v>#N/A</v>
      </c>
      <c r="D414" s="410" t="e">
        <f>IF(ROUND(AH$382,6),ROUND(AH$382,6),NA())</f>
        <v>#N/A</v>
      </c>
      <c r="E414" s="1" t="s">
        <v>280</v>
      </c>
      <c r="H414" s="368"/>
      <c r="I414" s="94"/>
      <c r="J414" s="57"/>
      <c r="K414" s="154"/>
      <c r="L414" s="309"/>
      <c r="M414" s="155"/>
      <c r="N414" s="155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5"/>
      <c r="Z414" s="104"/>
      <c r="AA414" s="103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5"/>
      <c r="BX414" s="28"/>
    </row>
    <row r="415" spans="1:76" s="34" customFormat="1" ht="17.25" hidden="1" customHeight="1" outlineLevel="1" x14ac:dyDescent="0.75">
      <c r="A415" s="383" t="s">
        <v>215</v>
      </c>
      <c r="B415" s="410" t="e">
        <f>IF(ROUND(AJ$382,6),ROUND(AJ$382,6),NA())</f>
        <v>#N/A</v>
      </c>
      <c r="C415" s="410" t="e">
        <f>IF(ROUND(AK$382,6),ROUND(AK$382,6),NA())</f>
        <v>#N/A</v>
      </c>
      <c r="D415" s="410" t="e">
        <f>IF(ROUND(AL$382,6),ROUND(AL$382,6),NA())</f>
        <v>#N/A</v>
      </c>
      <c r="E415" s="1" t="s">
        <v>281</v>
      </c>
      <c r="H415" s="368"/>
      <c r="I415" s="94"/>
      <c r="J415" s="57"/>
      <c r="K415" s="154"/>
      <c r="L415" s="309"/>
      <c r="M415" s="155"/>
      <c r="N415" s="155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5"/>
      <c r="Z415" s="104"/>
      <c r="AA415" s="103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5"/>
      <c r="BX415" s="28"/>
    </row>
    <row r="416" spans="1:76" s="34" customFormat="1" ht="17.25" hidden="1" customHeight="1" outlineLevel="1" x14ac:dyDescent="0.75">
      <c r="A416" s="383" t="s">
        <v>42</v>
      </c>
      <c r="B416" s="410" t="e">
        <f>IF(ROUND(AN$382,6),ROUND(AN$382,6),NA())</f>
        <v>#N/A</v>
      </c>
      <c r="C416" s="410" t="e">
        <f>IF(ROUND(AO$382,6),ROUND(AO$382,6),NA())</f>
        <v>#N/A</v>
      </c>
      <c r="D416" s="410" t="e">
        <f>IF(ROUND(AP$382,6),ROUND(AP$382,6),NA())</f>
        <v>#N/A</v>
      </c>
      <c r="E416" s="1" t="s">
        <v>282</v>
      </c>
      <c r="H416" s="368"/>
      <c r="I416" s="94"/>
      <c r="J416" s="57"/>
      <c r="K416" s="154"/>
      <c r="L416" s="309"/>
      <c r="M416" s="155"/>
      <c r="N416" s="155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5"/>
      <c r="Z416" s="104"/>
      <c r="AA416" s="103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5"/>
      <c r="BX416" s="28"/>
    </row>
    <row r="417" spans="1:76" s="34" customFormat="1" ht="17.25" hidden="1" customHeight="1" outlineLevel="1" x14ac:dyDescent="0.75">
      <c r="A417" s="383" t="s">
        <v>215</v>
      </c>
      <c r="B417" s="410" t="e">
        <f>IF(ROUND(AR$382,6),ROUND(AR$382,6),NA())</f>
        <v>#N/A</v>
      </c>
      <c r="C417" s="410" t="e">
        <f>IF(ROUND(AS$382,6),ROUND(AS$382,6),NA())</f>
        <v>#N/A</v>
      </c>
      <c r="D417" s="410" t="e">
        <f>IF(ROUND(AT$382,6),ROUND(AT$382,6),NA())</f>
        <v>#N/A</v>
      </c>
      <c r="E417" s="1" t="s">
        <v>283</v>
      </c>
      <c r="H417" s="368"/>
      <c r="I417" s="94"/>
      <c r="J417" s="57"/>
      <c r="K417" s="154"/>
      <c r="L417" s="309"/>
      <c r="M417" s="155"/>
      <c r="N417" s="155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5"/>
      <c r="Z417" s="104"/>
      <c r="AA417" s="103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5"/>
      <c r="BX417" s="28"/>
    </row>
    <row r="418" spans="1:76" s="34" customFormat="1" ht="17.25" hidden="1" customHeight="1" outlineLevel="1" x14ac:dyDescent="0.75">
      <c r="A418" s="383" t="s">
        <v>263</v>
      </c>
      <c r="B418" s="410" t="e">
        <f>IF(ROUND(AV$382,6),ROUND(AV$382,6),NA())</f>
        <v>#N/A</v>
      </c>
      <c r="C418" s="410" t="e">
        <f>IF(ROUND(AW$382,6),ROUND(AW$382,6),NA())</f>
        <v>#N/A</v>
      </c>
      <c r="D418" s="410" t="e">
        <f>IF(ROUND(AX$382,6),ROUND(AX$382,6),NA())</f>
        <v>#N/A</v>
      </c>
      <c r="E418" s="1" t="s">
        <v>284</v>
      </c>
      <c r="H418" s="368"/>
      <c r="I418" s="94"/>
      <c r="J418" s="57"/>
      <c r="K418" s="154"/>
      <c r="L418" s="309"/>
      <c r="M418" s="155"/>
      <c r="N418" s="155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5"/>
      <c r="Z418" s="104"/>
      <c r="AA418" s="103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5"/>
      <c r="BX418" s="28"/>
    </row>
    <row r="419" spans="1:76" s="34" customFormat="1" ht="30" hidden="1" customHeight="1" outlineLevel="1" x14ac:dyDescent="0.75">
      <c r="A419" s="383" t="s">
        <v>263</v>
      </c>
      <c r="B419" s="410" t="e">
        <f>IF(ROUND(AZ$382,6),ROUND(AZ$382,6),NA())</f>
        <v>#N/A</v>
      </c>
      <c r="C419" s="410" t="e">
        <f>IF(ROUND(BA$382,6),ROUND(BA$382,6),NA())</f>
        <v>#N/A</v>
      </c>
      <c r="D419" s="410" t="e">
        <f>IF(ROUND(BB$382,6),ROUND(BB$382,6),NA())</f>
        <v>#N/A</v>
      </c>
      <c r="E419" s="1" t="s">
        <v>285</v>
      </c>
      <c r="H419" s="368"/>
      <c r="I419" s="94"/>
      <c r="J419" s="57"/>
      <c r="K419" s="154"/>
      <c r="L419" s="309"/>
      <c r="M419" s="518" t="str">
        <f>M382</f>
        <v>M2 - Maintenance efficiency</v>
      </c>
      <c r="N419" s="518"/>
      <c r="O419" s="518"/>
      <c r="P419" s="518"/>
      <c r="Q419" s="518"/>
      <c r="R419" s="518"/>
      <c r="S419" s="518"/>
      <c r="T419" s="518"/>
      <c r="U419" s="104"/>
      <c r="V419" s="104"/>
      <c r="W419" s="104"/>
      <c r="X419" s="104"/>
      <c r="Y419" s="105"/>
      <c r="Z419" s="104"/>
      <c r="AA419" s="103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5"/>
      <c r="BX419" s="28"/>
    </row>
    <row r="420" spans="1:76" s="34" customFormat="1" ht="17.25" hidden="1" customHeight="1" outlineLevel="1" x14ac:dyDescent="0.75">
      <c r="A420" s="383" t="s">
        <v>42</v>
      </c>
      <c r="B420" s="410" t="e">
        <f>IF(ROUND(BD$382,6),ROUND(BD$382,6),NA())</f>
        <v>#N/A</v>
      </c>
      <c r="C420" s="410" t="e">
        <f>IF(ROUND(BE$382,6),ROUND(BE$382,6),NA())</f>
        <v>#N/A</v>
      </c>
      <c r="D420" s="410" t="e">
        <f>IF(ROUND(BF$382,6),ROUND(BF$382,6),NA())</f>
        <v>#N/A</v>
      </c>
      <c r="E420" s="1" t="s">
        <v>286</v>
      </c>
      <c r="H420" s="368"/>
      <c r="I420" s="94"/>
      <c r="J420" s="57"/>
      <c r="K420" s="154"/>
      <c r="L420" s="309"/>
      <c r="M420" s="155"/>
      <c r="N420" s="155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5"/>
      <c r="Z420" s="104"/>
      <c r="AA420" s="103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5"/>
      <c r="BX420" s="28"/>
    </row>
    <row r="421" spans="1:76" s="34" customFormat="1" ht="17.25" hidden="1" customHeight="1" outlineLevel="1" x14ac:dyDescent="0.75">
      <c r="A421" s="383" t="s">
        <v>264</v>
      </c>
      <c r="B421" s="410" t="e">
        <f>IF(ROUND(BH$382,6),ROUND(BH$382,6),NA())</f>
        <v>#N/A</v>
      </c>
      <c r="C421" s="410" t="e">
        <f>IF(ROUND(BI$382,6),ROUND(BI$382,6),NA())</f>
        <v>#N/A</v>
      </c>
      <c r="D421" s="410" t="e">
        <f>IF(ROUND(BJ$382,6),ROUND(BJ$382,6),NA())</f>
        <v>#N/A</v>
      </c>
      <c r="E421" s="1" t="s">
        <v>287</v>
      </c>
      <c r="H421" s="368"/>
      <c r="I421" s="94"/>
      <c r="J421" s="57"/>
      <c r="K421" s="154"/>
      <c r="L421" s="309"/>
      <c r="M421" s="155"/>
      <c r="N421" s="155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5"/>
      <c r="Z421" s="104"/>
      <c r="AA421" s="103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5"/>
      <c r="BX421" s="28"/>
    </row>
    <row r="422" spans="1:76" s="34" customFormat="1" ht="17.25" hidden="1" customHeight="1" outlineLevel="1" x14ac:dyDescent="0.75">
      <c r="A422" s="383" t="s">
        <v>212</v>
      </c>
      <c r="B422" s="410" t="e">
        <f>IF(ROUND(BL$382,6),ROUND(BL$382,6),NA())</f>
        <v>#N/A</v>
      </c>
      <c r="C422" s="410" t="e">
        <f>IF(ROUND(BM$382,6),ROUND(BM$382,6),NA())</f>
        <v>#N/A</v>
      </c>
      <c r="D422" s="410" t="e">
        <f>IF(ROUND(BN$382,6),ROUND(BN$382,6),NA())</f>
        <v>#N/A</v>
      </c>
      <c r="E422" s="1" t="s">
        <v>288</v>
      </c>
      <c r="H422" s="368"/>
      <c r="I422" s="94"/>
      <c r="J422" s="57"/>
      <c r="K422" s="154"/>
      <c r="L422" s="309"/>
      <c r="M422" s="155"/>
      <c r="N422" s="155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5"/>
      <c r="Z422" s="104"/>
      <c r="AA422" s="103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5"/>
      <c r="BX422" s="28"/>
    </row>
    <row r="423" spans="1:76" s="34" customFormat="1" ht="17.25" hidden="1" customHeight="1" outlineLevel="1" x14ac:dyDescent="0.75">
      <c r="A423" s="383" t="s">
        <v>257</v>
      </c>
      <c r="B423" s="410" t="e">
        <f>IF(ROUND(BP$382,6),ROUND(BP$382,6),NA())</f>
        <v>#N/A</v>
      </c>
      <c r="C423" s="410" t="e">
        <f>IF(ROUND(BQ$382,6),ROUND(BQ$382,6),NA())</f>
        <v>#N/A</v>
      </c>
      <c r="D423" s="410" t="e">
        <f>IF(ROUND(BR$382,6),ROUND(BR$382,6),NA())</f>
        <v>#N/A</v>
      </c>
      <c r="E423" s="1" t="s">
        <v>289</v>
      </c>
      <c r="H423" s="368"/>
      <c r="I423" s="94"/>
      <c r="J423" s="57"/>
      <c r="K423" s="154"/>
      <c r="L423" s="309"/>
      <c r="M423" s="155"/>
      <c r="N423" s="155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5"/>
      <c r="Z423" s="104"/>
      <c r="AA423" s="103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5"/>
      <c r="BX423" s="28"/>
    </row>
    <row r="424" spans="1:76" s="34" customFormat="1" ht="17.25" hidden="1" customHeight="1" outlineLevel="1" x14ac:dyDescent="0.75">
      <c r="A424" s="383" t="s">
        <v>216</v>
      </c>
      <c r="B424" s="410" t="e">
        <f>IF(ROUND(BT$382,6),ROUND(BT$382,6),NA())</f>
        <v>#N/A</v>
      </c>
      <c r="C424" s="410" t="e">
        <f>IF(ROUND(BU$382,6),ROUND(BU$382,6),NA())</f>
        <v>#N/A</v>
      </c>
      <c r="D424" s="410" t="e">
        <f>IF(ROUND(BV$382,6),ROUND(BV$382,6),NA())</f>
        <v>#N/A</v>
      </c>
      <c r="E424" s="1" t="s">
        <v>290</v>
      </c>
      <c r="H424" s="368"/>
      <c r="I424" s="94"/>
      <c r="J424" s="57"/>
      <c r="K424" s="154"/>
      <c r="L424" s="309"/>
      <c r="M424" s="155"/>
      <c r="N424" s="155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5"/>
      <c r="Z424" s="104"/>
      <c r="AA424" s="103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5"/>
      <c r="BX424" s="28"/>
    </row>
    <row r="425" spans="1:76" s="34" customFormat="1" ht="17.25" hidden="1" customHeight="1" outlineLevel="1" x14ac:dyDescent="0.75">
      <c r="A425" s="56"/>
      <c r="B425" s="368"/>
      <c r="C425" s="9"/>
      <c r="D425" s="1"/>
      <c r="E425" s="1"/>
      <c r="H425" s="368"/>
      <c r="I425" s="94"/>
      <c r="J425" s="57"/>
      <c r="K425" s="154"/>
      <c r="L425" s="309"/>
      <c r="M425" s="155"/>
      <c r="N425" s="155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5"/>
      <c r="Z425" s="104"/>
      <c r="AA425" s="103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5"/>
      <c r="BX425" s="28"/>
    </row>
    <row r="426" spans="1:76" s="34" customFormat="1" ht="17.25" hidden="1" customHeight="1" outlineLevel="1" x14ac:dyDescent="0.75">
      <c r="A426" s="56"/>
      <c r="B426" s="368"/>
      <c r="C426" s="9"/>
      <c r="D426" s="1"/>
      <c r="E426" s="1"/>
      <c r="H426" s="368"/>
      <c r="I426" s="94"/>
      <c r="J426" s="57"/>
      <c r="K426" s="154"/>
      <c r="L426" s="309"/>
      <c r="M426" s="155"/>
      <c r="N426" s="155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5"/>
      <c r="Z426" s="104"/>
      <c r="AA426" s="103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5"/>
      <c r="BX426" s="28"/>
    </row>
    <row r="427" spans="1:76" s="34" customFormat="1" ht="17.25" hidden="1" customHeight="1" outlineLevel="1" x14ac:dyDescent="0.75">
      <c r="A427" s="56"/>
      <c r="B427" s="368"/>
      <c r="C427" s="9"/>
      <c r="D427" s="1"/>
      <c r="E427" s="1"/>
      <c r="H427" s="368"/>
      <c r="I427" s="94"/>
      <c r="J427" s="57"/>
      <c r="K427" s="154"/>
      <c r="L427" s="309"/>
      <c r="M427" s="155"/>
      <c r="N427" s="155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5"/>
      <c r="Z427" s="104"/>
      <c r="AA427" s="103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5"/>
      <c r="BX427" s="28"/>
    </row>
    <row r="428" spans="1:76" s="34" customFormat="1" ht="17.25" hidden="1" customHeight="1" outlineLevel="1" x14ac:dyDescent="0.75">
      <c r="A428" s="56"/>
      <c r="B428" s="368"/>
      <c r="C428" s="9"/>
      <c r="D428" s="1"/>
      <c r="E428" s="1"/>
      <c r="H428" s="368"/>
      <c r="I428" s="94"/>
      <c r="J428" s="57"/>
      <c r="K428" s="154"/>
      <c r="L428" s="309"/>
      <c r="M428" s="155"/>
      <c r="N428" s="155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5"/>
      <c r="Z428" s="104"/>
      <c r="AA428" s="103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5"/>
      <c r="BX428" s="28"/>
    </row>
    <row r="429" spans="1:76" s="34" customFormat="1" ht="17.25" hidden="1" customHeight="1" outlineLevel="1" x14ac:dyDescent="0.75">
      <c r="A429" s="56"/>
      <c r="B429" s="368"/>
      <c r="C429" s="9"/>
      <c r="D429" s="1"/>
      <c r="E429" s="1"/>
      <c r="H429" s="368"/>
      <c r="I429" s="94"/>
      <c r="J429" s="57"/>
      <c r="K429" s="154"/>
      <c r="L429" s="309"/>
      <c r="M429" s="155"/>
      <c r="N429" s="155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5"/>
      <c r="Z429" s="104"/>
      <c r="AA429" s="103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5"/>
      <c r="BX429" s="28"/>
    </row>
    <row r="430" spans="1:76" s="34" customFormat="1" ht="17.25" hidden="1" customHeight="1" outlineLevel="1" x14ac:dyDescent="0.75">
      <c r="A430" s="56"/>
      <c r="B430" s="368"/>
      <c r="C430" s="9"/>
      <c r="D430" s="1"/>
      <c r="E430" s="1"/>
      <c r="H430" s="368"/>
      <c r="I430" s="94"/>
      <c r="J430" s="57"/>
      <c r="K430" s="154"/>
      <c r="L430" s="309"/>
      <c r="M430" s="155"/>
      <c r="N430" s="155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5"/>
      <c r="Z430" s="104"/>
      <c r="AA430" s="103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5"/>
      <c r="BX430" s="28"/>
    </row>
    <row r="431" spans="1:76" s="34" customFormat="1" ht="17.25" hidden="1" customHeight="1" outlineLevel="1" x14ac:dyDescent="0.75">
      <c r="A431" s="56"/>
      <c r="B431" s="368"/>
      <c r="C431" s="9"/>
      <c r="D431" s="1"/>
      <c r="E431" s="1"/>
      <c r="H431" s="368"/>
      <c r="I431" s="94"/>
      <c r="J431" s="57"/>
      <c r="K431" s="154"/>
      <c r="L431" s="309"/>
      <c r="M431" s="155"/>
      <c r="N431" s="155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5"/>
      <c r="Z431" s="104"/>
      <c r="AA431" s="103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5"/>
      <c r="BX431" s="28"/>
    </row>
    <row r="432" spans="1:76" s="34" customFormat="1" ht="17.25" hidden="1" customHeight="1" outlineLevel="1" x14ac:dyDescent="0.75">
      <c r="A432" s="56"/>
      <c r="B432" s="368"/>
      <c r="C432" s="9"/>
      <c r="D432" s="1"/>
      <c r="E432" s="1"/>
      <c r="H432" s="368"/>
      <c r="I432" s="94"/>
      <c r="J432" s="57"/>
      <c r="K432" s="154"/>
      <c r="L432" s="309"/>
      <c r="M432" s="155"/>
      <c r="N432" s="155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5"/>
      <c r="Z432" s="104"/>
      <c r="AA432" s="103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5"/>
      <c r="BX432" s="28"/>
    </row>
    <row r="433" spans="1:78" s="34" customFormat="1" ht="17.25" hidden="1" customHeight="1" outlineLevel="1" x14ac:dyDescent="0.75">
      <c r="A433" s="56"/>
      <c r="B433" s="368"/>
      <c r="C433" s="9"/>
      <c r="D433" s="1"/>
      <c r="E433" s="1"/>
      <c r="H433" s="368"/>
      <c r="I433" s="94"/>
      <c r="J433" s="57"/>
      <c r="K433" s="154"/>
      <c r="L433" s="309"/>
      <c r="M433" s="155"/>
      <c r="N433" s="155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5"/>
      <c r="Z433" s="104"/>
      <c r="AA433" s="103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5"/>
      <c r="BX433" s="28"/>
    </row>
    <row r="434" spans="1:78" s="34" customFormat="1" ht="17.25" hidden="1" customHeight="1" outlineLevel="1" x14ac:dyDescent="0.75">
      <c r="A434" s="56"/>
      <c r="B434" s="368"/>
      <c r="C434" s="9"/>
      <c r="D434" s="1"/>
      <c r="E434" s="1"/>
      <c r="H434" s="368"/>
      <c r="I434" s="94"/>
      <c r="J434" s="57"/>
      <c r="K434" s="154"/>
      <c r="L434" s="309"/>
      <c r="M434" s="155"/>
      <c r="N434" s="155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5"/>
      <c r="Z434" s="104"/>
      <c r="AA434" s="103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5"/>
      <c r="BX434" s="28"/>
    </row>
    <row r="435" spans="1:78" s="34" customFormat="1" ht="17.25" hidden="1" customHeight="1" outlineLevel="1" x14ac:dyDescent="0.75">
      <c r="A435" s="56"/>
      <c r="B435" s="368"/>
      <c r="C435" s="9"/>
      <c r="D435" s="1"/>
      <c r="E435" s="1"/>
      <c r="H435" s="368"/>
      <c r="I435" s="94"/>
      <c r="J435" s="57"/>
      <c r="K435" s="154"/>
      <c r="L435" s="309"/>
      <c r="M435" s="155"/>
      <c r="N435" s="155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5"/>
      <c r="Z435" s="104"/>
      <c r="AA435" s="103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5"/>
      <c r="BX435" s="28"/>
    </row>
    <row r="436" spans="1:78" s="34" customFormat="1" ht="17.25" hidden="1" customHeight="1" outlineLevel="1" x14ac:dyDescent="0.75">
      <c r="A436" s="56"/>
      <c r="B436" s="368"/>
      <c r="C436" s="9"/>
      <c r="D436" s="1"/>
      <c r="E436" s="1"/>
      <c r="H436" s="368"/>
      <c r="I436" s="94"/>
      <c r="J436" s="57"/>
      <c r="K436" s="154"/>
      <c r="L436" s="309"/>
      <c r="M436" s="155"/>
      <c r="N436" s="155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5"/>
      <c r="Z436" s="104"/>
      <c r="AA436" s="103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5"/>
      <c r="BX436" s="28"/>
    </row>
    <row r="437" spans="1:78" s="34" customFormat="1" ht="17.25" hidden="1" customHeight="1" outlineLevel="1" x14ac:dyDescent="0.75">
      <c r="A437" s="56"/>
      <c r="B437" s="368"/>
      <c r="C437" s="9"/>
      <c r="D437" s="1"/>
      <c r="E437" s="1"/>
      <c r="H437" s="368"/>
      <c r="I437" s="94"/>
      <c r="J437" s="57"/>
      <c r="K437" s="154"/>
      <c r="L437" s="309"/>
      <c r="M437" s="155"/>
      <c r="N437" s="155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5"/>
      <c r="Z437" s="104"/>
      <c r="AA437" s="103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5"/>
      <c r="BX437" s="28"/>
    </row>
    <row r="438" spans="1:78" s="34" customFormat="1" ht="17.25" hidden="1" customHeight="1" outlineLevel="1" x14ac:dyDescent="0.75">
      <c r="A438" s="56"/>
      <c r="B438" s="368"/>
      <c r="C438" s="9"/>
      <c r="D438" s="1"/>
      <c r="E438" s="1"/>
      <c r="H438" s="368"/>
      <c r="I438" s="94"/>
      <c r="J438" s="57"/>
      <c r="K438" s="154"/>
      <c r="L438" s="309"/>
      <c r="M438" s="155"/>
      <c r="N438" s="155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5"/>
      <c r="Z438" s="104"/>
      <c r="AA438" s="103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5"/>
      <c r="BX438" s="28"/>
    </row>
    <row r="439" spans="1:78" s="34" customFormat="1" ht="17.25" hidden="1" customHeight="1" outlineLevel="1" x14ac:dyDescent="0.75">
      <c r="A439" s="56"/>
      <c r="B439" s="368"/>
      <c r="C439" s="9"/>
      <c r="D439" s="1"/>
      <c r="E439" s="1"/>
      <c r="H439" s="368"/>
      <c r="I439" s="94"/>
      <c r="J439" s="57"/>
      <c r="K439" s="154"/>
      <c r="L439" s="309"/>
      <c r="M439" s="155"/>
      <c r="N439" s="155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5"/>
      <c r="Z439" s="104"/>
      <c r="AA439" s="103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5"/>
      <c r="BX439" s="28"/>
    </row>
    <row r="440" spans="1:78" s="34" customFormat="1" ht="17.25" customHeight="1" collapsed="1" x14ac:dyDescent="0.75">
      <c r="A440" s="56"/>
      <c r="B440" s="368"/>
      <c r="C440" s="9"/>
      <c r="D440" s="1"/>
      <c r="E440" s="1"/>
      <c r="H440" s="368"/>
      <c r="I440" s="94"/>
      <c r="J440" s="57"/>
      <c r="K440" s="154"/>
      <c r="L440" s="309"/>
      <c r="M440" s="155"/>
      <c r="N440" s="155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5"/>
      <c r="Z440" s="104"/>
      <c r="AA440" s="103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5"/>
      <c r="BX440" s="28"/>
    </row>
    <row r="441" spans="1:78" ht="3" customHeight="1" x14ac:dyDescent="0.75">
      <c r="A441" s="56"/>
      <c r="B441" s="54"/>
      <c r="H441" s="54"/>
      <c r="I441" s="68"/>
      <c r="J441" s="53"/>
      <c r="K441" s="106"/>
      <c r="L441" s="107"/>
      <c r="M441" s="528"/>
      <c r="N441" s="528"/>
      <c r="O441" s="528"/>
      <c r="P441" s="528"/>
      <c r="Q441" s="528"/>
      <c r="R441" s="528"/>
      <c r="S441" s="528"/>
      <c r="T441" s="528"/>
      <c r="U441" s="528"/>
      <c r="V441" s="528"/>
      <c r="W441" s="528"/>
      <c r="X441" s="528"/>
      <c r="Y441" s="105"/>
      <c r="Z441" s="104"/>
      <c r="AA441" s="106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5"/>
      <c r="BX441" s="28"/>
      <c r="BZ441" s="54"/>
    </row>
    <row r="442" spans="1:78" s="34" customFormat="1" ht="8.25" customHeight="1" x14ac:dyDescent="0.75">
      <c r="A442" s="56"/>
      <c r="B442" s="368"/>
      <c r="C442" s="9"/>
      <c r="D442" s="1"/>
      <c r="E442" s="1"/>
      <c r="H442" s="368"/>
      <c r="I442" s="94"/>
      <c r="J442" s="57"/>
      <c r="K442" s="103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5"/>
      <c r="Z442" s="104"/>
      <c r="AA442" s="103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5"/>
      <c r="BX442" s="28"/>
    </row>
    <row r="443" spans="1:78" s="34" customFormat="1" ht="23.25" customHeight="1" x14ac:dyDescent="0.8">
      <c r="A443" s="56"/>
      <c r="B443" s="54" t="s">
        <v>110</v>
      </c>
      <c r="C443" s="9"/>
      <c r="D443" s="1"/>
      <c r="E443" s="1"/>
      <c r="H443" s="54"/>
      <c r="I443" s="94"/>
      <c r="J443" s="57"/>
      <c r="K443" s="99"/>
      <c r="L443" s="529" t="str">
        <f>_xll.DBRA(Server&amp;$B$32,$B443,$N$19)</f>
        <v>E - Energy Cost as % of revenue</v>
      </c>
      <c r="M443" s="530" t="s">
        <v>16</v>
      </c>
      <c r="N443" s="530"/>
      <c r="O443" s="531"/>
      <c r="P443" s="207"/>
      <c r="Q443" s="303">
        <f>_xll.DBRW(Server&amp;Cube1,$N$15,$N$16,$N$17,$N$18,$N$14,$N$13,$N$11,$Q$1,$B443)</f>
        <v>0</v>
      </c>
      <c r="R443" s="304">
        <f>_xll.DBRW(Server&amp;Cube1,$N$15,$N$16,$N$17,$N$18,$N$14,$N$13,$R$2,$R$1,$B443)</f>
        <v>0</v>
      </c>
      <c r="S443" s="291" t="str">
        <f>IF(T443=0,"è",IF(T443&lt;0,"ì","î"))</f>
        <v>è</v>
      </c>
      <c r="T443" s="287">
        <f>-(Q443-R443)*100</f>
        <v>0</v>
      </c>
      <c r="U443" s="239"/>
      <c r="V443" s="303">
        <f>_xll.DBRW(Server&amp;Cube1,$N$15,$N$16,$N$17,$N$18,$N$14,$N$13,$V$2,$V$1,$B443)</f>
        <v>0</v>
      </c>
      <c r="W443" s="292" t="str">
        <f>IF(X443=0,"è",IF(X443&lt;0,"ì","î"))</f>
        <v>è</v>
      </c>
      <c r="X443" s="287">
        <f>-($Q443-V443)*100</f>
        <v>0</v>
      </c>
      <c r="Y443" s="100"/>
      <c r="Z443" s="388"/>
      <c r="AA443" s="99"/>
      <c r="AB443" s="303">
        <f>_xll.DBRW(Server&amp;Cube1,$N$15,$N$16,$N$17,$N$18,$N$14,$N$13,AB$2,AB$1,$B443)</f>
        <v>0</v>
      </c>
      <c r="AC443" s="303">
        <f>_xll.DBRW(Server&amp;Cube1,$N$15,$N$16,$N$17,$N$18,$N$14,$N$13,AC$2,AC$1,$B443)</f>
        <v>0</v>
      </c>
      <c r="AD443" s="391">
        <f>_xll.DBRW(Server&amp;Cube1,$N$15,$N$16,$N$17,$N$18,$N$14,$N$13,AD$2,AD$1,$B443)</f>
        <v>0</v>
      </c>
      <c r="AE443" s="104"/>
      <c r="AF443" s="303">
        <f>_xll.DBRW(Server&amp;Cube1,$N$15,$N$16,$N$17,$N$18,$N$14,$N$13,AF$2,AF$1,$B443)</f>
        <v>0</v>
      </c>
      <c r="AG443" s="303">
        <f>_xll.DBRW(Server&amp;Cube1,$N$15,$N$16,$N$17,$N$18,$N$14,$N$13,AG$2,AG$1,$B443)</f>
        <v>0</v>
      </c>
      <c r="AH443" s="391">
        <f>_xll.DBRW(Server&amp;Cube1,$N$15,$N$16,$N$17,$N$18,$N$14,$N$13,AH$2,AH$1,$B443)</f>
        <v>0</v>
      </c>
      <c r="AI443" s="104"/>
      <c r="AJ443" s="303">
        <f>_xll.DBRW(Server&amp;Cube1,$N$15,$N$16,$N$17,$N$18,$N$14,$N$13,AJ$2,AJ$1,$B443)</f>
        <v>0</v>
      </c>
      <c r="AK443" s="303">
        <f>_xll.DBRW(Server&amp;Cube1,$N$15,$N$16,$N$17,$N$18,$N$14,$N$13,AK$2,AK$1,$B443)</f>
        <v>0</v>
      </c>
      <c r="AL443" s="391">
        <f>_xll.DBRW(Server&amp;Cube1,$N$15,$N$16,$N$17,$N$18,$N$14,$N$13,AL$2,AL$1,$B443)</f>
        <v>0</v>
      </c>
      <c r="AM443" s="104"/>
      <c r="AN443" s="303">
        <f>_xll.DBRW(Server&amp;Cube1,$N$15,$N$16,$N$17,$N$18,$N$14,$N$13,AN$2,AN$1,$B443)</f>
        <v>0</v>
      </c>
      <c r="AO443" s="303">
        <f>_xll.DBRW(Server&amp;Cube1,$N$15,$N$16,$N$17,$N$18,$N$14,$N$13,AO$2,AO$1,$B443)</f>
        <v>0</v>
      </c>
      <c r="AP443" s="391">
        <f>_xll.DBRW(Server&amp;Cube1,$N$15,$N$16,$N$17,$N$18,$N$14,$N$13,AP$2,AP$1,$B443)</f>
        <v>0</v>
      </c>
      <c r="AQ443" s="104"/>
      <c r="AR443" s="303">
        <f>_xll.DBRW(Server&amp;Cube1,$N$15,$N$16,$N$17,$N$18,$N$14,$N$13,AR$2,AR$1,$B443)</f>
        <v>0</v>
      </c>
      <c r="AS443" s="303">
        <f>_xll.DBRW(Server&amp;Cube1,$N$15,$N$16,$N$17,$N$18,$N$14,$N$13,AS$2,AS$1,$B443)</f>
        <v>0</v>
      </c>
      <c r="AT443" s="391">
        <f>_xll.DBRW(Server&amp;Cube1,$N$15,$N$16,$N$17,$N$18,$N$14,$N$13,AT$2,AT$1,$B443)</f>
        <v>0</v>
      </c>
      <c r="AU443" s="104"/>
      <c r="AV443" s="303">
        <f>_xll.DBRW(Server&amp;Cube1,$N$15,$N$16,$N$17,$N$18,$N$14,$N$13,AV$2,AV$1,$B443)</f>
        <v>0</v>
      </c>
      <c r="AW443" s="303">
        <f>_xll.DBRW(Server&amp;Cube1,$N$15,$N$16,$N$17,$N$18,$N$14,$N$13,AW$2,AW$1,$B443)</f>
        <v>0</v>
      </c>
      <c r="AX443" s="391">
        <f>_xll.DBRW(Server&amp;Cube1,$N$15,$N$16,$N$17,$N$18,$N$14,$N$13,AX$2,AX$1,$B443)</f>
        <v>0</v>
      </c>
      <c r="AY443" s="104"/>
      <c r="AZ443" s="303">
        <f>_xll.DBRW(Server&amp;Cube1,$N$15,$N$16,$N$17,$N$18,$N$14,$N$13,AZ$2,AZ$1,$B443)</f>
        <v>0</v>
      </c>
      <c r="BA443" s="303">
        <f>_xll.DBRW(Server&amp;Cube1,$N$15,$N$16,$N$17,$N$18,$N$14,$N$13,BA$2,BA$1,$B443)</f>
        <v>0</v>
      </c>
      <c r="BB443" s="391">
        <f>_xll.DBRW(Server&amp;Cube1,$N$15,$N$16,$N$17,$N$18,$N$14,$N$13,BB$2,BB$1,$B443)</f>
        <v>0</v>
      </c>
      <c r="BC443" s="104"/>
      <c r="BD443" s="303">
        <f>_xll.DBRW(Server&amp;Cube1,$N$15,$N$16,$N$17,$N$18,$N$14,$N$13,BD$2,BD$1,$B443)</f>
        <v>0</v>
      </c>
      <c r="BE443" s="303">
        <f>_xll.DBRW(Server&amp;Cube1,$N$15,$N$16,$N$17,$N$18,$N$14,$N$13,BE$2,BE$1,$B443)</f>
        <v>0</v>
      </c>
      <c r="BF443" s="391">
        <f>_xll.DBRW(Server&amp;Cube1,$N$15,$N$16,$N$17,$N$18,$N$14,$N$13,BF$2,BF$1,$B443)</f>
        <v>0</v>
      </c>
      <c r="BG443" s="104"/>
      <c r="BH443" s="303">
        <f>_xll.DBRW(Server&amp;Cube1,$N$15,$N$16,$N$17,$N$18,$N$14,$N$13,BH$2,BH$1,$B443)</f>
        <v>0</v>
      </c>
      <c r="BI443" s="303">
        <f>_xll.DBRW(Server&amp;Cube1,$N$15,$N$16,$N$17,$N$18,$N$14,$N$13,BI$2,BI$1,$B443)</f>
        <v>0</v>
      </c>
      <c r="BJ443" s="391">
        <f>_xll.DBRW(Server&amp;Cube1,$N$15,$N$16,$N$17,$N$18,$N$14,$N$13,BJ$2,BJ$1,$B443)</f>
        <v>0</v>
      </c>
      <c r="BK443" s="104"/>
      <c r="BL443" s="303">
        <f>_xll.DBRW(Server&amp;Cube1,$N$15,$N$16,$N$17,$N$18,$N$14,$N$13,BL$2,BL$1,$B443)</f>
        <v>0</v>
      </c>
      <c r="BM443" s="303">
        <f>_xll.DBRW(Server&amp;Cube1,$N$15,$N$16,$N$17,$N$18,$N$14,$N$13,BM$2,BM$1,$B443)</f>
        <v>0</v>
      </c>
      <c r="BN443" s="391">
        <f>_xll.DBRW(Server&amp;Cube1,$N$15,$N$16,$N$17,$N$18,$N$14,$N$13,BN$2,BN$1,$B443)</f>
        <v>0</v>
      </c>
      <c r="BO443" s="104"/>
      <c r="BP443" s="303">
        <f>_xll.DBRW(Server&amp;Cube1,$N$15,$N$16,$N$17,$N$18,$N$14,$N$13,BP$2,BP$1,$B443)</f>
        <v>0</v>
      </c>
      <c r="BQ443" s="303">
        <f>_xll.DBRW(Server&amp;Cube1,$N$15,$N$16,$N$17,$N$18,$N$14,$N$13,BQ$2,BQ$1,$B443)</f>
        <v>0</v>
      </c>
      <c r="BR443" s="391">
        <f>_xll.DBRW(Server&amp;Cube1,$N$15,$N$16,$N$17,$N$18,$N$14,$N$13,BR$2,BR$1,$B443)</f>
        <v>0</v>
      </c>
      <c r="BS443" s="104"/>
      <c r="BT443" s="303">
        <f>_xll.DBRW(Server&amp;Cube1,$N$15,$N$16,$N$17,$N$18,$N$14,$N$13,BT$2,BT$1,$B443)</f>
        <v>0</v>
      </c>
      <c r="BU443" s="303">
        <f>_xll.DBRW(Server&amp;Cube1,$N$15,$N$16,$N$17,$N$18,$N$14,$N$13,BU$2,BU$1,$B443)</f>
        <v>0</v>
      </c>
      <c r="BV443" s="391">
        <f>_xll.DBRW(Server&amp;Cube1,$N$15,$N$16,$N$17,$N$18,$N$14,$N$13,BV$2,BV$1,$B443)</f>
        <v>0</v>
      </c>
      <c r="BW443" s="100"/>
      <c r="BX443" s="28"/>
      <c r="BZ443" s="358"/>
    </row>
    <row r="444" spans="1:78" s="34" customFormat="1" ht="27.75" customHeight="1" x14ac:dyDescent="0.9">
      <c r="A444" s="56"/>
      <c r="B444" s="54" t="s">
        <v>107</v>
      </c>
      <c r="C444" s="9"/>
      <c r="D444" s="1"/>
      <c r="E444" s="1"/>
      <c r="H444" s="54"/>
      <c r="I444" s="94"/>
      <c r="J444" s="57"/>
      <c r="K444" s="99"/>
      <c r="L444" s="532" t="str">
        <f>_xll.DBRA(Server&amp;Context!$B$32,Context!$B$45,$N$19)</f>
        <v>LEVEL 2</v>
      </c>
      <c r="M444" s="535" t="str">
        <f>IF(OR(O456="Not defined",O456="Non défini",O458="Not defined",O458="Non défini"),_xll.DBRA(Server&amp;$B$32,$B444,$N$19),_xll.DBRA(Server&amp;Context!$B$32,Context!$B$50,$N$19)&amp;" "&amp;O456)</f>
        <v>E1 - Energy Cost per cost work unit</v>
      </c>
      <c r="N444" s="535"/>
      <c r="O444" s="536"/>
      <c r="P444" s="206"/>
      <c r="Q444" s="312">
        <f>_xll.DBRW(Server&amp;Cube1,$N$15,$N$16,$N$17,$N$18,$N$14,$N$13,$N$11,$Q$1,$B444)</f>
        <v>0</v>
      </c>
      <c r="R444" s="313">
        <f>_xll.DBRW(Server&amp;Cube1,$N$15,$N$16,$N$17,$N$18,$N$14,$N$13,$R$2,$R$1,$B444)</f>
        <v>0</v>
      </c>
      <c r="S444" s="314">
        <f>Q444-R444</f>
        <v>0</v>
      </c>
      <c r="T444" s="315"/>
      <c r="U444" s="239"/>
      <c r="V444" s="323">
        <f>_xll.DBRW(Server&amp;Cube1,$N$15,$N$16,$N$17,$N$18,$N$14,$N$13,$V$2,$V$1,$B444)</f>
        <v>0</v>
      </c>
      <c r="W444" s="314">
        <f>$Q444-V444</f>
        <v>0</v>
      </c>
      <c r="X444" s="315"/>
      <c r="Y444" s="100"/>
      <c r="Z444" s="388"/>
      <c r="AA444" s="99"/>
      <c r="AB444" s="312">
        <f>_xll.DBRW(Server&amp;Cube1,$N$15,$N$16,$N$17,$N$18,$N$14,$N$13,AB$2,AB$1,$B444)</f>
        <v>0</v>
      </c>
      <c r="AC444" s="312">
        <f>_xll.DBRW(Server&amp;Cube1,$N$15,$N$16,$N$17,$N$18,$N$14,$N$13,AC$2,AC$1,$B444)</f>
        <v>0</v>
      </c>
      <c r="AD444" s="392">
        <f>_xll.DBRW(Server&amp;Cube1,$N$15,$N$16,$N$17,$N$18,$N$14,$N$13,AD$2,AD$1,$B444)</f>
        <v>0</v>
      </c>
      <c r="AE444" s="104"/>
      <c r="AF444" s="312">
        <f>_xll.DBRW(Server&amp;Cube1,$N$15,$N$16,$N$17,$N$18,$N$14,$N$13,AF$2,AF$1,$B444)</f>
        <v>0</v>
      </c>
      <c r="AG444" s="312">
        <f>_xll.DBRW(Server&amp;Cube1,$N$15,$N$16,$N$17,$N$18,$N$14,$N$13,AG$2,AG$1,$B444)</f>
        <v>0</v>
      </c>
      <c r="AH444" s="392">
        <f>_xll.DBRW(Server&amp;Cube1,$N$15,$N$16,$N$17,$N$18,$N$14,$N$13,AH$2,AH$1,$B444)</f>
        <v>0</v>
      </c>
      <c r="AI444" s="104"/>
      <c r="AJ444" s="312">
        <f>_xll.DBRW(Server&amp;Cube1,$N$15,$N$16,$N$17,$N$18,$N$14,$N$13,AJ$2,AJ$1,$B444)</f>
        <v>0</v>
      </c>
      <c r="AK444" s="312">
        <f>_xll.DBRW(Server&amp;Cube1,$N$15,$N$16,$N$17,$N$18,$N$14,$N$13,AK$2,AK$1,$B444)</f>
        <v>0</v>
      </c>
      <c r="AL444" s="392">
        <f>_xll.DBRW(Server&amp;Cube1,$N$15,$N$16,$N$17,$N$18,$N$14,$N$13,AL$2,AL$1,$B444)</f>
        <v>0</v>
      </c>
      <c r="AM444" s="104"/>
      <c r="AN444" s="312">
        <f>_xll.DBRW(Server&amp;Cube1,$N$15,$N$16,$N$17,$N$18,$N$14,$N$13,AN$2,AN$1,$B444)</f>
        <v>0</v>
      </c>
      <c r="AO444" s="312">
        <f>_xll.DBRW(Server&amp;Cube1,$N$15,$N$16,$N$17,$N$18,$N$14,$N$13,AO$2,AO$1,$B444)</f>
        <v>0</v>
      </c>
      <c r="AP444" s="392">
        <f>_xll.DBRW(Server&amp;Cube1,$N$15,$N$16,$N$17,$N$18,$N$14,$N$13,AP$2,AP$1,$B444)</f>
        <v>0</v>
      </c>
      <c r="AQ444" s="104"/>
      <c r="AR444" s="312">
        <f>_xll.DBRW(Server&amp;Cube1,$N$15,$N$16,$N$17,$N$18,$N$14,$N$13,AR$2,AR$1,$B444)</f>
        <v>0</v>
      </c>
      <c r="AS444" s="312">
        <f>_xll.DBRW(Server&amp;Cube1,$N$15,$N$16,$N$17,$N$18,$N$14,$N$13,AS$2,AS$1,$B444)</f>
        <v>0</v>
      </c>
      <c r="AT444" s="392">
        <f>_xll.DBRW(Server&amp;Cube1,$N$15,$N$16,$N$17,$N$18,$N$14,$N$13,AT$2,AT$1,$B444)</f>
        <v>0</v>
      </c>
      <c r="AU444" s="104"/>
      <c r="AV444" s="312">
        <f>_xll.DBRW(Server&amp;Cube1,$N$15,$N$16,$N$17,$N$18,$N$14,$N$13,AV$2,AV$1,$B444)</f>
        <v>0</v>
      </c>
      <c r="AW444" s="312">
        <f>_xll.DBRW(Server&amp;Cube1,$N$15,$N$16,$N$17,$N$18,$N$14,$N$13,AW$2,AW$1,$B444)</f>
        <v>0</v>
      </c>
      <c r="AX444" s="392">
        <f>_xll.DBRW(Server&amp;Cube1,$N$15,$N$16,$N$17,$N$18,$N$14,$N$13,AX$2,AX$1,$B444)</f>
        <v>0</v>
      </c>
      <c r="AY444" s="104"/>
      <c r="AZ444" s="312">
        <f>_xll.DBRW(Server&amp;Cube1,$N$15,$N$16,$N$17,$N$18,$N$14,$N$13,AZ$2,AZ$1,$B444)</f>
        <v>0</v>
      </c>
      <c r="BA444" s="312">
        <f>_xll.DBRW(Server&amp;Cube1,$N$15,$N$16,$N$17,$N$18,$N$14,$N$13,BA$2,BA$1,$B444)</f>
        <v>0</v>
      </c>
      <c r="BB444" s="392">
        <f>_xll.DBRW(Server&amp;Cube1,$N$15,$N$16,$N$17,$N$18,$N$14,$N$13,BB$2,BB$1,$B444)</f>
        <v>0</v>
      </c>
      <c r="BC444" s="104"/>
      <c r="BD444" s="312">
        <f>_xll.DBRW(Server&amp;Cube1,$N$15,$N$16,$N$17,$N$18,$N$14,$N$13,BD$2,BD$1,$B444)</f>
        <v>0</v>
      </c>
      <c r="BE444" s="312">
        <f>_xll.DBRW(Server&amp;Cube1,$N$15,$N$16,$N$17,$N$18,$N$14,$N$13,BE$2,BE$1,$B444)</f>
        <v>0</v>
      </c>
      <c r="BF444" s="392">
        <f>_xll.DBRW(Server&amp;Cube1,$N$15,$N$16,$N$17,$N$18,$N$14,$N$13,BF$2,BF$1,$B444)</f>
        <v>0</v>
      </c>
      <c r="BG444" s="104"/>
      <c r="BH444" s="312">
        <f>_xll.DBRW(Server&amp;Cube1,$N$15,$N$16,$N$17,$N$18,$N$14,$N$13,BH$2,BH$1,$B444)</f>
        <v>0</v>
      </c>
      <c r="BI444" s="312">
        <f>_xll.DBRW(Server&amp;Cube1,$N$15,$N$16,$N$17,$N$18,$N$14,$N$13,BI$2,BI$1,$B444)</f>
        <v>0</v>
      </c>
      <c r="BJ444" s="392">
        <f>_xll.DBRW(Server&amp;Cube1,$N$15,$N$16,$N$17,$N$18,$N$14,$N$13,BJ$2,BJ$1,$B444)</f>
        <v>0</v>
      </c>
      <c r="BK444" s="104"/>
      <c r="BL444" s="312">
        <f>_xll.DBRW(Server&amp;Cube1,$N$15,$N$16,$N$17,$N$18,$N$14,$N$13,BL$2,BL$1,$B444)</f>
        <v>0</v>
      </c>
      <c r="BM444" s="312">
        <f>_xll.DBRW(Server&amp;Cube1,$N$15,$N$16,$N$17,$N$18,$N$14,$N$13,BM$2,BM$1,$B444)</f>
        <v>0</v>
      </c>
      <c r="BN444" s="392">
        <f>_xll.DBRW(Server&amp;Cube1,$N$15,$N$16,$N$17,$N$18,$N$14,$N$13,BN$2,BN$1,$B444)</f>
        <v>0</v>
      </c>
      <c r="BO444" s="104"/>
      <c r="BP444" s="312">
        <f>_xll.DBRW(Server&amp;Cube1,$N$15,$N$16,$N$17,$N$18,$N$14,$N$13,BP$2,BP$1,$B444)</f>
        <v>0</v>
      </c>
      <c r="BQ444" s="312">
        <f>_xll.DBRW(Server&amp;Cube1,$N$15,$N$16,$N$17,$N$18,$N$14,$N$13,BQ$2,BQ$1,$B444)</f>
        <v>0</v>
      </c>
      <c r="BR444" s="392">
        <f>_xll.DBRW(Server&amp;Cube1,$N$15,$N$16,$N$17,$N$18,$N$14,$N$13,BR$2,BR$1,$B444)</f>
        <v>0</v>
      </c>
      <c r="BS444" s="104"/>
      <c r="BT444" s="312">
        <f>_xll.DBRW(Server&amp;Cube1,$N$15,$N$16,$N$17,$N$18,$N$14,$N$13,BT$2,BT$1,$B444)</f>
        <v>0</v>
      </c>
      <c r="BU444" s="312">
        <f>_xll.DBRW(Server&amp;Cube1,$N$15,$N$16,$N$17,$N$18,$N$14,$N$13,BU$2,BU$1,$B444)</f>
        <v>0</v>
      </c>
      <c r="BV444" s="392">
        <f>_xll.DBRW(Server&amp;Cube1,$N$15,$N$16,$N$17,$N$18,$N$14,$N$13,BV$2,BV$1,$B444)</f>
        <v>0</v>
      </c>
      <c r="BW444" s="100"/>
      <c r="BX444" s="28"/>
      <c r="BZ444" s="361"/>
    </row>
    <row r="445" spans="1:78" s="34" customFormat="1" ht="27.75" customHeight="1" x14ac:dyDescent="0.9">
      <c r="A445" s="56"/>
      <c r="B445" s="54" t="s">
        <v>108</v>
      </c>
      <c r="C445" s="9"/>
      <c r="D445" s="1"/>
      <c r="E445" s="1"/>
      <c r="H445" s="54"/>
      <c r="I445" s="94"/>
      <c r="J445" s="57"/>
      <c r="K445" s="99"/>
      <c r="L445" s="533"/>
      <c r="M445" s="519" t="str">
        <f>IF(OR(O456="Not defined",O456="Non défini",O458="Not defined",O458="Non défini"),_xll.DBRA(Server&amp;$B$32,$B445,$N$19),_xll.DBRA(Server&amp;$B$32,$B445,$N$19)&amp;" - ("&amp;O456&amp;" / "&amp;O458&amp;")")</f>
        <v>E2 - Energy efficiency</v>
      </c>
      <c r="N445" s="519"/>
      <c r="O445" s="519"/>
      <c r="P445" s="206"/>
      <c r="Q445" s="316">
        <f>_xll.DBRW(Server&amp;Cube1,$N$15,$N$16,$N$17,$N$18,$N$14,$N$13,$N$11,$Q$1,$B445)</f>
        <v>0</v>
      </c>
      <c r="R445" s="311">
        <f>_xll.DBRW(Server&amp;Cube1,$N$15,$N$16,$N$17,$N$18,$N$14,$N$13,$R$2,$R$1,$B445)</f>
        <v>0</v>
      </c>
      <c r="S445" s="317">
        <f>Q445-R445</f>
        <v>0</v>
      </c>
      <c r="T445" s="318"/>
      <c r="U445" s="241"/>
      <c r="V445" s="324">
        <f>_xll.DBRW(Server&amp;Cube1,$N$15,$N$16,$N$17,$N$18,$N$14,$N$13,$V$2,$V$1,$B445)</f>
        <v>0</v>
      </c>
      <c r="W445" s="317">
        <f>$Q445-V445</f>
        <v>0</v>
      </c>
      <c r="X445" s="318"/>
      <c r="Y445" s="100"/>
      <c r="Z445" s="388"/>
      <c r="AA445" s="99"/>
      <c r="AB445" s="316">
        <f>_xll.DBRW(Server&amp;Cube1,$N$15,$N$16,$N$17,$N$18,$N$14,$N$13,AB$2,AB$1,$B445)</f>
        <v>0</v>
      </c>
      <c r="AC445" s="316">
        <f>_xll.DBRW(Server&amp;Cube1,$N$15,$N$16,$N$17,$N$18,$N$14,$N$13,AC$2,AC$1,$B445)</f>
        <v>0</v>
      </c>
      <c r="AD445" s="393">
        <f>_xll.DBRW(Server&amp;Cube1,$N$15,$N$16,$N$17,$N$18,$N$14,$N$13,AD$2,AD$1,$B445)</f>
        <v>0</v>
      </c>
      <c r="AE445" s="104"/>
      <c r="AF445" s="316">
        <f>_xll.DBRW(Server&amp;Cube1,$N$15,$N$16,$N$17,$N$18,$N$14,$N$13,AF$2,AF$1,$B445)</f>
        <v>0</v>
      </c>
      <c r="AG445" s="316">
        <f>_xll.DBRW(Server&amp;Cube1,$N$15,$N$16,$N$17,$N$18,$N$14,$N$13,AG$2,AG$1,$B445)</f>
        <v>0</v>
      </c>
      <c r="AH445" s="393">
        <f>_xll.DBRW(Server&amp;Cube1,$N$15,$N$16,$N$17,$N$18,$N$14,$N$13,AH$2,AH$1,$B445)</f>
        <v>0</v>
      </c>
      <c r="AI445" s="104"/>
      <c r="AJ445" s="316">
        <f>_xll.DBRW(Server&amp;Cube1,$N$15,$N$16,$N$17,$N$18,$N$14,$N$13,AJ$2,AJ$1,$B445)</f>
        <v>0</v>
      </c>
      <c r="AK445" s="316">
        <f>_xll.DBRW(Server&amp;Cube1,$N$15,$N$16,$N$17,$N$18,$N$14,$N$13,AK$2,AK$1,$B445)</f>
        <v>0</v>
      </c>
      <c r="AL445" s="393">
        <f>_xll.DBRW(Server&amp;Cube1,$N$15,$N$16,$N$17,$N$18,$N$14,$N$13,AL$2,AL$1,$B445)</f>
        <v>0</v>
      </c>
      <c r="AM445" s="104"/>
      <c r="AN445" s="316">
        <f>_xll.DBRW(Server&amp;Cube1,$N$15,$N$16,$N$17,$N$18,$N$14,$N$13,AN$2,AN$1,$B445)</f>
        <v>0</v>
      </c>
      <c r="AO445" s="316">
        <f>_xll.DBRW(Server&amp;Cube1,$N$15,$N$16,$N$17,$N$18,$N$14,$N$13,AO$2,AO$1,$B445)</f>
        <v>0</v>
      </c>
      <c r="AP445" s="393">
        <f>_xll.DBRW(Server&amp;Cube1,$N$15,$N$16,$N$17,$N$18,$N$14,$N$13,AP$2,AP$1,$B445)</f>
        <v>0</v>
      </c>
      <c r="AQ445" s="104"/>
      <c r="AR445" s="316">
        <f>_xll.DBRW(Server&amp;Cube1,$N$15,$N$16,$N$17,$N$18,$N$14,$N$13,AR$2,AR$1,$B445)</f>
        <v>0</v>
      </c>
      <c r="AS445" s="316">
        <f>_xll.DBRW(Server&amp;Cube1,$N$15,$N$16,$N$17,$N$18,$N$14,$N$13,AS$2,AS$1,$B445)</f>
        <v>0</v>
      </c>
      <c r="AT445" s="393">
        <f>_xll.DBRW(Server&amp;Cube1,$N$15,$N$16,$N$17,$N$18,$N$14,$N$13,AT$2,AT$1,$B445)</f>
        <v>0</v>
      </c>
      <c r="AU445" s="104"/>
      <c r="AV445" s="316">
        <f>_xll.DBRW(Server&amp;Cube1,$N$15,$N$16,$N$17,$N$18,$N$14,$N$13,AV$2,AV$1,$B445)</f>
        <v>0</v>
      </c>
      <c r="AW445" s="316">
        <f>_xll.DBRW(Server&amp;Cube1,$N$15,$N$16,$N$17,$N$18,$N$14,$N$13,AW$2,AW$1,$B445)</f>
        <v>0</v>
      </c>
      <c r="AX445" s="393">
        <f>_xll.DBRW(Server&amp;Cube1,$N$15,$N$16,$N$17,$N$18,$N$14,$N$13,AX$2,AX$1,$B445)</f>
        <v>0</v>
      </c>
      <c r="AY445" s="104"/>
      <c r="AZ445" s="316">
        <f>_xll.DBRW(Server&amp;Cube1,$N$15,$N$16,$N$17,$N$18,$N$14,$N$13,AZ$2,AZ$1,$B445)</f>
        <v>0</v>
      </c>
      <c r="BA445" s="316">
        <f>_xll.DBRW(Server&amp;Cube1,$N$15,$N$16,$N$17,$N$18,$N$14,$N$13,BA$2,BA$1,$B445)</f>
        <v>0</v>
      </c>
      <c r="BB445" s="393">
        <f>_xll.DBRW(Server&amp;Cube1,$N$15,$N$16,$N$17,$N$18,$N$14,$N$13,BB$2,BB$1,$B445)</f>
        <v>0</v>
      </c>
      <c r="BC445" s="104"/>
      <c r="BD445" s="316">
        <f>_xll.DBRW(Server&amp;Cube1,$N$15,$N$16,$N$17,$N$18,$N$14,$N$13,BD$2,BD$1,$B445)</f>
        <v>0</v>
      </c>
      <c r="BE445" s="316">
        <f>_xll.DBRW(Server&amp;Cube1,$N$15,$N$16,$N$17,$N$18,$N$14,$N$13,BE$2,BE$1,$B445)</f>
        <v>0</v>
      </c>
      <c r="BF445" s="393">
        <f>_xll.DBRW(Server&amp;Cube1,$N$15,$N$16,$N$17,$N$18,$N$14,$N$13,BF$2,BF$1,$B445)</f>
        <v>0</v>
      </c>
      <c r="BG445" s="104"/>
      <c r="BH445" s="316">
        <f>_xll.DBRW(Server&amp;Cube1,$N$15,$N$16,$N$17,$N$18,$N$14,$N$13,BH$2,BH$1,$B445)</f>
        <v>0</v>
      </c>
      <c r="BI445" s="316">
        <f>_xll.DBRW(Server&amp;Cube1,$N$15,$N$16,$N$17,$N$18,$N$14,$N$13,BI$2,BI$1,$B445)</f>
        <v>0</v>
      </c>
      <c r="BJ445" s="393">
        <f>_xll.DBRW(Server&amp;Cube1,$N$15,$N$16,$N$17,$N$18,$N$14,$N$13,BJ$2,BJ$1,$B445)</f>
        <v>0</v>
      </c>
      <c r="BK445" s="104"/>
      <c r="BL445" s="316">
        <f>_xll.DBRW(Server&amp;Cube1,$N$15,$N$16,$N$17,$N$18,$N$14,$N$13,BL$2,BL$1,$B445)</f>
        <v>0</v>
      </c>
      <c r="BM445" s="316">
        <f>_xll.DBRW(Server&amp;Cube1,$N$15,$N$16,$N$17,$N$18,$N$14,$N$13,BM$2,BM$1,$B445)</f>
        <v>0</v>
      </c>
      <c r="BN445" s="393">
        <f>_xll.DBRW(Server&amp;Cube1,$N$15,$N$16,$N$17,$N$18,$N$14,$N$13,BN$2,BN$1,$B445)</f>
        <v>0</v>
      </c>
      <c r="BO445" s="104"/>
      <c r="BP445" s="316">
        <f>_xll.DBRW(Server&amp;Cube1,$N$15,$N$16,$N$17,$N$18,$N$14,$N$13,BP$2,BP$1,$B445)</f>
        <v>0</v>
      </c>
      <c r="BQ445" s="316">
        <f>_xll.DBRW(Server&amp;Cube1,$N$15,$N$16,$N$17,$N$18,$N$14,$N$13,BQ$2,BQ$1,$B445)</f>
        <v>0</v>
      </c>
      <c r="BR445" s="393">
        <f>_xll.DBRW(Server&amp;Cube1,$N$15,$N$16,$N$17,$N$18,$N$14,$N$13,BR$2,BR$1,$B445)</f>
        <v>0</v>
      </c>
      <c r="BS445" s="104"/>
      <c r="BT445" s="316">
        <f>_xll.DBRW(Server&amp;Cube1,$N$15,$N$16,$N$17,$N$18,$N$14,$N$13,BT$2,BT$1,$B445)</f>
        <v>0</v>
      </c>
      <c r="BU445" s="316">
        <f>_xll.DBRW(Server&amp;Cube1,$N$15,$N$16,$N$17,$N$18,$N$14,$N$13,BU$2,BU$1,$B445)</f>
        <v>0</v>
      </c>
      <c r="BV445" s="393">
        <f>_xll.DBRW(Server&amp;Cube1,$N$15,$N$16,$N$17,$N$18,$N$14,$N$13,BV$2,BV$1,$B445)</f>
        <v>0</v>
      </c>
      <c r="BW445" s="100"/>
      <c r="BX445" s="28"/>
      <c r="BZ445" s="362"/>
    </row>
    <row r="446" spans="1:78" s="34" customFormat="1" ht="27.75" customHeight="1" collapsed="1" thickBot="1" x14ac:dyDescent="1.05">
      <c r="A446" s="56"/>
      <c r="B446" s="54" t="s">
        <v>109</v>
      </c>
      <c r="C446" s="9"/>
      <c r="D446" s="1"/>
      <c r="E446" s="1"/>
      <c r="H446" s="54"/>
      <c r="I446" s="94"/>
      <c r="J446" s="57"/>
      <c r="K446" s="99"/>
      <c r="L446" s="533"/>
      <c r="M446" s="520" t="str">
        <f>IF(OR(O456="Not defined",O456="Non défini",O458="Not defined",O458="Non défini"),_xll.DBRA(Server&amp;$B$32,$B446,$N$19),_xll.DBRA(Server&amp;Context!$B$32,Context!$B$51,$N$19)&amp;" "&amp;O458)</f>
        <v>E3 - Revenue per price work unit</v>
      </c>
      <c r="N446" s="520"/>
      <c r="O446" s="520"/>
      <c r="P446" s="206"/>
      <c r="Q446" s="319">
        <f>_xll.DBRW(Server&amp;Cube1,$N$15,$N$16,$N$17,$N$18,$N$14,$N$13,$N$11,$Q$1,$B446)</f>
        <v>0</v>
      </c>
      <c r="R446" s="320">
        <f>_xll.DBRW(Server&amp;Cube1,$N$15,$N$16,$N$17,$N$18,$N$14,$N$13,$R$2,$R$1,$B446)</f>
        <v>0</v>
      </c>
      <c r="S446" s="321">
        <f>Q446-R446</f>
        <v>0</v>
      </c>
      <c r="T446" s="322"/>
      <c r="U446" s="239"/>
      <c r="V446" s="325">
        <f>_xll.DBRW(Server&amp;Cube1,$N$15,$N$16,$N$17,$N$18,$N$14,$N$13,$V$2,$V$1,$B446)</f>
        <v>0</v>
      </c>
      <c r="W446" s="321">
        <f>$Q446-V446</f>
        <v>0</v>
      </c>
      <c r="X446" s="322"/>
      <c r="Y446" s="100"/>
      <c r="Z446" s="388"/>
      <c r="AA446" s="99"/>
      <c r="AB446" s="319">
        <f>_xll.DBRW(Server&amp;Cube1,$N$15,$N$16,$N$17,$N$18,$N$14,$N$13,AB$2,AB$1,$B446)</f>
        <v>0</v>
      </c>
      <c r="AC446" s="319">
        <f>_xll.DBRW(Server&amp;Cube1,$N$15,$N$16,$N$17,$N$18,$N$14,$N$13,AC$2,AC$1,$B446)</f>
        <v>0</v>
      </c>
      <c r="AD446" s="394">
        <f>_xll.DBRW(Server&amp;Cube1,$N$15,$N$16,$N$17,$N$18,$N$14,$N$13,AD$2,AD$1,$B446)</f>
        <v>0</v>
      </c>
      <c r="AE446" s="104"/>
      <c r="AF446" s="319">
        <f>_xll.DBRW(Server&amp;Cube1,$N$15,$N$16,$N$17,$N$18,$N$14,$N$13,AF$2,AF$1,$B446)</f>
        <v>0</v>
      </c>
      <c r="AG446" s="319">
        <f>_xll.DBRW(Server&amp;Cube1,$N$15,$N$16,$N$17,$N$18,$N$14,$N$13,AG$2,AG$1,$B446)</f>
        <v>0</v>
      </c>
      <c r="AH446" s="394">
        <f>_xll.DBRW(Server&amp;Cube1,$N$15,$N$16,$N$17,$N$18,$N$14,$N$13,AH$2,AH$1,$B446)</f>
        <v>0</v>
      </c>
      <c r="AI446" s="104"/>
      <c r="AJ446" s="319">
        <f>_xll.DBRW(Server&amp;Cube1,$N$15,$N$16,$N$17,$N$18,$N$14,$N$13,AJ$2,AJ$1,$B446)</f>
        <v>0</v>
      </c>
      <c r="AK446" s="319">
        <f>_xll.DBRW(Server&amp;Cube1,$N$15,$N$16,$N$17,$N$18,$N$14,$N$13,AK$2,AK$1,$B446)</f>
        <v>0</v>
      </c>
      <c r="AL446" s="394">
        <f>_xll.DBRW(Server&amp;Cube1,$N$15,$N$16,$N$17,$N$18,$N$14,$N$13,AL$2,AL$1,$B446)</f>
        <v>0</v>
      </c>
      <c r="AM446" s="104"/>
      <c r="AN446" s="319">
        <f>_xll.DBRW(Server&amp;Cube1,$N$15,$N$16,$N$17,$N$18,$N$14,$N$13,AN$2,AN$1,$B446)</f>
        <v>0</v>
      </c>
      <c r="AO446" s="319">
        <f>_xll.DBRW(Server&amp;Cube1,$N$15,$N$16,$N$17,$N$18,$N$14,$N$13,AO$2,AO$1,$B446)</f>
        <v>0</v>
      </c>
      <c r="AP446" s="394">
        <f>_xll.DBRW(Server&amp;Cube1,$N$15,$N$16,$N$17,$N$18,$N$14,$N$13,AP$2,AP$1,$B446)</f>
        <v>0</v>
      </c>
      <c r="AQ446" s="104"/>
      <c r="AR446" s="319">
        <f>_xll.DBRW(Server&amp;Cube1,$N$15,$N$16,$N$17,$N$18,$N$14,$N$13,AR$2,AR$1,$B446)</f>
        <v>0</v>
      </c>
      <c r="AS446" s="319">
        <f>_xll.DBRW(Server&amp;Cube1,$N$15,$N$16,$N$17,$N$18,$N$14,$N$13,AS$2,AS$1,$B446)</f>
        <v>0</v>
      </c>
      <c r="AT446" s="394">
        <f>_xll.DBRW(Server&amp;Cube1,$N$15,$N$16,$N$17,$N$18,$N$14,$N$13,AT$2,AT$1,$B446)</f>
        <v>0</v>
      </c>
      <c r="AU446" s="104"/>
      <c r="AV446" s="319">
        <f>_xll.DBRW(Server&amp;Cube1,$N$15,$N$16,$N$17,$N$18,$N$14,$N$13,AV$2,AV$1,$B446)</f>
        <v>0</v>
      </c>
      <c r="AW446" s="319">
        <f>_xll.DBRW(Server&amp;Cube1,$N$15,$N$16,$N$17,$N$18,$N$14,$N$13,AW$2,AW$1,$B446)</f>
        <v>0</v>
      </c>
      <c r="AX446" s="394">
        <f>_xll.DBRW(Server&amp;Cube1,$N$15,$N$16,$N$17,$N$18,$N$14,$N$13,AX$2,AX$1,$B446)</f>
        <v>0</v>
      </c>
      <c r="AY446" s="104"/>
      <c r="AZ446" s="319">
        <f>_xll.DBRW(Server&amp;Cube1,$N$15,$N$16,$N$17,$N$18,$N$14,$N$13,AZ$2,AZ$1,$B446)</f>
        <v>0</v>
      </c>
      <c r="BA446" s="319">
        <f>_xll.DBRW(Server&amp;Cube1,$N$15,$N$16,$N$17,$N$18,$N$14,$N$13,BA$2,BA$1,$B446)</f>
        <v>0</v>
      </c>
      <c r="BB446" s="394">
        <f>_xll.DBRW(Server&amp;Cube1,$N$15,$N$16,$N$17,$N$18,$N$14,$N$13,BB$2,BB$1,$B446)</f>
        <v>0</v>
      </c>
      <c r="BC446" s="104"/>
      <c r="BD446" s="319">
        <f>_xll.DBRW(Server&amp;Cube1,$N$15,$N$16,$N$17,$N$18,$N$14,$N$13,BD$2,BD$1,$B446)</f>
        <v>0</v>
      </c>
      <c r="BE446" s="319">
        <f>_xll.DBRW(Server&amp;Cube1,$N$15,$N$16,$N$17,$N$18,$N$14,$N$13,BE$2,BE$1,$B446)</f>
        <v>0</v>
      </c>
      <c r="BF446" s="394">
        <f>_xll.DBRW(Server&amp;Cube1,$N$15,$N$16,$N$17,$N$18,$N$14,$N$13,BF$2,BF$1,$B446)</f>
        <v>0</v>
      </c>
      <c r="BG446" s="104"/>
      <c r="BH446" s="319">
        <f>_xll.DBRW(Server&amp;Cube1,$N$15,$N$16,$N$17,$N$18,$N$14,$N$13,BH$2,BH$1,$B446)</f>
        <v>0</v>
      </c>
      <c r="BI446" s="319">
        <f>_xll.DBRW(Server&amp;Cube1,$N$15,$N$16,$N$17,$N$18,$N$14,$N$13,BI$2,BI$1,$B446)</f>
        <v>0</v>
      </c>
      <c r="BJ446" s="394">
        <f>_xll.DBRW(Server&amp;Cube1,$N$15,$N$16,$N$17,$N$18,$N$14,$N$13,BJ$2,BJ$1,$B446)</f>
        <v>0</v>
      </c>
      <c r="BK446" s="104"/>
      <c r="BL446" s="319">
        <f>_xll.DBRW(Server&amp;Cube1,$N$15,$N$16,$N$17,$N$18,$N$14,$N$13,BL$2,BL$1,$B446)</f>
        <v>0</v>
      </c>
      <c r="BM446" s="319">
        <f>_xll.DBRW(Server&amp;Cube1,$N$15,$N$16,$N$17,$N$18,$N$14,$N$13,BM$2,BM$1,$B446)</f>
        <v>0</v>
      </c>
      <c r="BN446" s="394">
        <f>_xll.DBRW(Server&amp;Cube1,$N$15,$N$16,$N$17,$N$18,$N$14,$N$13,BN$2,BN$1,$B446)</f>
        <v>0</v>
      </c>
      <c r="BO446" s="104"/>
      <c r="BP446" s="319">
        <f>_xll.DBRW(Server&amp;Cube1,$N$15,$N$16,$N$17,$N$18,$N$14,$N$13,BP$2,BP$1,$B446)</f>
        <v>0</v>
      </c>
      <c r="BQ446" s="319">
        <f>_xll.DBRW(Server&amp;Cube1,$N$15,$N$16,$N$17,$N$18,$N$14,$N$13,BQ$2,BQ$1,$B446)</f>
        <v>0</v>
      </c>
      <c r="BR446" s="394">
        <f>_xll.DBRW(Server&amp;Cube1,$N$15,$N$16,$N$17,$N$18,$N$14,$N$13,BR$2,BR$1,$B446)</f>
        <v>0</v>
      </c>
      <c r="BS446" s="104"/>
      <c r="BT446" s="319">
        <f>_xll.DBRW(Server&amp;Cube1,$N$15,$N$16,$N$17,$N$18,$N$14,$N$13,BT$2,BT$1,$B446)</f>
        <v>0</v>
      </c>
      <c r="BU446" s="319">
        <f>_xll.DBRW(Server&amp;Cube1,$N$15,$N$16,$N$17,$N$18,$N$14,$N$13,BU$2,BU$1,$B446)</f>
        <v>0</v>
      </c>
      <c r="BV446" s="394">
        <f>_xll.DBRW(Server&amp;Cube1,$N$15,$N$16,$N$17,$N$18,$N$14,$N$13,BV$2,BV$1,$B446)</f>
        <v>0</v>
      </c>
      <c r="BW446" s="100"/>
      <c r="BX446" s="28"/>
    </row>
    <row r="447" spans="1:78" ht="3.75" hidden="1" customHeight="1" outlineLevel="1" thickTop="1" x14ac:dyDescent="0.8">
      <c r="A447" s="56"/>
      <c r="B447" s="54"/>
      <c r="H447" s="54"/>
      <c r="I447" s="94"/>
      <c r="J447" s="57"/>
      <c r="K447" s="99"/>
      <c r="L447" s="533"/>
      <c r="M447" s="296"/>
      <c r="N447" s="296"/>
      <c r="O447" s="296"/>
      <c r="P447" s="61"/>
      <c r="Q447" s="208"/>
      <c r="R447" s="62"/>
      <c r="S447" s="63"/>
      <c r="T447" s="101"/>
      <c r="U447" s="210"/>
      <c r="V447" s="208"/>
      <c r="W447" s="63"/>
      <c r="X447" s="101"/>
      <c r="Y447" s="100"/>
      <c r="Z447" s="388"/>
      <c r="AA447" s="99"/>
      <c r="AB447" s="208"/>
      <c r="AC447" s="208"/>
      <c r="AD447" s="404"/>
      <c r="AE447" s="104"/>
      <c r="AF447" s="208"/>
      <c r="AG447" s="208"/>
      <c r="AH447" s="404"/>
      <c r="AI447" s="104"/>
      <c r="AJ447" s="208"/>
      <c r="AK447" s="208"/>
      <c r="AL447" s="404"/>
      <c r="AM447" s="104"/>
      <c r="AN447" s="208"/>
      <c r="AO447" s="208"/>
      <c r="AP447" s="404"/>
      <c r="AQ447" s="104"/>
      <c r="AR447" s="208"/>
      <c r="AS447" s="208"/>
      <c r="AT447" s="404"/>
      <c r="AU447" s="104"/>
      <c r="AV447" s="208"/>
      <c r="AW447" s="208"/>
      <c r="AX447" s="404"/>
      <c r="AY447" s="104"/>
      <c r="AZ447" s="208"/>
      <c r="BA447" s="208"/>
      <c r="BB447" s="404"/>
      <c r="BC447" s="104"/>
      <c r="BD447" s="208"/>
      <c r="BE447" s="208"/>
      <c r="BF447" s="404"/>
      <c r="BG447" s="104"/>
      <c r="BH447" s="208"/>
      <c r="BI447" s="208"/>
      <c r="BJ447" s="404"/>
      <c r="BK447" s="104"/>
      <c r="BL447" s="208"/>
      <c r="BM447" s="208"/>
      <c r="BN447" s="404"/>
      <c r="BO447" s="104"/>
      <c r="BP447" s="208"/>
      <c r="BQ447" s="208"/>
      <c r="BR447" s="404"/>
      <c r="BS447" s="104"/>
      <c r="BT447" s="208"/>
      <c r="BU447" s="208"/>
      <c r="BV447" s="404"/>
      <c r="BW447" s="100"/>
      <c r="BX447" s="28"/>
      <c r="BZ447" s="358"/>
    </row>
    <row r="448" spans="1:78" s="34" customFormat="1" ht="21.75" hidden="1" customHeight="1" outlineLevel="1" x14ac:dyDescent="0.8">
      <c r="A448" s="56"/>
      <c r="B448" s="54" t="s">
        <v>113</v>
      </c>
      <c r="C448" s="9"/>
      <c r="D448" s="54" t="b">
        <f>AND($Q456&lt;&gt;0,$R456&lt;&gt;0)</f>
        <v>0</v>
      </c>
      <c r="E448" s="54"/>
      <c r="F448" s="54" t="b">
        <f>AND($Q456&lt;&gt;0,$V456&lt;&gt;0)</f>
        <v>0</v>
      </c>
      <c r="H448" s="54"/>
      <c r="I448" s="94"/>
      <c r="J448" s="57"/>
      <c r="K448" s="99"/>
      <c r="L448" s="533"/>
      <c r="M448" s="521" t="str">
        <f>_xll.DBRA(Server&amp;$B$32,$B448,$N$19)</f>
        <v>E1 - Energy cost variance - Cost effect</v>
      </c>
      <c r="N448" s="521"/>
      <c r="O448" s="522"/>
      <c r="P448" s="240"/>
      <c r="Q448" s="243"/>
      <c r="R448" s="244"/>
      <c r="S448" s="245">
        <f>IF(D448,-1*S444*Q456,0)</f>
        <v>0</v>
      </c>
      <c r="T448" s="297">
        <f>IF(ISERROR(S448/#REF!*100),,S448/#REF!*100)</f>
        <v>0</v>
      </c>
      <c r="U448" s="239"/>
      <c r="V448" s="246"/>
      <c r="W448" s="245">
        <f>IF(F448,-1*W444*$Q456,0)</f>
        <v>0</v>
      </c>
      <c r="X448" s="301">
        <f>IF(ISERROR(W448/#REF!*100),,W448/#REF!*100)</f>
        <v>0</v>
      </c>
      <c r="Y448" s="100"/>
      <c r="Z448" s="388"/>
      <c r="AA448" s="99"/>
      <c r="AB448" s="243"/>
      <c r="AC448" s="243"/>
      <c r="AD448" s="405"/>
      <c r="AE448" s="104"/>
      <c r="AF448" s="243"/>
      <c r="AG448" s="243"/>
      <c r="AH448" s="405"/>
      <c r="AI448" s="104"/>
      <c r="AJ448" s="243"/>
      <c r="AK448" s="243"/>
      <c r="AL448" s="405"/>
      <c r="AM448" s="104"/>
      <c r="AN448" s="243"/>
      <c r="AO448" s="243"/>
      <c r="AP448" s="405"/>
      <c r="AQ448" s="104"/>
      <c r="AR448" s="243"/>
      <c r="AS448" s="243"/>
      <c r="AT448" s="405"/>
      <c r="AU448" s="104"/>
      <c r="AV448" s="243"/>
      <c r="AW448" s="243"/>
      <c r="AX448" s="405"/>
      <c r="AY448" s="104"/>
      <c r="AZ448" s="243"/>
      <c r="BA448" s="243"/>
      <c r="BB448" s="405"/>
      <c r="BC448" s="104"/>
      <c r="BD448" s="243"/>
      <c r="BE448" s="243"/>
      <c r="BF448" s="405"/>
      <c r="BG448" s="104"/>
      <c r="BH448" s="243"/>
      <c r="BI448" s="243"/>
      <c r="BJ448" s="405"/>
      <c r="BK448" s="104"/>
      <c r="BL448" s="243"/>
      <c r="BM448" s="243"/>
      <c r="BN448" s="405"/>
      <c r="BO448" s="104"/>
      <c r="BP448" s="243"/>
      <c r="BQ448" s="243"/>
      <c r="BR448" s="405"/>
      <c r="BS448" s="104"/>
      <c r="BT448" s="243"/>
      <c r="BU448" s="243"/>
      <c r="BV448" s="405"/>
      <c r="BW448" s="100"/>
      <c r="BX448" s="28"/>
    </row>
    <row r="449" spans="1:78" s="34" customFormat="1" ht="21.75" hidden="1" customHeight="1" outlineLevel="1" x14ac:dyDescent="0.8">
      <c r="A449" s="56"/>
      <c r="B449" s="54" t="s">
        <v>114</v>
      </c>
      <c r="C449" s="9"/>
      <c r="D449" s="54" t="b">
        <f>AND($Q458&lt;&gt;0,$R458&lt;&gt;0,$Q456&lt;&gt;0,$R456&lt;&gt;0)</f>
        <v>0</v>
      </c>
      <c r="E449" s="54"/>
      <c r="F449" s="54" t="b">
        <f>AND($Q458&lt;&gt;0,$V458&lt;&gt;0,$Q456&lt;&gt;0,$V456&lt;&gt;0)</f>
        <v>0</v>
      </c>
      <c r="H449" s="54"/>
      <c r="I449" s="94"/>
      <c r="J449" s="57"/>
      <c r="K449" s="99"/>
      <c r="L449" s="533"/>
      <c r="M449" s="523" t="str">
        <f>_xll.DBRA(Server&amp;$B$32,$B449,$N$19)</f>
        <v>E2 - Energy cost variance - Efficiency effect</v>
      </c>
      <c r="N449" s="523"/>
      <c r="O449" s="524"/>
      <c r="P449" s="240"/>
      <c r="Q449" s="243"/>
      <c r="R449" s="247"/>
      <c r="S449" s="245">
        <f>IF(D449,IF(Q445&lt;&gt;0,S445/Q445*$Q$81,0),0)</f>
        <v>0</v>
      </c>
      <c r="T449" s="297">
        <f>IF(ISERROR(S449/$Q$36*100),,S449/$Q$36*100)</f>
        <v>0</v>
      </c>
      <c r="U449" s="239"/>
      <c r="V449" s="246"/>
      <c r="W449" s="245">
        <f>IF(F449,IF($Q445&lt;&gt;0,W445/$Q445*$Q$81,0),0)</f>
        <v>0</v>
      </c>
      <c r="X449" s="301">
        <f>IF(ISERROR(W449/$Q$36*100),,W449/$Q$36*100)</f>
        <v>0</v>
      </c>
      <c r="Y449" s="100"/>
      <c r="Z449" s="388"/>
      <c r="AA449" s="99"/>
      <c r="AB449" s="243"/>
      <c r="AC449" s="243"/>
      <c r="AD449" s="405"/>
      <c r="AE449" s="104"/>
      <c r="AF449" s="243"/>
      <c r="AG449" s="243"/>
      <c r="AH449" s="405"/>
      <c r="AI449" s="104"/>
      <c r="AJ449" s="243"/>
      <c r="AK449" s="243"/>
      <c r="AL449" s="405"/>
      <c r="AM449" s="104"/>
      <c r="AN449" s="243"/>
      <c r="AO449" s="243"/>
      <c r="AP449" s="405"/>
      <c r="AQ449" s="104"/>
      <c r="AR449" s="243"/>
      <c r="AS449" s="243"/>
      <c r="AT449" s="405"/>
      <c r="AU449" s="104"/>
      <c r="AV449" s="243"/>
      <c r="AW449" s="243"/>
      <c r="AX449" s="405"/>
      <c r="AY449" s="104"/>
      <c r="AZ449" s="243"/>
      <c r="BA449" s="243"/>
      <c r="BB449" s="405"/>
      <c r="BC449" s="104"/>
      <c r="BD449" s="243"/>
      <c r="BE449" s="243"/>
      <c r="BF449" s="405"/>
      <c r="BG449" s="104"/>
      <c r="BH449" s="243"/>
      <c r="BI449" s="243"/>
      <c r="BJ449" s="405"/>
      <c r="BK449" s="104"/>
      <c r="BL449" s="243"/>
      <c r="BM449" s="243"/>
      <c r="BN449" s="405"/>
      <c r="BO449" s="104"/>
      <c r="BP449" s="243"/>
      <c r="BQ449" s="243"/>
      <c r="BR449" s="405"/>
      <c r="BS449" s="104"/>
      <c r="BT449" s="243"/>
      <c r="BU449" s="243"/>
      <c r="BV449" s="405"/>
      <c r="BW449" s="100"/>
      <c r="BX449" s="28"/>
    </row>
    <row r="450" spans="1:78" s="34" customFormat="1" ht="21.75" hidden="1" customHeight="1" outlineLevel="1" x14ac:dyDescent="0.8">
      <c r="A450" s="56"/>
      <c r="B450" s="54" t="s">
        <v>115</v>
      </c>
      <c r="C450" s="9"/>
      <c r="D450" s="54" t="b">
        <f>AND($Q458&lt;&gt;0,$R458&lt;&gt;0)</f>
        <v>0</v>
      </c>
      <c r="E450" s="54"/>
      <c r="F450" s="54" t="b">
        <f>AND($Q458&lt;&gt;0,$V458&lt;&gt;0)</f>
        <v>0</v>
      </c>
      <c r="H450" s="54"/>
      <c r="I450" s="94"/>
      <c r="J450" s="57"/>
      <c r="K450" s="99"/>
      <c r="L450" s="533"/>
      <c r="M450" s="523" t="str">
        <f>_xll.DBRA(Server&amp;$B$32,$B450,$N$19)</f>
        <v>E3 - Energy cost variance - Price effect</v>
      </c>
      <c r="N450" s="523"/>
      <c r="O450" s="524"/>
      <c r="P450" s="240"/>
      <c r="Q450" s="243"/>
      <c r="R450" s="247"/>
      <c r="S450" s="245">
        <f>IF(D450,Q443*S446*Q458,0)</f>
        <v>0</v>
      </c>
      <c r="T450" s="297">
        <f>IF(ISERROR(S450/$Q$36*100),,S450/$Q$36*100)</f>
        <v>0</v>
      </c>
      <c r="U450" s="239"/>
      <c r="V450" s="246"/>
      <c r="W450" s="248">
        <f>IF(F450,$Q443*W446*$Q458,0)</f>
        <v>0</v>
      </c>
      <c r="X450" s="301">
        <f>IF(ISERROR(W450/$Q$36*100),,W450/$Q$36*100)</f>
        <v>0</v>
      </c>
      <c r="Y450" s="100"/>
      <c r="Z450" s="388"/>
      <c r="AA450" s="99"/>
      <c r="AB450" s="243"/>
      <c r="AC450" s="243"/>
      <c r="AD450" s="405"/>
      <c r="AE450" s="104"/>
      <c r="AF450" s="243"/>
      <c r="AG450" s="243"/>
      <c r="AH450" s="405"/>
      <c r="AI450" s="104"/>
      <c r="AJ450" s="243"/>
      <c r="AK450" s="243"/>
      <c r="AL450" s="405"/>
      <c r="AM450" s="104"/>
      <c r="AN450" s="243"/>
      <c r="AO450" s="243"/>
      <c r="AP450" s="405"/>
      <c r="AQ450" s="104"/>
      <c r="AR450" s="243"/>
      <c r="AS450" s="243"/>
      <c r="AT450" s="405"/>
      <c r="AU450" s="104"/>
      <c r="AV450" s="243"/>
      <c r="AW450" s="243"/>
      <c r="AX450" s="405"/>
      <c r="AY450" s="104"/>
      <c r="AZ450" s="243"/>
      <c r="BA450" s="243"/>
      <c r="BB450" s="405"/>
      <c r="BC450" s="104"/>
      <c r="BD450" s="243"/>
      <c r="BE450" s="243"/>
      <c r="BF450" s="405"/>
      <c r="BG450" s="104"/>
      <c r="BH450" s="243"/>
      <c r="BI450" s="243"/>
      <c r="BJ450" s="405"/>
      <c r="BK450" s="104"/>
      <c r="BL450" s="243"/>
      <c r="BM450" s="243"/>
      <c r="BN450" s="405"/>
      <c r="BO450" s="104"/>
      <c r="BP450" s="243"/>
      <c r="BQ450" s="243"/>
      <c r="BR450" s="405"/>
      <c r="BS450" s="104"/>
      <c r="BT450" s="243"/>
      <c r="BU450" s="243"/>
      <c r="BV450" s="405"/>
      <c r="BW450" s="100"/>
      <c r="BX450" s="28"/>
    </row>
    <row r="451" spans="1:78" s="34" customFormat="1" ht="21.75" hidden="1" customHeight="1" outlineLevel="1" x14ac:dyDescent="0.8">
      <c r="A451" s="56"/>
      <c r="B451" s="54" t="s">
        <v>116</v>
      </c>
      <c r="C451" s="9"/>
      <c r="D451" s="54" t="b">
        <f>AND($Q458&lt;&gt;0,$R458&lt;&gt;0,$Q456&lt;&gt;0,$R456&lt;&gt;0)</f>
        <v>0</v>
      </c>
      <c r="E451" s="54"/>
      <c r="F451" s="54" t="b">
        <f>AND($Q458&lt;&gt;0,$V458&lt;&gt;0,$Q456&lt;&gt;0,$V456&lt;&gt;0)</f>
        <v>0</v>
      </c>
      <c r="H451" s="54"/>
      <c r="I451" s="94"/>
      <c r="J451" s="57"/>
      <c r="K451" s="99"/>
      <c r="L451" s="533"/>
      <c r="M451" s="541" t="str">
        <f>_xll.DBRA(Server&amp;$B$32,$B451,$N$19)</f>
        <v>E - Compound</v>
      </c>
      <c r="N451" s="541"/>
      <c r="O451" s="542"/>
      <c r="P451" s="240"/>
      <c r="Q451" s="243"/>
      <c r="R451" s="247"/>
      <c r="S451" s="249">
        <f>IF(D451,$S81-S448-S449-S450-S454,0)</f>
        <v>0</v>
      </c>
      <c r="T451" s="298">
        <f>IF(ISERROR(S451/$Q$36*100),,S451/$Q$36*100)</f>
        <v>0</v>
      </c>
      <c r="U451" s="239"/>
      <c r="V451" s="246"/>
      <c r="W451" s="249">
        <f>IF(F451,$W81-W448-W449-W450-W454,0)</f>
        <v>0</v>
      </c>
      <c r="X451" s="298">
        <f>IF(ISERROR(W451/$Q$36*100),,W451/$Q$36*100)</f>
        <v>0</v>
      </c>
      <c r="Y451" s="100"/>
      <c r="Z451" s="388"/>
      <c r="AA451" s="99"/>
      <c r="AB451" s="243"/>
      <c r="AC451" s="243"/>
      <c r="AD451" s="405"/>
      <c r="AE451" s="104"/>
      <c r="AF451" s="243"/>
      <c r="AG451" s="243"/>
      <c r="AH451" s="405"/>
      <c r="AI451" s="104"/>
      <c r="AJ451" s="243"/>
      <c r="AK451" s="243"/>
      <c r="AL451" s="405"/>
      <c r="AM451" s="104"/>
      <c r="AN451" s="243"/>
      <c r="AO451" s="243"/>
      <c r="AP451" s="405"/>
      <c r="AQ451" s="104"/>
      <c r="AR451" s="243"/>
      <c r="AS451" s="243"/>
      <c r="AT451" s="405"/>
      <c r="AU451" s="104"/>
      <c r="AV451" s="243"/>
      <c r="AW451" s="243"/>
      <c r="AX451" s="405"/>
      <c r="AY451" s="104"/>
      <c r="AZ451" s="243"/>
      <c r="BA451" s="243"/>
      <c r="BB451" s="405"/>
      <c r="BC451" s="104"/>
      <c r="BD451" s="243"/>
      <c r="BE451" s="243"/>
      <c r="BF451" s="405"/>
      <c r="BG451" s="104"/>
      <c r="BH451" s="243"/>
      <c r="BI451" s="243"/>
      <c r="BJ451" s="405"/>
      <c r="BK451" s="104"/>
      <c r="BL451" s="243"/>
      <c r="BM451" s="243"/>
      <c r="BN451" s="405"/>
      <c r="BO451" s="104"/>
      <c r="BP451" s="243"/>
      <c r="BQ451" s="243"/>
      <c r="BR451" s="405"/>
      <c r="BS451" s="104"/>
      <c r="BT451" s="243"/>
      <c r="BU451" s="243"/>
      <c r="BV451" s="405"/>
      <c r="BW451" s="100"/>
      <c r="BX451" s="28"/>
    </row>
    <row r="452" spans="1:78" s="34" customFormat="1" ht="21.75" hidden="1" customHeight="1" outlineLevel="1" x14ac:dyDescent="0.8">
      <c r="A452" s="56"/>
      <c r="B452" s="371" t="s">
        <v>144</v>
      </c>
      <c r="C452" s="9"/>
      <c r="D452" s="54" t="b">
        <f>OR($Q458=0,$R458=0,$Q456=0,$R456=0)</f>
        <v>1</v>
      </c>
      <c r="E452" s="54"/>
      <c r="F452" s="54" t="b">
        <f>OR($Q458=0,$V458=0,$Q456=0,$V456=0)</f>
        <v>1</v>
      </c>
      <c r="H452" s="371"/>
      <c r="I452" s="94"/>
      <c r="J452" s="57"/>
      <c r="K452" s="99"/>
      <c r="L452" s="533"/>
      <c r="M452" s="543" t="str">
        <f>_xll.DBRA(Server&amp;$B$32,$B452,$N$19)</f>
        <v>E - Energy cost variance not addressed due to missing Work Unit(s)</v>
      </c>
      <c r="N452" s="543"/>
      <c r="O452" s="544"/>
      <c r="P452" s="250"/>
      <c r="Q452" s="251"/>
      <c r="R452" s="252"/>
      <c r="S452" s="253">
        <f>IF(D452,S$81-S448-S449-S450-S454,0)</f>
        <v>-25406452.09999999</v>
      </c>
      <c r="T452" s="299">
        <f>IF(ISERROR(S452/$Q$36*100),,S452/$Q$36*100)</f>
        <v>-11.198394109007184</v>
      </c>
      <c r="U452" s="254"/>
      <c r="V452" s="255"/>
      <c r="W452" s="249">
        <f>IF(F452,$W$81-W448-W449-W450-W454,0)</f>
        <v>8928619.4192142487</v>
      </c>
      <c r="X452" s="299">
        <f>IF(ISERROR(W452/$Q$36*100),,W452/$Q$36*100)</f>
        <v>3.935464846179606</v>
      </c>
      <c r="Y452" s="100"/>
      <c r="Z452" s="388"/>
      <c r="AA452" s="99"/>
      <c r="AB452" s="251"/>
      <c r="AC452" s="251"/>
      <c r="AD452" s="406"/>
      <c r="AE452" s="104"/>
      <c r="AF452" s="251"/>
      <c r="AG452" s="251"/>
      <c r="AH452" s="406"/>
      <c r="AI452" s="104"/>
      <c r="AJ452" s="251"/>
      <c r="AK452" s="251"/>
      <c r="AL452" s="406"/>
      <c r="AM452" s="104"/>
      <c r="AN452" s="251"/>
      <c r="AO452" s="251"/>
      <c r="AP452" s="406"/>
      <c r="AQ452" s="104"/>
      <c r="AR452" s="251"/>
      <c r="AS452" s="251"/>
      <c r="AT452" s="406"/>
      <c r="AU452" s="104"/>
      <c r="AV452" s="251"/>
      <c r="AW452" s="251"/>
      <c r="AX452" s="406"/>
      <c r="AY452" s="104"/>
      <c r="AZ452" s="251"/>
      <c r="BA452" s="251"/>
      <c r="BB452" s="406"/>
      <c r="BC452" s="104"/>
      <c r="BD452" s="251"/>
      <c r="BE452" s="251"/>
      <c r="BF452" s="406"/>
      <c r="BG452" s="104"/>
      <c r="BH452" s="251"/>
      <c r="BI452" s="251"/>
      <c r="BJ452" s="406"/>
      <c r="BK452" s="104"/>
      <c r="BL452" s="251"/>
      <c r="BM452" s="251"/>
      <c r="BN452" s="406"/>
      <c r="BO452" s="104"/>
      <c r="BP452" s="251"/>
      <c r="BQ452" s="251"/>
      <c r="BR452" s="406"/>
      <c r="BS452" s="104"/>
      <c r="BT452" s="251"/>
      <c r="BU452" s="251"/>
      <c r="BV452" s="406"/>
      <c r="BW452" s="100"/>
      <c r="BX452" s="28"/>
    </row>
    <row r="453" spans="1:78" s="34" customFormat="1" ht="22.5" customHeight="1" collapsed="1" thickTop="1" x14ac:dyDescent="0.75">
      <c r="A453" s="56"/>
      <c r="B453" s="54" t="s">
        <v>118</v>
      </c>
      <c r="C453" s="9"/>
      <c r="D453" s="1"/>
      <c r="E453" s="1"/>
      <c r="H453" s="54"/>
      <c r="I453" s="94"/>
      <c r="J453" s="57"/>
      <c r="K453" s="99"/>
      <c r="L453" s="533"/>
      <c r="M453" s="537" t="str">
        <f>_xll.DBRA(Server&amp;$B$32,$B453,$N$19)</f>
        <v>E - Part of Energy cost variance due to Level 2 ratios change</v>
      </c>
      <c r="N453" s="537"/>
      <c r="O453" s="538"/>
      <c r="P453" s="256"/>
      <c r="Q453" s="257"/>
      <c r="R453" s="258"/>
      <c r="S453" s="326">
        <f>SUM(S448:S452)</f>
        <v>-25406452.09999999</v>
      </c>
      <c r="T453" s="327">
        <f>-(Q443-R443)*100</f>
        <v>0</v>
      </c>
      <c r="U453" s="260"/>
      <c r="V453" s="261"/>
      <c r="W453" s="326">
        <f>SUM(W448:W452)</f>
        <v>8928619.4192142487</v>
      </c>
      <c r="X453" s="327">
        <f>-($Q443-V443)*100</f>
        <v>0</v>
      </c>
      <c r="Y453" s="100"/>
      <c r="Z453" s="388"/>
      <c r="AA453" s="99"/>
      <c r="AB453" s="257"/>
      <c r="AC453" s="257"/>
      <c r="AD453" s="407"/>
      <c r="AE453" s="104"/>
      <c r="AF453" s="257"/>
      <c r="AG453" s="257"/>
      <c r="AH453" s="407"/>
      <c r="AI453" s="104"/>
      <c r="AJ453" s="257"/>
      <c r="AK453" s="257"/>
      <c r="AL453" s="407"/>
      <c r="AM453" s="104"/>
      <c r="AN453" s="257"/>
      <c r="AO453" s="257"/>
      <c r="AP453" s="407"/>
      <c r="AQ453" s="104"/>
      <c r="AR453" s="257"/>
      <c r="AS453" s="257"/>
      <c r="AT453" s="407"/>
      <c r="AU453" s="104"/>
      <c r="AV453" s="257"/>
      <c r="AW453" s="257"/>
      <c r="AX453" s="407"/>
      <c r="AY453" s="104"/>
      <c r="AZ453" s="257"/>
      <c r="BA453" s="257"/>
      <c r="BB453" s="407"/>
      <c r="BC453" s="104"/>
      <c r="BD453" s="257"/>
      <c r="BE453" s="257"/>
      <c r="BF453" s="407"/>
      <c r="BG453" s="104"/>
      <c r="BH453" s="257"/>
      <c r="BI453" s="257"/>
      <c r="BJ453" s="407"/>
      <c r="BK453" s="104"/>
      <c r="BL453" s="257"/>
      <c r="BM453" s="257"/>
      <c r="BN453" s="407"/>
      <c r="BO453" s="104"/>
      <c r="BP453" s="257"/>
      <c r="BQ453" s="257"/>
      <c r="BR453" s="407"/>
      <c r="BS453" s="104"/>
      <c r="BT453" s="257"/>
      <c r="BU453" s="257"/>
      <c r="BV453" s="407"/>
      <c r="BW453" s="100"/>
      <c r="BX453" s="28"/>
    </row>
    <row r="454" spans="1:78" s="34" customFormat="1" ht="22.5" customHeight="1" x14ac:dyDescent="0.75">
      <c r="A454" s="56"/>
      <c r="B454" s="54" t="s">
        <v>117</v>
      </c>
      <c r="C454" s="9"/>
      <c r="D454" s="1"/>
      <c r="E454" s="1"/>
      <c r="H454" s="54"/>
      <c r="I454" s="94"/>
      <c r="J454" s="57"/>
      <c r="K454" s="99"/>
      <c r="L454" s="534"/>
      <c r="M454" s="539" t="str">
        <f>_xll.DBRA(Server&amp;$B$32,$B454,$N$19)</f>
        <v>E - Part of Energy cost variance due to ROA change</v>
      </c>
      <c r="N454" s="539"/>
      <c r="O454" s="540"/>
      <c r="P454" s="262"/>
      <c r="Q454" s="263"/>
      <c r="R454" s="264"/>
      <c r="S454" s="265">
        <f>(IF($R$36&lt;&gt;0,IF($R$36&gt;0,$S$36/$R$36,-$S$36/$R$36),0))*R81</f>
        <v>0</v>
      </c>
      <c r="T454" s="328"/>
      <c r="U454" s="267"/>
      <c r="V454" s="268"/>
      <c r="W454" s="265">
        <f>(IF($V$36&lt;&gt;0,IF($V$36&gt;0,$W$36/$V$36,-$W$36/$V$36),0))*V81</f>
        <v>1049519989.6307822</v>
      </c>
      <c r="X454" s="328"/>
      <c r="Y454" s="100"/>
      <c r="Z454" s="388"/>
      <c r="AA454" s="99"/>
      <c r="AB454" s="263"/>
      <c r="AC454" s="263"/>
      <c r="AD454" s="408"/>
      <c r="AE454" s="104"/>
      <c r="AF454" s="263"/>
      <c r="AG454" s="263"/>
      <c r="AH454" s="408"/>
      <c r="AI454" s="104"/>
      <c r="AJ454" s="263"/>
      <c r="AK454" s="263"/>
      <c r="AL454" s="408"/>
      <c r="AM454" s="104"/>
      <c r="AN454" s="263"/>
      <c r="AO454" s="263"/>
      <c r="AP454" s="408"/>
      <c r="AQ454" s="104"/>
      <c r="AR454" s="263"/>
      <c r="AS454" s="263"/>
      <c r="AT454" s="408"/>
      <c r="AU454" s="104"/>
      <c r="AV454" s="263"/>
      <c r="AW454" s="263"/>
      <c r="AX454" s="408"/>
      <c r="AY454" s="104"/>
      <c r="AZ454" s="263"/>
      <c r="BA454" s="263"/>
      <c r="BB454" s="408"/>
      <c r="BC454" s="104"/>
      <c r="BD454" s="263"/>
      <c r="BE454" s="263"/>
      <c r="BF454" s="408"/>
      <c r="BG454" s="104"/>
      <c r="BH454" s="263"/>
      <c r="BI454" s="263"/>
      <c r="BJ454" s="408"/>
      <c r="BK454" s="104"/>
      <c r="BL454" s="263"/>
      <c r="BM454" s="263"/>
      <c r="BN454" s="408"/>
      <c r="BO454" s="104"/>
      <c r="BP454" s="263"/>
      <c r="BQ454" s="263"/>
      <c r="BR454" s="408"/>
      <c r="BS454" s="104"/>
      <c r="BT454" s="263"/>
      <c r="BU454" s="263"/>
      <c r="BV454" s="408"/>
      <c r="BW454" s="100"/>
      <c r="BX454" s="28"/>
    </row>
    <row r="455" spans="1:78" s="34" customFormat="1" ht="21" customHeight="1" collapsed="1" x14ac:dyDescent="0.8">
      <c r="A455" s="56"/>
      <c r="B455" s="370" t="s">
        <v>147</v>
      </c>
      <c r="C455" s="9"/>
      <c r="D455" s="1"/>
      <c r="E455" s="1"/>
      <c r="H455" s="370"/>
      <c r="I455" s="94"/>
      <c r="J455" s="57"/>
      <c r="K455" s="99"/>
      <c r="L455" s="525" t="str">
        <f>_xll.DBRA(Server&amp;Context!$B$32,Context!$B$58,$N$19)</f>
        <v>Total Energy cost variance (impact on Gross Margin variance)</v>
      </c>
      <c r="M455" s="526"/>
      <c r="N455" s="526"/>
      <c r="O455" s="527"/>
      <c r="P455" s="207"/>
      <c r="Q455" s="269"/>
      <c r="R455" s="270"/>
      <c r="S455" s="271">
        <f>SUM(S453:S454)</f>
        <v>-25406452.09999999</v>
      </c>
      <c r="T455" s="329"/>
      <c r="U455" s="241"/>
      <c r="V455" s="273"/>
      <c r="W455" s="271">
        <f>SUM(W453:W454)</f>
        <v>1058448609.0499965</v>
      </c>
      <c r="X455" s="329"/>
      <c r="Y455" s="100"/>
      <c r="Z455" s="388"/>
      <c r="AA455" s="99"/>
      <c r="AB455" s="269"/>
      <c r="AC455" s="269"/>
      <c r="AD455" s="409"/>
      <c r="AE455" s="104"/>
      <c r="AF455" s="269"/>
      <c r="AG455" s="269"/>
      <c r="AH455" s="409"/>
      <c r="AI455" s="104"/>
      <c r="AJ455" s="269"/>
      <c r="AK455" s="269"/>
      <c r="AL455" s="409"/>
      <c r="AM455" s="104"/>
      <c r="AN455" s="269"/>
      <c r="AO455" s="269"/>
      <c r="AP455" s="409"/>
      <c r="AQ455" s="104"/>
      <c r="AR455" s="269"/>
      <c r="AS455" s="269"/>
      <c r="AT455" s="409"/>
      <c r="AU455" s="104"/>
      <c r="AV455" s="269"/>
      <c r="AW455" s="269"/>
      <c r="AX455" s="409"/>
      <c r="AY455" s="104"/>
      <c r="AZ455" s="269"/>
      <c r="BA455" s="269"/>
      <c r="BB455" s="409"/>
      <c r="BC455" s="104"/>
      <c r="BD455" s="269"/>
      <c r="BE455" s="269"/>
      <c r="BF455" s="409"/>
      <c r="BG455" s="104"/>
      <c r="BH455" s="269"/>
      <c r="BI455" s="269"/>
      <c r="BJ455" s="409"/>
      <c r="BK455" s="104"/>
      <c r="BL455" s="269"/>
      <c r="BM455" s="269"/>
      <c r="BN455" s="409"/>
      <c r="BO455" s="104"/>
      <c r="BP455" s="269"/>
      <c r="BQ455" s="269"/>
      <c r="BR455" s="409"/>
      <c r="BS455" s="104"/>
      <c r="BT455" s="269"/>
      <c r="BU455" s="269"/>
      <c r="BV455" s="409"/>
      <c r="BW455" s="100"/>
      <c r="BX455" s="28"/>
    </row>
    <row r="456" spans="1:78" s="34" customFormat="1" ht="18.75" hidden="1" customHeight="1" outlineLevel="1" x14ac:dyDescent="0.8">
      <c r="A456" s="135" t="str">
        <f>_xll.DBR(Server&amp;Cube2,$N$15,$N$13,$B456,IF($N$19="French","STR_VAR3","STR_VAR2"))</f>
        <v/>
      </c>
      <c r="B456" s="54" t="s">
        <v>111</v>
      </c>
      <c r="C456" s="135" t="str">
        <f>_xll.DBR(Server&amp;Cube2,$N$15,$N$13,$B456,"STR_VAR1")</f>
        <v/>
      </c>
      <c r="D456" s="1"/>
      <c r="E456" s="1"/>
      <c r="H456" s="54"/>
      <c r="I456" s="1"/>
      <c r="J456" s="30"/>
      <c r="K456" s="99"/>
      <c r="L456" s="102"/>
      <c r="M456" s="294" t="str">
        <f>_xll.DBRA(Server&amp;$B$32,$B456,$N$19)&amp;"      ---&gt;"</f>
        <v>Energy - Cost Work Unit      ---&gt;</v>
      </c>
      <c r="N456" s="294"/>
      <c r="O456" s="412" t="str">
        <f>IF(A456="",_xll.DBRA(Server&amp;Context!$B$32,Context!$B$66,$N$19),_xll.DBRA(Server&amp;$B$32,$A456,$N$19))</f>
        <v>Not defined</v>
      </c>
      <c r="P456" s="207"/>
      <c r="Q456" s="274">
        <f>_xll.DBRW(Server&amp;Cube1,$N$15,$N$16,$N$17,$N$18,$N$14,$N$13,$N$11,$Q$1,$B456)</f>
        <v>0</v>
      </c>
      <c r="R456" s="275">
        <f>_xll.DBRW(Server&amp;Cube1,$N$15,$N$16,$N$17,$N$18,$N$14,$N$13,$R$2,$R$1,$B456)</f>
        <v>0</v>
      </c>
      <c r="S456" s="276">
        <f>Q456-R456</f>
        <v>0</v>
      </c>
      <c r="T456" s="277">
        <f>IF(R456&lt;&gt;0,IF(R456&gt;0,S456/R456,-S456/R456),0)</f>
        <v>0</v>
      </c>
      <c r="U456" s="239"/>
      <c r="V456" s="274">
        <f>_xll.DBRW(Server&amp;Cube1,$N$15,$N$16,$N$17,$N$18,$N$14,$N$13,$V$2,$V$1,$B456)</f>
        <v>0</v>
      </c>
      <c r="W456" s="276">
        <f>$Q456-V456</f>
        <v>0</v>
      </c>
      <c r="X456" s="277">
        <f>IF(V456&lt;&gt;0,IF(V456&gt;0,W456/V456,-W456/V456),0)</f>
        <v>0</v>
      </c>
      <c r="Y456" s="209"/>
      <c r="Z456" s="386"/>
      <c r="AA456" s="99"/>
      <c r="AB456" s="274">
        <f>_xll.DBRW(Server&amp;Cube1,$N$15,$N$16,$N$17,$N$18,$N$14,$N$13,AB$2,AB$1,$B456)</f>
        <v>0</v>
      </c>
      <c r="AC456" s="274">
        <f>_xll.DBRW(Server&amp;Cube1,$N$15,$N$16,$N$17,$N$18,$N$14,$N$13,AC$2,AC$1,$B456)</f>
        <v>0</v>
      </c>
      <c r="AD456" s="401">
        <f>_xll.DBRW(Server&amp;Cube1,$N$15,$N$16,$N$17,$N$18,$N$14,$N$13,AD$2,AD$1,$B456)</f>
        <v>0</v>
      </c>
      <c r="AE456" s="104"/>
      <c r="AF456" s="274">
        <f>_xll.DBRW(Server&amp;Cube1,$N$15,$N$16,$N$17,$N$18,$N$14,$N$13,AF$2,AF$1,$B456)</f>
        <v>0</v>
      </c>
      <c r="AG456" s="274">
        <f>_xll.DBRW(Server&amp;Cube1,$N$15,$N$16,$N$17,$N$18,$N$14,$N$13,AG$2,AG$1,$B456)</f>
        <v>0</v>
      </c>
      <c r="AH456" s="401">
        <f>_xll.DBRW(Server&amp;Cube1,$N$15,$N$16,$N$17,$N$18,$N$14,$N$13,AH$2,AH$1,$B456)</f>
        <v>0</v>
      </c>
      <c r="AI456" s="104"/>
      <c r="AJ456" s="274">
        <f>_xll.DBRW(Server&amp;Cube1,$N$15,$N$16,$N$17,$N$18,$N$14,$N$13,AJ$2,AJ$1,$B456)</f>
        <v>0</v>
      </c>
      <c r="AK456" s="274">
        <f>_xll.DBRW(Server&amp;Cube1,$N$15,$N$16,$N$17,$N$18,$N$14,$N$13,AK$2,AK$1,$B456)</f>
        <v>0</v>
      </c>
      <c r="AL456" s="401">
        <f>_xll.DBRW(Server&amp;Cube1,$N$15,$N$16,$N$17,$N$18,$N$14,$N$13,AL$2,AL$1,$B456)</f>
        <v>0</v>
      </c>
      <c r="AM456" s="104"/>
      <c r="AN456" s="274">
        <f>_xll.DBRW(Server&amp;Cube1,$N$15,$N$16,$N$17,$N$18,$N$14,$N$13,AN$2,AN$1,$B456)</f>
        <v>0</v>
      </c>
      <c r="AO456" s="274">
        <f>_xll.DBRW(Server&amp;Cube1,$N$15,$N$16,$N$17,$N$18,$N$14,$N$13,AO$2,AO$1,$B456)</f>
        <v>0</v>
      </c>
      <c r="AP456" s="401">
        <f>_xll.DBRW(Server&amp;Cube1,$N$15,$N$16,$N$17,$N$18,$N$14,$N$13,AP$2,AP$1,$B456)</f>
        <v>0</v>
      </c>
      <c r="AQ456" s="104"/>
      <c r="AR456" s="274">
        <f>_xll.DBRW(Server&amp;Cube1,$N$15,$N$16,$N$17,$N$18,$N$14,$N$13,AR$2,AR$1,$B456)</f>
        <v>0</v>
      </c>
      <c r="AS456" s="274">
        <f>_xll.DBRW(Server&amp;Cube1,$N$15,$N$16,$N$17,$N$18,$N$14,$N$13,AS$2,AS$1,$B456)</f>
        <v>0</v>
      </c>
      <c r="AT456" s="401">
        <f>_xll.DBRW(Server&amp;Cube1,$N$15,$N$16,$N$17,$N$18,$N$14,$N$13,AT$2,AT$1,$B456)</f>
        <v>0</v>
      </c>
      <c r="AU456" s="104"/>
      <c r="AV456" s="274">
        <f>_xll.DBRW(Server&amp;Cube1,$N$15,$N$16,$N$17,$N$18,$N$14,$N$13,AV$2,AV$1,$B456)</f>
        <v>0</v>
      </c>
      <c r="AW456" s="274">
        <f>_xll.DBRW(Server&amp;Cube1,$N$15,$N$16,$N$17,$N$18,$N$14,$N$13,AW$2,AW$1,$B456)</f>
        <v>0</v>
      </c>
      <c r="AX456" s="401">
        <f>_xll.DBRW(Server&amp;Cube1,$N$15,$N$16,$N$17,$N$18,$N$14,$N$13,AX$2,AX$1,$B456)</f>
        <v>0</v>
      </c>
      <c r="AY456" s="104"/>
      <c r="AZ456" s="274">
        <f>_xll.DBRW(Server&amp;Cube1,$N$15,$N$16,$N$17,$N$18,$N$14,$N$13,AZ$2,AZ$1,$B456)</f>
        <v>0</v>
      </c>
      <c r="BA456" s="274">
        <f>_xll.DBRW(Server&amp;Cube1,$N$15,$N$16,$N$17,$N$18,$N$14,$N$13,BA$2,BA$1,$B456)</f>
        <v>0</v>
      </c>
      <c r="BB456" s="401">
        <f>_xll.DBRW(Server&amp;Cube1,$N$15,$N$16,$N$17,$N$18,$N$14,$N$13,BB$2,BB$1,$B456)</f>
        <v>0</v>
      </c>
      <c r="BC456" s="104"/>
      <c r="BD456" s="274">
        <f>_xll.DBRW(Server&amp;Cube1,$N$15,$N$16,$N$17,$N$18,$N$14,$N$13,BD$2,BD$1,$B456)</f>
        <v>0</v>
      </c>
      <c r="BE456" s="274">
        <f>_xll.DBRW(Server&amp;Cube1,$N$15,$N$16,$N$17,$N$18,$N$14,$N$13,BE$2,BE$1,$B456)</f>
        <v>0</v>
      </c>
      <c r="BF456" s="401">
        <f>_xll.DBRW(Server&amp;Cube1,$N$15,$N$16,$N$17,$N$18,$N$14,$N$13,BF$2,BF$1,$B456)</f>
        <v>0</v>
      </c>
      <c r="BG456" s="104"/>
      <c r="BH456" s="274">
        <f>_xll.DBRW(Server&amp;Cube1,$N$15,$N$16,$N$17,$N$18,$N$14,$N$13,BH$2,BH$1,$B456)</f>
        <v>0</v>
      </c>
      <c r="BI456" s="274">
        <f>_xll.DBRW(Server&amp;Cube1,$N$15,$N$16,$N$17,$N$18,$N$14,$N$13,BI$2,BI$1,$B456)</f>
        <v>0</v>
      </c>
      <c r="BJ456" s="401">
        <f>_xll.DBRW(Server&amp;Cube1,$N$15,$N$16,$N$17,$N$18,$N$14,$N$13,BJ$2,BJ$1,$B456)</f>
        <v>0</v>
      </c>
      <c r="BK456" s="104"/>
      <c r="BL456" s="274">
        <f>_xll.DBRW(Server&amp;Cube1,$N$15,$N$16,$N$17,$N$18,$N$14,$N$13,BL$2,BL$1,$B456)</f>
        <v>0</v>
      </c>
      <c r="BM456" s="274">
        <f>_xll.DBRW(Server&amp;Cube1,$N$15,$N$16,$N$17,$N$18,$N$14,$N$13,BM$2,BM$1,$B456)</f>
        <v>0</v>
      </c>
      <c r="BN456" s="401">
        <f>_xll.DBRW(Server&amp;Cube1,$N$15,$N$16,$N$17,$N$18,$N$14,$N$13,BN$2,BN$1,$B456)</f>
        <v>0</v>
      </c>
      <c r="BO456" s="104"/>
      <c r="BP456" s="274">
        <f>_xll.DBRW(Server&amp;Cube1,$N$15,$N$16,$N$17,$N$18,$N$14,$N$13,BP$2,BP$1,$B456)</f>
        <v>0</v>
      </c>
      <c r="BQ456" s="274">
        <f>_xll.DBRW(Server&amp;Cube1,$N$15,$N$16,$N$17,$N$18,$N$14,$N$13,BQ$2,BQ$1,$B456)</f>
        <v>0</v>
      </c>
      <c r="BR456" s="401">
        <f>_xll.DBRW(Server&amp;Cube1,$N$15,$N$16,$N$17,$N$18,$N$14,$N$13,BR$2,BR$1,$B456)</f>
        <v>0</v>
      </c>
      <c r="BS456" s="104"/>
      <c r="BT456" s="274">
        <f>_xll.DBRW(Server&amp;Cube1,$N$15,$N$16,$N$17,$N$18,$N$14,$N$13,BT$2,BT$1,$B456)</f>
        <v>0</v>
      </c>
      <c r="BU456" s="274">
        <f>_xll.DBRW(Server&amp;Cube1,$N$15,$N$16,$N$17,$N$18,$N$14,$N$13,BU$2,BU$1,$B456)</f>
        <v>0</v>
      </c>
      <c r="BV456" s="401">
        <f>_xll.DBRW(Server&amp;Cube1,$N$15,$N$16,$N$17,$N$18,$N$14,$N$13,BV$2,BV$1,$B456)</f>
        <v>0</v>
      </c>
      <c r="BW456" s="209"/>
      <c r="BX456" s="78"/>
      <c r="BY456" s="54"/>
      <c r="BZ456" s="361"/>
    </row>
    <row r="457" spans="1:78" s="34" customFormat="1" ht="9" hidden="1" customHeight="1" outlineLevel="1" x14ac:dyDescent="0.8">
      <c r="A457" s="135"/>
      <c r="B457" s="54"/>
      <c r="C457" s="135"/>
      <c r="D457" s="1"/>
      <c r="E457" s="1"/>
      <c r="H457" s="54"/>
      <c r="I457" s="1"/>
      <c r="J457" s="30"/>
      <c r="K457" s="99"/>
      <c r="L457" s="102"/>
      <c r="M457" s="295"/>
      <c r="N457" s="295"/>
      <c r="O457" s="456" t="str">
        <f>IF(COUNTIF($C456,"*Tot_km*"),$B$6,IF(COUNTIF($C456,"Tot_nb_vehicle"),$B$7,IF(COUNTIF($C456,"Rev_km"),$B$8,IF(COUNTIF($C456,"Tot_driv_hours"),$B$9,""))))</f>
        <v/>
      </c>
      <c r="P457" s="207"/>
      <c r="Q457" s="438"/>
      <c r="R457" s="439"/>
      <c r="S457" s="440"/>
      <c r="T457" s="441"/>
      <c r="U457" s="239"/>
      <c r="V457" s="438"/>
      <c r="W457" s="440"/>
      <c r="X457" s="441"/>
      <c r="Y457" s="209"/>
      <c r="Z457" s="386"/>
      <c r="AA457" s="99"/>
      <c r="AB457" s="438"/>
      <c r="AC457" s="438"/>
      <c r="AD457" s="442"/>
      <c r="AE457" s="104"/>
      <c r="AF457" s="438"/>
      <c r="AG457" s="438"/>
      <c r="AH457" s="442"/>
      <c r="AI457" s="104"/>
      <c r="AJ457" s="438"/>
      <c r="AK457" s="438"/>
      <c r="AL457" s="442"/>
      <c r="AM457" s="104"/>
      <c r="AN457" s="438"/>
      <c r="AO457" s="438"/>
      <c r="AP457" s="442"/>
      <c r="AQ457" s="104"/>
      <c r="AR457" s="438"/>
      <c r="AS457" s="438"/>
      <c r="AT457" s="442"/>
      <c r="AU457" s="104"/>
      <c r="AV457" s="438"/>
      <c r="AW457" s="438"/>
      <c r="AX457" s="442"/>
      <c r="AY457" s="104"/>
      <c r="AZ457" s="438"/>
      <c r="BA457" s="438"/>
      <c r="BB457" s="442"/>
      <c r="BC457" s="104"/>
      <c r="BD457" s="438"/>
      <c r="BE457" s="438"/>
      <c r="BF457" s="442"/>
      <c r="BG457" s="104"/>
      <c r="BH457" s="438"/>
      <c r="BI457" s="438"/>
      <c r="BJ457" s="442"/>
      <c r="BK457" s="104"/>
      <c r="BL457" s="438"/>
      <c r="BM457" s="438"/>
      <c r="BN457" s="442"/>
      <c r="BO457" s="104"/>
      <c r="BP457" s="438"/>
      <c r="BQ457" s="438"/>
      <c r="BR457" s="442"/>
      <c r="BS457" s="104"/>
      <c r="BT457" s="438"/>
      <c r="BU457" s="438"/>
      <c r="BV457" s="442"/>
      <c r="BW457" s="209"/>
      <c r="BX457" s="78"/>
      <c r="BY457" s="54"/>
      <c r="BZ457" s="361"/>
    </row>
    <row r="458" spans="1:78" s="34" customFormat="1" ht="18.75" hidden="1" customHeight="1" outlineLevel="1" x14ac:dyDescent="0.8">
      <c r="A458" s="135" t="str">
        <f>_xll.DBR(Server&amp;Cube2,$N$15,$N$13,$B458,IF($N$19="French","STR_VAR3","STR_VAR2"))</f>
        <v/>
      </c>
      <c r="B458" s="54" t="s">
        <v>112</v>
      </c>
      <c r="C458" s="135" t="str">
        <f>_xll.DBR(Server&amp;Cube2,$N$15,$N$13,$B458,"STR_VAR1")</f>
        <v/>
      </c>
      <c r="D458" s="1"/>
      <c r="E458" s="1"/>
      <c r="H458" s="54"/>
      <c r="I458" s="1"/>
      <c r="J458" s="30"/>
      <c r="K458" s="99"/>
      <c r="L458" s="102"/>
      <c r="M458" s="295" t="str">
        <f>_xll.DBRA(Server&amp;$B$32,$B458,$N$19)&amp;"     ---&gt;"</f>
        <v>Energy - Price Work Unit     ---&gt;</v>
      </c>
      <c r="N458" s="295"/>
      <c r="O458" s="412" t="str">
        <f>IF(A458="",_xll.DBRA(Server&amp;Context!$B$32,Context!$B$66,$N$19),_xll.DBRA(Server&amp;$B$32,$A458,$N$19))</f>
        <v>Not defined</v>
      </c>
      <c r="P458" s="207"/>
      <c r="Q458" s="278">
        <f>_xll.DBRW(Server&amp;Cube1,$N$15,$N$16,$N$17,$N$18,$N$14,$N$13,$N$11,$Q$1,$B458)</f>
        <v>0</v>
      </c>
      <c r="R458" s="279">
        <f>_xll.DBRW(Server&amp;Cube1,$N$15,$N$16,$N$17,$N$18,$N$14,$N$13,$R$2,$R$1,$B458)</f>
        <v>0</v>
      </c>
      <c r="S458" s="280">
        <f>Q458-R458</f>
        <v>0</v>
      </c>
      <c r="T458" s="281">
        <f>IF(R458&lt;&gt;0,IF(R458&gt;0,S458/R458,-S458/R458),0)</f>
        <v>0</v>
      </c>
      <c r="U458" s="239"/>
      <c r="V458" s="278">
        <f>_xll.DBRW(Server&amp;Cube1,$N$15,$N$16,$N$17,$N$18,$N$14,$N$13,$V$2,$V$1,$B458)</f>
        <v>0</v>
      </c>
      <c r="W458" s="280">
        <f>$Q458-V458</f>
        <v>0</v>
      </c>
      <c r="X458" s="281">
        <f>IF(V458&lt;&gt;0,IF(V458&gt;0,W458/V458,-W458/V458),0)</f>
        <v>0</v>
      </c>
      <c r="Y458" s="209"/>
      <c r="Z458" s="386"/>
      <c r="AA458" s="99"/>
      <c r="AB458" s="278">
        <f>_xll.DBRW(Server&amp;Cube1,$N$15,$N$16,$N$17,$N$18,$N$14,$N$13,AB$2,AB$1,$B458)</f>
        <v>0</v>
      </c>
      <c r="AC458" s="278">
        <f>_xll.DBRW(Server&amp;Cube1,$N$15,$N$16,$N$17,$N$18,$N$14,$N$13,AC$2,AC$1,$B458)</f>
        <v>0</v>
      </c>
      <c r="AD458" s="402">
        <f>_xll.DBRW(Server&amp;Cube1,$N$15,$N$16,$N$17,$N$18,$N$14,$N$13,AD$2,AD$1,$B458)</f>
        <v>0</v>
      </c>
      <c r="AE458" s="104"/>
      <c r="AF458" s="278">
        <f>_xll.DBRW(Server&amp;Cube1,$N$15,$N$16,$N$17,$N$18,$N$14,$N$13,AF$2,AF$1,$B458)</f>
        <v>0</v>
      </c>
      <c r="AG458" s="278">
        <f>_xll.DBRW(Server&amp;Cube1,$N$15,$N$16,$N$17,$N$18,$N$14,$N$13,AG$2,AG$1,$B458)</f>
        <v>0</v>
      </c>
      <c r="AH458" s="402">
        <f>_xll.DBRW(Server&amp;Cube1,$N$15,$N$16,$N$17,$N$18,$N$14,$N$13,AH$2,AH$1,$B458)</f>
        <v>0</v>
      </c>
      <c r="AI458" s="104"/>
      <c r="AJ458" s="278">
        <f>_xll.DBRW(Server&amp;Cube1,$N$15,$N$16,$N$17,$N$18,$N$14,$N$13,AJ$2,AJ$1,$B458)</f>
        <v>0</v>
      </c>
      <c r="AK458" s="278">
        <f>_xll.DBRW(Server&amp;Cube1,$N$15,$N$16,$N$17,$N$18,$N$14,$N$13,AK$2,AK$1,$B458)</f>
        <v>0</v>
      </c>
      <c r="AL458" s="402">
        <f>_xll.DBRW(Server&amp;Cube1,$N$15,$N$16,$N$17,$N$18,$N$14,$N$13,AL$2,AL$1,$B458)</f>
        <v>0</v>
      </c>
      <c r="AM458" s="104"/>
      <c r="AN458" s="278">
        <f>_xll.DBRW(Server&amp;Cube1,$N$15,$N$16,$N$17,$N$18,$N$14,$N$13,AN$2,AN$1,$B458)</f>
        <v>0</v>
      </c>
      <c r="AO458" s="278">
        <f>_xll.DBRW(Server&amp;Cube1,$N$15,$N$16,$N$17,$N$18,$N$14,$N$13,AO$2,AO$1,$B458)</f>
        <v>0</v>
      </c>
      <c r="AP458" s="402">
        <f>_xll.DBRW(Server&amp;Cube1,$N$15,$N$16,$N$17,$N$18,$N$14,$N$13,AP$2,AP$1,$B458)</f>
        <v>0</v>
      </c>
      <c r="AQ458" s="104"/>
      <c r="AR458" s="278">
        <f>_xll.DBRW(Server&amp;Cube1,$N$15,$N$16,$N$17,$N$18,$N$14,$N$13,AR$2,AR$1,$B458)</f>
        <v>0</v>
      </c>
      <c r="AS458" s="278">
        <f>_xll.DBRW(Server&amp;Cube1,$N$15,$N$16,$N$17,$N$18,$N$14,$N$13,AS$2,AS$1,$B458)</f>
        <v>0</v>
      </c>
      <c r="AT458" s="402">
        <f>_xll.DBRW(Server&amp;Cube1,$N$15,$N$16,$N$17,$N$18,$N$14,$N$13,AT$2,AT$1,$B458)</f>
        <v>0</v>
      </c>
      <c r="AU458" s="104"/>
      <c r="AV458" s="278">
        <f>_xll.DBRW(Server&amp;Cube1,$N$15,$N$16,$N$17,$N$18,$N$14,$N$13,AV$2,AV$1,$B458)</f>
        <v>0</v>
      </c>
      <c r="AW458" s="278">
        <f>_xll.DBRW(Server&amp;Cube1,$N$15,$N$16,$N$17,$N$18,$N$14,$N$13,AW$2,AW$1,$B458)</f>
        <v>0</v>
      </c>
      <c r="AX458" s="402">
        <f>_xll.DBRW(Server&amp;Cube1,$N$15,$N$16,$N$17,$N$18,$N$14,$N$13,AX$2,AX$1,$B458)</f>
        <v>0</v>
      </c>
      <c r="AY458" s="104"/>
      <c r="AZ458" s="278">
        <f>_xll.DBRW(Server&amp;Cube1,$N$15,$N$16,$N$17,$N$18,$N$14,$N$13,AZ$2,AZ$1,$B458)</f>
        <v>0</v>
      </c>
      <c r="BA458" s="278">
        <f>_xll.DBRW(Server&amp;Cube1,$N$15,$N$16,$N$17,$N$18,$N$14,$N$13,BA$2,BA$1,$B458)</f>
        <v>0</v>
      </c>
      <c r="BB458" s="402">
        <f>_xll.DBRW(Server&amp;Cube1,$N$15,$N$16,$N$17,$N$18,$N$14,$N$13,BB$2,BB$1,$B458)</f>
        <v>0</v>
      </c>
      <c r="BC458" s="104"/>
      <c r="BD458" s="278">
        <f>_xll.DBRW(Server&amp;Cube1,$N$15,$N$16,$N$17,$N$18,$N$14,$N$13,BD$2,BD$1,$B458)</f>
        <v>0</v>
      </c>
      <c r="BE458" s="278">
        <f>_xll.DBRW(Server&amp;Cube1,$N$15,$N$16,$N$17,$N$18,$N$14,$N$13,BE$2,BE$1,$B458)</f>
        <v>0</v>
      </c>
      <c r="BF458" s="402">
        <f>_xll.DBRW(Server&amp;Cube1,$N$15,$N$16,$N$17,$N$18,$N$14,$N$13,BF$2,BF$1,$B458)</f>
        <v>0</v>
      </c>
      <c r="BG458" s="104"/>
      <c r="BH458" s="278">
        <f>_xll.DBRW(Server&amp;Cube1,$N$15,$N$16,$N$17,$N$18,$N$14,$N$13,BH$2,BH$1,$B458)</f>
        <v>0</v>
      </c>
      <c r="BI458" s="278">
        <f>_xll.DBRW(Server&amp;Cube1,$N$15,$N$16,$N$17,$N$18,$N$14,$N$13,BI$2,BI$1,$B458)</f>
        <v>0</v>
      </c>
      <c r="BJ458" s="402">
        <f>_xll.DBRW(Server&amp;Cube1,$N$15,$N$16,$N$17,$N$18,$N$14,$N$13,BJ$2,BJ$1,$B458)</f>
        <v>0</v>
      </c>
      <c r="BK458" s="104"/>
      <c r="BL458" s="278">
        <f>_xll.DBRW(Server&amp;Cube1,$N$15,$N$16,$N$17,$N$18,$N$14,$N$13,BL$2,BL$1,$B458)</f>
        <v>0</v>
      </c>
      <c r="BM458" s="278">
        <f>_xll.DBRW(Server&amp;Cube1,$N$15,$N$16,$N$17,$N$18,$N$14,$N$13,BM$2,BM$1,$B458)</f>
        <v>0</v>
      </c>
      <c r="BN458" s="402">
        <f>_xll.DBRW(Server&amp;Cube1,$N$15,$N$16,$N$17,$N$18,$N$14,$N$13,BN$2,BN$1,$B458)</f>
        <v>0</v>
      </c>
      <c r="BO458" s="104"/>
      <c r="BP458" s="278">
        <f>_xll.DBRW(Server&amp;Cube1,$N$15,$N$16,$N$17,$N$18,$N$14,$N$13,BP$2,BP$1,$B458)</f>
        <v>0</v>
      </c>
      <c r="BQ458" s="278">
        <f>_xll.DBRW(Server&amp;Cube1,$N$15,$N$16,$N$17,$N$18,$N$14,$N$13,BQ$2,BQ$1,$B458)</f>
        <v>0</v>
      </c>
      <c r="BR458" s="402">
        <f>_xll.DBRW(Server&amp;Cube1,$N$15,$N$16,$N$17,$N$18,$N$14,$N$13,BR$2,BR$1,$B458)</f>
        <v>0</v>
      </c>
      <c r="BS458" s="104"/>
      <c r="BT458" s="278">
        <f>_xll.DBRW(Server&amp;Cube1,$N$15,$N$16,$N$17,$N$18,$N$14,$N$13,BT$2,BT$1,$B458)</f>
        <v>0</v>
      </c>
      <c r="BU458" s="278">
        <f>_xll.DBRW(Server&amp;Cube1,$N$15,$N$16,$N$17,$N$18,$N$14,$N$13,BU$2,BU$1,$B458)</f>
        <v>0</v>
      </c>
      <c r="BV458" s="402">
        <f>_xll.DBRW(Server&amp;Cube1,$N$15,$N$16,$N$17,$N$18,$N$14,$N$13,BV$2,BV$1,$B458)</f>
        <v>0</v>
      </c>
      <c r="BW458" s="209"/>
      <c r="BX458" s="78"/>
      <c r="BY458" s="54"/>
    </row>
    <row r="459" spans="1:78" s="34" customFormat="1" ht="9" hidden="1" customHeight="1" outlineLevel="1" x14ac:dyDescent="0.8">
      <c r="A459" s="135"/>
      <c r="B459" s="54"/>
      <c r="C459" s="135"/>
      <c r="D459" s="1"/>
      <c r="E459" s="1"/>
      <c r="H459" s="54"/>
      <c r="I459" s="1"/>
      <c r="J459" s="30"/>
      <c r="K459" s="99"/>
      <c r="L459" s="102"/>
      <c r="M459" s="295"/>
      <c r="N459" s="295"/>
      <c r="O459" s="456" t="str">
        <f>IF(COUNTIF($C458,"*Tot_km*"),$B$6,IF(COUNTIF($C458,"Tot_nb_vehicle"),$B$7,IF(COUNTIF($C458,"Rev_km"),$B$8,IF(COUNTIF($C458,"Tot_driv_hours"),$B$9,""))))</f>
        <v/>
      </c>
      <c r="P459" s="443"/>
      <c r="Q459" s="444"/>
      <c r="R459" s="444"/>
      <c r="S459" s="440"/>
      <c r="T459" s="445"/>
      <c r="U459" s="446"/>
      <c r="V459" s="444"/>
      <c r="W459" s="440"/>
      <c r="X459" s="445"/>
      <c r="Y459" s="209"/>
      <c r="Z459" s="386"/>
      <c r="AA459" s="99"/>
      <c r="AB459" s="444"/>
      <c r="AC459" s="444"/>
      <c r="AD459" s="444"/>
      <c r="AE459" s="104"/>
      <c r="AF459" s="444"/>
      <c r="AG459" s="444"/>
      <c r="AH459" s="444"/>
      <c r="AI459" s="104"/>
      <c r="AJ459" s="444"/>
      <c r="AK459" s="444"/>
      <c r="AL459" s="444"/>
      <c r="AM459" s="104"/>
      <c r="AN459" s="444"/>
      <c r="AO459" s="444"/>
      <c r="AP459" s="444"/>
      <c r="AQ459" s="104"/>
      <c r="AR459" s="444"/>
      <c r="AS459" s="444"/>
      <c r="AT459" s="444"/>
      <c r="AU459" s="104"/>
      <c r="AV459" s="444"/>
      <c r="AW459" s="444"/>
      <c r="AX459" s="444"/>
      <c r="AY459" s="104"/>
      <c r="AZ459" s="444"/>
      <c r="BA459" s="444"/>
      <c r="BB459" s="444"/>
      <c r="BC459" s="104"/>
      <c r="BD459" s="444"/>
      <c r="BE459" s="444"/>
      <c r="BF459" s="444"/>
      <c r="BG459" s="104"/>
      <c r="BH459" s="444"/>
      <c r="BI459" s="444"/>
      <c r="BJ459" s="444"/>
      <c r="BK459" s="104"/>
      <c r="BL459" s="444"/>
      <c r="BM459" s="444"/>
      <c r="BN459" s="444"/>
      <c r="BO459" s="104"/>
      <c r="BP459" s="444"/>
      <c r="BQ459" s="444"/>
      <c r="BR459" s="444"/>
      <c r="BS459" s="104"/>
      <c r="BT459" s="444"/>
      <c r="BU459" s="444"/>
      <c r="BV459" s="444"/>
      <c r="BW459" s="209"/>
      <c r="BX459" s="78"/>
      <c r="BY459" s="54"/>
    </row>
    <row r="460" spans="1:78" s="34" customFormat="1" ht="23.25" customHeight="1" collapsed="1" x14ac:dyDescent="0.75">
      <c r="A460" s="56"/>
      <c r="B460" s="368"/>
      <c r="C460" s="9"/>
      <c r="D460" s="1"/>
      <c r="E460" s="1"/>
      <c r="H460" s="368"/>
      <c r="I460" s="94"/>
      <c r="J460" s="57"/>
      <c r="K460" s="103"/>
      <c r="L460" s="309"/>
      <c r="M460" s="155"/>
      <c r="N460" s="155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5"/>
      <c r="Z460" s="104"/>
      <c r="AA460" s="103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5"/>
      <c r="BX460" s="28"/>
    </row>
    <row r="461" spans="1:78" s="34" customFormat="1" ht="30" hidden="1" customHeight="1" outlineLevel="1" x14ac:dyDescent="0.75">
      <c r="A461" t="s">
        <v>299</v>
      </c>
      <c r="B461" t="str">
        <f>$N$12&amp;" N"</f>
        <v>Actual N</v>
      </c>
      <c r="C461" t="str">
        <f>$N$20&amp;" "&amp;$N$21</f>
        <v>Budget V current N</v>
      </c>
      <c r="D461" t="str">
        <f>$O$20&amp;" "&amp;$O$21</f>
        <v>Actual N-1</v>
      </c>
      <c r="E461" s="1"/>
      <c r="H461" s="368"/>
      <c r="I461" s="94"/>
      <c r="J461" s="57"/>
      <c r="K461" s="154"/>
      <c r="L461" s="309"/>
      <c r="M461" s="518" t="str">
        <f>M444</f>
        <v>E1 - Energy Cost per cost work unit</v>
      </c>
      <c r="N461" s="518"/>
      <c r="O461" s="518"/>
      <c r="P461" s="518"/>
      <c r="Q461" s="518"/>
      <c r="R461" s="518"/>
      <c r="S461" s="518"/>
      <c r="T461" s="518"/>
      <c r="U461" s="104"/>
      <c r="V461" s="104"/>
      <c r="W461" s="104"/>
      <c r="X461" s="104"/>
      <c r="Y461" s="105"/>
      <c r="Z461" s="104"/>
      <c r="AA461" s="103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5"/>
      <c r="BX461" s="28"/>
    </row>
    <row r="462" spans="1:78" s="34" customFormat="1" ht="17.25" hidden="1" customHeight="1" outlineLevel="1" x14ac:dyDescent="0.75">
      <c r="A462" s="383" t="str">
        <f>IF($N$19="English","J","J")</f>
        <v>J</v>
      </c>
      <c r="B462" s="410" t="e">
        <f>IF(ROUND(AB$444,6),ROUND(AB$444,6),NA())</f>
        <v>#N/A</v>
      </c>
      <c r="C462" s="410" t="e">
        <f>IF(ROUND(AC$444,6),ROUND(AC$444,6),NA())</f>
        <v>#N/A</v>
      </c>
      <c r="D462" s="410" t="e">
        <f>IF(ROUND(AD$444,6),ROUND(AD$444,6),NA())</f>
        <v>#N/A</v>
      </c>
      <c r="E462" s="1" t="s">
        <v>279</v>
      </c>
      <c r="H462" s="368"/>
      <c r="I462" s="94"/>
      <c r="J462" s="57"/>
      <c r="K462" s="154"/>
      <c r="L462" s="309"/>
      <c r="M462" s="155"/>
      <c r="N462" s="155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5"/>
      <c r="Z462" s="104"/>
      <c r="AA462" s="103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5"/>
      <c r="BX462" s="28"/>
    </row>
    <row r="463" spans="1:78" s="34" customFormat="1" ht="17.25" hidden="1" customHeight="1" outlineLevel="1" x14ac:dyDescent="0.75">
      <c r="A463" s="383" t="s">
        <v>213</v>
      </c>
      <c r="B463" s="410" t="e">
        <f>IF(ROUND(AF$444,6),ROUND(AF$444,6),NA())</f>
        <v>#N/A</v>
      </c>
      <c r="C463" s="410" t="e">
        <f>IF(ROUND(AG$444,6),ROUND(AG$444,6),NA())</f>
        <v>#N/A</v>
      </c>
      <c r="D463" s="410" t="e">
        <f>IF(ROUND(AH$444,6),ROUND(AH$444,6),NA())</f>
        <v>#N/A</v>
      </c>
      <c r="E463" s="1" t="s">
        <v>280</v>
      </c>
      <c r="H463" s="368"/>
      <c r="I463" s="94"/>
      <c r="J463" s="57"/>
      <c r="K463" s="154"/>
      <c r="L463" s="309"/>
      <c r="M463" s="155"/>
      <c r="N463" s="155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5"/>
      <c r="Z463" s="104"/>
      <c r="AA463" s="103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5"/>
      <c r="BX463" s="28"/>
    </row>
    <row r="464" spans="1:78" s="34" customFormat="1" ht="17.25" hidden="1" customHeight="1" outlineLevel="1" x14ac:dyDescent="0.75">
      <c r="A464" s="383" t="s">
        <v>215</v>
      </c>
      <c r="B464" s="410" t="e">
        <f>IF(ROUND(AJ$444,6),ROUND(AJ$444,6),NA())</f>
        <v>#N/A</v>
      </c>
      <c r="C464" s="410" t="e">
        <f>IF(ROUND(AK$444,6),ROUND(AK$444,6),NA())</f>
        <v>#N/A</v>
      </c>
      <c r="D464" s="410" t="e">
        <f>IF(ROUND(AL$444,6),ROUND(AL$444,6),NA())</f>
        <v>#N/A</v>
      </c>
      <c r="E464" s="1" t="s">
        <v>281</v>
      </c>
      <c r="H464" s="368"/>
      <c r="I464" s="94"/>
      <c r="J464" s="57"/>
      <c r="K464" s="154"/>
      <c r="L464" s="309"/>
      <c r="M464" s="155"/>
      <c r="N464" s="155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5"/>
      <c r="Z464" s="104"/>
      <c r="AA464" s="103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5"/>
      <c r="BX464" s="28"/>
    </row>
    <row r="465" spans="1:76" s="34" customFormat="1" ht="17.25" hidden="1" customHeight="1" outlineLevel="1" x14ac:dyDescent="0.75">
      <c r="A465" s="383" t="s">
        <v>42</v>
      </c>
      <c r="B465" s="410" t="e">
        <f>IF(ROUND(AN$444,6),ROUND(AN$444,6),NA())</f>
        <v>#N/A</v>
      </c>
      <c r="C465" s="410" t="e">
        <f>IF(ROUND(AO$444,6),ROUND(AO$444,6),NA())</f>
        <v>#N/A</v>
      </c>
      <c r="D465" s="410" t="e">
        <f>IF(ROUND(AP$444,6),ROUND(AP$444,6),NA())</f>
        <v>#N/A</v>
      </c>
      <c r="E465" s="1" t="s">
        <v>282</v>
      </c>
      <c r="H465" s="368"/>
      <c r="I465" s="94"/>
      <c r="J465" s="57"/>
      <c r="K465" s="154"/>
      <c r="L465" s="309"/>
      <c r="M465" s="155"/>
      <c r="N465" s="155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5"/>
      <c r="Z465" s="104"/>
      <c r="AA465" s="103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5"/>
      <c r="BX465" s="28"/>
    </row>
    <row r="466" spans="1:76" s="34" customFormat="1" ht="17.25" hidden="1" customHeight="1" outlineLevel="1" x14ac:dyDescent="0.75">
      <c r="A466" s="383" t="s">
        <v>215</v>
      </c>
      <c r="B466" s="410" t="e">
        <f>IF(ROUND(AR$444,6),ROUND(AR$444,6),NA())</f>
        <v>#N/A</v>
      </c>
      <c r="C466" s="410" t="e">
        <f>IF(ROUND(AS$444,6),ROUND(AS$444,6),NA())</f>
        <v>#N/A</v>
      </c>
      <c r="D466" s="410" t="e">
        <f>IF(ROUND(AT$444,6),ROUND(AT$444,6),NA())</f>
        <v>#N/A</v>
      </c>
      <c r="E466" s="1" t="s">
        <v>283</v>
      </c>
      <c r="H466" s="368"/>
      <c r="I466" s="94"/>
      <c r="J466" s="57"/>
      <c r="K466" s="154"/>
      <c r="L466" s="309"/>
      <c r="M466" s="155"/>
      <c r="N466" s="155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5"/>
      <c r="Z466" s="104"/>
      <c r="AA466" s="103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5"/>
      <c r="BX466" s="28"/>
    </row>
    <row r="467" spans="1:76" s="34" customFormat="1" ht="17.25" hidden="1" customHeight="1" outlineLevel="1" x14ac:dyDescent="0.75">
      <c r="A467" s="383" t="s">
        <v>263</v>
      </c>
      <c r="B467" s="410" t="e">
        <f>IF(ROUND(AV$444,6),ROUND(AV$444,6),NA())</f>
        <v>#N/A</v>
      </c>
      <c r="C467" s="410" t="e">
        <f>IF(ROUND(AW$444,6),ROUND(AW$444,6),NA())</f>
        <v>#N/A</v>
      </c>
      <c r="D467" s="410" t="e">
        <f>IF(ROUND(AX$444,6),ROUND(AX$444,6),NA())</f>
        <v>#N/A</v>
      </c>
      <c r="E467" s="1" t="s">
        <v>284</v>
      </c>
      <c r="H467" s="368"/>
      <c r="I467" s="94"/>
      <c r="J467" s="57"/>
      <c r="K467" s="154"/>
      <c r="L467" s="309"/>
      <c r="M467" s="155"/>
      <c r="N467" s="155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5"/>
      <c r="Z467" s="104"/>
      <c r="AA467" s="103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5"/>
      <c r="BX467" s="28"/>
    </row>
    <row r="468" spans="1:76" s="34" customFormat="1" ht="17.25" hidden="1" customHeight="1" outlineLevel="1" x14ac:dyDescent="0.75">
      <c r="A468" s="383" t="s">
        <v>263</v>
      </c>
      <c r="B468" s="410" t="e">
        <f>IF(ROUND(AZ$444,6),ROUND(AZ$444,6),NA())</f>
        <v>#N/A</v>
      </c>
      <c r="C468" s="410" t="e">
        <f>IF(ROUND(BA$444,6),ROUND(BA$444,6),NA())</f>
        <v>#N/A</v>
      </c>
      <c r="D468" s="410" t="e">
        <f>IF(ROUND(BB$444,6),ROUND(BB$444,6),NA())</f>
        <v>#N/A</v>
      </c>
      <c r="E468" s="1" t="s">
        <v>285</v>
      </c>
      <c r="H468" s="368"/>
      <c r="I468" s="94"/>
      <c r="J468" s="57"/>
      <c r="K468" s="154"/>
      <c r="L468" s="309"/>
      <c r="M468" s="155"/>
      <c r="N468" s="155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5"/>
      <c r="Z468" s="104"/>
      <c r="AA468" s="103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5"/>
      <c r="BX468" s="28"/>
    </row>
    <row r="469" spans="1:76" s="34" customFormat="1" ht="17.25" hidden="1" customHeight="1" outlineLevel="1" x14ac:dyDescent="0.75">
      <c r="A469" s="383" t="s">
        <v>42</v>
      </c>
      <c r="B469" s="410" t="e">
        <f>IF(ROUND(BD$444,6),ROUND(BD$444,6),NA())</f>
        <v>#N/A</v>
      </c>
      <c r="C469" s="410" t="e">
        <f>IF(ROUND(BE$444,6),ROUND(BE$444,6),NA())</f>
        <v>#N/A</v>
      </c>
      <c r="D469" s="410" t="e">
        <f>IF(ROUND(BF$444,6),ROUND(BF$444,6),NA())</f>
        <v>#N/A</v>
      </c>
      <c r="E469" s="1" t="s">
        <v>286</v>
      </c>
      <c r="H469" s="368"/>
      <c r="I469" s="94"/>
      <c r="J469" s="57"/>
      <c r="K469" s="154"/>
      <c r="L469" s="309"/>
      <c r="M469" s="155"/>
      <c r="N469" s="155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5"/>
      <c r="Z469" s="104"/>
      <c r="AA469" s="103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5"/>
      <c r="BX469" s="28"/>
    </row>
    <row r="470" spans="1:76" s="34" customFormat="1" ht="17.25" hidden="1" customHeight="1" outlineLevel="1" x14ac:dyDescent="0.75">
      <c r="A470" s="383" t="s">
        <v>264</v>
      </c>
      <c r="B470" s="410" t="e">
        <f>IF(ROUND(BH$444,6),ROUND(BH$444,6),NA())</f>
        <v>#N/A</v>
      </c>
      <c r="C470" s="410" t="e">
        <f>IF(ROUND(BI$444,6),ROUND(BI$444,6),NA())</f>
        <v>#N/A</v>
      </c>
      <c r="D470" s="410" t="e">
        <f>IF(ROUND(BJ$444,6),ROUND(BJ$444,6),NA())</f>
        <v>#N/A</v>
      </c>
      <c r="E470" s="1" t="s">
        <v>287</v>
      </c>
      <c r="H470" s="368"/>
      <c r="I470" s="94"/>
      <c r="J470" s="57"/>
      <c r="K470" s="154"/>
      <c r="L470" s="309"/>
      <c r="M470" s="155"/>
      <c r="N470" s="155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5"/>
      <c r="Z470" s="104"/>
      <c r="AA470" s="103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5"/>
      <c r="BX470" s="28"/>
    </row>
    <row r="471" spans="1:76" s="34" customFormat="1" ht="17.25" hidden="1" customHeight="1" outlineLevel="1" x14ac:dyDescent="0.75">
      <c r="A471" s="383" t="s">
        <v>212</v>
      </c>
      <c r="B471" s="410" t="e">
        <f>IF(ROUND(BL$444,6),ROUND(BL$444,6),NA())</f>
        <v>#N/A</v>
      </c>
      <c r="C471" s="410" t="e">
        <f>IF(ROUND(BM$444,6),ROUND(BM$444,6),NA())</f>
        <v>#N/A</v>
      </c>
      <c r="D471" s="410" t="e">
        <f>IF(ROUND(BN$444,6),ROUND(BN$444,6),NA())</f>
        <v>#N/A</v>
      </c>
      <c r="E471" s="1" t="s">
        <v>288</v>
      </c>
      <c r="H471" s="368"/>
      <c r="I471" s="94"/>
      <c r="J471" s="57"/>
      <c r="K471" s="154"/>
      <c r="L471" s="309"/>
      <c r="M471" s="155"/>
      <c r="N471" s="155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5"/>
      <c r="Z471" s="104"/>
      <c r="AA471" s="103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5"/>
      <c r="BX471" s="28"/>
    </row>
    <row r="472" spans="1:76" s="34" customFormat="1" ht="17.25" hidden="1" customHeight="1" outlineLevel="1" x14ac:dyDescent="0.75">
      <c r="A472" s="383" t="s">
        <v>257</v>
      </c>
      <c r="B472" s="410" t="e">
        <f>IF(ROUND(BP$444,6),ROUND(BP$444,6),NA())</f>
        <v>#N/A</v>
      </c>
      <c r="C472" s="410" t="e">
        <f>IF(ROUND(BQ$444,6),ROUND(BQ$444,6),NA())</f>
        <v>#N/A</v>
      </c>
      <c r="D472" s="410" t="e">
        <f>IF(ROUND(BR$444,6),ROUND(BR$444,6),NA())</f>
        <v>#N/A</v>
      </c>
      <c r="E472" s="1" t="s">
        <v>289</v>
      </c>
      <c r="H472" s="368"/>
      <c r="I472" s="94"/>
      <c r="J472" s="57"/>
      <c r="K472" s="154"/>
      <c r="L472" s="309"/>
      <c r="M472" s="155"/>
      <c r="N472" s="155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5"/>
      <c r="Z472" s="104"/>
      <c r="AA472" s="103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5"/>
      <c r="BX472" s="28"/>
    </row>
    <row r="473" spans="1:76" s="34" customFormat="1" ht="17.25" hidden="1" customHeight="1" outlineLevel="1" x14ac:dyDescent="0.75">
      <c r="A473" s="383" t="s">
        <v>216</v>
      </c>
      <c r="B473" s="410" t="e">
        <f>IF(ROUND(BT$444,6),ROUND(BT$444,6),NA())</f>
        <v>#N/A</v>
      </c>
      <c r="C473" s="410" t="e">
        <f>IF(ROUND(BU$444,6),ROUND(BU$444,6),NA())</f>
        <v>#N/A</v>
      </c>
      <c r="D473" s="410" t="e">
        <f>IF(ROUND(BV$444,6),ROUND(BV$444,6),NA())</f>
        <v>#N/A</v>
      </c>
      <c r="E473" s="1" t="s">
        <v>290</v>
      </c>
      <c r="H473" s="368"/>
      <c r="I473" s="94"/>
      <c r="J473" s="57"/>
      <c r="K473" s="154"/>
      <c r="L473" s="309"/>
      <c r="M473" s="155"/>
      <c r="N473" s="155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5"/>
      <c r="Z473" s="104"/>
      <c r="AA473" s="103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5"/>
      <c r="BX473" s="28"/>
    </row>
    <row r="474" spans="1:76" s="34" customFormat="1" ht="17.25" hidden="1" customHeight="1" outlineLevel="1" x14ac:dyDescent="0.75">
      <c r="A474" s="56"/>
      <c r="B474" s="368"/>
      <c r="C474" s="9"/>
      <c r="D474" s="1"/>
      <c r="E474" s="1"/>
      <c r="H474" s="368"/>
      <c r="I474" s="94"/>
      <c r="J474" s="57"/>
      <c r="K474" s="154"/>
      <c r="L474" s="309"/>
      <c r="M474" s="155"/>
      <c r="N474" s="155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5"/>
      <c r="Z474" s="104"/>
      <c r="AA474" s="103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5"/>
      <c r="BX474" s="28"/>
    </row>
    <row r="475" spans="1:76" s="34" customFormat="1" ht="17.25" hidden="1" customHeight="1" outlineLevel="1" x14ac:dyDescent="0.75">
      <c r="A475" t="s">
        <v>300</v>
      </c>
      <c r="B475" t="str">
        <f>$N$12&amp;" N"</f>
        <v>Actual N</v>
      </c>
      <c r="C475" t="str">
        <f>$N$20&amp;" "&amp;$N$21</f>
        <v>Budget V current N</v>
      </c>
      <c r="D475" t="str">
        <f>$O$20&amp;" "&amp;$O$21</f>
        <v>Actual N-1</v>
      </c>
      <c r="E475" s="1"/>
      <c r="H475" s="368"/>
      <c r="I475" s="94"/>
      <c r="J475" s="57"/>
      <c r="K475" s="154"/>
      <c r="L475" s="309"/>
      <c r="M475" s="155"/>
      <c r="N475" s="155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5"/>
      <c r="Z475" s="104"/>
      <c r="AA475" s="103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5"/>
      <c r="BX475" s="28"/>
    </row>
    <row r="476" spans="1:76" s="34" customFormat="1" ht="17.25" hidden="1" customHeight="1" outlineLevel="1" x14ac:dyDescent="0.75">
      <c r="A476" s="383" t="str">
        <f>IF($N$19="English","J","J")</f>
        <v>J</v>
      </c>
      <c r="B476" s="410" t="e">
        <f>IF(ROUND(AB$445,6),ROUND(AB$445,6),NA())</f>
        <v>#N/A</v>
      </c>
      <c r="C476" s="410" t="e">
        <f>IF(ROUND(AC$445,6),ROUND(AC$445,6),NA())</f>
        <v>#N/A</v>
      </c>
      <c r="D476" s="410" t="e">
        <f>IF(ROUND(AD$445,6),ROUND(AD$445,6),NA())</f>
        <v>#N/A</v>
      </c>
      <c r="E476" s="1" t="s">
        <v>279</v>
      </c>
      <c r="H476" s="368"/>
      <c r="I476" s="94"/>
      <c r="J476" s="57"/>
      <c r="K476" s="154"/>
      <c r="L476" s="309"/>
      <c r="M476" s="155"/>
      <c r="N476" s="155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5"/>
      <c r="Z476" s="104"/>
      <c r="AA476" s="103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5"/>
      <c r="BX476" s="28"/>
    </row>
    <row r="477" spans="1:76" s="34" customFormat="1" ht="17.25" hidden="1" customHeight="1" outlineLevel="1" x14ac:dyDescent="0.75">
      <c r="A477" s="383" t="s">
        <v>213</v>
      </c>
      <c r="B477" s="410" t="e">
        <f>IF(ROUND(AF$445,6),ROUND(AF$445,6),NA())</f>
        <v>#N/A</v>
      </c>
      <c r="C477" s="410" t="e">
        <f>IF(ROUND(AG$445,6),ROUND(AG$445,6),NA())</f>
        <v>#N/A</v>
      </c>
      <c r="D477" s="410" t="e">
        <f>IF(ROUND(AH$445,6),ROUND(AH$445,6),NA())</f>
        <v>#N/A</v>
      </c>
      <c r="E477" s="1" t="s">
        <v>280</v>
      </c>
      <c r="H477" s="368"/>
      <c r="I477" s="94"/>
      <c r="J477" s="57"/>
      <c r="K477" s="154"/>
      <c r="L477" s="309"/>
      <c r="M477" s="155"/>
      <c r="N477" s="155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5"/>
      <c r="Z477" s="104"/>
      <c r="AA477" s="103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5"/>
      <c r="BX477" s="28"/>
    </row>
    <row r="478" spans="1:76" s="34" customFormat="1" ht="17.25" hidden="1" customHeight="1" outlineLevel="1" x14ac:dyDescent="0.75">
      <c r="A478" s="383" t="s">
        <v>215</v>
      </c>
      <c r="B478" s="410" t="e">
        <f>IF(ROUND(AJ$445,6),ROUND(AJ$445,6),NA())</f>
        <v>#N/A</v>
      </c>
      <c r="C478" s="410" t="e">
        <f>IF(ROUND(AK$445,6),ROUND(AK$445,6),NA())</f>
        <v>#N/A</v>
      </c>
      <c r="D478" s="410" t="e">
        <f>IF(ROUND(AL$445,6),ROUND(AL$445,6),NA())</f>
        <v>#N/A</v>
      </c>
      <c r="E478" s="1" t="s">
        <v>281</v>
      </c>
      <c r="H478" s="368"/>
      <c r="I478" s="94"/>
      <c r="J478" s="57"/>
      <c r="K478" s="154"/>
      <c r="L478" s="309"/>
      <c r="M478" s="155"/>
      <c r="N478" s="155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5"/>
      <c r="Z478" s="104"/>
      <c r="AA478" s="103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5"/>
      <c r="BX478" s="28"/>
    </row>
    <row r="479" spans="1:76" s="34" customFormat="1" ht="17.25" hidden="1" customHeight="1" outlineLevel="1" x14ac:dyDescent="0.75">
      <c r="A479" s="383" t="s">
        <v>42</v>
      </c>
      <c r="B479" s="410" t="e">
        <f>IF(ROUND(AN$445,6),ROUND(AN$445,6),NA())</f>
        <v>#N/A</v>
      </c>
      <c r="C479" s="410" t="e">
        <f>IF(ROUND(AO$445,6),ROUND(AO$445,6),NA())</f>
        <v>#N/A</v>
      </c>
      <c r="D479" s="410" t="e">
        <f>IF(ROUND(AP$445,6),ROUND(AP$445,6),NA())</f>
        <v>#N/A</v>
      </c>
      <c r="E479" s="1" t="s">
        <v>282</v>
      </c>
      <c r="H479" s="368"/>
      <c r="I479" s="94"/>
      <c r="J479" s="57"/>
      <c r="K479" s="154"/>
      <c r="L479" s="309"/>
      <c r="M479" s="155"/>
      <c r="N479" s="155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5"/>
      <c r="Z479" s="104"/>
      <c r="AA479" s="103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5"/>
      <c r="BX479" s="28"/>
    </row>
    <row r="480" spans="1:76" s="34" customFormat="1" ht="17.25" hidden="1" customHeight="1" outlineLevel="1" x14ac:dyDescent="0.75">
      <c r="A480" s="383" t="s">
        <v>215</v>
      </c>
      <c r="B480" s="410" t="e">
        <f>IF(ROUND(AR$445,6),ROUND(AR$445,6),NA())</f>
        <v>#N/A</v>
      </c>
      <c r="C480" s="410" t="e">
        <f>IF(ROUND(AS$445,6),ROUND(AS$445,6),NA())</f>
        <v>#N/A</v>
      </c>
      <c r="D480" s="410" t="e">
        <f>IF(ROUND(AT$445,6),ROUND(AT$445,6),NA())</f>
        <v>#N/A</v>
      </c>
      <c r="E480" s="1" t="s">
        <v>283</v>
      </c>
      <c r="H480" s="368"/>
      <c r="I480" s="94"/>
      <c r="J480" s="57"/>
      <c r="K480" s="154"/>
      <c r="L480" s="309"/>
      <c r="M480" s="155"/>
      <c r="N480" s="155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5"/>
      <c r="Z480" s="104"/>
      <c r="AA480" s="103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5"/>
      <c r="BX480" s="28"/>
    </row>
    <row r="481" spans="1:76" s="34" customFormat="1" ht="17.25" hidden="1" customHeight="1" outlineLevel="1" x14ac:dyDescent="0.75">
      <c r="A481" s="383" t="s">
        <v>263</v>
      </c>
      <c r="B481" s="410" t="e">
        <f>IF(ROUND(AV$445,6),ROUND(AV$445,6),NA())</f>
        <v>#N/A</v>
      </c>
      <c r="C481" s="410" t="e">
        <f>IF(ROUND(AW$445,6),ROUND(AW$445,6),NA())</f>
        <v>#N/A</v>
      </c>
      <c r="D481" s="410" t="e">
        <f>IF(ROUND(AX$445,6),ROUND(AX$445,6),NA())</f>
        <v>#N/A</v>
      </c>
      <c r="E481" s="1" t="s">
        <v>284</v>
      </c>
      <c r="H481" s="368"/>
      <c r="I481" s="94"/>
      <c r="J481" s="57"/>
      <c r="K481" s="154"/>
      <c r="L481" s="309"/>
      <c r="M481" s="155"/>
      <c r="N481" s="155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5"/>
      <c r="Z481" s="104"/>
      <c r="AA481" s="103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5"/>
      <c r="BX481" s="28"/>
    </row>
    <row r="482" spans="1:76" s="34" customFormat="1" ht="30" hidden="1" customHeight="1" outlineLevel="1" x14ac:dyDescent="0.75">
      <c r="A482" s="383" t="s">
        <v>263</v>
      </c>
      <c r="B482" s="410" t="e">
        <f>IF(ROUND(AZ$445,6),ROUND(AZ$445,6),NA())</f>
        <v>#N/A</v>
      </c>
      <c r="C482" s="410" t="e">
        <f>IF(ROUND(BA$445,6),ROUND(BA$445,6),NA())</f>
        <v>#N/A</v>
      </c>
      <c r="D482" s="410" t="e">
        <f>IF(ROUND(BB$445,6),ROUND(BB$445,6),NA())</f>
        <v>#N/A</v>
      </c>
      <c r="E482" s="1" t="s">
        <v>285</v>
      </c>
      <c r="H482" s="368"/>
      <c r="I482" s="94"/>
      <c r="J482" s="57"/>
      <c r="K482" s="154"/>
      <c r="L482" s="309"/>
      <c r="M482" s="518" t="str">
        <f>M445</f>
        <v>E2 - Energy efficiency</v>
      </c>
      <c r="N482" s="518"/>
      <c r="O482" s="518"/>
      <c r="P482" s="518"/>
      <c r="Q482" s="518"/>
      <c r="R482" s="518"/>
      <c r="S482" s="518"/>
      <c r="T482" s="518"/>
      <c r="U482" s="104"/>
      <c r="V482" s="104"/>
      <c r="W482" s="104"/>
      <c r="X482" s="104"/>
      <c r="Y482" s="105"/>
      <c r="Z482" s="104"/>
      <c r="AA482" s="103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5"/>
      <c r="BX482" s="28"/>
    </row>
    <row r="483" spans="1:76" s="34" customFormat="1" ht="17.25" hidden="1" customHeight="1" outlineLevel="1" x14ac:dyDescent="0.75">
      <c r="A483" s="383" t="s">
        <v>42</v>
      </c>
      <c r="B483" s="410" t="e">
        <f>IF(ROUND(BD$445,6),ROUND(BD$445,6),NA())</f>
        <v>#N/A</v>
      </c>
      <c r="C483" s="410" t="e">
        <f>IF(ROUND(BE$445,6),ROUND(BE$445,6),NA())</f>
        <v>#N/A</v>
      </c>
      <c r="D483" s="410" t="e">
        <f>IF(ROUND(BF$445,6),ROUND(BF$445,6),NA())</f>
        <v>#N/A</v>
      </c>
      <c r="E483" s="1" t="s">
        <v>286</v>
      </c>
      <c r="H483" s="368"/>
      <c r="I483" s="94"/>
      <c r="J483" s="57"/>
      <c r="K483" s="154"/>
      <c r="L483" s="309"/>
      <c r="M483" s="155"/>
      <c r="N483" s="155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5"/>
      <c r="Z483" s="104"/>
      <c r="AA483" s="103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5"/>
      <c r="BX483" s="28"/>
    </row>
    <row r="484" spans="1:76" s="34" customFormat="1" ht="17.25" hidden="1" customHeight="1" outlineLevel="1" x14ac:dyDescent="0.75">
      <c r="A484" s="383" t="s">
        <v>264</v>
      </c>
      <c r="B484" s="410" t="e">
        <f>IF(ROUND(BH$445,6),ROUND(BH$445,6),NA())</f>
        <v>#N/A</v>
      </c>
      <c r="C484" s="410" t="e">
        <f>IF(ROUND(BI$445,6),ROUND(BI$445,6),NA())</f>
        <v>#N/A</v>
      </c>
      <c r="D484" s="410" t="e">
        <f>IF(ROUND(BJ$445,6),ROUND(BJ$445,6),NA())</f>
        <v>#N/A</v>
      </c>
      <c r="E484" s="1" t="s">
        <v>287</v>
      </c>
      <c r="H484" s="368"/>
      <c r="I484" s="94"/>
      <c r="J484" s="57"/>
      <c r="K484" s="154"/>
      <c r="L484" s="309"/>
      <c r="M484" s="155"/>
      <c r="N484" s="155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5"/>
      <c r="Z484" s="104"/>
      <c r="AA484" s="103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5"/>
      <c r="BX484" s="28"/>
    </row>
    <row r="485" spans="1:76" s="34" customFormat="1" ht="17.25" hidden="1" customHeight="1" outlineLevel="1" x14ac:dyDescent="0.75">
      <c r="A485" s="383" t="s">
        <v>212</v>
      </c>
      <c r="B485" s="410" t="e">
        <f>IF(ROUND(BL$445,6),ROUND(BL$445,6),NA())</f>
        <v>#N/A</v>
      </c>
      <c r="C485" s="410" t="e">
        <f>IF(ROUND(BM$445,6),ROUND(BM$445,6),NA())</f>
        <v>#N/A</v>
      </c>
      <c r="D485" s="410" t="e">
        <f>IF(ROUND(BN$445,6),ROUND(BN$445,6),NA())</f>
        <v>#N/A</v>
      </c>
      <c r="E485" s="1" t="s">
        <v>288</v>
      </c>
      <c r="H485" s="368"/>
      <c r="I485" s="94"/>
      <c r="J485" s="57"/>
      <c r="K485" s="154"/>
      <c r="L485" s="309"/>
      <c r="M485" s="155"/>
      <c r="N485" s="155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5"/>
      <c r="Z485" s="104"/>
      <c r="AA485" s="103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5"/>
      <c r="BX485" s="28"/>
    </row>
    <row r="486" spans="1:76" s="34" customFormat="1" ht="17.25" hidden="1" customHeight="1" outlineLevel="1" x14ac:dyDescent="0.75">
      <c r="A486" s="383" t="s">
        <v>257</v>
      </c>
      <c r="B486" s="410" t="e">
        <f>IF(ROUND(BP$445,6),ROUND(BP$445,6),NA())</f>
        <v>#N/A</v>
      </c>
      <c r="C486" s="410" t="e">
        <f>IF(ROUND(BQ$445,6),ROUND(BQ$445,6),NA())</f>
        <v>#N/A</v>
      </c>
      <c r="D486" s="410" t="e">
        <f>IF(ROUND(BR$445,6),ROUND(BR$445,6),NA())</f>
        <v>#N/A</v>
      </c>
      <c r="E486" s="1" t="s">
        <v>289</v>
      </c>
      <c r="H486" s="368"/>
      <c r="I486" s="94"/>
      <c r="J486" s="57"/>
      <c r="K486" s="154"/>
      <c r="L486" s="309"/>
      <c r="M486" s="155"/>
      <c r="N486" s="155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5"/>
      <c r="Z486" s="104"/>
      <c r="AA486" s="103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5"/>
      <c r="BX486" s="28"/>
    </row>
    <row r="487" spans="1:76" s="34" customFormat="1" ht="17.25" hidden="1" customHeight="1" outlineLevel="1" x14ac:dyDescent="0.75">
      <c r="A487" s="383" t="s">
        <v>216</v>
      </c>
      <c r="B487" s="410" t="e">
        <f>IF(ROUND(BT$445,6),ROUND(BT$445,6),NA())</f>
        <v>#N/A</v>
      </c>
      <c r="C487" s="410" t="e">
        <f>IF(ROUND(BU$445,6),ROUND(BU$445,6),NA())</f>
        <v>#N/A</v>
      </c>
      <c r="D487" s="410" t="e">
        <f>IF(ROUND(BV$445,6),ROUND(BV$445,6),NA())</f>
        <v>#N/A</v>
      </c>
      <c r="E487" s="1" t="s">
        <v>290</v>
      </c>
      <c r="H487" s="368"/>
      <c r="I487" s="94"/>
      <c r="J487" s="57"/>
      <c r="K487" s="154"/>
      <c r="L487" s="309"/>
      <c r="M487" s="155"/>
      <c r="N487" s="155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5"/>
      <c r="Z487" s="104"/>
      <c r="AA487" s="103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5"/>
      <c r="BX487" s="28"/>
    </row>
    <row r="488" spans="1:76" s="34" customFormat="1" ht="17.25" hidden="1" customHeight="1" outlineLevel="1" x14ac:dyDescent="0.75">
      <c r="A488" s="56"/>
      <c r="B488" s="368"/>
      <c r="C488" s="9"/>
      <c r="D488" s="1"/>
      <c r="E488" s="1"/>
      <c r="H488" s="368"/>
      <c r="I488" s="94"/>
      <c r="J488" s="57"/>
      <c r="K488" s="154"/>
      <c r="L488" s="309"/>
      <c r="M488" s="155"/>
      <c r="N488" s="155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5"/>
      <c r="Z488" s="104"/>
      <c r="AA488" s="103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5"/>
      <c r="BX488" s="28"/>
    </row>
    <row r="489" spans="1:76" s="34" customFormat="1" ht="17.25" hidden="1" customHeight="1" outlineLevel="1" x14ac:dyDescent="0.75">
      <c r="A489" s="56"/>
      <c r="B489" s="368"/>
      <c r="C489" s="9"/>
      <c r="D489" s="1"/>
      <c r="E489" s="1"/>
      <c r="H489" s="368"/>
      <c r="I489" s="94"/>
      <c r="J489" s="57"/>
      <c r="K489" s="154"/>
      <c r="L489" s="309"/>
      <c r="M489" s="155"/>
      <c r="N489" s="155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5"/>
      <c r="Z489" s="104"/>
      <c r="AA489" s="103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5"/>
      <c r="BX489" s="28"/>
    </row>
    <row r="490" spans="1:76" s="34" customFormat="1" ht="17.25" hidden="1" customHeight="1" outlineLevel="1" x14ac:dyDescent="0.75">
      <c r="A490" s="56"/>
      <c r="B490" s="368"/>
      <c r="C490" s="9"/>
      <c r="D490" s="1"/>
      <c r="E490" s="1"/>
      <c r="H490" s="368"/>
      <c r="I490" s="94"/>
      <c r="J490" s="57"/>
      <c r="K490" s="154"/>
      <c r="L490" s="309"/>
      <c r="M490" s="155"/>
      <c r="N490" s="155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5"/>
      <c r="Z490" s="104"/>
      <c r="AA490" s="103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5"/>
      <c r="BX490" s="28"/>
    </row>
    <row r="491" spans="1:76" s="34" customFormat="1" ht="17.25" hidden="1" customHeight="1" outlineLevel="1" x14ac:dyDescent="0.75">
      <c r="A491" s="56"/>
      <c r="B491" s="368"/>
      <c r="C491" s="9"/>
      <c r="D491" s="1"/>
      <c r="E491" s="1"/>
      <c r="H491" s="368"/>
      <c r="I491" s="94"/>
      <c r="J491" s="57"/>
      <c r="K491" s="154"/>
      <c r="L491" s="309"/>
      <c r="M491" s="155"/>
      <c r="N491" s="155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5"/>
      <c r="Z491" s="104"/>
      <c r="AA491" s="103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5"/>
      <c r="BX491" s="28"/>
    </row>
    <row r="492" spans="1:76" s="34" customFormat="1" ht="17.25" hidden="1" customHeight="1" outlineLevel="1" x14ac:dyDescent="0.75">
      <c r="A492" s="56"/>
      <c r="B492" s="368"/>
      <c r="C492" s="9"/>
      <c r="D492" s="1"/>
      <c r="E492" s="1"/>
      <c r="H492" s="368"/>
      <c r="I492" s="94"/>
      <c r="J492" s="57"/>
      <c r="K492" s="154"/>
      <c r="L492" s="309"/>
      <c r="M492" s="155"/>
      <c r="N492" s="155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5"/>
      <c r="Z492" s="104"/>
      <c r="AA492" s="103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5"/>
      <c r="BX492" s="28"/>
    </row>
    <row r="493" spans="1:76" s="34" customFormat="1" ht="17.25" hidden="1" customHeight="1" outlineLevel="1" x14ac:dyDescent="0.75">
      <c r="A493" s="56"/>
      <c r="B493" s="368"/>
      <c r="C493" s="9"/>
      <c r="D493" s="1"/>
      <c r="E493" s="1"/>
      <c r="H493" s="368"/>
      <c r="I493" s="94"/>
      <c r="J493" s="57"/>
      <c r="K493" s="154"/>
      <c r="L493" s="309"/>
      <c r="M493" s="155"/>
      <c r="N493" s="155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5"/>
      <c r="Z493" s="104"/>
      <c r="AA493" s="103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5"/>
      <c r="BX493" s="28"/>
    </row>
    <row r="494" spans="1:76" s="34" customFormat="1" ht="17.25" hidden="1" customHeight="1" outlineLevel="1" x14ac:dyDescent="0.75">
      <c r="A494" s="56"/>
      <c r="B494" s="368"/>
      <c r="C494" s="9"/>
      <c r="D494" s="1"/>
      <c r="E494" s="1"/>
      <c r="H494" s="368"/>
      <c r="I494" s="94"/>
      <c r="J494" s="57"/>
      <c r="K494" s="154"/>
      <c r="L494" s="309"/>
      <c r="M494" s="155"/>
      <c r="N494" s="155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5"/>
      <c r="Z494" s="104"/>
      <c r="AA494" s="103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5"/>
      <c r="BX494" s="28"/>
    </row>
    <row r="495" spans="1:76" s="34" customFormat="1" ht="17.25" hidden="1" customHeight="1" outlineLevel="1" x14ac:dyDescent="0.75">
      <c r="A495" s="56"/>
      <c r="B495" s="368"/>
      <c r="C495" s="9"/>
      <c r="D495" s="1"/>
      <c r="E495" s="1"/>
      <c r="H495" s="368"/>
      <c r="I495" s="94"/>
      <c r="J495" s="57"/>
      <c r="K495" s="154"/>
      <c r="L495" s="309"/>
      <c r="M495" s="155"/>
      <c r="N495" s="155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5"/>
      <c r="Z495" s="104"/>
      <c r="AA495" s="103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5"/>
      <c r="BX495" s="28"/>
    </row>
    <row r="496" spans="1:76" s="34" customFormat="1" ht="17.25" hidden="1" customHeight="1" outlineLevel="1" x14ac:dyDescent="0.75">
      <c r="A496" s="56"/>
      <c r="B496" s="368"/>
      <c r="C496" s="9"/>
      <c r="D496" s="1"/>
      <c r="E496" s="1"/>
      <c r="H496" s="368"/>
      <c r="I496" s="94"/>
      <c r="J496" s="57"/>
      <c r="K496" s="154"/>
      <c r="L496" s="309"/>
      <c r="M496" s="155"/>
      <c r="N496" s="155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5"/>
      <c r="Z496" s="104"/>
      <c r="AA496" s="103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5"/>
      <c r="BX496" s="28"/>
    </row>
    <row r="497" spans="1:78" s="34" customFormat="1" ht="17.25" hidden="1" customHeight="1" outlineLevel="1" x14ac:dyDescent="0.75">
      <c r="A497" s="56"/>
      <c r="B497" s="368"/>
      <c r="C497" s="9"/>
      <c r="D497" s="1"/>
      <c r="E497" s="1"/>
      <c r="H497" s="368"/>
      <c r="I497" s="94"/>
      <c r="J497" s="57"/>
      <c r="K497" s="154"/>
      <c r="L497" s="309"/>
      <c r="M497" s="155"/>
      <c r="N497" s="155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5"/>
      <c r="Z497" s="104"/>
      <c r="AA497" s="103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5"/>
      <c r="BX497" s="28"/>
    </row>
    <row r="498" spans="1:78" s="34" customFormat="1" ht="17.25" hidden="1" customHeight="1" outlineLevel="1" x14ac:dyDescent="0.75">
      <c r="A498" s="56"/>
      <c r="B498" s="368"/>
      <c r="C498" s="9"/>
      <c r="D498" s="1"/>
      <c r="E498" s="1"/>
      <c r="H498" s="368"/>
      <c r="I498" s="94"/>
      <c r="J498" s="57"/>
      <c r="K498" s="154"/>
      <c r="L498" s="309"/>
      <c r="M498" s="155"/>
      <c r="N498" s="155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5"/>
      <c r="Z498" s="104"/>
      <c r="AA498" s="103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5"/>
      <c r="BX498" s="28"/>
    </row>
    <row r="499" spans="1:78" s="34" customFormat="1" ht="17.25" hidden="1" customHeight="1" outlineLevel="1" x14ac:dyDescent="0.75">
      <c r="A499" s="56"/>
      <c r="B499" s="368"/>
      <c r="C499" s="9"/>
      <c r="D499" s="1"/>
      <c r="E499" s="1"/>
      <c r="H499" s="368"/>
      <c r="I499" s="94"/>
      <c r="J499" s="57"/>
      <c r="K499" s="154"/>
      <c r="L499" s="309"/>
      <c r="M499" s="155"/>
      <c r="N499" s="155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5"/>
      <c r="Z499" s="104"/>
      <c r="AA499" s="103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5"/>
      <c r="BX499" s="28"/>
    </row>
    <row r="500" spans="1:78" s="34" customFormat="1" ht="17.25" hidden="1" customHeight="1" outlineLevel="1" x14ac:dyDescent="0.75">
      <c r="A500" s="56"/>
      <c r="B500" s="368"/>
      <c r="C500" s="9"/>
      <c r="D500" s="1"/>
      <c r="E500" s="1"/>
      <c r="H500" s="368"/>
      <c r="I500" s="94"/>
      <c r="J500" s="57"/>
      <c r="K500" s="154"/>
      <c r="L500" s="309"/>
      <c r="M500" s="155"/>
      <c r="N500" s="155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5"/>
      <c r="Z500" s="104"/>
      <c r="AA500" s="103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5"/>
      <c r="BX500" s="28"/>
    </row>
    <row r="501" spans="1:78" s="34" customFormat="1" ht="17.25" hidden="1" customHeight="1" outlineLevel="1" x14ac:dyDescent="0.75">
      <c r="A501" s="56"/>
      <c r="B501" s="368"/>
      <c r="C501" s="9"/>
      <c r="D501" s="1"/>
      <c r="E501" s="1"/>
      <c r="H501" s="368"/>
      <c r="I501" s="94"/>
      <c r="J501" s="57"/>
      <c r="K501" s="154"/>
      <c r="L501" s="309"/>
      <c r="M501" s="155"/>
      <c r="N501" s="155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5"/>
      <c r="Z501" s="104"/>
      <c r="AA501" s="103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5"/>
      <c r="BX501" s="28"/>
    </row>
    <row r="502" spans="1:78" s="34" customFormat="1" ht="17.25" hidden="1" customHeight="1" outlineLevel="1" x14ac:dyDescent="0.75">
      <c r="A502" s="56"/>
      <c r="B502" s="368"/>
      <c r="C502" s="9"/>
      <c r="D502" s="1"/>
      <c r="E502" s="1"/>
      <c r="H502" s="368"/>
      <c r="I502" s="94"/>
      <c r="J502" s="57"/>
      <c r="K502" s="154"/>
      <c r="L502" s="309"/>
      <c r="M502" s="155"/>
      <c r="N502" s="155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5"/>
      <c r="Z502" s="104"/>
      <c r="AA502" s="103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5"/>
      <c r="BX502" s="28"/>
    </row>
    <row r="503" spans="1:78" s="34" customFormat="1" ht="17.25" customHeight="1" collapsed="1" x14ac:dyDescent="0.75">
      <c r="A503" s="56"/>
      <c r="B503" s="368"/>
      <c r="C503" s="9"/>
      <c r="D503" s="1"/>
      <c r="E503" s="1"/>
      <c r="H503" s="368"/>
      <c r="I503" s="94"/>
      <c r="J503" s="57"/>
      <c r="K503" s="154"/>
      <c r="L503" s="309"/>
      <c r="M503" s="155"/>
      <c r="N503" s="155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5"/>
      <c r="Z503" s="104"/>
      <c r="AA503" s="103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5"/>
      <c r="BX503" s="28"/>
    </row>
    <row r="504" spans="1:78" ht="3" customHeight="1" x14ac:dyDescent="0.75">
      <c r="A504" s="56"/>
      <c r="B504" s="54"/>
      <c r="H504" s="54"/>
      <c r="I504" s="68"/>
      <c r="J504" s="53"/>
      <c r="K504" s="106"/>
      <c r="L504" s="107"/>
      <c r="M504" s="528"/>
      <c r="N504" s="528"/>
      <c r="O504" s="528"/>
      <c r="P504" s="528"/>
      <c r="Q504" s="528"/>
      <c r="R504" s="528"/>
      <c r="S504" s="528"/>
      <c r="T504" s="528"/>
      <c r="U504" s="528"/>
      <c r="V504" s="528"/>
      <c r="W504" s="528"/>
      <c r="X504" s="528"/>
      <c r="Y504" s="105"/>
      <c r="Z504" s="104"/>
      <c r="AA504" s="106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5"/>
      <c r="BX504" s="28"/>
      <c r="BZ504" s="54"/>
    </row>
    <row r="505" spans="1:78" s="34" customFormat="1" ht="8.25" customHeight="1" x14ac:dyDescent="0.75">
      <c r="A505" s="56"/>
      <c r="B505" s="368"/>
      <c r="C505" s="9"/>
      <c r="D505" s="1"/>
      <c r="E505" s="1"/>
      <c r="H505" s="368"/>
      <c r="I505" s="94"/>
      <c r="J505" s="57"/>
      <c r="K505" s="103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5"/>
      <c r="Z505" s="104"/>
      <c r="AA505" s="103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5"/>
      <c r="BX505" s="28"/>
    </row>
    <row r="506" spans="1:78" s="34" customFormat="1" ht="23.25" customHeight="1" x14ac:dyDescent="0.8">
      <c r="A506" s="56"/>
      <c r="B506" s="54" t="s">
        <v>122</v>
      </c>
      <c r="C506" s="9"/>
      <c r="D506" s="1"/>
      <c r="E506" s="1"/>
      <c r="H506" s="54"/>
      <c r="I506" s="94"/>
      <c r="J506" s="57"/>
      <c r="K506" s="99"/>
      <c r="L506" s="529" t="str">
        <f>_xll.DBRA(Server&amp;$B$32,$B506,$N$19)</f>
        <v>F - Fleet Cost as % of revenue</v>
      </c>
      <c r="M506" s="530" t="s">
        <v>16</v>
      </c>
      <c r="N506" s="530"/>
      <c r="O506" s="531"/>
      <c r="P506" s="207"/>
      <c r="Q506" s="303">
        <f>_xll.DBRW(Server&amp;Cube1,$N$15,$N$16,$N$17,$N$18,$N$14,$N$13,$N$11,$Q$1,$B506)</f>
        <v>0</v>
      </c>
      <c r="R506" s="304">
        <f>_xll.DBRW(Server&amp;Cube1,$N$15,$N$16,$N$17,$N$18,$N$14,$N$13,$R$2,$R$1,$B506)</f>
        <v>0</v>
      </c>
      <c r="S506" s="291" t="str">
        <f>IF(T506=0,"è",IF(T506&lt;0,"ì","î"))</f>
        <v>è</v>
      </c>
      <c r="T506" s="287">
        <f>-(Q506-R506)*100</f>
        <v>0</v>
      </c>
      <c r="U506" s="239"/>
      <c r="V506" s="303">
        <f>_xll.DBRW(Server&amp;Cube1,$N$15,$N$16,$N$17,$N$18,$N$14,$N$13,$V$2,$V$1,$B506)</f>
        <v>0</v>
      </c>
      <c r="W506" s="292" t="str">
        <f>IF(X506=0,"è",IF(X506&lt;0,"ì","î"))</f>
        <v>è</v>
      </c>
      <c r="X506" s="287">
        <f>-($Q506-V506)*100</f>
        <v>0</v>
      </c>
      <c r="Y506" s="100"/>
      <c r="Z506" s="388"/>
      <c r="AA506" s="99"/>
      <c r="AB506" s="303">
        <f>_xll.DBRW(Server&amp;Cube1,$N$15,$N$16,$N$17,$N$18,$N$14,$N$13,AB$2,AB$1,$B506)</f>
        <v>0</v>
      </c>
      <c r="AC506" s="303">
        <f>_xll.DBRW(Server&amp;Cube1,$N$15,$N$16,$N$17,$N$18,$N$14,$N$13,AC$2,AC$1,$B506)</f>
        <v>0</v>
      </c>
      <c r="AD506" s="391">
        <f>_xll.DBRW(Server&amp;Cube1,$N$15,$N$16,$N$17,$N$18,$N$14,$N$13,AD$2,AD$1,$B506)</f>
        <v>0</v>
      </c>
      <c r="AE506" s="104"/>
      <c r="AF506" s="303">
        <f>_xll.DBRW(Server&amp;Cube1,$N$15,$N$16,$N$17,$N$18,$N$14,$N$13,AF$2,AF$1,$B506)</f>
        <v>0</v>
      </c>
      <c r="AG506" s="303">
        <f>_xll.DBRW(Server&amp;Cube1,$N$15,$N$16,$N$17,$N$18,$N$14,$N$13,AG$2,AG$1,$B506)</f>
        <v>0</v>
      </c>
      <c r="AH506" s="391">
        <f>_xll.DBRW(Server&amp;Cube1,$N$15,$N$16,$N$17,$N$18,$N$14,$N$13,AH$2,AH$1,$B506)</f>
        <v>0</v>
      </c>
      <c r="AI506" s="104"/>
      <c r="AJ506" s="303">
        <f>_xll.DBRW(Server&amp;Cube1,$N$15,$N$16,$N$17,$N$18,$N$14,$N$13,AJ$2,AJ$1,$B506)</f>
        <v>0</v>
      </c>
      <c r="AK506" s="303">
        <f>_xll.DBRW(Server&amp;Cube1,$N$15,$N$16,$N$17,$N$18,$N$14,$N$13,AK$2,AK$1,$B506)</f>
        <v>0</v>
      </c>
      <c r="AL506" s="391">
        <f>_xll.DBRW(Server&amp;Cube1,$N$15,$N$16,$N$17,$N$18,$N$14,$N$13,AL$2,AL$1,$B506)</f>
        <v>0</v>
      </c>
      <c r="AM506" s="104"/>
      <c r="AN506" s="303">
        <f>_xll.DBRW(Server&amp;Cube1,$N$15,$N$16,$N$17,$N$18,$N$14,$N$13,AN$2,AN$1,$B506)</f>
        <v>0</v>
      </c>
      <c r="AO506" s="303">
        <f>_xll.DBRW(Server&amp;Cube1,$N$15,$N$16,$N$17,$N$18,$N$14,$N$13,AO$2,AO$1,$B506)</f>
        <v>0</v>
      </c>
      <c r="AP506" s="391">
        <f>_xll.DBRW(Server&amp;Cube1,$N$15,$N$16,$N$17,$N$18,$N$14,$N$13,AP$2,AP$1,$B506)</f>
        <v>0</v>
      </c>
      <c r="AQ506" s="104"/>
      <c r="AR506" s="303">
        <f>_xll.DBRW(Server&amp;Cube1,$N$15,$N$16,$N$17,$N$18,$N$14,$N$13,AR$2,AR$1,$B506)</f>
        <v>0</v>
      </c>
      <c r="AS506" s="303">
        <f>_xll.DBRW(Server&amp;Cube1,$N$15,$N$16,$N$17,$N$18,$N$14,$N$13,AS$2,AS$1,$B506)</f>
        <v>0</v>
      </c>
      <c r="AT506" s="391">
        <f>_xll.DBRW(Server&amp;Cube1,$N$15,$N$16,$N$17,$N$18,$N$14,$N$13,AT$2,AT$1,$B506)</f>
        <v>0</v>
      </c>
      <c r="AU506" s="104"/>
      <c r="AV506" s="303">
        <f>_xll.DBRW(Server&amp;Cube1,$N$15,$N$16,$N$17,$N$18,$N$14,$N$13,AV$2,AV$1,$B506)</f>
        <v>0</v>
      </c>
      <c r="AW506" s="303">
        <f>_xll.DBRW(Server&amp;Cube1,$N$15,$N$16,$N$17,$N$18,$N$14,$N$13,AW$2,AW$1,$B506)</f>
        <v>0</v>
      </c>
      <c r="AX506" s="391">
        <f>_xll.DBRW(Server&amp;Cube1,$N$15,$N$16,$N$17,$N$18,$N$14,$N$13,AX$2,AX$1,$B506)</f>
        <v>0</v>
      </c>
      <c r="AY506" s="104"/>
      <c r="AZ506" s="303">
        <f>_xll.DBRW(Server&amp;Cube1,$N$15,$N$16,$N$17,$N$18,$N$14,$N$13,AZ$2,AZ$1,$B506)</f>
        <v>0</v>
      </c>
      <c r="BA506" s="303">
        <f>_xll.DBRW(Server&amp;Cube1,$N$15,$N$16,$N$17,$N$18,$N$14,$N$13,BA$2,BA$1,$B506)</f>
        <v>0</v>
      </c>
      <c r="BB506" s="391">
        <f>_xll.DBRW(Server&amp;Cube1,$N$15,$N$16,$N$17,$N$18,$N$14,$N$13,BB$2,BB$1,$B506)</f>
        <v>0</v>
      </c>
      <c r="BC506" s="104"/>
      <c r="BD506" s="303">
        <f>_xll.DBRW(Server&amp;Cube1,$N$15,$N$16,$N$17,$N$18,$N$14,$N$13,BD$2,BD$1,$B506)</f>
        <v>0</v>
      </c>
      <c r="BE506" s="303">
        <f>_xll.DBRW(Server&amp;Cube1,$N$15,$N$16,$N$17,$N$18,$N$14,$N$13,BE$2,BE$1,$B506)</f>
        <v>0</v>
      </c>
      <c r="BF506" s="391">
        <f>_xll.DBRW(Server&amp;Cube1,$N$15,$N$16,$N$17,$N$18,$N$14,$N$13,BF$2,BF$1,$B506)</f>
        <v>0</v>
      </c>
      <c r="BG506" s="104"/>
      <c r="BH506" s="303">
        <f>_xll.DBRW(Server&amp;Cube1,$N$15,$N$16,$N$17,$N$18,$N$14,$N$13,BH$2,BH$1,$B506)</f>
        <v>0</v>
      </c>
      <c r="BI506" s="303">
        <f>_xll.DBRW(Server&amp;Cube1,$N$15,$N$16,$N$17,$N$18,$N$14,$N$13,BI$2,BI$1,$B506)</f>
        <v>0</v>
      </c>
      <c r="BJ506" s="391">
        <f>_xll.DBRW(Server&amp;Cube1,$N$15,$N$16,$N$17,$N$18,$N$14,$N$13,BJ$2,BJ$1,$B506)</f>
        <v>0</v>
      </c>
      <c r="BK506" s="104"/>
      <c r="BL506" s="303">
        <f>_xll.DBRW(Server&amp;Cube1,$N$15,$N$16,$N$17,$N$18,$N$14,$N$13,BL$2,BL$1,$B506)</f>
        <v>0</v>
      </c>
      <c r="BM506" s="303">
        <f>_xll.DBRW(Server&amp;Cube1,$N$15,$N$16,$N$17,$N$18,$N$14,$N$13,BM$2,BM$1,$B506)</f>
        <v>0</v>
      </c>
      <c r="BN506" s="391">
        <f>_xll.DBRW(Server&amp;Cube1,$N$15,$N$16,$N$17,$N$18,$N$14,$N$13,BN$2,BN$1,$B506)</f>
        <v>0</v>
      </c>
      <c r="BO506" s="104"/>
      <c r="BP506" s="303">
        <f>_xll.DBRW(Server&amp;Cube1,$N$15,$N$16,$N$17,$N$18,$N$14,$N$13,BP$2,BP$1,$B506)</f>
        <v>0</v>
      </c>
      <c r="BQ506" s="303">
        <f>_xll.DBRW(Server&amp;Cube1,$N$15,$N$16,$N$17,$N$18,$N$14,$N$13,BQ$2,BQ$1,$B506)</f>
        <v>0</v>
      </c>
      <c r="BR506" s="391">
        <f>_xll.DBRW(Server&amp;Cube1,$N$15,$N$16,$N$17,$N$18,$N$14,$N$13,BR$2,BR$1,$B506)</f>
        <v>0</v>
      </c>
      <c r="BS506" s="104"/>
      <c r="BT506" s="303">
        <f>_xll.DBRW(Server&amp;Cube1,$N$15,$N$16,$N$17,$N$18,$N$14,$N$13,BT$2,BT$1,$B506)</f>
        <v>0</v>
      </c>
      <c r="BU506" s="303">
        <f>_xll.DBRW(Server&amp;Cube1,$N$15,$N$16,$N$17,$N$18,$N$14,$N$13,BU$2,BU$1,$B506)</f>
        <v>0</v>
      </c>
      <c r="BV506" s="391">
        <f>_xll.DBRW(Server&amp;Cube1,$N$15,$N$16,$N$17,$N$18,$N$14,$N$13,BV$2,BV$1,$B506)</f>
        <v>0</v>
      </c>
      <c r="BW506" s="100"/>
      <c r="BX506" s="28"/>
      <c r="BZ506" s="358"/>
    </row>
    <row r="507" spans="1:78" s="34" customFormat="1" ht="27.75" customHeight="1" x14ac:dyDescent="0.9">
      <c r="A507" s="56"/>
      <c r="B507" s="54" t="s">
        <v>119</v>
      </c>
      <c r="C507" s="9"/>
      <c r="D507" s="1"/>
      <c r="E507" s="1"/>
      <c r="H507" s="54"/>
      <c r="I507" s="94"/>
      <c r="J507" s="57"/>
      <c r="K507" s="99"/>
      <c r="L507" s="532" t="str">
        <f>_xll.DBRA(Server&amp;Context!$B$32,Context!$B$45,$N$19)</f>
        <v>LEVEL 2</v>
      </c>
      <c r="M507" s="535" t="str">
        <f>IF(OR(O520="Not defined",O520="Non défini",O522="Not defined",O522="Non défini"),_xll.DBRA(Server&amp;$B$32,$B507,$N$19),_xll.DBRA(Server&amp;Context!$B$32,Context!$B$52,$N$19)&amp;" "&amp;O520)</f>
        <v>F1 - Fleet Cost per cost work unit</v>
      </c>
      <c r="N507" s="535"/>
      <c r="O507" s="536"/>
      <c r="P507" s="206"/>
      <c r="Q507" s="312">
        <f>_xll.DBRW(Server&amp;Cube1,$N$15,$N$16,$N$17,$N$18,$N$14,$N$13,$N$11,$Q$1,$B507)</f>
        <v>0</v>
      </c>
      <c r="R507" s="313">
        <f>_xll.DBRW(Server&amp;Cube1,$N$15,$N$16,$N$17,$N$18,$N$14,$N$13,$R$2,$R$1,$B507)</f>
        <v>0</v>
      </c>
      <c r="S507" s="314">
        <f>Q507-R507</f>
        <v>0</v>
      </c>
      <c r="T507" s="315"/>
      <c r="U507" s="239"/>
      <c r="V507" s="323">
        <f>_xll.DBRW(Server&amp;Cube1,$N$15,$N$16,$N$17,$N$18,$N$14,$N$13,$V$2,$V$1,$B507)</f>
        <v>0</v>
      </c>
      <c r="W507" s="314">
        <f>$Q507-V507</f>
        <v>0</v>
      </c>
      <c r="X507" s="315"/>
      <c r="Y507" s="100"/>
      <c r="Z507" s="388"/>
      <c r="AA507" s="99"/>
      <c r="AB507" s="312">
        <f>_xll.DBRW(Server&amp;Cube1,$N$15,$N$16,$N$17,$N$18,$N$14,$N$13,AB$2,AB$1,$B507)</f>
        <v>0</v>
      </c>
      <c r="AC507" s="312">
        <f>_xll.DBRW(Server&amp;Cube1,$N$15,$N$16,$N$17,$N$18,$N$14,$N$13,AC$2,AC$1,$B507)</f>
        <v>0</v>
      </c>
      <c r="AD507" s="392">
        <f>_xll.DBRW(Server&amp;Cube1,$N$15,$N$16,$N$17,$N$18,$N$14,$N$13,AD$2,AD$1,$B507)</f>
        <v>0</v>
      </c>
      <c r="AE507" s="104"/>
      <c r="AF507" s="312">
        <f>_xll.DBRW(Server&amp;Cube1,$N$15,$N$16,$N$17,$N$18,$N$14,$N$13,AF$2,AF$1,$B507)</f>
        <v>0</v>
      </c>
      <c r="AG507" s="312">
        <f>_xll.DBRW(Server&amp;Cube1,$N$15,$N$16,$N$17,$N$18,$N$14,$N$13,AG$2,AG$1,$B507)</f>
        <v>0</v>
      </c>
      <c r="AH507" s="392">
        <f>_xll.DBRW(Server&amp;Cube1,$N$15,$N$16,$N$17,$N$18,$N$14,$N$13,AH$2,AH$1,$B507)</f>
        <v>0</v>
      </c>
      <c r="AI507" s="104"/>
      <c r="AJ507" s="312">
        <f>_xll.DBRW(Server&amp;Cube1,$N$15,$N$16,$N$17,$N$18,$N$14,$N$13,AJ$2,AJ$1,$B507)</f>
        <v>0</v>
      </c>
      <c r="AK507" s="312">
        <f>_xll.DBRW(Server&amp;Cube1,$N$15,$N$16,$N$17,$N$18,$N$14,$N$13,AK$2,AK$1,$B507)</f>
        <v>0</v>
      </c>
      <c r="AL507" s="392">
        <f>_xll.DBRW(Server&amp;Cube1,$N$15,$N$16,$N$17,$N$18,$N$14,$N$13,AL$2,AL$1,$B507)</f>
        <v>0</v>
      </c>
      <c r="AM507" s="104"/>
      <c r="AN507" s="312">
        <f>_xll.DBRW(Server&amp;Cube1,$N$15,$N$16,$N$17,$N$18,$N$14,$N$13,AN$2,AN$1,$B507)</f>
        <v>0</v>
      </c>
      <c r="AO507" s="312">
        <f>_xll.DBRW(Server&amp;Cube1,$N$15,$N$16,$N$17,$N$18,$N$14,$N$13,AO$2,AO$1,$B507)</f>
        <v>0</v>
      </c>
      <c r="AP507" s="392">
        <f>_xll.DBRW(Server&amp;Cube1,$N$15,$N$16,$N$17,$N$18,$N$14,$N$13,AP$2,AP$1,$B507)</f>
        <v>0</v>
      </c>
      <c r="AQ507" s="104"/>
      <c r="AR507" s="312">
        <f>_xll.DBRW(Server&amp;Cube1,$N$15,$N$16,$N$17,$N$18,$N$14,$N$13,AR$2,AR$1,$B507)</f>
        <v>0</v>
      </c>
      <c r="AS507" s="312">
        <f>_xll.DBRW(Server&amp;Cube1,$N$15,$N$16,$N$17,$N$18,$N$14,$N$13,AS$2,AS$1,$B507)</f>
        <v>0</v>
      </c>
      <c r="AT507" s="392">
        <f>_xll.DBRW(Server&amp;Cube1,$N$15,$N$16,$N$17,$N$18,$N$14,$N$13,AT$2,AT$1,$B507)</f>
        <v>0</v>
      </c>
      <c r="AU507" s="104"/>
      <c r="AV507" s="312">
        <f>_xll.DBRW(Server&amp;Cube1,$N$15,$N$16,$N$17,$N$18,$N$14,$N$13,AV$2,AV$1,$B507)</f>
        <v>0</v>
      </c>
      <c r="AW507" s="312">
        <f>_xll.DBRW(Server&amp;Cube1,$N$15,$N$16,$N$17,$N$18,$N$14,$N$13,AW$2,AW$1,$B507)</f>
        <v>0</v>
      </c>
      <c r="AX507" s="392">
        <f>_xll.DBRW(Server&amp;Cube1,$N$15,$N$16,$N$17,$N$18,$N$14,$N$13,AX$2,AX$1,$B507)</f>
        <v>0</v>
      </c>
      <c r="AY507" s="104"/>
      <c r="AZ507" s="312">
        <f>_xll.DBRW(Server&amp;Cube1,$N$15,$N$16,$N$17,$N$18,$N$14,$N$13,AZ$2,AZ$1,$B507)</f>
        <v>0</v>
      </c>
      <c r="BA507" s="312">
        <f>_xll.DBRW(Server&amp;Cube1,$N$15,$N$16,$N$17,$N$18,$N$14,$N$13,BA$2,BA$1,$B507)</f>
        <v>0</v>
      </c>
      <c r="BB507" s="392">
        <f>_xll.DBRW(Server&amp;Cube1,$N$15,$N$16,$N$17,$N$18,$N$14,$N$13,BB$2,BB$1,$B507)</f>
        <v>0</v>
      </c>
      <c r="BC507" s="104"/>
      <c r="BD507" s="312">
        <f>_xll.DBRW(Server&amp;Cube1,$N$15,$N$16,$N$17,$N$18,$N$14,$N$13,BD$2,BD$1,$B507)</f>
        <v>0</v>
      </c>
      <c r="BE507" s="312">
        <f>_xll.DBRW(Server&amp;Cube1,$N$15,$N$16,$N$17,$N$18,$N$14,$N$13,BE$2,BE$1,$B507)</f>
        <v>0</v>
      </c>
      <c r="BF507" s="392">
        <f>_xll.DBRW(Server&amp;Cube1,$N$15,$N$16,$N$17,$N$18,$N$14,$N$13,BF$2,BF$1,$B507)</f>
        <v>0</v>
      </c>
      <c r="BG507" s="104"/>
      <c r="BH507" s="312">
        <f>_xll.DBRW(Server&amp;Cube1,$N$15,$N$16,$N$17,$N$18,$N$14,$N$13,BH$2,BH$1,$B507)</f>
        <v>0</v>
      </c>
      <c r="BI507" s="312">
        <f>_xll.DBRW(Server&amp;Cube1,$N$15,$N$16,$N$17,$N$18,$N$14,$N$13,BI$2,BI$1,$B507)</f>
        <v>0</v>
      </c>
      <c r="BJ507" s="392">
        <f>_xll.DBRW(Server&amp;Cube1,$N$15,$N$16,$N$17,$N$18,$N$14,$N$13,BJ$2,BJ$1,$B507)</f>
        <v>0</v>
      </c>
      <c r="BK507" s="104"/>
      <c r="BL507" s="312">
        <f>_xll.DBRW(Server&amp;Cube1,$N$15,$N$16,$N$17,$N$18,$N$14,$N$13,BL$2,BL$1,$B507)</f>
        <v>0</v>
      </c>
      <c r="BM507" s="312">
        <f>_xll.DBRW(Server&amp;Cube1,$N$15,$N$16,$N$17,$N$18,$N$14,$N$13,BM$2,BM$1,$B507)</f>
        <v>0</v>
      </c>
      <c r="BN507" s="392">
        <f>_xll.DBRW(Server&amp;Cube1,$N$15,$N$16,$N$17,$N$18,$N$14,$N$13,BN$2,BN$1,$B507)</f>
        <v>0</v>
      </c>
      <c r="BO507" s="104"/>
      <c r="BP507" s="312">
        <f>_xll.DBRW(Server&amp;Cube1,$N$15,$N$16,$N$17,$N$18,$N$14,$N$13,BP$2,BP$1,$B507)</f>
        <v>0</v>
      </c>
      <c r="BQ507" s="312">
        <f>_xll.DBRW(Server&amp;Cube1,$N$15,$N$16,$N$17,$N$18,$N$14,$N$13,BQ$2,BQ$1,$B507)</f>
        <v>0</v>
      </c>
      <c r="BR507" s="392">
        <f>_xll.DBRW(Server&amp;Cube1,$N$15,$N$16,$N$17,$N$18,$N$14,$N$13,BR$2,BR$1,$B507)</f>
        <v>0</v>
      </c>
      <c r="BS507" s="104"/>
      <c r="BT507" s="312">
        <f>_xll.DBRW(Server&amp;Cube1,$N$15,$N$16,$N$17,$N$18,$N$14,$N$13,BT$2,BT$1,$B507)</f>
        <v>0</v>
      </c>
      <c r="BU507" s="312">
        <f>_xll.DBRW(Server&amp;Cube1,$N$15,$N$16,$N$17,$N$18,$N$14,$N$13,BU$2,BU$1,$B507)</f>
        <v>0</v>
      </c>
      <c r="BV507" s="392">
        <f>_xll.DBRW(Server&amp;Cube1,$N$15,$N$16,$N$17,$N$18,$N$14,$N$13,BV$2,BV$1,$B507)</f>
        <v>0</v>
      </c>
      <c r="BW507" s="100"/>
      <c r="BX507" s="28"/>
      <c r="BZ507" s="361"/>
    </row>
    <row r="508" spans="1:78" s="34" customFormat="1" ht="27.75" customHeight="1" x14ac:dyDescent="0.9">
      <c r="A508" s="56"/>
      <c r="B508" s="54" t="s">
        <v>120</v>
      </c>
      <c r="C508" s="9"/>
      <c r="D508" s="1"/>
      <c r="E508" s="1"/>
      <c r="H508" s="54"/>
      <c r="I508" s="94"/>
      <c r="J508" s="57"/>
      <c r="K508" s="99"/>
      <c r="L508" s="533"/>
      <c r="M508" s="519" t="str">
        <f>IF(OR(O520="Not defined",O520="Non défini",O522="Not defined",O522="Non défini"),_xll.DBRA(Server&amp;$B$32,$B508,$N$19),_xll.DBRA(Server&amp;$B$32,$B508,$N$19)&amp;" - ("&amp;O520&amp;" / "&amp;O522&amp;")")</f>
        <v>F2 - Fleet efficiency</v>
      </c>
      <c r="N508" s="519"/>
      <c r="O508" s="519"/>
      <c r="P508" s="206"/>
      <c r="Q508" s="316">
        <f>_xll.DBRW(Server&amp;Cube1,$N$15,$N$16,$N$17,$N$18,$N$14,$N$13,$N$11,$Q$1,$B508)</f>
        <v>0</v>
      </c>
      <c r="R508" s="311">
        <f>_xll.DBRW(Server&amp;Cube1,$N$15,$N$16,$N$17,$N$18,$N$14,$N$13,$R$2,$R$1,$B508)</f>
        <v>0</v>
      </c>
      <c r="S508" s="317">
        <f>Q508-R508</f>
        <v>0</v>
      </c>
      <c r="T508" s="318"/>
      <c r="U508" s="241"/>
      <c r="V508" s="324">
        <f>_xll.DBRW(Server&amp;Cube1,$N$15,$N$16,$N$17,$N$18,$N$14,$N$13,$V$2,$V$1,$B508)</f>
        <v>0</v>
      </c>
      <c r="W508" s="317">
        <f>$Q508-V508</f>
        <v>0</v>
      </c>
      <c r="X508" s="318"/>
      <c r="Y508" s="100"/>
      <c r="Z508" s="388"/>
      <c r="AA508" s="99"/>
      <c r="AB508" s="316">
        <f>_xll.DBRW(Server&amp;Cube1,$N$15,$N$16,$N$17,$N$18,$N$14,$N$13,AB$2,AB$1,$B508)</f>
        <v>0</v>
      </c>
      <c r="AC508" s="316">
        <f>_xll.DBRW(Server&amp;Cube1,$N$15,$N$16,$N$17,$N$18,$N$14,$N$13,AC$2,AC$1,$B508)</f>
        <v>0</v>
      </c>
      <c r="AD508" s="393">
        <f>_xll.DBRW(Server&amp;Cube1,$N$15,$N$16,$N$17,$N$18,$N$14,$N$13,AD$2,AD$1,$B508)</f>
        <v>0</v>
      </c>
      <c r="AE508" s="104"/>
      <c r="AF508" s="316">
        <f>_xll.DBRW(Server&amp;Cube1,$N$15,$N$16,$N$17,$N$18,$N$14,$N$13,AF$2,AF$1,$B508)</f>
        <v>0</v>
      </c>
      <c r="AG508" s="316">
        <f>_xll.DBRW(Server&amp;Cube1,$N$15,$N$16,$N$17,$N$18,$N$14,$N$13,AG$2,AG$1,$B508)</f>
        <v>0</v>
      </c>
      <c r="AH508" s="393">
        <f>_xll.DBRW(Server&amp;Cube1,$N$15,$N$16,$N$17,$N$18,$N$14,$N$13,AH$2,AH$1,$B508)</f>
        <v>0</v>
      </c>
      <c r="AI508" s="104"/>
      <c r="AJ508" s="316">
        <f>_xll.DBRW(Server&amp;Cube1,$N$15,$N$16,$N$17,$N$18,$N$14,$N$13,AJ$2,AJ$1,$B508)</f>
        <v>0</v>
      </c>
      <c r="AK508" s="316">
        <f>_xll.DBRW(Server&amp;Cube1,$N$15,$N$16,$N$17,$N$18,$N$14,$N$13,AK$2,AK$1,$B508)</f>
        <v>0</v>
      </c>
      <c r="AL508" s="393">
        <f>_xll.DBRW(Server&amp;Cube1,$N$15,$N$16,$N$17,$N$18,$N$14,$N$13,AL$2,AL$1,$B508)</f>
        <v>0</v>
      </c>
      <c r="AM508" s="104"/>
      <c r="AN508" s="316">
        <f>_xll.DBRW(Server&amp;Cube1,$N$15,$N$16,$N$17,$N$18,$N$14,$N$13,AN$2,AN$1,$B508)</f>
        <v>0</v>
      </c>
      <c r="AO508" s="316">
        <f>_xll.DBRW(Server&amp;Cube1,$N$15,$N$16,$N$17,$N$18,$N$14,$N$13,AO$2,AO$1,$B508)</f>
        <v>0</v>
      </c>
      <c r="AP508" s="393">
        <f>_xll.DBRW(Server&amp;Cube1,$N$15,$N$16,$N$17,$N$18,$N$14,$N$13,AP$2,AP$1,$B508)</f>
        <v>0</v>
      </c>
      <c r="AQ508" s="104"/>
      <c r="AR508" s="316">
        <f>_xll.DBRW(Server&amp;Cube1,$N$15,$N$16,$N$17,$N$18,$N$14,$N$13,AR$2,AR$1,$B508)</f>
        <v>0</v>
      </c>
      <c r="AS508" s="316">
        <f>_xll.DBRW(Server&amp;Cube1,$N$15,$N$16,$N$17,$N$18,$N$14,$N$13,AS$2,AS$1,$B508)</f>
        <v>0</v>
      </c>
      <c r="AT508" s="393">
        <f>_xll.DBRW(Server&amp;Cube1,$N$15,$N$16,$N$17,$N$18,$N$14,$N$13,AT$2,AT$1,$B508)</f>
        <v>0</v>
      </c>
      <c r="AU508" s="104"/>
      <c r="AV508" s="316">
        <f>_xll.DBRW(Server&amp;Cube1,$N$15,$N$16,$N$17,$N$18,$N$14,$N$13,AV$2,AV$1,$B508)</f>
        <v>0</v>
      </c>
      <c r="AW508" s="316">
        <f>_xll.DBRW(Server&amp;Cube1,$N$15,$N$16,$N$17,$N$18,$N$14,$N$13,AW$2,AW$1,$B508)</f>
        <v>0</v>
      </c>
      <c r="AX508" s="393">
        <f>_xll.DBRW(Server&amp;Cube1,$N$15,$N$16,$N$17,$N$18,$N$14,$N$13,AX$2,AX$1,$B508)</f>
        <v>0</v>
      </c>
      <c r="AY508" s="104"/>
      <c r="AZ508" s="316">
        <f>_xll.DBRW(Server&amp;Cube1,$N$15,$N$16,$N$17,$N$18,$N$14,$N$13,AZ$2,AZ$1,$B508)</f>
        <v>0</v>
      </c>
      <c r="BA508" s="316">
        <f>_xll.DBRW(Server&amp;Cube1,$N$15,$N$16,$N$17,$N$18,$N$14,$N$13,BA$2,BA$1,$B508)</f>
        <v>0</v>
      </c>
      <c r="BB508" s="393">
        <f>_xll.DBRW(Server&amp;Cube1,$N$15,$N$16,$N$17,$N$18,$N$14,$N$13,BB$2,BB$1,$B508)</f>
        <v>0</v>
      </c>
      <c r="BC508" s="104"/>
      <c r="BD508" s="316">
        <f>_xll.DBRW(Server&amp;Cube1,$N$15,$N$16,$N$17,$N$18,$N$14,$N$13,BD$2,BD$1,$B508)</f>
        <v>0</v>
      </c>
      <c r="BE508" s="316">
        <f>_xll.DBRW(Server&amp;Cube1,$N$15,$N$16,$N$17,$N$18,$N$14,$N$13,BE$2,BE$1,$B508)</f>
        <v>0</v>
      </c>
      <c r="BF508" s="393">
        <f>_xll.DBRW(Server&amp;Cube1,$N$15,$N$16,$N$17,$N$18,$N$14,$N$13,BF$2,BF$1,$B508)</f>
        <v>0</v>
      </c>
      <c r="BG508" s="104"/>
      <c r="BH508" s="316">
        <f>_xll.DBRW(Server&amp;Cube1,$N$15,$N$16,$N$17,$N$18,$N$14,$N$13,BH$2,BH$1,$B508)</f>
        <v>0</v>
      </c>
      <c r="BI508" s="316">
        <f>_xll.DBRW(Server&amp;Cube1,$N$15,$N$16,$N$17,$N$18,$N$14,$N$13,BI$2,BI$1,$B508)</f>
        <v>0</v>
      </c>
      <c r="BJ508" s="393">
        <f>_xll.DBRW(Server&amp;Cube1,$N$15,$N$16,$N$17,$N$18,$N$14,$N$13,BJ$2,BJ$1,$B508)</f>
        <v>0</v>
      </c>
      <c r="BK508" s="104"/>
      <c r="BL508" s="316">
        <f>_xll.DBRW(Server&amp;Cube1,$N$15,$N$16,$N$17,$N$18,$N$14,$N$13,BL$2,BL$1,$B508)</f>
        <v>0</v>
      </c>
      <c r="BM508" s="316">
        <f>_xll.DBRW(Server&amp;Cube1,$N$15,$N$16,$N$17,$N$18,$N$14,$N$13,BM$2,BM$1,$B508)</f>
        <v>0</v>
      </c>
      <c r="BN508" s="393">
        <f>_xll.DBRW(Server&amp;Cube1,$N$15,$N$16,$N$17,$N$18,$N$14,$N$13,BN$2,BN$1,$B508)</f>
        <v>0</v>
      </c>
      <c r="BO508" s="104"/>
      <c r="BP508" s="316">
        <f>_xll.DBRW(Server&amp;Cube1,$N$15,$N$16,$N$17,$N$18,$N$14,$N$13,BP$2,BP$1,$B508)</f>
        <v>0</v>
      </c>
      <c r="BQ508" s="316">
        <f>_xll.DBRW(Server&amp;Cube1,$N$15,$N$16,$N$17,$N$18,$N$14,$N$13,BQ$2,BQ$1,$B508)</f>
        <v>0</v>
      </c>
      <c r="BR508" s="393">
        <f>_xll.DBRW(Server&amp;Cube1,$N$15,$N$16,$N$17,$N$18,$N$14,$N$13,BR$2,BR$1,$B508)</f>
        <v>0</v>
      </c>
      <c r="BS508" s="104"/>
      <c r="BT508" s="316">
        <f>_xll.DBRW(Server&amp;Cube1,$N$15,$N$16,$N$17,$N$18,$N$14,$N$13,BT$2,BT$1,$B508)</f>
        <v>0</v>
      </c>
      <c r="BU508" s="316">
        <f>_xll.DBRW(Server&amp;Cube1,$N$15,$N$16,$N$17,$N$18,$N$14,$N$13,BU$2,BU$1,$B508)</f>
        <v>0</v>
      </c>
      <c r="BV508" s="393">
        <f>_xll.DBRW(Server&amp;Cube1,$N$15,$N$16,$N$17,$N$18,$N$14,$N$13,BV$2,BV$1,$B508)</f>
        <v>0</v>
      </c>
      <c r="BW508" s="100"/>
      <c r="BX508" s="28"/>
      <c r="BZ508" s="362"/>
    </row>
    <row r="509" spans="1:78" s="34" customFormat="1" ht="27.75" customHeight="1" x14ac:dyDescent="0.9">
      <c r="A509" s="56"/>
      <c r="B509" s="54"/>
      <c r="C509" s="9"/>
      <c r="D509" s="1"/>
      <c r="E509" s="1"/>
      <c r="H509" s="54"/>
      <c r="I509" s="94"/>
      <c r="J509" s="57"/>
      <c r="K509" s="99"/>
      <c r="L509" s="533"/>
      <c r="M509" s="555" t="str">
        <f>IF(OR(O520="Not defined",O520="Non défini",O522="Not defined",O522="Non défini"),_xll.DBRA(Server&amp;$B$32,$B508,$N$19),"1/"&amp;_xll.DBRA(Server&amp;$B$32,$B508,$N$19)&amp;" - ("&amp;O522&amp;" / "&amp;O520&amp;")")</f>
        <v>F2 - Fleet efficiency</v>
      </c>
      <c r="N509" s="556"/>
      <c r="O509" s="557"/>
      <c r="P509" s="423"/>
      <c r="Q509" s="424">
        <f>IF(Q508&lt;&gt;0,1/Q508,0)</f>
        <v>0</v>
      </c>
      <c r="R509" s="425">
        <f>IF(R508&lt;&gt;0,1/R508,0)</f>
        <v>0</v>
      </c>
      <c r="S509" s="426">
        <f>Q509-R509</f>
        <v>0</v>
      </c>
      <c r="T509" s="427"/>
      <c r="U509" s="428"/>
      <c r="V509" s="429">
        <f>IF(V508&lt;&gt;0,1/V508,0)</f>
        <v>0</v>
      </c>
      <c r="W509" s="426">
        <f>$Q509-V509</f>
        <v>0</v>
      </c>
      <c r="X509" s="427"/>
      <c r="Y509" s="430"/>
      <c r="Z509" s="431"/>
      <c r="AA509" s="432"/>
      <c r="AB509" s="424">
        <f t="shared" ref="AB509:AD509" si="110">IF(AB508&lt;&gt;0,1/AB508,0)</f>
        <v>0</v>
      </c>
      <c r="AC509" s="424">
        <f t="shared" si="110"/>
        <v>0</v>
      </c>
      <c r="AD509" s="433">
        <f t="shared" si="110"/>
        <v>0</v>
      </c>
      <c r="AE509" s="434"/>
      <c r="AF509" s="424">
        <f t="shared" ref="AF509:AH509" si="111">IF(AF508&lt;&gt;0,1/AF508,0)</f>
        <v>0</v>
      </c>
      <c r="AG509" s="424">
        <f t="shared" si="111"/>
        <v>0</v>
      </c>
      <c r="AH509" s="433">
        <f t="shared" si="111"/>
        <v>0</v>
      </c>
      <c r="AI509" s="434"/>
      <c r="AJ509" s="424">
        <f t="shared" ref="AJ509:AL509" si="112">IF(AJ508&lt;&gt;0,1/AJ508,0)</f>
        <v>0</v>
      </c>
      <c r="AK509" s="424">
        <f t="shared" si="112"/>
        <v>0</v>
      </c>
      <c r="AL509" s="433">
        <f t="shared" si="112"/>
        <v>0</v>
      </c>
      <c r="AM509" s="434"/>
      <c r="AN509" s="424">
        <f t="shared" ref="AN509:AP509" si="113">IF(AN508&lt;&gt;0,1/AN508,0)</f>
        <v>0</v>
      </c>
      <c r="AO509" s="424">
        <f t="shared" si="113"/>
        <v>0</v>
      </c>
      <c r="AP509" s="433">
        <f t="shared" si="113"/>
        <v>0</v>
      </c>
      <c r="AQ509" s="434"/>
      <c r="AR509" s="424">
        <f t="shared" ref="AR509:AT509" si="114">IF(AR508&lt;&gt;0,1/AR508,0)</f>
        <v>0</v>
      </c>
      <c r="AS509" s="424">
        <f t="shared" si="114"/>
        <v>0</v>
      </c>
      <c r="AT509" s="433">
        <f t="shared" si="114"/>
        <v>0</v>
      </c>
      <c r="AU509" s="434"/>
      <c r="AV509" s="424">
        <f t="shared" ref="AV509:AX509" si="115">IF(AV508&lt;&gt;0,1/AV508,0)</f>
        <v>0</v>
      </c>
      <c r="AW509" s="424">
        <f t="shared" si="115"/>
        <v>0</v>
      </c>
      <c r="AX509" s="433">
        <f t="shared" si="115"/>
        <v>0</v>
      </c>
      <c r="AY509" s="434"/>
      <c r="AZ509" s="424">
        <f t="shared" ref="AZ509:BB509" si="116">IF(AZ508&lt;&gt;0,1/AZ508,0)</f>
        <v>0</v>
      </c>
      <c r="BA509" s="424">
        <f t="shared" si="116"/>
        <v>0</v>
      </c>
      <c r="BB509" s="433">
        <f t="shared" si="116"/>
        <v>0</v>
      </c>
      <c r="BC509" s="434"/>
      <c r="BD509" s="424">
        <f t="shared" ref="BD509:BF509" si="117">IF(BD508&lt;&gt;0,1/BD508,0)</f>
        <v>0</v>
      </c>
      <c r="BE509" s="424">
        <f t="shared" si="117"/>
        <v>0</v>
      </c>
      <c r="BF509" s="433">
        <f t="shared" si="117"/>
        <v>0</v>
      </c>
      <c r="BG509" s="434"/>
      <c r="BH509" s="424">
        <f t="shared" ref="BH509:BJ509" si="118">IF(BH508&lt;&gt;0,1/BH508,0)</f>
        <v>0</v>
      </c>
      <c r="BI509" s="424">
        <f t="shared" si="118"/>
        <v>0</v>
      </c>
      <c r="BJ509" s="433">
        <f t="shared" si="118"/>
        <v>0</v>
      </c>
      <c r="BK509" s="434"/>
      <c r="BL509" s="424">
        <f t="shared" ref="BL509:BN509" si="119">IF(BL508&lt;&gt;0,1/BL508,0)</f>
        <v>0</v>
      </c>
      <c r="BM509" s="424">
        <f t="shared" si="119"/>
        <v>0</v>
      </c>
      <c r="BN509" s="433">
        <f t="shared" si="119"/>
        <v>0</v>
      </c>
      <c r="BO509" s="434"/>
      <c r="BP509" s="424">
        <f t="shared" ref="BP509:BR509" si="120">IF(BP508&lt;&gt;0,1/BP508,0)</f>
        <v>0</v>
      </c>
      <c r="BQ509" s="424">
        <f t="shared" si="120"/>
        <v>0</v>
      </c>
      <c r="BR509" s="433">
        <f t="shared" si="120"/>
        <v>0</v>
      </c>
      <c r="BS509" s="434"/>
      <c r="BT509" s="424">
        <f t="shared" ref="BT509:BV509" si="121">IF(BT508&lt;&gt;0,1/BT508,0)</f>
        <v>0</v>
      </c>
      <c r="BU509" s="424">
        <f t="shared" si="121"/>
        <v>0</v>
      </c>
      <c r="BV509" s="433">
        <f t="shared" si="121"/>
        <v>0</v>
      </c>
      <c r="BW509" s="100"/>
      <c r="BX509" s="28"/>
      <c r="BZ509" s="362"/>
    </row>
    <row r="510" spans="1:78" s="34" customFormat="1" ht="27.75" customHeight="1" collapsed="1" thickBot="1" x14ac:dyDescent="1.05">
      <c r="A510" s="56"/>
      <c r="B510" s="54" t="s">
        <v>121</v>
      </c>
      <c r="C510" s="9"/>
      <c r="D510" s="1"/>
      <c r="E510" s="1"/>
      <c r="H510" s="54"/>
      <c r="I510" s="94"/>
      <c r="J510" s="57"/>
      <c r="K510" s="99"/>
      <c r="L510" s="533"/>
      <c r="M510" s="520" t="str">
        <f>IF(OR(O520="Not defined",O520="Non défini",O522="Not defined",O522="Non défini"),_xll.DBRA(Server&amp;$B$32,$B510,$N$19),_xll.DBRA(Server&amp;Context!$B$32,Context!$B$53,$N$19)&amp;" "&amp;O522)</f>
        <v>F3 - Revenue per price work unit</v>
      </c>
      <c r="N510" s="520"/>
      <c r="O510" s="520"/>
      <c r="P510" s="206"/>
      <c r="Q510" s="319">
        <f>_xll.DBRW(Server&amp;Cube1,$N$15,$N$16,$N$17,$N$18,$N$14,$N$13,$N$11,$Q$1,$B510)</f>
        <v>0</v>
      </c>
      <c r="R510" s="320">
        <f>_xll.DBRW(Server&amp;Cube1,$N$15,$N$16,$N$17,$N$18,$N$14,$N$13,$R$2,$R$1,$B510)</f>
        <v>0</v>
      </c>
      <c r="S510" s="321">
        <f>Q510-R510</f>
        <v>0</v>
      </c>
      <c r="T510" s="322"/>
      <c r="U510" s="239"/>
      <c r="V510" s="325">
        <f>_xll.DBRW(Server&amp;Cube1,$N$15,$N$16,$N$17,$N$18,$N$14,$N$13,$V$2,$V$1,$B510)</f>
        <v>0</v>
      </c>
      <c r="W510" s="321">
        <f>$Q510-V510</f>
        <v>0</v>
      </c>
      <c r="X510" s="322"/>
      <c r="Y510" s="100"/>
      <c r="Z510" s="388"/>
      <c r="AA510" s="99"/>
      <c r="AB510" s="319">
        <f>_xll.DBRW(Server&amp;Cube1,$N$15,$N$16,$N$17,$N$18,$N$14,$N$13,AB$2,AB$1,$B510)</f>
        <v>0</v>
      </c>
      <c r="AC510" s="319">
        <f>_xll.DBRW(Server&amp;Cube1,$N$15,$N$16,$N$17,$N$18,$N$14,$N$13,AC$2,AC$1,$B510)</f>
        <v>0</v>
      </c>
      <c r="AD510" s="394">
        <f>_xll.DBRW(Server&amp;Cube1,$N$15,$N$16,$N$17,$N$18,$N$14,$N$13,AD$2,AD$1,$B510)</f>
        <v>0</v>
      </c>
      <c r="AE510" s="104"/>
      <c r="AF510" s="319">
        <f>_xll.DBRW(Server&amp;Cube1,$N$15,$N$16,$N$17,$N$18,$N$14,$N$13,AF$2,AF$1,$B510)</f>
        <v>0</v>
      </c>
      <c r="AG510" s="319">
        <f>_xll.DBRW(Server&amp;Cube1,$N$15,$N$16,$N$17,$N$18,$N$14,$N$13,AG$2,AG$1,$B510)</f>
        <v>0</v>
      </c>
      <c r="AH510" s="394">
        <f>_xll.DBRW(Server&amp;Cube1,$N$15,$N$16,$N$17,$N$18,$N$14,$N$13,AH$2,AH$1,$B510)</f>
        <v>0</v>
      </c>
      <c r="AI510" s="104"/>
      <c r="AJ510" s="319">
        <f>_xll.DBRW(Server&amp;Cube1,$N$15,$N$16,$N$17,$N$18,$N$14,$N$13,AJ$2,AJ$1,$B510)</f>
        <v>0</v>
      </c>
      <c r="AK510" s="319">
        <f>_xll.DBRW(Server&amp;Cube1,$N$15,$N$16,$N$17,$N$18,$N$14,$N$13,AK$2,AK$1,$B510)</f>
        <v>0</v>
      </c>
      <c r="AL510" s="394">
        <f>_xll.DBRW(Server&amp;Cube1,$N$15,$N$16,$N$17,$N$18,$N$14,$N$13,AL$2,AL$1,$B510)</f>
        <v>0</v>
      </c>
      <c r="AM510" s="104"/>
      <c r="AN510" s="319">
        <f>_xll.DBRW(Server&amp;Cube1,$N$15,$N$16,$N$17,$N$18,$N$14,$N$13,AN$2,AN$1,$B510)</f>
        <v>0</v>
      </c>
      <c r="AO510" s="319">
        <f>_xll.DBRW(Server&amp;Cube1,$N$15,$N$16,$N$17,$N$18,$N$14,$N$13,AO$2,AO$1,$B510)</f>
        <v>0</v>
      </c>
      <c r="AP510" s="394">
        <f>_xll.DBRW(Server&amp;Cube1,$N$15,$N$16,$N$17,$N$18,$N$14,$N$13,AP$2,AP$1,$B510)</f>
        <v>0</v>
      </c>
      <c r="AQ510" s="104"/>
      <c r="AR510" s="319">
        <f>_xll.DBRW(Server&amp;Cube1,$N$15,$N$16,$N$17,$N$18,$N$14,$N$13,AR$2,AR$1,$B510)</f>
        <v>0</v>
      </c>
      <c r="AS510" s="319">
        <f>_xll.DBRW(Server&amp;Cube1,$N$15,$N$16,$N$17,$N$18,$N$14,$N$13,AS$2,AS$1,$B510)</f>
        <v>0</v>
      </c>
      <c r="AT510" s="394">
        <f>_xll.DBRW(Server&amp;Cube1,$N$15,$N$16,$N$17,$N$18,$N$14,$N$13,AT$2,AT$1,$B510)</f>
        <v>0</v>
      </c>
      <c r="AU510" s="104"/>
      <c r="AV510" s="319">
        <f>_xll.DBRW(Server&amp;Cube1,$N$15,$N$16,$N$17,$N$18,$N$14,$N$13,AV$2,AV$1,$B510)</f>
        <v>0</v>
      </c>
      <c r="AW510" s="319">
        <f>_xll.DBRW(Server&amp;Cube1,$N$15,$N$16,$N$17,$N$18,$N$14,$N$13,AW$2,AW$1,$B510)</f>
        <v>0</v>
      </c>
      <c r="AX510" s="394">
        <f>_xll.DBRW(Server&amp;Cube1,$N$15,$N$16,$N$17,$N$18,$N$14,$N$13,AX$2,AX$1,$B510)</f>
        <v>0</v>
      </c>
      <c r="AY510" s="104"/>
      <c r="AZ510" s="319">
        <f>_xll.DBRW(Server&amp;Cube1,$N$15,$N$16,$N$17,$N$18,$N$14,$N$13,AZ$2,AZ$1,$B510)</f>
        <v>0</v>
      </c>
      <c r="BA510" s="319">
        <f>_xll.DBRW(Server&amp;Cube1,$N$15,$N$16,$N$17,$N$18,$N$14,$N$13,BA$2,BA$1,$B510)</f>
        <v>0</v>
      </c>
      <c r="BB510" s="394">
        <f>_xll.DBRW(Server&amp;Cube1,$N$15,$N$16,$N$17,$N$18,$N$14,$N$13,BB$2,BB$1,$B510)</f>
        <v>0</v>
      </c>
      <c r="BC510" s="104"/>
      <c r="BD510" s="319">
        <f>_xll.DBRW(Server&amp;Cube1,$N$15,$N$16,$N$17,$N$18,$N$14,$N$13,BD$2,BD$1,$B510)</f>
        <v>0</v>
      </c>
      <c r="BE510" s="319">
        <f>_xll.DBRW(Server&amp;Cube1,$N$15,$N$16,$N$17,$N$18,$N$14,$N$13,BE$2,BE$1,$B510)</f>
        <v>0</v>
      </c>
      <c r="BF510" s="394">
        <f>_xll.DBRW(Server&amp;Cube1,$N$15,$N$16,$N$17,$N$18,$N$14,$N$13,BF$2,BF$1,$B510)</f>
        <v>0</v>
      </c>
      <c r="BG510" s="104"/>
      <c r="BH510" s="319">
        <f>_xll.DBRW(Server&amp;Cube1,$N$15,$N$16,$N$17,$N$18,$N$14,$N$13,BH$2,BH$1,$B510)</f>
        <v>0</v>
      </c>
      <c r="BI510" s="319">
        <f>_xll.DBRW(Server&amp;Cube1,$N$15,$N$16,$N$17,$N$18,$N$14,$N$13,BI$2,BI$1,$B510)</f>
        <v>0</v>
      </c>
      <c r="BJ510" s="394">
        <f>_xll.DBRW(Server&amp;Cube1,$N$15,$N$16,$N$17,$N$18,$N$14,$N$13,BJ$2,BJ$1,$B510)</f>
        <v>0</v>
      </c>
      <c r="BK510" s="104"/>
      <c r="BL510" s="319">
        <f>_xll.DBRW(Server&amp;Cube1,$N$15,$N$16,$N$17,$N$18,$N$14,$N$13,BL$2,BL$1,$B510)</f>
        <v>0</v>
      </c>
      <c r="BM510" s="319">
        <f>_xll.DBRW(Server&amp;Cube1,$N$15,$N$16,$N$17,$N$18,$N$14,$N$13,BM$2,BM$1,$B510)</f>
        <v>0</v>
      </c>
      <c r="BN510" s="394">
        <f>_xll.DBRW(Server&amp;Cube1,$N$15,$N$16,$N$17,$N$18,$N$14,$N$13,BN$2,BN$1,$B510)</f>
        <v>0</v>
      </c>
      <c r="BO510" s="104"/>
      <c r="BP510" s="319">
        <f>_xll.DBRW(Server&amp;Cube1,$N$15,$N$16,$N$17,$N$18,$N$14,$N$13,BP$2,BP$1,$B510)</f>
        <v>0</v>
      </c>
      <c r="BQ510" s="319">
        <f>_xll.DBRW(Server&amp;Cube1,$N$15,$N$16,$N$17,$N$18,$N$14,$N$13,BQ$2,BQ$1,$B510)</f>
        <v>0</v>
      </c>
      <c r="BR510" s="394">
        <f>_xll.DBRW(Server&amp;Cube1,$N$15,$N$16,$N$17,$N$18,$N$14,$N$13,BR$2,BR$1,$B510)</f>
        <v>0</v>
      </c>
      <c r="BS510" s="104"/>
      <c r="BT510" s="319">
        <f>_xll.DBRW(Server&amp;Cube1,$N$15,$N$16,$N$17,$N$18,$N$14,$N$13,BT$2,BT$1,$B510)</f>
        <v>0</v>
      </c>
      <c r="BU510" s="319">
        <f>_xll.DBRW(Server&amp;Cube1,$N$15,$N$16,$N$17,$N$18,$N$14,$N$13,BU$2,BU$1,$B510)</f>
        <v>0</v>
      </c>
      <c r="BV510" s="394">
        <f>_xll.DBRW(Server&amp;Cube1,$N$15,$N$16,$N$17,$N$18,$N$14,$N$13,BV$2,BV$1,$B510)</f>
        <v>0</v>
      </c>
      <c r="BW510" s="100"/>
      <c r="BX510" s="28"/>
    </row>
    <row r="511" spans="1:78" ht="3.75" hidden="1" customHeight="1" outlineLevel="1" thickTop="1" x14ac:dyDescent="0.8">
      <c r="A511" s="56"/>
      <c r="B511" s="54"/>
      <c r="H511" s="54"/>
      <c r="I511" s="94"/>
      <c r="J511" s="57"/>
      <c r="K511" s="99"/>
      <c r="L511" s="533"/>
      <c r="M511" s="296"/>
      <c r="N511" s="296"/>
      <c r="O511" s="296"/>
      <c r="P511" s="61"/>
      <c r="Q511" s="208"/>
      <c r="R511" s="62"/>
      <c r="S511" s="63"/>
      <c r="T511" s="101"/>
      <c r="U511" s="210"/>
      <c r="V511" s="208"/>
      <c r="W511" s="63"/>
      <c r="X511" s="101"/>
      <c r="Y511" s="100"/>
      <c r="Z511" s="388"/>
      <c r="AA511" s="99"/>
      <c r="AB511" s="208"/>
      <c r="AC511" s="208"/>
      <c r="AD511" s="404"/>
      <c r="AE511" s="104"/>
      <c r="AF511" s="208"/>
      <c r="AG511" s="208"/>
      <c r="AH511" s="404"/>
      <c r="AI511" s="104"/>
      <c r="AJ511" s="208"/>
      <c r="AK511" s="208"/>
      <c r="AL511" s="404"/>
      <c r="AM511" s="104"/>
      <c r="AN511" s="208"/>
      <c r="AO511" s="208"/>
      <c r="AP511" s="404"/>
      <c r="AQ511" s="104"/>
      <c r="AR511" s="208"/>
      <c r="AS511" s="208"/>
      <c r="AT511" s="404"/>
      <c r="AU511" s="104"/>
      <c r="AV511" s="208"/>
      <c r="AW511" s="208"/>
      <c r="AX511" s="404"/>
      <c r="AY511" s="104"/>
      <c r="AZ511" s="208"/>
      <c r="BA511" s="208"/>
      <c r="BB511" s="404"/>
      <c r="BC511" s="104"/>
      <c r="BD511" s="208"/>
      <c r="BE511" s="208"/>
      <c r="BF511" s="404"/>
      <c r="BG511" s="104"/>
      <c r="BH511" s="208"/>
      <c r="BI511" s="208"/>
      <c r="BJ511" s="404"/>
      <c r="BK511" s="104"/>
      <c r="BL511" s="208"/>
      <c r="BM511" s="208"/>
      <c r="BN511" s="404"/>
      <c r="BO511" s="104"/>
      <c r="BP511" s="208"/>
      <c r="BQ511" s="208"/>
      <c r="BR511" s="404"/>
      <c r="BS511" s="104"/>
      <c r="BT511" s="208"/>
      <c r="BU511" s="208"/>
      <c r="BV511" s="404"/>
      <c r="BW511" s="100"/>
      <c r="BX511" s="28"/>
      <c r="BZ511" s="358"/>
    </row>
    <row r="512" spans="1:78" s="34" customFormat="1" ht="21.75" hidden="1" customHeight="1" outlineLevel="1" x14ac:dyDescent="0.8">
      <c r="A512" s="56"/>
      <c r="B512" s="54" t="s">
        <v>125</v>
      </c>
      <c r="C512" s="9"/>
      <c r="D512" s="54" t="b">
        <f>AND($Q520&lt;&gt;0,$R520&lt;&gt;0)</f>
        <v>0</v>
      </c>
      <c r="E512" s="54"/>
      <c r="F512" s="54" t="b">
        <f>AND($Q520&lt;&gt;0,$V520&lt;&gt;0)</f>
        <v>0</v>
      </c>
      <c r="H512" s="54"/>
      <c r="I512" s="94"/>
      <c r="J512" s="57"/>
      <c r="K512" s="99"/>
      <c r="L512" s="533"/>
      <c r="M512" s="521" t="str">
        <f>_xll.DBRA(Server&amp;$B$32,$B512,$N$19)</f>
        <v>F1 - Fleet cost variance - Cost effect</v>
      </c>
      <c r="N512" s="521"/>
      <c r="O512" s="522"/>
      <c r="P512" s="240"/>
      <c r="Q512" s="243"/>
      <c r="R512" s="244"/>
      <c r="S512" s="245">
        <f>IF(D512,-1*S507*Q520,0)</f>
        <v>0</v>
      </c>
      <c r="T512" s="297">
        <f>IF(ISERROR(S512/#REF!*100),,S512/#REF!*100)</f>
        <v>0</v>
      </c>
      <c r="U512" s="239"/>
      <c r="V512" s="246"/>
      <c r="W512" s="245">
        <f>IF(F512,-1*W507*$Q520,0)</f>
        <v>0</v>
      </c>
      <c r="X512" s="301">
        <f>IF(ISERROR(W512/#REF!*100),,W512/#REF!*100)</f>
        <v>0</v>
      </c>
      <c r="Y512" s="100"/>
      <c r="Z512" s="388"/>
      <c r="AA512" s="99"/>
      <c r="AB512" s="243"/>
      <c r="AC512" s="243"/>
      <c r="AD512" s="405"/>
      <c r="AE512" s="104"/>
      <c r="AF512" s="243"/>
      <c r="AG512" s="243"/>
      <c r="AH512" s="405"/>
      <c r="AI512" s="104"/>
      <c r="AJ512" s="243"/>
      <c r="AK512" s="243"/>
      <c r="AL512" s="405"/>
      <c r="AM512" s="104"/>
      <c r="AN512" s="243"/>
      <c r="AO512" s="243"/>
      <c r="AP512" s="405"/>
      <c r="AQ512" s="104"/>
      <c r="AR512" s="243"/>
      <c r="AS512" s="243"/>
      <c r="AT512" s="405"/>
      <c r="AU512" s="104"/>
      <c r="AV512" s="243"/>
      <c r="AW512" s="243"/>
      <c r="AX512" s="405"/>
      <c r="AY512" s="104"/>
      <c r="AZ512" s="243"/>
      <c r="BA512" s="243"/>
      <c r="BB512" s="405"/>
      <c r="BC512" s="104"/>
      <c r="BD512" s="243"/>
      <c r="BE512" s="243"/>
      <c r="BF512" s="405"/>
      <c r="BG512" s="104"/>
      <c r="BH512" s="243"/>
      <c r="BI512" s="243"/>
      <c r="BJ512" s="405"/>
      <c r="BK512" s="104"/>
      <c r="BL512" s="243"/>
      <c r="BM512" s="243"/>
      <c r="BN512" s="405"/>
      <c r="BO512" s="104"/>
      <c r="BP512" s="243"/>
      <c r="BQ512" s="243"/>
      <c r="BR512" s="405"/>
      <c r="BS512" s="104"/>
      <c r="BT512" s="243"/>
      <c r="BU512" s="243"/>
      <c r="BV512" s="405"/>
      <c r="BW512" s="100"/>
      <c r="BX512" s="28"/>
    </row>
    <row r="513" spans="1:78" s="34" customFormat="1" ht="21.75" hidden="1" customHeight="1" outlineLevel="1" x14ac:dyDescent="0.8">
      <c r="A513" s="56"/>
      <c r="B513" s="54" t="s">
        <v>126</v>
      </c>
      <c r="C513" s="9"/>
      <c r="D513" s="54" t="b">
        <f>AND($Q522&lt;&gt;0,$R522&lt;&gt;0,$Q520&lt;&gt;0,$R520&lt;&gt;0)</f>
        <v>0</v>
      </c>
      <c r="E513" s="54"/>
      <c r="F513" s="54" t="b">
        <f>AND($Q522&lt;&gt;0,$V522&lt;&gt;0,$Q520&lt;&gt;0,$V520&lt;&gt;0)</f>
        <v>0</v>
      </c>
      <c r="H513" s="54"/>
      <c r="I513" s="94"/>
      <c r="J513" s="57"/>
      <c r="K513" s="99"/>
      <c r="L513" s="533"/>
      <c r="M513" s="523" t="str">
        <f>_xll.DBRA(Server&amp;$B$32,$B513,$N$19)</f>
        <v>F2 - Fleet cost variance - Efficiency effect</v>
      </c>
      <c r="N513" s="523"/>
      <c r="O513" s="524"/>
      <c r="P513" s="240"/>
      <c r="Q513" s="243"/>
      <c r="R513" s="247"/>
      <c r="S513" s="245">
        <f>IF(D513,IF(Q508&lt;&gt;0,S508/Q508*$Q$98,0),0)</f>
        <v>0</v>
      </c>
      <c r="T513" s="297">
        <f>IF(ISERROR(S513/$Q$36*100),,S513/$Q$36*100)</f>
        <v>0</v>
      </c>
      <c r="U513" s="239"/>
      <c r="V513" s="246"/>
      <c r="W513" s="245">
        <f>IF(F513,IF($Q508&lt;&gt;0,W508/$Q508*$Q$98,0),0)</f>
        <v>0</v>
      </c>
      <c r="X513" s="301">
        <f>IF(ISERROR(W513/$Q$36*100),,W513/$Q$36*100)</f>
        <v>0</v>
      </c>
      <c r="Y513" s="100"/>
      <c r="Z513" s="388"/>
      <c r="AA513" s="99"/>
      <c r="AB513" s="243"/>
      <c r="AC513" s="243"/>
      <c r="AD513" s="405"/>
      <c r="AE513" s="104"/>
      <c r="AF513" s="243"/>
      <c r="AG513" s="243"/>
      <c r="AH513" s="405"/>
      <c r="AI513" s="104"/>
      <c r="AJ513" s="243"/>
      <c r="AK513" s="243"/>
      <c r="AL513" s="405"/>
      <c r="AM513" s="104"/>
      <c r="AN513" s="243"/>
      <c r="AO513" s="243"/>
      <c r="AP513" s="405"/>
      <c r="AQ513" s="104"/>
      <c r="AR513" s="243"/>
      <c r="AS513" s="243"/>
      <c r="AT513" s="405"/>
      <c r="AU513" s="104"/>
      <c r="AV513" s="243"/>
      <c r="AW513" s="243"/>
      <c r="AX513" s="405"/>
      <c r="AY513" s="104"/>
      <c r="AZ513" s="243"/>
      <c r="BA513" s="243"/>
      <c r="BB513" s="405"/>
      <c r="BC513" s="104"/>
      <c r="BD513" s="243"/>
      <c r="BE513" s="243"/>
      <c r="BF513" s="405"/>
      <c r="BG513" s="104"/>
      <c r="BH513" s="243"/>
      <c r="BI513" s="243"/>
      <c r="BJ513" s="405"/>
      <c r="BK513" s="104"/>
      <c r="BL513" s="243"/>
      <c r="BM513" s="243"/>
      <c r="BN513" s="405"/>
      <c r="BO513" s="104"/>
      <c r="BP513" s="243"/>
      <c r="BQ513" s="243"/>
      <c r="BR513" s="405"/>
      <c r="BS513" s="104"/>
      <c r="BT513" s="243"/>
      <c r="BU513" s="243"/>
      <c r="BV513" s="405"/>
      <c r="BW513" s="100"/>
      <c r="BX513" s="28"/>
    </row>
    <row r="514" spans="1:78" s="34" customFormat="1" ht="21.75" hidden="1" customHeight="1" outlineLevel="1" x14ac:dyDescent="0.8">
      <c r="A514" s="56"/>
      <c r="B514" s="54" t="s">
        <v>127</v>
      </c>
      <c r="C514" s="9"/>
      <c r="D514" s="54" t="b">
        <f>AND($Q522&lt;&gt;0,$R522&lt;&gt;0)</f>
        <v>0</v>
      </c>
      <c r="E514" s="54"/>
      <c r="F514" s="54" t="b">
        <f>AND($Q522&lt;&gt;0,$V522&lt;&gt;0)</f>
        <v>0</v>
      </c>
      <c r="H514" s="54"/>
      <c r="I514" s="94"/>
      <c r="J514" s="57"/>
      <c r="K514" s="99"/>
      <c r="L514" s="533"/>
      <c r="M514" s="523" t="str">
        <f>_xll.DBRA(Server&amp;$B$32,$B514,$N$19)</f>
        <v>F3 - Fleet cost variance - Price effect</v>
      </c>
      <c r="N514" s="523"/>
      <c r="O514" s="524"/>
      <c r="P514" s="240"/>
      <c r="Q514" s="243"/>
      <c r="R514" s="247"/>
      <c r="S514" s="245">
        <f>IF(D514,Q506*S510*Q522,0)</f>
        <v>0</v>
      </c>
      <c r="T514" s="297">
        <f>IF(ISERROR(S514/$Q$36*100),,S514/$Q$36*100)</f>
        <v>0</v>
      </c>
      <c r="U514" s="239"/>
      <c r="V514" s="246"/>
      <c r="W514" s="248">
        <f>IF(F514,$Q506*W510*$Q522,0)</f>
        <v>0</v>
      </c>
      <c r="X514" s="301">
        <f>IF(ISERROR(W514/$Q$36*100),,W514/$Q$36*100)</f>
        <v>0</v>
      </c>
      <c r="Y514" s="100"/>
      <c r="Z514" s="388"/>
      <c r="AA514" s="99"/>
      <c r="AB514" s="243"/>
      <c r="AC514" s="243"/>
      <c r="AD514" s="405"/>
      <c r="AE514" s="104"/>
      <c r="AF514" s="243"/>
      <c r="AG514" s="243"/>
      <c r="AH514" s="405"/>
      <c r="AI514" s="104"/>
      <c r="AJ514" s="243"/>
      <c r="AK514" s="243"/>
      <c r="AL514" s="405"/>
      <c r="AM514" s="104"/>
      <c r="AN514" s="243"/>
      <c r="AO514" s="243"/>
      <c r="AP514" s="405"/>
      <c r="AQ514" s="104"/>
      <c r="AR514" s="243"/>
      <c r="AS514" s="243"/>
      <c r="AT514" s="405"/>
      <c r="AU514" s="104"/>
      <c r="AV514" s="243"/>
      <c r="AW514" s="243"/>
      <c r="AX514" s="405"/>
      <c r="AY514" s="104"/>
      <c r="AZ514" s="243"/>
      <c r="BA514" s="243"/>
      <c r="BB514" s="405"/>
      <c r="BC514" s="104"/>
      <c r="BD514" s="243"/>
      <c r="BE514" s="243"/>
      <c r="BF514" s="405"/>
      <c r="BG514" s="104"/>
      <c r="BH514" s="243"/>
      <c r="BI514" s="243"/>
      <c r="BJ514" s="405"/>
      <c r="BK514" s="104"/>
      <c r="BL514" s="243"/>
      <c r="BM514" s="243"/>
      <c r="BN514" s="405"/>
      <c r="BO514" s="104"/>
      <c r="BP514" s="243"/>
      <c r="BQ514" s="243"/>
      <c r="BR514" s="405"/>
      <c r="BS514" s="104"/>
      <c r="BT514" s="243"/>
      <c r="BU514" s="243"/>
      <c r="BV514" s="405"/>
      <c r="BW514" s="100"/>
      <c r="BX514" s="28"/>
    </row>
    <row r="515" spans="1:78" s="34" customFormat="1" ht="21.75" hidden="1" customHeight="1" outlineLevel="1" x14ac:dyDescent="0.8">
      <c r="A515" s="56"/>
      <c r="B515" s="54" t="s">
        <v>128</v>
      </c>
      <c r="C515" s="9"/>
      <c r="D515" s="54" t="b">
        <f>AND($Q522&lt;&gt;0,$R522&lt;&gt;0,$Q520&lt;&gt;0,$R520&lt;&gt;0)</f>
        <v>0</v>
      </c>
      <c r="E515" s="54"/>
      <c r="F515" s="54" t="b">
        <f>AND($Q522&lt;&gt;0,$V522&lt;&gt;0,$Q520&lt;&gt;0,$V520&lt;&gt;0)</f>
        <v>0</v>
      </c>
      <c r="H515" s="54"/>
      <c r="I515" s="94"/>
      <c r="J515" s="57"/>
      <c r="K515" s="99"/>
      <c r="L515" s="533"/>
      <c r="M515" s="541" t="str">
        <f>_xll.DBRA(Server&amp;$B$32,$B515,$N$19)</f>
        <v>F - Compound</v>
      </c>
      <c r="N515" s="541"/>
      <c r="O515" s="542"/>
      <c r="P515" s="240"/>
      <c r="Q515" s="243"/>
      <c r="R515" s="247"/>
      <c r="S515" s="249">
        <f>IF(D515,$S98-S512-S513-S514-S518,0)</f>
        <v>0</v>
      </c>
      <c r="T515" s="298">
        <f>IF(ISERROR(S515/$Q$36*100),,S515/$Q$36*100)</f>
        <v>0</v>
      </c>
      <c r="U515" s="239"/>
      <c r="V515" s="246"/>
      <c r="W515" s="249">
        <f>IF(F515,$W98-W512-W513-W514-W518,0)</f>
        <v>0</v>
      </c>
      <c r="X515" s="298">
        <f>IF(ISERROR(W515/$Q$36*100),,W515/$Q$36*100)</f>
        <v>0</v>
      </c>
      <c r="Y515" s="100"/>
      <c r="Z515" s="388"/>
      <c r="AA515" s="99"/>
      <c r="AB515" s="243"/>
      <c r="AC515" s="243"/>
      <c r="AD515" s="405"/>
      <c r="AE515" s="104"/>
      <c r="AF515" s="243"/>
      <c r="AG515" s="243"/>
      <c r="AH515" s="405"/>
      <c r="AI515" s="104"/>
      <c r="AJ515" s="243"/>
      <c r="AK515" s="243"/>
      <c r="AL515" s="405"/>
      <c r="AM515" s="104"/>
      <c r="AN515" s="243"/>
      <c r="AO515" s="243"/>
      <c r="AP515" s="405"/>
      <c r="AQ515" s="104"/>
      <c r="AR515" s="243"/>
      <c r="AS515" s="243"/>
      <c r="AT515" s="405"/>
      <c r="AU515" s="104"/>
      <c r="AV515" s="243"/>
      <c r="AW515" s="243"/>
      <c r="AX515" s="405"/>
      <c r="AY515" s="104"/>
      <c r="AZ515" s="243"/>
      <c r="BA515" s="243"/>
      <c r="BB515" s="405"/>
      <c r="BC515" s="104"/>
      <c r="BD515" s="243"/>
      <c r="BE515" s="243"/>
      <c r="BF515" s="405"/>
      <c r="BG515" s="104"/>
      <c r="BH515" s="243"/>
      <c r="BI515" s="243"/>
      <c r="BJ515" s="405"/>
      <c r="BK515" s="104"/>
      <c r="BL515" s="243"/>
      <c r="BM515" s="243"/>
      <c r="BN515" s="405"/>
      <c r="BO515" s="104"/>
      <c r="BP515" s="243"/>
      <c r="BQ515" s="243"/>
      <c r="BR515" s="405"/>
      <c r="BS515" s="104"/>
      <c r="BT515" s="243"/>
      <c r="BU515" s="243"/>
      <c r="BV515" s="405"/>
      <c r="BW515" s="100"/>
      <c r="BX515" s="28"/>
    </row>
    <row r="516" spans="1:78" s="34" customFormat="1" ht="21.75" hidden="1" customHeight="1" outlineLevel="1" x14ac:dyDescent="0.8">
      <c r="A516" s="56"/>
      <c r="B516" s="371" t="s">
        <v>145</v>
      </c>
      <c r="C516" s="9"/>
      <c r="D516" s="54" t="b">
        <f>OR($Q522=0,$R522=0,$Q520=0,$R520=0)</f>
        <v>1</v>
      </c>
      <c r="E516" s="54"/>
      <c r="F516" s="54" t="b">
        <f>OR($Q522=0,$V522=0,$Q520=0,$V520=0)</f>
        <v>1</v>
      </c>
      <c r="H516" s="371"/>
      <c r="I516" s="94"/>
      <c r="J516" s="57"/>
      <c r="K516" s="99"/>
      <c r="L516" s="533"/>
      <c r="M516" s="543" t="str">
        <f>_xll.DBRA(Server&amp;$B$32,$B516,$N$19)</f>
        <v>F - Fleet cost variance not addressed due to missing Work Unit(s)</v>
      </c>
      <c r="N516" s="543"/>
      <c r="O516" s="544"/>
      <c r="P516" s="250"/>
      <c r="Q516" s="251"/>
      <c r="R516" s="252"/>
      <c r="S516" s="253">
        <f>IF(D516,S$98-S512-S513-S514-S518,0)</f>
        <v>-12575486.510000098</v>
      </c>
      <c r="T516" s="299">
        <f>IF(ISERROR(S516/$Q$36*100),,S516/$Q$36*100)</f>
        <v>-5.5428933365900575</v>
      </c>
      <c r="U516" s="254"/>
      <c r="V516" s="255"/>
      <c r="W516" s="249">
        <f>IF(F516,$W$98-W512-W513-W514-W518,0)</f>
        <v>6965548.3854478598</v>
      </c>
      <c r="X516" s="299">
        <f>IF(ISERROR(W516/$Q$36*100),,W516/$Q$36*100)</f>
        <v>3.0702026280010912</v>
      </c>
      <c r="Y516" s="100"/>
      <c r="Z516" s="388"/>
      <c r="AA516" s="99"/>
      <c r="AB516" s="251"/>
      <c r="AC516" s="251"/>
      <c r="AD516" s="406"/>
      <c r="AE516" s="104"/>
      <c r="AF516" s="251"/>
      <c r="AG516" s="251"/>
      <c r="AH516" s="406"/>
      <c r="AI516" s="104"/>
      <c r="AJ516" s="251"/>
      <c r="AK516" s="251"/>
      <c r="AL516" s="406"/>
      <c r="AM516" s="104"/>
      <c r="AN516" s="251"/>
      <c r="AO516" s="251"/>
      <c r="AP516" s="406"/>
      <c r="AQ516" s="104"/>
      <c r="AR516" s="251"/>
      <c r="AS516" s="251"/>
      <c r="AT516" s="406"/>
      <c r="AU516" s="104"/>
      <c r="AV516" s="251"/>
      <c r="AW516" s="251"/>
      <c r="AX516" s="406"/>
      <c r="AY516" s="104"/>
      <c r="AZ516" s="251"/>
      <c r="BA516" s="251"/>
      <c r="BB516" s="406"/>
      <c r="BC516" s="104"/>
      <c r="BD516" s="251"/>
      <c r="BE516" s="251"/>
      <c r="BF516" s="406"/>
      <c r="BG516" s="104"/>
      <c r="BH516" s="251"/>
      <c r="BI516" s="251"/>
      <c r="BJ516" s="406"/>
      <c r="BK516" s="104"/>
      <c r="BL516" s="251"/>
      <c r="BM516" s="251"/>
      <c r="BN516" s="406"/>
      <c r="BO516" s="104"/>
      <c r="BP516" s="251"/>
      <c r="BQ516" s="251"/>
      <c r="BR516" s="406"/>
      <c r="BS516" s="104"/>
      <c r="BT516" s="251"/>
      <c r="BU516" s="251"/>
      <c r="BV516" s="406"/>
      <c r="BW516" s="100"/>
      <c r="BX516" s="28"/>
    </row>
    <row r="517" spans="1:78" s="34" customFormat="1" ht="22.5" customHeight="1" collapsed="1" thickTop="1" x14ac:dyDescent="0.75">
      <c r="A517" s="56"/>
      <c r="B517" s="54" t="s">
        <v>129</v>
      </c>
      <c r="C517" s="9"/>
      <c r="D517" s="1"/>
      <c r="E517" s="1"/>
      <c r="H517" s="54"/>
      <c r="I517" s="94"/>
      <c r="J517" s="57"/>
      <c r="K517" s="99"/>
      <c r="L517" s="533"/>
      <c r="M517" s="537" t="str">
        <f>_xll.DBRA(Server&amp;$B$32,$B517,$N$19)</f>
        <v>F - Part of Fleet cost variance due to Level 2 ratios change</v>
      </c>
      <c r="N517" s="537"/>
      <c r="O517" s="538"/>
      <c r="P517" s="256"/>
      <c r="Q517" s="257"/>
      <c r="R517" s="258"/>
      <c r="S517" s="326">
        <f>SUM(S512:S516)</f>
        <v>-12575486.510000098</v>
      </c>
      <c r="T517" s="327">
        <f>-(Q506-R506)*100</f>
        <v>0</v>
      </c>
      <c r="U517" s="260"/>
      <c r="V517" s="261"/>
      <c r="W517" s="326">
        <f>SUM(W512:W516)</f>
        <v>6965548.3854478598</v>
      </c>
      <c r="X517" s="327">
        <f>-($Q506-V506)*100</f>
        <v>0</v>
      </c>
      <c r="Y517" s="100"/>
      <c r="Z517" s="388"/>
      <c r="AA517" s="99"/>
      <c r="AB517" s="257"/>
      <c r="AC517" s="257"/>
      <c r="AD517" s="407"/>
      <c r="AE517" s="104"/>
      <c r="AF517" s="257"/>
      <c r="AG517" s="257"/>
      <c r="AH517" s="407"/>
      <c r="AI517" s="104"/>
      <c r="AJ517" s="257"/>
      <c r="AK517" s="257"/>
      <c r="AL517" s="407"/>
      <c r="AM517" s="104"/>
      <c r="AN517" s="257"/>
      <c r="AO517" s="257"/>
      <c r="AP517" s="407"/>
      <c r="AQ517" s="104"/>
      <c r="AR517" s="257"/>
      <c r="AS517" s="257"/>
      <c r="AT517" s="407"/>
      <c r="AU517" s="104"/>
      <c r="AV517" s="257"/>
      <c r="AW517" s="257"/>
      <c r="AX517" s="407"/>
      <c r="AY517" s="104"/>
      <c r="AZ517" s="257"/>
      <c r="BA517" s="257"/>
      <c r="BB517" s="407"/>
      <c r="BC517" s="104"/>
      <c r="BD517" s="257"/>
      <c r="BE517" s="257"/>
      <c r="BF517" s="407"/>
      <c r="BG517" s="104"/>
      <c r="BH517" s="257"/>
      <c r="BI517" s="257"/>
      <c r="BJ517" s="407"/>
      <c r="BK517" s="104"/>
      <c r="BL517" s="257"/>
      <c r="BM517" s="257"/>
      <c r="BN517" s="407"/>
      <c r="BO517" s="104"/>
      <c r="BP517" s="257"/>
      <c r="BQ517" s="257"/>
      <c r="BR517" s="407"/>
      <c r="BS517" s="104"/>
      <c r="BT517" s="257"/>
      <c r="BU517" s="257"/>
      <c r="BV517" s="407"/>
      <c r="BW517" s="100"/>
      <c r="BX517" s="28"/>
    </row>
    <row r="518" spans="1:78" s="34" customFormat="1" ht="22.5" customHeight="1" x14ac:dyDescent="0.75">
      <c r="A518" s="56"/>
      <c r="B518" s="54" t="s">
        <v>130</v>
      </c>
      <c r="C518" s="9"/>
      <c r="D518" s="1"/>
      <c r="E518" s="1"/>
      <c r="H518" s="54"/>
      <c r="I518" s="94"/>
      <c r="J518" s="57"/>
      <c r="K518" s="99"/>
      <c r="L518" s="534"/>
      <c r="M518" s="539" t="str">
        <f>_xll.DBRA(Server&amp;$B$32,$B518,$N$19)</f>
        <v>F - Part of Fleet cost variance due to ROA change</v>
      </c>
      <c r="N518" s="539"/>
      <c r="O518" s="540"/>
      <c r="P518" s="262"/>
      <c r="Q518" s="263"/>
      <c r="R518" s="264"/>
      <c r="S518" s="265">
        <f>(IF($R$36&lt;&gt;0,IF($R$36&gt;0,$S$36/$R$36,-$S$36/$R$36),0))*R98</f>
        <v>0</v>
      </c>
      <c r="T518" s="328"/>
      <c r="U518" s="267"/>
      <c r="V518" s="268"/>
      <c r="W518" s="265">
        <f>(IF($V$36&lt;&gt;0,IF($V$36&gt;0,$W$36/$V$36,-$W$36/$V$36),0))*V98</f>
        <v>597310733.1192944</v>
      </c>
      <c r="X518" s="328"/>
      <c r="Y518" s="100"/>
      <c r="Z518" s="388"/>
      <c r="AA518" s="99"/>
      <c r="AB518" s="263"/>
      <c r="AC518" s="263"/>
      <c r="AD518" s="408"/>
      <c r="AE518" s="104"/>
      <c r="AF518" s="263"/>
      <c r="AG518" s="263"/>
      <c r="AH518" s="408"/>
      <c r="AI518" s="104"/>
      <c r="AJ518" s="263"/>
      <c r="AK518" s="263"/>
      <c r="AL518" s="408"/>
      <c r="AM518" s="104"/>
      <c r="AN518" s="263"/>
      <c r="AO518" s="263"/>
      <c r="AP518" s="408"/>
      <c r="AQ518" s="104"/>
      <c r="AR518" s="263"/>
      <c r="AS518" s="263"/>
      <c r="AT518" s="408"/>
      <c r="AU518" s="104"/>
      <c r="AV518" s="263"/>
      <c r="AW518" s="263"/>
      <c r="AX518" s="408"/>
      <c r="AY518" s="104"/>
      <c r="AZ518" s="263"/>
      <c r="BA518" s="263"/>
      <c r="BB518" s="408"/>
      <c r="BC518" s="104"/>
      <c r="BD518" s="263"/>
      <c r="BE518" s="263"/>
      <c r="BF518" s="408"/>
      <c r="BG518" s="104"/>
      <c r="BH518" s="263"/>
      <c r="BI518" s="263"/>
      <c r="BJ518" s="408"/>
      <c r="BK518" s="104"/>
      <c r="BL518" s="263"/>
      <c r="BM518" s="263"/>
      <c r="BN518" s="408"/>
      <c r="BO518" s="104"/>
      <c r="BP518" s="263"/>
      <c r="BQ518" s="263"/>
      <c r="BR518" s="408"/>
      <c r="BS518" s="104"/>
      <c r="BT518" s="263"/>
      <c r="BU518" s="263"/>
      <c r="BV518" s="408"/>
      <c r="BW518" s="100"/>
      <c r="BX518" s="28"/>
    </row>
    <row r="519" spans="1:78" s="34" customFormat="1" ht="21" customHeight="1" collapsed="1" x14ac:dyDescent="0.8">
      <c r="A519" s="56"/>
      <c r="B519" s="370" t="s">
        <v>147</v>
      </c>
      <c r="C519" s="9"/>
      <c r="D519" s="1"/>
      <c r="E519" s="1"/>
      <c r="H519" s="370"/>
      <c r="I519" s="94"/>
      <c r="J519" s="57"/>
      <c r="K519" s="99"/>
      <c r="L519" s="525" t="str">
        <f>_xll.DBRA(Server&amp;Context!$B$32,Context!$B$59,$N$19)</f>
        <v>Total Fleet cost variance (impact on Gross Margin variance)</v>
      </c>
      <c r="M519" s="526"/>
      <c r="N519" s="526"/>
      <c r="O519" s="527"/>
      <c r="P519" s="207"/>
      <c r="Q519" s="269"/>
      <c r="R519" s="270"/>
      <c r="S519" s="271">
        <f>SUM(S517:S518)</f>
        <v>-12575486.510000098</v>
      </c>
      <c r="T519" s="329"/>
      <c r="U519" s="241"/>
      <c r="V519" s="273"/>
      <c r="W519" s="271">
        <f>SUM(W517:W518)</f>
        <v>604276281.50474226</v>
      </c>
      <c r="X519" s="329"/>
      <c r="Y519" s="100"/>
      <c r="Z519" s="388"/>
      <c r="AA519" s="99"/>
      <c r="AB519" s="269"/>
      <c r="AC519" s="269"/>
      <c r="AD519" s="409"/>
      <c r="AE519" s="104"/>
      <c r="AF519" s="269"/>
      <c r="AG519" s="269"/>
      <c r="AH519" s="409"/>
      <c r="AI519" s="104"/>
      <c r="AJ519" s="269"/>
      <c r="AK519" s="269"/>
      <c r="AL519" s="409"/>
      <c r="AM519" s="104"/>
      <c r="AN519" s="269"/>
      <c r="AO519" s="269"/>
      <c r="AP519" s="409"/>
      <c r="AQ519" s="104"/>
      <c r="AR519" s="269"/>
      <c r="AS519" s="269"/>
      <c r="AT519" s="409"/>
      <c r="AU519" s="104"/>
      <c r="AV519" s="269"/>
      <c r="AW519" s="269"/>
      <c r="AX519" s="409"/>
      <c r="AY519" s="104"/>
      <c r="AZ519" s="269"/>
      <c r="BA519" s="269"/>
      <c r="BB519" s="409"/>
      <c r="BC519" s="104"/>
      <c r="BD519" s="269"/>
      <c r="BE519" s="269"/>
      <c r="BF519" s="409"/>
      <c r="BG519" s="104"/>
      <c r="BH519" s="269"/>
      <c r="BI519" s="269"/>
      <c r="BJ519" s="409"/>
      <c r="BK519" s="104"/>
      <c r="BL519" s="269"/>
      <c r="BM519" s="269"/>
      <c r="BN519" s="409"/>
      <c r="BO519" s="104"/>
      <c r="BP519" s="269"/>
      <c r="BQ519" s="269"/>
      <c r="BR519" s="409"/>
      <c r="BS519" s="104"/>
      <c r="BT519" s="269"/>
      <c r="BU519" s="269"/>
      <c r="BV519" s="409"/>
      <c r="BW519" s="100"/>
      <c r="BX519" s="28"/>
    </row>
    <row r="520" spans="1:78" s="34" customFormat="1" ht="18.75" hidden="1" customHeight="1" outlineLevel="1" x14ac:dyDescent="0.8">
      <c r="A520" s="135" t="str">
        <f>_xll.DBR(Server&amp;Cube2,$N$15,$N$13,$B520,IF($N$19="French","STR_VAR3","STR_VAR2"))</f>
        <v/>
      </c>
      <c r="B520" s="54" t="s">
        <v>123</v>
      </c>
      <c r="C520" s="135" t="str">
        <f>_xll.DBR(Server&amp;Cube2,$N$15,$N$13,$B520,"STR_VAR1")</f>
        <v/>
      </c>
      <c r="D520" s="1"/>
      <c r="E520" s="1"/>
      <c r="H520" s="54"/>
      <c r="I520" s="1"/>
      <c r="J520" s="30"/>
      <c r="K520" s="99"/>
      <c r="L520" s="102"/>
      <c r="M520" s="294" t="str">
        <f>_xll.DBRA(Server&amp;$B$32,$B520,$N$19)&amp;"      ---&gt;"</f>
        <v>Fleet - Cost Work Unit      ---&gt;</v>
      </c>
      <c r="N520" s="294"/>
      <c r="O520" s="412" t="str">
        <f>IF(A520="",_xll.DBRA(Server&amp;Context!$B$32,Context!$B$66,$N$19),_xll.DBRA(Server&amp;$B$32,$A520,$N$19))</f>
        <v>Not defined</v>
      </c>
      <c r="P520" s="207"/>
      <c r="Q520" s="274">
        <f>_xll.DBRW(Server&amp;Cube1,$N$15,$N$16,$N$17,$N$18,$N$14,$N$13,$N$11,$Q$1,$B520)</f>
        <v>0</v>
      </c>
      <c r="R520" s="275">
        <f>_xll.DBRW(Server&amp;Cube1,$N$15,$N$16,$N$17,$N$18,$N$14,$N$13,$R$2,$R$1,$B520)</f>
        <v>0</v>
      </c>
      <c r="S520" s="276">
        <f>Q520-R520</f>
        <v>0</v>
      </c>
      <c r="T520" s="277">
        <f>IF(R520&lt;&gt;0,IF(R520&gt;0,S520/R520,-S520/R520),0)</f>
        <v>0</v>
      </c>
      <c r="U520" s="239"/>
      <c r="V520" s="274">
        <f>_xll.DBRW(Server&amp;Cube1,$N$15,$N$16,$N$17,$N$18,$N$14,$N$13,$V$2,$V$1,$B520)</f>
        <v>0</v>
      </c>
      <c r="W520" s="276">
        <f>$Q520-V520</f>
        <v>0</v>
      </c>
      <c r="X520" s="277">
        <f>IF(V520&lt;&gt;0,IF(V520&gt;0,W520/V520,-W520/V520),0)</f>
        <v>0</v>
      </c>
      <c r="Y520" s="209"/>
      <c r="Z520" s="386"/>
      <c r="AA520" s="99"/>
      <c r="AB520" s="274">
        <f>_xll.DBRW(Server&amp;Cube1,$N$15,$N$16,$N$17,$N$18,$N$14,$N$13,AB$2,AB$1,$B520)</f>
        <v>0</v>
      </c>
      <c r="AC520" s="274">
        <f>_xll.DBRW(Server&amp;Cube1,$N$15,$N$16,$N$17,$N$18,$N$14,$N$13,AC$2,AC$1,$B520)</f>
        <v>0</v>
      </c>
      <c r="AD520" s="401">
        <f>_xll.DBRW(Server&amp;Cube1,$N$15,$N$16,$N$17,$N$18,$N$14,$N$13,AD$2,AD$1,$B520)</f>
        <v>0</v>
      </c>
      <c r="AE520" s="104"/>
      <c r="AF520" s="274">
        <f>_xll.DBRW(Server&amp;Cube1,$N$15,$N$16,$N$17,$N$18,$N$14,$N$13,AF$2,AF$1,$B520)</f>
        <v>0</v>
      </c>
      <c r="AG520" s="274">
        <f>_xll.DBRW(Server&amp;Cube1,$N$15,$N$16,$N$17,$N$18,$N$14,$N$13,AG$2,AG$1,$B520)</f>
        <v>0</v>
      </c>
      <c r="AH520" s="401">
        <f>_xll.DBRW(Server&amp;Cube1,$N$15,$N$16,$N$17,$N$18,$N$14,$N$13,AH$2,AH$1,$B520)</f>
        <v>0</v>
      </c>
      <c r="AI520" s="104"/>
      <c r="AJ520" s="274">
        <f>_xll.DBRW(Server&amp;Cube1,$N$15,$N$16,$N$17,$N$18,$N$14,$N$13,AJ$2,AJ$1,$B520)</f>
        <v>0</v>
      </c>
      <c r="AK520" s="274">
        <f>_xll.DBRW(Server&amp;Cube1,$N$15,$N$16,$N$17,$N$18,$N$14,$N$13,AK$2,AK$1,$B520)</f>
        <v>0</v>
      </c>
      <c r="AL520" s="401">
        <f>_xll.DBRW(Server&amp;Cube1,$N$15,$N$16,$N$17,$N$18,$N$14,$N$13,AL$2,AL$1,$B520)</f>
        <v>0</v>
      </c>
      <c r="AM520" s="104"/>
      <c r="AN520" s="274">
        <f>_xll.DBRW(Server&amp;Cube1,$N$15,$N$16,$N$17,$N$18,$N$14,$N$13,AN$2,AN$1,$B520)</f>
        <v>0</v>
      </c>
      <c r="AO520" s="274">
        <f>_xll.DBRW(Server&amp;Cube1,$N$15,$N$16,$N$17,$N$18,$N$14,$N$13,AO$2,AO$1,$B520)</f>
        <v>0</v>
      </c>
      <c r="AP520" s="401">
        <f>_xll.DBRW(Server&amp;Cube1,$N$15,$N$16,$N$17,$N$18,$N$14,$N$13,AP$2,AP$1,$B520)</f>
        <v>0</v>
      </c>
      <c r="AQ520" s="104"/>
      <c r="AR520" s="274">
        <f>_xll.DBRW(Server&amp;Cube1,$N$15,$N$16,$N$17,$N$18,$N$14,$N$13,AR$2,AR$1,$B520)</f>
        <v>0</v>
      </c>
      <c r="AS520" s="274">
        <f>_xll.DBRW(Server&amp;Cube1,$N$15,$N$16,$N$17,$N$18,$N$14,$N$13,AS$2,AS$1,$B520)</f>
        <v>0</v>
      </c>
      <c r="AT520" s="401">
        <f>_xll.DBRW(Server&amp;Cube1,$N$15,$N$16,$N$17,$N$18,$N$14,$N$13,AT$2,AT$1,$B520)</f>
        <v>0</v>
      </c>
      <c r="AU520" s="104"/>
      <c r="AV520" s="274">
        <f>_xll.DBRW(Server&amp;Cube1,$N$15,$N$16,$N$17,$N$18,$N$14,$N$13,AV$2,AV$1,$B520)</f>
        <v>0</v>
      </c>
      <c r="AW520" s="274">
        <f>_xll.DBRW(Server&amp;Cube1,$N$15,$N$16,$N$17,$N$18,$N$14,$N$13,AW$2,AW$1,$B520)</f>
        <v>0</v>
      </c>
      <c r="AX520" s="401">
        <f>_xll.DBRW(Server&amp;Cube1,$N$15,$N$16,$N$17,$N$18,$N$14,$N$13,AX$2,AX$1,$B520)</f>
        <v>0</v>
      </c>
      <c r="AY520" s="104"/>
      <c r="AZ520" s="274">
        <f>_xll.DBRW(Server&amp;Cube1,$N$15,$N$16,$N$17,$N$18,$N$14,$N$13,AZ$2,AZ$1,$B520)</f>
        <v>0</v>
      </c>
      <c r="BA520" s="274">
        <f>_xll.DBRW(Server&amp;Cube1,$N$15,$N$16,$N$17,$N$18,$N$14,$N$13,BA$2,BA$1,$B520)</f>
        <v>0</v>
      </c>
      <c r="BB520" s="401">
        <f>_xll.DBRW(Server&amp;Cube1,$N$15,$N$16,$N$17,$N$18,$N$14,$N$13,BB$2,BB$1,$B520)</f>
        <v>0</v>
      </c>
      <c r="BC520" s="104"/>
      <c r="BD520" s="274">
        <f>_xll.DBRW(Server&amp;Cube1,$N$15,$N$16,$N$17,$N$18,$N$14,$N$13,BD$2,BD$1,$B520)</f>
        <v>0</v>
      </c>
      <c r="BE520" s="274">
        <f>_xll.DBRW(Server&amp;Cube1,$N$15,$N$16,$N$17,$N$18,$N$14,$N$13,BE$2,BE$1,$B520)</f>
        <v>0</v>
      </c>
      <c r="BF520" s="401">
        <f>_xll.DBRW(Server&amp;Cube1,$N$15,$N$16,$N$17,$N$18,$N$14,$N$13,BF$2,BF$1,$B520)</f>
        <v>0</v>
      </c>
      <c r="BG520" s="104"/>
      <c r="BH520" s="274">
        <f>_xll.DBRW(Server&amp;Cube1,$N$15,$N$16,$N$17,$N$18,$N$14,$N$13,BH$2,BH$1,$B520)</f>
        <v>0</v>
      </c>
      <c r="BI520" s="274">
        <f>_xll.DBRW(Server&amp;Cube1,$N$15,$N$16,$N$17,$N$18,$N$14,$N$13,BI$2,BI$1,$B520)</f>
        <v>0</v>
      </c>
      <c r="BJ520" s="401">
        <f>_xll.DBRW(Server&amp;Cube1,$N$15,$N$16,$N$17,$N$18,$N$14,$N$13,BJ$2,BJ$1,$B520)</f>
        <v>0</v>
      </c>
      <c r="BK520" s="104"/>
      <c r="BL520" s="274">
        <f>_xll.DBRW(Server&amp;Cube1,$N$15,$N$16,$N$17,$N$18,$N$14,$N$13,BL$2,BL$1,$B520)</f>
        <v>0</v>
      </c>
      <c r="BM520" s="274">
        <f>_xll.DBRW(Server&amp;Cube1,$N$15,$N$16,$N$17,$N$18,$N$14,$N$13,BM$2,BM$1,$B520)</f>
        <v>0</v>
      </c>
      <c r="BN520" s="401">
        <f>_xll.DBRW(Server&amp;Cube1,$N$15,$N$16,$N$17,$N$18,$N$14,$N$13,BN$2,BN$1,$B520)</f>
        <v>0</v>
      </c>
      <c r="BO520" s="104"/>
      <c r="BP520" s="274">
        <f>_xll.DBRW(Server&amp;Cube1,$N$15,$N$16,$N$17,$N$18,$N$14,$N$13,BP$2,BP$1,$B520)</f>
        <v>0</v>
      </c>
      <c r="BQ520" s="274">
        <f>_xll.DBRW(Server&amp;Cube1,$N$15,$N$16,$N$17,$N$18,$N$14,$N$13,BQ$2,BQ$1,$B520)</f>
        <v>0</v>
      </c>
      <c r="BR520" s="401">
        <f>_xll.DBRW(Server&amp;Cube1,$N$15,$N$16,$N$17,$N$18,$N$14,$N$13,BR$2,BR$1,$B520)</f>
        <v>0</v>
      </c>
      <c r="BS520" s="104"/>
      <c r="BT520" s="274">
        <f>_xll.DBRW(Server&amp;Cube1,$N$15,$N$16,$N$17,$N$18,$N$14,$N$13,BT$2,BT$1,$B520)</f>
        <v>0</v>
      </c>
      <c r="BU520" s="274">
        <f>_xll.DBRW(Server&amp;Cube1,$N$15,$N$16,$N$17,$N$18,$N$14,$N$13,BU$2,BU$1,$B520)</f>
        <v>0</v>
      </c>
      <c r="BV520" s="401">
        <f>_xll.DBRW(Server&amp;Cube1,$N$15,$N$16,$N$17,$N$18,$N$14,$N$13,BV$2,BV$1,$B520)</f>
        <v>0</v>
      </c>
      <c r="BW520" s="209"/>
      <c r="BX520" s="78"/>
      <c r="BY520" s="54"/>
      <c r="BZ520" s="361"/>
    </row>
    <row r="521" spans="1:78" s="34" customFormat="1" ht="9" hidden="1" customHeight="1" outlineLevel="1" x14ac:dyDescent="0.8">
      <c r="A521" s="135"/>
      <c r="B521" s="54"/>
      <c r="C521" s="135"/>
      <c r="D521" s="1"/>
      <c r="E521" s="1"/>
      <c r="H521" s="54"/>
      <c r="I521" s="1"/>
      <c r="J521" s="30"/>
      <c r="K521" s="99"/>
      <c r="L521" s="102"/>
      <c r="M521" s="295"/>
      <c r="N521" s="295"/>
      <c r="O521" s="456" t="str">
        <f>IF(COUNTIF($C520,"*Tot_km*"),$B$6,IF(COUNTIF($C520,"Tot_nb_vehicle"),$B$7,IF(COUNTIF($C520,"Rev_km"),$B$8,IF(COUNTIF($C520,"Tot_driv_hours"),$B$9,""))))</f>
        <v/>
      </c>
      <c r="P521" s="207"/>
      <c r="Q521" s="438"/>
      <c r="R521" s="439"/>
      <c r="S521" s="440"/>
      <c r="T521" s="441"/>
      <c r="U521" s="239"/>
      <c r="V521" s="438"/>
      <c r="W521" s="440"/>
      <c r="X521" s="441"/>
      <c r="Y521" s="209"/>
      <c r="Z521" s="386"/>
      <c r="AA521" s="99"/>
      <c r="AB521" s="438"/>
      <c r="AC521" s="438"/>
      <c r="AD521" s="442"/>
      <c r="AE521" s="104"/>
      <c r="AF521" s="438"/>
      <c r="AG521" s="438"/>
      <c r="AH521" s="442"/>
      <c r="AI521" s="104"/>
      <c r="AJ521" s="438"/>
      <c r="AK521" s="438"/>
      <c r="AL521" s="442"/>
      <c r="AM521" s="104"/>
      <c r="AN521" s="438"/>
      <c r="AO521" s="438"/>
      <c r="AP521" s="442"/>
      <c r="AQ521" s="104"/>
      <c r="AR521" s="438"/>
      <c r="AS521" s="438"/>
      <c r="AT521" s="442"/>
      <c r="AU521" s="104"/>
      <c r="AV521" s="438"/>
      <c r="AW521" s="438"/>
      <c r="AX521" s="442"/>
      <c r="AY521" s="104"/>
      <c r="AZ521" s="438"/>
      <c r="BA521" s="438"/>
      <c r="BB521" s="442"/>
      <c r="BC521" s="104"/>
      <c r="BD521" s="438"/>
      <c r="BE521" s="438"/>
      <c r="BF521" s="442"/>
      <c r="BG521" s="104"/>
      <c r="BH521" s="438"/>
      <c r="BI521" s="438"/>
      <c r="BJ521" s="442"/>
      <c r="BK521" s="104"/>
      <c r="BL521" s="438"/>
      <c r="BM521" s="438"/>
      <c r="BN521" s="442"/>
      <c r="BO521" s="104"/>
      <c r="BP521" s="438"/>
      <c r="BQ521" s="438"/>
      <c r="BR521" s="442"/>
      <c r="BS521" s="104"/>
      <c r="BT521" s="438"/>
      <c r="BU521" s="438"/>
      <c r="BV521" s="442"/>
      <c r="BW521" s="209"/>
      <c r="BX521" s="78"/>
      <c r="BY521" s="54"/>
      <c r="BZ521" s="361"/>
    </row>
    <row r="522" spans="1:78" s="34" customFormat="1" ht="18.75" hidden="1" customHeight="1" outlineLevel="1" x14ac:dyDescent="0.8">
      <c r="A522" s="135" t="str">
        <f>_xll.DBR(Server&amp;Cube2,$N$15,$N$13,$B522,IF($N$19="French","STR_VAR3","STR_VAR2"))</f>
        <v/>
      </c>
      <c r="B522" s="54" t="s">
        <v>124</v>
      </c>
      <c r="C522" s="135" t="str">
        <f>_xll.DBR(Server&amp;Cube2,$N$15,$N$13,$B522,"STR_VAR1")</f>
        <v/>
      </c>
      <c r="D522" s="1"/>
      <c r="E522" s="1"/>
      <c r="H522" s="54"/>
      <c r="I522" s="1"/>
      <c r="J522" s="30"/>
      <c r="K522" s="99"/>
      <c r="L522" s="102"/>
      <c r="M522" s="295" t="str">
        <f>_xll.DBRA(Server&amp;$B$32,$B522,$N$19)&amp;"     ---&gt;"</f>
        <v>Fleet - Price Work Unit     ---&gt;</v>
      </c>
      <c r="N522" s="295"/>
      <c r="O522" s="412" t="str">
        <f>IF(A522="",_xll.DBRA(Server&amp;Context!$B$32,Context!$B$66,$N$19),_xll.DBRA(Server&amp;$B$32,$A522,$N$19))</f>
        <v>Not defined</v>
      </c>
      <c r="P522" s="207"/>
      <c r="Q522" s="278">
        <f>_xll.DBRW(Server&amp;Cube1,$N$15,$N$16,$N$17,$N$18,$N$14,$N$13,$N$11,$Q$1,$B522)</f>
        <v>0</v>
      </c>
      <c r="R522" s="279">
        <f>_xll.DBRW(Server&amp;Cube1,$N$15,$N$16,$N$17,$N$18,$N$14,$N$13,$R$2,$R$1,$B522)</f>
        <v>0</v>
      </c>
      <c r="S522" s="280">
        <f>Q522-R522</f>
        <v>0</v>
      </c>
      <c r="T522" s="281">
        <f>IF(R522&lt;&gt;0,IF(R522&gt;0,S522/R522,-S522/R522),0)</f>
        <v>0</v>
      </c>
      <c r="U522" s="239"/>
      <c r="V522" s="278">
        <f>_xll.DBRW(Server&amp;Cube1,$N$15,$N$16,$N$17,$N$18,$N$14,$N$13,$V$2,$V$1,$B522)</f>
        <v>0</v>
      </c>
      <c r="W522" s="280">
        <f>$Q522-V522</f>
        <v>0</v>
      </c>
      <c r="X522" s="281">
        <f>IF(V522&lt;&gt;0,IF(V522&gt;0,W522/V522,-W522/V522),0)</f>
        <v>0</v>
      </c>
      <c r="Y522" s="209"/>
      <c r="Z522" s="386"/>
      <c r="AA522" s="99"/>
      <c r="AB522" s="278">
        <f>_xll.DBRW(Server&amp;Cube1,$N$15,$N$16,$N$17,$N$18,$N$14,$N$13,AB$2,AB$1,$B522)</f>
        <v>0</v>
      </c>
      <c r="AC522" s="278">
        <f>_xll.DBRW(Server&amp;Cube1,$N$15,$N$16,$N$17,$N$18,$N$14,$N$13,AC$2,AC$1,$B522)</f>
        <v>0</v>
      </c>
      <c r="AD522" s="402">
        <f>_xll.DBRW(Server&amp;Cube1,$N$15,$N$16,$N$17,$N$18,$N$14,$N$13,AD$2,AD$1,$B522)</f>
        <v>0</v>
      </c>
      <c r="AE522" s="104"/>
      <c r="AF522" s="278">
        <f>_xll.DBRW(Server&amp;Cube1,$N$15,$N$16,$N$17,$N$18,$N$14,$N$13,AF$2,AF$1,$B522)</f>
        <v>0</v>
      </c>
      <c r="AG522" s="278">
        <f>_xll.DBRW(Server&amp;Cube1,$N$15,$N$16,$N$17,$N$18,$N$14,$N$13,AG$2,AG$1,$B522)</f>
        <v>0</v>
      </c>
      <c r="AH522" s="402">
        <f>_xll.DBRW(Server&amp;Cube1,$N$15,$N$16,$N$17,$N$18,$N$14,$N$13,AH$2,AH$1,$B522)</f>
        <v>0</v>
      </c>
      <c r="AI522" s="104"/>
      <c r="AJ522" s="278">
        <f>_xll.DBRW(Server&amp;Cube1,$N$15,$N$16,$N$17,$N$18,$N$14,$N$13,AJ$2,AJ$1,$B522)</f>
        <v>0</v>
      </c>
      <c r="AK522" s="278">
        <f>_xll.DBRW(Server&amp;Cube1,$N$15,$N$16,$N$17,$N$18,$N$14,$N$13,AK$2,AK$1,$B522)</f>
        <v>0</v>
      </c>
      <c r="AL522" s="402">
        <f>_xll.DBRW(Server&amp;Cube1,$N$15,$N$16,$N$17,$N$18,$N$14,$N$13,AL$2,AL$1,$B522)</f>
        <v>0</v>
      </c>
      <c r="AM522" s="104"/>
      <c r="AN522" s="278">
        <f>_xll.DBRW(Server&amp;Cube1,$N$15,$N$16,$N$17,$N$18,$N$14,$N$13,AN$2,AN$1,$B522)</f>
        <v>0</v>
      </c>
      <c r="AO522" s="278">
        <f>_xll.DBRW(Server&amp;Cube1,$N$15,$N$16,$N$17,$N$18,$N$14,$N$13,AO$2,AO$1,$B522)</f>
        <v>0</v>
      </c>
      <c r="AP522" s="402">
        <f>_xll.DBRW(Server&amp;Cube1,$N$15,$N$16,$N$17,$N$18,$N$14,$N$13,AP$2,AP$1,$B522)</f>
        <v>0</v>
      </c>
      <c r="AQ522" s="104"/>
      <c r="AR522" s="278">
        <f>_xll.DBRW(Server&amp;Cube1,$N$15,$N$16,$N$17,$N$18,$N$14,$N$13,AR$2,AR$1,$B522)</f>
        <v>0</v>
      </c>
      <c r="AS522" s="278">
        <f>_xll.DBRW(Server&amp;Cube1,$N$15,$N$16,$N$17,$N$18,$N$14,$N$13,AS$2,AS$1,$B522)</f>
        <v>0</v>
      </c>
      <c r="AT522" s="402">
        <f>_xll.DBRW(Server&amp;Cube1,$N$15,$N$16,$N$17,$N$18,$N$14,$N$13,AT$2,AT$1,$B522)</f>
        <v>0</v>
      </c>
      <c r="AU522" s="104"/>
      <c r="AV522" s="278">
        <f>_xll.DBRW(Server&amp;Cube1,$N$15,$N$16,$N$17,$N$18,$N$14,$N$13,AV$2,AV$1,$B522)</f>
        <v>0</v>
      </c>
      <c r="AW522" s="278">
        <f>_xll.DBRW(Server&amp;Cube1,$N$15,$N$16,$N$17,$N$18,$N$14,$N$13,AW$2,AW$1,$B522)</f>
        <v>0</v>
      </c>
      <c r="AX522" s="402">
        <f>_xll.DBRW(Server&amp;Cube1,$N$15,$N$16,$N$17,$N$18,$N$14,$N$13,AX$2,AX$1,$B522)</f>
        <v>0</v>
      </c>
      <c r="AY522" s="104"/>
      <c r="AZ522" s="278">
        <f>_xll.DBRW(Server&amp;Cube1,$N$15,$N$16,$N$17,$N$18,$N$14,$N$13,AZ$2,AZ$1,$B522)</f>
        <v>0</v>
      </c>
      <c r="BA522" s="278">
        <f>_xll.DBRW(Server&amp;Cube1,$N$15,$N$16,$N$17,$N$18,$N$14,$N$13,BA$2,BA$1,$B522)</f>
        <v>0</v>
      </c>
      <c r="BB522" s="402">
        <f>_xll.DBRW(Server&amp;Cube1,$N$15,$N$16,$N$17,$N$18,$N$14,$N$13,BB$2,BB$1,$B522)</f>
        <v>0</v>
      </c>
      <c r="BC522" s="104"/>
      <c r="BD522" s="278">
        <f>_xll.DBRW(Server&amp;Cube1,$N$15,$N$16,$N$17,$N$18,$N$14,$N$13,BD$2,BD$1,$B522)</f>
        <v>0</v>
      </c>
      <c r="BE522" s="278">
        <f>_xll.DBRW(Server&amp;Cube1,$N$15,$N$16,$N$17,$N$18,$N$14,$N$13,BE$2,BE$1,$B522)</f>
        <v>0</v>
      </c>
      <c r="BF522" s="402">
        <f>_xll.DBRW(Server&amp;Cube1,$N$15,$N$16,$N$17,$N$18,$N$14,$N$13,BF$2,BF$1,$B522)</f>
        <v>0</v>
      </c>
      <c r="BG522" s="104"/>
      <c r="BH522" s="278">
        <f>_xll.DBRW(Server&amp;Cube1,$N$15,$N$16,$N$17,$N$18,$N$14,$N$13,BH$2,BH$1,$B522)</f>
        <v>0</v>
      </c>
      <c r="BI522" s="278">
        <f>_xll.DBRW(Server&amp;Cube1,$N$15,$N$16,$N$17,$N$18,$N$14,$N$13,BI$2,BI$1,$B522)</f>
        <v>0</v>
      </c>
      <c r="BJ522" s="402">
        <f>_xll.DBRW(Server&amp;Cube1,$N$15,$N$16,$N$17,$N$18,$N$14,$N$13,BJ$2,BJ$1,$B522)</f>
        <v>0</v>
      </c>
      <c r="BK522" s="104"/>
      <c r="BL522" s="278">
        <f>_xll.DBRW(Server&amp;Cube1,$N$15,$N$16,$N$17,$N$18,$N$14,$N$13,BL$2,BL$1,$B522)</f>
        <v>0</v>
      </c>
      <c r="BM522" s="278">
        <f>_xll.DBRW(Server&amp;Cube1,$N$15,$N$16,$N$17,$N$18,$N$14,$N$13,BM$2,BM$1,$B522)</f>
        <v>0</v>
      </c>
      <c r="BN522" s="402">
        <f>_xll.DBRW(Server&amp;Cube1,$N$15,$N$16,$N$17,$N$18,$N$14,$N$13,BN$2,BN$1,$B522)</f>
        <v>0</v>
      </c>
      <c r="BO522" s="104"/>
      <c r="BP522" s="278">
        <f>_xll.DBRW(Server&amp;Cube1,$N$15,$N$16,$N$17,$N$18,$N$14,$N$13,BP$2,BP$1,$B522)</f>
        <v>0</v>
      </c>
      <c r="BQ522" s="278">
        <f>_xll.DBRW(Server&amp;Cube1,$N$15,$N$16,$N$17,$N$18,$N$14,$N$13,BQ$2,BQ$1,$B522)</f>
        <v>0</v>
      </c>
      <c r="BR522" s="402">
        <f>_xll.DBRW(Server&amp;Cube1,$N$15,$N$16,$N$17,$N$18,$N$14,$N$13,BR$2,BR$1,$B522)</f>
        <v>0</v>
      </c>
      <c r="BS522" s="104"/>
      <c r="BT522" s="278">
        <f>_xll.DBRW(Server&amp;Cube1,$N$15,$N$16,$N$17,$N$18,$N$14,$N$13,BT$2,BT$1,$B522)</f>
        <v>0</v>
      </c>
      <c r="BU522" s="278">
        <f>_xll.DBRW(Server&amp;Cube1,$N$15,$N$16,$N$17,$N$18,$N$14,$N$13,BU$2,BU$1,$B522)</f>
        <v>0</v>
      </c>
      <c r="BV522" s="402">
        <f>_xll.DBRW(Server&amp;Cube1,$N$15,$N$16,$N$17,$N$18,$N$14,$N$13,BV$2,BV$1,$B522)</f>
        <v>0</v>
      </c>
      <c r="BW522" s="209"/>
      <c r="BX522" s="78"/>
      <c r="BY522" s="54"/>
    </row>
    <row r="523" spans="1:78" s="34" customFormat="1" ht="9" hidden="1" customHeight="1" outlineLevel="1" x14ac:dyDescent="0.8">
      <c r="A523" s="135"/>
      <c r="B523" s="54"/>
      <c r="C523" s="135"/>
      <c r="D523" s="1"/>
      <c r="E523" s="1"/>
      <c r="H523" s="54"/>
      <c r="I523" s="1"/>
      <c r="J523" s="30"/>
      <c r="K523" s="99"/>
      <c r="L523" s="102"/>
      <c r="M523" s="295"/>
      <c r="N523" s="295"/>
      <c r="O523" s="456" t="str">
        <f>IF(COUNTIF($C522,"*Tot_km*"),$B$6,IF(COUNTIF($C522,"Tot_nb_vehicle"),$B$7,IF(COUNTIF($C522,"Rev_km"),$B$8,IF(COUNTIF($C522,"Tot_driv_hours"),$B$9,""))))</f>
        <v/>
      </c>
      <c r="P523" s="443"/>
      <c r="Q523" s="444"/>
      <c r="R523" s="444"/>
      <c r="S523" s="440"/>
      <c r="T523" s="445"/>
      <c r="U523" s="446"/>
      <c r="V523" s="444"/>
      <c r="W523" s="440"/>
      <c r="X523" s="445"/>
      <c r="Y523" s="209"/>
      <c r="Z523" s="386"/>
      <c r="AA523" s="99"/>
      <c r="AB523" s="444"/>
      <c r="AC523" s="444"/>
      <c r="AD523" s="444"/>
      <c r="AE523" s="104"/>
      <c r="AF523" s="444"/>
      <c r="AG523" s="444"/>
      <c r="AH523" s="444"/>
      <c r="AI523" s="104"/>
      <c r="AJ523" s="444"/>
      <c r="AK523" s="444"/>
      <c r="AL523" s="444"/>
      <c r="AM523" s="104"/>
      <c r="AN523" s="444"/>
      <c r="AO523" s="444"/>
      <c r="AP523" s="444"/>
      <c r="AQ523" s="104"/>
      <c r="AR523" s="444"/>
      <c r="AS523" s="444"/>
      <c r="AT523" s="444"/>
      <c r="AU523" s="104"/>
      <c r="AV523" s="444"/>
      <c r="AW523" s="444"/>
      <c r="AX523" s="444"/>
      <c r="AY523" s="104"/>
      <c r="AZ523" s="444"/>
      <c r="BA523" s="444"/>
      <c r="BB523" s="444"/>
      <c r="BC523" s="104"/>
      <c r="BD523" s="444"/>
      <c r="BE523" s="444"/>
      <c r="BF523" s="444"/>
      <c r="BG523" s="104"/>
      <c r="BH523" s="444"/>
      <c r="BI523" s="444"/>
      <c r="BJ523" s="444"/>
      <c r="BK523" s="104"/>
      <c r="BL523" s="444"/>
      <c r="BM523" s="444"/>
      <c r="BN523" s="444"/>
      <c r="BO523" s="104"/>
      <c r="BP523" s="444"/>
      <c r="BQ523" s="444"/>
      <c r="BR523" s="444"/>
      <c r="BS523" s="104"/>
      <c r="BT523" s="444"/>
      <c r="BU523" s="444"/>
      <c r="BV523" s="444"/>
      <c r="BW523" s="209"/>
      <c r="BX523" s="78"/>
      <c r="BY523" s="54"/>
    </row>
    <row r="524" spans="1:78" s="34" customFormat="1" ht="23.25" customHeight="1" collapsed="1" x14ac:dyDescent="0.75">
      <c r="A524" s="56"/>
      <c r="B524" s="368"/>
      <c r="C524" s="9"/>
      <c r="D524" s="1"/>
      <c r="E524" s="1"/>
      <c r="H524" s="368"/>
      <c r="I524" s="94"/>
      <c r="J524" s="57"/>
      <c r="K524" s="103"/>
      <c r="L524" s="309"/>
      <c r="M524" s="155"/>
      <c r="N524" s="155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5"/>
      <c r="Z524" s="104"/>
      <c r="AA524" s="103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 s="104"/>
      <c r="BG524" s="104"/>
      <c r="BH524" s="104"/>
      <c r="BI524" s="104"/>
      <c r="BJ524" s="104"/>
      <c r="BK524" s="104"/>
      <c r="BL524" s="104"/>
      <c r="BM524" s="104"/>
      <c r="BN524" s="104"/>
      <c r="BO524" s="104"/>
      <c r="BP524" s="104"/>
      <c r="BQ524" s="104"/>
      <c r="BR524" s="104"/>
      <c r="BS524" s="104"/>
      <c r="BT524" s="104"/>
      <c r="BU524" s="104"/>
      <c r="BV524" s="104"/>
      <c r="BW524" s="105"/>
      <c r="BX524" s="28"/>
    </row>
    <row r="525" spans="1:78" s="34" customFormat="1" ht="30" hidden="1" customHeight="1" outlineLevel="1" x14ac:dyDescent="0.75">
      <c r="A525" t="s">
        <v>301</v>
      </c>
      <c r="B525" t="str">
        <f>$N$12&amp;" N"</f>
        <v>Actual N</v>
      </c>
      <c r="C525" t="str">
        <f>$N$20&amp;" "&amp;$N$21</f>
        <v>Budget V current N</v>
      </c>
      <c r="D525" t="str">
        <f>$O$20&amp;" "&amp;$O$21</f>
        <v>Actual N-1</v>
      </c>
      <c r="E525" s="1"/>
      <c r="H525" s="368"/>
      <c r="I525" s="94"/>
      <c r="J525" s="57"/>
      <c r="K525" s="154"/>
      <c r="L525" s="309"/>
      <c r="M525" s="518" t="str">
        <f>M507</f>
        <v>F1 - Fleet Cost per cost work unit</v>
      </c>
      <c r="N525" s="518"/>
      <c r="O525" s="518"/>
      <c r="P525" s="518"/>
      <c r="Q525" s="518"/>
      <c r="R525" s="518"/>
      <c r="S525" s="518"/>
      <c r="T525" s="518"/>
      <c r="U525" s="104"/>
      <c r="V525" s="104"/>
      <c r="W525" s="104"/>
      <c r="X525" s="104"/>
      <c r="Y525" s="105"/>
      <c r="Z525" s="104"/>
      <c r="AA525" s="103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 s="104"/>
      <c r="BG525" s="104"/>
      <c r="BH525" s="104"/>
      <c r="BI525" s="104"/>
      <c r="BJ525" s="104"/>
      <c r="BK525" s="104"/>
      <c r="BL525" s="104"/>
      <c r="BM525" s="104"/>
      <c r="BN525" s="104"/>
      <c r="BO525" s="104"/>
      <c r="BP525" s="104"/>
      <c r="BQ525" s="104"/>
      <c r="BR525" s="104"/>
      <c r="BS525" s="104"/>
      <c r="BT525" s="104"/>
      <c r="BU525" s="104"/>
      <c r="BV525" s="104"/>
      <c r="BW525" s="105"/>
      <c r="BX525" s="28"/>
    </row>
    <row r="526" spans="1:78" s="34" customFormat="1" ht="17.25" hidden="1" customHeight="1" outlineLevel="1" x14ac:dyDescent="0.75">
      <c r="A526" s="383" t="str">
        <f>IF($N$19="English","J","J")</f>
        <v>J</v>
      </c>
      <c r="B526" s="410" t="e">
        <f>IF(ROUND(AB$507,6),ROUND(AB$507,6),NA())</f>
        <v>#N/A</v>
      </c>
      <c r="C526" s="410" t="e">
        <f>IF(ROUND(AC$507,6),ROUND(AC$507,6),NA())</f>
        <v>#N/A</v>
      </c>
      <c r="D526" s="410" t="e">
        <f>IF(ROUND(AD$507,6),ROUND(AD$507,6),NA())</f>
        <v>#N/A</v>
      </c>
      <c r="E526" s="1" t="s">
        <v>279</v>
      </c>
      <c r="H526" s="368"/>
      <c r="I526" s="94"/>
      <c r="J526" s="57"/>
      <c r="K526" s="154"/>
      <c r="L526" s="309"/>
      <c r="M526" s="155"/>
      <c r="N526" s="155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5"/>
      <c r="Z526" s="104"/>
      <c r="AA526" s="103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 s="104"/>
      <c r="BG526" s="104"/>
      <c r="BH526" s="104"/>
      <c r="BI526" s="104"/>
      <c r="BJ526" s="104"/>
      <c r="BK526" s="104"/>
      <c r="BL526" s="104"/>
      <c r="BM526" s="104"/>
      <c r="BN526" s="104"/>
      <c r="BO526" s="104"/>
      <c r="BP526" s="104"/>
      <c r="BQ526" s="104"/>
      <c r="BR526" s="104"/>
      <c r="BS526" s="104"/>
      <c r="BT526" s="104"/>
      <c r="BU526" s="104"/>
      <c r="BV526" s="104"/>
      <c r="BW526" s="105"/>
      <c r="BX526" s="28"/>
    </row>
    <row r="527" spans="1:78" s="34" customFormat="1" ht="17.25" hidden="1" customHeight="1" outlineLevel="1" x14ac:dyDescent="0.75">
      <c r="A527" s="383" t="s">
        <v>213</v>
      </c>
      <c r="B527" s="410" t="e">
        <f>IF(ROUND(AF$507,6),ROUND(AF$507,6),NA())</f>
        <v>#N/A</v>
      </c>
      <c r="C527" s="410" t="e">
        <f>IF(ROUND(AG$507,6),ROUND(AG$507,6),NA())</f>
        <v>#N/A</v>
      </c>
      <c r="D527" s="410" t="e">
        <f>IF(ROUND(AH$507,6),ROUND(AH$507,6),NA())</f>
        <v>#N/A</v>
      </c>
      <c r="E527" s="1" t="s">
        <v>280</v>
      </c>
      <c r="H527" s="368"/>
      <c r="I527" s="94"/>
      <c r="J527" s="57"/>
      <c r="K527" s="154"/>
      <c r="L527" s="309"/>
      <c r="M527" s="155"/>
      <c r="N527" s="155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5"/>
      <c r="Z527" s="104"/>
      <c r="AA527" s="103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 s="104"/>
      <c r="BG527" s="104"/>
      <c r="BH527" s="104"/>
      <c r="BI527" s="104"/>
      <c r="BJ527" s="104"/>
      <c r="BK527" s="104"/>
      <c r="BL527" s="104"/>
      <c r="BM527" s="104"/>
      <c r="BN527" s="104"/>
      <c r="BO527" s="104"/>
      <c r="BP527" s="104"/>
      <c r="BQ527" s="104"/>
      <c r="BR527" s="104"/>
      <c r="BS527" s="104"/>
      <c r="BT527" s="104"/>
      <c r="BU527" s="104"/>
      <c r="BV527" s="104"/>
      <c r="BW527" s="105"/>
      <c r="BX527" s="28"/>
    </row>
    <row r="528" spans="1:78" s="34" customFormat="1" ht="17.25" hidden="1" customHeight="1" outlineLevel="1" x14ac:dyDescent="0.75">
      <c r="A528" s="383" t="s">
        <v>215</v>
      </c>
      <c r="B528" s="410" t="e">
        <f>IF(ROUND(AJ$507,6),ROUND(AJ$507,6),NA())</f>
        <v>#N/A</v>
      </c>
      <c r="C528" s="410" t="e">
        <f>IF(ROUND(AK$507,6),ROUND(AK$507,6),NA())</f>
        <v>#N/A</v>
      </c>
      <c r="D528" s="410" t="e">
        <f>IF(ROUND(AL$507,6),ROUND(AL$507,6),NA())</f>
        <v>#N/A</v>
      </c>
      <c r="E528" s="1" t="s">
        <v>281</v>
      </c>
      <c r="H528" s="368"/>
      <c r="I528" s="94"/>
      <c r="J528" s="57"/>
      <c r="K528" s="154"/>
      <c r="L528" s="309"/>
      <c r="M528" s="155"/>
      <c r="N528" s="155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5"/>
      <c r="Z528" s="104"/>
      <c r="AA528" s="103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 s="104"/>
      <c r="BG528" s="104"/>
      <c r="BH528" s="104"/>
      <c r="BI528" s="104"/>
      <c r="BJ528" s="104"/>
      <c r="BK528" s="104"/>
      <c r="BL528" s="104"/>
      <c r="BM528" s="104"/>
      <c r="BN528" s="104"/>
      <c r="BO528" s="104"/>
      <c r="BP528" s="104"/>
      <c r="BQ528" s="104"/>
      <c r="BR528" s="104"/>
      <c r="BS528" s="104"/>
      <c r="BT528" s="104"/>
      <c r="BU528" s="104"/>
      <c r="BV528" s="104"/>
      <c r="BW528" s="105"/>
      <c r="BX528" s="28"/>
    </row>
    <row r="529" spans="1:76" s="34" customFormat="1" ht="17.25" hidden="1" customHeight="1" outlineLevel="1" x14ac:dyDescent="0.75">
      <c r="A529" s="383" t="s">
        <v>42</v>
      </c>
      <c r="B529" s="410" t="e">
        <f>IF(ROUND(AN$507,6),ROUND(AN$507,6),NA())</f>
        <v>#N/A</v>
      </c>
      <c r="C529" s="410" t="e">
        <f>IF(ROUND(AO$507,6),ROUND(AO$507,6),NA())</f>
        <v>#N/A</v>
      </c>
      <c r="D529" s="410" t="e">
        <f>IF(ROUND(AP$507,6),ROUND(AP$507,6),NA())</f>
        <v>#N/A</v>
      </c>
      <c r="E529" s="1" t="s">
        <v>282</v>
      </c>
      <c r="H529" s="368"/>
      <c r="I529" s="94"/>
      <c r="J529" s="57"/>
      <c r="K529" s="154"/>
      <c r="L529" s="309"/>
      <c r="M529" s="155"/>
      <c r="N529" s="155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5"/>
      <c r="Z529" s="104"/>
      <c r="AA529" s="103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 s="104"/>
      <c r="BG529" s="104"/>
      <c r="BH529" s="104"/>
      <c r="BI529" s="104"/>
      <c r="BJ529" s="104"/>
      <c r="BK529" s="104"/>
      <c r="BL529" s="104"/>
      <c r="BM529" s="104"/>
      <c r="BN529" s="104"/>
      <c r="BO529" s="104"/>
      <c r="BP529" s="104"/>
      <c r="BQ529" s="104"/>
      <c r="BR529" s="104"/>
      <c r="BS529" s="104"/>
      <c r="BT529" s="104"/>
      <c r="BU529" s="104"/>
      <c r="BV529" s="104"/>
      <c r="BW529" s="105"/>
      <c r="BX529" s="28"/>
    </row>
    <row r="530" spans="1:76" s="34" customFormat="1" ht="17.25" hidden="1" customHeight="1" outlineLevel="1" x14ac:dyDescent="0.75">
      <c r="A530" s="383" t="s">
        <v>215</v>
      </c>
      <c r="B530" s="410" t="e">
        <f>IF(ROUND(AR$507,6),ROUND(AR$507,6),NA())</f>
        <v>#N/A</v>
      </c>
      <c r="C530" s="410" t="e">
        <f>IF(ROUND(AS$507,6),ROUND(AS$507,6),NA())</f>
        <v>#N/A</v>
      </c>
      <c r="D530" s="410" t="e">
        <f>IF(ROUND(AT$507,6),ROUND(AT$507,6),NA())</f>
        <v>#N/A</v>
      </c>
      <c r="E530" s="1" t="s">
        <v>283</v>
      </c>
      <c r="H530" s="368"/>
      <c r="I530" s="94"/>
      <c r="J530" s="57"/>
      <c r="K530" s="154"/>
      <c r="L530" s="309"/>
      <c r="M530" s="155"/>
      <c r="N530" s="155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5"/>
      <c r="Z530" s="104"/>
      <c r="AA530" s="103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 s="104"/>
      <c r="BG530" s="104"/>
      <c r="BH530" s="104"/>
      <c r="BI530" s="104"/>
      <c r="BJ530" s="104"/>
      <c r="BK530" s="104"/>
      <c r="BL530" s="104"/>
      <c r="BM530" s="104"/>
      <c r="BN530" s="104"/>
      <c r="BO530" s="104"/>
      <c r="BP530" s="104"/>
      <c r="BQ530" s="104"/>
      <c r="BR530" s="104"/>
      <c r="BS530" s="104"/>
      <c r="BT530" s="104"/>
      <c r="BU530" s="104"/>
      <c r="BV530" s="104"/>
      <c r="BW530" s="105"/>
      <c r="BX530" s="28"/>
    </row>
    <row r="531" spans="1:76" s="34" customFormat="1" ht="17.25" hidden="1" customHeight="1" outlineLevel="1" x14ac:dyDescent="0.75">
      <c r="A531" s="383" t="s">
        <v>263</v>
      </c>
      <c r="B531" s="410" t="e">
        <f>IF(ROUND(AV$507,6),ROUND(AV$507,6),NA())</f>
        <v>#N/A</v>
      </c>
      <c r="C531" s="410" t="e">
        <f>IF(ROUND(AW$507,6),ROUND(AW$507,6),NA())</f>
        <v>#N/A</v>
      </c>
      <c r="D531" s="410" t="e">
        <f>IF(ROUND(AX$507,6),ROUND(AX$507,6),NA())</f>
        <v>#N/A</v>
      </c>
      <c r="E531" s="1" t="s">
        <v>284</v>
      </c>
      <c r="H531" s="368"/>
      <c r="I531" s="94"/>
      <c r="J531" s="57"/>
      <c r="K531" s="154"/>
      <c r="L531" s="309"/>
      <c r="M531" s="155"/>
      <c r="N531" s="155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5"/>
      <c r="Z531" s="104"/>
      <c r="AA531" s="103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 s="104"/>
      <c r="BG531" s="104"/>
      <c r="BH531" s="104"/>
      <c r="BI531" s="104"/>
      <c r="BJ531" s="104"/>
      <c r="BK531" s="104"/>
      <c r="BL531" s="104"/>
      <c r="BM531" s="104"/>
      <c r="BN531" s="104"/>
      <c r="BO531" s="104"/>
      <c r="BP531" s="104"/>
      <c r="BQ531" s="104"/>
      <c r="BR531" s="104"/>
      <c r="BS531" s="104"/>
      <c r="BT531" s="104"/>
      <c r="BU531" s="104"/>
      <c r="BV531" s="104"/>
      <c r="BW531" s="105"/>
      <c r="BX531" s="28"/>
    </row>
    <row r="532" spans="1:76" s="34" customFormat="1" ht="17.25" hidden="1" customHeight="1" outlineLevel="1" x14ac:dyDescent="0.75">
      <c r="A532" s="383" t="s">
        <v>263</v>
      </c>
      <c r="B532" s="410" t="e">
        <f>IF(ROUND(AZ$507,6),ROUND(AZ$507,6),NA())</f>
        <v>#N/A</v>
      </c>
      <c r="C532" s="410" t="e">
        <f>IF(ROUND(BA$507,6),ROUND(BA$507,6),NA())</f>
        <v>#N/A</v>
      </c>
      <c r="D532" s="410" t="e">
        <f>IF(ROUND(BB$507,6),ROUND(BB$507,6),NA())</f>
        <v>#N/A</v>
      </c>
      <c r="E532" s="1" t="s">
        <v>285</v>
      </c>
      <c r="H532" s="368"/>
      <c r="I532" s="94"/>
      <c r="J532" s="57"/>
      <c r="K532" s="154"/>
      <c r="L532" s="309"/>
      <c r="M532" s="155"/>
      <c r="N532" s="155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5"/>
      <c r="Z532" s="104"/>
      <c r="AA532" s="103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 s="104"/>
      <c r="BG532" s="104"/>
      <c r="BH532" s="104"/>
      <c r="BI532" s="104"/>
      <c r="BJ532" s="104"/>
      <c r="BK532" s="104"/>
      <c r="BL532" s="104"/>
      <c r="BM532" s="104"/>
      <c r="BN532" s="104"/>
      <c r="BO532" s="104"/>
      <c r="BP532" s="104"/>
      <c r="BQ532" s="104"/>
      <c r="BR532" s="104"/>
      <c r="BS532" s="104"/>
      <c r="BT532" s="104"/>
      <c r="BU532" s="104"/>
      <c r="BV532" s="104"/>
      <c r="BW532" s="105"/>
      <c r="BX532" s="28"/>
    </row>
    <row r="533" spans="1:76" s="34" customFormat="1" ht="17.25" hidden="1" customHeight="1" outlineLevel="1" x14ac:dyDescent="0.75">
      <c r="A533" s="383" t="s">
        <v>42</v>
      </c>
      <c r="B533" s="410" t="e">
        <f>IF(ROUND(BD$507,6),ROUND(BD$507,6),NA())</f>
        <v>#N/A</v>
      </c>
      <c r="C533" s="410" t="e">
        <f>IF(ROUND(BE$507,6),ROUND(BE$507,6),NA())</f>
        <v>#N/A</v>
      </c>
      <c r="D533" s="410" t="e">
        <f>IF(ROUND(BF$507,6),ROUND(BF$507,6),NA())</f>
        <v>#N/A</v>
      </c>
      <c r="E533" s="1" t="s">
        <v>286</v>
      </c>
      <c r="H533" s="368"/>
      <c r="I533" s="94"/>
      <c r="J533" s="57"/>
      <c r="K533" s="154"/>
      <c r="L533" s="309"/>
      <c r="M533" s="155"/>
      <c r="N533" s="155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5"/>
      <c r="Z533" s="104"/>
      <c r="AA533" s="103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 s="104"/>
      <c r="BG533" s="104"/>
      <c r="BH533" s="104"/>
      <c r="BI533" s="104"/>
      <c r="BJ533" s="104"/>
      <c r="BK533" s="104"/>
      <c r="BL533" s="104"/>
      <c r="BM533" s="104"/>
      <c r="BN533" s="104"/>
      <c r="BO533" s="104"/>
      <c r="BP533" s="104"/>
      <c r="BQ533" s="104"/>
      <c r="BR533" s="104"/>
      <c r="BS533" s="104"/>
      <c r="BT533" s="104"/>
      <c r="BU533" s="104"/>
      <c r="BV533" s="104"/>
      <c r="BW533" s="105"/>
      <c r="BX533" s="28"/>
    </row>
    <row r="534" spans="1:76" s="34" customFormat="1" ht="17.25" hidden="1" customHeight="1" outlineLevel="1" x14ac:dyDescent="0.75">
      <c r="A534" s="383" t="s">
        <v>264</v>
      </c>
      <c r="B534" s="410" t="e">
        <f>IF(ROUND(BH$507,6),ROUND(BH$507,6),NA())</f>
        <v>#N/A</v>
      </c>
      <c r="C534" s="410" t="e">
        <f>IF(ROUND(BI$507,6),ROUND(BI$507,6),NA())</f>
        <v>#N/A</v>
      </c>
      <c r="D534" s="410" t="e">
        <f>IF(ROUND(BJ$507,6),ROUND(BJ$507,6),NA())</f>
        <v>#N/A</v>
      </c>
      <c r="E534" s="1" t="s">
        <v>287</v>
      </c>
      <c r="H534" s="368"/>
      <c r="I534" s="94"/>
      <c r="J534" s="57"/>
      <c r="K534" s="154"/>
      <c r="L534" s="309"/>
      <c r="M534" s="155"/>
      <c r="N534" s="155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5"/>
      <c r="Z534" s="104"/>
      <c r="AA534" s="103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 s="104"/>
      <c r="BG534" s="104"/>
      <c r="BH534" s="104"/>
      <c r="BI534" s="104"/>
      <c r="BJ534" s="104"/>
      <c r="BK534" s="104"/>
      <c r="BL534" s="104"/>
      <c r="BM534" s="104"/>
      <c r="BN534" s="104"/>
      <c r="BO534" s="104"/>
      <c r="BP534" s="104"/>
      <c r="BQ534" s="104"/>
      <c r="BR534" s="104"/>
      <c r="BS534" s="104"/>
      <c r="BT534" s="104"/>
      <c r="BU534" s="104"/>
      <c r="BV534" s="104"/>
      <c r="BW534" s="105"/>
      <c r="BX534" s="28"/>
    </row>
    <row r="535" spans="1:76" s="34" customFormat="1" ht="17.25" hidden="1" customHeight="1" outlineLevel="1" x14ac:dyDescent="0.75">
      <c r="A535" s="383" t="s">
        <v>212</v>
      </c>
      <c r="B535" s="410" t="e">
        <f>IF(ROUND(BL$507,6),ROUND(BL$507,6),NA())</f>
        <v>#N/A</v>
      </c>
      <c r="C535" s="410" t="e">
        <f>IF(ROUND(BM$507,6),ROUND(BM$507,6),NA())</f>
        <v>#N/A</v>
      </c>
      <c r="D535" s="410" t="e">
        <f>IF(ROUND(BN$507,6),ROUND(BN$507,6),NA())</f>
        <v>#N/A</v>
      </c>
      <c r="E535" s="1" t="s">
        <v>288</v>
      </c>
      <c r="H535" s="368"/>
      <c r="I535" s="94"/>
      <c r="J535" s="57"/>
      <c r="K535" s="154"/>
      <c r="L535" s="309"/>
      <c r="M535" s="155"/>
      <c r="N535" s="155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5"/>
      <c r="Z535" s="104"/>
      <c r="AA535" s="103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 s="104"/>
      <c r="BG535" s="104"/>
      <c r="BH535" s="104"/>
      <c r="BI535" s="104"/>
      <c r="BJ535" s="104"/>
      <c r="BK535" s="104"/>
      <c r="BL535" s="104"/>
      <c r="BM535" s="104"/>
      <c r="BN535" s="104"/>
      <c r="BO535" s="104"/>
      <c r="BP535" s="104"/>
      <c r="BQ535" s="104"/>
      <c r="BR535" s="104"/>
      <c r="BS535" s="104"/>
      <c r="BT535" s="104"/>
      <c r="BU535" s="104"/>
      <c r="BV535" s="104"/>
      <c r="BW535" s="105"/>
      <c r="BX535" s="28"/>
    </row>
    <row r="536" spans="1:76" s="34" customFormat="1" ht="17.25" hidden="1" customHeight="1" outlineLevel="1" x14ac:dyDescent="0.75">
      <c r="A536" s="383" t="s">
        <v>257</v>
      </c>
      <c r="B536" s="410" t="e">
        <f>IF(ROUND(BP$507,6),ROUND(BP$507,6),NA())</f>
        <v>#N/A</v>
      </c>
      <c r="C536" s="410" t="e">
        <f>IF(ROUND(BQ$507,6),ROUND(BQ$507,6),NA())</f>
        <v>#N/A</v>
      </c>
      <c r="D536" s="410" t="e">
        <f>IF(ROUND(BR$507,6),ROUND(BR$507,6),NA())</f>
        <v>#N/A</v>
      </c>
      <c r="E536" s="1" t="s">
        <v>289</v>
      </c>
      <c r="H536" s="368"/>
      <c r="I536" s="94"/>
      <c r="J536" s="57"/>
      <c r="K536" s="154"/>
      <c r="L536" s="309"/>
      <c r="M536" s="155"/>
      <c r="N536" s="155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5"/>
      <c r="Z536" s="104"/>
      <c r="AA536" s="103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 s="104"/>
      <c r="BG536" s="104"/>
      <c r="BH536" s="104"/>
      <c r="BI536" s="104"/>
      <c r="BJ536" s="104"/>
      <c r="BK536" s="104"/>
      <c r="BL536" s="104"/>
      <c r="BM536" s="104"/>
      <c r="BN536" s="104"/>
      <c r="BO536" s="104"/>
      <c r="BP536" s="104"/>
      <c r="BQ536" s="104"/>
      <c r="BR536" s="104"/>
      <c r="BS536" s="104"/>
      <c r="BT536" s="104"/>
      <c r="BU536" s="104"/>
      <c r="BV536" s="104"/>
      <c r="BW536" s="105"/>
      <c r="BX536" s="28"/>
    </row>
    <row r="537" spans="1:76" s="34" customFormat="1" ht="17.25" hidden="1" customHeight="1" outlineLevel="1" x14ac:dyDescent="0.75">
      <c r="A537" s="383" t="s">
        <v>216</v>
      </c>
      <c r="B537" s="410" t="e">
        <f>IF(ROUND(BT$507,6),ROUND(BT$507,6),NA())</f>
        <v>#N/A</v>
      </c>
      <c r="C537" s="410" t="e">
        <f>IF(ROUND(BU$507,6),ROUND(BU$507,6),NA())</f>
        <v>#N/A</v>
      </c>
      <c r="D537" s="410" t="e">
        <f>IF(ROUND(BV$507,6),ROUND(BV$507,6),NA())</f>
        <v>#N/A</v>
      </c>
      <c r="E537" s="1" t="s">
        <v>290</v>
      </c>
      <c r="H537" s="368"/>
      <c r="I537" s="94"/>
      <c r="J537" s="57"/>
      <c r="K537" s="154"/>
      <c r="L537" s="309"/>
      <c r="M537" s="155"/>
      <c r="N537" s="155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5"/>
      <c r="Z537" s="104"/>
      <c r="AA537" s="103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 s="104"/>
      <c r="BG537" s="104"/>
      <c r="BH537" s="104"/>
      <c r="BI537" s="104"/>
      <c r="BJ537" s="104"/>
      <c r="BK537" s="104"/>
      <c r="BL537" s="104"/>
      <c r="BM537" s="104"/>
      <c r="BN537" s="104"/>
      <c r="BO537" s="104"/>
      <c r="BP537" s="104"/>
      <c r="BQ537" s="104"/>
      <c r="BR537" s="104"/>
      <c r="BS537" s="104"/>
      <c r="BT537" s="104"/>
      <c r="BU537" s="104"/>
      <c r="BV537" s="104"/>
      <c r="BW537" s="105"/>
      <c r="BX537" s="28"/>
    </row>
    <row r="538" spans="1:76" s="34" customFormat="1" ht="17.25" hidden="1" customHeight="1" outlineLevel="1" x14ac:dyDescent="0.75">
      <c r="A538" s="56"/>
      <c r="B538" s="414"/>
      <c r="C538" s="415"/>
      <c r="D538" s="416"/>
      <c r="E538" s="1"/>
      <c r="H538" s="368"/>
      <c r="I538" s="94"/>
      <c r="J538" s="57"/>
      <c r="K538" s="154"/>
      <c r="L538" s="309"/>
      <c r="M538" s="155"/>
      <c r="N538" s="155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5"/>
      <c r="Z538" s="104"/>
      <c r="AA538" s="103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 s="104"/>
      <c r="BG538" s="104"/>
      <c r="BH538" s="104"/>
      <c r="BI538" s="104"/>
      <c r="BJ538" s="104"/>
      <c r="BK538" s="104"/>
      <c r="BL538" s="104"/>
      <c r="BM538" s="104"/>
      <c r="BN538" s="104"/>
      <c r="BO538" s="104"/>
      <c r="BP538" s="104"/>
      <c r="BQ538" s="104"/>
      <c r="BR538" s="104"/>
      <c r="BS538" s="104"/>
      <c r="BT538" s="104"/>
      <c r="BU538" s="104"/>
      <c r="BV538" s="104"/>
      <c r="BW538" s="105"/>
      <c r="BX538" s="28"/>
    </row>
    <row r="539" spans="1:76" s="34" customFormat="1" ht="17.25" hidden="1" customHeight="1" outlineLevel="1" x14ac:dyDescent="0.75">
      <c r="A539" t="s">
        <v>302</v>
      </c>
      <c r="B539" s="417" t="str">
        <f>$N$12&amp;" N"</f>
        <v>Actual N</v>
      </c>
      <c r="C539" s="417" t="str">
        <f>$N$20&amp;" "&amp;$N$21</f>
        <v>Budget V current N</v>
      </c>
      <c r="D539" s="417" t="str">
        <f>$O$20&amp;" "&amp;$O$21</f>
        <v>Actual N-1</v>
      </c>
      <c r="E539" s="1"/>
      <c r="H539" s="368"/>
      <c r="I539" s="94"/>
      <c r="J539" s="57"/>
      <c r="K539" s="154"/>
      <c r="L539" s="309"/>
      <c r="M539" s="155"/>
      <c r="N539" s="155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5"/>
      <c r="Z539" s="104"/>
      <c r="AA539" s="103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 s="104"/>
      <c r="BG539" s="104"/>
      <c r="BH539" s="104"/>
      <c r="BI539" s="104"/>
      <c r="BJ539" s="104"/>
      <c r="BK539" s="104"/>
      <c r="BL539" s="104"/>
      <c r="BM539" s="104"/>
      <c r="BN539" s="104"/>
      <c r="BO539" s="104"/>
      <c r="BP539" s="104"/>
      <c r="BQ539" s="104"/>
      <c r="BR539" s="104"/>
      <c r="BS539" s="104"/>
      <c r="BT539" s="104"/>
      <c r="BU539" s="104"/>
      <c r="BV539" s="104"/>
      <c r="BW539" s="105"/>
      <c r="BX539" s="28"/>
    </row>
    <row r="540" spans="1:76" s="34" customFormat="1" ht="17.25" hidden="1" customHeight="1" outlineLevel="1" x14ac:dyDescent="0.75">
      <c r="A540" s="383" t="str">
        <f>IF($N$19="English","J","J")</f>
        <v>J</v>
      </c>
      <c r="B540" s="410" t="e">
        <f>IF(ROUND(AB$509,6),ROUND(AB$509,6),NA())</f>
        <v>#N/A</v>
      </c>
      <c r="C540" s="410" t="e">
        <f>IF(ROUND(AC$509,6),ROUND(AC$509,6),NA())</f>
        <v>#N/A</v>
      </c>
      <c r="D540" s="410" t="e">
        <f>IF(ROUND(AD$509,6),ROUND(AD$509,6),NA())</f>
        <v>#N/A</v>
      </c>
      <c r="E540" s="1" t="s">
        <v>279</v>
      </c>
      <c r="H540" s="368"/>
      <c r="I540" s="94"/>
      <c r="J540" s="57"/>
      <c r="K540" s="154"/>
      <c r="L540" s="309"/>
      <c r="M540" s="155"/>
      <c r="N540" s="155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5"/>
      <c r="Z540" s="104"/>
      <c r="AA540" s="103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 s="104"/>
      <c r="BG540" s="104"/>
      <c r="BH540" s="104"/>
      <c r="BI540" s="104"/>
      <c r="BJ540" s="104"/>
      <c r="BK540" s="104"/>
      <c r="BL540" s="104"/>
      <c r="BM540" s="104"/>
      <c r="BN540" s="104"/>
      <c r="BO540" s="104"/>
      <c r="BP540" s="104"/>
      <c r="BQ540" s="104"/>
      <c r="BR540" s="104"/>
      <c r="BS540" s="104"/>
      <c r="BT540" s="104"/>
      <c r="BU540" s="104"/>
      <c r="BV540" s="104"/>
      <c r="BW540" s="105"/>
      <c r="BX540" s="28"/>
    </row>
    <row r="541" spans="1:76" s="34" customFormat="1" ht="17.25" hidden="1" customHeight="1" outlineLevel="1" x14ac:dyDescent="0.75">
      <c r="A541" s="383" t="s">
        <v>213</v>
      </c>
      <c r="B541" s="410" t="e">
        <f>IF(ROUND(AF$509,6),ROUND(AF$509,6),NA())</f>
        <v>#N/A</v>
      </c>
      <c r="C541" s="410" t="e">
        <f>IF(ROUND(AG$509,6),ROUND(AG$509,6),NA())</f>
        <v>#N/A</v>
      </c>
      <c r="D541" s="410" t="e">
        <f>IF(ROUND(AH$509,6),ROUND(AH$509,6),NA())</f>
        <v>#N/A</v>
      </c>
      <c r="E541" s="1" t="s">
        <v>280</v>
      </c>
      <c r="H541" s="368"/>
      <c r="I541" s="94"/>
      <c r="J541" s="57"/>
      <c r="K541" s="154"/>
      <c r="L541" s="309"/>
      <c r="M541" s="155"/>
      <c r="N541" s="155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5"/>
      <c r="Z541" s="104"/>
      <c r="AA541" s="103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 s="104"/>
      <c r="BG541" s="104"/>
      <c r="BH541" s="104"/>
      <c r="BI541" s="104"/>
      <c r="BJ541" s="104"/>
      <c r="BK541" s="104"/>
      <c r="BL541" s="104"/>
      <c r="BM541" s="104"/>
      <c r="BN541" s="104"/>
      <c r="BO541" s="104"/>
      <c r="BP541" s="104"/>
      <c r="BQ541" s="104"/>
      <c r="BR541" s="104"/>
      <c r="BS541" s="104"/>
      <c r="BT541" s="104"/>
      <c r="BU541" s="104"/>
      <c r="BV541" s="104"/>
      <c r="BW541" s="105"/>
      <c r="BX541" s="28"/>
    </row>
    <row r="542" spans="1:76" s="34" customFormat="1" ht="17.25" hidden="1" customHeight="1" outlineLevel="1" x14ac:dyDescent="0.75">
      <c r="A542" s="383" t="s">
        <v>215</v>
      </c>
      <c r="B542" s="410" t="e">
        <f>IF(ROUND(AJ$509,6),ROUND(AJ$509,6),NA())</f>
        <v>#N/A</v>
      </c>
      <c r="C542" s="410" t="e">
        <f>IF(ROUND(AK$509,6),ROUND(AK$509,6),NA())</f>
        <v>#N/A</v>
      </c>
      <c r="D542" s="410" t="e">
        <f>IF(ROUND(AL$509,6),ROUND(AL$509,6),NA())</f>
        <v>#N/A</v>
      </c>
      <c r="E542" s="1" t="s">
        <v>281</v>
      </c>
      <c r="H542" s="368"/>
      <c r="I542" s="94"/>
      <c r="J542" s="57"/>
      <c r="K542" s="154"/>
      <c r="L542" s="309"/>
      <c r="M542" s="155"/>
      <c r="N542" s="155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5"/>
      <c r="Z542" s="104"/>
      <c r="AA542" s="103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 s="104"/>
      <c r="BG542" s="104"/>
      <c r="BH542" s="104"/>
      <c r="BI542" s="104"/>
      <c r="BJ542" s="104"/>
      <c r="BK542" s="104"/>
      <c r="BL542" s="104"/>
      <c r="BM542" s="104"/>
      <c r="BN542" s="104"/>
      <c r="BO542" s="104"/>
      <c r="BP542" s="104"/>
      <c r="BQ542" s="104"/>
      <c r="BR542" s="104"/>
      <c r="BS542" s="104"/>
      <c r="BT542" s="104"/>
      <c r="BU542" s="104"/>
      <c r="BV542" s="104"/>
      <c r="BW542" s="105"/>
      <c r="BX542" s="28"/>
    </row>
    <row r="543" spans="1:76" s="34" customFormat="1" ht="17.25" hidden="1" customHeight="1" outlineLevel="1" x14ac:dyDescent="0.75">
      <c r="A543" s="383" t="s">
        <v>42</v>
      </c>
      <c r="B543" s="410" t="e">
        <f>IF(ROUND(AN$509,6),ROUND(AN$509,6),NA())</f>
        <v>#N/A</v>
      </c>
      <c r="C543" s="410" t="e">
        <f>IF(ROUND(AO$509,6),ROUND(AO$509,6),NA())</f>
        <v>#N/A</v>
      </c>
      <c r="D543" s="410" t="e">
        <f>IF(ROUND(AP$509,6),ROUND(AP$509,6),NA())</f>
        <v>#N/A</v>
      </c>
      <c r="E543" s="1" t="s">
        <v>282</v>
      </c>
      <c r="H543" s="368"/>
      <c r="I543" s="94"/>
      <c r="J543" s="57"/>
      <c r="K543" s="154"/>
      <c r="L543" s="309"/>
      <c r="M543" s="155"/>
      <c r="N543" s="155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5"/>
      <c r="Z543" s="104"/>
      <c r="AA543" s="103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 s="104"/>
      <c r="BG543" s="104"/>
      <c r="BH543" s="104"/>
      <c r="BI543" s="104"/>
      <c r="BJ543" s="104"/>
      <c r="BK543" s="104"/>
      <c r="BL543" s="104"/>
      <c r="BM543" s="104"/>
      <c r="BN543" s="104"/>
      <c r="BO543" s="104"/>
      <c r="BP543" s="104"/>
      <c r="BQ543" s="104"/>
      <c r="BR543" s="104"/>
      <c r="BS543" s="104"/>
      <c r="BT543" s="104"/>
      <c r="BU543" s="104"/>
      <c r="BV543" s="104"/>
      <c r="BW543" s="105"/>
      <c r="BX543" s="28"/>
    </row>
    <row r="544" spans="1:76" s="34" customFormat="1" ht="17.25" hidden="1" customHeight="1" outlineLevel="1" x14ac:dyDescent="0.75">
      <c r="A544" s="383" t="s">
        <v>215</v>
      </c>
      <c r="B544" s="410" t="e">
        <f>IF(ROUND(AR$509,6),ROUND(AR$509,6),NA())</f>
        <v>#N/A</v>
      </c>
      <c r="C544" s="410" t="e">
        <f>IF(ROUND(AS$509,6),ROUND(AS$509,6),NA())</f>
        <v>#N/A</v>
      </c>
      <c r="D544" s="410" t="e">
        <f>IF(ROUND(AT$509,6),ROUND(AT$509,6),NA())</f>
        <v>#N/A</v>
      </c>
      <c r="E544" s="1" t="s">
        <v>283</v>
      </c>
      <c r="H544" s="368"/>
      <c r="I544" s="94"/>
      <c r="J544" s="57"/>
      <c r="K544" s="154"/>
      <c r="L544" s="309"/>
      <c r="M544" s="155"/>
      <c r="N544" s="155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5"/>
      <c r="Z544" s="104"/>
      <c r="AA544" s="103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 s="104"/>
      <c r="BG544" s="104"/>
      <c r="BH544" s="104"/>
      <c r="BI544" s="104"/>
      <c r="BJ544" s="104"/>
      <c r="BK544" s="104"/>
      <c r="BL544" s="104"/>
      <c r="BM544" s="104"/>
      <c r="BN544" s="104"/>
      <c r="BO544" s="104"/>
      <c r="BP544" s="104"/>
      <c r="BQ544" s="104"/>
      <c r="BR544" s="104"/>
      <c r="BS544" s="104"/>
      <c r="BT544" s="104"/>
      <c r="BU544" s="104"/>
      <c r="BV544" s="104"/>
      <c r="BW544" s="105"/>
      <c r="BX544" s="28"/>
    </row>
    <row r="545" spans="1:76" s="34" customFormat="1" ht="17.25" hidden="1" customHeight="1" outlineLevel="1" x14ac:dyDescent="0.75">
      <c r="A545" s="383" t="s">
        <v>263</v>
      </c>
      <c r="B545" s="410" t="e">
        <f>IF(ROUND(AV$509,6),ROUND(AV$509,6),NA())</f>
        <v>#N/A</v>
      </c>
      <c r="C545" s="410" t="e">
        <f>IF(ROUND(AW$509,6),ROUND(AW$509,6),NA())</f>
        <v>#N/A</v>
      </c>
      <c r="D545" s="410" t="e">
        <f>IF(ROUND(AX$509,6),ROUND(AX$509,6),NA())</f>
        <v>#N/A</v>
      </c>
      <c r="E545" s="1" t="s">
        <v>284</v>
      </c>
      <c r="H545" s="368"/>
      <c r="I545" s="94"/>
      <c r="J545" s="57"/>
      <c r="K545" s="154"/>
      <c r="L545" s="309"/>
      <c r="M545" s="155"/>
      <c r="N545" s="155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5"/>
      <c r="Z545" s="104"/>
      <c r="AA545" s="103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 s="104"/>
      <c r="BG545" s="104"/>
      <c r="BH545" s="104"/>
      <c r="BI545" s="104"/>
      <c r="BJ545" s="104"/>
      <c r="BK545" s="104"/>
      <c r="BL545" s="104"/>
      <c r="BM545" s="104"/>
      <c r="BN545" s="104"/>
      <c r="BO545" s="104"/>
      <c r="BP545" s="104"/>
      <c r="BQ545" s="104"/>
      <c r="BR545" s="104"/>
      <c r="BS545" s="104"/>
      <c r="BT545" s="104"/>
      <c r="BU545" s="104"/>
      <c r="BV545" s="104"/>
      <c r="BW545" s="105"/>
      <c r="BX545" s="28"/>
    </row>
    <row r="546" spans="1:76" s="34" customFormat="1" ht="30" hidden="1" customHeight="1" outlineLevel="1" x14ac:dyDescent="0.75">
      <c r="A546" s="383" t="s">
        <v>263</v>
      </c>
      <c r="B546" s="410" t="e">
        <f>IF(ROUND(AZ$509,6),ROUND(AZ$509,6),NA())</f>
        <v>#N/A</v>
      </c>
      <c r="C546" s="410" t="e">
        <f>IF(ROUND(BA$509,6),ROUND(BA$509,6),NA())</f>
        <v>#N/A</v>
      </c>
      <c r="D546" s="410" t="e">
        <f>IF(ROUND(BB$509,6),ROUND(BB$509,6),NA())</f>
        <v>#N/A</v>
      </c>
      <c r="E546" s="1" t="s">
        <v>285</v>
      </c>
      <c r="H546" s="368"/>
      <c r="I546" s="94"/>
      <c r="J546" s="57"/>
      <c r="K546" s="154"/>
      <c r="L546" s="309"/>
      <c r="M546" s="518" t="str">
        <f>M509</f>
        <v>F2 - Fleet efficiency</v>
      </c>
      <c r="N546" s="518"/>
      <c r="O546" s="518"/>
      <c r="P546" s="518"/>
      <c r="Q546" s="518"/>
      <c r="R546" s="518"/>
      <c r="S546" s="518"/>
      <c r="T546" s="518"/>
      <c r="U546" s="104"/>
      <c r="V546" s="104"/>
      <c r="W546" s="104"/>
      <c r="X546" s="104"/>
      <c r="Y546" s="105"/>
      <c r="Z546" s="104"/>
      <c r="AA546" s="103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 s="104"/>
      <c r="BG546" s="104"/>
      <c r="BH546" s="104"/>
      <c r="BI546" s="104"/>
      <c r="BJ546" s="104"/>
      <c r="BK546" s="104"/>
      <c r="BL546" s="104"/>
      <c r="BM546" s="104"/>
      <c r="BN546" s="104"/>
      <c r="BO546" s="104"/>
      <c r="BP546" s="104"/>
      <c r="BQ546" s="104"/>
      <c r="BR546" s="104"/>
      <c r="BS546" s="104"/>
      <c r="BT546" s="104"/>
      <c r="BU546" s="104"/>
      <c r="BV546" s="104"/>
      <c r="BW546" s="105"/>
      <c r="BX546" s="28"/>
    </row>
    <row r="547" spans="1:76" s="34" customFormat="1" ht="17.25" hidden="1" customHeight="1" outlineLevel="1" x14ac:dyDescent="0.75">
      <c r="A547" s="383" t="s">
        <v>42</v>
      </c>
      <c r="B547" s="410" t="e">
        <f>IF(ROUND(BD$509,6),ROUND(BD$509,6),NA())</f>
        <v>#N/A</v>
      </c>
      <c r="C547" s="410" t="e">
        <f>IF(ROUND(BE$509,6),ROUND(BE$509,6),NA())</f>
        <v>#N/A</v>
      </c>
      <c r="D547" s="410" t="e">
        <f>IF(ROUND(BF$509,6),ROUND(BF$509,6),NA())</f>
        <v>#N/A</v>
      </c>
      <c r="E547" s="1" t="s">
        <v>286</v>
      </c>
      <c r="H547" s="368"/>
      <c r="I547" s="94"/>
      <c r="J547" s="57"/>
      <c r="K547" s="154"/>
      <c r="L547" s="309"/>
      <c r="M547" s="155"/>
      <c r="N547" s="155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5"/>
      <c r="Z547" s="104"/>
      <c r="AA547" s="103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 s="104"/>
      <c r="BG547" s="104"/>
      <c r="BH547" s="104"/>
      <c r="BI547" s="104"/>
      <c r="BJ547" s="104"/>
      <c r="BK547" s="104"/>
      <c r="BL547" s="104"/>
      <c r="BM547" s="104"/>
      <c r="BN547" s="104"/>
      <c r="BO547" s="104"/>
      <c r="BP547" s="104"/>
      <c r="BQ547" s="104"/>
      <c r="BR547" s="104"/>
      <c r="BS547" s="104"/>
      <c r="BT547" s="104"/>
      <c r="BU547" s="104"/>
      <c r="BV547" s="104"/>
      <c r="BW547" s="105"/>
      <c r="BX547" s="28"/>
    </row>
    <row r="548" spans="1:76" s="34" customFormat="1" ht="17.25" hidden="1" customHeight="1" outlineLevel="1" x14ac:dyDescent="0.75">
      <c r="A548" s="383" t="s">
        <v>264</v>
      </c>
      <c r="B548" s="410" t="e">
        <f>IF(ROUND(BH$509,6),ROUND(BH$509,6),NA())</f>
        <v>#N/A</v>
      </c>
      <c r="C548" s="410" t="e">
        <f>IF(ROUND(BI$509,6),ROUND(BI$509,6),NA())</f>
        <v>#N/A</v>
      </c>
      <c r="D548" s="410" t="e">
        <f>IF(ROUND(BJ$509,6),ROUND(BJ$509,6),NA())</f>
        <v>#N/A</v>
      </c>
      <c r="E548" s="1" t="s">
        <v>287</v>
      </c>
      <c r="H548" s="368"/>
      <c r="I548" s="94"/>
      <c r="J548" s="57"/>
      <c r="K548" s="154"/>
      <c r="L548" s="309"/>
      <c r="M548" s="155"/>
      <c r="N548" s="155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5"/>
      <c r="Z548" s="104"/>
      <c r="AA548" s="103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 s="104"/>
      <c r="BG548" s="104"/>
      <c r="BH548" s="104"/>
      <c r="BI548" s="104"/>
      <c r="BJ548" s="104"/>
      <c r="BK548" s="104"/>
      <c r="BL548" s="104"/>
      <c r="BM548" s="104"/>
      <c r="BN548" s="104"/>
      <c r="BO548" s="104"/>
      <c r="BP548" s="104"/>
      <c r="BQ548" s="104"/>
      <c r="BR548" s="104"/>
      <c r="BS548" s="104"/>
      <c r="BT548" s="104"/>
      <c r="BU548" s="104"/>
      <c r="BV548" s="104"/>
      <c r="BW548" s="105"/>
      <c r="BX548" s="28"/>
    </row>
    <row r="549" spans="1:76" s="34" customFormat="1" ht="17.25" hidden="1" customHeight="1" outlineLevel="1" x14ac:dyDescent="0.75">
      <c r="A549" s="383" t="s">
        <v>212</v>
      </c>
      <c r="B549" s="410" t="e">
        <f>IF(ROUND(BL$509,6),ROUND(BL$509,6),NA())</f>
        <v>#N/A</v>
      </c>
      <c r="C549" s="410" t="e">
        <f>IF(ROUND(BM$509,6),ROUND(BM$509,6),NA())</f>
        <v>#N/A</v>
      </c>
      <c r="D549" s="410" t="e">
        <f>IF(ROUND(BN$509,6),ROUND(BN$509,6),NA())</f>
        <v>#N/A</v>
      </c>
      <c r="E549" s="1" t="s">
        <v>288</v>
      </c>
      <c r="H549" s="368"/>
      <c r="I549" s="94"/>
      <c r="J549" s="57"/>
      <c r="K549" s="154"/>
      <c r="L549" s="309"/>
      <c r="M549" s="155"/>
      <c r="N549" s="155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5"/>
      <c r="Z549" s="104"/>
      <c r="AA549" s="103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 s="104"/>
      <c r="BG549" s="104"/>
      <c r="BH549" s="104"/>
      <c r="BI549" s="104"/>
      <c r="BJ549" s="104"/>
      <c r="BK549" s="104"/>
      <c r="BL549" s="104"/>
      <c r="BM549" s="104"/>
      <c r="BN549" s="104"/>
      <c r="BO549" s="104"/>
      <c r="BP549" s="104"/>
      <c r="BQ549" s="104"/>
      <c r="BR549" s="104"/>
      <c r="BS549" s="104"/>
      <c r="BT549" s="104"/>
      <c r="BU549" s="104"/>
      <c r="BV549" s="104"/>
      <c r="BW549" s="105"/>
      <c r="BX549" s="28"/>
    </row>
    <row r="550" spans="1:76" s="34" customFormat="1" ht="17.25" hidden="1" customHeight="1" outlineLevel="1" x14ac:dyDescent="0.75">
      <c r="A550" s="383" t="s">
        <v>257</v>
      </c>
      <c r="B550" s="410" t="e">
        <f>IF(ROUND(BP$509,6),ROUND(BP$509,6),NA())</f>
        <v>#N/A</v>
      </c>
      <c r="C550" s="410" t="e">
        <f>IF(ROUND(BQ$509,6),ROUND(BQ$509,6),NA())</f>
        <v>#N/A</v>
      </c>
      <c r="D550" s="410" t="e">
        <f>IF(ROUND(BR$509,6),ROUND(BR$509,6),NA())</f>
        <v>#N/A</v>
      </c>
      <c r="E550" s="1" t="s">
        <v>289</v>
      </c>
      <c r="H550" s="368"/>
      <c r="I550" s="94"/>
      <c r="J550" s="57"/>
      <c r="K550" s="154"/>
      <c r="L550" s="309"/>
      <c r="M550" s="155"/>
      <c r="N550" s="155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5"/>
      <c r="Z550" s="104"/>
      <c r="AA550" s="103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 s="104"/>
      <c r="BG550" s="104"/>
      <c r="BH550" s="104"/>
      <c r="BI550" s="104"/>
      <c r="BJ550" s="104"/>
      <c r="BK550" s="104"/>
      <c r="BL550" s="104"/>
      <c r="BM550" s="104"/>
      <c r="BN550" s="104"/>
      <c r="BO550" s="104"/>
      <c r="BP550" s="104"/>
      <c r="BQ550" s="104"/>
      <c r="BR550" s="104"/>
      <c r="BS550" s="104"/>
      <c r="BT550" s="104"/>
      <c r="BU550" s="104"/>
      <c r="BV550" s="104"/>
      <c r="BW550" s="105"/>
      <c r="BX550" s="28"/>
    </row>
    <row r="551" spans="1:76" s="34" customFormat="1" ht="17.25" hidden="1" customHeight="1" outlineLevel="1" x14ac:dyDescent="0.75">
      <c r="A551" s="383" t="s">
        <v>216</v>
      </c>
      <c r="B551" s="410" t="e">
        <f>IF(ROUND(BT$509,6),ROUND(BT$509,6),NA())</f>
        <v>#N/A</v>
      </c>
      <c r="C551" s="410" t="e">
        <f>IF(ROUND(BU$509,6),ROUND(BU$509,6),NA())</f>
        <v>#N/A</v>
      </c>
      <c r="D551" s="410" t="e">
        <f>IF(ROUND(BV$509,6),ROUND(BV$509,6),NA())</f>
        <v>#N/A</v>
      </c>
      <c r="E551" s="1" t="s">
        <v>290</v>
      </c>
      <c r="H551" s="368"/>
      <c r="I551" s="94"/>
      <c r="J551" s="57"/>
      <c r="K551" s="154"/>
      <c r="L551" s="309"/>
      <c r="M551" s="155"/>
      <c r="N551" s="155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5"/>
      <c r="Z551" s="104"/>
      <c r="AA551" s="103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 s="104"/>
      <c r="BG551" s="104"/>
      <c r="BH551" s="104"/>
      <c r="BI551" s="104"/>
      <c r="BJ551" s="104"/>
      <c r="BK551" s="104"/>
      <c r="BL551" s="104"/>
      <c r="BM551" s="104"/>
      <c r="BN551" s="104"/>
      <c r="BO551" s="104"/>
      <c r="BP551" s="104"/>
      <c r="BQ551" s="104"/>
      <c r="BR551" s="104"/>
      <c r="BS551" s="104"/>
      <c r="BT551" s="104"/>
      <c r="BU551" s="104"/>
      <c r="BV551" s="104"/>
      <c r="BW551" s="105"/>
      <c r="BX551" s="28"/>
    </row>
    <row r="552" spans="1:76" s="34" customFormat="1" ht="17.25" hidden="1" customHeight="1" outlineLevel="1" x14ac:dyDescent="0.75">
      <c r="A552" s="56"/>
      <c r="B552" s="368"/>
      <c r="C552" s="9"/>
      <c r="D552" s="1"/>
      <c r="E552" s="1"/>
      <c r="H552" s="368"/>
      <c r="I552" s="94"/>
      <c r="J552" s="57"/>
      <c r="K552" s="154"/>
      <c r="L552" s="309"/>
      <c r="M552" s="155"/>
      <c r="N552" s="155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5"/>
      <c r="Z552" s="104"/>
      <c r="AA552" s="103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 s="104"/>
      <c r="BG552" s="104"/>
      <c r="BH552" s="104"/>
      <c r="BI552" s="104"/>
      <c r="BJ552" s="104"/>
      <c r="BK552" s="104"/>
      <c r="BL552" s="104"/>
      <c r="BM552" s="104"/>
      <c r="BN552" s="104"/>
      <c r="BO552" s="104"/>
      <c r="BP552" s="104"/>
      <c r="BQ552" s="104"/>
      <c r="BR552" s="104"/>
      <c r="BS552" s="104"/>
      <c r="BT552" s="104"/>
      <c r="BU552" s="104"/>
      <c r="BV552" s="104"/>
      <c r="BW552" s="105"/>
      <c r="BX552" s="28"/>
    </row>
    <row r="553" spans="1:76" s="34" customFormat="1" ht="17.25" hidden="1" customHeight="1" outlineLevel="1" x14ac:dyDescent="0.75">
      <c r="A553" s="56"/>
      <c r="B553" s="368"/>
      <c r="C553" s="9"/>
      <c r="D553" s="1"/>
      <c r="E553" s="1"/>
      <c r="H553" s="368"/>
      <c r="I553" s="94"/>
      <c r="J553" s="57"/>
      <c r="K553" s="154"/>
      <c r="L553" s="309"/>
      <c r="M553" s="155"/>
      <c r="N553" s="155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5"/>
      <c r="Z553" s="104"/>
      <c r="AA553" s="103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 s="104"/>
      <c r="BG553" s="104"/>
      <c r="BH553" s="104"/>
      <c r="BI553" s="104"/>
      <c r="BJ553" s="104"/>
      <c r="BK553" s="104"/>
      <c r="BL553" s="104"/>
      <c r="BM553" s="104"/>
      <c r="BN553" s="104"/>
      <c r="BO553" s="104"/>
      <c r="BP553" s="104"/>
      <c r="BQ553" s="104"/>
      <c r="BR553" s="104"/>
      <c r="BS553" s="104"/>
      <c r="BT553" s="104"/>
      <c r="BU553" s="104"/>
      <c r="BV553" s="104"/>
      <c r="BW553" s="105"/>
      <c r="BX553" s="28"/>
    </row>
    <row r="554" spans="1:76" s="34" customFormat="1" ht="17.25" hidden="1" customHeight="1" outlineLevel="1" x14ac:dyDescent="0.75">
      <c r="A554" s="56"/>
      <c r="B554" s="368"/>
      <c r="C554" s="9"/>
      <c r="D554" s="1"/>
      <c r="E554" s="1"/>
      <c r="H554" s="368"/>
      <c r="I554" s="94"/>
      <c r="J554" s="57"/>
      <c r="K554" s="154"/>
      <c r="L554" s="309"/>
      <c r="M554" s="155"/>
      <c r="N554" s="155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5"/>
      <c r="Z554" s="104"/>
      <c r="AA554" s="103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 s="104"/>
      <c r="BG554" s="104"/>
      <c r="BH554" s="104"/>
      <c r="BI554" s="104"/>
      <c r="BJ554" s="104"/>
      <c r="BK554" s="104"/>
      <c r="BL554" s="104"/>
      <c r="BM554" s="104"/>
      <c r="BN554" s="104"/>
      <c r="BO554" s="104"/>
      <c r="BP554" s="104"/>
      <c r="BQ554" s="104"/>
      <c r="BR554" s="104"/>
      <c r="BS554" s="104"/>
      <c r="BT554" s="104"/>
      <c r="BU554" s="104"/>
      <c r="BV554" s="104"/>
      <c r="BW554" s="105"/>
      <c r="BX554" s="28"/>
    </row>
    <row r="555" spans="1:76" s="34" customFormat="1" ht="17.25" hidden="1" customHeight="1" outlineLevel="1" x14ac:dyDescent="0.75">
      <c r="A555" s="56"/>
      <c r="B555" s="368"/>
      <c r="C555" s="9"/>
      <c r="D555" s="1"/>
      <c r="E555" s="1"/>
      <c r="H555" s="368"/>
      <c r="I555" s="94"/>
      <c r="J555" s="57"/>
      <c r="K555" s="154"/>
      <c r="L555" s="309"/>
      <c r="M555" s="155"/>
      <c r="N555" s="155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5"/>
      <c r="Z555" s="104"/>
      <c r="AA555" s="103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 s="104"/>
      <c r="BG555" s="104"/>
      <c r="BH555" s="104"/>
      <c r="BI555" s="104"/>
      <c r="BJ555" s="104"/>
      <c r="BK555" s="104"/>
      <c r="BL555" s="104"/>
      <c r="BM555" s="104"/>
      <c r="BN555" s="104"/>
      <c r="BO555" s="104"/>
      <c r="BP555" s="104"/>
      <c r="BQ555" s="104"/>
      <c r="BR555" s="104"/>
      <c r="BS555" s="104"/>
      <c r="BT555" s="104"/>
      <c r="BU555" s="104"/>
      <c r="BV555" s="104"/>
      <c r="BW555" s="105"/>
      <c r="BX555" s="28"/>
    </row>
    <row r="556" spans="1:76" s="34" customFormat="1" ht="17.25" hidden="1" customHeight="1" outlineLevel="1" x14ac:dyDescent="0.75">
      <c r="A556" s="56"/>
      <c r="B556" s="368"/>
      <c r="C556" s="9"/>
      <c r="D556" s="1"/>
      <c r="E556" s="1"/>
      <c r="H556" s="368"/>
      <c r="I556" s="94"/>
      <c r="J556" s="57"/>
      <c r="K556" s="154"/>
      <c r="L556" s="309"/>
      <c r="M556" s="155"/>
      <c r="N556" s="155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5"/>
      <c r="Z556" s="104"/>
      <c r="AA556" s="103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 s="104"/>
      <c r="BG556" s="104"/>
      <c r="BH556" s="104"/>
      <c r="BI556" s="104"/>
      <c r="BJ556" s="104"/>
      <c r="BK556" s="104"/>
      <c r="BL556" s="104"/>
      <c r="BM556" s="104"/>
      <c r="BN556" s="104"/>
      <c r="BO556" s="104"/>
      <c r="BP556" s="104"/>
      <c r="BQ556" s="104"/>
      <c r="BR556" s="104"/>
      <c r="BS556" s="104"/>
      <c r="BT556" s="104"/>
      <c r="BU556" s="104"/>
      <c r="BV556" s="104"/>
      <c r="BW556" s="105"/>
      <c r="BX556" s="28"/>
    </row>
    <row r="557" spans="1:76" s="34" customFormat="1" ht="17.25" hidden="1" customHeight="1" outlineLevel="1" x14ac:dyDescent="0.75">
      <c r="A557" s="56"/>
      <c r="B557" s="368"/>
      <c r="C557" s="9"/>
      <c r="D557" s="1"/>
      <c r="E557" s="1"/>
      <c r="H557" s="368"/>
      <c r="I557" s="94"/>
      <c r="J557" s="57"/>
      <c r="K557" s="154"/>
      <c r="L557" s="309"/>
      <c r="M557" s="155"/>
      <c r="N557" s="155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5"/>
      <c r="Z557" s="104"/>
      <c r="AA557" s="103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 s="104"/>
      <c r="BG557" s="104"/>
      <c r="BH557" s="104"/>
      <c r="BI557" s="104"/>
      <c r="BJ557" s="104"/>
      <c r="BK557" s="104"/>
      <c r="BL557" s="104"/>
      <c r="BM557" s="104"/>
      <c r="BN557" s="104"/>
      <c r="BO557" s="104"/>
      <c r="BP557" s="104"/>
      <c r="BQ557" s="104"/>
      <c r="BR557" s="104"/>
      <c r="BS557" s="104"/>
      <c r="BT557" s="104"/>
      <c r="BU557" s="104"/>
      <c r="BV557" s="104"/>
      <c r="BW557" s="105"/>
      <c r="BX557" s="28"/>
    </row>
    <row r="558" spans="1:76" s="34" customFormat="1" ht="17.25" hidden="1" customHeight="1" outlineLevel="1" x14ac:dyDescent="0.75">
      <c r="A558" s="56"/>
      <c r="B558" s="368"/>
      <c r="C558" s="9"/>
      <c r="D558" s="1"/>
      <c r="E558" s="1"/>
      <c r="H558" s="368"/>
      <c r="I558" s="94"/>
      <c r="J558" s="57"/>
      <c r="K558" s="154"/>
      <c r="L558" s="309"/>
      <c r="M558" s="155"/>
      <c r="N558" s="155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5"/>
      <c r="Z558" s="104"/>
      <c r="AA558" s="103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 s="104"/>
      <c r="BG558" s="104"/>
      <c r="BH558" s="104"/>
      <c r="BI558" s="104"/>
      <c r="BJ558" s="104"/>
      <c r="BK558" s="104"/>
      <c r="BL558" s="104"/>
      <c r="BM558" s="104"/>
      <c r="BN558" s="104"/>
      <c r="BO558" s="104"/>
      <c r="BP558" s="104"/>
      <c r="BQ558" s="104"/>
      <c r="BR558" s="104"/>
      <c r="BS558" s="104"/>
      <c r="BT558" s="104"/>
      <c r="BU558" s="104"/>
      <c r="BV558" s="104"/>
      <c r="BW558" s="105"/>
      <c r="BX558" s="28"/>
    </row>
    <row r="559" spans="1:76" s="34" customFormat="1" ht="17.25" hidden="1" customHeight="1" outlineLevel="1" x14ac:dyDescent="0.75">
      <c r="A559" s="56"/>
      <c r="B559" s="368"/>
      <c r="C559" s="9"/>
      <c r="D559" s="1"/>
      <c r="E559" s="1"/>
      <c r="H559" s="368"/>
      <c r="I559" s="94"/>
      <c r="J559" s="57"/>
      <c r="K559" s="154"/>
      <c r="L559" s="309"/>
      <c r="M559" s="155"/>
      <c r="N559" s="155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5"/>
      <c r="Z559" s="104"/>
      <c r="AA559" s="103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 s="104"/>
      <c r="BG559" s="104"/>
      <c r="BH559" s="104"/>
      <c r="BI559" s="104"/>
      <c r="BJ559" s="104"/>
      <c r="BK559" s="104"/>
      <c r="BL559" s="104"/>
      <c r="BM559" s="104"/>
      <c r="BN559" s="104"/>
      <c r="BO559" s="104"/>
      <c r="BP559" s="104"/>
      <c r="BQ559" s="104"/>
      <c r="BR559" s="104"/>
      <c r="BS559" s="104"/>
      <c r="BT559" s="104"/>
      <c r="BU559" s="104"/>
      <c r="BV559" s="104"/>
      <c r="BW559" s="105"/>
      <c r="BX559" s="28"/>
    </row>
    <row r="560" spans="1:76" s="34" customFormat="1" ht="17.25" hidden="1" customHeight="1" outlineLevel="1" x14ac:dyDescent="0.75">
      <c r="A560" s="56"/>
      <c r="B560" s="368"/>
      <c r="C560" s="9"/>
      <c r="D560" s="1"/>
      <c r="E560" s="1"/>
      <c r="H560" s="368"/>
      <c r="I560" s="94"/>
      <c r="J560" s="57"/>
      <c r="K560" s="154"/>
      <c r="L560" s="309"/>
      <c r="M560" s="155"/>
      <c r="N560" s="155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5"/>
      <c r="Z560" s="104"/>
      <c r="AA560" s="103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 s="104"/>
      <c r="BG560" s="104"/>
      <c r="BH560" s="104"/>
      <c r="BI560" s="104"/>
      <c r="BJ560" s="104"/>
      <c r="BK560" s="104"/>
      <c r="BL560" s="104"/>
      <c r="BM560" s="104"/>
      <c r="BN560" s="104"/>
      <c r="BO560" s="104"/>
      <c r="BP560" s="104"/>
      <c r="BQ560" s="104"/>
      <c r="BR560" s="104"/>
      <c r="BS560" s="104"/>
      <c r="BT560" s="104"/>
      <c r="BU560" s="104"/>
      <c r="BV560" s="104"/>
      <c r="BW560" s="105"/>
      <c r="BX560" s="28"/>
    </row>
    <row r="561" spans="1:78" s="34" customFormat="1" ht="17.25" hidden="1" customHeight="1" outlineLevel="1" x14ac:dyDescent="0.75">
      <c r="A561" s="56"/>
      <c r="B561" s="368"/>
      <c r="C561" s="9"/>
      <c r="D561" s="1"/>
      <c r="E561" s="1"/>
      <c r="H561" s="368"/>
      <c r="I561" s="94"/>
      <c r="J561" s="57"/>
      <c r="K561" s="154"/>
      <c r="L561" s="309"/>
      <c r="M561" s="155"/>
      <c r="N561" s="155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5"/>
      <c r="Z561" s="104"/>
      <c r="AA561" s="103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 s="104"/>
      <c r="BG561" s="104"/>
      <c r="BH561" s="104"/>
      <c r="BI561" s="104"/>
      <c r="BJ561" s="104"/>
      <c r="BK561" s="104"/>
      <c r="BL561" s="104"/>
      <c r="BM561" s="104"/>
      <c r="BN561" s="104"/>
      <c r="BO561" s="104"/>
      <c r="BP561" s="104"/>
      <c r="BQ561" s="104"/>
      <c r="BR561" s="104"/>
      <c r="BS561" s="104"/>
      <c r="BT561" s="104"/>
      <c r="BU561" s="104"/>
      <c r="BV561" s="104"/>
      <c r="BW561" s="105"/>
      <c r="BX561" s="28"/>
    </row>
    <row r="562" spans="1:78" s="34" customFormat="1" ht="17.25" hidden="1" customHeight="1" outlineLevel="1" x14ac:dyDescent="0.75">
      <c r="A562" s="56"/>
      <c r="B562" s="368"/>
      <c r="C562" s="9"/>
      <c r="D562" s="1"/>
      <c r="E562" s="1"/>
      <c r="H562" s="368"/>
      <c r="I562" s="94"/>
      <c r="J562" s="57"/>
      <c r="K562" s="154"/>
      <c r="L562" s="309"/>
      <c r="M562" s="155"/>
      <c r="N562" s="155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5"/>
      <c r="Z562" s="104"/>
      <c r="AA562" s="103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 s="104"/>
      <c r="BG562" s="104"/>
      <c r="BH562" s="104"/>
      <c r="BI562" s="104"/>
      <c r="BJ562" s="104"/>
      <c r="BK562" s="104"/>
      <c r="BL562" s="104"/>
      <c r="BM562" s="104"/>
      <c r="BN562" s="104"/>
      <c r="BO562" s="104"/>
      <c r="BP562" s="104"/>
      <c r="BQ562" s="104"/>
      <c r="BR562" s="104"/>
      <c r="BS562" s="104"/>
      <c r="BT562" s="104"/>
      <c r="BU562" s="104"/>
      <c r="BV562" s="104"/>
      <c r="BW562" s="105"/>
      <c r="BX562" s="28"/>
    </row>
    <row r="563" spans="1:78" s="34" customFormat="1" ht="17.25" hidden="1" customHeight="1" outlineLevel="1" x14ac:dyDescent="0.75">
      <c r="A563" s="56"/>
      <c r="B563" s="368"/>
      <c r="C563" s="9"/>
      <c r="D563" s="1"/>
      <c r="E563" s="1"/>
      <c r="H563" s="368"/>
      <c r="I563" s="94"/>
      <c r="J563" s="57"/>
      <c r="K563" s="154"/>
      <c r="L563" s="309"/>
      <c r="M563" s="155"/>
      <c r="N563" s="155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5"/>
      <c r="Z563" s="104"/>
      <c r="AA563" s="103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 s="104"/>
      <c r="BG563" s="104"/>
      <c r="BH563" s="104"/>
      <c r="BI563" s="104"/>
      <c r="BJ563" s="104"/>
      <c r="BK563" s="104"/>
      <c r="BL563" s="104"/>
      <c r="BM563" s="104"/>
      <c r="BN563" s="104"/>
      <c r="BO563" s="104"/>
      <c r="BP563" s="104"/>
      <c r="BQ563" s="104"/>
      <c r="BR563" s="104"/>
      <c r="BS563" s="104"/>
      <c r="BT563" s="104"/>
      <c r="BU563" s="104"/>
      <c r="BV563" s="104"/>
      <c r="BW563" s="105"/>
      <c r="BX563" s="28"/>
    </row>
    <row r="564" spans="1:78" s="34" customFormat="1" ht="17.25" hidden="1" customHeight="1" outlineLevel="1" x14ac:dyDescent="0.75">
      <c r="A564" s="56"/>
      <c r="B564" s="368"/>
      <c r="C564" s="9"/>
      <c r="D564" s="1"/>
      <c r="E564" s="1"/>
      <c r="H564" s="368"/>
      <c r="I564" s="94"/>
      <c r="J564" s="57"/>
      <c r="K564" s="154"/>
      <c r="L564" s="309"/>
      <c r="M564" s="155"/>
      <c r="N564" s="155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5"/>
      <c r="Z564" s="104"/>
      <c r="AA564" s="103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 s="104"/>
      <c r="BG564" s="104"/>
      <c r="BH564" s="104"/>
      <c r="BI564" s="104"/>
      <c r="BJ564" s="104"/>
      <c r="BK564" s="104"/>
      <c r="BL564" s="104"/>
      <c r="BM564" s="104"/>
      <c r="BN564" s="104"/>
      <c r="BO564" s="104"/>
      <c r="BP564" s="104"/>
      <c r="BQ564" s="104"/>
      <c r="BR564" s="104"/>
      <c r="BS564" s="104"/>
      <c r="BT564" s="104"/>
      <c r="BU564" s="104"/>
      <c r="BV564" s="104"/>
      <c r="BW564" s="105"/>
      <c r="BX564" s="28"/>
    </row>
    <row r="565" spans="1:78" s="34" customFormat="1" ht="17.25" hidden="1" customHeight="1" outlineLevel="1" x14ac:dyDescent="0.75">
      <c r="A565" s="56"/>
      <c r="B565" s="368"/>
      <c r="C565" s="9"/>
      <c r="D565" s="1"/>
      <c r="E565" s="1"/>
      <c r="H565" s="368"/>
      <c r="I565" s="94"/>
      <c r="J565" s="57"/>
      <c r="K565" s="154"/>
      <c r="L565" s="309"/>
      <c r="M565" s="155"/>
      <c r="N565" s="155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5"/>
      <c r="Z565" s="104"/>
      <c r="AA565" s="103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 s="104"/>
      <c r="BG565" s="104"/>
      <c r="BH565" s="104"/>
      <c r="BI565" s="104"/>
      <c r="BJ565" s="104"/>
      <c r="BK565" s="104"/>
      <c r="BL565" s="104"/>
      <c r="BM565" s="104"/>
      <c r="BN565" s="104"/>
      <c r="BO565" s="104"/>
      <c r="BP565" s="104"/>
      <c r="BQ565" s="104"/>
      <c r="BR565" s="104"/>
      <c r="BS565" s="104"/>
      <c r="BT565" s="104"/>
      <c r="BU565" s="104"/>
      <c r="BV565" s="104"/>
      <c r="BW565" s="105"/>
      <c r="BX565" s="28"/>
    </row>
    <row r="566" spans="1:78" s="34" customFormat="1" ht="17.25" hidden="1" customHeight="1" outlineLevel="1" x14ac:dyDescent="0.75">
      <c r="A566" s="56"/>
      <c r="B566" s="368"/>
      <c r="C566" s="9"/>
      <c r="D566" s="1"/>
      <c r="E566" s="1"/>
      <c r="H566" s="368"/>
      <c r="I566" s="94"/>
      <c r="J566" s="57"/>
      <c r="K566" s="154"/>
      <c r="L566" s="309"/>
      <c r="M566" s="155"/>
      <c r="N566" s="155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5"/>
      <c r="Z566" s="104"/>
      <c r="AA566" s="103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 s="104"/>
      <c r="BG566" s="104"/>
      <c r="BH566" s="104"/>
      <c r="BI566" s="104"/>
      <c r="BJ566" s="104"/>
      <c r="BK566" s="104"/>
      <c r="BL566" s="104"/>
      <c r="BM566" s="104"/>
      <c r="BN566" s="104"/>
      <c r="BO566" s="104"/>
      <c r="BP566" s="104"/>
      <c r="BQ566" s="104"/>
      <c r="BR566" s="104"/>
      <c r="BS566" s="104"/>
      <c r="BT566" s="104"/>
      <c r="BU566" s="104"/>
      <c r="BV566" s="104"/>
      <c r="BW566" s="105"/>
      <c r="BX566" s="28"/>
    </row>
    <row r="567" spans="1:78" s="34" customFormat="1" ht="17.25" customHeight="1" collapsed="1" x14ac:dyDescent="0.75">
      <c r="A567" s="56"/>
      <c r="B567" s="368"/>
      <c r="C567" s="9"/>
      <c r="D567" s="1"/>
      <c r="E567" s="1"/>
      <c r="H567" s="368"/>
      <c r="I567" s="94"/>
      <c r="J567" s="57"/>
      <c r="K567" s="154"/>
      <c r="L567" s="309"/>
      <c r="M567" s="155"/>
      <c r="N567" s="155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5"/>
      <c r="Z567" s="104"/>
      <c r="AA567" s="103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 s="104"/>
      <c r="BG567" s="104"/>
      <c r="BH567" s="104"/>
      <c r="BI567" s="104"/>
      <c r="BJ567" s="104"/>
      <c r="BK567" s="104"/>
      <c r="BL567" s="104"/>
      <c r="BM567" s="104"/>
      <c r="BN567" s="104"/>
      <c r="BO567" s="104"/>
      <c r="BP567" s="104"/>
      <c r="BQ567" s="104"/>
      <c r="BR567" s="104"/>
      <c r="BS567" s="104"/>
      <c r="BT567" s="104"/>
      <c r="BU567" s="104"/>
      <c r="BV567" s="104"/>
      <c r="BW567" s="105"/>
      <c r="BX567" s="28"/>
    </row>
    <row r="568" spans="1:78" ht="3" customHeight="1" x14ac:dyDescent="0.75">
      <c r="A568" s="56"/>
      <c r="B568" s="54"/>
      <c r="H568" s="54"/>
      <c r="I568" s="68"/>
      <c r="J568" s="53"/>
      <c r="K568" s="106"/>
      <c r="L568" s="107"/>
      <c r="M568" s="528"/>
      <c r="N568" s="528"/>
      <c r="O568" s="528"/>
      <c r="P568" s="528"/>
      <c r="Q568" s="528"/>
      <c r="R568" s="528"/>
      <c r="S568" s="528"/>
      <c r="T568" s="528"/>
      <c r="U568" s="528"/>
      <c r="V568" s="528"/>
      <c r="W568" s="528"/>
      <c r="X568" s="528"/>
      <c r="Y568" s="105"/>
      <c r="Z568" s="104"/>
      <c r="AA568" s="106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 s="104"/>
      <c r="BG568" s="104"/>
      <c r="BH568" s="104"/>
      <c r="BI568" s="104"/>
      <c r="BJ568" s="104"/>
      <c r="BK568" s="104"/>
      <c r="BL568" s="104"/>
      <c r="BM568" s="104"/>
      <c r="BN568" s="104"/>
      <c r="BO568" s="104"/>
      <c r="BP568" s="104"/>
      <c r="BQ568" s="104"/>
      <c r="BR568" s="104"/>
      <c r="BS568" s="104"/>
      <c r="BT568" s="104"/>
      <c r="BU568" s="104"/>
      <c r="BV568" s="104"/>
      <c r="BW568" s="105"/>
      <c r="BX568" s="28"/>
      <c r="BZ568" s="54"/>
    </row>
    <row r="569" spans="1:78" s="34" customFormat="1" ht="8.25" customHeight="1" x14ac:dyDescent="0.75">
      <c r="A569" s="56"/>
      <c r="B569" s="368"/>
      <c r="C569" s="9"/>
      <c r="D569" s="1"/>
      <c r="E569" s="1"/>
      <c r="H569" s="368"/>
      <c r="I569" s="94"/>
      <c r="J569" s="57"/>
      <c r="K569" s="103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5"/>
      <c r="Z569" s="104"/>
      <c r="AA569" s="103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 s="104"/>
      <c r="BG569" s="104"/>
      <c r="BH569" s="104"/>
      <c r="BI569" s="104"/>
      <c r="BJ569" s="104"/>
      <c r="BK569" s="104"/>
      <c r="BL569" s="104"/>
      <c r="BM569" s="104"/>
      <c r="BN569" s="104"/>
      <c r="BO569" s="104"/>
      <c r="BP569" s="104"/>
      <c r="BQ569" s="104"/>
      <c r="BR569" s="104"/>
      <c r="BS569" s="104"/>
      <c r="BT569" s="104"/>
      <c r="BU569" s="104"/>
      <c r="BV569" s="104"/>
      <c r="BW569" s="105"/>
      <c r="BX569" s="28"/>
    </row>
    <row r="570" spans="1:78" s="34" customFormat="1" ht="23.25" customHeight="1" x14ac:dyDescent="0.8">
      <c r="A570" s="56"/>
      <c r="B570" s="54" t="s">
        <v>131</v>
      </c>
      <c r="C570" s="9"/>
      <c r="D570" s="1"/>
      <c r="E570" s="1"/>
      <c r="H570" s="54"/>
      <c r="I570" s="94"/>
      <c r="J570" s="57"/>
      <c r="K570" s="99"/>
      <c r="L570" s="529" t="str">
        <f>_xll.DBRA(Server&amp;$B$32,$B570,$N$19)</f>
        <v>O - Other op. Cost as % of revenue</v>
      </c>
      <c r="M570" s="530" t="s">
        <v>16</v>
      </c>
      <c r="N570" s="530"/>
      <c r="O570" s="531"/>
      <c r="P570" s="207"/>
      <c r="Q570" s="303">
        <f>_xll.DBRW(Server&amp;Cube1,$N$15,$N$16,$N$17,$N$18,$N$14,$N$13,$N$11,$Q$1,$B570)</f>
        <v>0</v>
      </c>
      <c r="R570" s="304">
        <f>_xll.DBRW(Server&amp;Cube1,$N$15,$N$16,$N$17,$N$18,$N$14,$N$13,$R$2,$R$1,$B570)</f>
        <v>0</v>
      </c>
      <c r="S570" s="291" t="str">
        <f>IF(T570=0,"è",IF(T570&lt;0,"ì","î"))</f>
        <v>è</v>
      </c>
      <c r="T570" s="287">
        <f>-(Q570-R570)*100</f>
        <v>0</v>
      </c>
      <c r="U570" s="239"/>
      <c r="V570" s="303">
        <f>_xll.DBRW(Server&amp;Cube1,$N$15,$N$16,$N$17,$N$18,$N$14,$N$13,$V$2,$V$1,$B570)</f>
        <v>0</v>
      </c>
      <c r="W570" s="292" t="str">
        <f>IF(X570=0,"è",IF(X570&lt;0,"ì","î"))</f>
        <v>è</v>
      </c>
      <c r="X570" s="287">
        <f>-($Q570-V570)*100</f>
        <v>0</v>
      </c>
      <c r="Y570" s="100"/>
      <c r="Z570" s="388"/>
      <c r="AA570" s="99"/>
      <c r="AB570" s="303">
        <f>_xll.DBRW(Server&amp;Cube1,$N$15,$N$16,$N$17,$N$18,$N$14,$N$13,AB$2,AB$1,$B570)</f>
        <v>0</v>
      </c>
      <c r="AC570" s="303">
        <f>_xll.DBRW(Server&amp;Cube1,$N$15,$N$16,$N$17,$N$18,$N$14,$N$13,AC$2,AC$1,$B570)</f>
        <v>0</v>
      </c>
      <c r="AD570" s="391">
        <f>_xll.DBRW(Server&amp;Cube1,$N$15,$N$16,$N$17,$N$18,$N$14,$N$13,AD$2,AD$1,$B570)</f>
        <v>0</v>
      </c>
      <c r="AE570" s="388"/>
      <c r="AF570" s="303">
        <f>_xll.DBRW(Server&amp;Cube1,$N$15,$N$16,$N$17,$N$18,$N$14,$N$13,AF$2,AF$1,$B570)</f>
        <v>0</v>
      </c>
      <c r="AG570" s="303">
        <f>_xll.DBRW(Server&amp;Cube1,$N$15,$N$16,$N$17,$N$18,$N$14,$N$13,AG$2,AG$1,$B570)</f>
        <v>0</v>
      </c>
      <c r="AH570" s="391">
        <f>_xll.DBRW(Server&amp;Cube1,$N$15,$N$16,$N$17,$N$18,$N$14,$N$13,AH$2,AH$1,$B570)</f>
        <v>0</v>
      </c>
      <c r="AI570" s="388"/>
      <c r="AJ570" s="303">
        <f>_xll.DBRW(Server&amp;Cube1,$N$15,$N$16,$N$17,$N$18,$N$14,$N$13,AJ$2,AJ$1,$B570)</f>
        <v>0</v>
      </c>
      <c r="AK570" s="303">
        <f>_xll.DBRW(Server&amp;Cube1,$N$15,$N$16,$N$17,$N$18,$N$14,$N$13,AK$2,AK$1,$B570)</f>
        <v>0</v>
      </c>
      <c r="AL570" s="391">
        <f>_xll.DBRW(Server&amp;Cube1,$N$15,$N$16,$N$17,$N$18,$N$14,$N$13,AL$2,AL$1,$B570)</f>
        <v>0</v>
      </c>
      <c r="AM570" s="388"/>
      <c r="AN570" s="303">
        <f>_xll.DBRW(Server&amp;Cube1,$N$15,$N$16,$N$17,$N$18,$N$14,$N$13,AN$2,AN$1,$B570)</f>
        <v>0</v>
      </c>
      <c r="AO570" s="303">
        <f>_xll.DBRW(Server&amp;Cube1,$N$15,$N$16,$N$17,$N$18,$N$14,$N$13,AO$2,AO$1,$B570)</f>
        <v>0</v>
      </c>
      <c r="AP570" s="391">
        <f>_xll.DBRW(Server&amp;Cube1,$N$15,$N$16,$N$17,$N$18,$N$14,$N$13,AP$2,AP$1,$B570)</f>
        <v>0</v>
      </c>
      <c r="AQ570" s="388"/>
      <c r="AR570" s="303">
        <f>_xll.DBRW(Server&amp;Cube1,$N$15,$N$16,$N$17,$N$18,$N$14,$N$13,AR$2,AR$1,$B570)</f>
        <v>0</v>
      </c>
      <c r="AS570" s="303">
        <f>_xll.DBRW(Server&amp;Cube1,$N$15,$N$16,$N$17,$N$18,$N$14,$N$13,AS$2,AS$1,$B570)</f>
        <v>0</v>
      </c>
      <c r="AT570" s="391">
        <f>_xll.DBRW(Server&amp;Cube1,$N$15,$N$16,$N$17,$N$18,$N$14,$N$13,AT$2,AT$1,$B570)</f>
        <v>0</v>
      </c>
      <c r="AU570" s="388"/>
      <c r="AV570" s="303">
        <f>_xll.DBRW(Server&amp;Cube1,$N$15,$N$16,$N$17,$N$18,$N$14,$N$13,AV$2,AV$1,$B570)</f>
        <v>0</v>
      </c>
      <c r="AW570" s="303">
        <f>_xll.DBRW(Server&amp;Cube1,$N$15,$N$16,$N$17,$N$18,$N$14,$N$13,AW$2,AW$1,$B570)</f>
        <v>0</v>
      </c>
      <c r="AX570" s="391">
        <f>_xll.DBRW(Server&amp;Cube1,$N$15,$N$16,$N$17,$N$18,$N$14,$N$13,AX$2,AX$1,$B570)</f>
        <v>0</v>
      </c>
      <c r="AY570" s="388"/>
      <c r="AZ570" s="303">
        <f>_xll.DBRW(Server&amp;Cube1,$N$15,$N$16,$N$17,$N$18,$N$14,$N$13,AZ$2,AZ$1,$B570)</f>
        <v>0</v>
      </c>
      <c r="BA570" s="303">
        <f>_xll.DBRW(Server&amp;Cube1,$N$15,$N$16,$N$17,$N$18,$N$14,$N$13,BA$2,BA$1,$B570)</f>
        <v>0</v>
      </c>
      <c r="BB570" s="391">
        <f>_xll.DBRW(Server&amp;Cube1,$N$15,$N$16,$N$17,$N$18,$N$14,$N$13,BB$2,BB$1,$B570)</f>
        <v>0</v>
      </c>
      <c r="BC570" s="388"/>
      <c r="BD570" s="303">
        <f>_xll.DBRW(Server&amp;Cube1,$N$15,$N$16,$N$17,$N$18,$N$14,$N$13,BD$2,BD$1,$B570)</f>
        <v>0</v>
      </c>
      <c r="BE570" s="303">
        <f>_xll.DBRW(Server&amp;Cube1,$N$15,$N$16,$N$17,$N$18,$N$14,$N$13,BE$2,BE$1,$B570)</f>
        <v>0</v>
      </c>
      <c r="BF570" s="391">
        <f>_xll.DBRW(Server&amp;Cube1,$N$15,$N$16,$N$17,$N$18,$N$14,$N$13,BF$2,BF$1,$B570)</f>
        <v>0</v>
      </c>
      <c r="BG570" s="388"/>
      <c r="BH570" s="303">
        <f>_xll.DBRW(Server&amp;Cube1,$N$15,$N$16,$N$17,$N$18,$N$14,$N$13,BH$2,BH$1,$B570)</f>
        <v>0</v>
      </c>
      <c r="BI570" s="303">
        <f>_xll.DBRW(Server&amp;Cube1,$N$15,$N$16,$N$17,$N$18,$N$14,$N$13,BI$2,BI$1,$B570)</f>
        <v>0</v>
      </c>
      <c r="BJ570" s="391">
        <f>_xll.DBRW(Server&amp;Cube1,$N$15,$N$16,$N$17,$N$18,$N$14,$N$13,BJ$2,BJ$1,$B570)</f>
        <v>0</v>
      </c>
      <c r="BK570" s="388"/>
      <c r="BL570" s="303">
        <f>_xll.DBRW(Server&amp;Cube1,$N$15,$N$16,$N$17,$N$18,$N$14,$N$13,BL$2,BL$1,$B570)</f>
        <v>0</v>
      </c>
      <c r="BM570" s="303">
        <f>_xll.DBRW(Server&amp;Cube1,$N$15,$N$16,$N$17,$N$18,$N$14,$N$13,BM$2,BM$1,$B570)</f>
        <v>0</v>
      </c>
      <c r="BN570" s="391">
        <f>_xll.DBRW(Server&amp;Cube1,$N$15,$N$16,$N$17,$N$18,$N$14,$N$13,BN$2,BN$1,$B570)</f>
        <v>0</v>
      </c>
      <c r="BO570" s="388"/>
      <c r="BP570" s="303">
        <f>_xll.DBRW(Server&amp;Cube1,$N$15,$N$16,$N$17,$N$18,$N$14,$N$13,BP$2,BP$1,$B570)</f>
        <v>0</v>
      </c>
      <c r="BQ570" s="303">
        <f>_xll.DBRW(Server&amp;Cube1,$N$15,$N$16,$N$17,$N$18,$N$14,$N$13,BQ$2,BQ$1,$B570)</f>
        <v>0</v>
      </c>
      <c r="BR570" s="391">
        <f>_xll.DBRW(Server&amp;Cube1,$N$15,$N$16,$N$17,$N$18,$N$14,$N$13,BR$2,BR$1,$B570)</f>
        <v>0</v>
      </c>
      <c r="BS570" s="388"/>
      <c r="BT570" s="303">
        <f>_xll.DBRW(Server&amp;Cube1,$N$15,$N$16,$N$17,$N$18,$N$14,$N$13,BT$2,BT$1,$B570)</f>
        <v>0</v>
      </c>
      <c r="BU570" s="303">
        <f>_xll.DBRW(Server&amp;Cube1,$N$15,$N$16,$N$17,$N$18,$N$14,$N$13,BU$2,BU$1,$B570)</f>
        <v>0</v>
      </c>
      <c r="BV570" s="391">
        <f>_xll.DBRW(Server&amp;Cube1,$N$15,$N$16,$N$17,$N$18,$N$14,$N$13,BV$2,BV$1,$B570)</f>
        <v>0</v>
      </c>
      <c r="BW570" s="100"/>
      <c r="BX570" s="28"/>
      <c r="BZ570" s="358"/>
    </row>
    <row r="571" spans="1:78" s="34" customFormat="1" ht="27.75" customHeight="1" x14ac:dyDescent="0.9">
      <c r="A571" s="56"/>
      <c r="B571" s="54" t="s">
        <v>132</v>
      </c>
      <c r="C571" s="9"/>
      <c r="D571" s="1"/>
      <c r="E571" s="1"/>
      <c r="H571" s="54"/>
      <c r="I571" s="94"/>
      <c r="J571" s="57"/>
      <c r="K571" s="99"/>
      <c r="L571" s="532" t="str">
        <f>_xll.DBRA(Server&amp;Context!$B$32,Context!$B$45,$N$19)</f>
        <v>LEVEL 2</v>
      </c>
      <c r="M571" s="535" t="str">
        <f>IF(OR(O583="Not defined",O583="Non défini",O585="Not defined",O585="Non défini"),_xll.DBRA(Server&amp;$B$32,$B571,$N$19),_xll.DBRA(Server&amp;Context!$B$32,Context!$B$54,$N$19)&amp;" "&amp;O583)</f>
        <v>O1 - Other Op. Cost per cost work unit</v>
      </c>
      <c r="N571" s="535"/>
      <c r="O571" s="536"/>
      <c r="P571" s="206"/>
      <c r="Q571" s="312">
        <f>_xll.DBRW(Server&amp;Cube1,$N$15,$N$16,$N$17,$N$18,$N$14,$N$13,$N$11,$Q$1,$B571)</f>
        <v>0</v>
      </c>
      <c r="R571" s="313">
        <f>_xll.DBRW(Server&amp;Cube1,$N$15,$N$16,$N$17,$N$18,$N$14,$N$13,$R$2,$R$1,$B571)</f>
        <v>0</v>
      </c>
      <c r="S571" s="314">
        <f>Q571-R571</f>
        <v>0</v>
      </c>
      <c r="T571" s="315"/>
      <c r="U571" s="239"/>
      <c r="V571" s="323">
        <f>_xll.DBRW(Server&amp;Cube1,$N$15,$N$16,$N$17,$N$18,$N$14,$N$13,$V$2,$V$1,$B571)</f>
        <v>0</v>
      </c>
      <c r="W571" s="314">
        <f>$Q571-V571</f>
        <v>0</v>
      </c>
      <c r="X571" s="315"/>
      <c r="Y571" s="100"/>
      <c r="Z571" s="388"/>
      <c r="AA571" s="99"/>
      <c r="AB571" s="312">
        <f>_xll.DBRW(Server&amp;Cube1,$N$15,$N$16,$N$17,$N$18,$N$14,$N$13,AB$2,AB$1,$B571)</f>
        <v>0</v>
      </c>
      <c r="AC571" s="312">
        <f>_xll.DBRW(Server&amp;Cube1,$N$15,$N$16,$N$17,$N$18,$N$14,$N$13,AC$2,AC$1,$B571)</f>
        <v>0</v>
      </c>
      <c r="AD571" s="392">
        <f>_xll.DBRW(Server&amp;Cube1,$N$15,$N$16,$N$17,$N$18,$N$14,$N$13,AD$2,AD$1,$B571)</f>
        <v>0</v>
      </c>
      <c r="AE571" s="388"/>
      <c r="AF571" s="312">
        <f>_xll.DBRW(Server&amp;Cube1,$N$15,$N$16,$N$17,$N$18,$N$14,$N$13,AF$2,AF$1,$B571)</f>
        <v>0</v>
      </c>
      <c r="AG571" s="312">
        <f>_xll.DBRW(Server&amp;Cube1,$N$15,$N$16,$N$17,$N$18,$N$14,$N$13,AG$2,AG$1,$B571)</f>
        <v>0</v>
      </c>
      <c r="AH571" s="392">
        <f>_xll.DBRW(Server&amp;Cube1,$N$15,$N$16,$N$17,$N$18,$N$14,$N$13,AH$2,AH$1,$B571)</f>
        <v>0</v>
      </c>
      <c r="AI571" s="388"/>
      <c r="AJ571" s="312">
        <f>_xll.DBRW(Server&amp;Cube1,$N$15,$N$16,$N$17,$N$18,$N$14,$N$13,AJ$2,AJ$1,$B571)</f>
        <v>0</v>
      </c>
      <c r="AK571" s="312">
        <f>_xll.DBRW(Server&amp;Cube1,$N$15,$N$16,$N$17,$N$18,$N$14,$N$13,AK$2,AK$1,$B571)</f>
        <v>0</v>
      </c>
      <c r="AL571" s="392">
        <f>_xll.DBRW(Server&amp;Cube1,$N$15,$N$16,$N$17,$N$18,$N$14,$N$13,AL$2,AL$1,$B571)</f>
        <v>0</v>
      </c>
      <c r="AM571" s="388"/>
      <c r="AN571" s="312">
        <f>_xll.DBRW(Server&amp;Cube1,$N$15,$N$16,$N$17,$N$18,$N$14,$N$13,AN$2,AN$1,$B571)</f>
        <v>0</v>
      </c>
      <c r="AO571" s="312">
        <f>_xll.DBRW(Server&amp;Cube1,$N$15,$N$16,$N$17,$N$18,$N$14,$N$13,AO$2,AO$1,$B571)</f>
        <v>0</v>
      </c>
      <c r="AP571" s="392">
        <f>_xll.DBRW(Server&amp;Cube1,$N$15,$N$16,$N$17,$N$18,$N$14,$N$13,AP$2,AP$1,$B571)</f>
        <v>0</v>
      </c>
      <c r="AQ571" s="388"/>
      <c r="AR571" s="312">
        <f>_xll.DBRW(Server&amp;Cube1,$N$15,$N$16,$N$17,$N$18,$N$14,$N$13,AR$2,AR$1,$B571)</f>
        <v>0</v>
      </c>
      <c r="AS571" s="312">
        <f>_xll.DBRW(Server&amp;Cube1,$N$15,$N$16,$N$17,$N$18,$N$14,$N$13,AS$2,AS$1,$B571)</f>
        <v>0</v>
      </c>
      <c r="AT571" s="392">
        <f>_xll.DBRW(Server&amp;Cube1,$N$15,$N$16,$N$17,$N$18,$N$14,$N$13,AT$2,AT$1,$B571)</f>
        <v>0</v>
      </c>
      <c r="AU571" s="388"/>
      <c r="AV571" s="312">
        <f>_xll.DBRW(Server&amp;Cube1,$N$15,$N$16,$N$17,$N$18,$N$14,$N$13,AV$2,AV$1,$B571)</f>
        <v>0</v>
      </c>
      <c r="AW571" s="312">
        <f>_xll.DBRW(Server&amp;Cube1,$N$15,$N$16,$N$17,$N$18,$N$14,$N$13,AW$2,AW$1,$B571)</f>
        <v>0</v>
      </c>
      <c r="AX571" s="392">
        <f>_xll.DBRW(Server&amp;Cube1,$N$15,$N$16,$N$17,$N$18,$N$14,$N$13,AX$2,AX$1,$B571)</f>
        <v>0</v>
      </c>
      <c r="AY571" s="388"/>
      <c r="AZ571" s="312">
        <f>_xll.DBRW(Server&amp;Cube1,$N$15,$N$16,$N$17,$N$18,$N$14,$N$13,AZ$2,AZ$1,$B571)</f>
        <v>0</v>
      </c>
      <c r="BA571" s="312">
        <f>_xll.DBRW(Server&amp;Cube1,$N$15,$N$16,$N$17,$N$18,$N$14,$N$13,BA$2,BA$1,$B571)</f>
        <v>0</v>
      </c>
      <c r="BB571" s="392">
        <f>_xll.DBRW(Server&amp;Cube1,$N$15,$N$16,$N$17,$N$18,$N$14,$N$13,BB$2,BB$1,$B571)</f>
        <v>0</v>
      </c>
      <c r="BC571" s="388"/>
      <c r="BD571" s="312">
        <f>_xll.DBRW(Server&amp;Cube1,$N$15,$N$16,$N$17,$N$18,$N$14,$N$13,BD$2,BD$1,$B571)</f>
        <v>0</v>
      </c>
      <c r="BE571" s="312">
        <f>_xll.DBRW(Server&amp;Cube1,$N$15,$N$16,$N$17,$N$18,$N$14,$N$13,BE$2,BE$1,$B571)</f>
        <v>0</v>
      </c>
      <c r="BF571" s="392">
        <f>_xll.DBRW(Server&amp;Cube1,$N$15,$N$16,$N$17,$N$18,$N$14,$N$13,BF$2,BF$1,$B571)</f>
        <v>0</v>
      </c>
      <c r="BG571" s="388"/>
      <c r="BH571" s="312">
        <f>_xll.DBRW(Server&amp;Cube1,$N$15,$N$16,$N$17,$N$18,$N$14,$N$13,BH$2,BH$1,$B571)</f>
        <v>0</v>
      </c>
      <c r="BI571" s="312">
        <f>_xll.DBRW(Server&amp;Cube1,$N$15,$N$16,$N$17,$N$18,$N$14,$N$13,BI$2,BI$1,$B571)</f>
        <v>0</v>
      </c>
      <c r="BJ571" s="392">
        <f>_xll.DBRW(Server&amp;Cube1,$N$15,$N$16,$N$17,$N$18,$N$14,$N$13,BJ$2,BJ$1,$B571)</f>
        <v>0</v>
      </c>
      <c r="BK571" s="388"/>
      <c r="BL571" s="312">
        <f>_xll.DBRW(Server&amp;Cube1,$N$15,$N$16,$N$17,$N$18,$N$14,$N$13,BL$2,BL$1,$B571)</f>
        <v>0</v>
      </c>
      <c r="BM571" s="312">
        <f>_xll.DBRW(Server&amp;Cube1,$N$15,$N$16,$N$17,$N$18,$N$14,$N$13,BM$2,BM$1,$B571)</f>
        <v>0</v>
      </c>
      <c r="BN571" s="392">
        <f>_xll.DBRW(Server&amp;Cube1,$N$15,$N$16,$N$17,$N$18,$N$14,$N$13,BN$2,BN$1,$B571)</f>
        <v>0</v>
      </c>
      <c r="BO571" s="388"/>
      <c r="BP571" s="312">
        <f>_xll.DBRW(Server&amp;Cube1,$N$15,$N$16,$N$17,$N$18,$N$14,$N$13,BP$2,BP$1,$B571)</f>
        <v>0</v>
      </c>
      <c r="BQ571" s="312">
        <f>_xll.DBRW(Server&amp;Cube1,$N$15,$N$16,$N$17,$N$18,$N$14,$N$13,BQ$2,BQ$1,$B571)</f>
        <v>0</v>
      </c>
      <c r="BR571" s="392">
        <f>_xll.DBRW(Server&amp;Cube1,$N$15,$N$16,$N$17,$N$18,$N$14,$N$13,BR$2,BR$1,$B571)</f>
        <v>0</v>
      </c>
      <c r="BS571" s="388"/>
      <c r="BT571" s="312">
        <f>_xll.DBRW(Server&amp;Cube1,$N$15,$N$16,$N$17,$N$18,$N$14,$N$13,BT$2,BT$1,$B571)</f>
        <v>0</v>
      </c>
      <c r="BU571" s="312">
        <f>_xll.DBRW(Server&amp;Cube1,$N$15,$N$16,$N$17,$N$18,$N$14,$N$13,BU$2,BU$1,$B571)</f>
        <v>0</v>
      </c>
      <c r="BV571" s="392">
        <f>_xll.DBRW(Server&amp;Cube1,$N$15,$N$16,$N$17,$N$18,$N$14,$N$13,BV$2,BV$1,$B571)</f>
        <v>0</v>
      </c>
      <c r="BW571" s="100"/>
      <c r="BX571" s="28"/>
      <c r="BZ571" s="361"/>
    </row>
    <row r="572" spans="1:78" s="34" customFormat="1" ht="27.75" customHeight="1" x14ac:dyDescent="0.9">
      <c r="A572" s="56"/>
      <c r="B572" s="54" t="s">
        <v>133</v>
      </c>
      <c r="C572" s="9"/>
      <c r="D572" s="1"/>
      <c r="E572" s="1"/>
      <c r="H572" s="54"/>
      <c r="I572" s="94"/>
      <c r="J572" s="57"/>
      <c r="K572" s="99"/>
      <c r="L572" s="533"/>
      <c r="M572" s="519" t="str">
        <f>IF(OR(O583="Not defined",O583="Non défini",O585="Not defined",O585="Non défini"),_xll.DBRA(Server&amp;$B$32,$B572,$N$19),_xll.DBRA(Server&amp;$B$32,$B572,$N$19)&amp;" - ("&amp;O583&amp;" / "&amp;O585&amp;")")</f>
        <v>O2 - Other Op. efficiency</v>
      </c>
      <c r="N572" s="519"/>
      <c r="O572" s="519"/>
      <c r="P572" s="206"/>
      <c r="Q572" s="316">
        <f>_xll.DBRW(Server&amp;Cube1,$N$15,$N$16,$N$17,$N$18,$N$14,$N$13,$N$11,$Q$1,$B572)</f>
        <v>0</v>
      </c>
      <c r="R572" s="311">
        <f>_xll.DBRW(Server&amp;Cube1,$N$15,$N$16,$N$17,$N$18,$N$14,$N$13,$R$2,$R$1,$B572)</f>
        <v>0</v>
      </c>
      <c r="S572" s="317">
        <f>Q572-R572</f>
        <v>0</v>
      </c>
      <c r="T572" s="318"/>
      <c r="U572" s="241"/>
      <c r="V572" s="324">
        <f>_xll.DBRW(Server&amp;Cube1,$N$15,$N$16,$N$17,$N$18,$N$14,$N$13,$V$2,$V$1,$B572)</f>
        <v>0</v>
      </c>
      <c r="W572" s="317">
        <f>$Q572-V572</f>
        <v>0</v>
      </c>
      <c r="X572" s="318"/>
      <c r="Y572" s="100"/>
      <c r="Z572" s="388"/>
      <c r="AA572" s="99"/>
      <c r="AB572" s="316">
        <f>_xll.DBRW(Server&amp;Cube1,$N$15,$N$16,$N$17,$N$18,$N$14,$N$13,AB$2,AB$1,$B572)</f>
        <v>0</v>
      </c>
      <c r="AC572" s="316">
        <f>_xll.DBRW(Server&amp;Cube1,$N$15,$N$16,$N$17,$N$18,$N$14,$N$13,AC$2,AC$1,$B572)</f>
        <v>0</v>
      </c>
      <c r="AD572" s="393">
        <f>_xll.DBRW(Server&amp;Cube1,$N$15,$N$16,$N$17,$N$18,$N$14,$N$13,AD$2,AD$1,$B572)</f>
        <v>0</v>
      </c>
      <c r="AE572" s="388"/>
      <c r="AF572" s="316">
        <f>_xll.DBRW(Server&amp;Cube1,$N$15,$N$16,$N$17,$N$18,$N$14,$N$13,AF$2,AF$1,$B572)</f>
        <v>0</v>
      </c>
      <c r="AG572" s="316">
        <f>_xll.DBRW(Server&amp;Cube1,$N$15,$N$16,$N$17,$N$18,$N$14,$N$13,AG$2,AG$1,$B572)</f>
        <v>0</v>
      </c>
      <c r="AH572" s="393">
        <f>_xll.DBRW(Server&amp;Cube1,$N$15,$N$16,$N$17,$N$18,$N$14,$N$13,AH$2,AH$1,$B572)</f>
        <v>0</v>
      </c>
      <c r="AI572" s="388"/>
      <c r="AJ572" s="316">
        <f>_xll.DBRW(Server&amp;Cube1,$N$15,$N$16,$N$17,$N$18,$N$14,$N$13,AJ$2,AJ$1,$B572)</f>
        <v>0</v>
      </c>
      <c r="AK572" s="316">
        <f>_xll.DBRW(Server&amp;Cube1,$N$15,$N$16,$N$17,$N$18,$N$14,$N$13,AK$2,AK$1,$B572)</f>
        <v>0</v>
      </c>
      <c r="AL572" s="393">
        <f>_xll.DBRW(Server&amp;Cube1,$N$15,$N$16,$N$17,$N$18,$N$14,$N$13,AL$2,AL$1,$B572)</f>
        <v>0</v>
      </c>
      <c r="AM572" s="388"/>
      <c r="AN572" s="316">
        <f>_xll.DBRW(Server&amp;Cube1,$N$15,$N$16,$N$17,$N$18,$N$14,$N$13,AN$2,AN$1,$B572)</f>
        <v>0</v>
      </c>
      <c r="AO572" s="316">
        <f>_xll.DBRW(Server&amp;Cube1,$N$15,$N$16,$N$17,$N$18,$N$14,$N$13,AO$2,AO$1,$B572)</f>
        <v>0</v>
      </c>
      <c r="AP572" s="393">
        <f>_xll.DBRW(Server&amp;Cube1,$N$15,$N$16,$N$17,$N$18,$N$14,$N$13,AP$2,AP$1,$B572)</f>
        <v>0</v>
      </c>
      <c r="AQ572" s="388"/>
      <c r="AR572" s="316">
        <f>_xll.DBRW(Server&amp;Cube1,$N$15,$N$16,$N$17,$N$18,$N$14,$N$13,AR$2,AR$1,$B572)</f>
        <v>0</v>
      </c>
      <c r="AS572" s="316">
        <f>_xll.DBRW(Server&amp;Cube1,$N$15,$N$16,$N$17,$N$18,$N$14,$N$13,AS$2,AS$1,$B572)</f>
        <v>0</v>
      </c>
      <c r="AT572" s="393">
        <f>_xll.DBRW(Server&amp;Cube1,$N$15,$N$16,$N$17,$N$18,$N$14,$N$13,AT$2,AT$1,$B572)</f>
        <v>0</v>
      </c>
      <c r="AU572" s="388"/>
      <c r="AV572" s="316">
        <f>_xll.DBRW(Server&amp;Cube1,$N$15,$N$16,$N$17,$N$18,$N$14,$N$13,AV$2,AV$1,$B572)</f>
        <v>0</v>
      </c>
      <c r="AW572" s="316">
        <f>_xll.DBRW(Server&amp;Cube1,$N$15,$N$16,$N$17,$N$18,$N$14,$N$13,AW$2,AW$1,$B572)</f>
        <v>0</v>
      </c>
      <c r="AX572" s="393">
        <f>_xll.DBRW(Server&amp;Cube1,$N$15,$N$16,$N$17,$N$18,$N$14,$N$13,AX$2,AX$1,$B572)</f>
        <v>0</v>
      </c>
      <c r="AY572" s="388"/>
      <c r="AZ572" s="316">
        <f>_xll.DBRW(Server&amp;Cube1,$N$15,$N$16,$N$17,$N$18,$N$14,$N$13,AZ$2,AZ$1,$B572)</f>
        <v>0</v>
      </c>
      <c r="BA572" s="316">
        <f>_xll.DBRW(Server&amp;Cube1,$N$15,$N$16,$N$17,$N$18,$N$14,$N$13,BA$2,BA$1,$B572)</f>
        <v>0</v>
      </c>
      <c r="BB572" s="393">
        <f>_xll.DBRW(Server&amp;Cube1,$N$15,$N$16,$N$17,$N$18,$N$14,$N$13,BB$2,BB$1,$B572)</f>
        <v>0</v>
      </c>
      <c r="BC572" s="388"/>
      <c r="BD572" s="316">
        <f>_xll.DBRW(Server&amp;Cube1,$N$15,$N$16,$N$17,$N$18,$N$14,$N$13,BD$2,BD$1,$B572)</f>
        <v>0</v>
      </c>
      <c r="BE572" s="316">
        <f>_xll.DBRW(Server&amp;Cube1,$N$15,$N$16,$N$17,$N$18,$N$14,$N$13,BE$2,BE$1,$B572)</f>
        <v>0</v>
      </c>
      <c r="BF572" s="393">
        <f>_xll.DBRW(Server&amp;Cube1,$N$15,$N$16,$N$17,$N$18,$N$14,$N$13,BF$2,BF$1,$B572)</f>
        <v>0</v>
      </c>
      <c r="BG572" s="388"/>
      <c r="BH572" s="316">
        <f>_xll.DBRW(Server&amp;Cube1,$N$15,$N$16,$N$17,$N$18,$N$14,$N$13,BH$2,BH$1,$B572)</f>
        <v>0</v>
      </c>
      <c r="BI572" s="316">
        <f>_xll.DBRW(Server&amp;Cube1,$N$15,$N$16,$N$17,$N$18,$N$14,$N$13,BI$2,BI$1,$B572)</f>
        <v>0</v>
      </c>
      <c r="BJ572" s="393">
        <f>_xll.DBRW(Server&amp;Cube1,$N$15,$N$16,$N$17,$N$18,$N$14,$N$13,BJ$2,BJ$1,$B572)</f>
        <v>0</v>
      </c>
      <c r="BK572" s="388"/>
      <c r="BL572" s="316">
        <f>_xll.DBRW(Server&amp;Cube1,$N$15,$N$16,$N$17,$N$18,$N$14,$N$13,BL$2,BL$1,$B572)</f>
        <v>0</v>
      </c>
      <c r="BM572" s="316">
        <f>_xll.DBRW(Server&amp;Cube1,$N$15,$N$16,$N$17,$N$18,$N$14,$N$13,BM$2,BM$1,$B572)</f>
        <v>0</v>
      </c>
      <c r="BN572" s="393">
        <f>_xll.DBRW(Server&amp;Cube1,$N$15,$N$16,$N$17,$N$18,$N$14,$N$13,BN$2,BN$1,$B572)</f>
        <v>0</v>
      </c>
      <c r="BO572" s="388"/>
      <c r="BP572" s="316">
        <f>_xll.DBRW(Server&amp;Cube1,$N$15,$N$16,$N$17,$N$18,$N$14,$N$13,BP$2,BP$1,$B572)</f>
        <v>0</v>
      </c>
      <c r="BQ572" s="316">
        <f>_xll.DBRW(Server&amp;Cube1,$N$15,$N$16,$N$17,$N$18,$N$14,$N$13,BQ$2,BQ$1,$B572)</f>
        <v>0</v>
      </c>
      <c r="BR572" s="393">
        <f>_xll.DBRW(Server&amp;Cube1,$N$15,$N$16,$N$17,$N$18,$N$14,$N$13,BR$2,BR$1,$B572)</f>
        <v>0</v>
      </c>
      <c r="BS572" s="388"/>
      <c r="BT572" s="316">
        <f>_xll.DBRW(Server&amp;Cube1,$N$15,$N$16,$N$17,$N$18,$N$14,$N$13,BT$2,BT$1,$B572)</f>
        <v>0</v>
      </c>
      <c r="BU572" s="316">
        <f>_xll.DBRW(Server&amp;Cube1,$N$15,$N$16,$N$17,$N$18,$N$14,$N$13,BU$2,BU$1,$B572)</f>
        <v>0</v>
      </c>
      <c r="BV572" s="393">
        <f>_xll.DBRW(Server&amp;Cube1,$N$15,$N$16,$N$17,$N$18,$N$14,$N$13,BV$2,BV$1,$B572)</f>
        <v>0</v>
      </c>
      <c r="BW572" s="100"/>
      <c r="BX572" s="28"/>
      <c r="BZ572" s="362"/>
    </row>
    <row r="573" spans="1:78" s="34" customFormat="1" ht="27.75" customHeight="1" collapsed="1" thickBot="1" x14ac:dyDescent="1.05">
      <c r="A573" s="56"/>
      <c r="B573" s="54" t="s">
        <v>134</v>
      </c>
      <c r="C573" s="9"/>
      <c r="D573" s="1"/>
      <c r="E573" s="1"/>
      <c r="H573" s="54"/>
      <c r="I573" s="94"/>
      <c r="J573" s="57"/>
      <c r="K573" s="99"/>
      <c r="L573" s="533"/>
      <c r="M573" s="520" t="str">
        <f>IF(OR(O583="Not defined",O583="Non défini",O585="Not defined",O585="Non défini"),_xll.DBRA(Server&amp;$B$32,$B573,$N$19),_xll.DBRA(Server&amp;Context!$B$32,Context!$B$55,$N$19)&amp;" "&amp;O585)</f>
        <v>O3 - Revenue per price work unit</v>
      </c>
      <c r="N573" s="520"/>
      <c r="O573" s="520"/>
      <c r="P573" s="206"/>
      <c r="Q573" s="319">
        <f>_xll.DBRW(Server&amp;Cube1,$N$15,$N$16,$N$17,$N$18,$N$14,$N$13,$N$11,$Q$1,$B573)</f>
        <v>0</v>
      </c>
      <c r="R573" s="320">
        <f>_xll.DBRW(Server&amp;Cube1,$N$15,$N$16,$N$17,$N$18,$N$14,$N$13,$R$2,$R$1,$B573)</f>
        <v>0</v>
      </c>
      <c r="S573" s="321">
        <f>Q573-R573</f>
        <v>0</v>
      </c>
      <c r="T573" s="322"/>
      <c r="U573" s="239"/>
      <c r="V573" s="325">
        <f>_xll.DBRW(Server&amp;Cube1,$N$15,$N$16,$N$17,$N$18,$N$14,$N$13,$V$2,$V$1,$B573)</f>
        <v>0</v>
      </c>
      <c r="W573" s="321">
        <f>$Q573-V573</f>
        <v>0</v>
      </c>
      <c r="X573" s="322"/>
      <c r="Y573" s="100"/>
      <c r="Z573" s="388"/>
      <c r="AA573" s="99"/>
      <c r="AB573" s="319">
        <f>_xll.DBRW(Server&amp;Cube1,$N$15,$N$16,$N$17,$N$18,$N$14,$N$13,AB$2,AB$1,$B573)</f>
        <v>0</v>
      </c>
      <c r="AC573" s="319">
        <f>_xll.DBRW(Server&amp;Cube1,$N$15,$N$16,$N$17,$N$18,$N$14,$N$13,AC$2,AC$1,$B573)</f>
        <v>0</v>
      </c>
      <c r="AD573" s="394">
        <f>_xll.DBRW(Server&amp;Cube1,$N$15,$N$16,$N$17,$N$18,$N$14,$N$13,AD$2,AD$1,$B573)</f>
        <v>0</v>
      </c>
      <c r="AE573" s="388"/>
      <c r="AF573" s="319">
        <f>_xll.DBRW(Server&amp;Cube1,$N$15,$N$16,$N$17,$N$18,$N$14,$N$13,AF$2,AF$1,$B573)</f>
        <v>0</v>
      </c>
      <c r="AG573" s="319">
        <f>_xll.DBRW(Server&amp;Cube1,$N$15,$N$16,$N$17,$N$18,$N$14,$N$13,AG$2,AG$1,$B573)</f>
        <v>0</v>
      </c>
      <c r="AH573" s="394">
        <f>_xll.DBRW(Server&amp;Cube1,$N$15,$N$16,$N$17,$N$18,$N$14,$N$13,AH$2,AH$1,$B573)</f>
        <v>0</v>
      </c>
      <c r="AI573" s="388"/>
      <c r="AJ573" s="319">
        <f>_xll.DBRW(Server&amp;Cube1,$N$15,$N$16,$N$17,$N$18,$N$14,$N$13,AJ$2,AJ$1,$B573)</f>
        <v>0</v>
      </c>
      <c r="AK573" s="319">
        <f>_xll.DBRW(Server&amp;Cube1,$N$15,$N$16,$N$17,$N$18,$N$14,$N$13,AK$2,AK$1,$B573)</f>
        <v>0</v>
      </c>
      <c r="AL573" s="394">
        <f>_xll.DBRW(Server&amp;Cube1,$N$15,$N$16,$N$17,$N$18,$N$14,$N$13,AL$2,AL$1,$B573)</f>
        <v>0</v>
      </c>
      <c r="AM573" s="388"/>
      <c r="AN573" s="319">
        <f>_xll.DBRW(Server&amp;Cube1,$N$15,$N$16,$N$17,$N$18,$N$14,$N$13,AN$2,AN$1,$B573)</f>
        <v>0</v>
      </c>
      <c r="AO573" s="319">
        <f>_xll.DBRW(Server&amp;Cube1,$N$15,$N$16,$N$17,$N$18,$N$14,$N$13,AO$2,AO$1,$B573)</f>
        <v>0</v>
      </c>
      <c r="AP573" s="394">
        <f>_xll.DBRW(Server&amp;Cube1,$N$15,$N$16,$N$17,$N$18,$N$14,$N$13,AP$2,AP$1,$B573)</f>
        <v>0</v>
      </c>
      <c r="AQ573" s="388"/>
      <c r="AR573" s="319">
        <f>_xll.DBRW(Server&amp;Cube1,$N$15,$N$16,$N$17,$N$18,$N$14,$N$13,AR$2,AR$1,$B573)</f>
        <v>0</v>
      </c>
      <c r="AS573" s="319">
        <f>_xll.DBRW(Server&amp;Cube1,$N$15,$N$16,$N$17,$N$18,$N$14,$N$13,AS$2,AS$1,$B573)</f>
        <v>0</v>
      </c>
      <c r="AT573" s="394">
        <f>_xll.DBRW(Server&amp;Cube1,$N$15,$N$16,$N$17,$N$18,$N$14,$N$13,AT$2,AT$1,$B573)</f>
        <v>0</v>
      </c>
      <c r="AU573" s="388"/>
      <c r="AV573" s="319">
        <f>_xll.DBRW(Server&amp;Cube1,$N$15,$N$16,$N$17,$N$18,$N$14,$N$13,AV$2,AV$1,$B573)</f>
        <v>0</v>
      </c>
      <c r="AW573" s="319">
        <f>_xll.DBRW(Server&amp;Cube1,$N$15,$N$16,$N$17,$N$18,$N$14,$N$13,AW$2,AW$1,$B573)</f>
        <v>0</v>
      </c>
      <c r="AX573" s="394">
        <f>_xll.DBRW(Server&amp;Cube1,$N$15,$N$16,$N$17,$N$18,$N$14,$N$13,AX$2,AX$1,$B573)</f>
        <v>0</v>
      </c>
      <c r="AY573" s="388"/>
      <c r="AZ573" s="319">
        <f>_xll.DBRW(Server&amp;Cube1,$N$15,$N$16,$N$17,$N$18,$N$14,$N$13,AZ$2,AZ$1,$B573)</f>
        <v>0</v>
      </c>
      <c r="BA573" s="319">
        <f>_xll.DBRW(Server&amp;Cube1,$N$15,$N$16,$N$17,$N$18,$N$14,$N$13,BA$2,BA$1,$B573)</f>
        <v>0</v>
      </c>
      <c r="BB573" s="394">
        <f>_xll.DBRW(Server&amp;Cube1,$N$15,$N$16,$N$17,$N$18,$N$14,$N$13,BB$2,BB$1,$B573)</f>
        <v>0</v>
      </c>
      <c r="BC573" s="388"/>
      <c r="BD573" s="319">
        <f>_xll.DBRW(Server&amp;Cube1,$N$15,$N$16,$N$17,$N$18,$N$14,$N$13,BD$2,BD$1,$B573)</f>
        <v>0</v>
      </c>
      <c r="BE573" s="319">
        <f>_xll.DBRW(Server&amp;Cube1,$N$15,$N$16,$N$17,$N$18,$N$14,$N$13,BE$2,BE$1,$B573)</f>
        <v>0</v>
      </c>
      <c r="BF573" s="394">
        <f>_xll.DBRW(Server&amp;Cube1,$N$15,$N$16,$N$17,$N$18,$N$14,$N$13,BF$2,BF$1,$B573)</f>
        <v>0</v>
      </c>
      <c r="BG573" s="388"/>
      <c r="BH573" s="319">
        <f>_xll.DBRW(Server&amp;Cube1,$N$15,$N$16,$N$17,$N$18,$N$14,$N$13,BH$2,BH$1,$B573)</f>
        <v>0</v>
      </c>
      <c r="BI573" s="319">
        <f>_xll.DBRW(Server&amp;Cube1,$N$15,$N$16,$N$17,$N$18,$N$14,$N$13,BI$2,BI$1,$B573)</f>
        <v>0</v>
      </c>
      <c r="BJ573" s="394">
        <f>_xll.DBRW(Server&amp;Cube1,$N$15,$N$16,$N$17,$N$18,$N$14,$N$13,BJ$2,BJ$1,$B573)</f>
        <v>0</v>
      </c>
      <c r="BK573" s="388"/>
      <c r="BL573" s="319">
        <f>_xll.DBRW(Server&amp;Cube1,$N$15,$N$16,$N$17,$N$18,$N$14,$N$13,BL$2,BL$1,$B573)</f>
        <v>0</v>
      </c>
      <c r="BM573" s="319">
        <f>_xll.DBRW(Server&amp;Cube1,$N$15,$N$16,$N$17,$N$18,$N$14,$N$13,BM$2,BM$1,$B573)</f>
        <v>0</v>
      </c>
      <c r="BN573" s="394">
        <f>_xll.DBRW(Server&amp;Cube1,$N$15,$N$16,$N$17,$N$18,$N$14,$N$13,BN$2,BN$1,$B573)</f>
        <v>0</v>
      </c>
      <c r="BO573" s="388"/>
      <c r="BP573" s="319">
        <f>_xll.DBRW(Server&amp;Cube1,$N$15,$N$16,$N$17,$N$18,$N$14,$N$13,BP$2,BP$1,$B573)</f>
        <v>0</v>
      </c>
      <c r="BQ573" s="319">
        <f>_xll.DBRW(Server&amp;Cube1,$N$15,$N$16,$N$17,$N$18,$N$14,$N$13,BQ$2,BQ$1,$B573)</f>
        <v>0</v>
      </c>
      <c r="BR573" s="394">
        <f>_xll.DBRW(Server&amp;Cube1,$N$15,$N$16,$N$17,$N$18,$N$14,$N$13,BR$2,BR$1,$B573)</f>
        <v>0</v>
      </c>
      <c r="BS573" s="388"/>
      <c r="BT573" s="319">
        <f>_xll.DBRW(Server&amp;Cube1,$N$15,$N$16,$N$17,$N$18,$N$14,$N$13,BT$2,BT$1,$B573)</f>
        <v>0</v>
      </c>
      <c r="BU573" s="319">
        <f>_xll.DBRW(Server&amp;Cube1,$N$15,$N$16,$N$17,$N$18,$N$14,$N$13,BU$2,BU$1,$B573)</f>
        <v>0</v>
      </c>
      <c r="BV573" s="394">
        <f>_xll.DBRW(Server&amp;Cube1,$N$15,$N$16,$N$17,$N$18,$N$14,$N$13,BV$2,BV$1,$B573)</f>
        <v>0</v>
      </c>
      <c r="BW573" s="100"/>
      <c r="BX573" s="28"/>
    </row>
    <row r="574" spans="1:78" ht="3.75" hidden="1" customHeight="1" outlineLevel="1" thickTop="1" x14ac:dyDescent="0.8">
      <c r="A574" s="56"/>
      <c r="B574" s="54"/>
      <c r="H574" s="54"/>
      <c r="I574" s="94"/>
      <c r="J574" s="57"/>
      <c r="K574" s="99"/>
      <c r="L574" s="533"/>
      <c r="M574" s="296"/>
      <c r="N574" s="296"/>
      <c r="O574" s="296"/>
      <c r="P574" s="61"/>
      <c r="Q574" s="208"/>
      <c r="R574" s="62"/>
      <c r="S574" s="63"/>
      <c r="T574" s="101"/>
      <c r="U574" s="210"/>
      <c r="V574" s="208"/>
      <c r="W574" s="63"/>
      <c r="X574" s="101"/>
      <c r="Y574" s="100"/>
      <c r="Z574" s="388"/>
      <c r="AA574" s="99"/>
      <c r="AB574" s="208"/>
      <c r="AC574" s="208"/>
      <c r="AD574" s="404"/>
      <c r="AE574" s="388"/>
      <c r="AF574" s="208"/>
      <c r="AG574" s="208"/>
      <c r="AH574" s="404"/>
      <c r="AI574" s="388"/>
      <c r="AJ574" s="208"/>
      <c r="AK574" s="208"/>
      <c r="AL574" s="404"/>
      <c r="AM574" s="388"/>
      <c r="AN574" s="208"/>
      <c r="AO574" s="208"/>
      <c r="AP574" s="404"/>
      <c r="AQ574" s="388"/>
      <c r="AR574" s="208"/>
      <c r="AS574" s="208"/>
      <c r="AT574" s="404"/>
      <c r="AU574" s="388"/>
      <c r="AV574" s="208"/>
      <c r="AW574" s="208"/>
      <c r="AX574" s="404"/>
      <c r="AY574" s="388"/>
      <c r="AZ574" s="208"/>
      <c r="BA574" s="208"/>
      <c r="BB574" s="404"/>
      <c r="BC574" s="388"/>
      <c r="BD574" s="208"/>
      <c r="BE574" s="208"/>
      <c r="BF574" s="404"/>
      <c r="BG574" s="388"/>
      <c r="BH574" s="208"/>
      <c r="BI574" s="208"/>
      <c r="BJ574" s="404"/>
      <c r="BK574" s="388"/>
      <c r="BL574" s="208"/>
      <c r="BM574" s="208"/>
      <c r="BN574" s="404"/>
      <c r="BO574" s="388"/>
      <c r="BP574" s="208"/>
      <c r="BQ574" s="208"/>
      <c r="BR574" s="404"/>
      <c r="BS574" s="388"/>
      <c r="BT574" s="208"/>
      <c r="BU574" s="208"/>
      <c r="BV574" s="404"/>
      <c r="BW574" s="100"/>
      <c r="BX574" s="28"/>
      <c r="BZ574" s="358"/>
    </row>
    <row r="575" spans="1:78" s="34" customFormat="1" ht="21.75" hidden="1" customHeight="1" outlineLevel="1" x14ac:dyDescent="0.8">
      <c r="A575" s="56"/>
      <c r="B575" s="54" t="s">
        <v>135</v>
      </c>
      <c r="C575" s="9"/>
      <c r="D575" s="54" t="b">
        <f>AND($Q583&lt;&gt;0,$R583&lt;&gt;0)</f>
        <v>0</v>
      </c>
      <c r="E575" s="54"/>
      <c r="F575" s="54" t="b">
        <f>AND($Q583&lt;&gt;0,$V583&lt;&gt;0)</f>
        <v>0</v>
      </c>
      <c r="H575" s="54"/>
      <c r="I575" s="94"/>
      <c r="J575" s="57"/>
      <c r="K575" s="99"/>
      <c r="L575" s="533"/>
      <c r="M575" s="521" t="str">
        <f>_xll.DBRA(Server&amp;$B$32,$B575,$N$19)</f>
        <v>O1 - Other op. cost variance - Costs effect</v>
      </c>
      <c r="N575" s="521"/>
      <c r="O575" s="522"/>
      <c r="P575" s="240"/>
      <c r="Q575" s="243"/>
      <c r="R575" s="244"/>
      <c r="S575" s="245">
        <f>IF(D575,-1*S571*Q583,0)</f>
        <v>0</v>
      </c>
      <c r="T575" s="297">
        <f>IF(ISERROR(S575/#REF!*100),,S575/#REF!*100)</f>
        <v>0</v>
      </c>
      <c r="U575" s="239"/>
      <c r="V575" s="246"/>
      <c r="W575" s="245">
        <f>IF(F575,-1*W571*$Q583,0)</f>
        <v>0</v>
      </c>
      <c r="X575" s="301">
        <f>IF(ISERROR(W575/#REF!*100),,W575/#REF!*100)</f>
        <v>0</v>
      </c>
      <c r="Y575" s="100"/>
      <c r="Z575" s="388"/>
      <c r="AA575" s="99"/>
      <c r="AB575" s="243"/>
      <c r="AC575" s="243"/>
      <c r="AD575" s="405"/>
      <c r="AE575" s="388"/>
      <c r="AF575" s="243"/>
      <c r="AG575" s="243"/>
      <c r="AH575" s="405"/>
      <c r="AI575" s="388"/>
      <c r="AJ575" s="243"/>
      <c r="AK575" s="243"/>
      <c r="AL575" s="405"/>
      <c r="AM575" s="388"/>
      <c r="AN575" s="243"/>
      <c r="AO575" s="243"/>
      <c r="AP575" s="405"/>
      <c r="AQ575" s="388"/>
      <c r="AR575" s="243"/>
      <c r="AS575" s="243"/>
      <c r="AT575" s="405"/>
      <c r="AU575" s="388"/>
      <c r="AV575" s="243"/>
      <c r="AW575" s="243"/>
      <c r="AX575" s="405"/>
      <c r="AY575" s="388"/>
      <c r="AZ575" s="243"/>
      <c r="BA575" s="243"/>
      <c r="BB575" s="405"/>
      <c r="BC575" s="388"/>
      <c r="BD575" s="243"/>
      <c r="BE575" s="243"/>
      <c r="BF575" s="405"/>
      <c r="BG575" s="388"/>
      <c r="BH575" s="243"/>
      <c r="BI575" s="243"/>
      <c r="BJ575" s="405"/>
      <c r="BK575" s="388"/>
      <c r="BL575" s="243"/>
      <c r="BM575" s="243"/>
      <c r="BN575" s="405"/>
      <c r="BO575" s="388"/>
      <c r="BP575" s="243"/>
      <c r="BQ575" s="243"/>
      <c r="BR575" s="405"/>
      <c r="BS575" s="388"/>
      <c r="BT575" s="243"/>
      <c r="BU575" s="243"/>
      <c r="BV575" s="405"/>
      <c r="BW575" s="100"/>
      <c r="BX575" s="28"/>
    </row>
    <row r="576" spans="1:78" s="34" customFormat="1" ht="21.75" hidden="1" customHeight="1" outlineLevel="1" x14ac:dyDescent="0.8">
      <c r="A576" s="56"/>
      <c r="B576" s="54" t="s">
        <v>136</v>
      </c>
      <c r="C576" s="9"/>
      <c r="D576" s="54" t="b">
        <f>AND($Q585&lt;&gt;0,$R585&lt;&gt;0,$Q583&lt;&gt;0,$R583&lt;&gt;0)</f>
        <v>0</v>
      </c>
      <c r="E576" s="54"/>
      <c r="F576" s="54" t="b">
        <f>AND($Q585&lt;&gt;0,$V585&lt;&gt;0,$Q583&lt;&gt;0,$V583&lt;&gt;0)</f>
        <v>0</v>
      </c>
      <c r="H576" s="54"/>
      <c r="I576" s="94"/>
      <c r="J576" s="57"/>
      <c r="K576" s="99"/>
      <c r="L576" s="533"/>
      <c r="M576" s="523" t="str">
        <f>_xll.DBRA(Server&amp;$B$32,$B576,$N$19)</f>
        <v>O2 - Other op. cost variance - Costs efficiency effect</v>
      </c>
      <c r="N576" s="523"/>
      <c r="O576" s="524"/>
      <c r="P576" s="240"/>
      <c r="Q576" s="243"/>
      <c r="R576" s="247"/>
      <c r="S576" s="245">
        <f>IF(D576,IF(Q572&lt;&gt;0,S572/Q572*$Q$111,0),0)</f>
        <v>0</v>
      </c>
      <c r="T576" s="297">
        <f>IF(ISERROR(S576/$Q$36*100),,S576/$Q$36*100)</f>
        <v>0</v>
      </c>
      <c r="U576" s="239"/>
      <c r="V576" s="246"/>
      <c r="W576" s="245">
        <f>IF(F576,IF($Q572&lt;&gt;0,W572/$Q572*$Q$111,0),0)</f>
        <v>0</v>
      </c>
      <c r="X576" s="301">
        <f>IF(ISERROR(W576/$Q$36*100),,W576/$Q$36*100)</f>
        <v>0</v>
      </c>
      <c r="Y576" s="100"/>
      <c r="Z576" s="388"/>
      <c r="AA576" s="99"/>
      <c r="AB576" s="243"/>
      <c r="AC576" s="243"/>
      <c r="AD576" s="405"/>
      <c r="AE576" s="388"/>
      <c r="AF576" s="243"/>
      <c r="AG576" s="243"/>
      <c r="AH576" s="405"/>
      <c r="AI576" s="388"/>
      <c r="AJ576" s="243"/>
      <c r="AK576" s="243"/>
      <c r="AL576" s="405"/>
      <c r="AM576" s="388"/>
      <c r="AN576" s="243"/>
      <c r="AO576" s="243"/>
      <c r="AP576" s="405"/>
      <c r="AQ576" s="388"/>
      <c r="AR576" s="243"/>
      <c r="AS576" s="243"/>
      <c r="AT576" s="405"/>
      <c r="AU576" s="388"/>
      <c r="AV576" s="243"/>
      <c r="AW576" s="243"/>
      <c r="AX576" s="405"/>
      <c r="AY576" s="388"/>
      <c r="AZ576" s="243"/>
      <c r="BA576" s="243"/>
      <c r="BB576" s="405"/>
      <c r="BC576" s="388"/>
      <c r="BD576" s="243"/>
      <c r="BE576" s="243"/>
      <c r="BF576" s="405"/>
      <c r="BG576" s="388"/>
      <c r="BH576" s="243"/>
      <c r="BI576" s="243"/>
      <c r="BJ576" s="405"/>
      <c r="BK576" s="388"/>
      <c r="BL576" s="243"/>
      <c r="BM576" s="243"/>
      <c r="BN576" s="405"/>
      <c r="BO576" s="388"/>
      <c r="BP576" s="243"/>
      <c r="BQ576" s="243"/>
      <c r="BR576" s="405"/>
      <c r="BS576" s="388"/>
      <c r="BT576" s="243"/>
      <c r="BU576" s="243"/>
      <c r="BV576" s="405"/>
      <c r="BW576" s="100"/>
      <c r="BX576" s="28"/>
    </row>
    <row r="577" spans="1:78" s="34" customFormat="1" ht="21.75" hidden="1" customHeight="1" outlineLevel="1" x14ac:dyDescent="0.8">
      <c r="A577" s="56"/>
      <c r="B577" s="54" t="s">
        <v>137</v>
      </c>
      <c r="C577" s="9"/>
      <c r="D577" s="54" t="b">
        <f>AND($Q585&lt;&gt;0,$R585&lt;&gt;0)</f>
        <v>0</v>
      </c>
      <c r="E577" s="54"/>
      <c r="F577" s="54" t="b">
        <f>AND($Q585&lt;&gt;0,$V585&lt;&gt;0)</f>
        <v>0</v>
      </c>
      <c r="H577" s="54"/>
      <c r="I577" s="94"/>
      <c r="J577" s="57"/>
      <c r="K577" s="99"/>
      <c r="L577" s="533"/>
      <c r="M577" s="523" t="str">
        <f>_xll.DBRA(Server&amp;$B$32,$B577,$N$19)</f>
        <v>O3 - Other op. cost variance - Price effect</v>
      </c>
      <c r="N577" s="523"/>
      <c r="O577" s="524"/>
      <c r="P577" s="240"/>
      <c r="Q577" s="243"/>
      <c r="R577" s="247"/>
      <c r="S577" s="245">
        <f>IF(D577,Q570*S573*Q585,0)</f>
        <v>0</v>
      </c>
      <c r="T577" s="297">
        <f>IF(ISERROR(S577/$Q$36*100),,S577/$Q$36*100)</f>
        <v>0</v>
      </c>
      <c r="U577" s="239"/>
      <c r="V577" s="246"/>
      <c r="W577" s="248">
        <f>IF(F577,$Q570*W573*$Q585,0)</f>
        <v>0</v>
      </c>
      <c r="X577" s="301">
        <f>IF(ISERROR(W577/$Q$36*100),,W577/$Q$36*100)</f>
        <v>0</v>
      </c>
      <c r="Y577" s="100"/>
      <c r="Z577" s="388"/>
      <c r="AA577" s="99"/>
      <c r="AB577" s="243"/>
      <c r="AC577" s="243"/>
      <c r="AD577" s="405"/>
      <c r="AE577" s="388"/>
      <c r="AF577" s="243"/>
      <c r="AG577" s="243"/>
      <c r="AH577" s="405"/>
      <c r="AI577" s="388"/>
      <c r="AJ577" s="243"/>
      <c r="AK577" s="243"/>
      <c r="AL577" s="405"/>
      <c r="AM577" s="388"/>
      <c r="AN577" s="243"/>
      <c r="AO577" s="243"/>
      <c r="AP577" s="405"/>
      <c r="AQ577" s="388"/>
      <c r="AR577" s="243"/>
      <c r="AS577" s="243"/>
      <c r="AT577" s="405"/>
      <c r="AU577" s="388"/>
      <c r="AV577" s="243"/>
      <c r="AW577" s="243"/>
      <c r="AX577" s="405"/>
      <c r="AY577" s="388"/>
      <c r="AZ577" s="243"/>
      <c r="BA577" s="243"/>
      <c r="BB577" s="405"/>
      <c r="BC577" s="388"/>
      <c r="BD577" s="243"/>
      <c r="BE577" s="243"/>
      <c r="BF577" s="405"/>
      <c r="BG577" s="388"/>
      <c r="BH577" s="243"/>
      <c r="BI577" s="243"/>
      <c r="BJ577" s="405"/>
      <c r="BK577" s="388"/>
      <c r="BL577" s="243"/>
      <c r="BM577" s="243"/>
      <c r="BN577" s="405"/>
      <c r="BO577" s="388"/>
      <c r="BP577" s="243"/>
      <c r="BQ577" s="243"/>
      <c r="BR577" s="405"/>
      <c r="BS577" s="388"/>
      <c r="BT577" s="243"/>
      <c r="BU577" s="243"/>
      <c r="BV577" s="405"/>
      <c r="BW577" s="100"/>
      <c r="BX577" s="28"/>
    </row>
    <row r="578" spans="1:78" s="34" customFormat="1" ht="21.75" hidden="1" customHeight="1" outlineLevel="1" x14ac:dyDescent="0.8">
      <c r="A578" s="56"/>
      <c r="B578" s="54" t="s">
        <v>138</v>
      </c>
      <c r="C578" s="9"/>
      <c r="D578" s="54" t="b">
        <f>AND($Q585&lt;&gt;0,$R585&lt;&gt;0,$Q583&lt;&gt;0,$R583&lt;&gt;0)</f>
        <v>0</v>
      </c>
      <c r="E578" s="54"/>
      <c r="F578" s="54" t="b">
        <f>AND($Q585&lt;&gt;0,$V585&lt;&gt;0,$Q583&lt;&gt;0,$V583&lt;&gt;0)</f>
        <v>0</v>
      </c>
      <c r="H578" s="54"/>
      <c r="I578" s="94"/>
      <c r="J578" s="57"/>
      <c r="K578" s="99"/>
      <c r="L578" s="533"/>
      <c r="M578" s="541" t="str">
        <f>_xll.DBRA(Server&amp;$B$32,$B578,$N$19)</f>
        <v>O - Compound</v>
      </c>
      <c r="N578" s="541"/>
      <c r="O578" s="542"/>
      <c r="P578" s="240"/>
      <c r="Q578" s="243"/>
      <c r="R578" s="247"/>
      <c r="S578" s="249">
        <f>IF(D578,$S111-S575-S576-S577-S581,0)</f>
        <v>0</v>
      </c>
      <c r="T578" s="298">
        <f>IF(ISERROR(S578/$Q$36*100),,S578/$Q$36*100)</f>
        <v>0</v>
      </c>
      <c r="U578" s="239"/>
      <c r="V578" s="246"/>
      <c r="W578" s="249">
        <f>IF(F578,$W111-W575-W576-W577-W581,0)</f>
        <v>0</v>
      </c>
      <c r="X578" s="298">
        <f>IF(ISERROR(W578/$Q$36*100),,W578/$Q$36*100)</f>
        <v>0</v>
      </c>
      <c r="Y578" s="100"/>
      <c r="Z578" s="388"/>
      <c r="AA578" s="99"/>
      <c r="AB578" s="243"/>
      <c r="AC578" s="243"/>
      <c r="AD578" s="405"/>
      <c r="AE578" s="388"/>
      <c r="AF578" s="243"/>
      <c r="AG578" s="243"/>
      <c r="AH578" s="405"/>
      <c r="AI578" s="388"/>
      <c r="AJ578" s="243"/>
      <c r="AK578" s="243"/>
      <c r="AL578" s="405"/>
      <c r="AM578" s="388"/>
      <c r="AN578" s="243"/>
      <c r="AO578" s="243"/>
      <c r="AP578" s="405"/>
      <c r="AQ578" s="388"/>
      <c r="AR578" s="243"/>
      <c r="AS578" s="243"/>
      <c r="AT578" s="405"/>
      <c r="AU578" s="388"/>
      <c r="AV578" s="243"/>
      <c r="AW578" s="243"/>
      <c r="AX578" s="405"/>
      <c r="AY578" s="388"/>
      <c r="AZ578" s="243"/>
      <c r="BA578" s="243"/>
      <c r="BB578" s="405"/>
      <c r="BC578" s="388"/>
      <c r="BD578" s="243"/>
      <c r="BE578" s="243"/>
      <c r="BF578" s="405"/>
      <c r="BG578" s="388"/>
      <c r="BH578" s="243"/>
      <c r="BI578" s="243"/>
      <c r="BJ578" s="405"/>
      <c r="BK578" s="388"/>
      <c r="BL578" s="243"/>
      <c r="BM578" s="243"/>
      <c r="BN578" s="405"/>
      <c r="BO578" s="388"/>
      <c r="BP578" s="243"/>
      <c r="BQ578" s="243"/>
      <c r="BR578" s="405"/>
      <c r="BS578" s="388"/>
      <c r="BT578" s="243"/>
      <c r="BU578" s="243"/>
      <c r="BV578" s="405"/>
      <c r="BW578" s="100"/>
      <c r="BX578" s="28"/>
    </row>
    <row r="579" spans="1:78" s="34" customFormat="1" ht="21.75" hidden="1" customHeight="1" outlineLevel="1" x14ac:dyDescent="0.8">
      <c r="A579" s="56"/>
      <c r="B579" s="371" t="s">
        <v>146</v>
      </c>
      <c r="C579" s="9"/>
      <c r="D579" s="54" t="b">
        <f>OR($Q585=0,$R585=0,$Q583=0,$R583=0)</f>
        <v>1</v>
      </c>
      <c r="E579" s="54"/>
      <c r="F579" s="54" t="b">
        <f>OR($Q585=0,$V585=0,$Q583=0,$V583=0)</f>
        <v>1</v>
      </c>
      <c r="H579" s="371"/>
      <c r="I579" s="94"/>
      <c r="J579" s="57"/>
      <c r="K579" s="99"/>
      <c r="L579" s="533"/>
      <c r="M579" s="543" t="str">
        <f>_xll.DBRA(Server&amp;$B$32,$B579,$N$19)</f>
        <v>O - Other op. cost variance not addressed due to missing Work Unit(s)</v>
      </c>
      <c r="N579" s="543"/>
      <c r="O579" s="544"/>
      <c r="P579" s="250"/>
      <c r="Q579" s="251"/>
      <c r="R579" s="252"/>
      <c r="S579" s="253">
        <f>IF(D579,S$111-S575-S576-S577-S581,0)</f>
        <v>-50423509.68999999</v>
      </c>
      <c r="T579" s="299">
        <f>IF(ISERROR(S579/$Q$36*100),,S579/$Q$36*100)</f>
        <v>-22.225154919130276</v>
      </c>
      <c r="U579" s="254"/>
      <c r="V579" s="255"/>
      <c r="W579" s="249">
        <f>IF(F579,$W$111-W575-W576-W577-W581,0)</f>
        <v>-11565693.480092764</v>
      </c>
      <c r="X579" s="299">
        <f>IF(ISERROR(W579/$Q$36*100),,W579/$Q$36*100)</f>
        <v>-5.0978071721416649</v>
      </c>
      <c r="Y579" s="100"/>
      <c r="Z579" s="388"/>
      <c r="AA579" s="99"/>
      <c r="AB579" s="251"/>
      <c r="AC579" s="251"/>
      <c r="AD579" s="406"/>
      <c r="AE579" s="388"/>
      <c r="AF579" s="251"/>
      <c r="AG579" s="251"/>
      <c r="AH579" s="406"/>
      <c r="AI579" s="388"/>
      <c r="AJ579" s="251"/>
      <c r="AK579" s="251"/>
      <c r="AL579" s="406"/>
      <c r="AM579" s="388"/>
      <c r="AN579" s="251"/>
      <c r="AO579" s="251"/>
      <c r="AP579" s="406"/>
      <c r="AQ579" s="388"/>
      <c r="AR579" s="251"/>
      <c r="AS579" s="251"/>
      <c r="AT579" s="406"/>
      <c r="AU579" s="388"/>
      <c r="AV579" s="251"/>
      <c r="AW579" s="251"/>
      <c r="AX579" s="406"/>
      <c r="AY579" s="388"/>
      <c r="AZ579" s="251"/>
      <c r="BA579" s="251"/>
      <c r="BB579" s="406"/>
      <c r="BC579" s="388"/>
      <c r="BD579" s="251"/>
      <c r="BE579" s="251"/>
      <c r="BF579" s="406"/>
      <c r="BG579" s="388"/>
      <c r="BH579" s="251"/>
      <c r="BI579" s="251"/>
      <c r="BJ579" s="406"/>
      <c r="BK579" s="388"/>
      <c r="BL579" s="251"/>
      <c r="BM579" s="251"/>
      <c r="BN579" s="406"/>
      <c r="BO579" s="388"/>
      <c r="BP579" s="251"/>
      <c r="BQ579" s="251"/>
      <c r="BR579" s="406"/>
      <c r="BS579" s="388"/>
      <c r="BT579" s="251"/>
      <c r="BU579" s="251"/>
      <c r="BV579" s="406"/>
      <c r="BW579" s="100"/>
      <c r="BX579" s="28"/>
    </row>
    <row r="580" spans="1:78" s="34" customFormat="1" ht="22.5" customHeight="1" collapsed="1" thickTop="1" x14ac:dyDescent="0.75">
      <c r="A580" s="56"/>
      <c r="B580" s="54" t="s">
        <v>140</v>
      </c>
      <c r="C580" s="9"/>
      <c r="D580" s="1"/>
      <c r="E580" s="1"/>
      <c r="H580" s="54"/>
      <c r="I580" s="94"/>
      <c r="J580" s="57"/>
      <c r="K580" s="99"/>
      <c r="L580" s="533"/>
      <c r="M580" s="537" t="str">
        <f>_xll.DBRA(Server&amp;$B$32,$B580,$N$19)</f>
        <v>O - Part of Other op. cost variance due to Level 2 ratios change</v>
      </c>
      <c r="N580" s="537"/>
      <c r="O580" s="538"/>
      <c r="P580" s="256"/>
      <c r="Q580" s="257"/>
      <c r="R580" s="258"/>
      <c r="S580" s="259">
        <f>SUM(S575:S579)</f>
        <v>-50423509.68999999</v>
      </c>
      <c r="T580" s="300">
        <f>-(Q570-R570)*100</f>
        <v>0</v>
      </c>
      <c r="U580" s="260"/>
      <c r="V580" s="261"/>
      <c r="W580" s="259">
        <f>SUM(W575:W579)</f>
        <v>-11565693.480092764</v>
      </c>
      <c r="X580" s="300">
        <f>-($Q570-V570)*100</f>
        <v>0</v>
      </c>
      <c r="Y580" s="100"/>
      <c r="Z580" s="388"/>
      <c r="AA580" s="99"/>
      <c r="AB580" s="257"/>
      <c r="AC580" s="257"/>
      <c r="AD580" s="407"/>
      <c r="AE580" s="388"/>
      <c r="AF580" s="257"/>
      <c r="AG580" s="257"/>
      <c r="AH580" s="407"/>
      <c r="AI580" s="388"/>
      <c r="AJ580" s="257"/>
      <c r="AK580" s="257"/>
      <c r="AL580" s="407"/>
      <c r="AM580" s="388"/>
      <c r="AN580" s="257"/>
      <c r="AO580" s="257"/>
      <c r="AP580" s="407"/>
      <c r="AQ580" s="388"/>
      <c r="AR580" s="257"/>
      <c r="AS580" s="257"/>
      <c r="AT580" s="407"/>
      <c r="AU580" s="388"/>
      <c r="AV580" s="257"/>
      <c r="AW580" s="257"/>
      <c r="AX580" s="407"/>
      <c r="AY580" s="388"/>
      <c r="AZ580" s="257"/>
      <c r="BA580" s="257"/>
      <c r="BB580" s="407"/>
      <c r="BC580" s="388"/>
      <c r="BD580" s="257"/>
      <c r="BE580" s="257"/>
      <c r="BF580" s="407"/>
      <c r="BG580" s="388"/>
      <c r="BH580" s="257"/>
      <c r="BI580" s="257"/>
      <c r="BJ580" s="407"/>
      <c r="BK580" s="388"/>
      <c r="BL580" s="257"/>
      <c r="BM580" s="257"/>
      <c r="BN580" s="407"/>
      <c r="BO580" s="388"/>
      <c r="BP580" s="257"/>
      <c r="BQ580" s="257"/>
      <c r="BR580" s="407"/>
      <c r="BS580" s="388"/>
      <c r="BT580" s="257"/>
      <c r="BU580" s="257"/>
      <c r="BV580" s="407"/>
      <c r="BW580" s="100"/>
      <c r="BX580" s="28"/>
    </row>
    <row r="581" spans="1:78" s="34" customFormat="1" ht="22.5" customHeight="1" x14ac:dyDescent="0.75">
      <c r="A581" s="56"/>
      <c r="B581" s="54" t="s">
        <v>139</v>
      </c>
      <c r="C581" s="9"/>
      <c r="D581" s="1"/>
      <c r="E581" s="1"/>
      <c r="H581" s="54"/>
      <c r="I581" s="94"/>
      <c r="J581" s="57"/>
      <c r="K581" s="99"/>
      <c r="L581" s="534"/>
      <c r="M581" s="539" t="str">
        <f>_xll.DBRA(Server&amp;$B$32,$B581,$N$19)</f>
        <v>O - Part of Other op. cost variance due to ROA change</v>
      </c>
      <c r="N581" s="539"/>
      <c r="O581" s="540"/>
      <c r="P581" s="262"/>
      <c r="Q581" s="263"/>
      <c r="R581" s="264"/>
      <c r="S581" s="265">
        <f>(IF($R$36&lt;&gt;0,IF($R$36&gt;0,$S$36/$R$36,-$S$36/$R$36),0))*R111</f>
        <v>0</v>
      </c>
      <c r="T581" s="266"/>
      <c r="U581" s="267"/>
      <c r="V581" s="268"/>
      <c r="W581" s="265">
        <f>(IF($V$36&lt;&gt;0,IF($V$36&gt;0,$W$36/$V$36,-$W$36/$V$36),0))*V111</f>
        <v>1187766707.9526699</v>
      </c>
      <c r="X581" s="266"/>
      <c r="Y581" s="100"/>
      <c r="Z581" s="388"/>
      <c r="AA581" s="99"/>
      <c r="AB581" s="263"/>
      <c r="AC581" s="263"/>
      <c r="AD581" s="408"/>
      <c r="AE581" s="388"/>
      <c r="AF581" s="263"/>
      <c r="AG581" s="263"/>
      <c r="AH581" s="408"/>
      <c r="AI581" s="388"/>
      <c r="AJ581" s="263"/>
      <c r="AK581" s="263"/>
      <c r="AL581" s="408"/>
      <c r="AM581" s="388"/>
      <c r="AN581" s="263"/>
      <c r="AO581" s="263"/>
      <c r="AP581" s="408"/>
      <c r="AQ581" s="388"/>
      <c r="AR581" s="263"/>
      <c r="AS581" s="263"/>
      <c r="AT581" s="408"/>
      <c r="AU581" s="388"/>
      <c r="AV581" s="263"/>
      <c r="AW581" s="263"/>
      <c r="AX581" s="408"/>
      <c r="AY581" s="388"/>
      <c r="AZ581" s="263"/>
      <c r="BA581" s="263"/>
      <c r="BB581" s="408"/>
      <c r="BC581" s="388"/>
      <c r="BD581" s="263"/>
      <c r="BE581" s="263"/>
      <c r="BF581" s="408"/>
      <c r="BG581" s="388"/>
      <c r="BH581" s="263"/>
      <c r="BI581" s="263"/>
      <c r="BJ581" s="408"/>
      <c r="BK581" s="388"/>
      <c r="BL581" s="263"/>
      <c r="BM581" s="263"/>
      <c r="BN581" s="408"/>
      <c r="BO581" s="388"/>
      <c r="BP581" s="263"/>
      <c r="BQ581" s="263"/>
      <c r="BR581" s="408"/>
      <c r="BS581" s="388"/>
      <c r="BT581" s="263"/>
      <c r="BU581" s="263"/>
      <c r="BV581" s="408"/>
      <c r="BW581" s="100"/>
      <c r="BX581" s="28"/>
    </row>
    <row r="582" spans="1:78" s="34" customFormat="1" ht="21" customHeight="1" collapsed="1" x14ac:dyDescent="0.8">
      <c r="A582" s="56"/>
      <c r="B582" s="370" t="s">
        <v>147</v>
      </c>
      <c r="C582" s="9"/>
      <c r="D582" s="1"/>
      <c r="E582" s="1"/>
      <c r="H582" s="370"/>
      <c r="I582" s="94"/>
      <c r="J582" s="57"/>
      <c r="K582" s="99"/>
      <c r="L582" s="525" t="str">
        <f>_xll.DBRA(Server&amp;Context!$B$32,Context!$B$60,$N$19)</f>
        <v>Total Other op. cost variance (impact on Gross Margin variance)</v>
      </c>
      <c r="M582" s="526"/>
      <c r="N582" s="526"/>
      <c r="O582" s="527"/>
      <c r="P582" s="207"/>
      <c r="Q582" s="269"/>
      <c r="R582" s="270"/>
      <c r="S582" s="271">
        <f>SUM(S580:S581)</f>
        <v>-50423509.68999999</v>
      </c>
      <c r="T582" s="272"/>
      <c r="U582" s="241"/>
      <c r="V582" s="273"/>
      <c r="W582" s="271">
        <f>SUM(W580:W581)</f>
        <v>1176201014.4725771</v>
      </c>
      <c r="X582" s="272"/>
      <c r="Y582" s="100"/>
      <c r="Z582" s="388"/>
      <c r="AA582" s="99"/>
      <c r="AB582" s="269"/>
      <c r="AC582" s="269"/>
      <c r="AD582" s="409"/>
      <c r="AE582" s="388"/>
      <c r="AF582" s="269"/>
      <c r="AG582" s="269"/>
      <c r="AH582" s="409"/>
      <c r="AI582" s="388"/>
      <c r="AJ582" s="269"/>
      <c r="AK582" s="269"/>
      <c r="AL582" s="409"/>
      <c r="AM582" s="388"/>
      <c r="AN582" s="269"/>
      <c r="AO582" s="269"/>
      <c r="AP582" s="409"/>
      <c r="AQ582" s="388"/>
      <c r="AR582" s="269"/>
      <c r="AS582" s="269"/>
      <c r="AT582" s="409"/>
      <c r="AU582" s="388"/>
      <c r="AV582" s="269"/>
      <c r="AW582" s="269"/>
      <c r="AX582" s="409"/>
      <c r="AY582" s="388"/>
      <c r="AZ582" s="269"/>
      <c r="BA582" s="269"/>
      <c r="BB582" s="409"/>
      <c r="BC582" s="388"/>
      <c r="BD582" s="269"/>
      <c r="BE582" s="269"/>
      <c r="BF582" s="409"/>
      <c r="BG582" s="388"/>
      <c r="BH582" s="269"/>
      <c r="BI582" s="269"/>
      <c r="BJ582" s="409"/>
      <c r="BK582" s="388"/>
      <c r="BL582" s="269"/>
      <c r="BM582" s="269"/>
      <c r="BN582" s="409"/>
      <c r="BO582" s="388"/>
      <c r="BP582" s="269"/>
      <c r="BQ582" s="269"/>
      <c r="BR582" s="409"/>
      <c r="BS582" s="388"/>
      <c r="BT582" s="269"/>
      <c r="BU582" s="269"/>
      <c r="BV582" s="409"/>
      <c r="BW582" s="100"/>
      <c r="BX582" s="28"/>
    </row>
    <row r="583" spans="1:78" s="34" customFormat="1" ht="18.75" hidden="1" customHeight="1" outlineLevel="1" x14ac:dyDescent="0.8">
      <c r="A583" s="135" t="str">
        <f>_xll.DBR(Server&amp;Cube2,$N$15,$N$13,$B583,IF($N$19="French","STR_VAR3","STR_VAR2"))</f>
        <v/>
      </c>
      <c r="B583" s="54" t="s">
        <v>149</v>
      </c>
      <c r="C583" s="135" t="str">
        <f>_xll.DBR(Server&amp;Cube2,$N$15,$N$13,$B583,"STR_VAR1")</f>
        <v/>
      </c>
      <c r="D583" s="1"/>
      <c r="E583" s="1"/>
      <c r="H583" s="54"/>
      <c r="I583" s="1"/>
      <c r="J583" s="30"/>
      <c r="K583" s="99"/>
      <c r="L583" s="102"/>
      <c r="M583" s="294" t="str">
        <f>_xll.DBRA(Server&amp;$B$32,$B583,$N$19)&amp;"      ---&gt;"</f>
        <v>Other Op. - Cost Work Unit      ---&gt;</v>
      </c>
      <c r="N583" s="294"/>
      <c r="O583" s="412" t="str">
        <f>IF(A583="",_xll.DBRA(Server&amp;Context!$B$32,Context!$B$66,$N$19),_xll.DBRA(Server&amp;$B$32,$A583,$N$19))</f>
        <v>Not defined</v>
      </c>
      <c r="P583" s="207"/>
      <c r="Q583" s="274">
        <f>_xll.DBRW(Server&amp;Cube1,$N$15,$N$16,$N$17,$N$18,$N$14,$N$13,$N$11,$Q$1,$B583)</f>
        <v>0</v>
      </c>
      <c r="R583" s="275">
        <f>_xll.DBRW(Server&amp;Cube1,$N$15,$N$16,$N$17,$N$18,$N$14,$N$13,$R$2,$R$1,$B583)</f>
        <v>0</v>
      </c>
      <c r="S583" s="276">
        <f>Q583-R583</f>
        <v>0</v>
      </c>
      <c r="T583" s="277">
        <f>IF(R583&lt;&gt;0,IF(R583&gt;0,S583/R583,-S583/R583),0)</f>
        <v>0</v>
      </c>
      <c r="U583" s="239"/>
      <c r="V583" s="274">
        <f>_xll.DBRW(Server&amp;Cube1,$N$15,$N$16,$N$17,$N$18,$N$14,$N$13,$V$2,$V$1,$B583)</f>
        <v>0</v>
      </c>
      <c r="W583" s="276">
        <f>$Q583-V583</f>
        <v>0</v>
      </c>
      <c r="X583" s="277">
        <f>IF(V583&lt;&gt;0,IF(V583&gt;0,W583/V583,-W583/V583),0)</f>
        <v>0</v>
      </c>
      <c r="Y583" s="209"/>
      <c r="Z583" s="386"/>
      <c r="AA583" s="99"/>
      <c r="AB583" s="274">
        <f>_xll.DBRW(Server&amp;Cube1,$N$15,$N$16,$N$17,$N$18,$N$14,$N$13,AB$2,AB$1,$B583)</f>
        <v>0</v>
      </c>
      <c r="AC583" s="274">
        <f>_xll.DBRW(Server&amp;Cube1,$N$15,$N$16,$N$17,$N$18,$N$14,$N$13,AC$2,AC$1,$B583)</f>
        <v>0</v>
      </c>
      <c r="AD583" s="401">
        <f>_xll.DBRW(Server&amp;Cube1,$N$15,$N$16,$N$17,$N$18,$N$14,$N$13,AD$2,AD$1,$B583)</f>
        <v>0</v>
      </c>
      <c r="AE583" s="386"/>
      <c r="AF583" s="274">
        <f>_xll.DBRW(Server&amp;Cube1,$N$15,$N$16,$N$17,$N$18,$N$14,$N$13,AF$2,AF$1,$B583)</f>
        <v>0</v>
      </c>
      <c r="AG583" s="274">
        <f>_xll.DBRW(Server&amp;Cube1,$N$15,$N$16,$N$17,$N$18,$N$14,$N$13,AG$2,AG$1,$B583)</f>
        <v>0</v>
      </c>
      <c r="AH583" s="401">
        <f>_xll.DBRW(Server&amp;Cube1,$N$15,$N$16,$N$17,$N$18,$N$14,$N$13,AH$2,AH$1,$B583)</f>
        <v>0</v>
      </c>
      <c r="AI583" s="386"/>
      <c r="AJ583" s="274">
        <f>_xll.DBRW(Server&amp;Cube1,$N$15,$N$16,$N$17,$N$18,$N$14,$N$13,AJ$2,AJ$1,$B583)</f>
        <v>0</v>
      </c>
      <c r="AK583" s="274">
        <f>_xll.DBRW(Server&amp;Cube1,$N$15,$N$16,$N$17,$N$18,$N$14,$N$13,AK$2,AK$1,$B583)</f>
        <v>0</v>
      </c>
      <c r="AL583" s="401">
        <f>_xll.DBRW(Server&amp;Cube1,$N$15,$N$16,$N$17,$N$18,$N$14,$N$13,AL$2,AL$1,$B583)</f>
        <v>0</v>
      </c>
      <c r="AM583" s="386"/>
      <c r="AN583" s="274">
        <f>_xll.DBRW(Server&amp;Cube1,$N$15,$N$16,$N$17,$N$18,$N$14,$N$13,AN$2,AN$1,$B583)</f>
        <v>0</v>
      </c>
      <c r="AO583" s="274">
        <f>_xll.DBRW(Server&amp;Cube1,$N$15,$N$16,$N$17,$N$18,$N$14,$N$13,AO$2,AO$1,$B583)</f>
        <v>0</v>
      </c>
      <c r="AP583" s="401">
        <f>_xll.DBRW(Server&amp;Cube1,$N$15,$N$16,$N$17,$N$18,$N$14,$N$13,AP$2,AP$1,$B583)</f>
        <v>0</v>
      </c>
      <c r="AQ583" s="386"/>
      <c r="AR583" s="274">
        <f>_xll.DBRW(Server&amp;Cube1,$N$15,$N$16,$N$17,$N$18,$N$14,$N$13,AR$2,AR$1,$B583)</f>
        <v>0</v>
      </c>
      <c r="AS583" s="274">
        <f>_xll.DBRW(Server&amp;Cube1,$N$15,$N$16,$N$17,$N$18,$N$14,$N$13,AS$2,AS$1,$B583)</f>
        <v>0</v>
      </c>
      <c r="AT583" s="401">
        <f>_xll.DBRW(Server&amp;Cube1,$N$15,$N$16,$N$17,$N$18,$N$14,$N$13,AT$2,AT$1,$B583)</f>
        <v>0</v>
      </c>
      <c r="AU583" s="386"/>
      <c r="AV583" s="274">
        <f>_xll.DBRW(Server&amp;Cube1,$N$15,$N$16,$N$17,$N$18,$N$14,$N$13,AV$2,AV$1,$B583)</f>
        <v>0</v>
      </c>
      <c r="AW583" s="274">
        <f>_xll.DBRW(Server&amp;Cube1,$N$15,$N$16,$N$17,$N$18,$N$14,$N$13,AW$2,AW$1,$B583)</f>
        <v>0</v>
      </c>
      <c r="AX583" s="401">
        <f>_xll.DBRW(Server&amp;Cube1,$N$15,$N$16,$N$17,$N$18,$N$14,$N$13,AX$2,AX$1,$B583)</f>
        <v>0</v>
      </c>
      <c r="AY583" s="386"/>
      <c r="AZ583" s="274">
        <f>_xll.DBRW(Server&amp;Cube1,$N$15,$N$16,$N$17,$N$18,$N$14,$N$13,AZ$2,AZ$1,$B583)</f>
        <v>0</v>
      </c>
      <c r="BA583" s="274">
        <f>_xll.DBRW(Server&amp;Cube1,$N$15,$N$16,$N$17,$N$18,$N$14,$N$13,BA$2,BA$1,$B583)</f>
        <v>0</v>
      </c>
      <c r="BB583" s="401">
        <f>_xll.DBRW(Server&amp;Cube1,$N$15,$N$16,$N$17,$N$18,$N$14,$N$13,BB$2,BB$1,$B583)</f>
        <v>0</v>
      </c>
      <c r="BC583" s="386"/>
      <c r="BD583" s="274">
        <f>_xll.DBRW(Server&amp;Cube1,$N$15,$N$16,$N$17,$N$18,$N$14,$N$13,BD$2,BD$1,$B583)</f>
        <v>0</v>
      </c>
      <c r="BE583" s="274">
        <f>_xll.DBRW(Server&amp;Cube1,$N$15,$N$16,$N$17,$N$18,$N$14,$N$13,BE$2,BE$1,$B583)</f>
        <v>0</v>
      </c>
      <c r="BF583" s="401">
        <f>_xll.DBRW(Server&amp;Cube1,$N$15,$N$16,$N$17,$N$18,$N$14,$N$13,BF$2,BF$1,$B583)</f>
        <v>0</v>
      </c>
      <c r="BG583" s="386"/>
      <c r="BH583" s="274">
        <f>_xll.DBRW(Server&amp;Cube1,$N$15,$N$16,$N$17,$N$18,$N$14,$N$13,BH$2,BH$1,$B583)</f>
        <v>0</v>
      </c>
      <c r="BI583" s="274">
        <f>_xll.DBRW(Server&amp;Cube1,$N$15,$N$16,$N$17,$N$18,$N$14,$N$13,BI$2,BI$1,$B583)</f>
        <v>0</v>
      </c>
      <c r="BJ583" s="401">
        <f>_xll.DBRW(Server&amp;Cube1,$N$15,$N$16,$N$17,$N$18,$N$14,$N$13,BJ$2,BJ$1,$B583)</f>
        <v>0</v>
      </c>
      <c r="BK583" s="386"/>
      <c r="BL583" s="274">
        <f>_xll.DBRW(Server&amp;Cube1,$N$15,$N$16,$N$17,$N$18,$N$14,$N$13,BL$2,BL$1,$B583)</f>
        <v>0</v>
      </c>
      <c r="BM583" s="274">
        <f>_xll.DBRW(Server&amp;Cube1,$N$15,$N$16,$N$17,$N$18,$N$14,$N$13,BM$2,BM$1,$B583)</f>
        <v>0</v>
      </c>
      <c r="BN583" s="401">
        <f>_xll.DBRW(Server&amp;Cube1,$N$15,$N$16,$N$17,$N$18,$N$14,$N$13,BN$2,BN$1,$B583)</f>
        <v>0</v>
      </c>
      <c r="BO583" s="386"/>
      <c r="BP583" s="274">
        <f>_xll.DBRW(Server&amp;Cube1,$N$15,$N$16,$N$17,$N$18,$N$14,$N$13,BP$2,BP$1,$B583)</f>
        <v>0</v>
      </c>
      <c r="BQ583" s="274">
        <f>_xll.DBRW(Server&amp;Cube1,$N$15,$N$16,$N$17,$N$18,$N$14,$N$13,BQ$2,BQ$1,$B583)</f>
        <v>0</v>
      </c>
      <c r="BR583" s="401">
        <f>_xll.DBRW(Server&amp;Cube1,$N$15,$N$16,$N$17,$N$18,$N$14,$N$13,BR$2,BR$1,$B583)</f>
        <v>0</v>
      </c>
      <c r="BS583" s="386"/>
      <c r="BT583" s="274">
        <f>_xll.DBRW(Server&amp;Cube1,$N$15,$N$16,$N$17,$N$18,$N$14,$N$13,BT$2,BT$1,$B583)</f>
        <v>0</v>
      </c>
      <c r="BU583" s="274">
        <f>_xll.DBRW(Server&amp;Cube1,$N$15,$N$16,$N$17,$N$18,$N$14,$N$13,BU$2,BU$1,$B583)</f>
        <v>0</v>
      </c>
      <c r="BV583" s="401">
        <f>_xll.DBRW(Server&amp;Cube1,$N$15,$N$16,$N$17,$N$18,$N$14,$N$13,BV$2,BV$1,$B583)</f>
        <v>0</v>
      </c>
      <c r="BW583" s="209"/>
      <c r="BX583" s="78"/>
      <c r="BY583" s="54"/>
      <c r="BZ583" s="361"/>
    </row>
    <row r="584" spans="1:78" s="34" customFormat="1" ht="9" hidden="1" customHeight="1" outlineLevel="1" x14ac:dyDescent="0.8">
      <c r="A584" s="135"/>
      <c r="B584" s="54"/>
      <c r="C584" s="135"/>
      <c r="D584" s="1"/>
      <c r="E584" s="1"/>
      <c r="H584" s="54"/>
      <c r="I584" s="1"/>
      <c r="J584" s="30"/>
      <c r="K584" s="99"/>
      <c r="L584" s="102"/>
      <c r="M584" s="295"/>
      <c r="N584" s="295"/>
      <c r="O584" s="456" t="str">
        <f>IF(COUNTIF($C583,"*Tot_km*"),$B$6,IF(COUNTIF($C583,"Tot_nb_vehicle"),$B$7,IF(COUNTIF($C583,"Rev_km"),$B$8,IF(COUNTIF($C583,"Tot_driv_hours"),$B$9,""))))</f>
        <v/>
      </c>
      <c r="P584" s="207"/>
      <c r="Q584" s="438"/>
      <c r="R584" s="439"/>
      <c r="S584" s="440"/>
      <c r="T584" s="441"/>
      <c r="U584" s="239"/>
      <c r="V584" s="438"/>
      <c r="W584" s="440"/>
      <c r="X584" s="441"/>
      <c r="Y584" s="209"/>
      <c r="Z584" s="386"/>
      <c r="AA584" s="99"/>
      <c r="AB584" s="438"/>
      <c r="AC584" s="438"/>
      <c r="AD584" s="442"/>
      <c r="AE584" s="386"/>
      <c r="AF584" s="438"/>
      <c r="AG584" s="438"/>
      <c r="AH584" s="442"/>
      <c r="AI584" s="386"/>
      <c r="AJ584" s="438"/>
      <c r="AK584" s="438"/>
      <c r="AL584" s="442"/>
      <c r="AM584" s="386"/>
      <c r="AN584" s="438"/>
      <c r="AO584" s="438"/>
      <c r="AP584" s="442"/>
      <c r="AQ584" s="386"/>
      <c r="AR584" s="438"/>
      <c r="AS584" s="438"/>
      <c r="AT584" s="442"/>
      <c r="AU584" s="386"/>
      <c r="AV584" s="438"/>
      <c r="AW584" s="438"/>
      <c r="AX584" s="442"/>
      <c r="AY584" s="386"/>
      <c r="AZ584" s="438"/>
      <c r="BA584" s="438"/>
      <c r="BB584" s="442"/>
      <c r="BC584" s="386"/>
      <c r="BD584" s="438"/>
      <c r="BE584" s="438"/>
      <c r="BF584" s="442"/>
      <c r="BG584" s="386"/>
      <c r="BH584" s="438"/>
      <c r="BI584" s="438"/>
      <c r="BJ584" s="442"/>
      <c r="BK584" s="386"/>
      <c r="BL584" s="438"/>
      <c r="BM584" s="438"/>
      <c r="BN584" s="442"/>
      <c r="BO584" s="386"/>
      <c r="BP584" s="438"/>
      <c r="BQ584" s="438"/>
      <c r="BR584" s="442"/>
      <c r="BS584" s="386"/>
      <c r="BT584" s="438"/>
      <c r="BU584" s="438"/>
      <c r="BV584" s="442"/>
      <c r="BW584" s="209"/>
      <c r="BX584" s="78"/>
      <c r="BY584" s="54"/>
      <c r="BZ584" s="361"/>
    </row>
    <row r="585" spans="1:78" s="34" customFormat="1" ht="18.75" hidden="1" customHeight="1" outlineLevel="1" x14ac:dyDescent="0.8">
      <c r="A585" s="135" t="str">
        <f>_xll.DBR(Server&amp;Cube2,$N$15,$N$13,$B585,IF($N$19="French","STR_VAR3","STR_VAR2"))</f>
        <v/>
      </c>
      <c r="B585" s="54" t="s">
        <v>150</v>
      </c>
      <c r="C585" s="135" t="str">
        <f>_xll.DBR(Server&amp;Cube2,$N$15,$N$13,$B585,"STR_VAR1")</f>
        <v/>
      </c>
      <c r="D585" s="1"/>
      <c r="E585" s="1"/>
      <c r="H585" s="54"/>
      <c r="I585" s="1"/>
      <c r="J585" s="30"/>
      <c r="K585" s="99"/>
      <c r="L585" s="102"/>
      <c r="M585" s="295" t="str">
        <f>_xll.DBRA(Server&amp;$B$32,$B585,$N$19)&amp;"     ---&gt;"</f>
        <v>Other Op. - Price Work Unit     ---&gt;</v>
      </c>
      <c r="N585" s="295"/>
      <c r="O585" s="412" t="str">
        <f>IF(A585="",_xll.DBRA(Server&amp;Context!$B$32,Context!$B$66,$N$19),_xll.DBRA(Server&amp;$B$32,$A585,$N$19))</f>
        <v>Not defined</v>
      </c>
      <c r="P585" s="207"/>
      <c r="Q585" s="278">
        <f>_xll.DBRW(Server&amp;Cube1,$N$15,$N$16,$N$17,$N$18,$N$14,$N$13,$N$11,$Q$1,$B585)</f>
        <v>0</v>
      </c>
      <c r="R585" s="279">
        <f>_xll.DBRW(Server&amp;Cube1,$N$15,$N$16,$N$17,$N$18,$N$14,$N$13,$R$2,$R$1,$B585)</f>
        <v>0</v>
      </c>
      <c r="S585" s="280">
        <f>Q585-R585</f>
        <v>0</v>
      </c>
      <c r="T585" s="281">
        <f>IF(R585&lt;&gt;0,IF(R585&gt;0,S585/R585,-S585/R585),0)</f>
        <v>0</v>
      </c>
      <c r="U585" s="239"/>
      <c r="V585" s="278">
        <f>_xll.DBRW(Server&amp;Cube1,$N$15,$N$16,$N$17,$N$18,$N$14,$N$13,$V$2,$V$1,$B585)</f>
        <v>0</v>
      </c>
      <c r="W585" s="280">
        <f>$Q585-V585</f>
        <v>0</v>
      </c>
      <c r="X585" s="281">
        <f>IF(V585&lt;&gt;0,IF(V585&gt;0,W585/V585,-W585/V585),0)</f>
        <v>0</v>
      </c>
      <c r="Y585" s="209"/>
      <c r="Z585" s="386"/>
      <c r="AA585" s="99"/>
      <c r="AB585" s="278">
        <f>_xll.DBRW(Server&amp;Cube1,$N$15,$N$16,$N$17,$N$18,$N$14,$N$13,AB$2,AB$1,$B585)</f>
        <v>0</v>
      </c>
      <c r="AC585" s="278">
        <f>_xll.DBRW(Server&amp;Cube1,$N$15,$N$16,$N$17,$N$18,$N$14,$N$13,AC$2,AC$1,$B585)</f>
        <v>0</v>
      </c>
      <c r="AD585" s="402">
        <f>_xll.DBRW(Server&amp;Cube1,$N$15,$N$16,$N$17,$N$18,$N$14,$N$13,AD$2,AD$1,$B585)</f>
        <v>0</v>
      </c>
      <c r="AE585" s="386"/>
      <c r="AF585" s="278">
        <f>_xll.DBRW(Server&amp;Cube1,$N$15,$N$16,$N$17,$N$18,$N$14,$N$13,AF$2,AF$1,$B585)</f>
        <v>0</v>
      </c>
      <c r="AG585" s="278">
        <f>_xll.DBRW(Server&amp;Cube1,$N$15,$N$16,$N$17,$N$18,$N$14,$N$13,AG$2,AG$1,$B585)</f>
        <v>0</v>
      </c>
      <c r="AH585" s="402">
        <f>_xll.DBRW(Server&amp;Cube1,$N$15,$N$16,$N$17,$N$18,$N$14,$N$13,AH$2,AH$1,$B585)</f>
        <v>0</v>
      </c>
      <c r="AI585" s="386"/>
      <c r="AJ585" s="278">
        <f>_xll.DBRW(Server&amp;Cube1,$N$15,$N$16,$N$17,$N$18,$N$14,$N$13,AJ$2,AJ$1,$B585)</f>
        <v>0</v>
      </c>
      <c r="AK585" s="278">
        <f>_xll.DBRW(Server&amp;Cube1,$N$15,$N$16,$N$17,$N$18,$N$14,$N$13,AK$2,AK$1,$B585)</f>
        <v>0</v>
      </c>
      <c r="AL585" s="402">
        <f>_xll.DBRW(Server&amp;Cube1,$N$15,$N$16,$N$17,$N$18,$N$14,$N$13,AL$2,AL$1,$B585)</f>
        <v>0</v>
      </c>
      <c r="AM585" s="386"/>
      <c r="AN585" s="278">
        <f>_xll.DBRW(Server&amp;Cube1,$N$15,$N$16,$N$17,$N$18,$N$14,$N$13,AN$2,AN$1,$B585)</f>
        <v>0</v>
      </c>
      <c r="AO585" s="278">
        <f>_xll.DBRW(Server&amp;Cube1,$N$15,$N$16,$N$17,$N$18,$N$14,$N$13,AO$2,AO$1,$B585)</f>
        <v>0</v>
      </c>
      <c r="AP585" s="402">
        <f>_xll.DBRW(Server&amp;Cube1,$N$15,$N$16,$N$17,$N$18,$N$14,$N$13,AP$2,AP$1,$B585)</f>
        <v>0</v>
      </c>
      <c r="AQ585" s="386"/>
      <c r="AR585" s="278">
        <f>_xll.DBRW(Server&amp;Cube1,$N$15,$N$16,$N$17,$N$18,$N$14,$N$13,AR$2,AR$1,$B585)</f>
        <v>0</v>
      </c>
      <c r="AS585" s="278">
        <f>_xll.DBRW(Server&amp;Cube1,$N$15,$N$16,$N$17,$N$18,$N$14,$N$13,AS$2,AS$1,$B585)</f>
        <v>0</v>
      </c>
      <c r="AT585" s="402">
        <f>_xll.DBRW(Server&amp;Cube1,$N$15,$N$16,$N$17,$N$18,$N$14,$N$13,AT$2,AT$1,$B585)</f>
        <v>0</v>
      </c>
      <c r="AU585" s="386"/>
      <c r="AV585" s="278">
        <f>_xll.DBRW(Server&amp;Cube1,$N$15,$N$16,$N$17,$N$18,$N$14,$N$13,AV$2,AV$1,$B585)</f>
        <v>0</v>
      </c>
      <c r="AW585" s="278">
        <f>_xll.DBRW(Server&amp;Cube1,$N$15,$N$16,$N$17,$N$18,$N$14,$N$13,AW$2,AW$1,$B585)</f>
        <v>0</v>
      </c>
      <c r="AX585" s="402">
        <f>_xll.DBRW(Server&amp;Cube1,$N$15,$N$16,$N$17,$N$18,$N$14,$N$13,AX$2,AX$1,$B585)</f>
        <v>0</v>
      </c>
      <c r="AY585" s="386"/>
      <c r="AZ585" s="278">
        <f>_xll.DBRW(Server&amp;Cube1,$N$15,$N$16,$N$17,$N$18,$N$14,$N$13,AZ$2,AZ$1,$B585)</f>
        <v>0</v>
      </c>
      <c r="BA585" s="278">
        <f>_xll.DBRW(Server&amp;Cube1,$N$15,$N$16,$N$17,$N$18,$N$14,$N$13,BA$2,BA$1,$B585)</f>
        <v>0</v>
      </c>
      <c r="BB585" s="402">
        <f>_xll.DBRW(Server&amp;Cube1,$N$15,$N$16,$N$17,$N$18,$N$14,$N$13,BB$2,BB$1,$B585)</f>
        <v>0</v>
      </c>
      <c r="BC585" s="386"/>
      <c r="BD585" s="278">
        <f>_xll.DBRW(Server&amp;Cube1,$N$15,$N$16,$N$17,$N$18,$N$14,$N$13,BD$2,BD$1,$B585)</f>
        <v>0</v>
      </c>
      <c r="BE585" s="278">
        <f>_xll.DBRW(Server&amp;Cube1,$N$15,$N$16,$N$17,$N$18,$N$14,$N$13,BE$2,BE$1,$B585)</f>
        <v>0</v>
      </c>
      <c r="BF585" s="402">
        <f>_xll.DBRW(Server&amp;Cube1,$N$15,$N$16,$N$17,$N$18,$N$14,$N$13,BF$2,BF$1,$B585)</f>
        <v>0</v>
      </c>
      <c r="BG585" s="386"/>
      <c r="BH585" s="278">
        <f>_xll.DBRW(Server&amp;Cube1,$N$15,$N$16,$N$17,$N$18,$N$14,$N$13,BH$2,BH$1,$B585)</f>
        <v>0</v>
      </c>
      <c r="BI585" s="278">
        <f>_xll.DBRW(Server&amp;Cube1,$N$15,$N$16,$N$17,$N$18,$N$14,$N$13,BI$2,BI$1,$B585)</f>
        <v>0</v>
      </c>
      <c r="BJ585" s="402">
        <f>_xll.DBRW(Server&amp;Cube1,$N$15,$N$16,$N$17,$N$18,$N$14,$N$13,BJ$2,BJ$1,$B585)</f>
        <v>0</v>
      </c>
      <c r="BK585" s="386"/>
      <c r="BL585" s="278">
        <f>_xll.DBRW(Server&amp;Cube1,$N$15,$N$16,$N$17,$N$18,$N$14,$N$13,BL$2,BL$1,$B585)</f>
        <v>0</v>
      </c>
      <c r="BM585" s="278">
        <f>_xll.DBRW(Server&amp;Cube1,$N$15,$N$16,$N$17,$N$18,$N$14,$N$13,BM$2,BM$1,$B585)</f>
        <v>0</v>
      </c>
      <c r="BN585" s="402">
        <f>_xll.DBRW(Server&amp;Cube1,$N$15,$N$16,$N$17,$N$18,$N$14,$N$13,BN$2,BN$1,$B585)</f>
        <v>0</v>
      </c>
      <c r="BO585" s="386"/>
      <c r="BP585" s="278">
        <f>_xll.DBRW(Server&amp;Cube1,$N$15,$N$16,$N$17,$N$18,$N$14,$N$13,BP$2,BP$1,$B585)</f>
        <v>0</v>
      </c>
      <c r="BQ585" s="278">
        <f>_xll.DBRW(Server&amp;Cube1,$N$15,$N$16,$N$17,$N$18,$N$14,$N$13,BQ$2,BQ$1,$B585)</f>
        <v>0</v>
      </c>
      <c r="BR585" s="402">
        <f>_xll.DBRW(Server&amp;Cube1,$N$15,$N$16,$N$17,$N$18,$N$14,$N$13,BR$2,BR$1,$B585)</f>
        <v>0</v>
      </c>
      <c r="BS585" s="386"/>
      <c r="BT585" s="278">
        <f>_xll.DBRW(Server&amp;Cube1,$N$15,$N$16,$N$17,$N$18,$N$14,$N$13,BT$2,BT$1,$B585)</f>
        <v>0</v>
      </c>
      <c r="BU585" s="278">
        <f>_xll.DBRW(Server&amp;Cube1,$N$15,$N$16,$N$17,$N$18,$N$14,$N$13,BU$2,BU$1,$B585)</f>
        <v>0</v>
      </c>
      <c r="BV585" s="402">
        <f>_xll.DBRW(Server&amp;Cube1,$N$15,$N$16,$N$17,$N$18,$N$14,$N$13,BV$2,BV$1,$B585)</f>
        <v>0</v>
      </c>
      <c r="BW585" s="209"/>
      <c r="BX585" s="78"/>
      <c r="BY585" s="54"/>
    </row>
    <row r="586" spans="1:78" s="34" customFormat="1" ht="9" hidden="1" customHeight="1" outlineLevel="1" x14ac:dyDescent="0.8">
      <c r="A586" s="135"/>
      <c r="B586" s="54"/>
      <c r="C586" s="135"/>
      <c r="D586" s="1"/>
      <c r="E586" s="1"/>
      <c r="H586" s="54"/>
      <c r="I586" s="1"/>
      <c r="J586" s="30"/>
      <c r="K586" s="99"/>
      <c r="L586" s="102"/>
      <c r="M586" s="295"/>
      <c r="N586" s="295"/>
      <c r="O586" s="456" t="str">
        <f>IF(COUNTIF($C585,"*Tot_km*"),$B$6,IF(COUNTIF($C585,"Tot_nb_vehicle"),$B$7,IF(COUNTIF($C585,"Rev_km"),$B$8,IF(COUNTIF($C585,"Tot_driv_hours"),$B$9,""))))</f>
        <v/>
      </c>
      <c r="P586" s="443"/>
      <c r="Q586" s="444"/>
      <c r="R586" s="444"/>
      <c r="S586" s="440"/>
      <c r="T586" s="445"/>
      <c r="U586" s="446"/>
      <c r="V586" s="444"/>
      <c r="W586" s="440"/>
      <c r="X586" s="445"/>
      <c r="Y586" s="209"/>
      <c r="Z586" s="386"/>
      <c r="AA586" s="99"/>
      <c r="AB586" s="444"/>
      <c r="AC586" s="444"/>
      <c r="AD586" s="444"/>
      <c r="AE586" s="386"/>
      <c r="AF586" s="444"/>
      <c r="AG586" s="444"/>
      <c r="AH586" s="444"/>
      <c r="AI586" s="386"/>
      <c r="AJ586" s="444"/>
      <c r="AK586" s="444"/>
      <c r="AL586" s="444"/>
      <c r="AM586" s="386"/>
      <c r="AN586" s="444"/>
      <c r="AO586" s="444"/>
      <c r="AP586" s="444"/>
      <c r="AQ586" s="386"/>
      <c r="AR586" s="444"/>
      <c r="AS586" s="444"/>
      <c r="AT586" s="444"/>
      <c r="AU586" s="386"/>
      <c r="AV586" s="444"/>
      <c r="AW586" s="444"/>
      <c r="AX586" s="444"/>
      <c r="AY586" s="386"/>
      <c r="AZ586" s="444"/>
      <c r="BA586" s="444"/>
      <c r="BB586" s="444"/>
      <c r="BC586" s="386"/>
      <c r="BD586" s="444"/>
      <c r="BE586" s="444"/>
      <c r="BF586" s="444"/>
      <c r="BG586" s="386"/>
      <c r="BH586" s="444"/>
      <c r="BI586" s="444"/>
      <c r="BJ586" s="444"/>
      <c r="BK586" s="386"/>
      <c r="BL586" s="444"/>
      <c r="BM586" s="444"/>
      <c r="BN586" s="444"/>
      <c r="BO586" s="386"/>
      <c r="BP586" s="444"/>
      <c r="BQ586" s="444"/>
      <c r="BR586" s="444"/>
      <c r="BS586" s="386"/>
      <c r="BT586" s="444"/>
      <c r="BU586" s="444"/>
      <c r="BV586" s="444"/>
      <c r="BW586" s="209"/>
      <c r="BX586" s="78"/>
      <c r="BY586" s="54"/>
    </row>
    <row r="587" spans="1:78" s="34" customFormat="1" ht="23.25" customHeight="1" collapsed="1" x14ac:dyDescent="0.75">
      <c r="A587" s="56"/>
      <c r="B587" s="368"/>
      <c r="C587" s="9"/>
      <c r="D587" s="1"/>
      <c r="E587" s="1"/>
      <c r="H587" s="368"/>
      <c r="I587" s="94"/>
      <c r="J587" s="57"/>
      <c r="K587" s="91"/>
      <c r="L587" s="310"/>
      <c r="M587" s="156"/>
      <c r="N587" s="156"/>
      <c r="O587" s="92"/>
      <c r="P587" s="92"/>
      <c r="Q587" s="92"/>
      <c r="R587" s="92"/>
      <c r="S587" s="108"/>
      <c r="T587" s="108"/>
      <c r="U587" s="92"/>
      <c r="V587" s="92"/>
      <c r="W587" s="108"/>
      <c r="X587" s="108"/>
      <c r="Y587" s="93"/>
      <c r="Z587" s="104"/>
      <c r="AA587" s="91"/>
      <c r="AB587" s="92"/>
      <c r="AC587" s="92"/>
      <c r="AD587" s="92"/>
      <c r="AE587" s="92"/>
      <c r="AF587" s="92"/>
      <c r="AG587" s="92"/>
      <c r="AH587" s="92"/>
      <c r="AI587" s="92"/>
      <c r="AJ587" s="92"/>
      <c r="AK587" s="92"/>
      <c r="AL587" s="92"/>
      <c r="AM587" s="92"/>
      <c r="AN587" s="92"/>
      <c r="AO587" s="92"/>
      <c r="AP587" s="92"/>
      <c r="AQ587" s="92"/>
      <c r="AR587" s="92"/>
      <c r="AS587" s="92"/>
      <c r="AT587" s="92"/>
      <c r="AU587" s="92"/>
      <c r="AV587" s="92"/>
      <c r="AW587" s="92"/>
      <c r="AX587" s="92"/>
      <c r="AY587" s="92"/>
      <c r="AZ587" s="92"/>
      <c r="BA587" s="92"/>
      <c r="BB587" s="92"/>
      <c r="BC587" s="92"/>
      <c r="BD587" s="92"/>
      <c r="BE587" s="92"/>
      <c r="BF587" s="92"/>
      <c r="BG587" s="92"/>
      <c r="BH587" s="92"/>
      <c r="BI587" s="92"/>
      <c r="BJ587" s="92"/>
      <c r="BK587" s="92"/>
      <c r="BL587" s="92"/>
      <c r="BM587" s="92"/>
      <c r="BN587" s="92"/>
      <c r="BO587" s="92"/>
      <c r="BP587" s="92"/>
      <c r="BQ587" s="92"/>
      <c r="BR587" s="92"/>
      <c r="BS587" s="92"/>
      <c r="BT587" s="92"/>
      <c r="BU587" s="92"/>
      <c r="BV587" s="92"/>
      <c r="BW587" s="93"/>
      <c r="BX587" s="28"/>
    </row>
    <row r="588" spans="1:78" s="34" customFormat="1" ht="9.75" customHeight="1" x14ac:dyDescent="0.75">
      <c r="A588" s="56"/>
      <c r="B588" s="368"/>
      <c r="C588" s="9"/>
      <c r="D588" s="1"/>
      <c r="E588" s="1"/>
      <c r="H588" s="368"/>
      <c r="I588" s="94"/>
      <c r="J588" s="57"/>
      <c r="K588" s="94"/>
      <c r="L588" s="94"/>
      <c r="M588" s="94"/>
      <c r="N588" s="94"/>
      <c r="O588" s="94"/>
      <c r="P588" s="94"/>
      <c r="Q588" s="94"/>
      <c r="R588" s="94"/>
      <c r="S588" s="94"/>
      <c r="T588" s="94"/>
      <c r="U588" s="94"/>
      <c r="V588" s="94"/>
      <c r="W588" s="94"/>
      <c r="X588" s="94"/>
      <c r="Y588" s="94"/>
      <c r="Z588" s="94"/>
      <c r="AA588" s="94"/>
      <c r="AB588" s="94"/>
      <c r="AC588" s="94"/>
      <c r="AD588" s="94"/>
      <c r="AE588" s="94"/>
      <c r="AF588" s="94"/>
      <c r="AG588" s="94"/>
      <c r="AH588" s="94"/>
      <c r="AI588" s="94"/>
      <c r="AJ588" s="94"/>
      <c r="AK588" s="94"/>
      <c r="AL588" s="94"/>
      <c r="AM588" s="94"/>
      <c r="AN588" s="94"/>
      <c r="AO588" s="94"/>
      <c r="AP588" s="94"/>
      <c r="AQ588" s="94"/>
      <c r="AR588" s="94"/>
      <c r="AS588" s="94"/>
      <c r="AT588" s="94"/>
      <c r="AU588" s="94"/>
      <c r="AV588" s="94"/>
      <c r="AW588" s="94"/>
      <c r="AX588" s="94"/>
      <c r="AY588" s="94"/>
      <c r="AZ588" s="94"/>
      <c r="BA588" s="94"/>
      <c r="BB588" s="94"/>
      <c r="BC588" s="94"/>
      <c r="BD588" s="94"/>
      <c r="BE588" s="94"/>
      <c r="BF588" s="94"/>
      <c r="BG588" s="94"/>
      <c r="BH588" s="94"/>
      <c r="BI588" s="94"/>
      <c r="BJ588" s="94"/>
      <c r="BK588" s="94"/>
      <c r="BL588" s="94"/>
      <c r="BM588" s="94"/>
      <c r="BN588" s="94"/>
      <c r="BO588" s="94"/>
      <c r="BP588" s="94"/>
      <c r="BQ588" s="94"/>
      <c r="BR588" s="94"/>
      <c r="BS588" s="94"/>
      <c r="BT588" s="94"/>
      <c r="BU588" s="94"/>
      <c r="BV588" s="94"/>
      <c r="BW588" s="94"/>
      <c r="BX588" s="28"/>
    </row>
    <row r="589" spans="1:78" s="34" customFormat="1" ht="9.75" customHeight="1" x14ac:dyDescent="0.75">
      <c r="A589" s="1"/>
      <c r="B589" s="372"/>
      <c r="D589" s="1"/>
      <c r="E589" s="1"/>
      <c r="H589" s="372"/>
      <c r="I589" s="111"/>
      <c r="J589" s="185"/>
      <c r="K589" s="186"/>
      <c r="L589" s="186"/>
      <c r="M589" s="187"/>
      <c r="N589" s="187"/>
      <c r="O589" s="188"/>
      <c r="P589" s="189"/>
      <c r="Q589" s="190"/>
      <c r="R589" s="190"/>
      <c r="S589" s="191"/>
      <c r="T589" s="192"/>
      <c r="U589" s="193"/>
      <c r="V589" s="190"/>
      <c r="W589" s="191"/>
      <c r="X589" s="192"/>
      <c r="Y589" s="194"/>
      <c r="Z589" s="194"/>
      <c r="AA589" s="194"/>
      <c r="AB589" s="194"/>
      <c r="AC589" s="194"/>
      <c r="AD589" s="194"/>
      <c r="AE589" s="194"/>
      <c r="AF589" s="194"/>
      <c r="AG589" s="194"/>
      <c r="AH589" s="194"/>
      <c r="AI589" s="194"/>
      <c r="AJ589" s="194"/>
      <c r="AK589" s="194"/>
      <c r="AL589" s="194"/>
      <c r="AM589" s="194"/>
      <c r="AN589" s="194"/>
      <c r="AO589" s="194"/>
      <c r="AP589" s="194"/>
      <c r="AQ589" s="194"/>
      <c r="AR589" s="194"/>
      <c r="AS589" s="194"/>
      <c r="AT589" s="194"/>
      <c r="AU589" s="194"/>
      <c r="AV589" s="194"/>
      <c r="AW589" s="194"/>
      <c r="AX589" s="194"/>
      <c r="AY589" s="194"/>
      <c r="AZ589" s="194"/>
      <c r="BA589" s="194"/>
      <c r="BB589" s="194"/>
      <c r="BC589" s="194"/>
      <c r="BD589" s="194"/>
      <c r="BE589" s="194"/>
      <c r="BF589" s="194"/>
      <c r="BG589" s="194"/>
      <c r="BH589" s="194"/>
      <c r="BI589" s="194"/>
      <c r="BJ589" s="194"/>
      <c r="BK589" s="194"/>
      <c r="BL589" s="194"/>
      <c r="BM589" s="194"/>
      <c r="BN589" s="194"/>
      <c r="BO589" s="194"/>
      <c r="BP589" s="194"/>
      <c r="BQ589" s="194"/>
      <c r="BR589" s="194"/>
      <c r="BS589" s="194"/>
      <c r="BT589" s="194"/>
      <c r="BU589" s="194"/>
      <c r="BV589" s="194"/>
      <c r="BW589" s="194"/>
      <c r="BX589" s="124"/>
    </row>
    <row r="590" spans="1:78" ht="18" customHeight="1" x14ac:dyDescent="0.75">
      <c r="S590" s="9"/>
      <c r="T590" s="9"/>
      <c r="U590" s="9"/>
    </row>
    <row r="591" spans="1:78" ht="18" customHeight="1" x14ac:dyDescent="0.75">
      <c r="S591" s="9"/>
      <c r="T591" s="9"/>
      <c r="U591" s="9"/>
      <c r="W591" s="9"/>
    </row>
    <row r="592" spans="1:78" ht="18" customHeight="1" x14ac:dyDescent="0.75">
      <c r="S592" s="9"/>
      <c r="T592" s="9"/>
      <c r="U592" s="9"/>
      <c r="W592" s="9"/>
    </row>
    <row r="593" spans="4:78" ht="18" customHeight="1" x14ac:dyDescent="0.75">
      <c r="S593" s="9"/>
      <c r="T593" s="9"/>
      <c r="U593" s="9"/>
      <c r="W593" s="9"/>
    </row>
    <row r="594" spans="4:78" ht="18" customHeight="1" x14ac:dyDescent="0.75">
      <c r="S594" s="9"/>
      <c r="T594" s="9"/>
      <c r="U594" s="9"/>
      <c r="W594" s="9"/>
    </row>
    <row r="595" spans="4:78" ht="18" customHeight="1" x14ac:dyDescent="0.75">
      <c r="S595" s="9"/>
      <c r="T595" s="9"/>
      <c r="U595" s="9"/>
      <c r="W595" s="9"/>
    </row>
    <row r="596" spans="4:78" ht="18" customHeight="1" x14ac:dyDescent="0.75">
      <c r="S596" s="9"/>
      <c r="T596" s="9"/>
      <c r="U596" s="9"/>
      <c r="W596" s="9"/>
    </row>
    <row r="597" spans="4:78" ht="18" customHeight="1" x14ac:dyDescent="0.75">
      <c r="S597" s="9"/>
      <c r="T597" s="9"/>
      <c r="U597" s="9"/>
      <c r="W597" s="9"/>
    </row>
    <row r="598" spans="4:78" ht="18" customHeight="1" x14ac:dyDescent="0.75">
      <c r="S598" s="9"/>
      <c r="T598" s="9"/>
      <c r="U598" s="9"/>
      <c r="W598" s="9"/>
    </row>
    <row r="599" spans="4:78" ht="18" customHeight="1" x14ac:dyDescent="0.75">
      <c r="S599" s="9"/>
      <c r="T599" s="9"/>
      <c r="U599" s="9"/>
      <c r="W599" s="9"/>
    </row>
    <row r="600" spans="4:78" ht="18" customHeight="1" x14ac:dyDescent="0.75"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S600" s="9"/>
      <c r="T600" s="9"/>
      <c r="U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  <c r="AJ600" s="9"/>
      <c r="AK600" s="9"/>
      <c r="AL600" s="9"/>
      <c r="AM600" s="9"/>
      <c r="AN600" s="9"/>
      <c r="AO600" s="9"/>
      <c r="AP600" s="9"/>
      <c r="AQ600" s="9"/>
      <c r="AR600" s="9"/>
      <c r="AS600" s="9"/>
      <c r="AT600" s="9"/>
      <c r="AU600" s="9"/>
      <c r="AV600" s="9"/>
      <c r="AW600" s="9"/>
      <c r="AX600" s="9"/>
      <c r="AY600" s="9"/>
      <c r="AZ600" s="9"/>
      <c r="BA600" s="9"/>
      <c r="BB600" s="9"/>
      <c r="BC600" s="9"/>
      <c r="BD600" s="9"/>
      <c r="BE600" s="9"/>
      <c r="BF600" s="9"/>
      <c r="BG600" s="9"/>
      <c r="BH600" s="9"/>
      <c r="BI600" s="9"/>
      <c r="BJ600" s="9"/>
      <c r="BK600" s="9"/>
      <c r="BL600" s="9"/>
      <c r="BM600" s="9"/>
      <c r="BN600" s="9"/>
      <c r="BO600" s="9"/>
      <c r="BP600" s="9"/>
      <c r="BQ600" s="9"/>
      <c r="BR600" s="9"/>
      <c r="BS600" s="9"/>
      <c r="BT600" s="9"/>
      <c r="BU600" s="9"/>
      <c r="BV600" s="9"/>
      <c r="BW600" s="9"/>
      <c r="BX600" s="9"/>
      <c r="BY600" s="9"/>
      <c r="BZ600" s="9"/>
    </row>
    <row r="601" spans="4:78" ht="18" customHeight="1" x14ac:dyDescent="0.75"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S601" s="9"/>
      <c r="T601" s="9"/>
      <c r="U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  <c r="AJ601" s="9"/>
      <c r="AK601" s="9"/>
      <c r="AL601" s="9"/>
      <c r="AM601" s="9"/>
      <c r="AN601" s="9"/>
      <c r="AO601" s="9"/>
      <c r="AP601" s="9"/>
      <c r="AQ601" s="9"/>
      <c r="AR601" s="9"/>
      <c r="AS601" s="9"/>
      <c r="AT601" s="9"/>
      <c r="AU601" s="9"/>
      <c r="AV601" s="9"/>
      <c r="AW601" s="9"/>
      <c r="AX601" s="9"/>
      <c r="AY601" s="9"/>
      <c r="AZ601" s="9"/>
      <c r="BA601" s="9"/>
      <c r="BB601" s="9"/>
      <c r="BC601" s="9"/>
      <c r="BD601" s="9"/>
      <c r="BE601" s="9"/>
      <c r="BF601" s="9"/>
      <c r="BG601" s="9"/>
      <c r="BH601" s="9"/>
      <c r="BI601" s="9"/>
      <c r="BJ601" s="9"/>
      <c r="BK601" s="9"/>
      <c r="BL601" s="9"/>
      <c r="BM601" s="9"/>
      <c r="BN601" s="9"/>
      <c r="BO601" s="9"/>
      <c r="BP601" s="9"/>
      <c r="BQ601" s="9"/>
      <c r="BR601" s="9"/>
      <c r="BS601" s="9"/>
      <c r="BT601" s="9"/>
      <c r="BU601" s="9"/>
      <c r="BV601" s="9"/>
      <c r="BW601" s="9"/>
      <c r="BX601" s="9"/>
      <c r="BY601" s="9"/>
      <c r="BZ601" s="9"/>
    </row>
    <row r="602" spans="4:78" ht="18" customHeight="1" x14ac:dyDescent="0.75"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S602" s="9"/>
      <c r="T602" s="9"/>
      <c r="U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  <c r="AJ602" s="9"/>
      <c r="AK602" s="9"/>
      <c r="AL602" s="9"/>
      <c r="AM602" s="9"/>
      <c r="AN602" s="9"/>
      <c r="AO602" s="9"/>
      <c r="AP602" s="9"/>
      <c r="AQ602" s="9"/>
      <c r="AR602" s="9"/>
      <c r="AS602" s="9"/>
      <c r="AT602" s="9"/>
      <c r="AU602" s="9"/>
      <c r="AV602" s="9"/>
      <c r="AW602" s="9"/>
      <c r="AX602" s="9"/>
      <c r="AY602" s="9"/>
      <c r="AZ602" s="9"/>
      <c r="BA602" s="9"/>
      <c r="BB602" s="9"/>
      <c r="BC602" s="9"/>
      <c r="BD602" s="9"/>
      <c r="BE602" s="9"/>
      <c r="BF602" s="9"/>
      <c r="BG602" s="9"/>
      <c r="BH602" s="9"/>
      <c r="BI602" s="9"/>
      <c r="BJ602" s="9"/>
      <c r="BK602" s="9"/>
      <c r="BL602" s="9"/>
      <c r="BM602" s="9"/>
      <c r="BN602" s="9"/>
      <c r="BO602" s="9"/>
      <c r="BP602" s="9"/>
      <c r="BQ602" s="9"/>
      <c r="BR602" s="9"/>
      <c r="BS602" s="9"/>
      <c r="BT602" s="9"/>
      <c r="BU602" s="9"/>
      <c r="BV602" s="9"/>
      <c r="BW602" s="9"/>
      <c r="BX602" s="9"/>
      <c r="BY602" s="9"/>
      <c r="BZ602" s="9"/>
    </row>
    <row r="603" spans="4:78" ht="18" customHeight="1" x14ac:dyDescent="0.75"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S603" s="9"/>
      <c r="T603" s="9"/>
      <c r="U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  <c r="AJ603" s="9"/>
      <c r="AK603" s="9"/>
      <c r="AL603" s="9"/>
      <c r="AM603" s="9"/>
      <c r="AN603" s="9"/>
      <c r="AO603" s="9"/>
      <c r="AP603" s="9"/>
      <c r="AQ603" s="9"/>
      <c r="AR603" s="9"/>
      <c r="AS603" s="9"/>
      <c r="AT603" s="9"/>
      <c r="AU603" s="9"/>
      <c r="AV603" s="9"/>
      <c r="AW603" s="9"/>
      <c r="AX603" s="9"/>
      <c r="AY603" s="9"/>
      <c r="AZ603" s="9"/>
      <c r="BA603" s="9"/>
      <c r="BB603" s="9"/>
      <c r="BC603" s="9"/>
      <c r="BD603" s="9"/>
      <c r="BE603" s="9"/>
      <c r="BF603" s="9"/>
      <c r="BG603" s="9"/>
      <c r="BH603" s="9"/>
      <c r="BI603" s="9"/>
      <c r="BJ603" s="9"/>
      <c r="BK603" s="9"/>
      <c r="BL603" s="9"/>
      <c r="BM603" s="9"/>
      <c r="BN603" s="9"/>
      <c r="BO603" s="9"/>
      <c r="BP603" s="9"/>
      <c r="BQ603" s="9"/>
      <c r="BR603" s="9"/>
      <c r="BS603" s="9"/>
      <c r="BT603" s="9"/>
      <c r="BU603" s="9"/>
      <c r="BV603" s="9"/>
      <c r="BW603" s="9"/>
      <c r="BX603" s="9"/>
      <c r="BY603" s="9"/>
      <c r="BZ603" s="9"/>
    </row>
    <row r="604" spans="4:78" ht="18" customHeight="1" x14ac:dyDescent="0.75"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S604" s="9"/>
      <c r="T604" s="9"/>
      <c r="U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  <c r="AJ604" s="9"/>
      <c r="AK604" s="9"/>
      <c r="AL604" s="9"/>
      <c r="AM604" s="9"/>
      <c r="AN604" s="9"/>
      <c r="AO604" s="9"/>
      <c r="AP604" s="9"/>
      <c r="AQ604" s="9"/>
      <c r="AR604" s="9"/>
      <c r="AS604" s="9"/>
      <c r="AT604" s="9"/>
      <c r="AU604" s="9"/>
      <c r="AV604" s="9"/>
      <c r="AW604" s="9"/>
      <c r="AX604" s="9"/>
      <c r="AY604" s="9"/>
      <c r="AZ604" s="9"/>
      <c r="BA604" s="9"/>
      <c r="BB604" s="9"/>
      <c r="BC604" s="9"/>
      <c r="BD604" s="9"/>
      <c r="BE604" s="9"/>
      <c r="BF604" s="9"/>
      <c r="BG604" s="9"/>
      <c r="BH604" s="9"/>
      <c r="BI604" s="9"/>
      <c r="BJ604" s="9"/>
      <c r="BK604" s="9"/>
      <c r="BL604" s="9"/>
      <c r="BM604" s="9"/>
      <c r="BN604" s="9"/>
      <c r="BO604" s="9"/>
      <c r="BP604" s="9"/>
      <c r="BQ604" s="9"/>
      <c r="BR604" s="9"/>
      <c r="BS604" s="9"/>
      <c r="BT604" s="9"/>
      <c r="BU604" s="9"/>
      <c r="BV604" s="9"/>
      <c r="BW604" s="9"/>
      <c r="BX604" s="9"/>
      <c r="BY604" s="9"/>
      <c r="BZ604" s="9"/>
    </row>
    <row r="605" spans="4:78" ht="18" customHeight="1" x14ac:dyDescent="0.75"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S605" s="9"/>
      <c r="T605" s="9"/>
      <c r="U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  <c r="AJ605" s="9"/>
      <c r="AK605" s="9"/>
      <c r="AL605" s="9"/>
      <c r="AM605" s="9"/>
      <c r="AN605" s="9"/>
      <c r="AO605" s="9"/>
      <c r="AP605" s="9"/>
      <c r="AQ605" s="9"/>
      <c r="AR605" s="9"/>
      <c r="AS605" s="9"/>
      <c r="AT605" s="9"/>
      <c r="AU605" s="9"/>
      <c r="AV605" s="9"/>
      <c r="AW605" s="9"/>
      <c r="AX605" s="9"/>
      <c r="AY605" s="9"/>
      <c r="AZ605" s="9"/>
      <c r="BA605" s="9"/>
      <c r="BB605" s="9"/>
      <c r="BC605" s="9"/>
      <c r="BD605" s="9"/>
      <c r="BE605" s="9"/>
      <c r="BF605" s="9"/>
      <c r="BG605" s="9"/>
      <c r="BH605" s="9"/>
      <c r="BI605" s="9"/>
      <c r="BJ605" s="9"/>
      <c r="BK605" s="9"/>
      <c r="BL605" s="9"/>
      <c r="BM605" s="9"/>
      <c r="BN605" s="9"/>
      <c r="BO605" s="9"/>
      <c r="BP605" s="9"/>
      <c r="BQ605" s="9"/>
      <c r="BR605" s="9"/>
      <c r="BS605" s="9"/>
      <c r="BT605" s="9"/>
      <c r="BU605" s="9"/>
      <c r="BV605" s="9"/>
      <c r="BW605" s="9"/>
      <c r="BX605" s="9"/>
      <c r="BY605" s="9"/>
      <c r="BZ605" s="9"/>
    </row>
    <row r="606" spans="4:78" ht="18" customHeight="1" x14ac:dyDescent="0.75"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S606" s="9"/>
      <c r="T606" s="9"/>
      <c r="U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  <c r="AJ606" s="9"/>
      <c r="AK606" s="9"/>
      <c r="AL606" s="9"/>
      <c r="AM606" s="9"/>
      <c r="AN606" s="9"/>
      <c r="AO606" s="9"/>
      <c r="AP606" s="9"/>
      <c r="AQ606" s="9"/>
      <c r="AR606" s="9"/>
      <c r="AS606" s="9"/>
      <c r="AT606" s="9"/>
      <c r="AU606" s="9"/>
      <c r="AV606" s="9"/>
      <c r="AW606" s="9"/>
      <c r="AX606" s="9"/>
      <c r="AY606" s="9"/>
      <c r="AZ606" s="9"/>
      <c r="BA606" s="9"/>
      <c r="BB606" s="9"/>
      <c r="BC606" s="9"/>
      <c r="BD606" s="9"/>
      <c r="BE606" s="9"/>
      <c r="BF606" s="9"/>
      <c r="BG606" s="9"/>
      <c r="BH606" s="9"/>
      <c r="BI606" s="9"/>
      <c r="BJ606" s="9"/>
      <c r="BK606" s="9"/>
      <c r="BL606" s="9"/>
      <c r="BM606" s="9"/>
      <c r="BN606" s="9"/>
      <c r="BO606" s="9"/>
      <c r="BP606" s="9"/>
      <c r="BQ606" s="9"/>
      <c r="BR606" s="9"/>
      <c r="BS606" s="9"/>
      <c r="BT606" s="9"/>
      <c r="BU606" s="9"/>
      <c r="BV606" s="9"/>
      <c r="BW606" s="9"/>
      <c r="BX606" s="9"/>
      <c r="BY606" s="9"/>
      <c r="BZ606" s="9"/>
    </row>
    <row r="607" spans="4:78" ht="18" customHeight="1" x14ac:dyDescent="0.75"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S607" s="9"/>
      <c r="T607" s="9"/>
      <c r="U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  <c r="AJ607" s="9"/>
      <c r="AK607" s="9"/>
      <c r="AL607" s="9"/>
      <c r="AM607" s="9"/>
      <c r="AN607" s="9"/>
      <c r="AO607" s="9"/>
      <c r="AP607" s="9"/>
      <c r="AQ607" s="9"/>
      <c r="AR607" s="9"/>
      <c r="AS607" s="9"/>
      <c r="AT607" s="9"/>
      <c r="AU607" s="9"/>
      <c r="AV607" s="9"/>
      <c r="AW607" s="9"/>
      <c r="AX607" s="9"/>
      <c r="AY607" s="9"/>
      <c r="AZ607" s="9"/>
      <c r="BA607" s="9"/>
      <c r="BB607" s="9"/>
      <c r="BC607" s="9"/>
      <c r="BD607" s="9"/>
      <c r="BE607" s="9"/>
      <c r="BF607" s="9"/>
      <c r="BG607" s="9"/>
      <c r="BH607" s="9"/>
      <c r="BI607" s="9"/>
      <c r="BJ607" s="9"/>
      <c r="BK607" s="9"/>
      <c r="BL607" s="9"/>
      <c r="BM607" s="9"/>
      <c r="BN607" s="9"/>
      <c r="BO607" s="9"/>
      <c r="BP607" s="9"/>
      <c r="BQ607" s="9"/>
      <c r="BR607" s="9"/>
      <c r="BS607" s="9"/>
      <c r="BT607" s="9"/>
      <c r="BU607" s="9"/>
      <c r="BV607" s="9"/>
      <c r="BW607" s="9"/>
      <c r="BX607" s="9"/>
      <c r="BY607" s="9"/>
      <c r="BZ607" s="9"/>
    </row>
    <row r="608" spans="4:78" ht="18" customHeight="1" x14ac:dyDescent="0.75"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S608" s="9"/>
      <c r="T608" s="9"/>
      <c r="U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  <c r="AJ608" s="9"/>
      <c r="AK608" s="9"/>
      <c r="AL608" s="9"/>
      <c r="AM608" s="9"/>
      <c r="AN608" s="9"/>
      <c r="AO608" s="9"/>
      <c r="AP608" s="9"/>
      <c r="AQ608" s="9"/>
      <c r="AR608" s="9"/>
      <c r="AS608" s="9"/>
      <c r="AT608" s="9"/>
      <c r="AU608" s="9"/>
      <c r="AV608" s="9"/>
      <c r="AW608" s="9"/>
      <c r="AX608" s="9"/>
      <c r="AY608" s="9"/>
      <c r="AZ608" s="9"/>
      <c r="BA608" s="9"/>
      <c r="BB608" s="9"/>
      <c r="BC608" s="9"/>
      <c r="BD608" s="9"/>
      <c r="BE608" s="9"/>
      <c r="BF608" s="9"/>
      <c r="BG608" s="9"/>
      <c r="BH608" s="9"/>
      <c r="BI608" s="9"/>
      <c r="BJ608" s="9"/>
      <c r="BK608" s="9"/>
      <c r="BL608" s="9"/>
      <c r="BM608" s="9"/>
      <c r="BN608" s="9"/>
      <c r="BO608" s="9"/>
      <c r="BP608" s="9"/>
      <c r="BQ608" s="9"/>
      <c r="BR608" s="9"/>
      <c r="BS608" s="9"/>
      <c r="BT608" s="9"/>
      <c r="BU608" s="9"/>
      <c r="BV608" s="9"/>
      <c r="BW608" s="9"/>
      <c r="BX608" s="9"/>
      <c r="BY608" s="9"/>
      <c r="BZ608" s="9"/>
    </row>
    <row r="609" s="9" customFormat="1" ht="18" customHeight="1" x14ac:dyDescent="0.75"/>
    <row r="610" s="9" customFormat="1" ht="18" customHeight="1" x14ac:dyDescent="0.75"/>
    <row r="611" s="9" customFormat="1" ht="18" customHeight="1" x14ac:dyDescent="0.75"/>
    <row r="612" s="9" customFormat="1" ht="18" customHeight="1" x14ac:dyDescent="0.75"/>
    <row r="613" s="9" customFormat="1" ht="18" customHeight="1" x14ac:dyDescent="0.75"/>
    <row r="614" s="9" customFormat="1" ht="18" customHeight="1" x14ac:dyDescent="0.75"/>
    <row r="615" s="9" customFormat="1" ht="18" customHeight="1" x14ac:dyDescent="0.75"/>
    <row r="616" s="9" customFormat="1" ht="18" customHeight="1" x14ac:dyDescent="0.75"/>
    <row r="617" s="9" customFormat="1" ht="18" customHeight="1" x14ac:dyDescent="0.75"/>
    <row r="618" s="9" customFormat="1" ht="18" customHeight="1" x14ac:dyDescent="0.75"/>
    <row r="619" s="9" customFormat="1" ht="18" customHeight="1" x14ac:dyDescent="0.75"/>
    <row r="620" s="9" customFormat="1" ht="18" customHeight="1" x14ac:dyDescent="0.75"/>
    <row r="621" s="9" customFormat="1" ht="18" customHeight="1" x14ac:dyDescent="0.75"/>
    <row r="622" s="9" customFormat="1" ht="18" customHeight="1" x14ac:dyDescent="0.75"/>
    <row r="623" s="9" customFormat="1" ht="18" customHeight="1" x14ac:dyDescent="0.75"/>
    <row r="624" s="9" customFormat="1" ht="18" customHeight="1" x14ac:dyDescent="0.75"/>
    <row r="625" s="9" customFormat="1" ht="18" customHeight="1" x14ac:dyDescent="0.75"/>
    <row r="626" s="9" customFormat="1" ht="18" customHeight="1" x14ac:dyDescent="0.75"/>
    <row r="627" s="9" customFormat="1" ht="18" customHeight="1" x14ac:dyDescent="0.75"/>
    <row r="628" s="9" customFormat="1" ht="18" customHeight="1" x14ac:dyDescent="0.75"/>
    <row r="629" s="9" customFormat="1" ht="18" customHeight="1" x14ac:dyDescent="0.75"/>
    <row r="630" s="9" customFormat="1" ht="18" customHeight="1" x14ac:dyDescent="0.75"/>
    <row r="631" s="9" customFormat="1" ht="18" customHeight="1" x14ac:dyDescent="0.75"/>
    <row r="632" s="9" customFormat="1" ht="18" customHeight="1" x14ac:dyDescent="0.75"/>
    <row r="633" s="9" customFormat="1" ht="18" customHeight="1" x14ac:dyDescent="0.75"/>
    <row r="634" s="9" customFormat="1" ht="18" customHeight="1" x14ac:dyDescent="0.75"/>
    <row r="635" s="9" customFormat="1" ht="18" customHeight="1" x14ac:dyDescent="0.75"/>
    <row r="636" s="9" customFormat="1" ht="18" customHeight="1" x14ac:dyDescent="0.75"/>
    <row r="637" s="9" customFormat="1" ht="18" customHeight="1" x14ac:dyDescent="0.75"/>
    <row r="638" s="9" customFormat="1" ht="18" customHeight="1" x14ac:dyDescent="0.75"/>
    <row r="639" s="9" customFormat="1" ht="18" customHeight="1" x14ac:dyDescent="0.75"/>
    <row r="640" s="9" customFormat="1" ht="18" customHeight="1" x14ac:dyDescent="0.75"/>
    <row r="641" s="9" customFormat="1" ht="18" customHeight="1" x14ac:dyDescent="0.75"/>
    <row r="642" s="9" customFormat="1" ht="18" customHeight="1" x14ac:dyDescent="0.75"/>
    <row r="643" s="9" customFormat="1" ht="18" customHeight="1" x14ac:dyDescent="0.75"/>
    <row r="644" s="9" customFormat="1" ht="18" customHeight="1" x14ac:dyDescent="0.75"/>
    <row r="645" s="9" customFormat="1" ht="18" customHeight="1" x14ac:dyDescent="0.75"/>
    <row r="646" s="9" customFormat="1" ht="18" customHeight="1" x14ac:dyDescent="0.75"/>
    <row r="647" s="9" customFormat="1" ht="18" customHeight="1" x14ac:dyDescent="0.75"/>
    <row r="648" s="9" customFormat="1" ht="18" customHeight="1" x14ac:dyDescent="0.75"/>
    <row r="649" s="9" customFormat="1" ht="18" customHeight="1" x14ac:dyDescent="0.75"/>
    <row r="650" s="9" customFormat="1" ht="18" customHeight="1" x14ac:dyDescent="0.75"/>
    <row r="651" s="9" customFormat="1" ht="18" customHeight="1" x14ac:dyDescent="0.75"/>
    <row r="652" s="9" customFormat="1" ht="18" customHeight="1" x14ac:dyDescent="0.75"/>
    <row r="653" s="9" customFormat="1" ht="18" customHeight="1" x14ac:dyDescent="0.75"/>
    <row r="654" s="9" customFormat="1" ht="18" customHeight="1" x14ac:dyDescent="0.75"/>
    <row r="655" s="9" customFormat="1" ht="18" customHeight="1" x14ac:dyDescent="0.75"/>
    <row r="656" s="9" customFormat="1" ht="18" customHeight="1" x14ac:dyDescent="0.75"/>
    <row r="657" s="9" customFormat="1" ht="18" customHeight="1" x14ac:dyDescent="0.75"/>
    <row r="658" s="9" customFormat="1" ht="18" customHeight="1" x14ac:dyDescent="0.75"/>
    <row r="659" s="9" customFormat="1" ht="18" customHeight="1" x14ac:dyDescent="0.75"/>
    <row r="660" s="9" customFormat="1" ht="18" customHeight="1" x14ac:dyDescent="0.75"/>
    <row r="661" s="9" customFormat="1" ht="18" customHeight="1" x14ac:dyDescent="0.75"/>
    <row r="662" s="9" customFormat="1" ht="18" customHeight="1" x14ac:dyDescent="0.75"/>
    <row r="663" s="9" customFormat="1" ht="18" customHeight="1" x14ac:dyDescent="0.75"/>
    <row r="664" s="9" customFormat="1" ht="18" customHeight="1" x14ac:dyDescent="0.75"/>
    <row r="665" s="9" customFormat="1" ht="18" customHeight="1" x14ac:dyDescent="0.75"/>
    <row r="666" s="9" customFormat="1" ht="18" customHeight="1" x14ac:dyDescent="0.75"/>
    <row r="667" s="9" customFormat="1" ht="18" customHeight="1" x14ac:dyDescent="0.75"/>
    <row r="668" s="9" customFormat="1" ht="18" customHeight="1" x14ac:dyDescent="0.75"/>
    <row r="669" s="9" customFormat="1" ht="18" customHeight="1" x14ac:dyDescent="0.75"/>
    <row r="670" s="9" customFormat="1" ht="18" customHeight="1" x14ac:dyDescent="0.75"/>
    <row r="671" s="9" customFormat="1" ht="18" customHeight="1" x14ac:dyDescent="0.75"/>
    <row r="672" s="9" customFormat="1" ht="18" customHeight="1" x14ac:dyDescent="0.75"/>
    <row r="673" s="9" customFormat="1" ht="18" customHeight="1" x14ac:dyDescent="0.75"/>
    <row r="674" s="9" customFormat="1" ht="18" customHeight="1" x14ac:dyDescent="0.75"/>
    <row r="675" s="9" customFormat="1" ht="18" customHeight="1" x14ac:dyDescent="0.75"/>
    <row r="676" s="9" customFormat="1" ht="18" customHeight="1" x14ac:dyDescent="0.75"/>
    <row r="677" s="9" customFormat="1" ht="18" customHeight="1" x14ac:dyDescent="0.75"/>
    <row r="678" s="9" customFormat="1" ht="18" customHeight="1" x14ac:dyDescent="0.75"/>
    <row r="679" s="9" customFormat="1" ht="18" customHeight="1" x14ac:dyDescent="0.75"/>
    <row r="680" s="9" customFormat="1" ht="18" customHeight="1" x14ac:dyDescent="0.75"/>
    <row r="681" s="9" customFormat="1" ht="18" customHeight="1" x14ac:dyDescent="0.75"/>
    <row r="682" s="9" customFormat="1" ht="18" customHeight="1" x14ac:dyDescent="0.75"/>
    <row r="683" s="9" customFormat="1" ht="18" customHeight="1" x14ac:dyDescent="0.75"/>
    <row r="684" s="9" customFormat="1" ht="18" customHeight="1" x14ac:dyDescent="0.75"/>
    <row r="685" s="9" customFormat="1" ht="18" customHeight="1" x14ac:dyDescent="0.75"/>
    <row r="686" s="9" customFormat="1" ht="18" customHeight="1" x14ac:dyDescent="0.75"/>
    <row r="687" s="9" customFormat="1" ht="18" customHeight="1" x14ac:dyDescent="0.75"/>
    <row r="688" s="9" customFormat="1" ht="18" customHeight="1" x14ac:dyDescent="0.75"/>
    <row r="689" s="9" customFormat="1" ht="18" customHeight="1" x14ac:dyDescent="0.75"/>
    <row r="690" s="9" customFormat="1" ht="18" customHeight="1" x14ac:dyDescent="0.75"/>
    <row r="691" s="9" customFormat="1" ht="18" customHeight="1" x14ac:dyDescent="0.75"/>
    <row r="692" s="9" customFormat="1" ht="18" customHeight="1" x14ac:dyDescent="0.75"/>
    <row r="693" s="9" customFormat="1" ht="18" customHeight="1" x14ac:dyDescent="0.75"/>
    <row r="694" s="9" customFormat="1" ht="18" customHeight="1" x14ac:dyDescent="0.75"/>
    <row r="695" s="9" customFormat="1" ht="18" customHeight="1" x14ac:dyDescent="0.75"/>
    <row r="696" s="9" customFormat="1" ht="18" customHeight="1" x14ac:dyDescent="0.75"/>
    <row r="697" s="9" customFormat="1" ht="18" customHeight="1" x14ac:dyDescent="0.75"/>
    <row r="698" s="9" customFormat="1" ht="18" customHeight="1" x14ac:dyDescent="0.75"/>
    <row r="699" s="9" customFormat="1" ht="18" customHeight="1" x14ac:dyDescent="0.75"/>
    <row r="700" s="9" customFormat="1" ht="18" customHeight="1" x14ac:dyDescent="0.75"/>
    <row r="701" s="9" customFormat="1" ht="18" customHeight="1" x14ac:dyDescent="0.75"/>
    <row r="702" s="9" customFormat="1" ht="18" customHeight="1" x14ac:dyDescent="0.75"/>
    <row r="703" s="9" customFormat="1" ht="18" customHeight="1" x14ac:dyDescent="0.75"/>
    <row r="704" s="9" customFormat="1" ht="18" customHeight="1" x14ac:dyDescent="0.75"/>
    <row r="705" s="9" customFormat="1" ht="18" customHeight="1" x14ac:dyDescent="0.75"/>
    <row r="706" s="9" customFormat="1" ht="18" customHeight="1" x14ac:dyDescent="0.75"/>
    <row r="707" s="9" customFormat="1" ht="18" customHeight="1" x14ac:dyDescent="0.75"/>
    <row r="708" s="9" customFormat="1" ht="18" customHeight="1" x14ac:dyDescent="0.75"/>
    <row r="709" s="9" customFormat="1" ht="18" customHeight="1" x14ac:dyDescent="0.75"/>
    <row r="710" s="9" customFormat="1" ht="18" customHeight="1" x14ac:dyDescent="0.75"/>
    <row r="711" s="9" customFormat="1" ht="18" customHeight="1" x14ac:dyDescent="0.75"/>
    <row r="712" s="9" customFormat="1" ht="18" customHeight="1" x14ac:dyDescent="0.75"/>
    <row r="713" s="9" customFormat="1" ht="18" customHeight="1" x14ac:dyDescent="0.75"/>
    <row r="714" s="9" customFormat="1" ht="18" customHeight="1" x14ac:dyDescent="0.75"/>
    <row r="715" s="9" customFormat="1" ht="18" customHeight="1" x14ac:dyDescent="0.75"/>
    <row r="716" s="9" customFormat="1" ht="18" customHeight="1" x14ac:dyDescent="0.75"/>
    <row r="717" s="9" customFormat="1" ht="18" customHeight="1" x14ac:dyDescent="0.75"/>
    <row r="718" s="9" customFormat="1" ht="18" customHeight="1" x14ac:dyDescent="0.75"/>
    <row r="719" s="9" customFormat="1" ht="18" customHeight="1" x14ac:dyDescent="0.75"/>
    <row r="720" s="9" customFormat="1" ht="18" customHeight="1" x14ac:dyDescent="0.75"/>
    <row r="721" s="9" customFormat="1" ht="18" customHeight="1" x14ac:dyDescent="0.75"/>
    <row r="722" s="9" customFormat="1" ht="18" customHeight="1" x14ac:dyDescent="0.75"/>
    <row r="723" s="9" customFormat="1" ht="18" customHeight="1" x14ac:dyDescent="0.75"/>
    <row r="724" s="9" customFormat="1" ht="18" customHeight="1" x14ac:dyDescent="0.75"/>
    <row r="725" s="9" customFormat="1" ht="18" customHeight="1" x14ac:dyDescent="0.75"/>
    <row r="726" s="9" customFormat="1" ht="18" customHeight="1" x14ac:dyDescent="0.75"/>
    <row r="727" s="9" customFormat="1" ht="18" customHeight="1" x14ac:dyDescent="0.75"/>
    <row r="728" s="9" customFormat="1" ht="18" customHeight="1" x14ac:dyDescent="0.75"/>
    <row r="729" s="9" customFormat="1" ht="18" customHeight="1" x14ac:dyDescent="0.75"/>
    <row r="730" s="9" customFormat="1" ht="18" customHeight="1" x14ac:dyDescent="0.75"/>
    <row r="731" s="9" customFormat="1" ht="18" customHeight="1" x14ac:dyDescent="0.75"/>
    <row r="732" s="9" customFormat="1" ht="18" customHeight="1" x14ac:dyDescent="0.75"/>
    <row r="733" s="9" customFormat="1" ht="18" customHeight="1" x14ac:dyDescent="0.75"/>
    <row r="734" s="9" customFormat="1" ht="18" customHeight="1" x14ac:dyDescent="0.75"/>
    <row r="735" s="9" customFormat="1" ht="18" customHeight="1" x14ac:dyDescent="0.75"/>
    <row r="736" s="9" customFormat="1" ht="18" customHeight="1" x14ac:dyDescent="0.75"/>
    <row r="737" s="9" customFormat="1" ht="18" customHeight="1" x14ac:dyDescent="0.75"/>
    <row r="738" s="9" customFormat="1" ht="18" customHeight="1" x14ac:dyDescent="0.75"/>
    <row r="739" s="9" customFormat="1" ht="18" customHeight="1" x14ac:dyDescent="0.75"/>
    <row r="740" s="9" customFormat="1" ht="18" customHeight="1" x14ac:dyDescent="0.75"/>
    <row r="741" s="9" customFormat="1" ht="18" customHeight="1" x14ac:dyDescent="0.75"/>
    <row r="742" s="9" customFormat="1" ht="18" customHeight="1" x14ac:dyDescent="0.75"/>
    <row r="743" s="9" customFormat="1" ht="18" customHeight="1" x14ac:dyDescent="0.75"/>
    <row r="744" s="9" customFormat="1" ht="18" customHeight="1" x14ac:dyDescent="0.75"/>
    <row r="745" s="9" customFormat="1" ht="18" customHeight="1" x14ac:dyDescent="0.75"/>
    <row r="746" s="9" customFormat="1" ht="18" customHeight="1" x14ac:dyDescent="0.75"/>
    <row r="747" s="9" customFormat="1" ht="18" customHeight="1" x14ac:dyDescent="0.75"/>
    <row r="748" s="9" customFormat="1" ht="18" customHeight="1" x14ac:dyDescent="0.75"/>
    <row r="749" s="9" customFormat="1" ht="18" customHeight="1" x14ac:dyDescent="0.75"/>
    <row r="750" s="9" customFormat="1" ht="18" customHeight="1" x14ac:dyDescent="0.75"/>
    <row r="751" s="9" customFormat="1" ht="18" customHeight="1" x14ac:dyDescent="0.75"/>
    <row r="752" s="9" customFormat="1" ht="18" customHeight="1" x14ac:dyDescent="0.75"/>
    <row r="753" s="9" customFormat="1" ht="18" customHeight="1" x14ac:dyDescent="0.75"/>
    <row r="754" s="9" customFormat="1" ht="18" customHeight="1" x14ac:dyDescent="0.75"/>
    <row r="755" s="9" customFormat="1" ht="18" customHeight="1" x14ac:dyDescent="0.75"/>
    <row r="756" s="9" customFormat="1" ht="18" customHeight="1" x14ac:dyDescent="0.75"/>
    <row r="757" s="9" customFormat="1" ht="18" customHeight="1" x14ac:dyDescent="0.75"/>
    <row r="758" s="9" customFormat="1" ht="18" customHeight="1" x14ac:dyDescent="0.75"/>
    <row r="759" s="9" customFormat="1" ht="18" customHeight="1" x14ac:dyDescent="0.75"/>
    <row r="760" s="9" customFormat="1" ht="18" customHeight="1" x14ac:dyDescent="0.75"/>
    <row r="761" s="9" customFormat="1" ht="18" customHeight="1" x14ac:dyDescent="0.75"/>
    <row r="762" s="9" customFormat="1" ht="18" customHeight="1" x14ac:dyDescent="0.75"/>
    <row r="763" s="9" customFormat="1" ht="18" customHeight="1" x14ac:dyDescent="0.75"/>
    <row r="764" s="9" customFormat="1" ht="18" customHeight="1" x14ac:dyDescent="0.75"/>
    <row r="765" s="9" customFormat="1" ht="18" customHeight="1" x14ac:dyDescent="0.75"/>
    <row r="766" s="9" customFormat="1" ht="18" customHeight="1" x14ac:dyDescent="0.75"/>
    <row r="767" s="9" customFormat="1" ht="18" customHeight="1" x14ac:dyDescent="0.75"/>
    <row r="768" s="9" customFormat="1" ht="18" customHeight="1" x14ac:dyDescent="0.75"/>
    <row r="769" s="9" customFormat="1" ht="18" customHeight="1" x14ac:dyDescent="0.75"/>
    <row r="770" s="9" customFormat="1" ht="18" customHeight="1" x14ac:dyDescent="0.75"/>
    <row r="771" s="9" customFormat="1" ht="18" customHeight="1" x14ac:dyDescent="0.75"/>
    <row r="772" s="9" customFormat="1" ht="18" customHeight="1" x14ac:dyDescent="0.75"/>
    <row r="773" s="9" customFormat="1" ht="18" customHeight="1" x14ac:dyDescent="0.75"/>
    <row r="774" s="9" customFormat="1" ht="18" customHeight="1" x14ac:dyDescent="0.75"/>
    <row r="775" s="9" customFormat="1" ht="18" customHeight="1" x14ac:dyDescent="0.75"/>
    <row r="776" s="9" customFormat="1" ht="18" customHeight="1" x14ac:dyDescent="0.75"/>
    <row r="777" s="9" customFormat="1" ht="18" customHeight="1" x14ac:dyDescent="0.75"/>
    <row r="778" s="9" customFormat="1" ht="18" customHeight="1" x14ac:dyDescent="0.75"/>
    <row r="779" s="9" customFormat="1" ht="18" customHeight="1" x14ac:dyDescent="0.75"/>
    <row r="780" s="9" customFormat="1" ht="18" customHeight="1" x14ac:dyDescent="0.75"/>
    <row r="781" s="9" customFormat="1" ht="18" customHeight="1" x14ac:dyDescent="0.75"/>
    <row r="782" s="9" customFormat="1" ht="18" customHeight="1" x14ac:dyDescent="0.75"/>
    <row r="783" s="9" customFormat="1" ht="18" customHeight="1" x14ac:dyDescent="0.75"/>
    <row r="784" s="9" customFormat="1" ht="18" customHeight="1" x14ac:dyDescent="0.75"/>
    <row r="785" s="9" customFormat="1" ht="18" customHeight="1" x14ac:dyDescent="0.75"/>
    <row r="786" s="9" customFormat="1" ht="18" customHeight="1" x14ac:dyDescent="0.75"/>
    <row r="787" s="9" customFormat="1" ht="18" customHeight="1" x14ac:dyDescent="0.75"/>
    <row r="788" s="9" customFormat="1" ht="18" customHeight="1" x14ac:dyDescent="0.75"/>
    <row r="789" s="9" customFormat="1" ht="18" customHeight="1" x14ac:dyDescent="0.75"/>
    <row r="790" s="9" customFormat="1" ht="18" customHeight="1" x14ac:dyDescent="0.75"/>
    <row r="791" s="9" customFormat="1" ht="18" customHeight="1" x14ac:dyDescent="0.75"/>
    <row r="792" s="9" customFormat="1" ht="18" customHeight="1" x14ac:dyDescent="0.75"/>
    <row r="793" s="9" customFormat="1" ht="18" customHeight="1" x14ac:dyDescent="0.75"/>
    <row r="794" s="9" customFormat="1" ht="18" customHeight="1" x14ac:dyDescent="0.75"/>
    <row r="795" s="9" customFormat="1" ht="18" customHeight="1" x14ac:dyDescent="0.75"/>
    <row r="796" s="9" customFormat="1" ht="18" customHeight="1" x14ac:dyDescent="0.75"/>
    <row r="797" s="9" customFormat="1" ht="18" customHeight="1" x14ac:dyDescent="0.75"/>
    <row r="798" s="9" customFormat="1" ht="18" customHeight="1" x14ac:dyDescent="0.75"/>
    <row r="799" s="9" customFormat="1" ht="18" customHeight="1" x14ac:dyDescent="0.75"/>
    <row r="800" s="9" customFormat="1" ht="18" customHeight="1" x14ac:dyDescent="0.75"/>
    <row r="801" s="9" customFormat="1" ht="18" customHeight="1" x14ac:dyDescent="0.75"/>
    <row r="802" s="9" customFormat="1" ht="18" customHeight="1" x14ac:dyDescent="0.75"/>
    <row r="803" s="9" customFormat="1" ht="18" customHeight="1" x14ac:dyDescent="0.75"/>
    <row r="804" s="9" customFormat="1" ht="18" customHeight="1" x14ac:dyDescent="0.75"/>
    <row r="805" s="9" customFormat="1" ht="18" customHeight="1" x14ac:dyDescent="0.75"/>
    <row r="806" s="9" customFormat="1" ht="18" customHeight="1" x14ac:dyDescent="0.75"/>
    <row r="807" s="9" customFormat="1" ht="18" customHeight="1" x14ac:dyDescent="0.75"/>
    <row r="808" s="9" customFormat="1" ht="18" customHeight="1" x14ac:dyDescent="0.75"/>
    <row r="809" s="9" customFormat="1" ht="18" customHeight="1" x14ac:dyDescent="0.75"/>
    <row r="810" s="9" customFormat="1" ht="18" customHeight="1" x14ac:dyDescent="0.75"/>
    <row r="811" s="9" customFormat="1" ht="18" customHeight="1" x14ac:dyDescent="0.75"/>
    <row r="812" s="9" customFormat="1" ht="18" customHeight="1" x14ac:dyDescent="0.75"/>
    <row r="813" s="9" customFormat="1" ht="18" customHeight="1" x14ac:dyDescent="0.75"/>
    <row r="814" s="9" customFormat="1" ht="18" customHeight="1" x14ac:dyDescent="0.75"/>
    <row r="815" s="9" customFormat="1" ht="18" customHeight="1" x14ac:dyDescent="0.75"/>
    <row r="816" s="9" customFormat="1" ht="18" customHeight="1" x14ac:dyDescent="0.75"/>
    <row r="817" s="9" customFormat="1" ht="18" customHeight="1" x14ac:dyDescent="0.75"/>
    <row r="818" s="9" customFormat="1" ht="18" customHeight="1" x14ac:dyDescent="0.75"/>
    <row r="819" s="9" customFormat="1" ht="18" customHeight="1" x14ac:dyDescent="0.75"/>
    <row r="820" s="9" customFormat="1" ht="18" customHeight="1" x14ac:dyDescent="0.75"/>
    <row r="821" s="9" customFormat="1" ht="18" customHeight="1" x14ac:dyDescent="0.75"/>
    <row r="822" s="9" customFormat="1" ht="18" customHeight="1" x14ac:dyDescent="0.75"/>
    <row r="823" s="9" customFormat="1" ht="18" customHeight="1" x14ac:dyDescent="0.75"/>
    <row r="824" s="9" customFormat="1" ht="18" customHeight="1" x14ac:dyDescent="0.75"/>
    <row r="825" s="9" customFormat="1" ht="18" customHeight="1" x14ac:dyDescent="0.75"/>
    <row r="826" s="9" customFormat="1" ht="18" customHeight="1" x14ac:dyDescent="0.75"/>
    <row r="827" s="9" customFormat="1" ht="18" customHeight="1" x14ac:dyDescent="0.75"/>
    <row r="828" s="9" customFormat="1" ht="18" customHeight="1" x14ac:dyDescent="0.75"/>
    <row r="829" s="9" customFormat="1" ht="18" customHeight="1" x14ac:dyDescent="0.75"/>
    <row r="830" s="9" customFormat="1" ht="18" customHeight="1" x14ac:dyDescent="0.75"/>
    <row r="831" s="9" customFormat="1" ht="18" customHeight="1" x14ac:dyDescent="0.75"/>
    <row r="832" s="9" customFormat="1" ht="18" customHeight="1" x14ac:dyDescent="0.75"/>
    <row r="833" s="9" customFormat="1" ht="18" customHeight="1" x14ac:dyDescent="0.75"/>
    <row r="834" s="9" customFormat="1" ht="18" customHeight="1" x14ac:dyDescent="0.75"/>
    <row r="835" s="9" customFormat="1" ht="18" customHeight="1" x14ac:dyDescent="0.75"/>
    <row r="836" s="9" customFormat="1" ht="18" customHeight="1" x14ac:dyDescent="0.75"/>
    <row r="837" s="9" customFormat="1" ht="18" customHeight="1" x14ac:dyDescent="0.75"/>
    <row r="838" s="9" customFormat="1" ht="18" customHeight="1" x14ac:dyDescent="0.75"/>
    <row r="839" s="9" customFormat="1" ht="18" customHeight="1" x14ac:dyDescent="0.75"/>
    <row r="840" s="9" customFormat="1" ht="18" customHeight="1" x14ac:dyDescent="0.75"/>
    <row r="841" s="9" customFormat="1" ht="18" customHeight="1" x14ac:dyDescent="0.75"/>
    <row r="842" s="9" customFormat="1" ht="18" customHeight="1" x14ac:dyDescent="0.75"/>
    <row r="843" s="9" customFormat="1" ht="18" customHeight="1" x14ac:dyDescent="0.75"/>
    <row r="844" s="9" customFormat="1" ht="18" customHeight="1" x14ac:dyDescent="0.75"/>
    <row r="845" s="9" customFormat="1" ht="18" customHeight="1" x14ac:dyDescent="0.75"/>
    <row r="846" s="9" customFormat="1" ht="18" customHeight="1" x14ac:dyDescent="0.75"/>
    <row r="847" s="9" customFormat="1" ht="18" customHeight="1" x14ac:dyDescent="0.75"/>
    <row r="848" s="9" customFormat="1" ht="18" customHeight="1" x14ac:dyDescent="0.75"/>
    <row r="849" s="9" customFormat="1" ht="18" customHeight="1" x14ac:dyDescent="0.75"/>
    <row r="850" s="9" customFormat="1" ht="18" customHeight="1" x14ac:dyDescent="0.75"/>
    <row r="851" s="9" customFormat="1" ht="18" customHeight="1" x14ac:dyDescent="0.75"/>
    <row r="852" s="9" customFormat="1" ht="18" customHeight="1" x14ac:dyDescent="0.75"/>
    <row r="853" s="9" customFormat="1" ht="18" customHeight="1" x14ac:dyDescent="0.75"/>
    <row r="854" s="9" customFormat="1" ht="18" customHeight="1" x14ac:dyDescent="0.75"/>
    <row r="855" s="9" customFormat="1" ht="18" customHeight="1" x14ac:dyDescent="0.75"/>
    <row r="856" s="9" customFormat="1" ht="18" customHeight="1" x14ac:dyDescent="0.75"/>
    <row r="857" s="9" customFormat="1" ht="18" customHeight="1" x14ac:dyDescent="0.75"/>
    <row r="858" s="9" customFormat="1" ht="18" customHeight="1" x14ac:dyDescent="0.75"/>
    <row r="859" s="9" customFormat="1" ht="18" customHeight="1" x14ac:dyDescent="0.75"/>
    <row r="860" s="9" customFormat="1" ht="18" customHeight="1" x14ac:dyDescent="0.75"/>
    <row r="861" s="9" customFormat="1" ht="18" customHeight="1" x14ac:dyDescent="0.75"/>
    <row r="862" s="9" customFormat="1" ht="18" customHeight="1" x14ac:dyDescent="0.75"/>
    <row r="863" s="9" customFormat="1" ht="18" customHeight="1" x14ac:dyDescent="0.75"/>
    <row r="864" s="9" customFormat="1" ht="18" customHeight="1" x14ac:dyDescent="0.75"/>
    <row r="865" s="9" customFormat="1" ht="18" customHeight="1" x14ac:dyDescent="0.75"/>
    <row r="866" s="9" customFormat="1" ht="18" customHeight="1" x14ac:dyDescent="0.75"/>
    <row r="867" s="9" customFormat="1" ht="18" customHeight="1" x14ac:dyDescent="0.75"/>
    <row r="868" s="9" customFormat="1" ht="18" customHeight="1" x14ac:dyDescent="0.75"/>
    <row r="869" s="9" customFormat="1" ht="18" customHeight="1" x14ac:dyDescent="0.75"/>
    <row r="870" s="9" customFormat="1" ht="18" customHeight="1" x14ac:dyDescent="0.75"/>
    <row r="871" s="9" customFormat="1" ht="18" customHeight="1" x14ac:dyDescent="0.75"/>
    <row r="872" s="9" customFormat="1" ht="18" customHeight="1" x14ac:dyDescent="0.75"/>
    <row r="873" s="9" customFormat="1" ht="18" customHeight="1" x14ac:dyDescent="0.75"/>
    <row r="874" s="9" customFormat="1" ht="18" customHeight="1" x14ac:dyDescent="0.75"/>
    <row r="875" s="9" customFormat="1" ht="18" customHeight="1" x14ac:dyDescent="0.75"/>
    <row r="876" s="9" customFormat="1" ht="18" customHeight="1" x14ac:dyDescent="0.75"/>
    <row r="877" s="9" customFormat="1" ht="18" customHeight="1" x14ac:dyDescent="0.75"/>
    <row r="878" s="9" customFormat="1" ht="18" customHeight="1" x14ac:dyDescent="0.75"/>
    <row r="879" s="9" customFormat="1" ht="18" customHeight="1" x14ac:dyDescent="0.75"/>
    <row r="880" s="9" customFormat="1" ht="18" customHeight="1" x14ac:dyDescent="0.75"/>
    <row r="881" s="9" customFormat="1" ht="18" customHeight="1" x14ac:dyDescent="0.75"/>
    <row r="882" s="9" customFormat="1" ht="18" customHeight="1" x14ac:dyDescent="0.75"/>
    <row r="883" s="9" customFormat="1" ht="18" customHeight="1" x14ac:dyDescent="0.75"/>
    <row r="884" s="9" customFormat="1" ht="18" customHeight="1" x14ac:dyDescent="0.75"/>
    <row r="885" s="9" customFormat="1" ht="18" customHeight="1" x14ac:dyDescent="0.75"/>
    <row r="886" s="9" customFormat="1" ht="18" customHeight="1" x14ac:dyDescent="0.75"/>
    <row r="887" s="9" customFormat="1" ht="18" customHeight="1" x14ac:dyDescent="0.75"/>
    <row r="888" s="9" customFormat="1" ht="18" customHeight="1" x14ac:dyDescent="0.75"/>
    <row r="889" s="9" customFormat="1" ht="18" customHeight="1" x14ac:dyDescent="0.75"/>
    <row r="890" s="9" customFormat="1" ht="18" customHeight="1" x14ac:dyDescent="0.75"/>
    <row r="891" s="9" customFormat="1" ht="18" customHeight="1" x14ac:dyDescent="0.75"/>
    <row r="892" s="9" customFormat="1" ht="18" customHeight="1" x14ac:dyDescent="0.75"/>
    <row r="893" s="9" customFormat="1" ht="18" customHeight="1" x14ac:dyDescent="0.75"/>
    <row r="894" s="9" customFormat="1" ht="18" customHeight="1" x14ac:dyDescent="0.75"/>
    <row r="895" s="9" customFormat="1" ht="18" customHeight="1" x14ac:dyDescent="0.75"/>
    <row r="896" s="9" customFormat="1" ht="18" customHeight="1" x14ac:dyDescent="0.75"/>
    <row r="897" s="9" customFormat="1" ht="18" customHeight="1" x14ac:dyDescent="0.75"/>
    <row r="898" s="9" customFormat="1" ht="18" customHeight="1" x14ac:dyDescent="0.75"/>
    <row r="899" s="9" customFormat="1" ht="18" customHeight="1" x14ac:dyDescent="0.75"/>
    <row r="900" s="9" customFormat="1" ht="18" customHeight="1" x14ac:dyDescent="0.75"/>
    <row r="901" s="9" customFormat="1" ht="18" customHeight="1" x14ac:dyDescent="0.75"/>
    <row r="902" s="9" customFormat="1" ht="18" customHeight="1" x14ac:dyDescent="0.75"/>
    <row r="903" s="9" customFormat="1" ht="18" customHeight="1" x14ac:dyDescent="0.75"/>
    <row r="904" s="9" customFormat="1" ht="18" customHeight="1" x14ac:dyDescent="0.75"/>
    <row r="905" s="9" customFormat="1" ht="18" customHeight="1" x14ac:dyDescent="0.75"/>
    <row r="906" s="9" customFormat="1" ht="18" customHeight="1" x14ac:dyDescent="0.75"/>
    <row r="907" s="9" customFormat="1" ht="18" customHeight="1" x14ac:dyDescent="0.75"/>
    <row r="908" s="9" customFormat="1" ht="18" customHeight="1" x14ac:dyDescent="0.75"/>
    <row r="909" s="9" customFormat="1" ht="18" customHeight="1" x14ac:dyDescent="0.75"/>
    <row r="910" s="9" customFormat="1" ht="18" customHeight="1" x14ac:dyDescent="0.75"/>
    <row r="911" s="9" customFormat="1" ht="18" customHeight="1" x14ac:dyDescent="0.75"/>
    <row r="912" s="9" customFormat="1" ht="18" customHeight="1" x14ac:dyDescent="0.75"/>
    <row r="913" s="9" customFormat="1" ht="18" customHeight="1" x14ac:dyDescent="0.75"/>
    <row r="914" s="9" customFormat="1" ht="18" customHeight="1" x14ac:dyDescent="0.75"/>
    <row r="915" s="9" customFormat="1" ht="18" customHeight="1" x14ac:dyDescent="0.75"/>
    <row r="916" s="9" customFormat="1" ht="18" customHeight="1" x14ac:dyDescent="0.75"/>
    <row r="917" s="9" customFormat="1" ht="18" customHeight="1" x14ac:dyDescent="0.75"/>
    <row r="918" s="9" customFormat="1" ht="18" customHeight="1" x14ac:dyDescent="0.75"/>
    <row r="919" s="9" customFormat="1" ht="18" customHeight="1" x14ac:dyDescent="0.75"/>
    <row r="920" s="9" customFormat="1" ht="18" customHeight="1" x14ac:dyDescent="0.75"/>
    <row r="921" s="9" customFormat="1" ht="18" customHeight="1" x14ac:dyDescent="0.75"/>
    <row r="922" s="9" customFormat="1" ht="18" customHeight="1" x14ac:dyDescent="0.75"/>
    <row r="923" s="9" customFormat="1" ht="18" customHeight="1" x14ac:dyDescent="0.75"/>
    <row r="924" s="9" customFormat="1" ht="18" customHeight="1" x14ac:dyDescent="0.75"/>
    <row r="925" s="9" customFormat="1" ht="18" customHeight="1" x14ac:dyDescent="0.75"/>
    <row r="926" s="9" customFormat="1" ht="18" customHeight="1" x14ac:dyDescent="0.75"/>
    <row r="927" s="9" customFormat="1" ht="18" customHeight="1" x14ac:dyDescent="0.75"/>
    <row r="928" s="9" customFormat="1" ht="18" customHeight="1" x14ac:dyDescent="0.75"/>
    <row r="929" s="9" customFormat="1" ht="18" customHeight="1" x14ac:dyDescent="0.75"/>
    <row r="930" s="9" customFormat="1" ht="18" customHeight="1" x14ac:dyDescent="0.75"/>
    <row r="931" s="9" customFormat="1" ht="18" customHeight="1" x14ac:dyDescent="0.75"/>
    <row r="932" s="9" customFormat="1" ht="18" customHeight="1" x14ac:dyDescent="0.75"/>
    <row r="933" s="9" customFormat="1" ht="18" customHeight="1" x14ac:dyDescent="0.75"/>
    <row r="934" s="9" customFormat="1" ht="18" customHeight="1" x14ac:dyDescent="0.75"/>
    <row r="935" s="9" customFormat="1" ht="18" customHeight="1" x14ac:dyDescent="0.75"/>
    <row r="936" s="9" customFormat="1" ht="18" customHeight="1" x14ac:dyDescent="0.75"/>
    <row r="937" s="9" customFormat="1" ht="18" customHeight="1" x14ac:dyDescent="0.75"/>
    <row r="938" s="9" customFormat="1" ht="18" customHeight="1" x14ac:dyDescent="0.75"/>
    <row r="939" s="9" customFormat="1" ht="18" customHeight="1" x14ac:dyDescent="0.75"/>
    <row r="940" s="9" customFormat="1" ht="18" customHeight="1" x14ac:dyDescent="0.75"/>
    <row r="941" s="9" customFormat="1" ht="18" customHeight="1" x14ac:dyDescent="0.75"/>
    <row r="942" s="9" customFormat="1" ht="18" customHeight="1" x14ac:dyDescent="0.75"/>
    <row r="943" s="9" customFormat="1" ht="18" customHeight="1" x14ac:dyDescent="0.75"/>
    <row r="944" s="9" customFormat="1" ht="18" customHeight="1" x14ac:dyDescent="0.75"/>
    <row r="945" s="9" customFormat="1" ht="18" customHeight="1" x14ac:dyDescent="0.75"/>
    <row r="946" s="9" customFormat="1" ht="18" customHeight="1" x14ac:dyDescent="0.75"/>
    <row r="947" s="9" customFormat="1" ht="18" customHeight="1" x14ac:dyDescent="0.75"/>
    <row r="948" s="9" customFormat="1" ht="18" customHeight="1" x14ac:dyDescent="0.75"/>
    <row r="949" s="9" customFormat="1" ht="18" customHeight="1" x14ac:dyDescent="0.75"/>
    <row r="950" s="9" customFormat="1" ht="18" customHeight="1" x14ac:dyDescent="0.75"/>
    <row r="951" s="9" customFormat="1" ht="18" customHeight="1" x14ac:dyDescent="0.75"/>
    <row r="952" s="9" customFormat="1" ht="18" customHeight="1" x14ac:dyDescent="0.75"/>
    <row r="953" s="9" customFormat="1" ht="18" customHeight="1" x14ac:dyDescent="0.75"/>
    <row r="954" s="9" customFormat="1" ht="18" customHeight="1" x14ac:dyDescent="0.75"/>
    <row r="955" s="9" customFormat="1" ht="18" customHeight="1" x14ac:dyDescent="0.75"/>
    <row r="956" s="9" customFormat="1" ht="18" customHeight="1" x14ac:dyDescent="0.75"/>
    <row r="957" s="9" customFormat="1" ht="18" customHeight="1" x14ac:dyDescent="0.75"/>
    <row r="958" s="9" customFormat="1" ht="18" customHeight="1" x14ac:dyDescent="0.75"/>
    <row r="959" s="9" customFormat="1" ht="18" customHeight="1" x14ac:dyDescent="0.75"/>
    <row r="960" s="9" customFormat="1" ht="18" customHeight="1" x14ac:dyDescent="0.75"/>
    <row r="961" s="9" customFormat="1" ht="18" customHeight="1" x14ac:dyDescent="0.75"/>
    <row r="962" s="9" customFormat="1" ht="18" customHeight="1" x14ac:dyDescent="0.75"/>
    <row r="963" s="9" customFormat="1" ht="18" customHeight="1" x14ac:dyDescent="0.75"/>
    <row r="964" s="9" customFormat="1" ht="18" customHeight="1" x14ac:dyDescent="0.75"/>
    <row r="965" s="9" customFormat="1" ht="18" customHeight="1" x14ac:dyDescent="0.75"/>
    <row r="966" s="9" customFormat="1" ht="18" customHeight="1" x14ac:dyDescent="0.75"/>
    <row r="967" s="9" customFormat="1" ht="18" customHeight="1" x14ac:dyDescent="0.75"/>
    <row r="968" s="9" customFormat="1" ht="18" customHeight="1" x14ac:dyDescent="0.75"/>
    <row r="969" s="9" customFormat="1" ht="18" customHeight="1" x14ac:dyDescent="0.75"/>
    <row r="970" s="9" customFormat="1" ht="18" customHeight="1" x14ac:dyDescent="0.75"/>
    <row r="971" s="9" customFormat="1" ht="18" customHeight="1" x14ac:dyDescent="0.75"/>
    <row r="972" s="9" customFormat="1" ht="18" customHeight="1" x14ac:dyDescent="0.75"/>
    <row r="973" s="9" customFormat="1" ht="18" customHeight="1" x14ac:dyDescent="0.75"/>
    <row r="974" s="9" customFormat="1" ht="18" customHeight="1" x14ac:dyDescent="0.75"/>
    <row r="975" s="9" customFormat="1" ht="18" customHeight="1" x14ac:dyDescent="0.75"/>
    <row r="976" s="9" customFormat="1" ht="18" customHeight="1" x14ac:dyDescent="0.75"/>
    <row r="977" s="9" customFormat="1" ht="18" customHeight="1" x14ac:dyDescent="0.75"/>
    <row r="978" s="9" customFormat="1" ht="18" customHeight="1" x14ac:dyDescent="0.75"/>
    <row r="979" s="9" customFormat="1" ht="18" customHeight="1" x14ac:dyDescent="0.75"/>
    <row r="980" s="9" customFormat="1" ht="18" customHeight="1" x14ac:dyDescent="0.75"/>
    <row r="981" s="9" customFormat="1" ht="18" customHeight="1" x14ac:dyDescent="0.75"/>
    <row r="982" s="9" customFormat="1" ht="18" customHeight="1" x14ac:dyDescent="0.75"/>
    <row r="983" s="9" customFormat="1" ht="18" customHeight="1" x14ac:dyDescent="0.75"/>
    <row r="984" s="9" customFormat="1" ht="18" customHeight="1" x14ac:dyDescent="0.75"/>
    <row r="985" s="9" customFormat="1" ht="18" customHeight="1" x14ac:dyDescent="0.75"/>
    <row r="986" s="9" customFormat="1" ht="18" customHeight="1" x14ac:dyDescent="0.75"/>
    <row r="987" s="9" customFormat="1" ht="18" customHeight="1" x14ac:dyDescent="0.75"/>
    <row r="988" s="9" customFormat="1" ht="18" customHeight="1" x14ac:dyDescent="0.75"/>
    <row r="989" s="9" customFormat="1" ht="18" customHeight="1" x14ac:dyDescent="0.75"/>
    <row r="990" s="9" customFormat="1" ht="18" customHeight="1" x14ac:dyDescent="0.75"/>
    <row r="991" s="9" customFormat="1" ht="18" customHeight="1" x14ac:dyDescent="0.75"/>
    <row r="992" s="9" customFormat="1" ht="18" customHeight="1" x14ac:dyDescent="0.75"/>
    <row r="993" s="9" customFormat="1" ht="18" customHeight="1" x14ac:dyDescent="0.75"/>
    <row r="994" s="9" customFormat="1" ht="18" customHeight="1" x14ac:dyDescent="0.75"/>
    <row r="995" s="9" customFormat="1" ht="18" customHeight="1" x14ac:dyDescent="0.75"/>
    <row r="996" s="9" customFormat="1" ht="18" customHeight="1" x14ac:dyDescent="0.75"/>
    <row r="997" s="9" customFormat="1" ht="18" customHeight="1" x14ac:dyDescent="0.75"/>
    <row r="998" s="9" customFormat="1" ht="18" customHeight="1" x14ac:dyDescent="0.75"/>
    <row r="999" s="9" customFormat="1" ht="18" customHeight="1" x14ac:dyDescent="0.75"/>
    <row r="1000" s="9" customFormat="1" ht="18" customHeight="1" x14ac:dyDescent="0.75"/>
    <row r="1001" s="9" customFormat="1" ht="18" customHeight="1" x14ac:dyDescent="0.75"/>
    <row r="1002" s="9" customFormat="1" ht="18" customHeight="1" x14ac:dyDescent="0.75"/>
    <row r="1003" s="9" customFormat="1" ht="18" customHeight="1" x14ac:dyDescent="0.75"/>
    <row r="1004" s="9" customFormat="1" ht="18" customHeight="1" x14ac:dyDescent="0.75"/>
    <row r="1005" s="9" customFormat="1" ht="18" customHeight="1" x14ac:dyDescent="0.75"/>
    <row r="1006" s="9" customFormat="1" ht="18" customHeight="1" x14ac:dyDescent="0.75"/>
    <row r="1007" s="9" customFormat="1" ht="18" customHeight="1" x14ac:dyDescent="0.75"/>
    <row r="1008" s="9" customFormat="1" ht="18" customHeight="1" x14ac:dyDescent="0.75"/>
    <row r="1009" s="9" customFormat="1" ht="18" customHeight="1" x14ac:dyDescent="0.75"/>
    <row r="1010" s="9" customFormat="1" ht="18" customHeight="1" x14ac:dyDescent="0.75"/>
    <row r="1011" s="9" customFormat="1" ht="18" customHeight="1" x14ac:dyDescent="0.75"/>
    <row r="1012" s="9" customFormat="1" ht="18" customHeight="1" x14ac:dyDescent="0.75"/>
    <row r="1013" s="9" customFormat="1" ht="18" customHeight="1" x14ac:dyDescent="0.75"/>
    <row r="1014" s="9" customFormat="1" ht="18" customHeight="1" x14ac:dyDescent="0.75"/>
    <row r="1015" s="9" customFormat="1" ht="18" customHeight="1" x14ac:dyDescent="0.75"/>
    <row r="1016" s="9" customFormat="1" ht="18" customHeight="1" x14ac:dyDescent="0.75"/>
    <row r="1017" s="9" customFormat="1" ht="18" customHeight="1" x14ac:dyDescent="0.75"/>
    <row r="1018" s="9" customFormat="1" ht="18" customHeight="1" x14ac:dyDescent="0.75"/>
    <row r="1019" s="9" customFormat="1" ht="18" customHeight="1" x14ac:dyDescent="0.75"/>
    <row r="1020" s="9" customFormat="1" ht="18" customHeight="1" x14ac:dyDescent="0.75"/>
    <row r="1021" s="9" customFormat="1" ht="18" customHeight="1" x14ac:dyDescent="0.75"/>
    <row r="1022" s="9" customFormat="1" ht="18" customHeight="1" x14ac:dyDescent="0.75"/>
    <row r="1023" s="9" customFormat="1" ht="18" customHeight="1" x14ac:dyDescent="0.75"/>
    <row r="1024" s="9" customFormat="1" ht="18" customHeight="1" x14ac:dyDescent="0.75"/>
    <row r="1025" s="9" customFormat="1" ht="18" customHeight="1" x14ac:dyDescent="0.75"/>
    <row r="1026" s="9" customFormat="1" ht="18" customHeight="1" x14ac:dyDescent="0.75"/>
    <row r="1027" s="9" customFormat="1" ht="18" customHeight="1" x14ac:dyDescent="0.75"/>
    <row r="1028" s="9" customFormat="1" ht="18" customHeight="1" x14ac:dyDescent="0.75"/>
    <row r="1029" s="9" customFormat="1" ht="18" customHeight="1" x14ac:dyDescent="0.75"/>
    <row r="1030" s="9" customFormat="1" ht="18" customHeight="1" x14ac:dyDescent="0.75"/>
    <row r="1031" s="9" customFormat="1" ht="18" customHeight="1" x14ac:dyDescent="0.75"/>
    <row r="1032" s="9" customFormat="1" ht="18" customHeight="1" x14ac:dyDescent="0.75"/>
    <row r="1033" s="9" customFormat="1" ht="18" customHeight="1" x14ac:dyDescent="0.75"/>
    <row r="1034" s="9" customFormat="1" ht="18" customHeight="1" x14ac:dyDescent="0.75"/>
    <row r="1035" s="9" customFormat="1" ht="18" customHeight="1" x14ac:dyDescent="0.75"/>
    <row r="1036" s="9" customFormat="1" ht="18" customHeight="1" x14ac:dyDescent="0.75"/>
    <row r="1037" s="9" customFormat="1" ht="18" customHeight="1" x14ac:dyDescent="0.75"/>
    <row r="1038" s="9" customFormat="1" ht="18" customHeight="1" x14ac:dyDescent="0.75"/>
    <row r="1039" s="9" customFormat="1" ht="18" customHeight="1" x14ac:dyDescent="0.75"/>
    <row r="1040" s="9" customFormat="1" ht="18" customHeight="1" x14ac:dyDescent="0.75"/>
    <row r="1041" s="9" customFormat="1" ht="18" customHeight="1" x14ac:dyDescent="0.75"/>
    <row r="1042" s="9" customFormat="1" ht="18" customHeight="1" x14ac:dyDescent="0.75"/>
    <row r="1043" s="9" customFormat="1" ht="18" customHeight="1" x14ac:dyDescent="0.75"/>
    <row r="1044" s="9" customFormat="1" ht="18" customHeight="1" x14ac:dyDescent="0.75"/>
    <row r="1045" s="9" customFormat="1" ht="18" customHeight="1" x14ac:dyDescent="0.75"/>
    <row r="1046" s="9" customFormat="1" ht="18" customHeight="1" x14ac:dyDescent="0.75"/>
    <row r="1047" s="9" customFormat="1" ht="18" customHeight="1" x14ac:dyDescent="0.75"/>
    <row r="1048" s="9" customFormat="1" ht="18" customHeight="1" x14ac:dyDescent="0.75"/>
    <row r="1049" s="9" customFormat="1" ht="18" customHeight="1" x14ac:dyDescent="0.75"/>
    <row r="1050" s="9" customFormat="1" ht="18" customHeight="1" x14ac:dyDescent="0.75"/>
    <row r="1051" s="9" customFormat="1" ht="18" customHeight="1" x14ac:dyDescent="0.75"/>
    <row r="1052" s="9" customFormat="1" ht="18" customHeight="1" x14ac:dyDescent="0.75"/>
    <row r="1053" s="9" customFormat="1" ht="18" customHeight="1" x14ac:dyDescent="0.75"/>
    <row r="1054" s="9" customFormat="1" ht="18" customHeight="1" x14ac:dyDescent="0.75"/>
    <row r="1055" s="9" customFormat="1" ht="18" customHeight="1" x14ac:dyDescent="0.75"/>
    <row r="1056" s="9" customFormat="1" ht="18" customHeight="1" x14ac:dyDescent="0.75"/>
    <row r="1057" s="9" customFormat="1" ht="18" customHeight="1" x14ac:dyDescent="0.75"/>
    <row r="1058" s="9" customFormat="1" ht="18" customHeight="1" x14ac:dyDescent="0.75"/>
    <row r="1059" s="9" customFormat="1" ht="18" customHeight="1" x14ac:dyDescent="0.75"/>
    <row r="1060" s="9" customFormat="1" ht="18" customHeight="1" x14ac:dyDescent="0.75"/>
    <row r="1061" s="9" customFormat="1" ht="18" customHeight="1" x14ac:dyDescent="0.75"/>
    <row r="1062" s="9" customFormat="1" ht="18" customHeight="1" x14ac:dyDescent="0.75"/>
    <row r="1063" s="9" customFormat="1" ht="18" customHeight="1" x14ac:dyDescent="0.75"/>
    <row r="1064" s="9" customFormat="1" ht="18" customHeight="1" x14ac:dyDescent="0.75"/>
    <row r="1065" s="9" customFormat="1" ht="18" customHeight="1" x14ac:dyDescent="0.75"/>
    <row r="1066" s="9" customFormat="1" ht="18" customHeight="1" x14ac:dyDescent="0.75"/>
    <row r="1067" s="9" customFormat="1" ht="18" customHeight="1" x14ac:dyDescent="0.75"/>
    <row r="1068" s="9" customFormat="1" ht="18" customHeight="1" x14ac:dyDescent="0.75"/>
    <row r="1069" s="9" customFormat="1" ht="18" customHeight="1" x14ac:dyDescent="0.75"/>
    <row r="1070" s="9" customFormat="1" ht="18" customHeight="1" x14ac:dyDescent="0.75"/>
    <row r="1071" s="9" customFormat="1" ht="18" customHeight="1" x14ac:dyDescent="0.75"/>
    <row r="1072" s="9" customFormat="1" ht="18" customHeight="1" x14ac:dyDescent="0.75"/>
    <row r="1073" s="9" customFormat="1" ht="18" customHeight="1" x14ac:dyDescent="0.75"/>
    <row r="1074" s="9" customFormat="1" ht="18" customHeight="1" x14ac:dyDescent="0.75"/>
    <row r="1075" s="9" customFormat="1" ht="18" customHeight="1" x14ac:dyDescent="0.75"/>
    <row r="1076" s="9" customFormat="1" ht="18" customHeight="1" x14ac:dyDescent="0.75"/>
    <row r="1077" s="9" customFormat="1" ht="18" customHeight="1" x14ac:dyDescent="0.75"/>
    <row r="1078" s="9" customFormat="1" ht="18" customHeight="1" x14ac:dyDescent="0.75"/>
    <row r="1079" s="9" customFormat="1" ht="18" customHeight="1" x14ac:dyDescent="0.75"/>
    <row r="1080" s="9" customFormat="1" ht="18" customHeight="1" x14ac:dyDescent="0.75"/>
    <row r="1081" s="9" customFormat="1" ht="18" customHeight="1" x14ac:dyDescent="0.75"/>
    <row r="1082" s="9" customFormat="1" ht="18" customHeight="1" x14ac:dyDescent="0.75"/>
    <row r="1083" s="9" customFormat="1" ht="18" customHeight="1" x14ac:dyDescent="0.75"/>
    <row r="1084" s="9" customFormat="1" ht="18" customHeight="1" x14ac:dyDescent="0.75"/>
    <row r="1085" s="9" customFormat="1" ht="18" customHeight="1" x14ac:dyDescent="0.75"/>
    <row r="1086" s="9" customFormat="1" ht="18" customHeight="1" x14ac:dyDescent="0.75"/>
    <row r="1087" s="9" customFormat="1" ht="18" customHeight="1" x14ac:dyDescent="0.75"/>
    <row r="1088" s="9" customFormat="1" ht="18" customHeight="1" x14ac:dyDescent="0.75"/>
    <row r="1089" s="9" customFormat="1" ht="18" customHeight="1" x14ac:dyDescent="0.75"/>
    <row r="1090" s="9" customFormat="1" ht="18" customHeight="1" x14ac:dyDescent="0.75"/>
    <row r="1091" s="9" customFormat="1" ht="18" customHeight="1" x14ac:dyDescent="0.75"/>
    <row r="1092" s="9" customFormat="1" ht="18" customHeight="1" x14ac:dyDescent="0.75"/>
    <row r="1093" s="9" customFormat="1" ht="18" customHeight="1" x14ac:dyDescent="0.75"/>
    <row r="1094" s="9" customFormat="1" ht="18" customHeight="1" x14ac:dyDescent="0.75"/>
    <row r="1095" s="9" customFormat="1" ht="18" customHeight="1" x14ac:dyDescent="0.75"/>
    <row r="1096" s="9" customFormat="1" ht="18" customHeight="1" x14ac:dyDescent="0.75"/>
    <row r="1097" s="9" customFormat="1" ht="18" customHeight="1" x14ac:dyDescent="0.75"/>
    <row r="1098" s="9" customFormat="1" ht="18" customHeight="1" x14ac:dyDescent="0.75"/>
    <row r="1099" s="9" customFormat="1" ht="18" customHeight="1" x14ac:dyDescent="0.75"/>
    <row r="1100" s="9" customFormat="1" ht="18" customHeight="1" x14ac:dyDescent="0.75"/>
    <row r="1101" s="9" customFormat="1" ht="18" customHeight="1" x14ac:dyDescent="0.75"/>
    <row r="1102" s="9" customFormat="1" ht="18" customHeight="1" x14ac:dyDescent="0.75"/>
    <row r="1103" s="9" customFormat="1" ht="18" customHeight="1" x14ac:dyDescent="0.75"/>
    <row r="1104" s="9" customFormat="1" ht="18" customHeight="1" x14ac:dyDescent="0.75"/>
    <row r="1105" s="9" customFormat="1" ht="18" customHeight="1" x14ac:dyDescent="0.75"/>
    <row r="1106" s="9" customFormat="1" ht="18" customHeight="1" x14ac:dyDescent="0.75"/>
    <row r="1107" s="9" customFormat="1" ht="18" customHeight="1" x14ac:dyDescent="0.75"/>
    <row r="1108" s="9" customFormat="1" ht="18" customHeight="1" x14ac:dyDescent="0.75"/>
    <row r="1109" s="9" customFormat="1" ht="18" customHeight="1" x14ac:dyDescent="0.75"/>
    <row r="1110" s="9" customFormat="1" ht="18" customHeight="1" x14ac:dyDescent="0.75"/>
    <row r="1111" s="9" customFormat="1" ht="18" customHeight="1" x14ac:dyDescent="0.75"/>
    <row r="1112" s="9" customFormat="1" ht="18" customHeight="1" x14ac:dyDescent="0.75"/>
    <row r="1113" s="9" customFormat="1" ht="18" customHeight="1" x14ac:dyDescent="0.75"/>
    <row r="1114" s="9" customFormat="1" ht="18" customHeight="1" x14ac:dyDescent="0.75"/>
    <row r="1115" s="9" customFormat="1" ht="18" customHeight="1" x14ac:dyDescent="0.75"/>
    <row r="1116" s="9" customFormat="1" ht="18" customHeight="1" x14ac:dyDescent="0.75"/>
    <row r="1117" s="9" customFormat="1" ht="18" customHeight="1" x14ac:dyDescent="0.75"/>
    <row r="1118" s="9" customFormat="1" ht="18" customHeight="1" x14ac:dyDescent="0.75"/>
    <row r="1119" s="9" customFormat="1" ht="18" customHeight="1" x14ac:dyDescent="0.75"/>
    <row r="1120" s="9" customFormat="1" ht="18" customHeight="1" x14ac:dyDescent="0.75"/>
    <row r="1121" s="9" customFormat="1" ht="18" customHeight="1" x14ac:dyDescent="0.75"/>
    <row r="1122" s="9" customFormat="1" ht="18" customHeight="1" x14ac:dyDescent="0.75"/>
    <row r="1123" s="9" customFormat="1" ht="18" customHeight="1" x14ac:dyDescent="0.75"/>
    <row r="1124" s="9" customFormat="1" ht="18" customHeight="1" x14ac:dyDescent="0.75"/>
    <row r="1125" s="9" customFormat="1" ht="18" customHeight="1" x14ac:dyDescent="0.75"/>
    <row r="1126" s="9" customFormat="1" ht="18" customHeight="1" x14ac:dyDescent="0.75"/>
    <row r="1127" s="9" customFormat="1" ht="18" customHeight="1" x14ac:dyDescent="0.75"/>
    <row r="1128" s="9" customFormat="1" ht="18" customHeight="1" x14ac:dyDescent="0.75"/>
    <row r="1129" s="9" customFormat="1" ht="18" customHeight="1" x14ac:dyDescent="0.75"/>
    <row r="1130" s="9" customFormat="1" ht="18" customHeight="1" x14ac:dyDescent="0.75"/>
    <row r="1131" s="9" customFormat="1" ht="18" customHeight="1" x14ac:dyDescent="0.75"/>
    <row r="1132" s="9" customFormat="1" ht="18" customHeight="1" x14ac:dyDescent="0.75"/>
    <row r="1133" s="9" customFormat="1" ht="18" customHeight="1" x14ac:dyDescent="0.75"/>
    <row r="1134" s="9" customFormat="1" ht="18" customHeight="1" x14ac:dyDescent="0.75"/>
    <row r="1135" s="9" customFormat="1" ht="18" customHeight="1" x14ac:dyDescent="0.75"/>
    <row r="1136" s="9" customFormat="1" ht="18" customHeight="1" x14ac:dyDescent="0.75"/>
    <row r="1137" s="9" customFormat="1" ht="18" customHeight="1" x14ac:dyDescent="0.75"/>
    <row r="1138" s="9" customFormat="1" ht="18" customHeight="1" x14ac:dyDescent="0.75"/>
    <row r="1139" s="9" customFormat="1" ht="18" customHeight="1" x14ac:dyDescent="0.75"/>
    <row r="1140" s="9" customFormat="1" ht="18" customHeight="1" x14ac:dyDescent="0.75"/>
    <row r="1141" s="9" customFormat="1" ht="18" customHeight="1" x14ac:dyDescent="0.75"/>
    <row r="1142" s="9" customFormat="1" ht="18" customHeight="1" x14ac:dyDescent="0.75"/>
    <row r="1143" s="9" customFormat="1" ht="18" customHeight="1" x14ac:dyDescent="0.75"/>
    <row r="1144" s="9" customFormat="1" ht="18" customHeight="1" x14ac:dyDescent="0.75"/>
    <row r="1145" s="9" customFormat="1" ht="18" customHeight="1" x14ac:dyDescent="0.75"/>
    <row r="1146" s="9" customFormat="1" ht="18" customHeight="1" x14ac:dyDescent="0.75"/>
    <row r="1147" s="9" customFormat="1" ht="18" customHeight="1" x14ac:dyDescent="0.75"/>
    <row r="1148" s="9" customFormat="1" ht="18" customHeight="1" x14ac:dyDescent="0.75"/>
    <row r="1149" s="9" customFormat="1" ht="18" customHeight="1" x14ac:dyDescent="0.75"/>
    <row r="1150" s="9" customFormat="1" ht="18" customHeight="1" x14ac:dyDescent="0.75"/>
    <row r="1151" s="9" customFormat="1" ht="18" customHeight="1" x14ac:dyDescent="0.75"/>
    <row r="1152" s="9" customFormat="1" ht="18" customHeight="1" x14ac:dyDescent="0.75"/>
    <row r="1153" s="9" customFormat="1" ht="18" customHeight="1" x14ac:dyDescent="0.75"/>
    <row r="1154" s="9" customFormat="1" ht="18" customHeight="1" x14ac:dyDescent="0.75"/>
    <row r="1155" s="9" customFormat="1" ht="18" customHeight="1" x14ac:dyDescent="0.75"/>
    <row r="1156" s="9" customFormat="1" ht="18" customHeight="1" x14ac:dyDescent="0.75"/>
    <row r="1157" s="9" customFormat="1" ht="18" customHeight="1" x14ac:dyDescent="0.75"/>
    <row r="1158" s="9" customFormat="1" ht="18" customHeight="1" x14ac:dyDescent="0.75"/>
    <row r="1159" s="9" customFormat="1" ht="18" customHeight="1" x14ac:dyDescent="0.75"/>
    <row r="1160" s="9" customFormat="1" ht="18" customHeight="1" x14ac:dyDescent="0.75"/>
    <row r="1161" s="9" customFormat="1" ht="18" customHeight="1" x14ac:dyDescent="0.75"/>
    <row r="1162" s="9" customFormat="1" ht="18" customHeight="1" x14ac:dyDescent="0.75"/>
    <row r="1163" s="9" customFormat="1" ht="18" customHeight="1" x14ac:dyDescent="0.75"/>
    <row r="1164" s="9" customFormat="1" ht="18" customHeight="1" x14ac:dyDescent="0.75"/>
    <row r="1165" s="9" customFormat="1" ht="18" customHeight="1" x14ac:dyDescent="0.75"/>
    <row r="1166" s="9" customFormat="1" ht="18" customHeight="1" x14ac:dyDescent="0.75"/>
    <row r="1167" s="9" customFormat="1" ht="18" customHeight="1" x14ac:dyDescent="0.75"/>
    <row r="1168" s="9" customFormat="1" ht="18" customHeight="1" x14ac:dyDescent="0.75"/>
    <row r="1169" s="9" customFormat="1" ht="18" customHeight="1" x14ac:dyDescent="0.75"/>
    <row r="1170" s="9" customFormat="1" ht="18" customHeight="1" x14ac:dyDescent="0.75"/>
    <row r="1171" s="9" customFormat="1" ht="18" customHeight="1" x14ac:dyDescent="0.75"/>
    <row r="1172" s="9" customFormat="1" ht="18" customHeight="1" x14ac:dyDescent="0.75"/>
    <row r="1173" s="9" customFormat="1" ht="18" customHeight="1" x14ac:dyDescent="0.75"/>
    <row r="1174" s="9" customFormat="1" ht="18" customHeight="1" x14ac:dyDescent="0.75"/>
    <row r="1175" s="9" customFormat="1" ht="18" customHeight="1" x14ac:dyDescent="0.75"/>
    <row r="1176" s="9" customFormat="1" ht="18" customHeight="1" x14ac:dyDescent="0.75"/>
    <row r="1177" s="9" customFormat="1" ht="18" customHeight="1" x14ac:dyDescent="0.75"/>
    <row r="1178" s="9" customFormat="1" ht="18" customHeight="1" x14ac:dyDescent="0.75"/>
    <row r="1179" s="9" customFormat="1" ht="18" customHeight="1" x14ac:dyDescent="0.75"/>
    <row r="1180" s="9" customFormat="1" ht="18" customHeight="1" x14ac:dyDescent="0.75"/>
    <row r="1181" s="9" customFormat="1" ht="18" customHeight="1" x14ac:dyDescent="0.75"/>
    <row r="1182" s="9" customFormat="1" ht="18" customHeight="1" x14ac:dyDescent="0.75"/>
    <row r="1183" s="9" customFormat="1" ht="18" customHeight="1" x14ac:dyDescent="0.75"/>
    <row r="1184" s="9" customFormat="1" ht="18" customHeight="1" x14ac:dyDescent="0.75"/>
    <row r="1185" s="9" customFormat="1" ht="18" customHeight="1" x14ac:dyDescent="0.75"/>
    <row r="1186" s="9" customFormat="1" ht="18" customHeight="1" x14ac:dyDescent="0.75"/>
    <row r="1187" s="9" customFormat="1" ht="18" customHeight="1" x14ac:dyDescent="0.75"/>
    <row r="1188" s="9" customFormat="1" ht="18" customHeight="1" x14ac:dyDescent="0.75"/>
    <row r="1189" s="9" customFormat="1" ht="18" customHeight="1" x14ac:dyDescent="0.75"/>
    <row r="1190" s="9" customFormat="1" ht="18" customHeight="1" x14ac:dyDescent="0.75"/>
    <row r="1191" s="9" customFormat="1" ht="18" customHeight="1" x14ac:dyDescent="0.75"/>
    <row r="1192" s="9" customFormat="1" ht="18" customHeight="1" x14ac:dyDescent="0.75"/>
    <row r="1193" s="9" customFormat="1" ht="18" customHeight="1" x14ac:dyDescent="0.75"/>
    <row r="1194" s="9" customFormat="1" ht="18" customHeight="1" x14ac:dyDescent="0.75"/>
    <row r="1195" s="9" customFormat="1" ht="18" customHeight="1" x14ac:dyDescent="0.75"/>
    <row r="1196" s="9" customFormat="1" ht="18" customHeight="1" x14ac:dyDescent="0.75"/>
    <row r="1197" s="9" customFormat="1" ht="18" customHeight="1" x14ac:dyDescent="0.75"/>
    <row r="1198" s="9" customFormat="1" ht="18" customHeight="1" x14ac:dyDescent="0.75"/>
    <row r="1199" s="9" customFormat="1" ht="18" customHeight="1" x14ac:dyDescent="0.75"/>
    <row r="1200" s="9" customFormat="1" ht="18" customHeight="1" x14ac:dyDescent="0.75"/>
    <row r="1201" s="9" customFormat="1" ht="18" customHeight="1" x14ac:dyDescent="0.75"/>
    <row r="1202" s="9" customFormat="1" ht="18" customHeight="1" x14ac:dyDescent="0.75"/>
    <row r="1203" s="9" customFormat="1" ht="18" customHeight="1" x14ac:dyDescent="0.75"/>
    <row r="1204" s="9" customFormat="1" ht="18" customHeight="1" x14ac:dyDescent="0.75"/>
    <row r="1205" s="9" customFormat="1" ht="18" customHeight="1" x14ac:dyDescent="0.75"/>
    <row r="1206" s="9" customFormat="1" ht="18" customHeight="1" x14ac:dyDescent="0.75"/>
    <row r="1207" s="9" customFormat="1" ht="18" customHeight="1" x14ac:dyDescent="0.75"/>
    <row r="1208" s="9" customFormat="1" ht="18" customHeight="1" x14ac:dyDescent="0.75"/>
    <row r="1209" s="9" customFormat="1" ht="18" customHeight="1" x14ac:dyDescent="0.75"/>
    <row r="1210" s="9" customFormat="1" ht="18" customHeight="1" x14ac:dyDescent="0.75"/>
    <row r="1211" s="9" customFormat="1" ht="18" customHeight="1" x14ac:dyDescent="0.75"/>
    <row r="1212" s="9" customFormat="1" ht="18" customHeight="1" x14ac:dyDescent="0.75"/>
    <row r="1213" s="9" customFormat="1" ht="18" customHeight="1" x14ac:dyDescent="0.75"/>
    <row r="1214" s="9" customFormat="1" ht="18" customHeight="1" x14ac:dyDescent="0.75"/>
    <row r="1215" s="9" customFormat="1" ht="18" customHeight="1" x14ac:dyDescent="0.75"/>
    <row r="1216" s="9" customFormat="1" ht="18" customHeight="1" x14ac:dyDescent="0.75"/>
    <row r="1217" s="9" customFormat="1" ht="18" customHeight="1" x14ac:dyDescent="0.75"/>
    <row r="1218" s="9" customFormat="1" ht="18" customHeight="1" x14ac:dyDescent="0.75"/>
    <row r="1219" s="9" customFormat="1" ht="18" customHeight="1" x14ac:dyDescent="0.75"/>
    <row r="1220" s="9" customFormat="1" ht="18" customHeight="1" x14ac:dyDescent="0.75"/>
    <row r="1221" s="9" customFormat="1" ht="18" customHeight="1" x14ac:dyDescent="0.75"/>
    <row r="1222" s="9" customFormat="1" ht="18" customHeight="1" x14ac:dyDescent="0.75"/>
    <row r="1223" s="9" customFormat="1" ht="18" customHeight="1" x14ac:dyDescent="0.75"/>
    <row r="1224" s="9" customFormat="1" ht="18" customHeight="1" x14ac:dyDescent="0.75"/>
    <row r="1225" s="9" customFormat="1" ht="18" customHeight="1" x14ac:dyDescent="0.75"/>
    <row r="1226" s="9" customFormat="1" ht="18" customHeight="1" x14ac:dyDescent="0.75"/>
    <row r="1227" s="9" customFormat="1" ht="18" customHeight="1" x14ac:dyDescent="0.75"/>
    <row r="1228" s="9" customFormat="1" ht="18" customHeight="1" x14ac:dyDescent="0.75"/>
    <row r="1229" s="9" customFormat="1" ht="18" customHeight="1" x14ac:dyDescent="0.75"/>
    <row r="1230" s="9" customFormat="1" ht="18" customHeight="1" x14ac:dyDescent="0.75"/>
    <row r="1231" s="9" customFormat="1" ht="18" customHeight="1" x14ac:dyDescent="0.75"/>
    <row r="1232" s="9" customFormat="1" ht="18" customHeight="1" x14ac:dyDescent="0.75"/>
    <row r="1233" s="9" customFormat="1" ht="18" customHeight="1" x14ac:dyDescent="0.75"/>
    <row r="1234" s="9" customFormat="1" ht="18" customHeight="1" x14ac:dyDescent="0.75"/>
    <row r="1235" s="9" customFormat="1" ht="18" customHeight="1" x14ac:dyDescent="0.75"/>
    <row r="1236" s="9" customFormat="1" ht="18" customHeight="1" x14ac:dyDescent="0.75"/>
    <row r="1237" s="9" customFormat="1" ht="18" customHeight="1" x14ac:dyDescent="0.75"/>
    <row r="1238" s="9" customFormat="1" ht="18" customHeight="1" x14ac:dyDescent="0.75"/>
    <row r="1239" s="9" customFormat="1" ht="18" customHeight="1" x14ac:dyDescent="0.75"/>
    <row r="1240" s="9" customFormat="1" ht="18" customHeight="1" x14ac:dyDescent="0.75"/>
    <row r="1241" s="9" customFormat="1" ht="18" customHeight="1" x14ac:dyDescent="0.75"/>
    <row r="1242" s="9" customFormat="1" ht="18" customHeight="1" x14ac:dyDescent="0.75"/>
    <row r="1243" s="9" customFormat="1" ht="18" customHeight="1" x14ac:dyDescent="0.75"/>
    <row r="1244" s="9" customFormat="1" ht="18" customHeight="1" x14ac:dyDescent="0.75"/>
    <row r="1245" s="9" customFormat="1" ht="18" customHeight="1" x14ac:dyDescent="0.75"/>
    <row r="1246" s="9" customFormat="1" ht="18" customHeight="1" x14ac:dyDescent="0.75"/>
    <row r="1247" s="9" customFormat="1" ht="18" customHeight="1" x14ac:dyDescent="0.75"/>
    <row r="1248" s="9" customFormat="1" ht="18" customHeight="1" x14ac:dyDescent="0.75"/>
    <row r="1249" s="9" customFormat="1" ht="18" customHeight="1" x14ac:dyDescent="0.75"/>
    <row r="1250" s="9" customFormat="1" ht="18" customHeight="1" x14ac:dyDescent="0.75"/>
    <row r="1251" s="9" customFormat="1" ht="18" customHeight="1" x14ac:dyDescent="0.75"/>
    <row r="1252" s="9" customFormat="1" ht="18" customHeight="1" x14ac:dyDescent="0.75"/>
    <row r="1253" s="9" customFormat="1" ht="18" customHeight="1" x14ac:dyDescent="0.75"/>
    <row r="1254" s="9" customFormat="1" ht="18" customHeight="1" x14ac:dyDescent="0.75"/>
    <row r="1255" s="9" customFormat="1" ht="18" customHeight="1" x14ac:dyDescent="0.75"/>
    <row r="1256" s="9" customFormat="1" ht="18" customHeight="1" x14ac:dyDescent="0.75"/>
    <row r="1257" s="9" customFormat="1" ht="18" customHeight="1" x14ac:dyDescent="0.75"/>
    <row r="1258" s="9" customFormat="1" ht="18" customHeight="1" x14ac:dyDescent="0.75"/>
    <row r="1259" s="9" customFormat="1" ht="18" customHeight="1" x14ac:dyDescent="0.75"/>
    <row r="1260" s="9" customFormat="1" ht="18" customHeight="1" x14ac:dyDescent="0.75"/>
    <row r="1261" s="9" customFormat="1" ht="18" customHeight="1" x14ac:dyDescent="0.75"/>
    <row r="1262" s="9" customFormat="1" ht="18" customHeight="1" x14ac:dyDescent="0.75"/>
    <row r="1263" s="9" customFormat="1" ht="18" customHeight="1" x14ac:dyDescent="0.75"/>
    <row r="1264" s="9" customFormat="1" ht="18" customHeight="1" x14ac:dyDescent="0.75"/>
    <row r="1265" s="9" customFormat="1" ht="18" customHeight="1" x14ac:dyDescent="0.75"/>
    <row r="1266" s="9" customFormat="1" ht="18" customHeight="1" x14ac:dyDescent="0.75"/>
    <row r="1267" s="9" customFormat="1" ht="18" customHeight="1" x14ac:dyDescent="0.75"/>
    <row r="1268" s="9" customFormat="1" ht="18" customHeight="1" x14ac:dyDescent="0.75"/>
    <row r="1269" s="9" customFormat="1" ht="18" customHeight="1" x14ac:dyDescent="0.75"/>
    <row r="1270" s="9" customFormat="1" ht="18" customHeight="1" x14ac:dyDescent="0.75"/>
    <row r="1271" s="9" customFormat="1" ht="18" customHeight="1" x14ac:dyDescent="0.75"/>
    <row r="1272" s="9" customFormat="1" ht="18" customHeight="1" x14ac:dyDescent="0.75"/>
    <row r="1273" s="9" customFormat="1" ht="18" customHeight="1" x14ac:dyDescent="0.75"/>
    <row r="1274" s="9" customFormat="1" ht="18" customHeight="1" x14ac:dyDescent="0.75"/>
    <row r="1275" s="9" customFormat="1" ht="18" customHeight="1" x14ac:dyDescent="0.75"/>
    <row r="1276" s="9" customFormat="1" ht="18" customHeight="1" x14ac:dyDescent="0.75"/>
    <row r="1277" s="9" customFormat="1" ht="18" customHeight="1" x14ac:dyDescent="0.75"/>
    <row r="1278" s="9" customFormat="1" ht="18" customHeight="1" x14ac:dyDescent="0.75"/>
    <row r="1279" s="9" customFormat="1" ht="18" customHeight="1" x14ac:dyDescent="0.75"/>
    <row r="1280" s="9" customFormat="1" ht="18" customHeight="1" x14ac:dyDescent="0.75"/>
    <row r="1281" s="9" customFormat="1" ht="18" customHeight="1" x14ac:dyDescent="0.75"/>
    <row r="1282" s="9" customFormat="1" ht="18" customHeight="1" x14ac:dyDescent="0.75"/>
    <row r="1283" s="9" customFormat="1" ht="18" customHeight="1" x14ac:dyDescent="0.75"/>
    <row r="1284" s="9" customFormat="1" ht="18" customHeight="1" x14ac:dyDescent="0.75"/>
    <row r="1285" s="9" customFormat="1" ht="18" customHeight="1" x14ac:dyDescent="0.75"/>
    <row r="1286" s="9" customFormat="1" ht="18" customHeight="1" x14ac:dyDescent="0.75"/>
    <row r="1287" s="9" customFormat="1" ht="18" customHeight="1" x14ac:dyDescent="0.75"/>
    <row r="1288" s="9" customFormat="1" ht="18" customHeight="1" x14ac:dyDescent="0.75"/>
    <row r="1289" s="9" customFormat="1" ht="18" customHeight="1" x14ac:dyDescent="0.75"/>
    <row r="1290" s="9" customFormat="1" ht="18" customHeight="1" x14ac:dyDescent="0.75"/>
    <row r="1291" s="9" customFormat="1" ht="18" customHeight="1" x14ac:dyDescent="0.75"/>
    <row r="1292" s="9" customFormat="1" ht="18" customHeight="1" x14ac:dyDescent="0.75"/>
    <row r="1293" s="9" customFormat="1" ht="18" customHeight="1" x14ac:dyDescent="0.75"/>
    <row r="1294" s="9" customFormat="1" ht="18" customHeight="1" x14ac:dyDescent="0.75"/>
    <row r="1295" s="9" customFormat="1" ht="18" customHeight="1" x14ac:dyDescent="0.75"/>
    <row r="1296" s="9" customFormat="1" ht="18" customHeight="1" x14ac:dyDescent="0.75"/>
    <row r="1297" s="9" customFormat="1" ht="18" customHeight="1" x14ac:dyDescent="0.75"/>
    <row r="1298" s="9" customFormat="1" ht="18" customHeight="1" x14ac:dyDescent="0.75"/>
    <row r="1299" s="9" customFormat="1" ht="18" customHeight="1" x14ac:dyDescent="0.75"/>
    <row r="1300" s="9" customFormat="1" ht="18" customHeight="1" x14ac:dyDescent="0.75"/>
    <row r="1301" s="9" customFormat="1" ht="18" customHeight="1" x14ac:dyDescent="0.75"/>
    <row r="1302" s="9" customFormat="1" ht="18" customHeight="1" x14ac:dyDescent="0.75"/>
    <row r="1303" s="9" customFormat="1" ht="18" customHeight="1" x14ac:dyDescent="0.75"/>
    <row r="1304" s="9" customFormat="1" ht="18" customHeight="1" x14ac:dyDescent="0.75"/>
    <row r="1305" s="9" customFormat="1" ht="18" customHeight="1" x14ac:dyDescent="0.75"/>
    <row r="1306" s="9" customFormat="1" ht="18" customHeight="1" x14ac:dyDescent="0.75"/>
    <row r="1307" s="9" customFormat="1" ht="18" customHeight="1" x14ac:dyDescent="0.75"/>
    <row r="1308" s="9" customFormat="1" ht="18" customHeight="1" x14ac:dyDescent="0.75"/>
    <row r="1309" s="9" customFormat="1" ht="18" customHeight="1" x14ac:dyDescent="0.75"/>
    <row r="1310" s="9" customFormat="1" ht="18" customHeight="1" x14ac:dyDescent="0.75"/>
    <row r="1311" s="9" customFormat="1" ht="18" customHeight="1" x14ac:dyDescent="0.75"/>
    <row r="1312" s="9" customFormat="1" ht="18" customHeight="1" x14ac:dyDescent="0.75"/>
    <row r="1313" s="9" customFormat="1" ht="18" customHeight="1" x14ac:dyDescent="0.75"/>
    <row r="1314" s="9" customFormat="1" ht="18" customHeight="1" x14ac:dyDescent="0.75"/>
    <row r="1315" s="9" customFormat="1" ht="18" customHeight="1" x14ac:dyDescent="0.75"/>
    <row r="1316" s="9" customFormat="1" ht="18" customHeight="1" x14ac:dyDescent="0.75"/>
    <row r="1317" s="9" customFormat="1" ht="18" customHeight="1" x14ac:dyDescent="0.75"/>
    <row r="1318" s="9" customFormat="1" ht="18" customHeight="1" x14ac:dyDescent="0.75"/>
    <row r="1319" s="9" customFormat="1" ht="18" customHeight="1" x14ac:dyDescent="0.75"/>
    <row r="1320" s="9" customFormat="1" ht="18" customHeight="1" x14ac:dyDescent="0.75"/>
    <row r="1321" s="9" customFormat="1" ht="18" customHeight="1" x14ac:dyDescent="0.75"/>
    <row r="1322" s="9" customFormat="1" ht="18" customHeight="1" x14ac:dyDescent="0.75"/>
    <row r="1323" s="9" customFormat="1" ht="18" customHeight="1" x14ac:dyDescent="0.75"/>
    <row r="1324" s="9" customFormat="1" ht="18" customHeight="1" x14ac:dyDescent="0.75"/>
    <row r="1325" s="9" customFormat="1" ht="18" customHeight="1" x14ac:dyDescent="0.75"/>
    <row r="1326" s="9" customFormat="1" ht="18" customHeight="1" x14ac:dyDescent="0.75"/>
    <row r="1327" s="9" customFormat="1" ht="18" customHeight="1" x14ac:dyDescent="0.75"/>
    <row r="1328" s="9" customFormat="1" ht="18" customHeight="1" x14ac:dyDescent="0.75"/>
    <row r="1329" s="9" customFormat="1" ht="18" customHeight="1" x14ac:dyDescent="0.75"/>
    <row r="1330" s="9" customFormat="1" ht="18" customHeight="1" x14ac:dyDescent="0.75"/>
    <row r="1331" s="9" customFormat="1" ht="18" customHeight="1" x14ac:dyDescent="0.75"/>
    <row r="1332" s="9" customFormat="1" ht="18" customHeight="1" x14ac:dyDescent="0.75"/>
    <row r="1333" s="9" customFormat="1" ht="18" customHeight="1" x14ac:dyDescent="0.75"/>
    <row r="1334" s="9" customFormat="1" ht="18" customHeight="1" x14ac:dyDescent="0.75"/>
    <row r="1335" s="9" customFormat="1" ht="18" customHeight="1" x14ac:dyDescent="0.75"/>
    <row r="1336" s="9" customFormat="1" ht="18" customHeight="1" x14ac:dyDescent="0.75"/>
    <row r="1337" s="9" customFormat="1" ht="18" customHeight="1" x14ac:dyDescent="0.75"/>
    <row r="1338" s="9" customFormat="1" ht="18" customHeight="1" x14ac:dyDescent="0.75"/>
    <row r="1339" s="9" customFormat="1" ht="18" customHeight="1" x14ac:dyDescent="0.75"/>
    <row r="1340" s="9" customFormat="1" ht="18" customHeight="1" x14ac:dyDescent="0.75"/>
    <row r="1341" s="9" customFormat="1" ht="18" customHeight="1" x14ac:dyDescent="0.75"/>
    <row r="1342" s="9" customFormat="1" ht="18" customHeight="1" x14ac:dyDescent="0.75"/>
    <row r="1343" s="9" customFormat="1" ht="18" customHeight="1" x14ac:dyDescent="0.75"/>
    <row r="1344" s="9" customFormat="1" ht="18" customHeight="1" x14ac:dyDescent="0.75"/>
    <row r="1345" s="9" customFormat="1" ht="18" customHeight="1" x14ac:dyDescent="0.75"/>
    <row r="1346" s="9" customFormat="1" ht="18" customHeight="1" x14ac:dyDescent="0.75"/>
    <row r="1347" s="9" customFormat="1" ht="18" customHeight="1" x14ac:dyDescent="0.75"/>
    <row r="1348" s="9" customFormat="1" ht="18" customHeight="1" x14ac:dyDescent="0.75"/>
    <row r="1349" s="9" customFormat="1" ht="18" customHeight="1" x14ac:dyDescent="0.75"/>
    <row r="1350" s="9" customFormat="1" ht="18" customHeight="1" x14ac:dyDescent="0.75"/>
    <row r="1351" s="9" customFormat="1" ht="18" customHeight="1" x14ac:dyDescent="0.75"/>
    <row r="1352" s="9" customFormat="1" ht="18" customHeight="1" x14ac:dyDescent="0.75"/>
    <row r="1353" s="9" customFormat="1" ht="18" customHeight="1" x14ac:dyDescent="0.75"/>
    <row r="1354" s="9" customFormat="1" ht="18" customHeight="1" x14ac:dyDescent="0.75"/>
    <row r="1355" s="9" customFormat="1" ht="18" customHeight="1" x14ac:dyDescent="0.75"/>
    <row r="1356" s="9" customFormat="1" ht="18" customHeight="1" x14ac:dyDescent="0.75"/>
    <row r="1357" s="9" customFormat="1" ht="18" customHeight="1" x14ac:dyDescent="0.75"/>
    <row r="1358" s="9" customFormat="1" ht="18" customHeight="1" x14ac:dyDescent="0.75"/>
    <row r="1359" s="9" customFormat="1" ht="18" customHeight="1" x14ac:dyDescent="0.75"/>
    <row r="1360" s="9" customFormat="1" ht="18" customHeight="1" x14ac:dyDescent="0.75"/>
    <row r="1361" s="9" customFormat="1" ht="18" customHeight="1" x14ac:dyDescent="0.75"/>
    <row r="1362" s="9" customFormat="1" ht="18" customHeight="1" x14ac:dyDescent="0.75"/>
    <row r="1363" s="9" customFormat="1" ht="18" customHeight="1" x14ac:dyDescent="0.75"/>
    <row r="1364" s="9" customFormat="1" ht="18" customHeight="1" x14ac:dyDescent="0.75"/>
    <row r="1365" s="9" customFormat="1" ht="18" customHeight="1" x14ac:dyDescent="0.75"/>
    <row r="1366" s="9" customFormat="1" ht="18" customHeight="1" x14ac:dyDescent="0.75"/>
    <row r="1367" s="9" customFormat="1" ht="18" customHeight="1" x14ac:dyDescent="0.75"/>
    <row r="1368" s="9" customFormat="1" ht="18" customHeight="1" x14ac:dyDescent="0.75"/>
    <row r="1369" s="9" customFormat="1" ht="18" customHeight="1" x14ac:dyDescent="0.75"/>
    <row r="1370" s="9" customFormat="1" ht="18" customHeight="1" x14ac:dyDescent="0.75"/>
    <row r="1371" s="9" customFormat="1" ht="18" customHeight="1" x14ac:dyDescent="0.75"/>
    <row r="1372" s="9" customFormat="1" ht="18" customHeight="1" x14ac:dyDescent="0.75"/>
    <row r="1373" s="9" customFormat="1" ht="18" customHeight="1" x14ac:dyDescent="0.75"/>
    <row r="1374" s="9" customFormat="1" ht="18" customHeight="1" x14ac:dyDescent="0.75"/>
    <row r="1375" s="9" customFormat="1" ht="18" customHeight="1" x14ac:dyDescent="0.75"/>
    <row r="1376" s="9" customFormat="1" ht="18" customHeight="1" x14ac:dyDescent="0.75"/>
    <row r="1377" s="9" customFormat="1" ht="18" customHeight="1" x14ac:dyDescent="0.75"/>
    <row r="1378" s="9" customFormat="1" ht="18" customHeight="1" x14ac:dyDescent="0.75"/>
    <row r="1379" s="9" customFormat="1" ht="18" customHeight="1" x14ac:dyDescent="0.75"/>
    <row r="1380" s="9" customFormat="1" ht="18" customHeight="1" x14ac:dyDescent="0.75"/>
    <row r="1381" s="9" customFormat="1" ht="18" customHeight="1" x14ac:dyDescent="0.75"/>
    <row r="1382" s="9" customFormat="1" ht="18" customHeight="1" x14ac:dyDescent="0.75"/>
    <row r="1383" s="9" customFormat="1" ht="18" customHeight="1" x14ac:dyDescent="0.75"/>
    <row r="1384" s="9" customFormat="1" ht="18" customHeight="1" x14ac:dyDescent="0.75"/>
    <row r="1385" s="9" customFormat="1" ht="18" customHeight="1" x14ac:dyDescent="0.75"/>
    <row r="1386" s="9" customFormat="1" ht="18" customHeight="1" x14ac:dyDescent="0.75"/>
    <row r="1387" s="9" customFormat="1" ht="18" customHeight="1" x14ac:dyDescent="0.75"/>
    <row r="1388" s="9" customFormat="1" ht="18" customHeight="1" x14ac:dyDescent="0.75"/>
  </sheetData>
  <sheetProtection formatColumns="0" formatRows="0"/>
  <customSheetViews>
    <customSheetView guid="{97DA177E-F101-4CD5-8BC6-6997082DB660}" scale="73" showGridLines="0" showRowCol="0" fitToPage="1" printArea="1" hiddenRows="1" hiddenColumns="1" topLeftCell="I11">
      <selection activeCell="M27" sqref="M27"/>
      <pageMargins left="0.11811023622047245" right="0.11811023622047245" top="0.15748031496062992" bottom="0.15748031496062992" header="0" footer="0"/>
      <printOptions horizontalCentered="1"/>
      <pageSetup paperSize="9" scale="43" orientation="portrait" r:id="rId1"/>
      <headerFooter>
        <oddFooter>&amp;C&amp;9&amp;K01+022PMM - Gross Margin variance breakdown
&amp;D&amp;T</oddFooter>
      </headerFooter>
    </customSheetView>
    <customSheetView guid="{83BB5152-01BA-42DF-B23D-4001406CC674}" scale="40" fitToPage="1" printArea="1">
      <selection activeCell="E5" sqref="A1:XFD1048576"/>
      <pageMargins left="0.11811023622047245" right="0.11811023622047245" top="0.15748031496062992" bottom="0.15748031496062992" header="0" footer="0"/>
      <printOptions horizontalCentered="1"/>
      <pageSetup paperSize="9" scale="43" orientation="portrait" r:id="rId2"/>
      <headerFooter>
        <oddFooter>&amp;C&amp;9&amp;K01+022PMM - Gross Margin variance breakdown
&amp;D&amp;T</oddFooter>
      </headerFooter>
    </customSheetView>
  </customSheetViews>
  <mergeCells count="196">
    <mergeCell ref="L131:O131"/>
    <mergeCell ref="L158:O158"/>
    <mergeCell ref="L159:O159"/>
    <mergeCell ref="L162:O162"/>
    <mergeCell ref="M244:M245"/>
    <mergeCell ref="K120:O120"/>
    <mergeCell ref="L124:O124"/>
    <mergeCell ref="L202:P202"/>
    <mergeCell ref="S210:T210"/>
    <mergeCell ref="L180:P180"/>
    <mergeCell ref="L196:P196"/>
    <mergeCell ref="L209:O209"/>
    <mergeCell ref="W210:X210"/>
    <mergeCell ref="K213:O213"/>
    <mergeCell ref="M216:M243"/>
    <mergeCell ref="L87:O87"/>
    <mergeCell ref="L89:O89"/>
    <mergeCell ref="L99:O99"/>
    <mergeCell ref="L104:O104"/>
    <mergeCell ref="L94:O94"/>
    <mergeCell ref="L95:O95"/>
    <mergeCell ref="L101:O101"/>
    <mergeCell ref="L102:O102"/>
    <mergeCell ref="L103:O103"/>
    <mergeCell ref="L100:O100"/>
    <mergeCell ref="L109:O109"/>
    <mergeCell ref="K98:O98"/>
    <mergeCell ref="L163:O163"/>
    <mergeCell ref="L112:O112"/>
    <mergeCell ref="L113:O113"/>
    <mergeCell ref="L114:O114"/>
    <mergeCell ref="L115:O115"/>
    <mergeCell ref="K215:Q215"/>
    <mergeCell ref="L130:O130"/>
    <mergeCell ref="L129:P129"/>
    <mergeCell ref="L161:P161"/>
    <mergeCell ref="L68:O68"/>
    <mergeCell ref="L69:O69"/>
    <mergeCell ref="L70:O70"/>
    <mergeCell ref="L73:O73"/>
    <mergeCell ref="L76:O76"/>
    <mergeCell ref="L82:O82"/>
    <mergeCell ref="L83:O83"/>
    <mergeCell ref="L84:O84"/>
    <mergeCell ref="L64:O64"/>
    <mergeCell ref="L77:O77"/>
    <mergeCell ref="L78:O78"/>
    <mergeCell ref="L74:O74"/>
    <mergeCell ref="L72:O72"/>
    <mergeCell ref="L71:O71"/>
    <mergeCell ref="L66:O66"/>
    <mergeCell ref="K81:O81"/>
    <mergeCell ref="L75:O75"/>
    <mergeCell ref="L67:O67"/>
    <mergeCell ref="K7:Y7"/>
    <mergeCell ref="K8:Y8"/>
    <mergeCell ref="L65:O65"/>
    <mergeCell ref="K53:O53"/>
    <mergeCell ref="L63:O63"/>
    <mergeCell ref="Q29:X30"/>
    <mergeCell ref="S32:T32"/>
    <mergeCell ref="W32:X32"/>
    <mergeCell ref="K36:O36"/>
    <mergeCell ref="L37:O37"/>
    <mergeCell ref="L38:O38"/>
    <mergeCell ref="L40:O40"/>
    <mergeCell ref="L41:O41"/>
    <mergeCell ref="L57:O57"/>
    <mergeCell ref="L42:O42"/>
    <mergeCell ref="L47:O47"/>
    <mergeCell ref="L48:O48"/>
    <mergeCell ref="L49:O49"/>
    <mergeCell ref="L50:O50"/>
    <mergeCell ref="L54:O54"/>
    <mergeCell ref="L55:O55"/>
    <mergeCell ref="L56:O56"/>
    <mergeCell ref="K62:O62"/>
    <mergeCell ref="L39:O39"/>
    <mergeCell ref="L116:O116"/>
    <mergeCell ref="L117:O117"/>
    <mergeCell ref="K111:O111"/>
    <mergeCell ref="L88:O88"/>
    <mergeCell ref="L85:O85"/>
    <mergeCell ref="L86:O86"/>
    <mergeCell ref="L91:O91"/>
    <mergeCell ref="L92:O92"/>
    <mergeCell ref="L93:O93"/>
    <mergeCell ref="L90:O90"/>
    <mergeCell ref="L105:O105"/>
    <mergeCell ref="L106:O106"/>
    <mergeCell ref="L107:O107"/>
    <mergeCell ref="L108:O108"/>
    <mergeCell ref="L582:O582"/>
    <mergeCell ref="M576:O576"/>
    <mergeCell ref="M577:O577"/>
    <mergeCell ref="M578:O578"/>
    <mergeCell ref="M579:O579"/>
    <mergeCell ref="M580:O580"/>
    <mergeCell ref="M581:O581"/>
    <mergeCell ref="M568:X568"/>
    <mergeCell ref="L570:O570"/>
    <mergeCell ref="L571:L581"/>
    <mergeCell ref="M571:O571"/>
    <mergeCell ref="M572:O572"/>
    <mergeCell ref="M573:O573"/>
    <mergeCell ref="M575:O575"/>
    <mergeCell ref="M513:O513"/>
    <mergeCell ref="M514:O514"/>
    <mergeCell ref="M515:O515"/>
    <mergeCell ref="M516:O516"/>
    <mergeCell ref="L455:O455"/>
    <mergeCell ref="BL29:BN30"/>
    <mergeCell ref="L506:O506"/>
    <mergeCell ref="L507:L518"/>
    <mergeCell ref="M461:T461"/>
    <mergeCell ref="M509:O509"/>
    <mergeCell ref="M507:O507"/>
    <mergeCell ref="M335:T335"/>
    <mergeCell ref="M356:T356"/>
    <mergeCell ref="M398:T398"/>
    <mergeCell ref="M419:T419"/>
    <mergeCell ref="M378:X378"/>
    <mergeCell ref="L380:O380"/>
    <mergeCell ref="L381:L391"/>
    <mergeCell ref="M381:O381"/>
    <mergeCell ref="M382:O382"/>
    <mergeCell ref="M383:O383"/>
    <mergeCell ref="L329:O329"/>
    <mergeCell ref="S125:T125"/>
    <mergeCell ref="W125:X125"/>
    <mergeCell ref="BP29:BR30"/>
    <mergeCell ref="BT29:BV30"/>
    <mergeCell ref="L59:O59"/>
    <mergeCell ref="AB29:AD30"/>
    <mergeCell ref="AF29:AH30"/>
    <mergeCell ref="AJ29:AL30"/>
    <mergeCell ref="AN29:AP30"/>
    <mergeCell ref="AR29:AT30"/>
    <mergeCell ref="AV29:AX30"/>
    <mergeCell ref="AZ29:BB30"/>
    <mergeCell ref="BD29:BF30"/>
    <mergeCell ref="BH29:BJ30"/>
    <mergeCell ref="M28:M29"/>
    <mergeCell ref="L58:O58"/>
    <mergeCell ref="L43:O43"/>
    <mergeCell ref="L44:O44"/>
    <mergeCell ref="L45:O45"/>
    <mergeCell ref="L46:O46"/>
    <mergeCell ref="M385:O385"/>
    <mergeCell ref="M386:O386"/>
    <mergeCell ref="M387:O387"/>
    <mergeCell ref="M388:O388"/>
    <mergeCell ref="M389:O389"/>
    <mergeCell ref="M390:O390"/>
    <mergeCell ref="M391:O391"/>
    <mergeCell ref="T217:T242"/>
    <mergeCell ref="X217:X242"/>
    <mergeCell ref="L317:O317"/>
    <mergeCell ref="L318:L328"/>
    <mergeCell ref="M318:O318"/>
    <mergeCell ref="M319:O319"/>
    <mergeCell ref="M320:O320"/>
    <mergeCell ref="M322:O322"/>
    <mergeCell ref="M323:O323"/>
    <mergeCell ref="M324:O324"/>
    <mergeCell ref="M325:O325"/>
    <mergeCell ref="M326:O326"/>
    <mergeCell ref="M327:O327"/>
    <mergeCell ref="M328:O328"/>
    <mergeCell ref="K295:S295"/>
    <mergeCell ref="K276:T276"/>
    <mergeCell ref="K246:Q246"/>
    <mergeCell ref="M525:T525"/>
    <mergeCell ref="M482:T482"/>
    <mergeCell ref="M546:T546"/>
    <mergeCell ref="M445:O445"/>
    <mergeCell ref="M446:O446"/>
    <mergeCell ref="M448:O448"/>
    <mergeCell ref="M449:O449"/>
    <mergeCell ref="M450:O450"/>
    <mergeCell ref="L392:O392"/>
    <mergeCell ref="M441:X441"/>
    <mergeCell ref="L443:O443"/>
    <mergeCell ref="L444:L454"/>
    <mergeCell ref="M444:O444"/>
    <mergeCell ref="L519:O519"/>
    <mergeCell ref="M517:O517"/>
    <mergeCell ref="M518:O518"/>
    <mergeCell ref="M451:O451"/>
    <mergeCell ref="M452:O452"/>
    <mergeCell ref="M453:O453"/>
    <mergeCell ref="M454:O454"/>
    <mergeCell ref="M504:X504"/>
    <mergeCell ref="M508:O508"/>
    <mergeCell ref="M510:O510"/>
    <mergeCell ref="M512:O512"/>
  </mergeCells>
  <conditionalFormatting sqref="T35">
    <cfRule type="expression" dxfId="557" priority="2025">
      <formula>T35="ì"</formula>
    </cfRule>
    <cfRule type="expression" dxfId="556" priority="2026">
      <formula>T35="î"</formula>
    </cfRule>
    <cfRule type="expression" dxfId="555" priority="2027">
      <formula>T35="è"</formula>
    </cfRule>
  </conditionalFormatting>
  <conditionalFormatting sqref="X35">
    <cfRule type="expression" dxfId="554" priority="2028">
      <formula>X35="ì"</formula>
    </cfRule>
    <cfRule type="expression" dxfId="553" priority="2029">
      <formula>X35="î"</formula>
    </cfRule>
    <cfRule type="expression" dxfId="552" priority="2030">
      <formula>X35="è"</formula>
    </cfRule>
  </conditionalFormatting>
  <conditionalFormatting sqref="T52">
    <cfRule type="expression" dxfId="551" priority="1306">
      <formula>T52="ì"</formula>
    </cfRule>
    <cfRule type="expression" dxfId="550" priority="1307">
      <formula>T52="î"</formula>
    </cfRule>
    <cfRule type="expression" dxfId="549" priority="1308">
      <formula>T52="è"</formula>
    </cfRule>
  </conditionalFormatting>
  <conditionalFormatting sqref="T61">
    <cfRule type="expression" dxfId="548" priority="1300">
      <formula>T61="ì"</formula>
    </cfRule>
    <cfRule type="expression" dxfId="547" priority="1301">
      <formula>T61="î"</formula>
    </cfRule>
    <cfRule type="expression" dxfId="546" priority="1302">
      <formula>T61="è"</formula>
    </cfRule>
  </conditionalFormatting>
  <conditionalFormatting sqref="T80">
    <cfRule type="expression" dxfId="545" priority="1294">
      <formula>T80="ì"</formula>
    </cfRule>
    <cfRule type="expression" dxfId="544" priority="1295">
      <formula>T80="î"</formula>
    </cfRule>
    <cfRule type="expression" dxfId="543" priority="1296">
      <formula>T80="è"</formula>
    </cfRule>
  </conditionalFormatting>
  <conditionalFormatting sqref="T97">
    <cfRule type="expression" dxfId="542" priority="1288">
      <formula>T97="ì"</formula>
    </cfRule>
    <cfRule type="expression" dxfId="541" priority="1289">
      <formula>T97="î"</formula>
    </cfRule>
    <cfRule type="expression" dxfId="540" priority="1290">
      <formula>T97="è"</formula>
    </cfRule>
  </conditionalFormatting>
  <conditionalFormatting sqref="T118">
    <cfRule type="expression" dxfId="539" priority="1282">
      <formula>T118="ì"</formula>
    </cfRule>
    <cfRule type="expression" dxfId="538" priority="1283">
      <formula>T118="î"</formula>
    </cfRule>
    <cfRule type="expression" dxfId="537" priority="1284">
      <formula>T118="è"</formula>
    </cfRule>
  </conditionalFormatting>
  <conditionalFormatting sqref="T36 X57 T57 X64:X73 T64:T73 X99:X100 T99:T100 T102:T104 X102:X104 T130:T137 X130:X137 X142:X159 T142:T159">
    <cfRule type="expression" dxfId="536" priority="1278">
      <formula>T36&gt;0</formula>
    </cfRule>
    <cfRule type="expression" dxfId="535" priority="1281">
      <formula>T36&lt;0</formula>
    </cfRule>
  </conditionalFormatting>
  <conditionalFormatting sqref="T53">
    <cfRule type="expression" dxfId="534" priority="1275">
      <formula>T53&gt;0</formula>
    </cfRule>
    <cfRule type="expression" dxfId="533" priority="1276">
      <formula>T53&lt;0</formula>
    </cfRule>
  </conditionalFormatting>
  <conditionalFormatting sqref="T111">
    <cfRule type="expression" dxfId="532" priority="1265">
      <formula>T111&gt;0</formula>
    </cfRule>
    <cfRule type="expression" dxfId="531" priority="1266">
      <formula>T111&lt;0</formula>
    </cfRule>
  </conditionalFormatting>
  <conditionalFormatting sqref="S125 W125 T37:T39 X37:X39">
    <cfRule type="expression" dxfId="530" priority="1251">
      <formula>S37&lt;0</formula>
    </cfRule>
    <cfRule type="expression" dxfId="529" priority="1252">
      <formula>S37&gt;0</formula>
    </cfRule>
  </conditionalFormatting>
  <conditionalFormatting sqref="S327">
    <cfRule type="expression" dxfId="528" priority="1243">
      <formula>S327&lt;0</formula>
    </cfRule>
    <cfRule type="expression" dxfId="527" priority="1244">
      <formula>S327&gt;0</formula>
    </cfRule>
  </conditionalFormatting>
  <conditionalFormatting sqref="X321">
    <cfRule type="expression" dxfId="526" priority="1240">
      <formula>X321="ì"</formula>
    </cfRule>
    <cfRule type="expression" dxfId="525" priority="1241">
      <formula>X321="î"</formula>
    </cfRule>
    <cfRule type="expression" dxfId="524" priority="1242">
      <formula>X321="è"</formula>
    </cfRule>
  </conditionalFormatting>
  <conditionalFormatting sqref="T321">
    <cfRule type="expression" dxfId="523" priority="1237">
      <formula>T321="ì"</formula>
    </cfRule>
    <cfRule type="expression" dxfId="522" priority="1238">
      <formula>T321="î"</formula>
    </cfRule>
    <cfRule type="expression" dxfId="521" priority="1239">
      <formula>T321="è"</formula>
    </cfRule>
  </conditionalFormatting>
  <conditionalFormatting sqref="W327">
    <cfRule type="expression" dxfId="520" priority="1221">
      <formula>W327&lt;0</formula>
    </cfRule>
    <cfRule type="expression" dxfId="519" priority="1222">
      <formula>W327&gt;0</formula>
    </cfRule>
  </conditionalFormatting>
  <conditionalFormatting sqref="W318:W319">
    <cfRule type="expression" dxfId="518" priority="941">
      <formula>W318&gt;0</formula>
    </cfRule>
    <cfRule type="expression" dxfId="517" priority="942">
      <formula>W318&lt;0</formula>
    </cfRule>
  </conditionalFormatting>
  <conditionalFormatting sqref="W320">
    <cfRule type="expression" dxfId="516" priority="943">
      <formula>W320&lt;0</formula>
    </cfRule>
    <cfRule type="expression" dxfId="515" priority="944">
      <formula>W320&gt;0</formula>
    </cfRule>
  </conditionalFormatting>
  <conditionalFormatting sqref="X318 T318">
    <cfRule type="expression" dxfId="514" priority="939">
      <formula>S318&gt;0</formula>
    </cfRule>
    <cfRule type="expression" dxfId="513" priority="940">
      <formula>S318&lt;0</formula>
    </cfRule>
  </conditionalFormatting>
  <conditionalFormatting sqref="X320 T320">
    <cfRule type="expression" dxfId="512" priority="937">
      <formula>S320&lt;0</formula>
    </cfRule>
    <cfRule type="expression" dxfId="511" priority="938">
      <formula>S320&gt;0</formula>
    </cfRule>
  </conditionalFormatting>
  <conditionalFormatting sqref="S320">
    <cfRule type="expression" dxfId="510" priority="935">
      <formula>S320&lt;0</formula>
    </cfRule>
    <cfRule type="expression" dxfId="509" priority="936">
      <formula>S320&gt;0</formula>
    </cfRule>
  </conditionalFormatting>
  <conditionalFormatting sqref="S318:S319">
    <cfRule type="expression" dxfId="508" priority="933">
      <formula>S318&gt;0</formula>
    </cfRule>
    <cfRule type="expression" dxfId="507" priority="934">
      <formula>S318&lt;0</formula>
    </cfRule>
  </conditionalFormatting>
  <conditionalFormatting sqref="T62">
    <cfRule type="expression" dxfId="506" priority="818">
      <formula>T62&gt;0</formula>
    </cfRule>
    <cfRule type="expression" dxfId="505" priority="819">
      <formula>T62&lt;0</formula>
    </cfRule>
  </conditionalFormatting>
  <conditionalFormatting sqref="T81">
    <cfRule type="expression" dxfId="504" priority="816">
      <formula>T81&gt;0</formula>
    </cfRule>
    <cfRule type="expression" dxfId="503" priority="817">
      <formula>T81&lt;0</formula>
    </cfRule>
  </conditionalFormatting>
  <conditionalFormatting sqref="T98">
    <cfRule type="expression" dxfId="502" priority="814">
      <formula>T98&gt;0</formula>
    </cfRule>
    <cfRule type="expression" dxfId="501" priority="815">
      <formula>T98&lt;0</formula>
    </cfRule>
  </conditionalFormatting>
  <conditionalFormatting sqref="T120">
    <cfRule type="expression" dxfId="500" priority="812">
      <formula>T120&gt;0</formula>
    </cfRule>
    <cfRule type="expression" dxfId="499" priority="813">
      <formula>T120&lt;0</formula>
    </cfRule>
  </conditionalFormatting>
  <conditionalFormatting sqref="X52">
    <cfRule type="expression" dxfId="498" priority="809">
      <formula>X52="ì"</formula>
    </cfRule>
    <cfRule type="expression" dxfId="497" priority="810">
      <formula>X52="î"</formula>
    </cfRule>
    <cfRule type="expression" dxfId="496" priority="811">
      <formula>X52="è"</formula>
    </cfRule>
  </conditionalFormatting>
  <conditionalFormatting sqref="X61">
    <cfRule type="expression" dxfId="495" priority="806">
      <formula>X61="ì"</formula>
    </cfRule>
    <cfRule type="expression" dxfId="494" priority="807">
      <formula>X61="î"</formula>
    </cfRule>
    <cfRule type="expression" dxfId="493" priority="808">
      <formula>X61="è"</formula>
    </cfRule>
  </conditionalFormatting>
  <conditionalFormatting sqref="X80">
    <cfRule type="expression" dxfId="492" priority="803">
      <formula>X80="ì"</formula>
    </cfRule>
    <cfRule type="expression" dxfId="491" priority="804">
      <formula>X80="î"</formula>
    </cfRule>
    <cfRule type="expression" dxfId="490" priority="805">
      <formula>X80="è"</formula>
    </cfRule>
  </conditionalFormatting>
  <conditionalFormatting sqref="X97">
    <cfRule type="expression" dxfId="489" priority="800">
      <formula>X97="ì"</formula>
    </cfRule>
    <cfRule type="expression" dxfId="488" priority="801">
      <formula>X97="î"</formula>
    </cfRule>
    <cfRule type="expression" dxfId="487" priority="802">
      <formula>X97="è"</formula>
    </cfRule>
  </conditionalFormatting>
  <conditionalFormatting sqref="X118">
    <cfRule type="expression" dxfId="486" priority="797">
      <formula>X118="ì"</formula>
    </cfRule>
    <cfRule type="expression" dxfId="485" priority="798">
      <formula>X118="î"</formula>
    </cfRule>
    <cfRule type="expression" dxfId="484" priority="799">
      <formula>X118="è"</formula>
    </cfRule>
  </conditionalFormatting>
  <conditionalFormatting sqref="X36">
    <cfRule type="expression" dxfId="483" priority="795">
      <formula>X36&gt;0</formula>
    </cfRule>
    <cfRule type="expression" dxfId="482" priority="796">
      <formula>X36&lt;0</formula>
    </cfRule>
  </conditionalFormatting>
  <conditionalFormatting sqref="X53">
    <cfRule type="expression" dxfId="481" priority="793">
      <formula>X53&gt;0</formula>
    </cfRule>
    <cfRule type="expression" dxfId="480" priority="794">
      <formula>X53&lt;0</formula>
    </cfRule>
  </conditionalFormatting>
  <conditionalFormatting sqref="X111">
    <cfRule type="expression" dxfId="479" priority="791">
      <formula>X111&gt;0</formula>
    </cfRule>
    <cfRule type="expression" dxfId="478" priority="792">
      <formula>X111&lt;0</formula>
    </cfRule>
  </conditionalFormatting>
  <conditionalFormatting sqref="X62">
    <cfRule type="expression" dxfId="477" priority="789">
      <formula>X62&gt;0</formula>
    </cfRule>
    <cfRule type="expression" dxfId="476" priority="790">
      <formula>X62&lt;0</formula>
    </cfRule>
  </conditionalFormatting>
  <conditionalFormatting sqref="X81">
    <cfRule type="expression" dxfId="475" priority="787">
      <formula>X81&gt;0</formula>
    </cfRule>
    <cfRule type="expression" dxfId="474" priority="788">
      <formula>X81&lt;0</formula>
    </cfRule>
  </conditionalFormatting>
  <conditionalFormatting sqref="X98">
    <cfRule type="expression" dxfId="473" priority="785">
      <formula>X98&gt;0</formula>
    </cfRule>
    <cfRule type="expression" dxfId="472" priority="786">
      <formula>X98&lt;0</formula>
    </cfRule>
  </conditionalFormatting>
  <conditionalFormatting sqref="X120">
    <cfRule type="expression" dxfId="471" priority="783">
      <formula>X120&gt;0</formula>
    </cfRule>
    <cfRule type="expression" dxfId="470" priority="784">
      <formula>X120&lt;0</formula>
    </cfRule>
  </conditionalFormatting>
  <conditionalFormatting sqref="T327">
    <cfRule type="expression" dxfId="469" priority="779">
      <formula>T327&gt;0</formula>
    </cfRule>
    <cfRule type="expression" dxfId="468" priority="780">
      <formula>T327&lt;0</formula>
    </cfRule>
  </conditionalFormatting>
  <conditionalFormatting sqref="X327">
    <cfRule type="expression" dxfId="467" priority="719">
      <formula>X327&gt;0</formula>
    </cfRule>
    <cfRule type="expression" dxfId="466" priority="720">
      <formula>X327&lt;0</formula>
    </cfRule>
  </conditionalFormatting>
  <conditionalFormatting sqref="L334 L336:N355 L335:M335 L357:N377 L356 L398 L420:N440 L419 L461 L483:N503 L482 L525 L547:N567 L546 N334">
    <cfRule type="expression" dxfId="465" priority="657" stopIfTrue="1">
      <formula>$O$330="Non défini"</formula>
    </cfRule>
    <cfRule type="expression" dxfId="464" priority="658" stopIfTrue="1">
      <formula>$O$332="Non défini"</formula>
    </cfRule>
    <cfRule type="expression" dxfId="463" priority="696" stopIfTrue="1">
      <formula>$O$332="Not defined"</formula>
    </cfRule>
    <cfRule type="expression" dxfId="462" priority="697" stopIfTrue="1">
      <formula>$O$330="Not defined"</formula>
    </cfRule>
  </conditionalFormatting>
  <conditionalFormatting sqref="L397:N397">
    <cfRule type="expression" dxfId="461" priority="655" stopIfTrue="1">
      <formula>$O$393="Non défini"</formula>
    </cfRule>
    <cfRule type="expression" dxfId="460" priority="656" stopIfTrue="1">
      <formula>$O$395="Non défini"</formula>
    </cfRule>
    <cfRule type="expression" dxfId="459" priority="694" stopIfTrue="1">
      <formula>$O$393="Not defined"</formula>
    </cfRule>
    <cfRule type="expression" dxfId="458" priority="695" stopIfTrue="1">
      <formula>$O$395="Not defined"</formula>
    </cfRule>
  </conditionalFormatting>
  <conditionalFormatting sqref="L460:N460">
    <cfRule type="expression" dxfId="457" priority="653" stopIfTrue="1">
      <formula>$O$456="Non défini"</formula>
    </cfRule>
    <cfRule type="expression" dxfId="456" priority="654" stopIfTrue="1">
      <formula>$O$458="Non défini"</formula>
    </cfRule>
    <cfRule type="expression" dxfId="455" priority="692" stopIfTrue="1">
      <formula>$O$456="Not defined"</formula>
    </cfRule>
    <cfRule type="expression" dxfId="454" priority="693" stopIfTrue="1">
      <formula>$O$458="Not defined"</formula>
    </cfRule>
  </conditionalFormatting>
  <conditionalFormatting sqref="L524:N524">
    <cfRule type="expression" dxfId="453" priority="651" stopIfTrue="1">
      <formula>$O$520="Non défini"</formula>
    </cfRule>
    <cfRule type="expression" dxfId="452" priority="652" stopIfTrue="1">
      <formula>$O$522="Non défini"</formula>
    </cfRule>
    <cfRule type="expression" dxfId="451" priority="690" stopIfTrue="1">
      <formula>$O$520="Not defined"</formula>
    </cfRule>
    <cfRule type="expression" dxfId="450" priority="691" stopIfTrue="1">
      <formula>$O$522="Not defined"</formula>
    </cfRule>
  </conditionalFormatting>
  <conditionalFormatting sqref="L587:N587">
    <cfRule type="expression" dxfId="449" priority="649" stopIfTrue="1">
      <formula>$O$585="Non défini"</formula>
    </cfRule>
    <cfRule type="expression" dxfId="448" priority="650" stopIfTrue="1">
      <formula>$O$583="Non défini"</formula>
    </cfRule>
    <cfRule type="expression" dxfId="447" priority="684" stopIfTrue="1">
      <formula>$O$583="Not defined"</formula>
    </cfRule>
    <cfRule type="expression" dxfId="446" priority="685" stopIfTrue="1">
      <formula>$O$585="Not defined"</formula>
    </cfRule>
  </conditionalFormatting>
  <conditionalFormatting sqref="O326">
    <cfRule type="expression" dxfId="445" priority="673">
      <formula>T326&lt;&gt;0</formula>
    </cfRule>
  </conditionalFormatting>
  <conditionalFormatting sqref="Q318:T320 V318:X320 Q330:T333 V330:X333 AB330:AD333 AF318:AH320 AJ318:AL320 AN318:AP320 AR318:AT320 AV318:AX320 AZ318:BB320 BD318:BF320 BH318:BJ320 BL318:BN320 BP318:BR320 BT318:BV320 AF330:AH333 AJ330:AL333 AN330:AP333 AR330:AT333 AV330:AX333 AZ330:BB333 BD330:BF333 BH330:BJ333 BL330:BN333 BP330:BR333 BT330:BV333">
    <cfRule type="expression" dxfId="444" priority="667" stopIfTrue="1">
      <formula>$O$330="Non défini"</formula>
    </cfRule>
    <cfRule type="expression" dxfId="443" priority="668" stopIfTrue="1">
      <formula>$O$332="Non défini"</formula>
    </cfRule>
    <cfRule type="expression" dxfId="442" priority="682" stopIfTrue="1">
      <formula>$O$332="Not defined"</formula>
    </cfRule>
    <cfRule type="expression" dxfId="441" priority="683" stopIfTrue="1">
      <formula>$O$330="Not defined"</formula>
    </cfRule>
  </conditionalFormatting>
  <conditionalFormatting sqref="S390">
    <cfRule type="expression" dxfId="440" priority="609">
      <formula>S390&lt;0</formula>
    </cfRule>
    <cfRule type="expression" dxfId="439" priority="610">
      <formula>S390&gt;0</formula>
    </cfRule>
  </conditionalFormatting>
  <conditionalFormatting sqref="X384">
    <cfRule type="expression" dxfId="438" priority="606">
      <formula>X384="ì"</formula>
    </cfRule>
    <cfRule type="expression" dxfId="437" priority="607">
      <formula>X384="î"</formula>
    </cfRule>
    <cfRule type="expression" dxfId="436" priority="608">
      <formula>X384="è"</formula>
    </cfRule>
  </conditionalFormatting>
  <conditionalFormatting sqref="T384">
    <cfRule type="expression" dxfId="435" priority="603">
      <formula>T384="ì"</formula>
    </cfRule>
    <cfRule type="expression" dxfId="434" priority="604">
      <formula>T384="î"</formula>
    </cfRule>
    <cfRule type="expression" dxfId="433" priority="605">
      <formula>T384="è"</formula>
    </cfRule>
  </conditionalFormatting>
  <conditionalFormatting sqref="W390">
    <cfRule type="expression" dxfId="432" priority="596">
      <formula>W390&lt;0</formula>
    </cfRule>
    <cfRule type="expression" dxfId="431" priority="597">
      <formula>W390&gt;0</formula>
    </cfRule>
  </conditionalFormatting>
  <conditionalFormatting sqref="W381:W382">
    <cfRule type="expression" dxfId="430" priority="590">
      <formula>W381&gt;0</formula>
    </cfRule>
    <cfRule type="expression" dxfId="429" priority="591">
      <formula>W381&lt;0</formula>
    </cfRule>
  </conditionalFormatting>
  <conditionalFormatting sqref="W383">
    <cfRule type="expression" dxfId="428" priority="592">
      <formula>W383&lt;0</formula>
    </cfRule>
    <cfRule type="expression" dxfId="427" priority="593">
      <formula>W383&gt;0</formula>
    </cfRule>
  </conditionalFormatting>
  <conditionalFormatting sqref="X381 T381">
    <cfRule type="expression" dxfId="426" priority="588">
      <formula>S381&gt;0</formula>
    </cfRule>
    <cfRule type="expression" dxfId="425" priority="589">
      <formula>S381&lt;0</formula>
    </cfRule>
  </conditionalFormatting>
  <conditionalFormatting sqref="X383 T383">
    <cfRule type="expression" dxfId="424" priority="586">
      <formula>S383&lt;0</formula>
    </cfRule>
    <cfRule type="expression" dxfId="423" priority="587">
      <formula>S383&gt;0</formula>
    </cfRule>
  </conditionalFormatting>
  <conditionalFormatting sqref="S383">
    <cfRule type="expression" dxfId="422" priority="584">
      <formula>S383&lt;0</formula>
    </cfRule>
    <cfRule type="expression" dxfId="421" priority="585">
      <formula>S383&gt;0</formula>
    </cfRule>
  </conditionalFormatting>
  <conditionalFormatting sqref="S381:S382">
    <cfRule type="expression" dxfId="420" priority="582">
      <formula>S381&gt;0</formula>
    </cfRule>
    <cfRule type="expression" dxfId="419" priority="583">
      <formula>S381&lt;0</formula>
    </cfRule>
  </conditionalFormatting>
  <conditionalFormatting sqref="T390">
    <cfRule type="expression" dxfId="418" priority="578">
      <formula>T390&gt;0</formula>
    </cfRule>
    <cfRule type="expression" dxfId="417" priority="579">
      <formula>T390&lt;0</formula>
    </cfRule>
  </conditionalFormatting>
  <conditionalFormatting sqref="X390">
    <cfRule type="expression" dxfId="416" priority="572">
      <formula>X390&gt;0</formula>
    </cfRule>
    <cfRule type="expression" dxfId="415" priority="573">
      <formula>X390&lt;0</formula>
    </cfRule>
  </conditionalFormatting>
  <conditionalFormatting sqref="Q381:T383 V381:X383 Q393:T396 V393:X396 AB393:AD396 AF381:AH383 AJ381:AL383 AN381:AP383 AR381:AT383 AV381:AX383 AZ381:BB383 BD381:BF383 BH381:BJ383 BL381:BN383 BP381:BR383 BT381:BV383 AF393:AH396 AJ393:AL396 AN393:AP396 AR393:AT396 AV393:AX396 AZ393:BB396 BD393:BF396 BH393:BJ396 BL393:BN396 BP393:BR396 BT393:BV396">
    <cfRule type="expression" dxfId="414" priority="567" stopIfTrue="1">
      <formula>$O$393="Non défini"</formula>
    </cfRule>
    <cfRule type="expression" dxfId="413" priority="568" stopIfTrue="1">
      <formula>$O$395="Non défini"</formula>
    </cfRule>
    <cfRule type="expression" dxfId="412" priority="570" stopIfTrue="1">
      <formula>$O$395="Not defined"</formula>
    </cfRule>
    <cfRule type="expression" dxfId="411" priority="571" stopIfTrue="1">
      <formula>$O$393="Not defined"</formula>
    </cfRule>
  </conditionalFormatting>
  <conditionalFormatting sqref="S448:S449">
    <cfRule type="expression" dxfId="410" priority="560">
      <formula>S448&lt;0</formula>
    </cfRule>
    <cfRule type="expression" dxfId="409" priority="561">
      <formula>S448&gt;0</formula>
    </cfRule>
  </conditionalFormatting>
  <conditionalFormatting sqref="S453">
    <cfRule type="expression" dxfId="408" priority="558">
      <formula>S453&lt;0</formula>
    </cfRule>
    <cfRule type="expression" dxfId="407" priority="559">
      <formula>S453&gt;0</formula>
    </cfRule>
  </conditionalFormatting>
  <conditionalFormatting sqref="X447">
    <cfRule type="expression" dxfId="406" priority="555">
      <formula>X447="ì"</formula>
    </cfRule>
    <cfRule type="expression" dxfId="405" priority="556">
      <formula>X447="î"</formula>
    </cfRule>
    <cfRule type="expression" dxfId="404" priority="557">
      <formula>X447="è"</formula>
    </cfRule>
  </conditionalFormatting>
  <conditionalFormatting sqref="T447">
    <cfRule type="expression" dxfId="403" priority="552">
      <formula>T447="ì"</formula>
    </cfRule>
    <cfRule type="expression" dxfId="402" priority="553">
      <formula>T447="î"</formula>
    </cfRule>
    <cfRule type="expression" dxfId="401" priority="554">
      <formula>T447="è"</formula>
    </cfRule>
  </conditionalFormatting>
  <conditionalFormatting sqref="W448:W450">
    <cfRule type="expression" dxfId="400" priority="549">
      <formula>W448&lt;0</formula>
    </cfRule>
    <cfRule type="expression" dxfId="399" priority="550">
      <formula>W448&gt;0</formula>
    </cfRule>
  </conditionalFormatting>
  <conditionalFormatting sqref="X448:X450">
    <cfRule type="expression" dxfId="398" priority="547">
      <formula>X448&lt;0</formula>
    </cfRule>
    <cfRule type="expression" dxfId="397" priority="548">
      <formula>X448&gt;0</formula>
    </cfRule>
  </conditionalFormatting>
  <conditionalFormatting sqref="W453">
    <cfRule type="expression" dxfId="396" priority="545">
      <formula>W453&lt;0</formula>
    </cfRule>
    <cfRule type="expression" dxfId="395" priority="546">
      <formula>W453&gt;0</formula>
    </cfRule>
  </conditionalFormatting>
  <conditionalFormatting sqref="S450">
    <cfRule type="expression" dxfId="394" priority="543">
      <formula>S450&lt;0</formula>
    </cfRule>
    <cfRule type="expression" dxfId="393" priority="544">
      <formula>S450&gt;0</formula>
    </cfRule>
  </conditionalFormatting>
  <conditionalFormatting sqref="W444:W445">
    <cfRule type="expression" dxfId="392" priority="539">
      <formula>W444&gt;0</formula>
    </cfRule>
    <cfRule type="expression" dxfId="391" priority="540">
      <formula>W444&lt;0</formula>
    </cfRule>
  </conditionalFormatting>
  <conditionalFormatting sqref="W446">
    <cfRule type="expression" dxfId="390" priority="541">
      <formula>W446&lt;0</formula>
    </cfRule>
    <cfRule type="expression" dxfId="389" priority="542">
      <formula>W446&gt;0</formula>
    </cfRule>
  </conditionalFormatting>
  <conditionalFormatting sqref="X444 T444">
    <cfRule type="expression" dxfId="388" priority="537">
      <formula>S444&gt;0</formula>
    </cfRule>
    <cfRule type="expression" dxfId="387" priority="538">
      <formula>S444&lt;0</formula>
    </cfRule>
  </conditionalFormatting>
  <conditionalFormatting sqref="X446 T446">
    <cfRule type="expression" dxfId="386" priority="535">
      <formula>S446&lt;0</formula>
    </cfRule>
    <cfRule type="expression" dxfId="385" priority="536">
      <formula>S446&gt;0</formula>
    </cfRule>
  </conditionalFormatting>
  <conditionalFormatting sqref="S446">
    <cfRule type="expression" dxfId="384" priority="533">
      <formula>S446&lt;0</formula>
    </cfRule>
    <cfRule type="expression" dxfId="383" priority="534">
      <formula>S446&gt;0</formula>
    </cfRule>
  </conditionalFormatting>
  <conditionalFormatting sqref="S444:S445">
    <cfRule type="expression" dxfId="382" priority="531">
      <formula>S444&gt;0</formula>
    </cfRule>
    <cfRule type="expression" dxfId="381" priority="532">
      <formula>S444&lt;0</formula>
    </cfRule>
  </conditionalFormatting>
  <conditionalFormatting sqref="T448">
    <cfRule type="expression" dxfId="380" priority="529">
      <formula>T448&lt;0</formula>
    </cfRule>
    <cfRule type="expression" dxfId="379" priority="530">
      <formula>T448&gt;0</formula>
    </cfRule>
  </conditionalFormatting>
  <conditionalFormatting sqref="T453">
    <cfRule type="expression" dxfId="378" priority="527">
      <formula>T453&gt;0</formula>
    </cfRule>
    <cfRule type="expression" dxfId="377" priority="528">
      <formula>T453&lt;0</formula>
    </cfRule>
  </conditionalFormatting>
  <conditionalFormatting sqref="T449">
    <cfRule type="expression" dxfId="376" priority="525">
      <formula>T449&lt;0</formula>
    </cfRule>
    <cfRule type="expression" dxfId="375" priority="526">
      <formula>T449&gt;0</formula>
    </cfRule>
  </conditionalFormatting>
  <conditionalFormatting sqref="T450">
    <cfRule type="expression" dxfId="374" priority="523">
      <formula>T450&lt;0</formula>
    </cfRule>
    <cfRule type="expression" dxfId="373" priority="524">
      <formula>T450&gt;0</formula>
    </cfRule>
  </conditionalFormatting>
  <conditionalFormatting sqref="X453">
    <cfRule type="expression" dxfId="372" priority="521">
      <formula>X453&gt;0</formula>
    </cfRule>
    <cfRule type="expression" dxfId="371" priority="522">
      <formula>S151W0</formula>
    </cfRule>
  </conditionalFormatting>
  <conditionalFormatting sqref="Q444:T446 V444:X446 Q456:T459 V456:X459 S448:T452 W448:X452 AB456:AD459 AF444:AH446 AJ444:AL446 AN444:AP446 AR444:AT446 AV444:AX446 AZ444:BB446 BD444:BF446 BH444:BJ446 BL444:BN446 BP444:BR446 BT444:BV446 AF456:AH459 AJ456:AL459 AN456:AP459 AR456:AT459 AV456:AX459 AZ456:BB459 BD456:BF459 BH456:BJ459 BL456:BN459 BP456:BR459 BT456:BV459 W385:X389 W322:X326">
    <cfRule type="expression" dxfId="370" priority="516" stopIfTrue="1">
      <formula>$O$456="Non défini"</formula>
    </cfRule>
    <cfRule type="expression" dxfId="369" priority="517" stopIfTrue="1">
      <formula>$O$458="Non défini"</formula>
    </cfRule>
    <cfRule type="expression" dxfId="368" priority="519" stopIfTrue="1">
      <formula>$O$458="Not defined"</formula>
    </cfRule>
    <cfRule type="expression" dxfId="367" priority="520" stopIfTrue="1">
      <formula>$O$456="Not defined"</formula>
    </cfRule>
  </conditionalFormatting>
  <conditionalFormatting sqref="S512:S513">
    <cfRule type="expression" dxfId="366" priority="509">
      <formula>S512&lt;0</formula>
    </cfRule>
    <cfRule type="expression" dxfId="365" priority="510">
      <formula>S512&gt;0</formula>
    </cfRule>
  </conditionalFormatting>
  <conditionalFormatting sqref="S517">
    <cfRule type="expression" dxfId="364" priority="507">
      <formula>S517&lt;0</formula>
    </cfRule>
    <cfRule type="expression" dxfId="363" priority="508">
      <formula>S517&gt;0</formula>
    </cfRule>
  </conditionalFormatting>
  <conditionalFormatting sqref="X511">
    <cfRule type="expression" dxfId="362" priority="504">
      <formula>X511="ì"</formula>
    </cfRule>
    <cfRule type="expression" dxfId="361" priority="505">
      <formula>X511="î"</formula>
    </cfRule>
    <cfRule type="expression" dxfId="360" priority="506">
      <formula>X511="è"</formula>
    </cfRule>
  </conditionalFormatting>
  <conditionalFormatting sqref="T511">
    <cfRule type="expression" dxfId="359" priority="501">
      <formula>T511="ì"</formula>
    </cfRule>
    <cfRule type="expression" dxfId="358" priority="502">
      <formula>T511="î"</formula>
    </cfRule>
    <cfRule type="expression" dxfId="357" priority="503">
      <formula>T511="è"</formula>
    </cfRule>
  </conditionalFormatting>
  <conditionalFormatting sqref="W512:W514">
    <cfRule type="expression" dxfId="356" priority="498">
      <formula>W512&lt;0</formula>
    </cfRule>
    <cfRule type="expression" dxfId="355" priority="499">
      <formula>W512&gt;0</formula>
    </cfRule>
  </conditionalFormatting>
  <conditionalFormatting sqref="X512:X514">
    <cfRule type="expression" dxfId="354" priority="496">
      <formula>X512&lt;0</formula>
    </cfRule>
    <cfRule type="expression" dxfId="353" priority="497">
      <formula>X512&gt;0</formula>
    </cfRule>
  </conditionalFormatting>
  <conditionalFormatting sqref="W517">
    <cfRule type="expression" dxfId="352" priority="494">
      <formula>W517&lt;0</formula>
    </cfRule>
    <cfRule type="expression" dxfId="351" priority="495">
      <formula>W517&gt;0</formula>
    </cfRule>
  </conditionalFormatting>
  <conditionalFormatting sqref="S514">
    <cfRule type="expression" dxfId="350" priority="492">
      <formula>S514&lt;0</formula>
    </cfRule>
    <cfRule type="expression" dxfId="349" priority="493">
      <formula>S514&gt;0</formula>
    </cfRule>
  </conditionalFormatting>
  <conditionalFormatting sqref="W507:W508">
    <cfRule type="expression" dxfId="348" priority="488">
      <formula>W507&gt;0</formula>
    </cfRule>
    <cfRule type="expression" dxfId="347" priority="489">
      <formula>W507&lt;0</formula>
    </cfRule>
  </conditionalFormatting>
  <conditionalFormatting sqref="W510">
    <cfRule type="expression" dxfId="346" priority="490">
      <formula>W510&lt;0</formula>
    </cfRule>
    <cfRule type="expression" dxfId="345" priority="491">
      <formula>W510&gt;0</formula>
    </cfRule>
  </conditionalFormatting>
  <conditionalFormatting sqref="X507 T507">
    <cfRule type="expression" dxfId="344" priority="486">
      <formula>S507&gt;0</formula>
    </cfRule>
    <cfRule type="expression" dxfId="343" priority="487">
      <formula>S507&lt;0</formula>
    </cfRule>
  </conditionalFormatting>
  <conditionalFormatting sqref="X510 T510">
    <cfRule type="expression" dxfId="342" priority="484">
      <formula>S510&lt;0</formula>
    </cfRule>
    <cfRule type="expression" dxfId="341" priority="485">
      <formula>S510&gt;0</formula>
    </cfRule>
  </conditionalFormatting>
  <conditionalFormatting sqref="S510">
    <cfRule type="expression" dxfId="340" priority="482">
      <formula>S510&lt;0</formula>
    </cfRule>
    <cfRule type="expression" dxfId="339" priority="483">
      <formula>S510&gt;0</formula>
    </cfRule>
  </conditionalFormatting>
  <conditionalFormatting sqref="S507:S508">
    <cfRule type="expression" dxfId="338" priority="480">
      <formula>S507&gt;0</formula>
    </cfRule>
    <cfRule type="expression" dxfId="337" priority="481">
      <formula>S507&lt;0</formula>
    </cfRule>
  </conditionalFormatting>
  <conditionalFormatting sqref="T512">
    <cfRule type="expression" dxfId="336" priority="478">
      <formula>T512&lt;0</formula>
    </cfRule>
    <cfRule type="expression" dxfId="335" priority="479">
      <formula>T512&gt;0</formula>
    </cfRule>
  </conditionalFormatting>
  <conditionalFormatting sqref="T517">
    <cfRule type="expression" dxfId="334" priority="476">
      <formula>T517&gt;0</formula>
    </cfRule>
    <cfRule type="expression" dxfId="333" priority="477">
      <formula>T517&lt;0</formula>
    </cfRule>
  </conditionalFormatting>
  <conditionalFormatting sqref="T513">
    <cfRule type="expression" dxfId="332" priority="474">
      <formula>T513&lt;0</formula>
    </cfRule>
    <cfRule type="expression" dxfId="331" priority="475">
      <formula>T513&gt;0</formula>
    </cfRule>
  </conditionalFormatting>
  <conditionalFormatting sqref="T514">
    <cfRule type="expression" dxfId="330" priority="472">
      <formula>T514&lt;0</formula>
    </cfRule>
    <cfRule type="expression" dxfId="329" priority="473">
      <formula>T514&gt;0</formula>
    </cfRule>
  </conditionalFormatting>
  <conditionalFormatting sqref="X517">
    <cfRule type="expression" dxfId="328" priority="470">
      <formula>X517&gt;0</formula>
    </cfRule>
    <cfRule type="expression" dxfId="327" priority="471">
      <formula>X517&lt;0</formula>
    </cfRule>
  </conditionalFormatting>
  <conditionalFormatting sqref="Q520:T523 V520:X523 S512:T516 W512:X516 AB520:AD523 AF507:AH510 AJ507:AL510 AN507:AP510 AR507:AT510 AV507:AX510 AZ507:BB510 BD507:BF510 BH507:BJ510 BL507:BN510 BP507:BR510 BT507:BV510 AF520:AH523 AJ520:AL523 AN520:AP523 AR520:AT523 AV520:AX523 AZ520:BB523 BD520:BF523 BH520:BJ523 BL520:BN523 BP520:BR523 BT520:BV523 Q507:T508 V507:X508 Q510:T510 Q509:R509 T509 V510:X510 V509 X509">
    <cfRule type="expression" dxfId="326" priority="465" stopIfTrue="1">
      <formula>$O$520="Non défini"</formula>
    </cfRule>
    <cfRule type="expression" dxfId="325" priority="466" stopIfTrue="1">
      <formula>$O$522="Non défini"</formula>
    </cfRule>
    <cfRule type="expression" dxfId="324" priority="468" stopIfTrue="1">
      <formula>$O$522="Not defined"</formula>
    </cfRule>
    <cfRule type="expression" dxfId="323" priority="469" stopIfTrue="1">
      <formula>$O$520="Not defined"</formula>
    </cfRule>
  </conditionalFormatting>
  <conditionalFormatting sqref="S575:S576">
    <cfRule type="expression" dxfId="322" priority="458">
      <formula>S575&lt;0</formula>
    </cfRule>
    <cfRule type="expression" dxfId="321" priority="459">
      <formula>S575&gt;0</formula>
    </cfRule>
  </conditionalFormatting>
  <conditionalFormatting sqref="S580">
    <cfRule type="expression" dxfId="320" priority="456">
      <formula>S580&lt;0</formula>
    </cfRule>
    <cfRule type="expression" dxfId="319" priority="457">
      <formula>S580&gt;0</formula>
    </cfRule>
  </conditionalFormatting>
  <conditionalFormatting sqref="X574">
    <cfRule type="expression" dxfId="318" priority="453">
      <formula>X574="ì"</formula>
    </cfRule>
    <cfRule type="expression" dxfId="317" priority="454">
      <formula>X574="î"</formula>
    </cfRule>
    <cfRule type="expression" dxfId="316" priority="455">
      <formula>X574="è"</formula>
    </cfRule>
  </conditionalFormatting>
  <conditionalFormatting sqref="T574">
    <cfRule type="expression" dxfId="315" priority="450">
      <formula>T574="ì"</formula>
    </cfRule>
    <cfRule type="expression" dxfId="314" priority="451">
      <formula>T574="î"</formula>
    </cfRule>
    <cfRule type="expression" dxfId="313" priority="452">
      <formula>T574="è"</formula>
    </cfRule>
  </conditionalFormatting>
  <conditionalFormatting sqref="W575:W577">
    <cfRule type="expression" dxfId="312" priority="447">
      <formula>W575&lt;0</formula>
    </cfRule>
    <cfRule type="expression" dxfId="311" priority="448">
      <formula>W575&gt;0</formula>
    </cfRule>
  </conditionalFormatting>
  <conditionalFormatting sqref="X575:X577">
    <cfRule type="expression" dxfId="310" priority="445">
      <formula>X575&lt;0</formula>
    </cfRule>
    <cfRule type="expression" dxfId="309" priority="446">
      <formula>X575&gt;0</formula>
    </cfRule>
  </conditionalFormatting>
  <conditionalFormatting sqref="W580">
    <cfRule type="expression" dxfId="308" priority="443">
      <formula>W580&lt;0</formula>
    </cfRule>
    <cfRule type="expression" dxfId="307" priority="444">
      <formula>W580&gt;0</formula>
    </cfRule>
  </conditionalFormatting>
  <conditionalFormatting sqref="S577">
    <cfRule type="expression" dxfId="306" priority="441">
      <formula>S577&lt;0</formula>
    </cfRule>
    <cfRule type="expression" dxfId="305" priority="442">
      <formula>S577&gt;0</formula>
    </cfRule>
  </conditionalFormatting>
  <conditionalFormatting sqref="W571:W572">
    <cfRule type="expression" dxfId="304" priority="437">
      <formula>W571&gt;0</formula>
    </cfRule>
    <cfRule type="expression" dxfId="303" priority="438">
      <formula>W571&lt;0</formula>
    </cfRule>
  </conditionalFormatting>
  <conditionalFormatting sqref="W573">
    <cfRule type="expression" dxfId="302" priority="439">
      <formula>W573&lt;0</formula>
    </cfRule>
    <cfRule type="expression" dxfId="301" priority="440">
      <formula>W573&gt;0</formula>
    </cfRule>
  </conditionalFormatting>
  <conditionalFormatting sqref="X571 T571">
    <cfRule type="expression" dxfId="300" priority="435">
      <formula>S571&gt;0</formula>
    </cfRule>
    <cfRule type="expression" dxfId="299" priority="436">
      <formula>S571&lt;0</formula>
    </cfRule>
  </conditionalFormatting>
  <conditionalFormatting sqref="X573 T573">
    <cfRule type="expression" dxfId="298" priority="433">
      <formula>S573&lt;0</formula>
    </cfRule>
    <cfRule type="expression" dxfId="297" priority="434">
      <formula>S573&gt;0</formula>
    </cfRule>
  </conditionalFormatting>
  <conditionalFormatting sqref="S573">
    <cfRule type="expression" dxfId="296" priority="431">
      <formula>S573&lt;0</formula>
    </cfRule>
    <cfRule type="expression" dxfId="295" priority="432">
      <formula>S573&gt;0</formula>
    </cfRule>
  </conditionalFormatting>
  <conditionalFormatting sqref="S571:S572">
    <cfRule type="expression" dxfId="294" priority="429">
      <formula>S571&gt;0</formula>
    </cfRule>
    <cfRule type="expression" dxfId="293" priority="430">
      <formula>S571&lt;0</formula>
    </cfRule>
  </conditionalFormatting>
  <conditionalFormatting sqref="T575">
    <cfRule type="expression" dxfId="292" priority="427">
      <formula>T575&lt;0</formula>
    </cfRule>
    <cfRule type="expression" dxfId="291" priority="428">
      <formula>T575&gt;0</formula>
    </cfRule>
  </conditionalFormatting>
  <conditionalFormatting sqref="T580">
    <cfRule type="expression" dxfId="290" priority="425">
      <formula>T580&gt;0</formula>
    </cfRule>
    <cfRule type="expression" dxfId="289" priority="426">
      <formula>T580&lt;0</formula>
    </cfRule>
  </conditionalFormatting>
  <conditionalFormatting sqref="T576">
    <cfRule type="expression" dxfId="288" priority="423">
      <formula>T576&lt;0</formula>
    </cfRule>
    <cfRule type="expression" dxfId="287" priority="424">
      <formula>T576&gt;0</formula>
    </cfRule>
  </conditionalFormatting>
  <conditionalFormatting sqref="T577">
    <cfRule type="expression" dxfId="286" priority="421">
      <formula>T577&lt;0</formula>
    </cfRule>
    <cfRule type="expression" dxfId="285" priority="422">
      <formula>T577&gt;0</formula>
    </cfRule>
  </conditionalFormatting>
  <conditionalFormatting sqref="X580">
    <cfRule type="expression" dxfId="284" priority="419">
      <formula>X580&gt;0</formula>
    </cfRule>
    <cfRule type="expression" dxfId="283" priority="420">
      <formula>X580&lt;0</formula>
    </cfRule>
  </conditionalFormatting>
  <conditionalFormatting sqref="Q571:T573 V571:X573 Q583:T586 V583:X586 S575:T579 W575:X579 AB583:AD586 AF571:AH573 AJ571:AL573 AN571:AP573 AR571:AT573 AV571:AX573 AZ571:BB573 BD571:BF573 BH571:BJ573 BL571:BN573 BP571:BR573 BT571:BV573 AF583:AH586 AJ583:AL586 AN583:AP586 AR583:AT586 AV583:AX586 AZ583:BB586 BD583:BF586 BH583:BJ586 BL583:BN586 BP583:BR586 BT583:BV586">
    <cfRule type="expression" dxfId="282" priority="414" stopIfTrue="1">
      <formula>$O$583="Non défini"</formula>
    </cfRule>
    <cfRule type="expression" dxfId="281" priority="415" stopIfTrue="1">
      <formula>$O$585="Non défini"</formula>
    </cfRule>
    <cfRule type="expression" dxfId="280" priority="417" stopIfTrue="1">
      <formula>$O$585="Not defined"</formula>
    </cfRule>
    <cfRule type="expression" dxfId="279" priority="418" stopIfTrue="1">
      <formula>$O$583="Not defined"</formula>
    </cfRule>
  </conditionalFormatting>
  <conditionalFormatting sqref="T124">
    <cfRule type="expression" dxfId="278" priority="383">
      <formula>T124&gt;0</formula>
    </cfRule>
    <cfRule type="expression" dxfId="277" priority="384">
      <formula>T124&lt;0</formula>
    </cfRule>
  </conditionalFormatting>
  <conditionalFormatting sqref="X124">
    <cfRule type="expression" dxfId="276" priority="377">
      <formula>X124&gt;0</formula>
    </cfRule>
    <cfRule type="expression" dxfId="275" priority="378">
      <formula>X124&lt;0</formula>
    </cfRule>
  </conditionalFormatting>
  <conditionalFormatting sqref="S317">
    <cfRule type="expression" dxfId="274" priority="2031">
      <formula>T317=0</formula>
    </cfRule>
    <cfRule type="expression" dxfId="273" priority="2032">
      <formula>T317&gt;0</formula>
    </cfRule>
    <cfRule type="expression" dxfId="272" priority="2033">
      <formula>T317&lt;0</formula>
    </cfRule>
  </conditionalFormatting>
  <conditionalFormatting sqref="W317">
    <cfRule type="expression" dxfId="271" priority="2034">
      <formula>X317=0</formula>
    </cfRule>
    <cfRule type="expression" dxfId="270" priority="2035">
      <formula>X317&gt;0</formula>
    </cfRule>
    <cfRule type="expression" dxfId="269" priority="2036">
      <formula>X317&lt;0</formula>
    </cfRule>
  </conditionalFormatting>
  <conditionalFormatting sqref="S380">
    <cfRule type="expression" dxfId="268" priority="2037">
      <formula>T380=0</formula>
    </cfRule>
    <cfRule type="expression" dxfId="267" priority="2038">
      <formula>T380&gt;0</formula>
    </cfRule>
    <cfRule type="expression" dxfId="266" priority="2039">
      <formula>T380&lt;0</formula>
    </cfRule>
  </conditionalFormatting>
  <conditionalFormatting sqref="W380">
    <cfRule type="expression" dxfId="265" priority="2040">
      <formula>X380=0</formula>
    </cfRule>
    <cfRule type="expression" dxfId="264" priority="2041">
      <formula>X380&lt;0</formula>
    </cfRule>
    <cfRule type="expression" dxfId="263" priority="2042">
      <formula>X380&gt;0</formula>
    </cfRule>
  </conditionalFormatting>
  <conditionalFormatting sqref="S443">
    <cfRule type="expression" dxfId="262" priority="2043">
      <formula>T443=0</formula>
    </cfRule>
    <cfRule type="expression" dxfId="261" priority="2044">
      <formula>T443&gt;0</formula>
    </cfRule>
    <cfRule type="expression" dxfId="260" priority="2045">
      <formula>T443&lt;0</formula>
    </cfRule>
  </conditionalFormatting>
  <conditionalFormatting sqref="W443">
    <cfRule type="expression" dxfId="259" priority="2046">
      <formula>X443=0</formula>
    </cfRule>
    <cfRule type="expression" dxfId="258" priority="2047">
      <formula>X443&lt;0</formula>
    </cfRule>
    <cfRule type="expression" dxfId="257" priority="2048">
      <formula>X443&gt;0</formula>
    </cfRule>
  </conditionalFormatting>
  <conditionalFormatting sqref="S506">
    <cfRule type="expression" dxfId="256" priority="2049">
      <formula>T506=0</formula>
    </cfRule>
    <cfRule type="expression" dxfId="255" priority="2050">
      <formula>T506&gt;0</formula>
    </cfRule>
    <cfRule type="expression" dxfId="254" priority="2051">
      <formula>T506&lt;0</formula>
    </cfRule>
  </conditionalFormatting>
  <conditionalFormatting sqref="W506">
    <cfRule type="expression" dxfId="253" priority="2052">
      <formula>X506=0</formula>
    </cfRule>
    <cfRule type="expression" dxfId="252" priority="2053">
      <formula>X506&lt;0</formula>
    </cfRule>
    <cfRule type="expression" dxfId="251" priority="2054">
      <formula>X506&gt;0</formula>
    </cfRule>
  </conditionalFormatting>
  <conditionalFormatting sqref="S570">
    <cfRule type="expression" dxfId="250" priority="2055">
      <formula>T570=0</formula>
    </cfRule>
    <cfRule type="expression" dxfId="249" priority="2056">
      <formula>T570&gt;0</formula>
    </cfRule>
    <cfRule type="expression" dxfId="248" priority="2057">
      <formula>T570&lt;0</formula>
    </cfRule>
  </conditionalFormatting>
  <conditionalFormatting sqref="W570">
    <cfRule type="expression" dxfId="247" priority="2058">
      <formula>X570=0</formula>
    </cfRule>
    <cfRule type="expression" dxfId="246" priority="2059">
      <formula>X570&lt;0</formula>
    </cfRule>
    <cfRule type="expression" dxfId="245" priority="2060">
      <formula>X570&gt;0</formula>
    </cfRule>
  </conditionalFormatting>
  <conditionalFormatting sqref="T40:T42 T47:T50">
    <cfRule type="expression" dxfId="244" priority="375">
      <formula>T40&lt;0</formula>
    </cfRule>
    <cfRule type="expression" dxfId="243" priority="376">
      <formula>T40&gt;0</formula>
    </cfRule>
  </conditionalFormatting>
  <conditionalFormatting sqref="X40:X42 X47:X50">
    <cfRule type="expression" dxfId="242" priority="373">
      <formula>X40&lt;0</formula>
    </cfRule>
    <cfRule type="expression" dxfId="241" priority="374">
      <formula>X40&gt;0</formula>
    </cfRule>
  </conditionalFormatting>
  <conditionalFormatting sqref="X54:X56 X63 X82:X86 X112:X116 X91:X94">
    <cfRule type="expression" dxfId="240" priority="369">
      <formula>X54&gt;0</formula>
    </cfRule>
    <cfRule type="expression" dxfId="239" priority="370">
      <formula>X54&lt;0</formula>
    </cfRule>
  </conditionalFormatting>
  <conditionalFormatting sqref="T54:T56 T63 T82:T86 T112:T116 T91:T94">
    <cfRule type="expression" dxfId="238" priority="367">
      <formula>T54&gt;0</formula>
    </cfRule>
    <cfRule type="expression" dxfId="237" priority="368">
      <formula>T54&lt;0</formula>
    </cfRule>
  </conditionalFormatting>
  <conditionalFormatting sqref="T317">
    <cfRule type="expression" dxfId="236" priority="365">
      <formula>T317&lt;0</formula>
    </cfRule>
    <cfRule type="expression" dxfId="235" priority="366">
      <formula>T317&gt;0</formula>
    </cfRule>
  </conditionalFormatting>
  <conditionalFormatting sqref="X317">
    <cfRule type="expression" dxfId="234" priority="363">
      <formula>$X$317&lt;0</formula>
    </cfRule>
    <cfRule type="expression" dxfId="233" priority="364">
      <formula>$X$317&gt;0</formula>
    </cfRule>
  </conditionalFormatting>
  <conditionalFormatting sqref="T380">
    <cfRule type="expression" dxfId="232" priority="361">
      <formula>$T$380&gt;0</formula>
    </cfRule>
    <cfRule type="expression" dxfId="231" priority="362">
      <formula>$T$380&lt;0</formula>
    </cfRule>
  </conditionalFormatting>
  <conditionalFormatting sqref="X380">
    <cfRule type="expression" dxfId="230" priority="359">
      <formula>$X$380&gt;0</formula>
    </cfRule>
    <cfRule type="expression" dxfId="229" priority="360">
      <formula>$X$380&lt;0</formula>
    </cfRule>
  </conditionalFormatting>
  <conditionalFormatting sqref="T443">
    <cfRule type="expression" dxfId="228" priority="357">
      <formula>$T$443&lt;0</formula>
    </cfRule>
    <cfRule type="expression" dxfId="227" priority="358">
      <formula>$T$443&gt;0</formula>
    </cfRule>
  </conditionalFormatting>
  <conditionalFormatting sqref="X443">
    <cfRule type="expression" dxfId="226" priority="355">
      <formula>$X$443&lt;0</formula>
    </cfRule>
    <cfRule type="expression" dxfId="225" priority="356">
      <formula>$X$443&gt;0</formula>
    </cfRule>
  </conditionalFormatting>
  <conditionalFormatting sqref="T506">
    <cfRule type="expression" dxfId="224" priority="353">
      <formula>$T$506&gt;0</formula>
    </cfRule>
    <cfRule type="expression" dxfId="223" priority="354">
      <formula>$T$506&lt;0</formula>
    </cfRule>
  </conditionalFormatting>
  <conditionalFormatting sqref="X506">
    <cfRule type="expression" dxfId="222" priority="351">
      <formula>$X$506&gt;0</formula>
    </cfRule>
    <cfRule type="expression" dxfId="221" priority="352">
      <formula>$X$506&lt;0</formula>
    </cfRule>
  </conditionalFormatting>
  <conditionalFormatting sqref="T570">
    <cfRule type="expression" dxfId="220" priority="349">
      <formula>$T$570&gt;0</formula>
    </cfRule>
    <cfRule type="expression" dxfId="219" priority="350">
      <formula>$T$570&lt;0</formula>
    </cfRule>
  </conditionalFormatting>
  <conditionalFormatting sqref="X570">
    <cfRule type="expression" dxfId="218" priority="347">
      <formula>$X$570&gt;0</formula>
    </cfRule>
    <cfRule type="expression" dxfId="217" priority="348">
      <formula>$X$570&lt;0</formula>
    </cfRule>
  </conditionalFormatting>
  <conditionalFormatting sqref="M326:N326">
    <cfRule type="expression" dxfId="216" priority="2061">
      <formula>S326&lt;&gt;0</formula>
    </cfRule>
  </conditionalFormatting>
  <conditionalFormatting sqref="AB318:AB320">
    <cfRule type="expression" dxfId="215" priority="267" stopIfTrue="1">
      <formula>$O$330="Non défini"</formula>
    </cfRule>
    <cfRule type="expression" dxfId="214" priority="268" stopIfTrue="1">
      <formula>$O$332="Non défini"</formula>
    </cfRule>
    <cfRule type="expression" dxfId="213" priority="269" stopIfTrue="1">
      <formula>$O$332="Not defined"</formula>
    </cfRule>
    <cfRule type="expression" dxfId="212" priority="270" stopIfTrue="1">
      <formula>$O$330="Not defined"</formula>
    </cfRule>
  </conditionalFormatting>
  <conditionalFormatting sqref="AC318:AD320">
    <cfRule type="expression" dxfId="211" priority="263" stopIfTrue="1">
      <formula>$O$330="Non défini"</formula>
    </cfRule>
    <cfRule type="expression" dxfId="210" priority="264" stopIfTrue="1">
      <formula>$O$332="Non défini"</formula>
    </cfRule>
    <cfRule type="expression" dxfId="209" priority="265" stopIfTrue="1">
      <formula>$O$332="Not defined"</formula>
    </cfRule>
    <cfRule type="expression" dxfId="208" priority="266" stopIfTrue="1">
      <formula>$O$330="Not defined"</formula>
    </cfRule>
  </conditionalFormatting>
  <conditionalFormatting sqref="AB381:AD383">
    <cfRule type="expression" dxfId="207" priority="259" stopIfTrue="1">
      <formula>$O$393="Non défini"</formula>
    </cfRule>
    <cfRule type="expression" dxfId="206" priority="260" stopIfTrue="1">
      <formula>$O$395="Non défini"</formula>
    </cfRule>
    <cfRule type="expression" dxfId="205" priority="261" stopIfTrue="1">
      <formula>$O$395="Not defined"</formula>
    </cfRule>
    <cfRule type="expression" dxfId="204" priority="262" stopIfTrue="1">
      <formula>$O$393="Not defined"</formula>
    </cfRule>
  </conditionalFormatting>
  <conditionalFormatting sqref="AB444:AD446">
    <cfRule type="expression" dxfId="203" priority="255" stopIfTrue="1">
      <formula>$O$456="Non défini"</formula>
    </cfRule>
    <cfRule type="expression" dxfId="202" priority="256" stopIfTrue="1">
      <formula>$O$458="Non défini"</formula>
    </cfRule>
    <cfRule type="expression" dxfId="201" priority="257" stopIfTrue="1">
      <formula>$O$458="Not defined"</formula>
    </cfRule>
    <cfRule type="expression" dxfId="200" priority="258" stopIfTrue="1">
      <formula>$O$456="Not defined"</formula>
    </cfRule>
  </conditionalFormatting>
  <conditionalFormatting sqref="AB507:AD510">
    <cfRule type="expression" dxfId="199" priority="251" stopIfTrue="1">
      <formula>$O$520="Non défini"</formula>
    </cfRule>
    <cfRule type="expression" dxfId="198" priority="252" stopIfTrue="1">
      <formula>$O$522="Non défini"</formula>
    </cfRule>
    <cfRule type="expression" dxfId="197" priority="253" stopIfTrue="1">
      <formula>$O$522="Not defined"</formula>
    </cfRule>
    <cfRule type="expression" dxfId="196" priority="254" stopIfTrue="1">
      <formula>$O$520="Not defined"</formula>
    </cfRule>
  </conditionalFormatting>
  <conditionalFormatting sqref="AB571:AD573">
    <cfRule type="expression" dxfId="195" priority="247" stopIfTrue="1">
      <formula>$O$583="Non défini"</formula>
    </cfRule>
    <cfRule type="expression" dxfId="194" priority="248" stopIfTrue="1">
      <formula>$O$585="Non défini"</formula>
    </cfRule>
    <cfRule type="expression" dxfId="193" priority="249" stopIfTrue="1">
      <formula>$O$585="Not defined"</formula>
    </cfRule>
    <cfRule type="expression" dxfId="192" priority="250" stopIfTrue="1">
      <formula>$O$583="Not defined"</formula>
    </cfRule>
  </conditionalFormatting>
  <conditionalFormatting sqref="L399:N418">
    <cfRule type="expression" dxfId="191" priority="243" stopIfTrue="1">
      <formula>$O$330="Non défini"</formula>
    </cfRule>
    <cfRule type="expression" dxfId="190" priority="244" stopIfTrue="1">
      <formula>$O$332="Non défini"</formula>
    </cfRule>
    <cfRule type="expression" dxfId="189" priority="245" stopIfTrue="1">
      <formula>$O$332="Not defined"</formula>
    </cfRule>
    <cfRule type="expression" dxfId="188" priority="246" stopIfTrue="1">
      <formula>$O$330="Not defined"</formula>
    </cfRule>
  </conditionalFormatting>
  <conditionalFormatting sqref="L462:N481">
    <cfRule type="expression" dxfId="187" priority="239" stopIfTrue="1">
      <formula>$O$330="Non défini"</formula>
    </cfRule>
    <cfRule type="expression" dxfId="186" priority="240" stopIfTrue="1">
      <formula>$O$332="Non défini"</formula>
    </cfRule>
    <cfRule type="expression" dxfId="185" priority="241" stopIfTrue="1">
      <formula>$O$332="Not defined"</formula>
    </cfRule>
    <cfRule type="expression" dxfId="184" priority="242" stopIfTrue="1">
      <formula>$O$330="Not defined"</formula>
    </cfRule>
  </conditionalFormatting>
  <conditionalFormatting sqref="L526:N545">
    <cfRule type="expression" dxfId="183" priority="235" stopIfTrue="1">
      <formula>$O$330="Non défini"</formula>
    </cfRule>
    <cfRule type="expression" dxfId="182" priority="236" stopIfTrue="1">
      <formula>$O$332="Non défini"</formula>
    </cfRule>
    <cfRule type="expression" dxfId="181" priority="237" stopIfTrue="1">
      <formula>$O$332="Not defined"</formula>
    </cfRule>
    <cfRule type="expression" dxfId="180" priority="238" stopIfTrue="1">
      <formula>$O$330="Not defined"</formula>
    </cfRule>
  </conditionalFormatting>
  <conditionalFormatting sqref="M356">
    <cfRule type="expression" dxfId="179" priority="231" stopIfTrue="1">
      <formula>$O$330="Non défini"</formula>
    </cfRule>
    <cfRule type="expression" dxfId="178" priority="232" stopIfTrue="1">
      <formula>$O$332="Non défini"</formula>
    </cfRule>
    <cfRule type="expression" dxfId="177" priority="233" stopIfTrue="1">
      <formula>$O$332="Not defined"</formula>
    </cfRule>
    <cfRule type="expression" dxfId="176" priority="234" stopIfTrue="1">
      <formula>$O$330="Not defined"</formula>
    </cfRule>
  </conditionalFormatting>
  <conditionalFormatting sqref="M398">
    <cfRule type="expression" dxfId="175" priority="227" stopIfTrue="1">
      <formula>$O$330="Non défini"</formula>
    </cfRule>
    <cfRule type="expression" dxfId="174" priority="228" stopIfTrue="1">
      <formula>$O$332="Non défini"</formula>
    </cfRule>
    <cfRule type="expression" dxfId="173" priority="229" stopIfTrue="1">
      <formula>$O$332="Not defined"</formula>
    </cfRule>
    <cfRule type="expression" dxfId="172" priority="230" stopIfTrue="1">
      <formula>$O$330="Not defined"</formula>
    </cfRule>
  </conditionalFormatting>
  <conditionalFormatting sqref="M419">
    <cfRule type="expression" dxfId="171" priority="223" stopIfTrue="1">
      <formula>$O$330="Non défini"</formula>
    </cfRule>
    <cfRule type="expression" dxfId="170" priority="224" stopIfTrue="1">
      <formula>$O$332="Non défini"</formula>
    </cfRule>
    <cfRule type="expression" dxfId="169" priority="225" stopIfTrue="1">
      <formula>$O$332="Not defined"</formula>
    </cfRule>
    <cfRule type="expression" dxfId="168" priority="226" stopIfTrue="1">
      <formula>$O$330="Not defined"</formula>
    </cfRule>
  </conditionalFormatting>
  <conditionalFormatting sqref="M461">
    <cfRule type="expression" dxfId="167" priority="219" stopIfTrue="1">
      <formula>$O$330="Non défini"</formula>
    </cfRule>
    <cfRule type="expression" dxfId="166" priority="220" stopIfTrue="1">
      <formula>$O$332="Non défini"</formula>
    </cfRule>
    <cfRule type="expression" dxfId="165" priority="221" stopIfTrue="1">
      <formula>$O$332="Not defined"</formula>
    </cfRule>
    <cfRule type="expression" dxfId="164" priority="222" stopIfTrue="1">
      <formula>$O$330="Not defined"</formula>
    </cfRule>
  </conditionalFormatting>
  <conditionalFormatting sqref="M525">
    <cfRule type="expression" dxfId="163" priority="215" stopIfTrue="1">
      <formula>$O$330="Non défini"</formula>
    </cfRule>
    <cfRule type="expression" dxfId="162" priority="216" stopIfTrue="1">
      <formula>$O$332="Non défini"</formula>
    </cfRule>
    <cfRule type="expression" dxfId="161" priority="217" stopIfTrue="1">
      <formula>$O$332="Not defined"</formula>
    </cfRule>
    <cfRule type="expression" dxfId="160" priority="218" stopIfTrue="1">
      <formula>$O$330="Not defined"</formula>
    </cfRule>
  </conditionalFormatting>
  <conditionalFormatting sqref="M482">
    <cfRule type="expression" dxfId="159" priority="211" stopIfTrue="1">
      <formula>$O$330="Non défini"</formula>
    </cfRule>
    <cfRule type="expression" dxfId="158" priority="212" stopIfTrue="1">
      <formula>$O$332="Non défini"</formula>
    </cfRule>
    <cfRule type="expression" dxfId="157" priority="213" stopIfTrue="1">
      <formula>$O$332="Not defined"</formula>
    </cfRule>
    <cfRule type="expression" dxfId="156" priority="214" stopIfTrue="1">
      <formula>$O$330="Not defined"</formula>
    </cfRule>
  </conditionalFormatting>
  <conditionalFormatting sqref="M546">
    <cfRule type="expression" dxfId="155" priority="207" stopIfTrue="1">
      <formula>$O$330="Non défini"</formula>
    </cfRule>
    <cfRule type="expression" dxfId="154" priority="208" stopIfTrue="1">
      <formula>$O$332="Non défini"</formula>
    </cfRule>
    <cfRule type="expression" dxfId="153" priority="209" stopIfTrue="1">
      <formula>$O$332="Not defined"</formula>
    </cfRule>
    <cfRule type="expression" dxfId="152" priority="210" stopIfTrue="1">
      <formula>$O$330="Not defined"</formula>
    </cfRule>
  </conditionalFormatting>
  <conditionalFormatting sqref="S385:S386">
    <cfRule type="expression" dxfId="151" priority="205">
      <formula>S385&lt;0</formula>
    </cfRule>
    <cfRule type="expression" dxfId="150" priority="206">
      <formula>S385&gt;0</formula>
    </cfRule>
  </conditionalFormatting>
  <conditionalFormatting sqref="W385:W387">
    <cfRule type="expression" dxfId="149" priority="203">
      <formula>W385&lt;0</formula>
    </cfRule>
    <cfRule type="expression" dxfId="148" priority="204">
      <formula>W385&gt;0</formula>
    </cfRule>
  </conditionalFormatting>
  <conditionalFormatting sqref="X385:X387">
    <cfRule type="expression" dxfId="147" priority="201">
      <formula>X385&lt;0</formula>
    </cfRule>
    <cfRule type="expression" dxfId="146" priority="202">
      <formula>X385&gt;0</formula>
    </cfRule>
  </conditionalFormatting>
  <conditionalFormatting sqref="S387">
    <cfRule type="expression" dxfId="145" priority="199">
      <formula>S387&lt;0</formula>
    </cfRule>
    <cfRule type="expression" dxfId="144" priority="200">
      <formula>S387&gt;0</formula>
    </cfRule>
  </conditionalFormatting>
  <conditionalFormatting sqref="T385">
    <cfRule type="expression" dxfId="143" priority="197">
      <formula>T385&lt;0</formula>
    </cfRule>
    <cfRule type="expression" dxfId="142" priority="198">
      <formula>T385&gt;0</formula>
    </cfRule>
  </conditionalFormatting>
  <conditionalFormatting sqref="T386">
    <cfRule type="expression" dxfId="141" priority="195">
      <formula>T386&lt;0</formula>
    </cfRule>
    <cfRule type="expression" dxfId="140" priority="196">
      <formula>T386&gt;0</formula>
    </cfRule>
  </conditionalFormatting>
  <conditionalFormatting sqref="T387">
    <cfRule type="expression" dxfId="139" priority="193">
      <formula>T387&lt;0</formula>
    </cfRule>
    <cfRule type="expression" dxfId="138" priority="194">
      <formula>T387&gt;0</formula>
    </cfRule>
  </conditionalFormatting>
  <conditionalFormatting sqref="S385:T389">
    <cfRule type="expression" dxfId="137" priority="189" stopIfTrue="1">
      <formula>$O$456="Non défini"</formula>
    </cfRule>
    <cfRule type="expression" dxfId="136" priority="190" stopIfTrue="1">
      <formula>$O$458="Non défini"</formula>
    </cfRule>
    <cfRule type="expression" dxfId="135" priority="191" stopIfTrue="1">
      <formula>$O$458="Not defined"</formula>
    </cfRule>
    <cfRule type="expression" dxfId="134" priority="192" stopIfTrue="1">
      <formula>$O$456="Not defined"</formula>
    </cfRule>
  </conditionalFormatting>
  <conditionalFormatting sqref="S322:S323">
    <cfRule type="expression" dxfId="133" priority="187">
      <formula>S322&lt;0</formula>
    </cfRule>
    <cfRule type="expression" dxfId="132" priority="188">
      <formula>S322&gt;0</formula>
    </cfRule>
  </conditionalFormatting>
  <conditionalFormatting sqref="W322:W324">
    <cfRule type="expression" dxfId="131" priority="185">
      <formula>W322&lt;0</formula>
    </cfRule>
    <cfRule type="expression" dxfId="130" priority="186">
      <formula>W322&gt;0</formula>
    </cfRule>
  </conditionalFormatting>
  <conditionalFormatting sqref="X322:X324">
    <cfRule type="expression" dxfId="129" priority="183">
      <formula>X322&lt;0</formula>
    </cfRule>
    <cfRule type="expression" dxfId="128" priority="184">
      <formula>X322&gt;0</formula>
    </cfRule>
  </conditionalFormatting>
  <conditionalFormatting sqref="S324">
    <cfRule type="expression" dxfId="127" priority="181">
      <formula>S324&lt;0</formula>
    </cfRule>
    <cfRule type="expression" dxfId="126" priority="182">
      <formula>S324&gt;0</formula>
    </cfRule>
  </conditionalFormatting>
  <conditionalFormatting sqref="T322">
    <cfRule type="expression" dxfId="125" priority="179">
      <formula>T322&lt;0</formula>
    </cfRule>
    <cfRule type="expression" dxfId="124" priority="180">
      <formula>T322&gt;0</formula>
    </cfRule>
  </conditionalFormatting>
  <conditionalFormatting sqref="T323">
    <cfRule type="expression" dxfId="123" priority="177">
      <formula>T323&lt;0</formula>
    </cfRule>
    <cfRule type="expression" dxfId="122" priority="178">
      <formula>T323&gt;0</formula>
    </cfRule>
  </conditionalFormatting>
  <conditionalFormatting sqref="T324">
    <cfRule type="expression" dxfId="121" priority="175">
      <formula>T324&lt;0</formula>
    </cfRule>
    <cfRule type="expression" dxfId="120" priority="176">
      <formula>T324&gt;0</formula>
    </cfRule>
  </conditionalFormatting>
  <conditionalFormatting sqref="S322:T326">
    <cfRule type="expression" dxfId="119" priority="171" stopIfTrue="1">
      <formula>$O$456="Non défini"</formula>
    </cfRule>
    <cfRule type="expression" dxfId="118" priority="172" stopIfTrue="1">
      <formula>$O$458="Non défini"</formula>
    </cfRule>
    <cfRule type="expression" dxfId="117" priority="173" stopIfTrue="1">
      <formula>$O$458="Not defined"</formula>
    </cfRule>
    <cfRule type="expression" dxfId="116" priority="174" stopIfTrue="1">
      <formula>$O$456="Not defined"</formula>
    </cfRule>
  </conditionalFormatting>
  <conditionalFormatting sqref="S509">
    <cfRule type="expression" dxfId="115" priority="165" stopIfTrue="1">
      <formula>$O$520="Non défini"</formula>
    </cfRule>
    <cfRule type="expression" dxfId="114" priority="166" stopIfTrue="1">
      <formula>$O$522="Non défini"</formula>
    </cfRule>
    <cfRule type="expression" dxfId="113" priority="167" stopIfTrue="1">
      <formula>$O$522="Not defined"</formula>
    </cfRule>
    <cfRule type="expression" dxfId="112" priority="168" stopIfTrue="1">
      <formula>$O$520="Not defined"</formula>
    </cfRule>
  </conditionalFormatting>
  <conditionalFormatting sqref="S509">
    <cfRule type="expression" dxfId="111" priority="169">
      <formula>S509&lt;0</formula>
    </cfRule>
    <cfRule type="expression" dxfId="110" priority="170">
      <formula>S509&gt;0</formula>
    </cfRule>
  </conditionalFormatting>
  <conditionalFormatting sqref="W509">
    <cfRule type="expression" dxfId="109" priority="159" stopIfTrue="1">
      <formula>$O$520="Non défini"</formula>
    </cfRule>
    <cfRule type="expression" dxfId="108" priority="160" stopIfTrue="1">
      <formula>$O$522="Non défini"</formula>
    </cfRule>
    <cfRule type="expression" dxfId="107" priority="161" stopIfTrue="1">
      <formula>$O$522="Not defined"</formula>
    </cfRule>
    <cfRule type="expression" dxfId="106" priority="162" stopIfTrue="1">
      <formula>$O$520="Not defined"</formula>
    </cfRule>
  </conditionalFormatting>
  <conditionalFormatting sqref="W509">
    <cfRule type="expression" dxfId="105" priority="163">
      <formula>W509&lt;0</formula>
    </cfRule>
    <cfRule type="expression" dxfId="104" priority="164">
      <formula>W509&gt;0</formula>
    </cfRule>
  </conditionalFormatting>
  <conditionalFormatting sqref="M334">
    <cfRule type="expression" dxfId="103" priority="151" stopIfTrue="1">
      <formula>$O$330="Non défini"</formula>
    </cfRule>
    <cfRule type="expression" dxfId="102" priority="152" stopIfTrue="1">
      <formula>$O$332="Non défini"</formula>
    </cfRule>
    <cfRule type="expression" dxfId="101" priority="153" stopIfTrue="1">
      <formula>$O$332="Not defined"</formula>
    </cfRule>
    <cfRule type="expression" dxfId="100" priority="154" stopIfTrue="1">
      <formula>$O$330="Not defined"</formula>
    </cfRule>
  </conditionalFormatting>
  <conditionalFormatting sqref="X87 X89">
    <cfRule type="expression" dxfId="99" priority="125">
      <formula>X87&gt;0</formula>
    </cfRule>
    <cfRule type="expression" dxfId="98" priority="126">
      <formula>X87&lt;0</formula>
    </cfRule>
  </conditionalFormatting>
  <conditionalFormatting sqref="T87 T89">
    <cfRule type="expression" dxfId="97" priority="123">
      <formula>T87&gt;0</formula>
    </cfRule>
    <cfRule type="expression" dxfId="96" priority="124">
      <formula>T87&lt;0</formula>
    </cfRule>
  </conditionalFormatting>
  <conditionalFormatting sqref="X78">
    <cfRule type="expression" dxfId="95" priority="113">
      <formula>X78&gt;0</formula>
    </cfRule>
    <cfRule type="expression" dxfId="94" priority="114">
      <formula>X78&lt;0</formula>
    </cfRule>
  </conditionalFormatting>
  <conditionalFormatting sqref="T78">
    <cfRule type="expression" dxfId="93" priority="111">
      <formula>T78&gt;0</formula>
    </cfRule>
    <cfRule type="expression" dxfId="92" priority="112">
      <formula>T78&lt;0</formula>
    </cfRule>
  </conditionalFormatting>
  <conditionalFormatting sqref="X74 T74">
    <cfRule type="expression" dxfId="91" priority="109">
      <formula>T74&gt;0</formula>
    </cfRule>
    <cfRule type="expression" dxfId="90" priority="110">
      <formula>T74&lt;0</formula>
    </cfRule>
  </conditionalFormatting>
  <conditionalFormatting sqref="X75 T75">
    <cfRule type="expression" dxfId="89" priority="107">
      <formula>T75&gt;0</formula>
    </cfRule>
    <cfRule type="expression" dxfId="88" priority="108">
      <formula>T75&lt;0</formula>
    </cfRule>
  </conditionalFormatting>
  <conditionalFormatting sqref="X76:X77 T76:T77">
    <cfRule type="expression" dxfId="87" priority="105">
      <formula>T76&gt;0</formula>
    </cfRule>
    <cfRule type="expression" dxfId="86" priority="106">
      <formula>T76&lt;0</formula>
    </cfRule>
  </conditionalFormatting>
  <conditionalFormatting sqref="X90">
    <cfRule type="expression" dxfId="85" priority="103">
      <formula>X90&gt;0</formula>
    </cfRule>
    <cfRule type="expression" dxfId="84" priority="104">
      <formula>X90&lt;0</formula>
    </cfRule>
  </conditionalFormatting>
  <conditionalFormatting sqref="T90">
    <cfRule type="expression" dxfId="83" priority="101">
      <formula>T90&gt;0</formula>
    </cfRule>
    <cfRule type="expression" dxfId="82" priority="102">
      <formula>T90&lt;0</formula>
    </cfRule>
  </conditionalFormatting>
  <conditionalFormatting sqref="X101 T101">
    <cfRule type="expression" dxfId="81" priority="99">
      <formula>T101&gt;0</formula>
    </cfRule>
    <cfRule type="expression" dxfId="80" priority="100">
      <formula>T101&lt;0</formula>
    </cfRule>
  </conditionalFormatting>
  <conditionalFormatting sqref="X58:X59 T58:T59">
    <cfRule type="expression" dxfId="79" priority="97">
      <formula>T58&gt;0</formula>
    </cfRule>
    <cfRule type="expression" dxfId="78" priority="98">
      <formula>T58&lt;0</formula>
    </cfRule>
  </conditionalFormatting>
  <conditionalFormatting sqref="X95">
    <cfRule type="expression" dxfId="77" priority="95">
      <formula>X95&gt;0</formula>
    </cfRule>
    <cfRule type="expression" dxfId="76" priority="96">
      <formula>X95&lt;0</formula>
    </cfRule>
  </conditionalFormatting>
  <conditionalFormatting sqref="T95">
    <cfRule type="expression" dxfId="75" priority="93">
      <formula>T95&gt;0</formula>
    </cfRule>
    <cfRule type="expression" dxfId="74" priority="94">
      <formula>T95&lt;0</formula>
    </cfRule>
  </conditionalFormatting>
  <conditionalFormatting sqref="X109">
    <cfRule type="expression" dxfId="73" priority="91">
      <formula>X109&gt;0</formula>
    </cfRule>
    <cfRule type="expression" dxfId="72" priority="92">
      <formula>X109&lt;0</formula>
    </cfRule>
  </conditionalFormatting>
  <conditionalFormatting sqref="T109">
    <cfRule type="expression" dxfId="71" priority="89">
      <formula>T109&gt;0</formula>
    </cfRule>
    <cfRule type="expression" dxfId="70" priority="90">
      <formula>T109&lt;0</formula>
    </cfRule>
  </conditionalFormatting>
  <conditionalFormatting sqref="X117">
    <cfRule type="expression" dxfId="69" priority="87">
      <formula>X117&gt;0</formula>
    </cfRule>
    <cfRule type="expression" dxfId="68" priority="88">
      <formula>X117&lt;0</formula>
    </cfRule>
  </conditionalFormatting>
  <conditionalFormatting sqref="T117">
    <cfRule type="expression" dxfId="67" priority="85">
      <formula>T117&gt;0</formula>
    </cfRule>
    <cfRule type="expression" dxfId="66" priority="86">
      <formula>T117&lt;0</formula>
    </cfRule>
  </conditionalFormatting>
  <conditionalFormatting sqref="X88">
    <cfRule type="expression" dxfId="65" priority="83">
      <formula>X88&gt;0</formula>
    </cfRule>
    <cfRule type="expression" dxfId="64" priority="84">
      <formula>X88&lt;0</formula>
    </cfRule>
  </conditionalFormatting>
  <conditionalFormatting sqref="T88">
    <cfRule type="expression" dxfId="63" priority="81">
      <formula>T88&gt;0</formula>
    </cfRule>
    <cfRule type="expression" dxfId="62" priority="82">
      <formula>T88&lt;0</formula>
    </cfRule>
  </conditionalFormatting>
  <conditionalFormatting sqref="T129">
    <cfRule type="expression" dxfId="61" priority="79">
      <formula>T129&gt;0</formula>
    </cfRule>
    <cfRule type="expression" dxfId="60" priority="80">
      <formula>T129&lt;0</formula>
    </cfRule>
  </conditionalFormatting>
  <conditionalFormatting sqref="X129">
    <cfRule type="expression" dxfId="59" priority="77">
      <formula>X129&gt;0</formula>
    </cfRule>
    <cfRule type="expression" dxfId="58" priority="78">
      <formula>X129&lt;0</formula>
    </cfRule>
  </conditionalFormatting>
  <conditionalFormatting sqref="T161">
    <cfRule type="expression" dxfId="57" priority="75">
      <formula>T161&gt;0</formula>
    </cfRule>
    <cfRule type="expression" dxfId="56" priority="76">
      <formula>T161&lt;0</formula>
    </cfRule>
  </conditionalFormatting>
  <conditionalFormatting sqref="X161">
    <cfRule type="expression" dxfId="55" priority="73">
      <formula>X161&gt;0</formula>
    </cfRule>
    <cfRule type="expression" dxfId="54" priority="74">
      <formula>X161&lt;0</formula>
    </cfRule>
  </conditionalFormatting>
  <conditionalFormatting sqref="T180">
    <cfRule type="expression" dxfId="53" priority="71">
      <formula>T180&gt;0</formula>
    </cfRule>
    <cfRule type="expression" dxfId="52" priority="72">
      <formula>T180&lt;0</formula>
    </cfRule>
  </conditionalFormatting>
  <conditionalFormatting sqref="X180">
    <cfRule type="expression" dxfId="51" priority="69">
      <formula>X180&gt;0</formula>
    </cfRule>
    <cfRule type="expression" dxfId="50" priority="70">
      <formula>X180&lt;0</formula>
    </cfRule>
  </conditionalFormatting>
  <conditionalFormatting sqref="T196">
    <cfRule type="expression" dxfId="49" priority="67">
      <formula>T196&gt;0</formula>
    </cfRule>
    <cfRule type="expression" dxfId="48" priority="68">
      <formula>T196&lt;0</formula>
    </cfRule>
  </conditionalFormatting>
  <conditionalFormatting sqref="X196">
    <cfRule type="expression" dxfId="47" priority="65">
      <formula>X196&gt;0</formula>
    </cfRule>
    <cfRule type="expression" dxfId="46" priority="66">
      <formula>X196&lt;0</formula>
    </cfRule>
  </conditionalFormatting>
  <conditionalFormatting sqref="T202">
    <cfRule type="expression" dxfId="45" priority="63">
      <formula>T202&gt;0</formula>
    </cfRule>
    <cfRule type="expression" dxfId="44" priority="64">
      <formula>T202&lt;0</formula>
    </cfRule>
  </conditionalFormatting>
  <conditionalFormatting sqref="X202">
    <cfRule type="expression" dxfId="43" priority="61">
      <formula>X202&gt;0</formula>
    </cfRule>
    <cfRule type="expression" dxfId="42" priority="62">
      <formula>X202&lt;0</formula>
    </cfRule>
  </conditionalFormatting>
  <conditionalFormatting sqref="T209">
    <cfRule type="expression" dxfId="41" priority="59">
      <formula>T209&gt;0</formula>
    </cfRule>
    <cfRule type="expression" dxfId="40" priority="60">
      <formula>T209&lt;0</formula>
    </cfRule>
  </conditionalFormatting>
  <conditionalFormatting sqref="X209">
    <cfRule type="expression" dxfId="39" priority="57">
      <formula>X209&gt;0</formula>
    </cfRule>
    <cfRule type="expression" dxfId="38" priority="58">
      <formula>X209&lt;0</formula>
    </cfRule>
  </conditionalFormatting>
  <conditionalFormatting sqref="S210 W210">
    <cfRule type="expression" dxfId="37" priority="55">
      <formula>S210&lt;0</formula>
    </cfRule>
    <cfRule type="expression" dxfId="36" priority="56">
      <formula>S210&gt;0</formula>
    </cfRule>
  </conditionalFormatting>
  <conditionalFormatting sqref="V217:V241 R243:R245 R217:R241 O243:R243 V243:V245 T217">
    <cfRule type="cellIs" dxfId="35" priority="53" operator="lessThan">
      <formula>0</formula>
    </cfRule>
    <cfRule type="cellIs" dxfId="34" priority="54" operator="greaterThan">
      <formula>0</formula>
    </cfRule>
  </conditionalFormatting>
  <conditionalFormatting sqref="R242">
    <cfRule type="cellIs" dxfId="33" priority="49" operator="lessThan">
      <formula>0</formula>
    </cfRule>
    <cfRule type="cellIs" dxfId="32" priority="50" operator="greaterThan">
      <formula>0</formula>
    </cfRule>
  </conditionalFormatting>
  <conditionalFormatting sqref="V242">
    <cfRule type="cellIs" dxfId="31" priority="47" operator="lessThan">
      <formula>0</formula>
    </cfRule>
    <cfRule type="cellIs" dxfId="30" priority="48" operator="greaterThan">
      <formula>0</formula>
    </cfRule>
  </conditionalFormatting>
  <conditionalFormatting sqref="R216">
    <cfRule type="cellIs" dxfId="29" priority="41" operator="lessThan">
      <formula>0</formula>
    </cfRule>
    <cfRule type="cellIs" dxfId="28" priority="42" operator="greaterThan">
      <formula>0</formula>
    </cfRule>
  </conditionalFormatting>
  <conditionalFormatting sqref="V216">
    <cfRule type="cellIs" dxfId="27" priority="37" operator="lessThan">
      <formula>0</formula>
    </cfRule>
    <cfRule type="cellIs" dxfId="26" priority="38" operator="greaterThan">
      <formula>0</formula>
    </cfRule>
  </conditionalFormatting>
  <conditionalFormatting sqref="X217">
    <cfRule type="cellIs" dxfId="25" priority="31" operator="lessThan">
      <formula>0</formula>
    </cfRule>
    <cfRule type="cellIs" dxfId="24" priority="32" operator="greaterThan">
      <formula>0</formula>
    </cfRule>
  </conditionalFormatting>
  <conditionalFormatting sqref="T138:T141 X138:X141">
    <cfRule type="expression" dxfId="23" priority="25">
      <formula>T138&gt;0</formula>
    </cfRule>
    <cfRule type="expression" dxfId="22" priority="26">
      <formula>T138&lt;0</formula>
    </cfRule>
  </conditionalFormatting>
  <conditionalFormatting sqref="T162 X162">
    <cfRule type="expression" dxfId="21" priority="21">
      <formula>T162&gt;0</formula>
    </cfRule>
    <cfRule type="expression" dxfId="20" priority="22">
      <formula>T162&lt;0</formula>
    </cfRule>
  </conditionalFormatting>
  <conditionalFormatting sqref="T170:T178 X170:X178">
    <cfRule type="expression" dxfId="19" priority="13">
      <formula>T170&gt;0</formula>
    </cfRule>
    <cfRule type="expression" dxfId="18" priority="14">
      <formula>T170&lt;0</formula>
    </cfRule>
  </conditionalFormatting>
  <conditionalFormatting sqref="T163 X163">
    <cfRule type="expression" dxfId="17" priority="19">
      <formula>T163&gt;0</formula>
    </cfRule>
    <cfRule type="expression" dxfId="16" priority="20">
      <formula>T163&lt;0</formula>
    </cfRule>
  </conditionalFormatting>
  <conditionalFormatting sqref="T164 X164">
    <cfRule type="expression" dxfId="15" priority="17">
      <formula>T164&gt;0</formula>
    </cfRule>
    <cfRule type="expression" dxfId="14" priority="18">
      <formula>T164&lt;0</formula>
    </cfRule>
  </conditionalFormatting>
  <conditionalFormatting sqref="T165:T169 X165:X169">
    <cfRule type="expression" dxfId="13" priority="15">
      <formula>T165&gt;0</formula>
    </cfRule>
    <cfRule type="expression" dxfId="12" priority="16">
      <formula>T165&lt;0</formula>
    </cfRule>
  </conditionalFormatting>
  <conditionalFormatting sqref="T181:T194 X181:X194">
    <cfRule type="expression" dxfId="11" priority="11">
      <formula>T181&gt;0</formula>
    </cfRule>
    <cfRule type="expression" dxfId="10" priority="12">
      <formula>T181&lt;0</formula>
    </cfRule>
  </conditionalFormatting>
  <conditionalFormatting sqref="T197:T200 X197:X200">
    <cfRule type="expression" dxfId="9" priority="9">
      <formula>T197&gt;0</formula>
    </cfRule>
    <cfRule type="expression" dxfId="8" priority="10">
      <formula>T197&lt;0</formula>
    </cfRule>
  </conditionalFormatting>
  <conditionalFormatting sqref="T203:T206 X203:X206">
    <cfRule type="expression" dxfId="7" priority="7">
      <formula>T203&gt;0</formula>
    </cfRule>
    <cfRule type="expression" dxfId="6" priority="8">
      <formula>T203&lt;0</formula>
    </cfRule>
  </conditionalFormatting>
  <conditionalFormatting sqref="T43:T46">
    <cfRule type="expression" dxfId="5" priority="5">
      <formula>T43&lt;0</formula>
    </cfRule>
    <cfRule type="expression" dxfId="4" priority="6">
      <formula>T43&gt;0</formula>
    </cfRule>
  </conditionalFormatting>
  <conditionalFormatting sqref="X43:X46">
    <cfRule type="expression" dxfId="3" priority="3">
      <formula>X43&lt;0</formula>
    </cfRule>
    <cfRule type="expression" dxfId="2" priority="4">
      <formula>X43&gt;0</formula>
    </cfRule>
  </conditionalFormatting>
  <conditionalFormatting sqref="T105:T108 X105:X108">
    <cfRule type="expression" dxfId="1" priority="1">
      <formula>T105&gt;0</formula>
    </cfRule>
    <cfRule type="expression" dxfId="0" priority="2">
      <formula>T105&lt;0</formula>
    </cfRule>
  </conditionalFormatting>
  <dataValidations count="3">
    <dataValidation type="list" showInputMessage="1" showErrorMessage="1" sqref="N19" xr:uid="{00000000-0002-0000-0100-000000000000}">
      <formula1>Languages</formula1>
    </dataValidation>
    <dataValidation type="list" allowBlank="1" showInputMessage="1" showErrorMessage="1" sqref="N12 N20:O20" xr:uid="{00000000-0002-0000-0100-000001000000}">
      <formula1>LIST_PHASES</formula1>
    </dataValidation>
    <dataValidation type="list" allowBlank="1" showInputMessage="1" showErrorMessage="1" sqref="N21:O21" xr:uid="{00000000-0002-0000-0100-000002000000}">
      <formula1>LIST_YEARS</formula1>
    </dataValidation>
  </dataValidations>
  <printOptions horizontalCentered="1"/>
  <pageMargins left="0.11811023622047245" right="0.11811023622047245" top="0.15748031496062992" bottom="0.15748031496062992" header="0" footer="0"/>
  <pageSetup paperSize="9" scale="33" orientation="portrait" r:id="rId3"/>
  <headerFooter>
    <oddFooter>&amp;C&amp;9&amp;K01+022PMM - Gross Margin variance breakdown
&amp;D&amp;T</oddFooter>
  </headerFooter>
  <drawing r:id="rId4"/>
  <legacyDrawing r:id="rId5"/>
  <controls>
    <mc:AlternateContent xmlns:mc="http://schemas.openxmlformats.org/markup-compatibility/2006">
      <mc:Choice Requires="x14">
        <control shapeId="1027" r:id="rId6" name="CommandButton1">
          <controlPr defaultSize="0" print="0" autoLine="0" r:id="rId7">
            <anchor moveWithCells="1">
              <from>
                <xdr:col>12</xdr:col>
                <xdr:colOff>57150</xdr:colOff>
                <xdr:row>28</xdr:row>
                <xdr:rowOff>28575</xdr:rowOff>
              </from>
              <to>
                <xdr:col>12</xdr:col>
                <xdr:colOff>2670175</xdr:colOff>
                <xdr:row>31</xdr:row>
                <xdr:rowOff>57150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8" r:id="rId8" name="CommandButton2">
          <controlPr defaultSize="0" print="0" autoLine="0" r:id="rId9">
            <anchor moveWithCells="1">
              <from>
                <xdr:col>13</xdr:col>
                <xdr:colOff>590550</xdr:colOff>
                <xdr:row>28</xdr:row>
                <xdr:rowOff>38100</xdr:rowOff>
              </from>
              <to>
                <xdr:col>14</xdr:col>
                <xdr:colOff>1416050</xdr:colOff>
                <xdr:row>31</xdr:row>
                <xdr:rowOff>123825</xdr:rowOff>
              </to>
            </anchor>
          </controlPr>
        </control>
      </mc:Choice>
      <mc:Fallback>
        <control shapeId="1028" r:id="rId8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12"/>
  <sheetViews>
    <sheetView workbookViewId="0">
      <selection activeCell="H21" sqref="H21"/>
    </sheetView>
  </sheetViews>
  <sheetFormatPr baseColWidth="10" defaultColWidth="11.40625" defaultRowHeight="14.75" x14ac:dyDescent="0.75"/>
  <sheetData>
    <row r="1" spans="1:1" x14ac:dyDescent="0.75">
      <c r="A1" t="s">
        <v>320</v>
      </c>
    </row>
    <row r="2" spans="1:1" x14ac:dyDescent="0.75">
      <c r="A2" t="s">
        <v>308</v>
      </c>
    </row>
    <row r="3" spans="1:1" x14ac:dyDescent="0.75">
      <c r="A3" t="s">
        <v>314</v>
      </c>
    </row>
    <row r="4" spans="1:1" x14ac:dyDescent="0.75">
      <c r="A4" t="s">
        <v>321</v>
      </c>
    </row>
    <row r="5" spans="1:1" x14ac:dyDescent="0.75">
      <c r="A5" t="s">
        <v>322</v>
      </c>
    </row>
    <row r="6" spans="1:1" x14ac:dyDescent="0.75">
      <c r="A6" t="s">
        <v>323</v>
      </c>
    </row>
    <row r="7" spans="1:1" x14ac:dyDescent="0.75">
      <c r="A7" t="s">
        <v>324</v>
      </c>
    </row>
    <row r="8" spans="1:1" x14ac:dyDescent="0.75">
      <c r="A8" t="s">
        <v>325</v>
      </c>
    </row>
    <row r="9" spans="1:1" x14ac:dyDescent="0.75">
      <c r="A9" t="s">
        <v>326</v>
      </c>
    </row>
    <row r="10" spans="1:1" x14ac:dyDescent="0.75">
      <c r="A10" t="s">
        <v>251</v>
      </c>
    </row>
    <row r="11" spans="1:1" x14ac:dyDescent="0.75">
      <c r="A11" t="s">
        <v>252</v>
      </c>
    </row>
    <row r="12" spans="1:1" x14ac:dyDescent="0.75">
      <c r="A12" t="s">
        <v>253</v>
      </c>
    </row>
  </sheetData>
  <customSheetViews>
    <customSheetView guid="{97DA177E-F101-4CD5-8BC6-6997082DB660}" state="hidden">
      <pageMargins left="0.7" right="0.7" top="0.75" bottom="0.75" header="0.3" footer="0.3"/>
    </customSheetView>
    <customSheetView guid="{83BB5152-01BA-42DF-B23D-4001406CC674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FF0000"/>
    <pageSetUpPr autoPageBreaks="0" fitToPage="1"/>
  </sheetPr>
  <dimension ref="A1:DK101"/>
  <sheetViews>
    <sheetView showGridLines="0" showRowColHeaders="0" topLeftCell="E7" zoomScale="85" zoomScaleNormal="40" workbookViewId="0">
      <selection activeCell="L18" sqref="L18"/>
    </sheetView>
  </sheetViews>
  <sheetFormatPr baseColWidth="10" defaultColWidth="11.40625" defaultRowHeight="14.75" x14ac:dyDescent="0.75"/>
  <cols>
    <col min="1" max="4" width="11.40625" hidden="1" customWidth="1"/>
    <col min="5" max="5" width="9.86328125" customWidth="1"/>
    <col min="6" max="7" width="1.1328125" customWidth="1"/>
    <col min="8" max="8" width="6.40625" customWidth="1"/>
    <col min="9" max="19" width="14.26953125" customWidth="1"/>
    <col min="20" max="20" width="6.40625" customWidth="1"/>
    <col min="21" max="22" width="1.1328125" customWidth="1"/>
    <col min="31" max="31" width="32.7265625" bestFit="1" customWidth="1"/>
    <col min="32" max="40" width="29.26953125" bestFit="1" customWidth="1"/>
    <col min="41" max="46" width="24.7265625" bestFit="1" customWidth="1"/>
    <col min="47" max="47" width="53.26953125" bestFit="1" customWidth="1"/>
    <col min="48" max="48" width="25.86328125" bestFit="1" customWidth="1"/>
    <col min="49" max="50" width="24.7265625" bestFit="1" customWidth="1"/>
    <col min="51" max="51" width="32.7265625" bestFit="1" customWidth="1"/>
    <col min="52" max="52" width="27" bestFit="1" customWidth="1"/>
    <col min="53" max="53" width="25.26953125" bestFit="1" customWidth="1"/>
    <col min="54" max="57" width="27" bestFit="1" customWidth="1"/>
    <col min="58" max="59" width="29.26953125" bestFit="1" customWidth="1"/>
    <col min="60" max="60" width="27" bestFit="1" customWidth="1"/>
    <col min="61" max="63" width="24.7265625" bestFit="1" customWidth="1"/>
    <col min="64" max="65" width="23" bestFit="1" customWidth="1"/>
    <col min="66" max="66" width="24.7265625" bestFit="1" customWidth="1"/>
    <col min="67" max="67" width="53.26953125" bestFit="1" customWidth="1"/>
    <col min="68" max="68" width="25.86328125" bestFit="1" customWidth="1"/>
  </cols>
  <sheetData>
    <row r="1" spans="1:115" ht="3.75" customHeight="1" x14ac:dyDescent="0.75">
      <c r="E1" s="109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</row>
    <row r="2" spans="1:115" ht="33" customHeight="1" x14ac:dyDescent="0.75">
      <c r="E2" s="109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</row>
    <row r="3" spans="1:115" x14ac:dyDescent="0.75">
      <c r="E3" s="109"/>
      <c r="F3" s="195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7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</row>
    <row r="4" spans="1:115" x14ac:dyDescent="0.75">
      <c r="E4" s="109"/>
      <c r="F4" s="198"/>
      <c r="V4" s="199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</row>
    <row r="5" spans="1:115" ht="26" x14ac:dyDescent="0.75">
      <c r="E5" s="109"/>
      <c r="F5" s="198"/>
      <c r="H5" s="588" t="str">
        <f>_xll.DBRA(Server&amp;Context!$B$32,Context!$B$64,'PMM Analysis Report'!$N$19)</f>
        <v>Gross Margin variance - bridge</v>
      </c>
      <c r="I5" s="588"/>
      <c r="J5" s="588"/>
      <c r="K5" s="588"/>
      <c r="L5" s="588"/>
      <c r="M5" s="588"/>
      <c r="N5" s="588"/>
      <c r="O5" s="588"/>
      <c r="P5" s="588"/>
      <c r="Q5" s="588"/>
      <c r="R5" s="588"/>
      <c r="S5" s="588"/>
      <c r="T5" s="588"/>
      <c r="V5" s="199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</row>
    <row r="6" spans="1:115" s="9" customFormat="1" ht="25.5" customHeight="1" x14ac:dyDescent="0.75">
      <c r="C6" s="1"/>
      <c r="D6" s="10"/>
      <c r="E6" s="109"/>
      <c r="F6" s="27"/>
      <c r="H6" s="589" t="str">
        <f>'PMM Analysis Report'!$K$8</f>
        <v>TRANSDEV All  //  PMM Transit activities  //  Local Currency  //  Local Gaap Management tool</v>
      </c>
      <c r="I6" s="589"/>
      <c r="J6" s="589"/>
      <c r="K6" s="589"/>
      <c r="L6" s="589"/>
      <c r="M6" s="589"/>
      <c r="N6" s="589"/>
      <c r="O6" s="589"/>
      <c r="P6" s="589"/>
      <c r="Q6" s="589"/>
      <c r="R6" s="589"/>
      <c r="S6" s="589"/>
      <c r="T6" s="589"/>
      <c r="U6" s="119"/>
      <c r="V6" s="2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</row>
    <row r="7" spans="1:115" s="34" customFormat="1" ht="57" customHeight="1" x14ac:dyDescent="0.75">
      <c r="B7" s="1"/>
      <c r="C7" s="1"/>
      <c r="D7" s="137"/>
      <c r="E7" s="109"/>
      <c r="F7" s="110"/>
      <c r="G7" s="111"/>
      <c r="H7" s="111"/>
      <c r="I7" s="112"/>
      <c r="J7" s="113"/>
      <c r="K7" s="114"/>
      <c r="L7" s="115"/>
      <c r="M7" s="115"/>
      <c r="N7" s="116"/>
      <c r="O7" s="117"/>
      <c r="P7" s="118"/>
      <c r="Q7" s="115"/>
      <c r="R7" s="116"/>
      <c r="S7" s="116"/>
      <c r="T7" s="117"/>
      <c r="U7" s="119"/>
      <c r="V7" s="2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</row>
    <row r="8" spans="1:115" s="34" customFormat="1" ht="15" hidden="1" customHeight="1" x14ac:dyDescent="0.75">
      <c r="B8" s="1"/>
      <c r="C8" s="1"/>
      <c r="D8" s="137"/>
      <c r="E8" s="109"/>
      <c r="F8" s="110"/>
      <c r="G8" s="111"/>
      <c r="H8" s="111"/>
      <c r="I8" s="149" t="s">
        <v>173</v>
      </c>
      <c r="J8" s="148" t="s">
        <v>171</v>
      </c>
      <c r="K8" s="114"/>
      <c r="L8" s="115"/>
      <c r="M8" s="115"/>
      <c r="N8" s="116"/>
      <c r="O8" s="117"/>
      <c r="P8" s="118"/>
      <c r="Q8" s="115"/>
      <c r="R8" s="116"/>
      <c r="S8" s="116"/>
      <c r="T8" s="117"/>
      <c r="U8" s="119"/>
      <c r="V8" s="2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</row>
    <row r="9" spans="1:115" s="34" customFormat="1" ht="15" hidden="1" customHeight="1" x14ac:dyDescent="0.75">
      <c r="B9" s="1"/>
      <c r="C9" s="1"/>
      <c r="D9" s="137"/>
      <c r="E9" s="109"/>
      <c r="F9" s="110"/>
      <c r="G9" s="111"/>
      <c r="H9" s="111"/>
      <c r="I9" s="149" t="s">
        <v>172</v>
      </c>
      <c r="J9" s="148" t="s">
        <v>171</v>
      </c>
      <c r="K9" s="114"/>
      <c r="L9" s="115"/>
      <c r="M9" s="115"/>
      <c r="N9" s="116"/>
      <c r="O9" s="117"/>
      <c r="P9" s="118"/>
      <c r="Q9" s="115"/>
      <c r="R9" s="116"/>
      <c r="S9" s="116"/>
      <c r="T9" s="117"/>
      <c r="U9" s="119"/>
      <c r="V9" s="2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</row>
    <row r="10" spans="1:115" s="34" customFormat="1" ht="52.5" customHeight="1" x14ac:dyDescent="1.1000000000000001">
      <c r="B10" s="1"/>
      <c r="C10" s="1"/>
      <c r="D10" s="137"/>
      <c r="E10" s="109"/>
      <c r="F10" s="110"/>
      <c r="G10" s="111"/>
      <c r="H10" s="594" t="str">
        <f>'PMM Analysis Report'!S32</f>
        <v>Actual / Budget V current N</v>
      </c>
      <c r="I10" s="594"/>
      <c r="J10" s="594"/>
      <c r="K10" s="594"/>
      <c r="L10" s="594"/>
      <c r="M10" s="594"/>
      <c r="N10" s="595" t="str">
        <f>'PMM Analysis Report'!W32</f>
        <v>Actual / Actual N-1</v>
      </c>
      <c r="O10" s="595"/>
      <c r="P10" s="595"/>
      <c r="Q10" s="595"/>
      <c r="R10" s="595"/>
      <c r="S10" s="595"/>
      <c r="T10" s="595"/>
      <c r="U10" s="119"/>
      <c r="V10" s="28"/>
      <c r="W10" s="8"/>
      <c r="X10" s="8"/>
      <c r="Y10" s="8"/>
      <c r="Z10" s="8"/>
      <c r="AA10" s="200"/>
      <c r="AB10" s="200"/>
      <c r="AC10" s="200"/>
      <c r="AD10" s="200"/>
      <c r="AE10" s="200"/>
      <c r="AF10" s="200"/>
      <c r="AG10" s="200"/>
      <c r="AH10" s="200"/>
      <c r="AI10" s="200"/>
      <c r="AJ10" s="200"/>
      <c r="AK10" s="200"/>
      <c r="AL10" s="200"/>
      <c r="AM10" s="200"/>
      <c r="AN10" s="200"/>
      <c r="AO10" s="200"/>
      <c r="AP10" s="200"/>
      <c r="AQ10" s="200"/>
      <c r="AR10" s="200"/>
      <c r="AS10" s="200"/>
      <c r="AT10" s="200"/>
      <c r="AU10" s="200"/>
      <c r="AV10" s="200"/>
      <c r="AW10" s="200"/>
      <c r="AX10" s="200"/>
      <c r="AY10" s="200"/>
      <c r="AZ10" s="200"/>
      <c r="BA10" s="200"/>
      <c r="BB10" s="200"/>
      <c r="BC10" s="200"/>
      <c r="BD10" s="200"/>
      <c r="BE10" s="200"/>
      <c r="BF10" s="200"/>
      <c r="BG10" s="200"/>
      <c r="BH10" s="200"/>
      <c r="BI10" s="200"/>
      <c r="BJ10" s="200"/>
      <c r="BK10" s="200"/>
      <c r="BL10" s="200"/>
      <c r="BM10" s="200"/>
      <c r="BN10" s="200"/>
      <c r="BO10" s="200"/>
      <c r="BP10" s="200"/>
      <c r="BQ10" s="200"/>
      <c r="BR10" s="200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</row>
    <row r="11" spans="1:115" s="34" customFormat="1" ht="38.25" customHeight="1" x14ac:dyDescent="0.75">
      <c r="A11" s="9"/>
      <c r="B11" s="1"/>
      <c r="C11" s="1"/>
      <c r="D11" s="10"/>
      <c r="E11" s="2"/>
      <c r="F11" s="30"/>
      <c r="G11" s="1"/>
      <c r="H11" s="591"/>
      <c r="I11" s="592"/>
      <c r="J11" s="592"/>
      <c r="K11" s="592"/>
      <c r="L11" s="592"/>
      <c r="M11" s="592"/>
      <c r="N11" s="592"/>
      <c r="O11" s="592"/>
      <c r="P11" s="592"/>
      <c r="Q11" s="592"/>
      <c r="R11" s="592"/>
      <c r="S11" s="592"/>
      <c r="T11" s="593"/>
      <c r="U11" s="9"/>
      <c r="V11" s="2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</row>
    <row r="12" spans="1:115" s="34" customFormat="1" ht="267" customHeight="1" x14ac:dyDescent="0.75">
      <c r="A12" s="9"/>
      <c r="B12" s="1"/>
      <c r="C12" s="1"/>
      <c r="D12" s="10"/>
      <c r="E12" s="2"/>
      <c r="F12" s="30"/>
      <c r="G12" s="1"/>
      <c r="H12" s="201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3"/>
      <c r="U12" s="9"/>
      <c r="V12" s="2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</row>
    <row r="13" spans="1:115" s="34" customFormat="1" ht="18" customHeight="1" x14ac:dyDescent="0.75">
      <c r="A13" s="9"/>
      <c r="B13" s="1"/>
      <c r="C13" s="1"/>
      <c r="D13" s="10"/>
      <c r="E13" s="2"/>
      <c r="F13" s="120"/>
      <c r="G13" s="121"/>
      <c r="H13" s="121"/>
      <c r="I13" s="122"/>
      <c r="J13" s="122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4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</row>
    <row r="14" spans="1:115" s="34" customFormat="1" ht="13.5" x14ac:dyDescent="0.75">
      <c r="A14" s="5"/>
      <c r="B14" s="2"/>
      <c r="C14" s="2"/>
      <c r="D14" s="10"/>
      <c r="E14" s="2"/>
      <c r="F14" s="2"/>
      <c r="G14" s="2"/>
      <c r="H14" s="2"/>
      <c r="I14" s="10"/>
      <c r="J14" s="10"/>
      <c r="K14" s="5"/>
      <c r="L14" s="5"/>
      <c r="M14" s="5"/>
      <c r="N14" s="7"/>
      <c r="O14" s="7"/>
      <c r="P14" s="7"/>
      <c r="Q14" s="5"/>
      <c r="R14" s="7"/>
      <c r="S14" s="7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</row>
    <row r="15" spans="1:115" s="34" customFormat="1" ht="13.5" x14ac:dyDescent="0.75">
      <c r="A15" s="5"/>
      <c r="B15" s="2"/>
      <c r="C15" s="2"/>
      <c r="D15" s="10"/>
      <c r="E15" s="2"/>
      <c r="F15" s="2"/>
      <c r="G15" s="2"/>
      <c r="H15" s="2"/>
      <c r="I15" s="10"/>
      <c r="J15" s="10"/>
      <c r="K15" s="5"/>
      <c r="L15" s="5"/>
      <c r="M15" s="5"/>
      <c r="N15" s="7"/>
      <c r="O15" s="7"/>
      <c r="P15" s="7"/>
      <c r="Q15" s="5"/>
      <c r="R15" s="7"/>
      <c r="S15" s="7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</row>
    <row r="16" spans="1:115" s="34" customFormat="1" ht="13.5" x14ac:dyDescent="0.75">
      <c r="A16" s="5"/>
      <c r="B16" s="2"/>
      <c r="C16" s="2"/>
      <c r="D16" s="10"/>
      <c r="E16" s="2"/>
      <c r="F16" s="2"/>
      <c r="G16" s="2"/>
      <c r="H16" s="2"/>
      <c r="I16" s="10"/>
      <c r="J16" s="10"/>
      <c r="K16" s="5"/>
      <c r="L16" s="5"/>
      <c r="M16" s="5"/>
      <c r="N16" s="7"/>
      <c r="O16" s="7"/>
      <c r="P16" s="7"/>
      <c r="Q16" s="5"/>
      <c r="R16" s="7"/>
      <c r="S16" s="7"/>
      <c r="T16" s="8"/>
      <c r="U16" s="8"/>
      <c r="V16" s="8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</row>
    <row r="17" spans="1:115" s="34" customFormat="1" ht="13.5" x14ac:dyDescent="0.75">
      <c r="A17" s="5"/>
      <c r="B17" s="2"/>
      <c r="C17" s="2"/>
      <c r="D17" s="10"/>
      <c r="E17" s="2"/>
      <c r="F17" s="2"/>
      <c r="G17" s="2"/>
      <c r="H17" s="2"/>
      <c r="I17" s="10"/>
      <c r="J17" s="10"/>
      <c r="K17" s="5"/>
      <c r="L17" s="5"/>
      <c r="M17" s="14"/>
      <c r="N17" s="7"/>
      <c r="O17" s="7"/>
      <c r="P17" s="7"/>
      <c r="Q17" s="5"/>
      <c r="R17" s="7"/>
      <c r="S17" s="7"/>
      <c r="T17" s="8"/>
      <c r="U17" s="8"/>
      <c r="V17" s="8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</row>
    <row r="18" spans="1:115" s="34" customFormat="1" ht="18" customHeight="1" x14ac:dyDescent="0.75">
      <c r="A18" s="5"/>
      <c r="B18" s="2"/>
      <c r="C18" s="2"/>
      <c r="D18" s="10"/>
      <c r="E18" s="2"/>
      <c r="F18" s="2"/>
      <c r="G18" s="2"/>
      <c r="H18" s="2"/>
      <c r="I18" s="10"/>
      <c r="J18" s="10"/>
      <c r="K18" s="5"/>
      <c r="L18" s="5"/>
      <c r="M18" s="5"/>
      <c r="N18" s="7"/>
      <c r="O18" s="7"/>
      <c r="P18" s="7"/>
      <c r="Q18" s="5"/>
      <c r="R18" s="7"/>
      <c r="S18" s="7"/>
      <c r="T18" s="8"/>
      <c r="U18" s="8"/>
      <c r="V18" s="8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</row>
    <row r="19" spans="1:115" s="34" customFormat="1" ht="18" customHeight="1" x14ac:dyDescent="0.75">
      <c r="A19" s="5"/>
      <c r="B19" s="2"/>
      <c r="C19" s="2"/>
      <c r="D19" s="10"/>
      <c r="E19" s="2"/>
      <c r="F19" s="2"/>
      <c r="G19" s="2"/>
      <c r="H19" s="2"/>
      <c r="I19" s="10"/>
      <c r="J19" s="10"/>
      <c r="K19" s="5"/>
      <c r="L19" s="5"/>
      <c r="M19" s="5"/>
      <c r="N19" s="7"/>
      <c r="O19" s="7"/>
      <c r="P19" s="7"/>
      <c r="Q19" s="5"/>
      <c r="R19" s="7"/>
      <c r="S19" s="7"/>
      <c r="T19" s="8"/>
      <c r="U19" s="8"/>
      <c r="V19" s="8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</row>
    <row r="20" spans="1:115" s="34" customFormat="1" ht="13.5" x14ac:dyDescent="0.75">
      <c r="A20" s="5"/>
      <c r="B20" s="2"/>
      <c r="C20" s="2"/>
      <c r="D20" s="10"/>
      <c r="E20" s="2"/>
      <c r="F20" s="2"/>
      <c r="G20" s="2"/>
      <c r="H20" s="2"/>
      <c r="I20" s="10"/>
      <c r="J20" s="10"/>
      <c r="K20" s="5"/>
      <c r="L20" s="5"/>
      <c r="M20" s="5"/>
      <c r="N20" s="7"/>
      <c r="O20" s="7"/>
      <c r="P20" s="7"/>
      <c r="Q20" s="5"/>
      <c r="R20" s="7"/>
      <c r="S20" s="7"/>
      <c r="T20" s="8"/>
      <c r="U20" s="8"/>
      <c r="V20" s="8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</row>
    <row r="21" spans="1:115" s="34" customFormat="1" ht="13.5" x14ac:dyDescent="0.75">
      <c r="A21" s="5"/>
      <c r="B21" s="2"/>
      <c r="C21" s="2"/>
      <c r="D21" s="10"/>
      <c r="E21" s="2"/>
      <c r="F21" s="2"/>
      <c r="G21" s="2"/>
      <c r="H21" s="2"/>
      <c r="I21" s="10"/>
      <c r="J21" s="10"/>
      <c r="K21" s="5"/>
      <c r="L21" s="5"/>
      <c r="M21" s="5"/>
      <c r="N21" s="7"/>
      <c r="O21" s="7"/>
      <c r="P21" s="7"/>
      <c r="Q21" s="5"/>
      <c r="R21" s="7"/>
      <c r="S21" s="7"/>
      <c r="T21" s="8"/>
      <c r="U21" s="8"/>
      <c r="V21" s="8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</row>
    <row r="22" spans="1:115" s="34" customFormat="1" ht="13.5" x14ac:dyDescent="0.75">
      <c r="A22" s="5"/>
      <c r="B22" s="2"/>
      <c r="C22" s="2"/>
      <c r="D22" s="10"/>
      <c r="E22" s="2"/>
      <c r="F22" s="2"/>
      <c r="G22" s="2"/>
      <c r="H22" s="2"/>
      <c r="I22" s="10"/>
      <c r="J22" s="10"/>
      <c r="K22" s="5"/>
      <c r="L22" s="5"/>
      <c r="M22" s="5"/>
      <c r="N22" s="7"/>
      <c r="O22" s="7"/>
      <c r="P22" s="7"/>
      <c r="Q22" s="5"/>
      <c r="R22" s="7"/>
      <c r="S22" s="7"/>
      <c r="T22" s="8"/>
      <c r="U22" s="8"/>
      <c r="V22" s="8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174"/>
      <c r="BE22" s="174"/>
      <c r="BF22" s="174"/>
      <c r="BG22" s="174"/>
      <c r="BH22" s="174"/>
      <c r="BI22" s="174"/>
      <c r="BJ22" s="174"/>
      <c r="BK22" s="174"/>
      <c r="BL22" s="174"/>
      <c r="BM22" s="174"/>
      <c r="BN22" s="174"/>
      <c r="BO22" s="174"/>
      <c r="BP22" s="174"/>
      <c r="BQ22" s="174"/>
      <c r="BR22" s="174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</row>
    <row r="23" spans="1:115" s="34" customFormat="1" ht="18.5" x14ac:dyDescent="0.75">
      <c r="A23" s="5"/>
      <c r="B23" s="2"/>
      <c r="C23" s="2"/>
      <c r="D23" s="10"/>
      <c r="E23" s="2"/>
      <c r="F23" s="2"/>
      <c r="G23" s="2"/>
      <c r="H23" s="2"/>
      <c r="I23" s="10"/>
      <c r="J23" s="10"/>
      <c r="K23" s="5"/>
      <c r="L23" s="5"/>
      <c r="M23" s="5"/>
      <c r="N23" s="7"/>
      <c r="O23" s="7"/>
      <c r="P23" s="7"/>
      <c r="Q23" s="5"/>
      <c r="R23" s="7"/>
      <c r="S23" s="7"/>
      <c r="T23" s="8"/>
      <c r="U23" s="8"/>
      <c r="V23" s="8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169" t="s">
        <v>229</v>
      </c>
      <c r="AU23" s="169"/>
      <c r="AV23" s="5"/>
      <c r="AW23" s="170">
        <f>MAX(AG41:AM41)</f>
        <v>226875852.49000001</v>
      </c>
      <c r="AX23" s="170"/>
      <c r="AY23" s="169">
        <f>MAX(BA41:BG41)</f>
        <v>6934913248.0918169</v>
      </c>
      <c r="AZ23" s="5"/>
      <c r="BA23" s="169"/>
      <c r="BB23" s="5"/>
      <c r="BC23" s="5"/>
      <c r="BD23" s="174"/>
      <c r="BE23" s="174"/>
      <c r="BF23" s="174"/>
      <c r="BG23" s="174"/>
      <c r="BH23" s="174"/>
      <c r="BI23" s="174"/>
      <c r="BJ23" s="174"/>
      <c r="BK23" s="174"/>
      <c r="BL23" s="174"/>
      <c r="BM23" s="174"/>
      <c r="BN23" s="174"/>
      <c r="BO23" s="174"/>
      <c r="BP23" s="174"/>
      <c r="BQ23" s="174"/>
      <c r="BR23" s="174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</row>
    <row r="24" spans="1:115" s="34" customFormat="1" ht="18.5" x14ac:dyDescent="0.75">
      <c r="A24" s="5"/>
      <c r="B24" s="2"/>
      <c r="C24" s="2"/>
      <c r="D24" s="10"/>
      <c r="E24" s="2"/>
      <c r="F24" s="2"/>
      <c r="G24" s="2"/>
      <c r="H24" s="2"/>
      <c r="I24" s="10"/>
      <c r="J24" s="10"/>
      <c r="K24" s="5"/>
      <c r="L24" s="5"/>
      <c r="M24" s="5"/>
      <c r="N24" s="7"/>
      <c r="O24" s="7"/>
      <c r="P24" s="7"/>
      <c r="Q24" s="5"/>
      <c r="R24" s="7"/>
      <c r="S24" s="7"/>
      <c r="T24" s="8"/>
      <c r="U24" s="8"/>
      <c r="V24" s="8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169" t="s">
        <v>228</v>
      </c>
      <c r="AU24" s="169"/>
      <c r="AV24" s="5"/>
      <c r="AW24" s="170">
        <f>MIN(AF42:AN42)</f>
        <v>0</v>
      </c>
      <c r="AX24" s="170"/>
      <c r="AY24" s="169">
        <f>MIN(AZ42:BH42)</f>
        <v>36216967.719999939</v>
      </c>
      <c r="AZ24" s="5"/>
      <c r="BA24" s="169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</row>
    <row r="25" spans="1:115" s="34" customFormat="1" ht="18.5" x14ac:dyDescent="0.75">
      <c r="A25" s="5"/>
      <c r="B25" s="2"/>
      <c r="C25" s="2"/>
      <c r="D25" s="10"/>
      <c r="E25" s="2"/>
      <c r="F25" s="2"/>
      <c r="G25" s="2"/>
      <c r="H25" s="2"/>
      <c r="I25" s="10"/>
      <c r="J25" s="10"/>
      <c r="K25" s="5"/>
      <c r="L25" s="5"/>
      <c r="M25" s="5"/>
      <c r="N25" s="7"/>
      <c r="O25" s="7"/>
      <c r="P25" s="7"/>
      <c r="Q25" s="5"/>
      <c r="R25" s="7"/>
      <c r="S25" s="7"/>
      <c r="T25" s="8"/>
      <c r="U25" s="8"/>
      <c r="V25" s="8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169" t="s">
        <v>227</v>
      </c>
      <c r="AU25" s="169"/>
      <c r="AV25" s="5"/>
      <c r="AW25" s="169">
        <f>INT(AW24/AW23)</f>
        <v>0</v>
      </c>
      <c r="AX25" s="169"/>
      <c r="AY25" s="169">
        <f>INT(AY24/AY23)</f>
        <v>0</v>
      </c>
      <c r="AZ25" s="5"/>
      <c r="BA25" s="169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</row>
    <row r="26" spans="1:115" s="34" customFormat="1" ht="18.5" x14ac:dyDescent="0.75">
      <c r="A26" s="5"/>
      <c r="B26" s="2"/>
      <c r="C26" s="2"/>
      <c r="D26" s="10"/>
      <c r="E26" s="2"/>
      <c r="F26" s="2"/>
      <c r="G26" s="2"/>
      <c r="H26" s="2"/>
      <c r="I26" s="10"/>
      <c r="J26" s="10"/>
      <c r="K26" s="5"/>
      <c r="L26" s="5"/>
      <c r="M26" s="5"/>
      <c r="N26" s="7"/>
      <c r="O26" s="7"/>
      <c r="P26" s="7"/>
      <c r="Q26" s="5"/>
      <c r="R26" s="7"/>
      <c r="S26" s="7"/>
      <c r="T26" s="8"/>
      <c r="U26" s="8"/>
      <c r="V26" s="8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169" t="s">
        <v>226</v>
      </c>
      <c r="AU26" s="169"/>
      <c r="AV26" s="5"/>
      <c r="AW26" s="169"/>
      <c r="AX26" s="169">
        <v>1</v>
      </c>
      <c r="AY26" s="169"/>
      <c r="AZ26" s="5"/>
      <c r="BA26" s="169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</row>
    <row r="27" spans="1:115" s="34" customFormat="1" ht="18.5" x14ac:dyDescent="0.75">
      <c r="A27" s="5"/>
      <c r="B27" s="2"/>
      <c r="C27" s="2"/>
      <c r="D27" s="10"/>
      <c r="E27" s="2"/>
      <c r="F27" s="2"/>
      <c r="G27" s="2"/>
      <c r="H27" s="2"/>
      <c r="I27" s="10"/>
      <c r="J27" s="10"/>
      <c r="K27" s="5"/>
      <c r="L27" s="5"/>
      <c r="M27" s="5"/>
      <c r="N27" s="7"/>
      <c r="O27" s="7"/>
      <c r="P27" s="7"/>
      <c r="Q27" s="5"/>
      <c r="R27" s="7"/>
      <c r="S27" s="7"/>
      <c r="T27" s="8"/>
      <c r="U27" s="8"/>
      <c r="V27" s="8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169"/>
      <c r="AU27" s="170"/>
      <c r="AV27" s="169"/>
      <c r="AW27" s="169"/>
      <c r="AX27" s="169"/>
      <c r="AY27" s="169"/>
      <c r="AZ27" s="169"/>
      <c r="BA27" s="170"/>
      <c r="BB27" s="169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</row>
    <row r="28" spans="1:115" s="34" customFormat="1" ht="18.5" x14ac:dyDescent="0.75">
      <c r="A28" s="5"/>
      <c r="B28" s="2"/>
      <c r="C28" s="2"/>
      <c r="D28" s="10"/>
      <c r="E28" s="2"/>
      <c r="F28" s="2"/>
      <c r="G28" s="2"/>
      <c r="H28" s="2"/>
      <c r="I28" s="10"/>
      <c r="J28" s="10"/>
      <c r="K28" s="5"/>
      <c r="L28" s="5"/>
      <c r="M28" s="5"/>
      <c r="N28" s="7"/>
      <c r="O28" s="7"/>
      <c r="P28" s="7"/>
      <c r="Q28" s="5"/>
      <c r="R28" s="7"/>
      <c r="S28" s="7"/>
      <c r="T28" s="8"/>
      <c r="U28" s="8"/>
      <c r="V28" s="8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169" t="s">
        <v>225</v>
      </c>
      <c r="AU28" s="169"/>
      <c r="AV28" s="169"/>
      <c r="AW28" s="169">
        <f>IF(AW23&lt;100,1,IF(AW23&lt;1000,100,IF(AW23&lt;10000,1000,IF(AW23&lt;100000,10000,IF(AW23&lt;1000000,100000,IF(AW23&lt;10000000,1000000,IF(AW23&lt;100000000,10000000,100000000)))))))</f>
        <v>100000000</v>
      </c>
      <c r="AX28" s="169"/>
      <c r="AY28" s="169">
        <f>IF(AY23&lt;100,1,IF(AY23&lt;1000,100,IF(AY23&lt;10000,1000,IF(AY23&lt;100000,10000,IF(AY23&lt;1000000,100000,IF(AY23&lt;10000000,1000000,IF(AY23&lt;100000000,10000000,100000000)))))))</f>
        <v>100000000</v>
      </c>
      <c r="AZ28" s="169"/>
      <c r="BA28" s="169"/>
      <c r="BB28" s="169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</row>
    <row r="29" spans="1:115" s="34" customFormat="1" ht="18.5" x14ac:dyDescent="0.75">
      <c r="A29" s="5"/>
      <c r="B29" s="2"/>
      <c r="C29" s="2"/>
      <c r="D29" s="10"/>
      <c r="E29" s="2"/>
      <c r="F29" s="2"/>
      <c r="G29" s="2"/>
      <c r="H29" s="2"/>
      <c r="I29" s="10"/>
      <c r="J29" s="10"/>
      <c r="K29" s="5"/>
      <c r="L29" s="5"/>
      <c r="M29" s="5"/>
      <c r="N29" s="7"/>
      <c r="O29" s="7"/>
      <c r="P29" s="7"/>
      <c r="Q29" s="5"/>
      <c r="R29" s="7"/>
      <c r="S29" s="7"/>
      <c r="T29" s="8"/>
      <c r="U29" s="8"/>
      <c r="V29" s="8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169" t="s">
        <v>224</v>
      </c>
      <c r="AU29" s="169">
        <f>IF($AX$45="Yes",AX29,AW29)</f>
        <v>0</v>
      </c>
      <c r="AV29" s="169"/>
      <c r="AW29" s="169">
        <f>IF($AX$42="Yes",IF(AND(AV56&gt;=0,AV57&gt;0),MAX(INT(INT(AW23/AW28)*AW28*(AW25-$AX$26)),0),0),0)</f>
        <v>0</v>
      </c>
      <c r="AX29" s="169">
        <f>IF(OR(AW29&lt;0,AY29&lt;0),MAX(AW29,AY29),MIN(AW29,AY29))</f>
        <v>0</v>
      </c>
      <c r="AY29" s="169">
        <f>IF($AX$42="Yes",IF(AND(BP56&gt;=0,BP57&gt;0),MAX(INT(INT(AY23/AY28)*AY28*(AY25-$AX$26)),0),0),0)</f>
        <v>0</v>
      </c>
      <c r="AZ29" s="169"/>
      <c r="BA29" s="169">
        <f>IF($AX$45="Yes",AX29,AY29)</f>
        <v>0</v>
      </c>
      <c r="BB29" s="169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</row>
    <row r="30" spans="1:115" s="34" customFormat="1" ht="18.5" x14ac:dyDescent="0.75">
      <c r="A30" s="5"/>
      <c r="B30" s="2"/>
      <c r="C30" s="2"/>
      <c r="D30" s="10"/>
      <c r="E30" s="2"/>
      <c r="F30" s="2"/>
      <c r="G30" s="2"/>
      <c r="H30" s="2"/>
      <c r="I30" s="10"/>
      <c r="J30" s="10"/>
      <c r="K30" s="5"/>
      <c r="L30" s="5"/>
      <c r="M30" s="5"/>
      <c r="N30" s="7"/>
      <c r="O30" s="7"/>
      <c r="P30" s="7"/>
      <c r="Q30" s="5"/>
      <c r="R30" s="7"/>
      <c r="S30" s="7"/>
      <c r="T30" s="8"/>
      <c r="U30" s="8"/>
      <c r="V30" s="8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169"/>
      <c r="AL30" s="169"/>
      <c r="AM30" s="5"/>
      <c r="AN30" s="5"/>
      <c r="AO30" s="5"/>
      <c r="AP30" s="5"/>
      <c r="AQ30" s="5"/>
      <c r="AR30" s="5"/>
      <c r="AS30" s="5"/>
      <c r="AT30" s="169" t="s">
        <v>223</v>
      </c>
      <c r="AU30" s="169">
        <f>IF($AX$45="Yes",AX30,AW30)</f>
        <v>0</v>
      </c>
      <c r="AV30" s="5"/>
      <c r="AW30" s="169">
        <f>IF(AX42="Yes",0-IF(AND(AV56&lt;=0,AV57&lt;0),MAX(INT(INT(AW23/AW28)*AW28*(AW25-$AX$26)),0),0),0)</f>
        <v>0</v>
      </c>
      <c r="AX30" s="169">
        <f>IF(OR(AW30&lt;0,AY30&lt;0),MAX(AW30,AY30),MIN(AW30,AY30))</f>
        <v>0</v>
      </c>
      <c r="AY30" s="169">
        <f>IF(AX42="Yes",0-IF(AND(BP56&lt;=0,BP57&lt;0),MAX(INT(INT(AY23/AY28)*AY28*(AY25-$AX$26)),0),0),0)</f>
        <v>0</v>
      </c>
      <c r="AZ30" s="5"/>
      <c r="BA30" s="169">
        <f>IF($AX$45="Yes",AX30,AY30)</f>
        <v>0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</row>
    <row r="31" spans="1:115" s="34" customFormat="1" ht="18.5" x14ac:dyDescent="0.75">
      <c r="A31" s="5"/>
      <c r="B31" s="2"/>
      <c r="C31" s="2"/>
      <c r="D31" s="10"/>
      <c r="E31" s="2"/>
      <c r="F31" s="2"/>
      <c r="G31" s="2"/>
      <c r="H31" s="2"/>
      <c r="I31" s="10"/>
      <c r="J31" s="10"/>
      <c r="K31" s="5"/>
      <c r="L31" s="5"/>
      <c r="M31" s="5"/>
      <c r="N31" s="7"/>
      <c r="O31" s="7"/>
      <c r="P31" s="7"/>
      <c r="Q31" s="5"/>
      <c r="R31" s="7"/>
      <c r="S31" s="7"/>
      <c r="T31" s="8"/>
      <c r="U31" s="8"/>
      <c r="V31" s="8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169" t="s">
        <v>222</v>
      </c>
      <c r="AU31" s="175">
        <f>SUM(AU29:AU30)</f>
        <v>0</v>
      </c>
      <c r="AV31" s="176"/>
      <c r="AW31" s="5"/>
      <c r="AX31" s="5"/>
      <c r="AY31" s="5"/>
      <c r="AZ31" s="5"/>
      <c r="BA31" s="175">
        <f>SUM(BA29:BA30)</f>
        <v>0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</row>
    <row r="32" spans="1:115" s="34" customFormat="1" ht="18.5" x14ac:dyDescent="0.75">
      <c r="A32" s="5"/>
      <c r="B32" s="2"/>
      <c r="C32" s="2"/>
      <c r="D32" s="10"/>
      <c r="E32" s="2"/>
      <c r="F32" s="2"/>
      <c r="G32" s="2"/>
      <c r="H32" s="2"/>
      <c r="I32" s="10"/>
      <c r="J32" s="10"/>
      <c r="K32" s="5"/>
      <c r="L32" s="5"/>
      <c r="M32" s="5"/>
      <c r="N32" s="7"/>
      <c r="O32" s="7"/>
      <c r="P32" s="7"/>
      <c r="Q32" s="5"/>
      <c r="R32" s="7"/>
      <c r="S32" s="7"/>
      <c r="T32" s="8"/>
      <c r="U32" s="8"/>
      <c r="V32" s="8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169"/>
      <c r="AU32" s="169"/>
      <c r="AV32" s="169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</row>
    <row r="33" spans="1:115" s="34" customFormat="1" ht="13.5" x14ac:dyDescent="0.75">
      <c r="A33" s="5"/>
      <c r="B33" s="2"/>
      <c r="C33" s="2"/>
      <c r="D33" s="10"/>
      <c r="E33" s="2"/>
      <c r="F33" s="2"/>
      <c r="G33" s="2"/>
      <c r="H33" s="2"/>
      <c r="I33" s="10"/>
      <c r="J33" s="10"/>
      <c r="K33" s="5"/>
      <c r="L33" s="5"/>
      <c r="M33" s="5"/>
      <c r="N33" s="7"/>
      <c r="O33" s="7"/>
      <c r="P33" s="7"/>
      <c r="Q33" s="5"/>
      <c r="R33" s="7"/>
      <c r="S33" s="7"/>
      <c r="T33" s="8"/>
      <c r="U33" s="8"/>
      <c r="V33" s="8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</row>
    <row r="34" spans="1:115" s="34" customFormat="1" ht="13.5" x14ac:dyDescent="0.75">
      <c r="A34" s="5"/>
      <c r="B34" s="2"/>
      <c r="C34" s="2"/>
      <c r="D34" s="10"/>
      <c r="E34" s="2"/>
      <c r="F34" s="2"/>
      <c r="G34" s="2"/>
      <c r="H34" s="2"/>
      <c r="I34" s="10"/>
      <c r="J34" s="10"/>
      <c r="K34" s="5"/>
      <c r="L34" s="5"/>
      <c r="M34" s="5"/>
      <c r="N34" s="7"/>
      <c r="O34" s="7"/>
      <c r="P34" s="7"/>
      <c r="Q34" s="5"/>
      <c r="R34" s="7"/>
      <c r="S34" s="7"/>
      <c r="T34" s="8"/>
      <c r="U34" s="8"/>
      <c r="V34" s="8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177">
        <f>MIN($AF$51:$AN$51)</f>
        <v>0</v>
      </c>
      <c r="AX34" s="177">
        <f>MIN(AW34,AY34)</f>
        <v>-6527530923.6938295</v>
      </c>
      <c r="AY34" s="177">
        <f>MIN($AZ$51:$BH$51)</f>
        <v>-6527530923.6938295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</row>
    <row r="35" spans="1:115" s="34" customFormat="1" ht="13.5" x14ac:dyDescent="0.75">
      <c r="A35" s="5"/>
      <c r="B35" s="2"/>
      <c r="C35" s="2"/>
      <c r="D35" s="10"/>
      <c r="E35" s="2"/>
      <c r="F35" s="2"/>
      <c r="G35" s="2"/>
      <c r="H35" s="2"/>
      <c r="I35" s="10"/>
      <c r="J35" s="10"/>
      <c r="K35" s="5"/>
      <c r="L35" s="5"/>
      <c r="M35" s="5"/>
      <c r="N35" s="7"/>
      <c r="O35" s="7"/>
      <c r="P35" s="7"/>
      <c r="Q35" s="5"/>
      <c r="R35" s="7"/>
      <c r="S35" s="7"/>
      <c r="T35" s="8"/>
      <c r="U35" s="8"/>
      <c r="V35" s="8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177">
        <f>MAX($AF$51:$AN$51)</f>
        <v>226875852.49000001</v>
      </c>
      <c r="AX35" s="177">
        <f>MAX(AW35,AY35)</f>
        <v>407382324.39798737</v>
      </c>
      <c r="AY35" s="177">
        <f>MAX($AZ$51:$BH$51)</f>
        <v>407382324.39798737</v>
      </c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</row>
    <row r="36" spans="1:115" s="34" customFormat="1" ht="13.5" x14ac:dyDescent="0.75">
      <c r="A36" s="5"/>
      <c r="B36" s="2"/>
      <c r="C36" s="2"/>
      <c r="D36" s="10"/>
      <c r="E36" s="2"/>
      <c r="F36" s="2"/>
      <c r="G36" s="2"/>
      <c r="H36" s="2"/>
      <c r="I36" s="10"/>
      <c r="J36" s="10"/>
      <c r="K36" s="5"/>
      <c r="L36" s="5"/>
      <c r="M36" s="5"/>
      <c r="N36" s="7"/>
      <c r="O36" s="7"/>
      <c r="P36" s="7"/>
      <c r="Q36" s="5"/>
      <c r="R36" s="7"/>
      <c r="S36" s="7"/>
      <c r="T36" s="8"/>
      <c r="U36" s="8"/>
      <c r="V36" s="8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</row>
    <row r="37" spans="1:115" s="34" customFormat="1" ht="13.5" x14ac:dyDescent="0.75">
      <c r="A37" s="5"/>
      <c r="B37" s="2"/>
      <c r="C37" s="2"/>
      <c r="D37" s="10"/>
      <c r="E37" s="2"/>
      <c r="F37" s="2"/>
      <c r="G37" s="2"/>
      <c r="H37" s="2"/>
      <c r="I37" s="10"/>
      <c r="J37" s="10"/>
      <c r="K37" s="5"/>
      <c r="L37" s="5"/>
      <c r="M37" s="5"/>
      <c r="N37" s="7"/>
      <c r="O37" s="7"/>
      <c r="P37" s="7"/>
      <c r="Q37" s="5"/>
      <c r="R37" s="7"/>
      <c r="S37" s="7"/>
      <c r="T37" s="8"/>
      <c r="U37" s="8"/>
      <c r="V37" s="8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</row>
    <row r="38" spans="1:115" s="34" customFormat="1" ht="13.5" x14ac:dyDescent="0.75">
      <c r="A38" s="5"/>
      <c r="B38" s="2"/>
      <c r="C38" s="2"/>
      <c r="D38" s="10"/>
      <c r="E38" s="2"/>
      <c r="F38" s="2"/>
      <c r="G38" s="2"/>
      <c r="H38" s="2"/>
      <c r="I38" s="10"/>
      <c r="J38" s="10"/>
      <c r="K38" s="5"/>
      <c r="L38" s="5"/>
      <c r="M38" s="5"/>
      <c r="N38" s="7"/>
      <c r="O38" s="7"/>
      <c r="P38" s="7"/>
      <c r="Q38" s="5"/>
      <c r="R38" s="7"/>
      <c r="S38" s="7"/>
      <c r="T38" s="8"/>
      <c r="U38" s="8"/>
      <c r="V38" s="8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</row>
    <row r="39" spans="1:115" s="34" customFormat="1" ht="18.5" x14ac:dyDescent="0.75">
      <c r="A39" s="5"/>
      <c r="B39" s="2"/>
      <c r="C39" s="2"/>
      <c r="D39" s="10"/>
      <c r="E39" s="2"/>
      <c r="F39" s="2"/>
      <c r="G39" s="2"/>
      <c r="H39" s="2"/>
      <c r="I39" s="10"/>
      <c r="J39" s="10"/>
      <c r="K39" s="5"/>
      <c r="L39" s="5"/>
      <c r="M39" s="5"/>
      <c r="N39" s="7"/>
      <c r="O39" s="7"/>
      <c r="P39" s="7"/>
      <c r="Q39" s="5"/>
      <c r="R39" s="7"/>
      <c r="S39" s="7"/>
      <c r="T39" s="8"/>
      <c r="U39" s="8"/>
      <c r="V39" s="8"/>
      <c r="W39" s="5"/>
      <c r="X39" s="5"/>
      <c r="Y39" s="5"/>
      <c r="Z39" s="5"/>
      <c r="AA39" s="5"/>
      <c r="AB39" s="5"/>
      <c r="AC39" s="5"/>
      <c r="AD39" s="5"/>
      <c r="AE39" s="173" t="s">
        <v>183</v>
      </c>
      <c r="AF39" s="169">
        <f t="shared" ref="AF39:AN39" si="0">IF(AF49&gt;0,AF49,0)</f>
        <v>0</v>
      </c>
      <c r="AG39" s="169">
        <f t="shared" si="0"/>
        <v>226875852.49000001</v>
      </c>
      <c r="AH39" s="169">
        <f t="shared" si="0"/>
        <v>0</v>
      </c>
      <c r="AI39" s="169">
        <f t="shared" si="0"/>
        <v>0</v>
      </c>
      <c r="AJ39" s="169">
        <f t="shared" si="0"/>
        <v>0</v>
      </c>
      <c r="AK39" s="169">
        <f t="shared" si="0"/>
        <v>0</v>
      </c>
      <c r="AL39" s="169">
        <f t="shared" si="0"/>
        <v>0</v>
      </c>
      <c r="AM39" s="169">
        <f t="shared" si="0"/>
        <v>0</v>
      </c>
      <c r="AN39" s="169">
        <f t="shared" si="0"/>
        <v>36216967.719999939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</row>
    <row r="40" spans="1:115" s="34" customFormat="1" ht="18.5" x14ac:dyDescent="0.75">
      <c r="A40" s="5"/>
      <c r="B40" s="2"/>
      <c r="C40" s="2"/>
      <c r="D40" s="10"/>
      <c r="E40" s="2"/>
      <c r="F40" s="2"/>
      <c r="G40" s="2"/>
      <c r="H40" s="2"/>
      <c r="I40" s="10"/>
      <c r="J40" s="139"/>
      <c r="K40" s="5"/>
      <c r="L40" s="5"/>
      <c r="M40" s="5"/>
      <c r="N40" s="7"/>
      <c r="O40" s="7"/>
      <c r="P40" s="7"/>
      <c r="Q40" s="5"/>
      <c r="R40" s="7"/>
      <c r="S40" s="7"/>
      <c r="T40" s="8"/>
      <c r="U40" s="8"/>
      <c r="V40" s="8"/>
      <c r="W40" s="5"/>
      <c r="X40" s="5"/>
      <c r="Y40" s="5"/>
      <c r="Z40" s="5"/>
      <c r="AA40" s="5"/>
      <c r="AB40" s="5"/>
      <c r="AC40" s="5"/>
      <c r="AD40" s="5"/>
      <c r="AE40" s="172" t="s">
        <v>208</v>
      </c>
      <c r="AF40" s="171">
        <f>'PMM Analysis Report'!$R$124</f>
        <v>0</v>
      </c>
      <c r="AG40" s="171">
        <f>'PMM Analysis Report'!$S$36</f>
        <v>226875852.49000001</v>
      </c>
      <c r="AH40" s="171">
        <f>'PMM Analysis Report'!$S$327</f>
        <v>-81368372.480000019</v>
      </c>
      <c r="AI40" s="171">
        <f>'PMM Analysis Report'!$S$390</f>
        <v>-24148475.230000004</v>
      </c>
      <c r="AJ40" s="171">
        <f>'PMM Analysis Report'!$S$453</f>
        <v>-25406452.09999999</v>
      </c>
      <c r="AK40" s="171">
        <f>'PMM Analysis Report'!$S$517</f>
        <v>-12575486.510000098</v>
      </c>
      <c r="AL40" s="171">
        <f>'PMM Analysis Report'!$S$580</f>
        <v>-50423509.68999999</v>
      </c>
      <c r="AM40" s="171">
        <f>'PMM Analysis Report'!$S$328+'PMM Analysis Report'!$S$391+'PMM Analysis Report'!$S$454+'PMM Analysis Report'!$S$518+'PMM Analysis Report'!$S$581</f>
        <v>0</v>
      </c>
      <c r="AN40" s="171">
        <f>'PMM Analysis Report'!$Q$124</f>
        <v>36216967.719999939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171">
        <f>'PMM Analysis Report'!$V$124</f>
        <v>407382324.39798737</v>
      </c>
      <c r="BA40" s="171">
        <f>'PMM Analysis Report'!$W$36</f>
        <v>-6934913248.0918169</v>
      </c>
      <c r="BB40" s="171">
        <f>'PMM Analysis Report'!$W$327</f>
        <v>14670146.639996052</v>
      </c>
      <c r="BC40" s="171">
        <f>'PMM Analysis Report'!$W$390</f>
        <v>1283319.4785163403</v>
      </c>
      <c r="BD40" s="171">
        <f>'PMM Analysis Report'!$W$453</f>
        <v>8928619.4192142487</v>
      </c>
      <c r="BE40" s="171">
        <f>'PMM Analysis Report'!$W$517</f>
        <v>6965548.3854478598</v>
      </c>
      <c r="BF40" s="171">
        <f>'PMM Analysis Report'!$W$580</f>
        <v>-11565693.480092764</v>
      </c>
      <c r="BG40" s="171">
        <f>'PMM Analysis Report'!$W$328+'PMM Analysis Report'!$W$391+'PMM Analysis Report'!$W$454+'PMM Analysis Report'!$W$518+'PMM Analysis Report'!$W$581</f>
        <v>6547580012.9119043</v>
      </c>
      <c r="BH40" s="171">
        <f>'PMM Analysis Report'!$Q$124</f>
        <v>36216967.719999939</v>
      </c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</row>
    <row r="41" spans="1:115" s="34" customFormat="1" ht="28.75" x14ac:dyDescent="0.75">
      <c r="A41" s="5"/>
      <c r="B41" s="2"/>
      <c r="C41" s="2"/>
      <c r="D41" s="10"/>
      <c r="E41" s="2"/>
      <c r="F41" s="2"/>
      <c r="G41" s="2"/>
      <c r="H41" s="2"/>
      <c r="I41" s="10"/>
      <c r="J41" s="10"/>
      <c r="K41" s="5"/>
      <c r="L41" s="5"/>
      <c r="M41" s="5"/>
      <c r="N41" s="7"/>
      <c r="O41" s="7"/>
      <c r="P41" s="7"/>
      <c r="Q41" s="5"/>
      <c r="R41" s="7"/>
      <c r="S41" s="7"/>
      <c r="T41" s="8"/>
      <c r="U41" s="8"/>
      <c r="V41" s="8"/>
      <c r="W41" s="5"/>
      <c r="X41" s="5"/>
      <c r="Y41" s="5"/>
      <c r="Z41" s="5"/>
      <c r="AA41" s="5"/>
      <c r="AB41" s="5"/>
      <c r="AC41" s="5"/>
      <c r="AD41" s="5"/>
      <c r="AE41" s="169" t="s">
        <v>221</v>
      </c>
      <c r="AF41" s="169"/>
      <c r="AG41" s="170">
        <f t="shared" ref="AG41:AM41" si="1">ABS(AG49)</f>
        <v>226875852.49000001</v>
      </c>
      <c r="AH41" s="169">
        <f t="shared" si="1"/>
        <v>81368372.480000019</v>
      </c>
      <c r="AI41" s="169">
        <f t="shared" si="1"/>
        <v>24148475.230000004</v>
      </c>
      <c r="AJ41" s="169">
        <f t="shared" si="1"/>
        <v>25406452.09999999</v>
      </c>
      <c r="AK41" s="169">
        <f t="shared" si="1"/>
        <v>12575486.510000098</v>
      </c>
      <c r="AL41" s="169">
        <f t="shared" si="1"/>
        <v>50423509.68999999</v>
      </c>
      <c r="AM41" s="169">
        <f t="shared" si="1"/>
        <v>0</v>
      </c>
      <c r="AN41" s="169"/>
      <c r="AO41" s="5"/>
      <c r="AP41" s="5"/>
      <c r="AQ41" s="5"/>
      <c r="AR41" s="5"/>
      <c r="AS41" s="5"/>
      <c r="AT41" s="5"/>
      <c r="AU41" s="5"/>
      <c r="AV41" s="5"/>
      <c r="AW41" s="5"/>
      <c r="AX41" s="178" t="s">
        <v>220</v>
      </c>
      <c r="AY41" s="5"/>
      <c r="AZ41" s="169"/>
      <c r="BA41" s="169">
        <f t="shared" ref="BA41:BG41" si="2">ABS(BA49)</f>
        <v>6934913248.0918169</v>
      </c>
      <c r="BB41" s="169">
        <f t="shared" si="2"/>
        <v>14670146.639996052</v>
      </c>
      <c r="BC41" s="169">
        <f t="shared" si="2"/>
        <v>1283319.4785163403</v>
      </c>
      <c r="BD41" s="169">
        <f t="shared" si="2"/>
        <v>8928619.4192142487</v>
      </c>
      <c r="BE41" s="169">
        <f t="shared" si="2"/>
        <v>6965548.3854478598</v>
      </c>
      <c r="BF41" s="169">
        <f t="shared" si="2"/>
        <v>11565693.480092764</v>
      </c>
      <c r="BG41" s="169">
        <f t="shared" si="2"/>
        <v>6547580012.9119043</v>
      </c>
      <c r="BH41" s="169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</row>
    <row r="42" spans="1:115" s="34" customFormat="1" ht="28.75" x14ac:dyDescent="0.75">
      <c r="A42" s="5"/>
      <c r="B42" s="2"/>
      <c r="C42" s="2"/>
      <c r="D42" s="10"/>
      <c r="E42" s="2"/>
      <c r="F42" s="2"/>
      <c r="G42" s="2"/>
      <c r="H42" s="2"/>
      <c r="I42" s="10"/>
      <c r="J42" s="10"/>
      <c r="K42" s="5"/>
      <c r="L42" s="5"/>
      <c r="M42" s="5"/>
      <c r="N42" s="7"/>
      <c r="O42" s="7"/>
      <c r="P42" s="7"/>
      <c r="Q42" s="5"/>
      <c r="R42" s="7"/>
      <c r="S42" s="7"/>
      <c r="T42" s="8"/>
      <c r="U42" s="8"/>
      <c r="V42" s="8"/>
      <c r="W42" s="5"/>
      <c r="X42" s="5"/>
      <c r="Y42" s="5"/>
      <c r="Z42" s="5"/>
      <c r="AA42" s="5"/>
      <c r="AB42" s="5"/>
      <c r="AC42" s="5"/>
      <c r="AD42" s="5"/>
      <c r="AE42" s="169" t="s">
        <v>219</v>
      </c>
      <c r="AF42" s="169">
        <f t="shared" ref="AF42:AN42" si="3">ABS(AF51)</f>
        <v>0</v>
      </c>
      <c r="AG42" s="169">
        <f t="shared" si="3"/>
        <v>226875852.49000001</v>
      </c>
      <c r="AH42" s="169">
        <f t="shared" si="3"/>
        <v>145507480.00999999</v>
      </c>
      <c r="AI42" s="169">
        <f t="shared" si="3"/>
        <v>121359004.77999999</v>
      </c>
      <c r="AJ42" s="169">
        <f t="shared" si="3"/>
        <v>95952552.679999992</v>
      </c>
      <c r="AK42" s="169">
        <f t="shared" si="3"/>
        <v>83377066.169999897</v>
      </c>
      <c r="AL42" s="169">
        <f t="shared" si="3"/>
        <v>32953556.479999907</v>
      </c>
      <c r="AM42" s="169">
        <f t="shared" si="3"/>
        <v>32953556.479999907</v>
      </c>
      <c r="AN42" s="169">
        <f t="shared" si="3"/>
        <v>36216967.719999939</v>
      </c>
      <c r="AO42" s="5"/>
      <c r="AP42" s="5"/>
      <c r="AQ42" s="5"/>
      <c r="AR42" s="5"/>
      <c r="AS42" s="5"/>
      <c r="AT42" s="5"/>
      <c r="AU42" s="5"/>
      <c r="AV42" s="5"/>
      <c r="AW42" s="5"/>
      <c r="AX42" s="178" t="str">
        <f>'PMM Bridge'!$J$8</f>
        <v>Yes</v>
      </c>
      <c r="AY42" s="5"/>
      <c r="AZ42" s="169">
        <f t="shared" ref="AZ42:BH42" si="4">ABS(AZ51)</f>
        <v>407382324.39798737</v>
      </c>
      <c r="BA42" s="169">
        <f t="shared" si="4"/>
        <v>6527530923.6938295</v>
      </c>
      <c r="BB42" s="169">
        <f t="shared" si="4"/>
        <v>6512860777.053833</v>
      </c>
      <c r="BC42" s="169">
        <f t="shared" si="4"/>
        <v>6511577457.5753164</v>
      </c>
      <c r="BD42" s="169">
        <f t="shared" si="4"/>
        <v>6502648838.1561022</v>
      </c>
      <c r="BE42" s="169">
        <f t="shared" si="4"/>
        <v>6495683289.7706547</v>
      </c>
      <c r="BF42" s="169">
        <f t="shared" si="4"/>
        <v>6507248983.2507477</v>
      </c>
      <c r="BG42" s="169">
        <f t="shared" si="4"/>
        <v>40331029.661156654</v>
      </c>
      <c r="BH42" s="169">
        <f t="shared" si="4"/>
        <v>36216967.719999939</v>
      </c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</row>
    <row r="43" spans="1:115" s="34" customFormat="1" ht="18.5" x14ac:dyDescent="0.75">
      <c r="A43" s="5"/>
      <c r="B43" s="2"/>
      <c r="C43" s="2"/>
      <c r="D43" s="10"/>
      <c r="E43" s="2"/>
      <c r="F43" s="2"/>
      <c r="G43" s="2"/>
      <c r="H43" s="2"/>
      <c r="I43" s="10"/>
      <c r="J43" s="10"/>
      <c r="K43" s="5"/>
      <c r="L43" s="5"/>
      <c r="M43" s="5"/>
      <c r="N43" s="7"/>
      <c r="O43" s="7"/>
      <c r="P43" s="7"/>
      <c r="Q43" s="5"/>
      <c r="R43" s="7"/>
      <c r="S43" s="7"/>
      <c r="T43" s="8"/>
      <c r="U43" s="8"/>
      <c r="V43" s="8"/>
      <c r="W43" s="5"/>
      <c r="X43" s="5"/>
      <c r="Y43" s="5"/>
      <c r="Z43" s="5"/>
      <c r="AA43" s="5"/>
      <c r="AB43" s="5"/>
      <c r="AC43" s="5"/>
      <c r="AD43" s="5"/>
      <c r="AE43" s="5"/>
      <c r="AF43" s="169"/>
      <c r="AG43" s="169"/>
      <c r="AH43" s="169"/>
      <c r="AI43" s="169"/>
      <c r="AJ43" s="169"/>
      <c r="AK43" s="169"/>
      <c r="AL43" s="169"/>
      <c r="AM43" s="169"/>
      <c r="AN43" s="169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169"/>
      <c r="BA43" s="169"/>
      <c r="BB43" s="169"/>
      <c r="BC43" s="169"/>
      <c r="BD43" s="169"/>
      <c r="BE43" s="169"/>
      <c r="BF43" s="169"/>
      <c r="BG43" s="169"/>
      <c r="BH43" s="169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</row>
    <row r="44" spans="1:115" s="34" customFormat="1" ht="28.75" x14ac:dyDescent="0.75">
      <c r="A44" s="5"/>
      <c r="B44" s="2"/>
      <c r="C44" s="2"/>
      <c r="D44" s="10"/>
      <c r="E44" s="2"/>
      <c r="F44" s="2"/>
      <c r="G44" s="2"/>
      <c r="H44" s="2"/>
      <c r="I44" s="10"/>
      <c r="J44" s="10"/>
      <c r="K44" s="5"/>
      <c r="L44" s="5"/>
      <c r="M44" s="5"/>
      <c r="N44" s="7"/>
      <c r="O44" s="7"/>
      <c r="P44" s="7"/>
      <c r="Q44" s="5"/>
      <c r="R44" s="7"/>
      <c r="S44" s="7"/>
      <c r="T44" s="8"/>
      <c r="U44" s="8"/>
      <c r="V44" s="8"/>
      <c r="W44" s="5"/>
      <c r="X44" s="5"/>
      <c r="Y44" s="5"/>
      <c r="Z44" s="5"/>
      <c r="AA44" s="5"/>
      <c r="AB44" s="5"/>
      <c r="AC44" s="5"/>
      <c r="AD44" s="5"/>
      <c r="AE44" s="5"/>
      <c r="AF44" s="169"/>
      <c r="AG44" s="169"/>
      <c r="AH44" s="169"/>
      <c r="AI44" s="169"/>
      <c r="AJ44" s="169"/>
      <c r="AK44" s="169"/>
      <c r="AL44" s="169"/>
      <c r="AM44" s="169"/>
      <c r="AN44" s="169"/>
      <c r="AO44" s="5"/>
      <c r="AP44" s="5"/>
      <c r="AQ44" s="5"/>
      <c r="AR44" s="5"/>
      <c r="AS44" s="5"/>
      <c r="AT44" s="5"/>
      <c r="AU44" s="5"/>
      <c r="AV44" s="5"/>
      <c r="AW44" s="5"/>
      <c r="AX44" s="178" t="s">
        <v>218</v>
      </c>
      <c r="AY44" s="5"/>
      <c r="AZ44" s="169"/>
      <c r="BA44" s="169"/>
      <c r="BB44" s="169"/>
      <c r="BC44" s="169"/>
      <c r="BD44" s="169"/>
      <c r="BE44" s="169"/>
      <c r="BF44" s="169"/>
      <c r="BG44" s="169"/>
      <c r="BH44" s="169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</row>
    <row r="45" spans="1:115" s="34" customFormat="1" ht="28.75" x14ac:dyDescent="0.75">
      <c r="A45" s="5"/>
      <c r="B45" s="2"/>
      <c r="C45" s="2"/>
      <c r="D45" s="10"/>
      <c r="E45" s="2"/>
      <c r="F45" s="2"/>
      <c r="G45" s="2"/>
      <c r="H45" s="2"/>
      <c r="I45" s="10"/>
      <c r="J45" s="10"/>
      <c r="K45" s="5"/>
      <c r="L45" s="5"/>
      <c r="M45" s="5"/>
      <c r="N45" s="7"/>
      <c r="O45" s="7"/>
      <c r="P45" s="7"/>
      <c r="Q45" s="5"/>
      <c r="R45" s="7"/>
      <c r="S45" s="7"/>
      <c r="T45" s="8"/>
      <c r="U45" s="8"/>
      <c r="V45" s="8"/>
      <c r="W45" s="5"/>
      <c r="X45" s="5"/>
      <c r="Y45" s="5"/>
      <c r="Z45" s="5"/>
      <c r="AA45" s="5"/>
      <c r="AB45" s="5"/>
      <c r="AC45" s="5"/>
      <c r="AD45" s="5"/>
      <c r="AE45" s="5"/>
      <c r="AF45" s="169"/>
      <c r="AG45" s="169"/>
      <c r="AH45" s="169"/>
      <c r="AI45" s="169"/>
      <c r="AJ45" s="169"/>
      <c r="AK45" s="169"/>
      <c r="AL45" s="169"/>
      <c r="AM45" s="169"/>
      <c r="AN45" s="173"/>
      <c r="AO45" s="5"/>
      <c r="AP45" s="5"/>
      <c r="AQ45" s="5"/>
      <c r="AR45" s="5"/>
      <c r="AS45" s="5"/>
      <c r="AT45" s="5"/>
      <c r="AU45" s="5"/>
      <c r="AV45" s="5"/>
      <c r="AW45" s="5"/>
      <c r="AX45" s="178" t="str">
        <f>'PMM Bridge'!$J$9</f>
        <v>Yes</v>
      </c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</row>
    <row r="46" spans="1:115" s="34" customFormat="1" ht="19.75" x14ac:dyDescent="0.75">
      <c r="A46" s="5"/>
      <c r="B46" s="2"/>
      <c r="C46" s="2"/>
      <c r="D46" s="10"/>
      <c r="E46" s="2"/>
      <c r="F46" s="2"/>
      <c r="G46" s="2"/>
      <c r="H46" s="2"/>
      <c r="I46" s="10"/>
      <c r="J46" s="10"/>
      <c r="K46" s="5"/>
      <c r="L46" s="5"/>
      <c r="M46" s="5"/>
      <c r="N46" s="7"/>
      <c r="O46" s="7"/>
      <c r="P46" s="7"/>
      <c r="Q46" s="5"/>
      <c r="R46" s="7"/>
      <c r="S46" s="7"/>
      <c r="T46" s="8"/>
      <c r="U46" s="8"/>
      <c r="V46" s="8"/>
      <c r="W46" s="5"/>
      <c r="X46" s="5"/>
      <c r="Y46" s="5"/>
      <c r="Z46" s="5"/>
      <c r="AA46" s="5"/>
      <c r="AB46" s="5"/>
      <c r="AC46" s="5"/>
      <c r="AD46" s="161"/>
      <c r="AE46" s="161"/>
      <c r="AF46" s="160"/>
      <c r="AG46" s="160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7"/>
      <c r="AV46" s="157"/>
      <c r="AW46" s="157"/>
      <c r="AX46" s="157"/>
      <c r="AY46" s="161"/>
      <c r="AZ46" s="160"/>
      <c r="BA46" s="160"/>
      <c r="BB46" s="157"/>
      <c r="BC46" s="157"/>
      <c r="BD46" s="157"/>
      <c r="BE46" s="157"/>
      <c r="BF46" s="157"/>
      <c r="BG46" s="157"/>
      <c r="BH46" s="157"/>
      <c r="BI46" s="157"/>
      <c r="BJ46" s="157"/>
      <c r="BK46" s="157"/>
      <c r="BL46" s="157"/>
      <c r="BM46" s="157"/>
      <c r="BN46" s="157"/>
      <c r="BO46" s="157"/>
      <c r="BP46" s="157"/>
      <c r="BQ46" s="157"/>
      <c r="BR46" s="157"/>
      <c r="BS46" s="5"/>
      <c r="BT46" s="5"/>
      <c r="BU46" s="5"/>
      <c r="BV46" s="5"/>
      <c r="BW46" s="5"/>
      <c r="BX46" s="5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</row>
    <row r="47" spans="1:115" s="34" customFormat="1" ht="19.75" x14ac:dyDescent="0.75">
      <c r="A47" s="5"/>
      <c r="B47" s="2"/>
      <c r="C47" s="2"/>
      <c r="D47" s="10"/>
      <c r="E47" s="2"/>
      <c r="F47" s="2"/>
      <c r="G47" s="2"/>
      <c r="H47" s="2"/>
      <c r="I47" s="10"/>
      <c r="J47" s="139"/>
      <c r="K47" s="5"/>
      <c r="L47" s="5"/>
      <c r="M47" s="5"/>
      <c r="N47" s="7"/>
      <c r="O47" s="7"/>
      <c r="P47" s="7"/>
      <c r="Q47" s="5"/>
      <c r="R47" s="7"/>
      <c r="S47" s="7"/>
      <c r="T47" s="8"/>
      <c r="U47" s="8"/>
      <c r="V47" s="8"/>
      <c r="W47" s="5"/>
      <c r="X47" s="5"/>
      <c r="Y47" s="5"/>
      <c r="Z47" s="5"/>
      <c r="AA47" s="5"/>
      <c r="AB47" s="5"/>
      <c r="AC47" s="5"/>
      <c r="AD47" s="157"/>
      <c r="AE47" s="161"/>
      <c r="AF47" s="161" t="str">
        <f>'PMM Analysis Report'!$R$32</f>
        <v>Budget V current N</v>
      </c>
      <c r="AG47" s="161" t="str">
        <f>_xll.DBRA(Server&amp;Context!$B$32,Context!$B$67,'PMM Analysis Report'!$N$19)</f>
        <v>ROA</v>
      </c>
      <c r="AH47" s="161" t="s">
        <v>216</v>
      </c>
      <c r="AI47" s="161" t="s">
        <v>215</v>
      </c>
      <c r="AJ47" s="161" t="s">
        <v>214</v>
      </c>
      <c r="AK47" s="161" t="s">
        <v>213</v>
      </c>
      <c r="AL47" s="161" t="s">
        <v>212</v>
      </c>
      <c r="AM47" s="161" t="s">
        <v>211</v>
      </c>
      <c r="AN47" s="161" t="str">
        <f>'PMM Analysis Report'!$Q$32</f>
        <v>Actual</v>
      </c>
      <c r="AO47" s="157"/>
      <c r="AP47" s="157"/>
      <c r="AQ47" s="157"/>
      <c r="AR47" s="157"/>
      <c r="AS47" s="157"/>
      <c r="AT47" s="157"/>
      <c r="AU47" s="158" t="s">
        <v>210</v>
      </c>
      <c r="AV47" s="179">
        <v>1</v>
      </c>
      <c r="AW47" s="157"/>
      <c r="AX47" s="157"/>
      <c r="AY47" s="161"/>
      <c r="AZ47" s="161" t="str">
        <f>'PMM Analysis Report'!$V$32</f>
        <v>Actual N-1</v>
      </c>
      <c r="BA47" s="161" t="str">
        <f>_xll.DBRA(Server&amp;Context!$B$32,Context!$B$67,'PMM Analysis Report'!$N$19)</f>
        <v>ROA</v>
      </c>
      <c r="BB47" s="161" t="s">
        <v>216</v>
      </c>
      <c r="BC47" s="161" t="s">
        <v>215</v>
      </c>
      <c r="BD47" s="161" t="s">
        <v>214</v>
      </c>
      <c r="BE47" s="161" t="s">
        <v>213</v>
      </c>
      <c r="BF47" s="161" t="s">
        <v>212</v>
      </c>
      <c r="BG47" s="161" t="s">
        <v>211</v>
      </c>
      <c r="BH47" s="161" t="str">
        <f>'PMM Analysis Report'!$Q$32</f>
        <v>Actual</v>
      </c>
      <c r="BI47" s="157"/>
      <c r="BJ47" s="157"/>
      <c r="BK47" s="157"/>
      <c r="BL47" s="157"/>
      <c r="BM47" s="157"/>
      <c r="BN47" s="157"/>
      <c r="BO47" s="158" t="s">
        <v>210</v>
      </c>
      <c r="BP47" s="179">
        <v>1</v>
      </c>
      <c r="BQ47" s="157"/>
      <c r="BR47" s="157"/>
      <c r="BS47" s="5"/>
      <c r="BT47" s="5"/>
      <c r="BU47" s="5"/>
      <c r="BV47" s="5"/>
      <c r="BW47" s="5"/>
      <c r="BX47" s="5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</row>
    <row r="48" spans="1:115" s="34" customFormat="1" ht="19.75" x14ac:dyDescent="0.75">
      <c r="A48" s="5"/>
      <c r="B48" s="2"/>
      <c r="C48" s="2"/>
      <c r="D48" s="10"/>
      <c r="E48" s="2"/>
      <c r="F48" s="2"/>
      <c r="G48" s="2"/>
      <c r="H48" s="2"/>
      <c r="I48" s="10"/>
      <c r="J48" s="10"/>
      <c r="K48" s="5"/>
      <c r="L48" s="5"/>
      <c r="M48" s="5"/>
      <c r="N48" s="7"/>
      <c r="O48" s="7"/>
      <c r="P48" s="7"/>
      <c r="Q48" s="5"/>
      <c r="R48" s="7"/>
      <c r="S48" s="7"/>
      <c r="T48" s="8"/>
      <c r="U48" s="8"/>
      <c r="V48" s="8"/>
      <c r="W48" s="5"/>
      <c r="X48" s="5"/>
      <c r="Y48" s="5"/>
      <c r="Z48" s="5"/>
      <c r="AA48" s="5"/>
      <c r="AB48" s="5"/>
      <c r="AC48" s="5"/>
      <c r="AD48" s="157"/>
      <c r="AE48" s="161"/>
      <c r="AF48" s="161">
        <v>1</v>
      </c>
      <c r="AG48" s="161">
        <v>2</v>
      </c>
      <c r="AH48" s="161">
        <v>3</v>
      </c>
      <c r="AI48" s="161">
        <v>4</v>
      </c>
      <c r="AJ48" s="161">
        <v>5</v>
      </c>
      <c r="AK48" s="161">
        <v>6</v>
      </c>
      <c r="AL48" s="161">
        <v>7</v>
      </c>
      <c r="AM48" s="161">
        <v>8</v>
      </c>
      <c r="AN48" s="161">
        <v>9</v>
      </c>
      <c r="AO48" s="157"/>
      <c r="AP48" s="157"/>
      <c r="AQ48" s="157"/>
      <c r="AR48" s="157"/>
      <c r="AS48" s="157"/>
      <c r="AT48" s="157"/>
      <c r="AU48" s="158" t="s">
        <v>209</v>
      </c>
      <c r="AV48" s="179">
        <f>IF(AND(AV56&lt;0,AV57&gt;=0),0.3,0.1)</f>
        <v>0.3</v>
      </c>
      <c r="AW48" s="157"/>
      <c r="AX48" s="157"/>
      <c r="AY48" s="161"/>
      <c r="AZ48" s="161">
        <v>1</v>
      </c>
      <c r="BA48" s="161">
        <v>2</v>
      </c>
      <c r="BB48" s="161">
        <v>3</v>
      </c>
      <c r="BC48" s="161">
        <v>4</v>
      </c>
      <c r="BD48" s="161">
        <v>5</v>
      </c>
      <c r="BE48" s="161">
        <v>6</v>
      </c>
      <c r="BF48" s="161">
        <v>7</v>
      </c>
      <c r="BG48" s="161">
        <v>8</v>
      </c>
      <c r="BH48" s="161">
        <v>9</v>
      </c>
      <c r="BI48" s="157"/>
      <c r="BJ48" s="157"/>
      <c r="BK48" s="157"/>
      <c r="BL48" s="157"/>
      <c r="BM48" s="157"/>
      <c r="BN48" s="157"/>
      <c r="BO48" s="158" t="s">
        <v>209</v>
      </c>
      <c r="BP48" s="179">
        <f>IF(AND(BP56&lt;0,BP57&gt;=0),0.3,0.1)</f>
        <v>0.3</v>
      </c>
      <c r="BQ48" s="157"/>
      <c r="BR48" s="157"/>
      <c r="BS48" s="5"/>
      <c r="BT48" s="5"/>
      <c r="BU48" s="5"/>
      <c r="BV48" s="5"/>
      <c r="BW48" s="5"/>
      <c r="BX48" s="5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</row>
    <row r="49" spans="1:115" s="34" customFormat="1" ht="19.75" x14ac:dyDescent="0.75">
      <c r="A49" s="5"/>
      <c r="B49" s="2"/>
      <c r="C49" s="2"/>
      <c r="D49" s="10"/>
      <c r="E49" s="2"/>
      <c r="F49" s="2"/>
      <c r="G49" s="2"/>
      <c r="H49" s="2"/>
      <c r="I49" s="10"/>
      <c r="J49" s="10"/>
      <c r="K49" s="5"/>
      <c r="L49" s="5"/>
      <c r="M49" s="5"/>
      <c r="N49" s="7"/>
      <c r="O49" s="7"/>
      <c r="P49" s="7"/>
      <c r="Q49" s="5"/>
      <c r="R49" s="7"/>
      <c r="S49" s="7"/>
      <c r="T49" s="8"/>
      <c r="U49" s="8"/>
      <c r="V49" s="8"/>
      <c r="W49" s="5"/>
      <c r="X49" s="5"/>
      <c r="Y49" s="5"/>
      <c r="Z49" s="5"/>
      <c r="AA49" s="5"/>
      <c r="AB49" s="5"/>
      <c r="AC49" s="5"/>
      <c r="AD49" s="157"/>
      <c r="AE49" s="158" t="s">
        <v>208</v>
      </c>
      <c r="AF49" s="168">
        <f>'PMM Analysis Report'!$R$124</f>
        <v>0</v>
      </c>
      <c r="AG49" s="168">
        <f>'PMM Analysis Report'!$S$36</f>
        <v>226875852.49000001</v>
      </c>
      <c r="AH49" s="168">
        <f>'PMM Analysis Report'!$S$327</f>
        <v>-81368372.480000019</v>
      </c>
      <c r="AI49" s="168">
        <f>'PMM Analysis Report'!$S$390</f>
        <v>-24148475.230000004</v>
      </c>
      <c r="AJ49" s="168">
        <f>'PMM Analysis Report'!$S$453</f>
        <v>-25406452.09999999</v>
      </c>
      <c r="AK49" s="168">
        <f>'PMM Analysis Report'!$S$517</f>
        <v>-12575486.510000098</v>
      </c>
      <c r="AL49" s="168">
        <f>'PMM Analysis Report'!$S$580</f>
        <v>-50423509.68999999</v>
      </c>
      <c r="AM49" s="168">
        <f>'PMM Analysis Report'!$S$328+'PMM Analysis Report'!$S$391+'PMM Analysis Report'!$S$454+'PMM Analysis Report'!$S$518+'PMM Analysis Report'!$S$581</f>
        <v>0</v>
      </c>
      <c r="AN49" s="168">
        <f>'PMM Analysis Report'!$Q$124</f>
        <v>36216967.719999939</v>
      </c>
      <c r="AO49" s="157"/>
      <c r="AP49" s="157"/>
      <c r="AQ49" s="157"/>
      <c r="AR49" s="157"/>
      <c r="AS49" s="157"/>
      <c r="AT49" s="157"/>
      <c r="AU49" s="158" t="s">
        <v>207</v>
      </c>
      <c r="AV49" s="157">
        <v>1</v>
      </c>
      <c r="AW49" s="157"/>
      <c r="AX49" s="157"/>
      <c r="AY49" s="158" t="s">
        <v>208</v>
      </c>
      <c r="AZ49" s="168">
        <f>'PMM Analysis Report'!$V$124</f>
        <v>407382324.39798737</v>
      </c>
      <c r="BA49" s="168">
        <f>'PMM Analysis Report'!$W$36</f>
        <v>-6934913248.0918169</v>
      </c>
      <c r="BB49" s="168">
        <f>'PMM Analysis Report'!$W$327</f>
        <v>14670146.639996052</v>
      </c>
      <c r="BC49" s="168">
        <f>'PMM Analysis Report'!$W$390</f>
        <v>1283319.4785163403</v>
      </c>
      <c r="BD49" s="168">
        <f>'PMM Analysis Report'!$W$453</f>
        <v>8928619.4192142487</v>
      </c>
      <c r="BE49" s="168">
        <f>'PMM Analysis Report'!$W$517</f>
        <v>6965548.3854478598</v>
      </c>
      <c r="BF49" s="168">
        <f>'PMM Analysis Report'!$W$580</f>
        <v>-11565693.480092764</v>
      </c>
      <c r="BG49" s="168">
        <f>'PMM Analysis Report'!$W$328+'PMM Analysis Report'!$W$391+'PMM Analysis Report'!$W$454+'PMM Analysis Report'!$W$518+'PMM Analysis Report'!$W$581</f>
        <v>6547580012.9119043</v>
      </c>
      <c r="BH49" s="168">
        <f>'PMM Analysis Report'!$Q$124</f>
        <v>36216967.719999939</v>
      </c>
      <c r="BI49" s="157"/>
      <c r="BJ49" s="157"/>
      <c r="BK49" s="157"/>
      <c r="BL49" s="157"/>
      <c r="BM49" s="157"/>
      <c r="BN49" s="157"/>
      <c r="BO49" s="158" t="s">
        <v>207</v>
      </c>
      <c r="BP49" s="157">
        <v>1</v>
      </c>
      <c r="BQ49" s="157"/>
      <c r="BR49" s="157"/>
      <c r="BS49" s="5"/>
      <c r="BT49" s="5"/>
      <c r="BU49" s="5"/>
      <c r="BV49" s="5"/>
      <c r="BW49" s="5"/>
      <c r="BX49" s="5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</row>
    <row r="50" spans="1:115" s="34" customFormat="1" ht="19.75" x14ac:dyDescent="0.75">
      <c r="A50" s="5"/>
      <c r="B50" s="2"/>
      <c r="C50" s="2"/>
      <c r="D50" s="10"/>
      <c r="E50" s="2"/>
      <c r="F50" s="2"/>
      <c r="G50" s="2"/>
      <c r="H50" s="2"/>
      <c r="I50" s="10"/>
      <c r="J50" s="10"/>
      <c r="K50" s="5"/>
      <c r="L50" s="5"/>
      <c r="M50" s="5"/>
      <c r="N50" s="7"/>
      <c r="O50" s="7"/>
      <c r="P50" s="7"/>
      <c r="Q50" s="5"/>
      <c r="R50" s="7"/>
      <c r="S50" s="7"/>
      <c r="T50" s="8"/>
      <c r="U50" s="8"/>
      <c r="V50" s="8"/>
      <c r="W50" s="5"/>
      <c r="X50" s="5"/>
      <c r="Y50" s="5"/>
      <c r="Z50" s="5"/>
      <c r="AA50" s="5"/>
      <c r="AB50" s="5"/>
      <c r="AC50" s="5"/>
      <c r="AD50" s="167"/>
      <c r="AE50" s="158" t="s">
        <v>206</v>
      </c>
      <c r="AF50" s="168">
        <f>AF49-SUM($AU$29:$AU$30)</f>
        <v>0</v>
      </c>
      <c r="AG50" s="168">
        <f t="shared" ref="AG50:AM50" si="5">AG49+AF50</f>
        <v>226875852.49000001</v>
      </c>
      <c r="AH50" s="168">
        <f t="shared" si="5"/>
        <v>145507480.00999999</v>
      </c>
      <c r="AI50" s="168">
        <f t="shared" si="5"/>
        <v>121359004.77999999</v>
      </c>
      <c r="AJ50" s="168">
        <f t="shared" si="5"/>
        <v>95952552.679999992</v>
      </c>
      <c r="AK50" s="168">
        <f t="shared" si="5"/>
        <v>83377066.169999897</v>
      </c>
      <c r="AL50" s="168">
        <f t="shared" si="5"/>
        <v>32953556.479999907</v>
      </c>
      <c r="AM50" s="168">
        <f t="shared" si="5"/>
        <v>32953556.479999907</v>
      </c>
      <c r="AN50" s="168">
        <f>AN49-SUM($AU$29:$AU$30)</f>
        <v>36216967.719999939</v>
      </c>
      <c r="AO50" s="157"/>
      <c r="AP50" s="157"/>
      <c r="AQ50" s="157"/>
      <c r="AR50" s="157"/>
      <c r="AS50" s="157"/>
      <c r="AT50" s="157"/>
      <c r="AU50" s="158" t="s">
        <v>205</v>
      </c>
      <c r="AV50" s="157">
        <f>MAX($AV$49,ABS($AV$56+$AV$57-SUM(AU29:AU30)*2)*$AV$48)</f>
        <v>1836044579.7887526</v>
      </c>
      <c r="AW50" s="157"/>
      <c r="AX50" s="157"/>
      <c r="AY50" s="158" t="s">
        <v>206</v>
      </c>
      <c r="AZ50" s="168">
        <f>AZ49-SUM($BA$29:$BA$30)</f>
        <v>407382324.39798737</v>
      </c>
      <c r="BA50" s="168">
        <f>BA49+AZ50</f>
        <v>-6527530923.6938295</v>
      </c>
      <c r="BB50" s="168">
        <f t="shared" ref="BB50:BF50" si="6">BB49+BA50</f>
        <v>-6512860777.053833</v>
      </c>
      <c r="BC50" s="168">
        <f t="shared" si="6"/>
        <v>-6511577457.5753164</v>
      </c>
      <c r="BD50" s="168">
        <f t="shared" si="6"/>
        <v>-6502648838.1561022</v>
      </c>
      <c r="BE50" s="168">
        <f t="shared" si="6"/>
        <v>-6495683289.7706547</v>
      </c>
      <c r="BF50" s="168">
        <f t="shared" si="6"/>
        <v>-6507248983.2507477</v>
      </c>
      <c r="BG50" s="168">
        <f>BG49+BF50</f>
        <v>40331029.661156654</v>
      </c>
      <c r="BH50" s="168">
        <f>BH49-SUM($BA$29:$BA$30)</f>
        <v>36216967.719999939</v>
      </c>
      <c r="BI50" s="157"/>
      <c r="BJ50" s="157"/>
      <c r="BK50" s="157"/>
      <c r="BL50" s="157"/>
      <c r="BM50" s="157"/>
      <c r="BN50" s="157"/>
      <c r="BO50" s="158" t="s">
        <v>205</v>
      </c>
      <c r="BP50" s="157">
        <f>MAX($BP$49,ABS($BP$56+$BP$57-SUM(BA29:BA30)*2)*$BP$48)</f>
        <v>1836044579.7887526</v>
      </c>
      <c r="BQ50" s="157"/>
      <c r="BR50" s="157"/>
      <c r="BS50" s="5"/>
      <c r="BT50" s="5"/>
      <c r="BU50" s="5"/>
      <c r="BV50" s="5"/>
      <c r="BW50" s="5"/>
      <c r="BX50" s="5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</row>
    <row r="51" spans="1:115" s="34" customFormat="1" ht="19.75" x14ac:dyDescent="0.75">
      <c r="A51" s="5"/>
      <c r="B51" s="2"/>
      <c r="C51" s="2"/>
      <c r="D51" s="10"/>
      <c r="E51" s="2"/>
      <c r="F51" s="2"/>
      <c r="G51" s="2"/>
      <c r="H51" s="2"/>
      <c r="I51" s="10"/>
      <c r="J51" s="10"/>
      <c r="K51" s="5"/>
      <c r="L51" s="5"/>
      <c r="M51" s="5"/>
      <c r="N51" s="7"/>
      <c r="O51" s="7"/>
      <c r="P51" s="7"/>
      <c r="Q51" s="5"/>
      <c r="R51" s="7"/>
      <c r="S51" s="7"/>
      <c r="T51" s="8"/>
      <c r="U51" s="8"/>
      <c r="V51" s="8"/>
      <c r="W51" s="5"/>
      <c r="X51" s="5"/>
      <c r="Y51" s="5"/>
      <c r="Z51" s="5"/>
      <c r="AA51" s="5"/>
      <c r="AB51" s="5"/>
      <c r="AC51" s="5"/>
      <c r="AD51" s="167"/>
      <c r="AE51" s="158" t="s">
        <v>204</v>
      </c>
      <c r="AF51" s="168">
        <f>AF49</f>
        <v>0</v>
      </c>
      <c r="AG51" s="168">
        <f t="shared" ref="AG51:AM51" si="7">AG49+AF51</f>
        <v>226875852.49000001</v>
      </c>
      <c r="AH51" s="167">
        <f t="shared" si="7"/>
        <v>145507480.00999999</v>
      </c>
      <c r="AI51" s="167">
        <f t="shared" si="7"/>
        <v>121359004.77999999</v>
      </c>
      <c r="AJ51" s="167">
        <f t="shared" si="7"/>
        <v>95952552.679999992</v>
      </c>
      <c r="AK51" s="167">
        <f t="shared" si="7"/>
        <v>83377066.169999897</v>
      </c>
      <c r="AL51" s="167">
        <f t="shared" si="7"/>
        <v>32953556.479999907</v>
      </c>
      <c r="AM51" s="167">
        <f t="shared" si="7"/>
        <v>32953556.479999907</v>
      </c>
      <c r="AN51" s="168">
        <f>AN49</f>
        <v>36216967.719999939</v>
      </c>
      <c r="AO51" s="157"/>
      <c r="AP51" s="157"/>
      <c r="AQ51" s="157"/>
      <c r="AR51" s="157"/>
      <c r="AS51" s="157"/>
      <c r="AT51" s="157"/>
      <c r="AU51" s="158" t="s">
        <v>203</v>
      </c>
      <c r="AV51" s="180">
        <v>3.5000000000000003E-2</v>
      </c>
      <c r="AW51" s="157"/>
      <c r="AX51" s="157"/>
      <c r="AY51" s="158" t="s">
        <v>204</v>
      </c>
      <c r="AZ51" s="167">
        <f>AZ49</f>
        <v>407382324.39798737</v>
      </c>
      <c r="BA51" s="167">
        <f t="shared" ref="BA51:BG51" si="8">BA49+AZ51</f>
        <v>-6527530923.6938295</v>
      </c>
      <c r="BB51" s="167">
        <f t="shared" si="8"/>
        <v>-6512860777.053833</v>
      </c>
      <c r="BC51" s="167">
        <f t="shared" si="8"/>
        <v>-6511577457.5753164</v>
      </c>
      <c r="BD51" s="167">
        <f t="shared" si="8"/>
        <v>-6502648838.1561022</v>
      </c>
      <c r="BE51" s="167">
        <f t="shared" si="8"/>
        <v>-6495683289.7706547</v>
      </c>
      <c r="BF51" s="167">
        <f t="shared" si="8"/>
        <v>-6507248983.2507477</v>
      </c>
      <c r="BG51" s="167">
        <f t="shared" si="8"/>
        <v>40331029.661156654</v>
      </c>
      <c r="BH51" s="167">
        <f>BH49</f>
        <v>36216967.719999939</v>
      </c>
      <c r="BI51" s="157"/>
      <c r="BJ51" s="157"/>
      <c r="BK51" s="157"/>
      <c r="BL51" s="157"/>
      <c r="BM51" s="157"/>
      <c r="BN51" s="157"/>
      <c r="BO51" s="158" t="s">
        <v>203</v>
      </c>
      <c r="BP51" s="180">
        <v>3.5000000000000003E-2</v>
      </c>
      <c r="BQ51" s="157"/>
      <c r="BR51" s="157"/>
      <c r="BS51" s="5"/>
      <c r="BT51" s="5"/>
      <c r="BU51" s="5"/>
      <c r="BV51" s="5"/>
      <c r="BW51" s="5"/>
      <c r="BX51" s="5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</row>
    <row r="52" spans="1:115" s="34" customFormat="1" ht="19.75" x14ac:dyDescent="0.75">
      <c r="A52" s="5"/>
      <c r="B52" s="2"/>
      <c r="C52" s="2"/>
      <c r="D52" s="10"/>
      <c r="E52" s="2"/>
      <c r="F52" s="2"/>
      <c r="G52" s="2"/>
      <c r="H52" s="2"/>
      <c r="I52" s="10"/>
      <c r="J52" s="10"/>
      <c r="K52" s="5"/>
      <c r="L52" s="5"/>
      <c r="M52" s="5"/>
      <c r="N52" s="7"/>
      <c r="O52" s="7"/>
      <c r="P52" s="7"/>
      <c r="Q52" s="5"/>
      <c r="R52" s="7"/>
      <c r="S52" s="7"/>
      <c r="T52" s="8"/>
      <c r="U52" s="8"/>
      <c r="V52" s="8"/>
      <c r="W52" s="5"/>
      <c r="X52" s="5"/>
      <c r="Y52" s="5"/>
      <c r="Z52" s="5"/>
      <c r="AA52" s="5"/>
      <c r="AB52" s="5"/>
      <c r="AC52" s="5"/>
      <c r="AD52" s="167"/>
      <c r="AE52" s="158" t="s">
        <v>185</v>
      </c>
      <c r="AF52" s="167">
        <f t="shared" ref="AF52:AN52" si="9">$AV$50</f>
        <v>1836044579.7887526</v>
      </c>
      <c r="AG52" s="167">
        <f t="shared" si="9"/>
        <v>1836044579.7887526</v>
      </c>
      <c r="AH52" s="167">
        <f t="shared" si="9"/>
        <v>1836044579.7887526</v>
      </c>
      <c r="AI52" s="167">
        <f t="shared" si="9"/>
        <v>1836044579.7887526</v>
      </c>
      <c r="AJ52" s="167">
        <f t="shared" si="9"/>
        <v>1836044579.7887526</v>
      </c>
      <c r="AK52" s="167">
        <f t="shared" si="9"/>
        <v>1836044579.7887526</v>
      </c>
      <c r="AL52" s="167">
        <f t="shared" si="9"/>
        <v>1836044579.7887526</v>
      </c>
      <c r="AM52" s="167">
        <f t="shared" si="9"/>
        <v>1836044579.7887526</v>
      </c>
      <c r="AN52" s="167">
        <f t="shared" si="9"/>
        <v>1836044579.7887526</v>
      </c>
      <c r="AO52" s="157"/>
      <c r="AP52" s="157"/>
      <c r="AQ52" s="157"/>
      <c r="AR52" s="157"/>
      <c r="AS52" s="157"/>
      <c r="AT52" s="157"/>
      <c r="AU52" s="158" t="s">
        <v>202</v>
      </c>
      <c r="AV52" s="157">
        <f>$AV$51*$AV$53</f>
        <v>371245084.26842636</v>
      </c>
      <c r="AW52" s="157"/>
      <c r="AX52" s="157"/>
      <c r="AY52" s="158" t="s">
        <v>185</v>
      </c>
      <c r="AZ52" s="167">
        <f t="shared" ref="AZ52:BH52" si="10">$BP$50</f>
        <v>1836044579.7887526</v>
      </c>
      <c r="BA52" s="167">
        <f t="shared" si="10"/>
        <v>1836044579.7887526</v>
      </c>
      <c r="BB52" s="167">
        <f t="shared" si="10"/>
        <v>1836044579.7887526</v>
      </c>
      <c r="BC52" s="167">
        <f t="shared" si="10"/>
        <v>1836044579.7887526</v>
      </c>
      <c r="BD52" s="167">
        <f t="shared" si="10"/>
        <v>1836044579.7887526</v>
      </c>
      <c r="BE52" s="167">
        <f t="shared" si="10"/>
        <v>1836044579.7887526</v>
      </c>
      <c r="BF52" s="167">
        <f t="shared" si="10"/>
        <v>1836044579.7887526</v>
      </c>
      <c r="BG52" s="167">
        <f t="shared" si="10"/>
        <v>1836044579.7887526</v>
      </c>
      <c r="BH52" s="167">
        <f t="shared" si="10"/>
        <v>1836044579.7887526</v>
      </c>
      <c r="BI52" s="157"/>
      <c r="BJ52" s="157"/>
      <c r="BK52" s="157"/>
      <c r="BL52" s="157"/>
      <c r="BM52" s="157"/>
      <c r="BN52" s="157"/>
      <c r="BO52" s="158" t="s">
        <v>202</v>
      </c>
      <c r="BP52" s="157">
        <f>$BP$51*$BP$53</f>
        <v>371245084.26842636</v>
      </c>
      <c r="BQ52" s="157"/>
      <c r="BR52" s="157"/>
      <c r="BS52" s="5"/>
      <c r="BT52" s="5"/>
      <c r="BU52" s="5"/>
      <c r="BV52" s="5"/>
      <c r="BW52" s="5"/>
      <c r="BX52" s="5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</row>
    <row r="53" spans="1:115" s="34" customFormat="1" ht="19.75" x14ac:dyDescent="0.75">
      <c r="A53" s="5"/>
      <c r="B53" s="2"/>
      <c r="C53" s="2"/>
      <c r="D53" s="10"/>
      <c r="E53" s="2"/>
      <c r="F53" s="2"/>
      <c r="G53" s="2"/>
      <c r="H53" s="2"/>
      <c r="I53" s="10"/>
      <c r="J53" s="10"/>
      <c r="K53" s="5"/>
      <c r="L53" s="5"/>
      <c r="M53" s="5"/>
      <c r="N53" s="7"/>
      <c r="O53" s="7"/>
      <c r="P53" s="7"/>
      <c r="Q53" s="5"/>
      <c r="R53" s="7"/>
      <c r="S53" s="7"/>
      <c r="T53" s="8"/>
      <c r="U53" s="8"/>
      <c r="V53" s="8"/>
      <c r="W53" s="5"/>
      <c r="X53" s="5"/>
      <c r="Y53" s="5"/>
      <c r="Z53" s="5"/>
      <c r="AA53" s="5"/>
      <c r="AB53" s="5"/>
      <c r="AC53" s="5"/>
      <c r="AD53" s="167"/>
      <c r="AE53" s="158" t="s">
        <v>184</v>
      </c>
      <c r="AF53" s="167">
        <f>IF(AF49&gt;=0,MAX($AV$57,0)-AF50,MAX($AV$57,0)-AF50+AF49)-SUM($AU$29:$AU$30)</f>
        <v>407382324.39798737</v>
      </c>
      <c r="AG53" s="167">
        <f t="shared" ref="AG53:AM53" si="11">IF(AG49&gt;=0,MAX($AV$57,0)-AG50,MAX($AV$57,0)-AG50+AG49)-$AU$29</f>
        <v>180506471.90798736</v>
      </c>
      <c r="AH53" s="167">
        <f t="shared" si="11"/>
        <v>180506471.90798736</v>
      </c>
      <c r="AI53" s="167">
        <f t="shared" si="11"/>
        <v>261874844.38798738</v>
      </c>
      <c r="AJ53" s="167">
        <f t="shared" si="11"/>
        <v>286023319.61798739</v>
      </c>
      <c r="AK53" s="167">
        <f t="shared" si="11"/>
        <v>311429771.71798736</v>
      </c>
      <c r="AL53" s="167">
        <f t="shared" si="11"/>
        <v>324005258.22798747</v>
      </c>
      <c r="AM53" s="167">
        <f t="shared" si="11"/>
        <v>374428767.91798747</v>
      </c>
      <c r="AN53" s="167">
        <f>IF(AN49&gt;=0,MAX($AV$57,0)-AN50,MAX($AV$57,0)-AN50+AN49)-SUM($AU$29:$AU$30)</f>
        <v>371165356.67798746</v>
      </c>
      <c r="AO53" s="157"/>
      <c r="AP53" s="157"/>
      <c r="AQ53" s="157"/>
      <c r="AR53" s="157"/>
      <c r="AS53" s="157"/>
      <c r="AT53" s="157"/>
      <c r="AU53" s="158" t="s">
        <v>201</v>
      </c>
      <c r="AV53" s="157">
        <f>SUM($AV$63:$AV$65)</f>
        <v>10607002407.669323</v>
      </c>
      <c r="AW53" s="157"/>
      <c r="AX53" s="157"/>
      <c r="AY53" s="158" t="s">
        <v>184</v>
      </c>
      <c r="AZ53" s="167">
        <f>IF(AZ49&gt;=0,MAX($BP$57,0)-AZ50,MAX($BP$57,0)-AZ50+AZ49)-SUM($BA$29:$BA$30)</f>
        <v>0</v>
      </c>
      <c r="BA53" s="167">
        <f t="shared" ref="BA53:BG53" si="12">IF(BA49&gt;=0,MAX($BP$57,0)-BA50,MAX($BP$57,0)-BA50+BA49)-$BA$29</f>
        <v>0</v>
      </c>
      <c r="BB53" s="167">
        <f t="shared" si="12"/>
        <v>6920243101.4518204</v>
      </c>
      <c r="BC53" s="167">
        <f t="shared" si="12"/>
        <v>6918959781.9733038</v>
      </c>
      <c r="BD53" s="167">
        <f t="shared" si="12"/>
        <v>6910031162.5540895</v>
      </c>
      <c r="BE53" s="167">
        <f t="shared" si="12"/>
        <v>6903065614.168642</v>
      </c>
      <c r="BF53" s="167">
        <f t="shared" si="12"/>
        <v>6903065614.168642</v>
      </c>
      <c r="BG53" s="167">
        <f t="shared" si="12"/>
        <v>367051294.73683071</v>
      </c>
      <c r="BH53" s="167">
        <f>IF(BH49&gt;=0,MAX($BP$57,0)-BH50,MAX($BP$57,0)-BH50+BH49)-SUM($BA$29:$BA$30)</f>
        <v>371165356.67798746</v>
      </c>
      <c r="BI53" s="157"/>
      <c r="BJ53" s="157"/>
      <c r="BK53" s="157"/>
      <c r="BL53" s="157"/>
      <c r="BM53" s="157"/>
      <c r="BN53" s="157"/>
      <c r="BO53" s="158" t="s">
        <v>201</v>
      </c>
      <c r="BP53" s="157">
        <f>SUM($BP$63:$BP$65)</f>
        <v>10607002407.669323</v>
      </c>
      <c r="BQ53" s="157"/>
      <c r="BR53" s="157"/>
      <c r="BS53" s="5"/>
      <c r="BT53" s="5"/>
      <c r="BU53" s="5"/>
      <c r="BV53" s="5"/>
      <c r="BW53" s="5"/>
      <c r="BX53" s="5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</row>
    <row r="54" spans="1:115" s="34" customFormat="1" ht="19.75" x14ac:dyDescent="0.75">
      <c r="A54" s="5"/>
      <c r="B54" s="2"/>
      <c r="C54" s="2"/>
      <c r="D54" s="10"/>
      <c r="E54" s="2"/>
      <c r="F54" s="2"/>
      <c r="G54" s="2"/>
      <c r="H54" s="2"/>
      <c r="I54" s="10"/>
      <c r="J54" s="10"/>
      <c r="K54" s="5"/>
      <c r="L54" s="5"/>
      <c r="M54" s="5"/>
      <c r="N54" s="7"/>
      <c r="O54" s="7"/>
      <c r="P54" s="7"/>
      <c r="Q54" s="5"/>
      <c r="R54" s="7"/>
      <c r="S54" s="7"/>
      <c r="T54" s="8"/>
      <c r="U54" s="8"/>
      <c r="V54" s="8"/>
      <c r="W54" s="5"/>
      <c r="X54" s="5"/>
      <c r="Y54" s="5"/>
      <c r="Z54" s="5"/>
      <c r="AA54" s="5"/>
      <c r="AB54" s="5"/>
      <c r="AC54" s="5"/>
      <c r="AD54" s="167"/>
      <c r="AE54" s="158" t="s">
        <v>183</v>
      </c>
      <c r="AF54" s="168">
        <f>IF(AF49&gt;0,AF49,0)-$AU$29+IF(AU29&gt;0,$AV$50,0)</f>
        <v>0</v>
      </c>
      <c r="AG54" s="167">
        <f t="shared" ref="AG54:AM54" si="13">IF(AG49&gt;0,AG49,0)</f>
        <v>226875852.49000001</v>
      </c>
      <c r="AH54" s="167">
        <f t="shared" si="13"/>
        <v>0</v>
      </c>
      <c r="AI54" s="167">
        <f t="shared" si="13"/>
        <v>0</v>
      </c>
      <c r="AJ54" s="167">
        <f t="shared" si="13"/>
        <v>0</v>
      </c>
      <c r="AK54" s="167">
        <f t="shared" si="13"/>
        <v>0</v>
      </c>
      <c r="AL54" s="167">
        <f t="shared" si="13"/>
        <v>0</v>
      </c>
      <c r="AM54" s="167">
        <f t="shared" si="13"/>
        <v>0</v>
      </c>
      <c r="AN54" s="168">
        <f>IF(AN49&gt;0,AN49,0)-$AU$29+IF(AU29&gt;0,$AV$50,0)</f>
        <v>36216967.719999939</v>
      </c>
      <c r="AO54" s="157"/>
      <c r="AP54" s="157"/>
      <c r="AQ54" s="157"/>
      <c r="AR54" s="157"/>
      <c r="AS54" s="157"/>
      <c r="AT54" s="157"/>
      <c r="AU54" s="158" t="s">
        <v>200</v>
      </c>
      <c r="AV54" s="179">
        <v>0.25</v>
      </c>
      <c r="AW54" s="157"/>
      <c r="AX54" s="157"/>
      <c r="AY54" s="158" t="s">
        <v>183</v>
      </c>
      <c r="AZ54" s="167">
        <f>IF(AZ49&gt;0,AZ49,0)-$BA$29+IF($BA$29&gt;0,$BP$50,0)</f>
        <v>407382324.39798737</v>
      </c>
      <c r="BA54" s="167">
        <f t="shared" ref="BA54:BG54" si="14">IF(BA49&gt;0,BA49,0)</f>
        <v>0</v>
      </c>
      <c r="BB54" s="167">
        <f t="shared" si="14"/>
        <v>14670146.639996052</v>
      </c>
      <c r="BC54" s="167">
        <f t="shared" si="14"/>
        <v>1283319.4785163403</v>
      </c>
      <c r="BD54" s="167">
        <f t="shared" si="14"/>
        <v>8928619.4192142487</v>
      </c>
      <c r="BE54" s="167">
        <f t="shared" si="14"/>
        <v>6965548.3854478598</v>
      </c>
      <c r="BF54" s="167">
        <f t="shared" si="14"/>
        <v>0</v>
      </c>
      <c r="BG54" s="167">
        <f t="shared" si="14"/>
        <v>6547580012.9119043</v>
      </c>
      <c r="BH54" s="167">
        <f>IF(BH49&gt;0,BH49,0)-$BA$29+IF($BA$29&gt;0,$BP$50,0)</f>
        <v>36216967.719999939</v>
      </c>
      <c r="BI54" s="157"/>
      <c r="BJ54" s="157"/>
      <c r="BK54" s="157"/>
      <c r="BL54" s="157"/>
      <c r="BM54" s="157"/>
      <c r="BN54" s="157"/>
      <c r="BO54" s="158" t="s">
        <v>200</v>
      </c>
      <c r="BP54" s="179">
        <v>0.25</v>
      </c>
      <c r="BQ54" s="157"/>
      <c r="BR54" s="157"/>
      <c r="BS54" s="5"/>
      <c r="BT54" s="5"/>
      <c r="BU54" s="5"/>
      <c r="BV54" s="5"/>
      <c r="BW54" s="5"/>
      <c r="BX54" s="5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</row>
    <row r="55" spans="1:115" s="34" customFormat="1" ht="19.75" x14ac:dyDescent="0.75">
      <c r="A55" s="5"/>
      <c r="B55" s="2"/>
      <c r="C55" s="2"/>
      <c r="D55" s="10"/>
      <c r="E55" s="2"/>
      <c r="F55" s="2"/>
      <c r="G55" s="2"/>
      <c r="H55" s="2"/>
      <c r="I55" s="10"/>
      <c r="J55" s="10"/>
      <c r="K55" s="5"/>
      <c r="L55" s="5"/>
      <c r="M55" s="5"/>
      <c r="N55" s="7"/>
      <c r="O55" s="7"/>
      <c r="P55" s="7"/>
      <c r="Q55" s="5"/>
      <c r="R55" s="7"/>
      <c r="S55" s="7"/>
      <c r="T55" s="8"/>
      <c r="U55" s="8"/>
      <c r="V55" s="8"/>
      <c r="W55" s="5"/>
      <c r="X55" s="5"/>
      <c r="Y55" s="5"/>
      <c r="Z55" s="5"/>
      <c r="AA55" s="5"/>
      <c r="AB55" s="5"/>
      <c r="AC55" s="5"/>
      <c r="AD55" s="167"/>
      <c r="AE55" s="158" t="s">
        <v>182</v>
      </c>
      <c r="AF55" s="167">
        <f>IF(AF49&lt;0,ABS(AF49),0)+$AU$30+IF(AU30&lt;0,$AV$50,0)</f>
        <v>0</v>
      </c>
      <c r="AG55" s="167">
        <f t="shared" ref="AG55:AM55" si="15">IF(AG49&lt;0,ABS(AG49),0)</f>
        <v>0</v>
      </c>
      <c r="AH55" s="167">
        <f t="shared" si="15"/>
        <v>81368372.480000019</v>
      </c>
      <c r="AI55" s="167">
        <f t="shared" si="15"/>
        <v>24148475.230000004</v>
      </c>
      <c r="AJ55" s="167">
        <f t="shared" si="15"/>
        <v>25406452.09999999</v>
      </c>
      <c r="AK55" s="167">
        <f t="shared" si="15"/>
        <v>12575486.510000098</v>
      </c>
      <c r="AL55" s="167">
        <f t="shared" si="15"/>
        <v>50423509.68999999</v>
      </c>
      <c r="AM55" s="167">
        <f t="shared" si="15"/>
        <v>0</v>
      </c>
      <c r="AN55" s="167">
        <f>IF(AN49&lt;0,ABS(AN49),0)+$AU$30+IF(AU30&lt;0,$AV$50,0)</f>
        <v>0</v>
      </c>
      <c r="AO55" s="157"/>
      <c r="AP55" s="157"/>
      <c r="AQ55" s="157"/>
      <c r="AR55" s="157"/>
      <c r="AS55" s="157"/>
      <c r="AT55" s="157"/>
      <c r="AU55" s="158" t="s">
        <v>199</v>
      </c>
      <c r="AV55" s="181">
        <f>1/(AV54+1)/2</f>
        <v>0.4</v>
      </c>
      <c r="AW55" s="157"/>
      <c r="AX55" s="157"/>
      <c r="AY55" s="158" t="s">
        <v>182</v>
      </c>
      <c r="AZ55" s="167">
        <f>IF(AZ49&lt;0,ABS(AZ49),0)+$BA$30+IF(BA30&lt;0,$AV$50,0)</f>
        <v>0</v>
      </c>
      <c r="BA55" s="167">
        <f t="shared" ref="BA55:BG55" si="16">IF(BA49&lt;0,ABS(BA49),0)</f>
        <v>6934913248.0918169</v>
      </c>
      <c r="BB55" s="167">
        <f t="shared" si="16"/>
        <v>0</v>
      </c>
      <c r="BC55" s="167">
        <f t="shared" si="16"/>
        <v>0</v>
      </c>
      <c r="BD55" s="167">
        <f t="shared" si="16"/>
        <v>0</v>
      </c>
      <c r="BE55" s="167">
        <f t="shared" si="16"/>
        <v>0</v>
      </c>
      <c r="BF55" s="167">
        <f t="shared" si="16"/>
        <v>11565693.480092764</v>
      </c>
      <c r="BG55" s="167">
        <f t="shared" si="16"/>
        <v>0</v>
      </c>
      <c r="BH55" s="167">
        <f>IF(BH49&lt;0,ABS(BH49),0)+$BA$30+IF(BA30&lt;0,$AV$50,0)</f>
        <v>0</v>
      </c>
      <c r="BI55" s="157"/>
      <c r="BJ55" s="157"/>
      <c r="BK55" s="157"/>
      <c r="BL55" s="157"/>
      <c r="BM55" s="157"/>
      <c r="BN55" s="157"/>
      <c r="BO55" s="158" t="s">
        <v>199</v>
      </c>
      <c r="BP55" s="181">
        <f>1/(BP54+1)/2</f>
        <v>0.4</v>
      </c>
      <c r="BQ55" s="157"/>
      <c r="BR55" s="157"/>
      <c r="BS55" s="5"/>
      <c r="BT55" s="5"/>
      <c r="BU55" s="5"/>
      <c r="BV55" s="5"/>
      <c r="BW55" s="5"/>
      <c r="BX55" s="5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</row>
    <row r="56" spans="1:115" s="34" customFormat="1" ht="19.75" x14ac:dyDescent="0.75">
      <c r="A56" s="5"/>
      <c r="B56" s="2"/>
      <c r="C56" s="2"/>
      <c r="D56" s="10"/>
      <c r="E56" s="2"/>
      <c r="F56" s="2"/>
      <c r="G56" s="2"/>
      <c r="H56" s="2"/>
      <c r="I56" s="138"/>
      <c r="J56" s="10"/>
      <c r="K56" s="5"/>
      <c r="L56" s="5"/>
      <c r="M56" s="5"/>
      <c r="N56" s="7"/>
      <c r="O56" s="7"/>
      <c r="P56" s="7"/>
      <c r="Q56" s="5"/>
      <c r="R56" s="7"/>
      <c r="S56" s="7"/>
      <c r="T56" s="8"/>
      <c r="U56" s="8"/>
      <c r="V56" s="8"/>
      <c r="W56" s="5"/>
      <c r="X56" s="5"/>
      <c r="Y56" s="5"/>
      <c r="Z56" s="5"/>
      <c r="AA56" s="5"/>
      <c r="AB56" s="5"/>
      <c r="AC56" s="5"/>
      <c r="AD56" s="167"/>
      <c r="AE56" s="158" t="s">
        <v>181</v>
      </c>
      <c r="AF56" s="168">
        <f>IF(AF49&lt;0,AF50-MIN(0,$AV$56),ABS(AF50-MIN(0,$AV$56)-AF49))+$AU$30-$AU$29</f>
        <v>6527530923.6938295</v>
      </c>
      <c r="AG56" s="168">
        <f t="shared" ref="AG56:AM56" si="17">IF(AG49&lt;0,AG50-MIN(0,$AV$56),ABS(AG50-MIN(0,$AV$56)-AG49))+$AU$30</f>
        <v>6527530923.6938295</v>
      </c>
      <c r="AH56" s="167">
        <f t="shared" si="17"/>
        <v>6673038403.7038298</v>
      </c>
      <c r="AI56" s="167">
        <f t="shared" si="17"/>
        <v>6648889928.4738293</v>
      </c>
      <c r="AJ56" s="167">
        <f t="shared" si="17"/>
        <v>6623483476.3738298</v>
      </c>
      <c r="AK56" s="167">
        <f t="shared" si="17"/>
        <v>6610907989.8638296</v>
      </c>
      <c r="AL56" s="167">
        <f t="shared" si="17"/>
        <v>6560484480.1738291</v>
      </c>
      <c r="AM56" s="167">
        <f t="shared" si="17"/>
        <v>6560484480.1738291</v>
      </c>
      <c r="AN56" s="168">
        <f>IF(AN49&lt;0,AN50-MIN(0,$AV$56),ABS(AN50-MIN(0,$AV$56)-AN49))+$AU$30-$AU$29</f>
        <v>6527530923.6938295</v>
      </c>
      <c r="AO56" s="157"/>
      <c r="AP56" s="157"/>
      <c r="AQ56" s="157"/>
      <c r="AR56" s="157"/>
      <c r="AS56" s="157"/>
      <c r="AT56" s="157"/>
      <c r="AU56" s="158" t="s">
        <v>198</v>
      </c>
      <c r="AV56" s="182">
        <f>IF($AX$45="Yes",AX34,AW34)</f>
        <v>-6527530923.6938295</v>
      </c>
      <c r="AW56" s="157"/>
      <c r="AX56" s="157"/>
      <c r="AY56" s="158" t="s">
        <v>181</v>
      </c>
      <c r="AZ56" s="167">
        <f>IF(AZ49&lt;0,AZ50-MIN(0,$BP$56),ABS(AZ50-MIN(0,$BP$56)-AZ49))+$BA$30-$BA$29</f>
        <v>6527530923.6938295</v>
      </c>
      <c r="BA56" s="167">
        <f t="shared" ref="BA56:BG56" si="18">IF(BA49&lt;0,BA50-MIN(0,$BP$56),ABS(BA50-MIN(0,$BP$56)-BA49))+$BA$30</f>
        <v>0</v>
      </c>
      <c r="BB56" s="167">
        <f t="shared" si="18"/>
        <v>4.76837158203125E-7</v>
      </c>
      <c r="BC56" s="167">
        <f t="shared" si="18"/>
        <v>14670146.639996767</v>
      </c>
      <c r="BD56" s="167">
        <f t="shared" si="18"/>
        <v>15953466.118513107</v>
      </c>
      <c r="BE56" s="167">
        <f t="shared" si="18"/>
        <v>24882085.537726998</v>
      </c>
      <c r="BF56" s="167">
        <f t="shared" si="18"/>
        <v>20281940.443081856</v>
      </c>
      <c r="BG56" s="167">
        <f t="shared" si="18"/>
        <v>20281940.443081856</v>
      </c>
      <c r="BH56" s="167">
        <f>IF(BH49&lt;0,BH50-MIN(0,$BP$56),ABS(BH50-MIN(0,$BP$56)-BH49))+$BA$30-$BA$29</f>
        <v>6527530923.6938295</v>
      </c>
      <c r="BI56" s="157"/>
      <c r="BJ56" s="157"/>
      <c r="BK56" s="157"/>
      <c r="BL56" s="157"/>
      <c r="BM56" s="157"/>
      <c r="BN56" s="157"/>
      <c r="BO56" s="158" t="s">
        <v>198</v>
      </c>
      <c r="BP56" s="182">
        <f>IF($AX$45="Yes",AX34,AY34)</f>
        <v>-6527530923.6938295</v>
      </c>
      <c r="BQ56" s="157"/>
      <c r="BR56" s="157"/>
      <c r="BS56" s="5"/>
      <c r="BT56" s="5"/>
      <c r="BU56" s="5"/>
      <c r="BV56" s="5"/>
      <c r="BW56" s="5"/>
      <c r="BX56" s="5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</row>
    <row r="57" spans="1:115" s="34" customFormat="1" ht="19.75" x14ac:dyDescent="0.75">
      <c r="A57" s="5"/>
      <c r="B57" s="2"/>
      <c r="C57" s="2"/>
      <c r="D57" s="10"/>
      <c r="E57" s="2"/>
      <c r="F57" s="2"/>
      <c r="G57" s="2"/>
      <c r="H57" s="2"/>
      <c r="I57" s="10"/>
      <c r="J57" s="10"/>
      <c r="K57" s="5"/>
      <c r="L57" s="5"/>
      <c r="M57" s="5"/>
      <c r="N57" s="7"/>
      <c r="O57" s="7"/>
      <c r="P57" s="7"/>
      <c r="Q57" s="5"/>
      <c r="R57" s="7"/>
      <c r="S57" s="7"/>
      <c r="T57" s="8"/>
      <c r="U57" s="8"/>
      <c r="V57" s="8"/>
      <c r="W57" s="5"/>
      <c r="X57" s="5"/>
      <c r="Y57" s="5"/>
      <c r="Z57" s="5"/>
      <c r="AA57" s="5"/>
      <c r="AB57" s="5"/>
      <c r="AC57" s="5"/>
      <c r="AD57" s="167"/>
      <c r="AE57" s="158" t="s">
        <v>180</v>
      </c>
      <c r="AF57" s="167">
        <f>IF($AU$29&gt;0,0,$AV$50)</f>
        <v>1836044579.7887526</v>
      </c>
      <c r="AG57" s="167">
        <f t="shared" ref="AG57:AM57" si="19">$AV$50</f>
        <v>1836044579.7887526</v>
      </c>
      <c r="AH57" s="167">
        <f t="shared" si="19"/>
        <v>1836044579.7887526</v>
      </c>
      <c r="AI57" s="167">
        <f t="shared" si="19"/>
        <v>1836044579.7887526</v>
      </c>
      <c r="AJ57" s="167">
        <f t="shared" si="19"/>
        <v>1836044579.7887526</v>
      </c>
      <c r="AK57" s="167">
        <f t="shared" si="19"/>
        <v>1836044579.7887526</v>
      </c>
      <c r="AL57" s="167">
        <f t="shared" si="19"/>
        <v>1836044579.7887526</v>
      </c>
      <c r="AM57" s="167">
        <f t="shared" si="19"/>
        <v>1836044579.7887526</v>
      </c>
      <c r="AN57" s="167">
        <f>IF($AU$29&gt;0,0,$AV$50)</f>
        <v>1836044579.7887526</v>
      </c>
      <c r="AO57" s="157"/>
      <c r="AP57" s="157"/>
      <c r="AQ57" s="157"/>
      <c r="AR57" s="157"/>
      <c r="AS57" s="157"/>
      <c r="AT57" s="157"/>
      <c r="AU57" s="158" t="s">
        <v>197</v>
      </c>
      <c r="AV57" s="182">
        <f>IF($AX$45="Yes",AX35,AW35)</f>
        <v>407382324.39798737</v>
      </c>
      <c r="AW57" s="157"/>
      <c r="AX57" s="157"/>
      <c r="AY57" s="158" t="s">
        <v>180</v>
      </c>
      <c r="AZ57" s="167">
        <f>IF($BA$29&gt;0,0,$BP$50)</f>
        <v>1836044579.7887526</v>
      </c>
      <c r="BA57" s="167">
        <f t="shared" ref="BA57:BG57" si="20">$BP$50</f>
        <v>1836044579.7887526</v>
      </c>
      <c r="BB57" s="167">
        <f t="shared" si="20"/>
        <v>1836044579.7887526</v>
      </c>
      <c r="BC57" s="167">
        <f t="shared" si="20"/>
        <v>1836044579.7887526</v>
      </c>
      <c r="BD57" s="167">
        <f t="shared" si="20"/>
        <v>1836044579.7887526</v>
      </c>
      <c r="BE57" s="167">
        <f t="shared" si="20"/>
        <v>1836044579.7887526</v>
      </c>
      <c r="BF57" s="167">
        <f t="shared" si="20"/>
        <v>1836044579.7887526</v>
      </c>
      <c r="BG57" s="167">
        <f t="shared" si="20"/>
        <v>1836044579.7887526</v>
      </c>
      <c r="BH57" s="167">
        <f>IF($BA$29&gt;0,0,$BP$50)</f>
        <v>1836044579.7887526</v>
      </c>
      <c r="BI57" s="157"/>
      <c r="BJ57" s="157"/>
      <c r="BK57" s="157"/>
      <c r="BL57" s="157"/>
      <c r="BM57" s="157"/>
      <c r="BN57" s="157"/>
      <c r="BO57" s="158" t="s">
        <v>197</v>
      </c>
      <c r="BP57" s="182">
        <f>IF($AX$45="Yes",AX35,AY35)</f>
        <v>407382324.39798737</v>
      </c>
      <c r="BQ57" s="157"/>
      <c r="BR57" s="157"/>
      <c r="BS57" s="5"/>
      <c r="BT57" s="5"/>
      <c r="BU57" s="5"/>
      <c r="BV57" s="5"/>
      <c r="BW57" s="5"/>
      <c r="BX57" s="5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</row>
    <row r="58" spans="1:115" s="34" customFormat="1" ht="19.75" x14ac:dyDescent="0.75">
      <c r="A58" s="5"/>
      <c r="B58" s="2"/>
      <c r="C58" s="2"/>
      <c r="D58" s="10"/>
      <c r="E58" s="2"/>
      <c r="F58" s="2"/>
      <c r="G58" s="2"/>
      <c r="H58" s="2"/>
      <c r="I58" s="10"/>
      <c r="J58" s="10"/>
      <c r="K58" s="5"/>
      <c r="L58" s="5"/>
      <c r="M58" s="5"/>
      <c r="N58" s="7"/>
      <c r="O58" s="7"/>
      <c r="P58" s="7"/>
      <c r="Q58" s="5"/>
      <c r="R58" s="7"/>
      <c r="S58" s="7"/>
      <c r="T58" s="8"/>
      <c r="U58" s="8"/>
      <c r="V58" s="8"/>
      <c r="W58" s="5"/>
      <c r="X58" s="5"/>
      <c r="Y58" s="5"/>
      <c r="Z58" s="5"/>
      <c r="AA58" s="5"/>
      <c r="AB58" s="5"/>
      <c r="AC58" s="5"/>
      <c r="AD58" s="167"/>
      <c r="AE58" s="158"/>
      <c r="AF58" s="167"/>
      <c r="AG58" s="167"/>
      <c r="AH58" s="167"/>
      <c r="AI58" s="167"/>
      <c r="AJ58" s="167"/>
      <c r="AK58" s="167"/>
      <c r="AL58" s="167"/>
      <c r="AM58" s="167"/>
      <c r="AN58" s="167"/>
      <c r="AO58" s="157"/>
      <c r="AP58" s="157"/>
      <c r="AQ58" s="157"/>
      <c r="AR58" s="157"/>
      <c r="AS58" s="157"/>
      <c r="AT58" s="157"/>
      <c r="AU58" s="158"/>
      <c r="AV58" s="157">
        <v>2.5</v>
      </c>
      <c r="AW58" s="157"/>
      <c r="AX58" s="157"/>
      <c r="AY58" s="158"/>
      <c r="AZ58" s="167"/>
      <c r="BA58" s="167"/>
      <c r="BB58" s="167"/>
      <c r="BC58" s="167"/>
      <c r="BD58" s="167"/>
      <c r="BE58" s="167"/>
      <c r="BF58" s="167"/>
      <c r="BG58" s="167"/>
      <c r="BH58" s="167"/>
      <c r="BI58" s="157"/>
      <c r="BJ58" s="157"/>
      <c r="BK58" s="157"/>
      <c r="BL58" s="157"/>
      <c r="BM58" s="157"/>
      <c r="BN58" s="157"/>
      <c r="BO58" s="158"/>
      <c r="BP58" s="157">
        <v>2.5</v>
      </c>
      <c r="BQ58" s="157"/>
      <c r="BR58" s="157"/>
      <c r="BS58" s="5"/>
      <c r="BT58" s="5"/>
      <c r="BU58" s="5"/>
      <c r="BV58" s="5"/>
      <c r="BW58" s="5"/>
      <c r="BX58" s="5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</row>
    <row r="59" spans="1:115" s="34" customFormat="1" ht="19.75" x14ac:dyDescent="0.75">
      <c r="A59" s="5"/>
      <c r="B59" s="2"/>
      <c r="C59" s="2"/>
      <c r="D59" s="10"/>
      <c r="E59" s="2"/>
      <c r="F59" s="2"/>
      <c r="G59" s="2"/>
      <c r="H59" s="2"/>
      <c r="I59" s="10"/>
      <c r="J59" s="10"/>
      <c r="K59" s="5"/>
      <c r="L59" s="5"/>
      <c r="M59" s="5"/>
      <c r="N59" s="7"/>
      <c r="O59" s="7"/>
      <c r="P59" s="7"/>
      <c r="Q59" s="5"/>
      <c r="R59" s="7"/>
      <c r="S59" s="7"/>
      <c r="T59" s="8"/>
      <c r="U59" s="8"/>
      <c r="V59" s="8"/>
      <c r="W59" s="5"/>
      <c r="X59" s="5"/>
      <c r="Y59" s="5"/>
      <c r="Z59" s="5"/>
      <c r="AA59" s="5"/>
      <c r="AB59" s="5"/>
      <c r="AC59" s="5"/>
      <c r="AD59" s="167"/>
      <c r="AE59" s="158" t="s">
        <v>179</v>
      </c>
      <c r="AF59" s="167">
        <f t="shared" ref="AF59:AN59" si="21">$AV$63</f>
        <v>2206706012.5909648</v>
      </c>
      <c r="AG59" s="167">
        <f t="shared" si="21"/>
        <v>2206706012.5909648</v>
      </c>
      <c r="AH59" s="167">
        <f t="shared" si="21"/>
        <v>2206706012.5909648</v>
      </c>
      <c r="AI59" s="167">
        <f t="shared" si="21"/>
        <v>2206706012.5909648</v>
      </c>
      <c r="AJ59" s="167">
        <f t="shared" si="21"/>
        <v>2206706012.5909648</v>
      </c>
      <c r="AK59" s="167">
        <f t="shared" si="21"/>
        <v>2206706012.5909648</v>
      </c>
      <c r="AL59" s="167">
        <f t="shared" si="21"/>
        <v>2206706012.5909648</v>
      </c>
      <c r="AM59" s="167">
        <f t="shared" si="21"/>
        <v>2206706012.5909648</v>
      </c>
      <c r="AN59" s="167">
        <f t="shared" si="21"/>
        <v>2206706012.5909648</v>
      </c>
      <c r="AO59" s="157"/>
      <c r="AP59" s="157"/>
      <c r="AQ59" s="157"/>
      <c r="AR59" s="157"/>
      <c r="AS59" s="157"/>
      <c r="AT59" s="157"/>
      <c r="AU59" s="158" t="s">
        <v>196</v>
      </c>
      <c r="AV59" s="157">
        <f>MAX(ABS(AV56),ABS(AV57))</f>
        <v>6527530923.6938295</v>
      </c>
      <c r="AW59" s="157"/>
      <c r="AX59" s="157"/>
      <c r="AY59" s="158" t="s">
        <v>179</v>
      </c>
      <c r="AZ59" s="167">
        <f t="shared" ref="AZ59:BH59" si="22">$BP$63</f>
        <v>2206706012.5909648</v>
      </c>
      <c r="BA59" s="167">
        <f t="shared" si="22"/>
        <v>2206706012.5909648</v>
      </c>
      <c r="BB59" s="167">
        <f t="shared" si="22"/>
        <v>2206706012.5909648</v>
      </c>
      <c r="BC59" s="167">
        <f t="shared" si="22"/>
        <v>2206706012.5909648</v>
      </c>
      <c r="BD59" s="167">
        <f t="shared" si="22"/>
        <v>2206706012.5909648</v>
      </c>
      <c r="BE59" s="167">
        <f t="shared" si="22"/>
        <v>2206706012.5909648</v>
      </c>
      <c r="BF59" s="167">
        <f t="shared" si="22"/>
        <v>2206706012.5909648</v>
      </c>
      <c r="BG59" s="167">
        <f t="shared" si="22"/>
        <v>2206706012.5909648</v>
      </c>
      <c r="BH59" s="167">
        <f t="shared" si="22"/>
        <v>2206706012.5909648</v>
      </c>
      <c r="BI59" s="157"/>
      <c r="BJ59" s="157"/>
      <c r="BK59" s="157"/>
      <c r="BL59" s="157"/>
      <c r="BM59" s="157"/>
      <c r="BN59" s="157"/>
      <c r="BO59" s="158" t="s">
        <v>196</v>
      </c>
      <c r="BP59" s="157">
        <f>MAX(ABS(BP56),ABS(BP57))</f>
        <v>6527530923.6938295</v>
      </c>
      <c r="BQ59" s="157"/>
      <c r="BR59" s="157"/>
      <c r="BS59" s="5"/>
      <c r="BT59" s="5"/>
      <c r="BU59" s="5"/>
      <c r="BV59" s="5"/>
      <c r="BW59" s="5"/>
      <c r="BX59" s="5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</row>
    <row r="60" spans="1:115" s="34" customFormat="1" ht="19.75" x14ac:dyDescent="0.75">
      <c r="A60" s="5"/>
      <c r="B60" s="2"/>
      <c r="C60" s="2"/>
      <c r="D60" s="10"/>
      <c r="E60" s="2"/>
      <c r="F60" s="2"/>
      <c r="G60" s="2"/>
      <c r="H60" s="2"/>
      <c r="I60" s="10"/>
      <c r="J60" s="10"/>
      <c r="K60" s="5"/>
      <c r="L60" s="5"/>
      <c r="M60" s="5"/>
      <c r="N60" s="7"/>
      <c r="O60" s="7"/>
      <c r="P60" s="7"/>
      <c r="Q60" s="5"/>
      <c r="R60" s="7"/>
      <c r="S60" s="7"/>
      <c r="T60" s="8"/>
      <c r="U60" s="8"/>
      <c r="V60" s="8"/>
      <c r="W60" s="5"/>
      <c r="X60" s="5"/>
      <c r="Y60" s="5"/>
      <c r="Z60" s="5"/>
      <c r="AA60" s="5"/>
      <c r="AB60" s="5"/>
      <c r="AC60" s="5"/>
      <c r="AD60" s="167"/>
      <c r="AE60" s="158" t="s">
        <v>178</v>
      </c>
      <c r="AF60" s="167">
        <f t="shared" ref="AF60:AN60" si="23">$AV$64</f>
        <v>73441783.191550106</v>
      </c>
      <c r="AG60" s="167">
        <f t="shared" si="23"/>
        <v>73441783.191550106</v>
      </c>
      <c r="AH60" s="167">
        <f t="shared" si="23"/>
        <v>73441783.191550106</v>
      </c>
      <c r="AI60" s="167">
        <f t="shared" si="23"/>
        <v>73441783.191550106</v>
      </c>
      <c r="AJ60" s="167">
        <f t="shared" si="23"/>
        <v>73441783.191550106</v>
      </c>
      <c r="AK60" s="167">
        <f t="shared" si="23"/>
        <v>73441783.191550106</v>
      </c>
      <c r="AL60" s="167">
        <f t="shared" si="23"/>
        <v>73441783.191550106</v>
      </c>
      <c r="AM60" s="167">
        <f t="shared" si="23"/>
        <v>73441783.191550106</v>
      </c>
      <c r="AN60" s="167">
        <f t="shared" si="23"/>
        <v>73441783.191550106</v>
      </c>
      <c r="AO60" s="157"/>
      <c r="AP60" s="157"/>
      <c r="AQ60" s="157"/>
      <c r="AR60" s="157"/>
      <c r="AS60" s="157"/>
      <c r="AT60" s="157"/>
      <c r="AU60" s="158" t="s">
        <v>195</v>
      </c>
      <c r="AV60" s="157">
        <v>1</v>
      </c>
      <c r="AW60" s="157"/>
      <c r="AX60" s="157"/>
      <c r="AY60" s="158" t="s">
        <v>178</v>
      </c>
      <c r="AZ60" s="167">
        <f t="shared" ref="AZ60:BH60" si="24">$BP$64</f>
        <v>73441783.191550106</v>
      </c>
      <c r="BA60" s="167">
        <f t="shared" si="24"/>
        <v>73441783.191550106</v>
      </c>
      <c r="BB60" s="167">
        <f t="shared" si="24"/>
        <v>73441783.191550106</v>
      </c>
      <c r="BC60" s="167">
        <f t="shared" si="24"/>
        <v>73441783.191550106</v>
      </c>
      <c r="BD60" s="167">
        <f t="shared" si="24"/>
        <v>73441783.191550106</v>
      </c>
      <c r="BE60" s="167">
        <f t="shared" si="24"/>
        <v>73441783.191550106</v>
      </c>
      <c r="BF60" s="167">
        <f t="shared" si="24"/>
        <v>73441783.191550106</v>
      </c>
      <c r="BG60" s="167">
        <f t="shared" si="24"/>
        <v>73441783.191550106</v>
      </c>
      <c r="BH60" s="167">
        <f t="shared" si="24"/>
        <v>73441783.191550106</v>
      </c>
      <c r="BI60" s="157"/>
      <c r="BJ60" s="157"/>
      <c r="BK60" s="157"/>
      <c r="BL60" s="157"/>
      <c r="BM60" s="157"/>
      <c r="BN60" s="157"/>
      <c r="BO60" s="158" t="s">
        <v>195</v>
      </c>
      <c r="BP60" s="157">
        <v>1</v>
      </c>
      <c r="BQ60" s="157"/>
      <c r="BR60" s="157"/>
      <c r="BS60" s="5"/>
      <c r="BT60" s="5"/>
      <c r="BU60" s="5"/>
      <c r="BV60" s="5"/>
      <c r="BW60" s="5"/>
      <c r="BX60" s="5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</row>
    <row r="61" spans="1:115" s="34" customFormat="1" ht="19.75" x14ac:dyDescent="0.75">
      <c r="A61" s="5"/>
      <c r="B61" s="2"/>
      <c r="C61" s="2"/>
      <c r="D61" s="10"/>
      <c r="E61" s="2"/>
      <c r="F61" s="2"/>
      <c r="G61" s="2"/>
      <c r="H61" s="2"/>
      <c r="I61" s="10"/>
      <c r="J61" s="10"/>
      <c r="K61" s="5"/>
      <c r="L61" s="5"/>
      <c r="M61" s="5"/>
      <c r="N61" s="7"/>
      <c r="O61" s="7"/>
      <c r="P61" s="7"/>
      <c r="Q61" s="5"/>
      <c r="R61" s="7"/>
      <c r="S61" s="7"/>
      <c r="T61" s="8"/>
      <c r="U61" s="8"/>
      <c r="V61" s="8"/>
      <c r="W61" s="5"/>
      <c r="X61" s="5"/>
      <c r="Y61" s="5"/>
      <c r="Z61" s="5"/>
      <c r="AA61" s="5"/>
      <c r="AB61" s="5"/>
      <c r="AC61" s="5"/>
      <c r="AD61" s="167"/>
      <c r="AE61" s="158" t="s">
        <v>177</v>
      </c>
      <c r="AF61" s="167">
        <f t="shared" ref="AF61:AN61" si="25">$AV$65</f>
        <v>8326854611.8868074</v>
      </c>
      <c r="AG61" s="167">
        <f t="shared" si="25"/>
        <v>8326854611.8868074</v>
      </c>
      <c r="AH61" s="167">
        <f t="shared" si="25"/>
        <v>8326854611.8868074</v>
      </c>
      <c r="AI61" s="167">
        <f t="shared" si="25"/>
        <v>8326854611.8868074</v>
      </c>
      <c r="AJ61" s="167">
        <f t="shared" si="25"/>
        <v>8326854611.8868074</v>
      </c>
      <c r="AK61" s="167">
        <f t="shared" si="25"/>
        <v>8326854611.8868074</v>
      </c>
      <c r="AL61" s="167">
        <f t="shared" si="25"/>
        <v>8326854611.8868074</v>
      </c>
      <c r="AM61" s="167">
        <f t="shared" si="25"/>
        <v>8326854611.8868074</v>
      </c>
      <c r="AN61" s="167">
        <f t="shared" si="25"/>
        <v>8326854611.8868074</v>
      </c>
      <c r="AO61" s="157"/>
      <c r="AP61" s="157"/>
      <c r="AQ61" s="157"/>
      <c r="AR61" s="157"/>
      <c r="AS61" s="157"/>
      <c r="AT61" s="157"/>
      <c r="AU61" s="158"/>
      <c r="AV61" s="157">
        <f>IF(AV59&lt;1000,1,IF(AV59&lt;1000000,1000,IF(AV59&lt;1000000000,1000000,1000000000)))</f>
        <v>1000000000</v>
      </c>
      <c r="AW61" s="157"/>
      <c r="AX61" s="157"/>
      <c r="AY61" s="158" t="s">
        <v>177</v>
      </c>
      <c r="AZ61" s="167">
        <f t="shared" ref="AZ61:BH61" si="26">$BP$65</f>
        <v>8326854611.8868074</v>
      </c>
      <c r="BA61" s="167">
        <f t="shared" si="26"/>
        <v>8326854611.8868074</v>
      </c>
      <c r="BB61" s="167">
        <f t="shared" si="26"/>
        <v>8326854611.8868074</v>
      </c>
      <c r="BC61" s="167">
        <f t="shared" si="26"/>
        <v>8326854611.8868074</v>
      </c>
      <c r="BD61" s="167">
        <f t="shared" si="26"/>
        <v>8326854611.8868074</v>
      </c>
      <c r="BE61" s="167">
        <f t="shared" si="26"/>
        <v>8326854611.8868074</v>
      </c>
      <c r="BF61" s="167">
        <f t="shared" si="26"/>
        <v>8326854611.8868074</v>
      </c>
      <c r="BG61" s="167">
        <f t="shared" si="26"/>
        <v>8326854611.8868074</v>
      </c>
      <c r="BH61" s="167">
        <f t="shared" si="26"/>
        <v>8326854611.8868074</v>
      </c>
      <c r="BI61" s="157"/>
      <c r="BJ61" s="157"/>
      <c r="BK61" s="157"/>
      <c r="BL61" s="157"/>
      <c r="BM61" s="157"/>
      <c r="BN61" s="157"/>
      <c r="BO61" s="158"/>
      <c r="BP61" s="157">
        <f>IF(BP59&lt;1000,1,IF(BP59&lt;1000000,1000,IF(BP59&lt;1000000000,1000000,1000000000)))</f>
        <v>1000000000</v>
      </c>
      <c r="BQ61" s="157"/>
      <c r="BR61" s="157"/>
      <c r="BS61" s="5"/>
      <c r="BT61" s="5"/>
      <c r="BU61" s="5"/>
      <c r="BV61" s="5"/>
      <c r="BW61" s="5"/>
      <c r="BX61" s="5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</row>
    <row r="62" spans="1:115" s="34" customFormat="1" ht="19.75" x14ac:dyDescent="0.75">
      <c r="A62" s="5"/>
      <c r="B62" s="2"/>
      <c r="C62" s="2"/>
      <c r="D62" s="10"/>
      <c r="E62" s="2"/>
      <c r="F62" s="2"/>
      <c r="G62" s="2"/>
      <c r="H62" s="2"/>
      <c r="I62" s="10"/>
      <c r="J62" s="10"/>
      <c r="K62" s="5"/>
      <c r="L62" s="5"/>
      <c r="M62" s="5"/>
      <c r="N62" s="7"/>
      <c r="O62" s="7"/>
      <c r="P62" s="7"/>
      <c r="Q62" s="5"/>
      <c r="R62" s="7"/>
      <c r="S62" s="7"/>
      <c r="T62" s="8"/>
      <c r="U62" s="8"/>
      <c r="V62" s="8"/>
      <c r="W62" s="5"/>
      <c r="X62" s="5"/>
      <c r="Y62" s="5"/>
      <c r="Z62" s="5"/>
      <c r="AA62" s="5"/>
      <c r="AB62" s="5"/>
      <c r="AC62" s="5"/>
      <c r="AD62" s="167"/>
      <c r="AE62" s="158"/>
      <c r="AF62" s="167"/>
      <c r="AG62" s="167"/>
      <c r="AH62" s="167"/>
      <c r="AI62" s="167"/>
      <c r="AJ62" s="167"/>
      <c r="AK62" s="167"/>
      <c r="AL62" s="167"/>
      <c r="AM62" s="167"/>
      <c r="AN62" s="167"/>
      <c r="AO62" s="157"/>
      <c r="AP62" s="157"/>
      <c r="AQ62" s="157"/>
      <c r="AR62" s="157"/>
      <c r="AS62" s="157"/>
      <c r="AT62" s="157"/>
      <c r="AU62" s="158" t="s">
        <v>194</v>
      </c>
      <c r="AV62" s="179">
        <v>0.04</v>
      </c>
      <c r="AW62" s="157"/>
      <c r="AX62" s="157"/>
      <c r="AY62" s="158"/>
      <c r="AZ62" s="167"/>
      <c r="BA62" s="167"/>
      <c r="BB62" s="167"/>
      <c r="BC62" s="167"/>
      <c r="BD62" s="167"/>
      <c r="BE62" s="167"/>
      <c r="BF62" s="167"/>
      <c r="BG62" s="167"/>
      <c r="BH62" s="167"/>
      <c r="BI62" s="157"/>
      <c r="BJ62" s="157"/>
      <c r="BK62" s="157"/>
      <c r="BL62" s="157"/>
      <c r="BM62" s="157"/>
      <c r="BN62" s="157"/>
      <c r="BO62" s="158" t="s">
        <v>194</v>
      </c>
      <c r="BP62" s="179">
        <v>0.04</v>
      </c>
      <c r="BQ62" s="157"/>
      <c r="BR62" s="157"/>
      <c r="BS62" s="5"/>
      <c r="BT62" s="5"/>
      <c r="BU62" s="5"/>
      <c r="BV62" s="5"/>
      <c r="BW62" s="5"/>
      <c r="BX62" s="5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</row>
    <row r="63" spans="1:115" s="34" customFormat="1" ht="19.75" x14ac:dyDescent="0.75">
      <c r="A63" s="5"/>
      <c r="B63" s="2"/>
      <c r="C63" s="2"/>
      <c r="D63" s="10"/>
      <c r="E63" s="2"/>
      <c r="F63" s="2"/>
      <c r="G63" s="2"/>
      <c r="H63" s="2"/>
      <c r="I63" s="10"/>
      <c r="J63" s="10"/>
      <c r="K63" s="5"/>
      <c r="L63" s="5"/>
      <c r="M63" s="5"/>
      <c r="N63" s="7"/>
      <c r="O63" s="7"/>
      <c r="P63" s="7"/>
      <c r="Q63" s="5"/>
      <c r="R63" s="7"/>
      <c r="S63" s="7"/>
      <c r="T63" s="8"/>
      <c r="U63" s="8"/>
      <c r="V63" s="8"/>
      <c r="W63" s="5"/>
      <c r="X63" s="5"/>
      <c r="Y63" s="5"/>
      <c r="Z63" s="5"/>
      <c r="AA63" s="5"/>
      <c r="AB63" s="5"/>
      <c r="AC63" s="5"/>
      <c r="AD63" s="167"/>
      <c r="AE63" s="158" t="s">
        <v>193</v>
      </c>
      <c r="AF63" s="166">
        <f t="shared" ref="AF63:AN63" si="27">IF(AF49&gt;0,AF49/$AV$60,IF(AF49=0,0))</f>
        <v>0</v>
      </c>
      <c r="AG63" s="166">
        <f t="shared" si="27"/>
        <v>226875852.49000001</v>
      </c>
      <c r="AH63" s="166" t="b">
        <f t="shared" si="27"/>
        <v>0</v>
      </c>
      <c r="AI63" s="166" t="b">
        <f t="shared" si="27"/>
        <v>0</v>
      </c>
      <c r="AJ63" s="166" t="b">
        <f t="shared" si="27"/>
        <v>0</v>
      </c>
      <c r="AK63" s="166" t="b">
        <f t="shared" si="27"/>
        <v>0</v>
      </c>
      <c r="AL63" s="166" t="b">
        <f t="shared" si="27"/>
        <v>0</v>
      </c>
      <c r="AM63" s="166">
        <f t="shared" si="27"/>
        <v>0</v>
      </c>
      <c r="AN63" s="166">
        <f t="shared" si="27"/>
        <v>36216967.719999939</v>
      </c>
      <c r="AO63" s="157"/>
      <c r="AP63" s="157"/>
      <c r="AQ63" s="157"/>
      <c r="AR63" s="157"/>
      <c r="AS63" s="157"/>
      <c r="AT63" s="157"/>
      <c r="AU63" s="158" t="s">
        <v>192</v>
      </c>
      <c r="AV63" s="157">
        <f>MAX($AV$57-$AU$29,0)-$AV$64/2+$AV$50</f>
        <v>2206706012.5909648</v>
      </c>
      <c r="AW63" s="157"/>
      <c r="AX63" s="157"/>
      <c r="AY63" s="158" t="s">
        <v>193</v>
      </c>
      <c r="AZ63" s="183">
        <f t="shared" ref="AZ63:BH63" si="28">IF(AZ49&gt;0,AZ49/$BP$60,IF(AZ49=0,0," "))</f>
        <v>407382324.39798737</v>
      </c>
      <c r="BA63" s="183" t="str">
        <f t="shared" si="28"/>
        <v xml:space="preserve"> </v>
      </c>
      <c r="BB63" s="183">
        <f t="shared" si="28"/>
        <v>14670146.639996052</v>
      </c>
      <c r="BC63" s="183">
        <f t="shared" si="28"/>
        <v>1283319.4785163403</v>
      </c>
      <c r="BD63" s="183">
        <f t="shared" si="28"/>
        <v>8928619.4192142487</v>
      </c>
      <c r="BE63" s="183">
        <f t="shared" si="28"/>
        <v>6965548.3854478598</v>
      </c>
      <c r="BF63" s="183" t="str">
        <f t="shared" si="28"/>
        <v xml:space="preserve"> </v>
      </c>
      <c r="BG63" s="183">
        <f t="shared" si="28"/>
        <v>6547580012.9119043</v>
      </c>
      <c r="BH63" s="183">
        <f t="shared" si="28"/>
        <v>36216967.719999939</v>
      </c>
      <c r="BI63" s="157"/>
      <c r="BJ63" s="157"/>
      <c r="BK63" s="157"/>
      <c r="BL63" s="157"/>
      <c r="BM63" s="157"/>
      <c r="BN63" s="157"/>
      <c r="BO63" s="158" t="s">
        <v>192</v>
      </c>
      <c r="BP63" s="157">
        <f>MAX($BP$57-$BA$29,0)-$BP$64/2+$BP$50</f>
        <v>2206706012.5909648</v>
      </c>
      <c r="BQ63" s="157"/>
      <c r="BR63" s="157"/>
      <c r="BS63" s="5"/>
      <c r="BT63" s="5"/>
      <c r="BU63" s="5"/>
      <c r="BV63" s="5"/>
      <c r="BW63" s="5"/>
      <c r="BX63" s="5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</row>
    <row r="64" spans="1:115" s="34" customFormat="1" ht="19.75" x14ac:dyDescent="0.75">
      <c r="A64" s="5"/>
      <c r="B64" s="2"/>
      <c r="C64" s="2"/>
      <c r="D64" s="10"/>
      <c r="E64" s="2"/>
      <c r="F64" s="2"/>
      <c r="G64" s="2"/>
      <c r="H64" s="2"/>
      <c r="I64" s="10"/>
      <c r="J64" s="10"/>
      <c r="K64" s="5"/>
      <c r="L64" s="5"/>
      <c r="M64" s="5"/>
      <c r="N64" s="7"/>
      <c r="O64" s="7"/>
      <c r="P64" s="7"/>
      <c r="Q64" s="5"/>
      <c r="R64" s="7"/>
      <c r="S64" s="7"/>
      <c r="T64" s="8"/>
      <c r="U64" s="8"/>
      <c r="V64" s="8"/>
      <c r="W64" s="5"/>
      <c r="X64" s="5"/>
      <c r="Y64" s="5"/>
      <c r="Z64" s="5"/>
      <c r="AA64" s="5"/>
      <c r="AB64" s="5"/>
      <c r="AC64" s="5"/>
      <c r="AD64" s="167"/>
      <c r="AE64" s="158" t="s">
        <v>191</v>
      </c>
      <c r="AF64" s="166" t="b">
        <f t="shared" ref="AF64:AN64" si="29">IF(AF49&lt;0,AF49/$AV$60)</f>
        <v>0</v>
      </c>
      <c r="AG64" s="166" t="b">
        <f t="shared" si="29"/>
        <v>0</v>
      </c>
      <c r="AH64" s="166">
        <f t="shared" si="29"/>
        <v>-81368372.480000019</v>
      </c>
      <c r="AI64" s="166">
        <f t="shared" si="29"/>
        <v>-24148475.230000004</v>
      </c>
      <c r="AJ64" s="166">
        <f t="shared" si="29"/>
        <v>-25406452.09999999</v>
      </c>
      <c r="AK64" s="166">
        <f t="shared" si="29"/>
        <v>-12575486.510000098</v>
      </c>
      <c r="AL64" s="166">
        <f t="shared" si="29"/>
        <v>-50423509.68999999</v>
      </c>
      <c r="AM64" s="166" t="b">
        <f t="shared" si="29"/>
        <v>0</v>
      </c>
      <c r="AN64" s="166" t="b">
        <f t="shared" si="29"/>
        <v>0</v>
      </c>
      <c r="AO64" s="157"/>
      <c r="AP64" s="157"/>
      <c r="AQ64" s="157"/>
      <c r="AR64" s="157"/>
      <c r="AS64" s="157"/>
      <c r="AT64" s="157"/>
      <c r="AU64" s="158" t="s">
        <v>190</v>
      </c>
      <c r="AV64" s="157">
        <f>$AV$62*$AV$50</f>
        <v>73441783.191550106</v>
      </c>
      <c r="AW64" s="157"/>
      <c r="AX64" s="157"/>
      <c r="AY64" s="158" t="s">
        <v>191</v>
      </c>
      <c r="AZ64" s="183" t="str">
        <f t="shared" ref="AZ64:BH64" si="30">IF(AZ49&lt;0,AZ49/$BP$60," ")</f>
        <v xml:space="preserve"> </v>
      </c>
      <c r="BA64" s="183">
        <f t="shared" si="30"/>
        <v>-6934913248.0918169</v>
      </c>
      <c r="BB64" s="183" t="str">
        <f t="shared" si="30"/>
        <v xml:space="preserve"> </v>
      </c>
      <c r="BC64" s="183" t="str">
        <f t="shared" si="30"/>
        <v xml:space="preserve"> </v>
      </c>
      <c r="BD64" s="183" t="str">
        <f t="shared" si="30"/>
        <v xml:space="preserve"> </v>
      </c>
      <c r="BE64" s="183" t="str">
        <f t="shared" si="30"/>
        <v xml:space="preserve"> </v>
      </c>
      <c r="BF64" s="183">
        <f t="shared" si="30"/>
        <v>-11565693.480092764</v>
      </c>
      <c r="BG64" s="183" t="str">
        <f t="shared" si="30"/>
        <v xml:space="preserve"> </v>
      </c>
      <c r="BH64" s="183" t="str">
        <f t="shared" si="30"/>
        <v xml:space="preserve"> </v>
      </c>
      <c r="BI64" s="157"/>
      <c r="BJ64" s="157"/>
      <c r="BK64" s="157"/>
      <c r="BL64" s="157"/>
      <c r="BM64" s="157"/>
      <c r="BN64" s="157"/>
      <c r="BO64" s="158" t="s">
        <v>190</v>
      </c>
      <c r="BP64" s="157">
        <f>$BP$62*$BP$50</f>
        <v>73441783.191550106</v>
      </c>
      <c r="BQ64" s="157"/>
      <c r="BR64" s="157"/>
      <c r="BS64" s="5"/>
      <c r="BT64" s="5"/>
      <c r="BU64" s="5"/>
      <c r="BV64" s="5"/>
      <c r="BW64" s="5"/>
      <c r="BX64" s="5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</row>
    <row r="65" spans="1:115" s="34" customFormat="1" ht="19.75" x14ac:dyDescent="0.75">
      <c r="A65" s="5"/>
      <c r="B65" s="2"/>
      <c r="C65" s="2"/>
      <c r="D65" s="10"/>
      <c r="E65" s="2"/>
      <c r="F65" s="2"/>
      <c r="G65" s="2"/>
      <c r="H65" s="2"/>
      <c r="I65" s="10"/>
      <c r="J65" s="10"/>
      <c r="K65" s="5"/>
      <c r="L65" s="5"/>
      <c r="M65" s="5"/>
      <c r="N65" s="7"/>
      <c r="O65" s="7"/>
      <c r="P65" s="7"/>
      <c r="Q65" s="5"/>
      <c r="R65" s="7"/>
      <c r="S65" s="7"/>
      <c r="T65" s="8"/>
      <c r="U65" s="8"/>
      <c r="V65" s="8"/>
      <c r="W65" s="5"/>
      <c r="X65" s="5"/>
      <c r="Y65" s="5"/>
      <c r="Z65" s="5"/>
      <c r="AA65" s="5"/>
      <c r="AB65" s="5"/>
      <c r="AC65" s="5"/>
      <c r="AD65" s="161"/>
      <c r="AE65" s="158" t="s">
        <v>176</v>
      </c>
      <c r="AF65" s="165">
        <f>MAX(0,IF(AF49&lt;0,$AF$70-$AV$52,$AF$70+$AV$52))</f>
        <v>8734820587.751009</v>
      </c>
      <c r="AG65" s="165">
        <f>MAX(0,IF(AG49&lt;0,$AH$70-$AV$52,$AH$70+$AV$52))</f>
        <v>8961696440.2410088</v>
      </c>
      <c r="AH65" s="165">
        <f>MAX(0,IF(AH49&lt;0,$AJ$70-$AV$52,$AJ$70+$AV$52))</f>
        <v>8137837899.2241564</v>
      </c>
      <c r="AI65" s="165">
        <f>MAX(0,IF(AI49&lt;0,$AL$70-$AV$52,$AL$70+$AV$52))</f>
        <v>8113689423.9941559</v>
      </c>
      <c r="AJ65" s="165">
        <f>MAX(0,IF(AJ49&lt;0,$AN$70-$AV$52,$AN$70+$AV$52))</f>
        <v>8088282971.8941565</v>
      </c>
      <c r="AK65" s="165">
        <f>MAX(0,IF(AK49&lt;0,$AP$70-$AV$52,$AP$70+$AV$52))</f>
        <v>8075707485.3841562</v>
      </c>
      <c r="AL65" s="165">
        <f>MAX(0,IF(AL49&lt;0,$AR$70-$AV$52,$AR$70+$AV$52))</f>
        <v>8025283975.6941557</v>
      </c>
      <c r="AM65" s="165">
        <f>MAX(0,IF(AM49&lt;0,$AT$70-$AV$52,$AT$70+$AV$52))</f>
        <v>8767774144.2310085</v>
      </c>
      <c r="AN65" s="165">
        <f>MAX(0,IF(AN49&lt;0,$AU$70-$AV$52,$AU$70+$AV$52))</f>
        <v>8767774144.2310085</v>
      </c>
      <c r="AO65" s="157"/>
      <c r="AP65" s="157"/>
      <c r="AQ65" s="157"/>
      <c r="AR65" s="157"/>
      <c r="AS65" s="157"/>
      <c r="AT65" s="157"/>
      <c r="AU65" s="158" t="s">
        <v>189</v>
      </c>
      <c r="AV65" s="157">
        <f>ABS(MIN(0,$AV$56-$AU$30))-$AV$64/2+$AV$50</f>
        <v>8326854611.8868074</v>
      </c>
      <c r="AW65" s="157"/>
      <c r="AX65" s="157"/>
      <c r="AY65" s="158" t="s">
        <v>176</v>
      </c>
      <c r="AZ65" s="164">
        <f>MAX(0,IF(AZ49&lt;0,$AZ$70-$BP$52,$AZ$70+$BP$52))</f>
        <v>9142202912.1489964</v>
      </c>
      <c r="BA65" s="164">
        <f>MAX(0,IF(BA49&lt;0,$BB$70-$BP$52,$BB$70+$BP$52))</f>
        <v>1464799495.5203261</v>
      </c>
      <c r="BB65" s="164">
        <f>MAX(0,IF(BB49&lt;0,$BD$70-$BP$52,$BD$70+$BP$52))</f>
        <v>2221959810.6971755</v>
      </c>
      <c r="BC65" s="164">
        <f>MAX(0,IF(BC49&lt;0,$BF$70-$BP$52,$BF$70+$BP$52))</f>
        <v>2223243130.1756921</v>
      </c>
      <c r="BD65" s="164">
        <f>MAX(0,IF(BD49&lt;0,$BH$70-$BP$52,$BH$70+$BP$52))</f>
        <v>2232171749.5949063</v>
      </c>
      <c r="BE65" s="164">
        <f>MAX(0,IF(BE49&lt;0,$BJ$70-$BP$52,$BJ$70+$BP$52))</f>
        <v>2239137297.9803538</v>
      </c>
      <c r="BF65" s="164">
        <f>MAX(0,IF(BF49&lt;0,$BL$70-$BP$52,$BL$70+$BP$52))</f>
        <v>1485081435.963408</v>
      </c>
      <c r="BG65" s="164">
        <f>MAX(0,IF(BG49&lt;0,$BN$70-$BP$52,$BN$70+$BP$52))</f>
        <v>8775151617.4121647</v>
      </c>
      <c r="BH65" s="164">
        <f>MAX(0,IF(BH49&lt;0,$BO$70-$BP$52,$BO$70+$BP$52))</f>
        <v>8775151617.4121647</v>
      </c>
      <c r="BI65" s="157"/>
      <c r="BJ65" s="157"/>
      <c r="BK65" s="157"/>
      <c r="BL65" s="157"/>
      <c r="BM65" s="157"/>
      <c r="BN65" s="157"/>
      <c r="BO65" s="158" t="s">
        <v>189</v>
      </c>
      <c r="BP65" s="157">
        <f>ABS(MIN(0,$BP$56-$BA$30))-$BP$64/2+$BP$50</f>
        <v>8326854611.8868074</v>
      </c>
      <c r="BQ65" s="157"/>
      <c r="BR65" s="157"/>
      <c r="BS65" s="5"/>
      <c r="BT65" s="5"/>
      <c r="BU65" s="5"/>
      <c r="BV65" s="5"/>
      <c r="BW65" s="5"/>
      <c r="BX65" s="5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</row>
    <row r="66" spans="1:115" s="34" customFormat="1" ht="19.75" x14ac:dyDescent="0.75">
      <c r="A66" s="5"/>
      <c r="B66" s="2"/>
      <c r="C66" s="2"/>
      <c r="D66" s="10"/>
      <c r="E66" s="2"/>
      <c r="F66" s="2"/>
      <c r="G66" s="2"/>
      <c r="H66" s="2"/>
      <c r="I66" s="10"/>
      <c r="J66" s="10"/>
      <c r="K66" s="5"/>
      <c r="L66" s="5"/>
      <c r="M66" s="5"/>
      <c r="N66" s="7"/>
      <c r="O66" s="7"/>
      <c r="P66" s="7"/>
      <c r="Q66" s="5"/>
      <c r="R66" s="7"/>
      <c r="S66" s="7"/>
      <c r="T66" s="8"/>
      <c r="U66" s="8"/>
      <c r="V66" s="8"/>
      <c r="W66" s="5"/>
      <c r="X66" s="5"/>
      <c r="Y66" s="5"/>
      <c r="Z66" s="5"/>
      <c r="AA66" s="5"/>
      <c r="AB66" s="5"/>
      <c r="AC66" s="5"/>
      <c r="AD66" s="161"/>
      <c r="AE66" s="158" t="s">
        <v>175</v>
      </c>
      <c r="AF66" s="164">
        <f>MAX($AV$52,IF(AF49&lt;0,$AF$70-$AV$52*$AV$58,$AF$70+$AV$52*$AV$58))</f>
        <v>9291688214.1536484</v>
      </c>
      <c r="AG66" s="164">
        <f>MAX($AV$52,IF(AG49&lt;0,$AH$70-$AV$52*$AV$58,$AH$70+$AV$52*$AV$58))</f>
        <v>9518564066.6436481</v>
      </c>
      <c r="AH66" s="164">
        <f>MAX($AV$52,IF(AH49&lt;0,$AJ$70-$AV$52*$AV$58,$AJ$70+$AV$52*$AV$58))</f>
        <v>7580970272.821516</v>
      </c>
      <c r="AI66" s="164">
        <f>MAX($AV$52,IF(AI49&lt;0,$AL$70-$AV$52*$AV$58,$AL$70+$AV$52*$AV$58))</f>
        <v>7556821797.5915155</v>
      </c>
      <c r="AJ66" s="164">
        <f>MAX($AV$52,IF(AJ49&lt;0,$AN$70-$AV$52*$AV$58,$AN$70+$AV$52*$AV$58))</f>
        <v>7531415345.4915161</v>
      </c>
      <c r="AK66" s="164">
        <f>MAX($AV$52,IF(AK49&lt;0,$AP$70-$AV$52*$AV$58,$AP$70+$AV$52*$AV$58))</f>
        <v>7518839858.9815159</v>
      </c>
      <c r="AL66" s="164">
        <f>MAX($AV$52,IF(AL49&lt;0,$AR$70-$AV$52*$AV$58,$AR$70+$AV$52*$AV$58))</f>
        <v>7468416349.2915154</v>
      </c>
      <c r="AM66" s="164">
        <f>MAX($AV$52,IF(AM49&lt;0,$AT$70-$AV$52*$AV$58,$AT$70+$AV$52*$AV$58))</f>
        <v>9324641770.6336479</v>
      </c>
      <c r="AN66" s="164">
        <f>MAX($AV$52,IF(AN49&lt;0,$AU$70-$AV$52*$AV$58,$AU$70+$AV$52*$AV$58))</f>
        <v>9324641770.6336479</v>
      </c>
      <c r="AO66" s="157"/>
      <c r="AP66" s="157"/>
      <c r="AQ66" s="157"/>
      <c r="AR66" s="157"/>
      <c r="AS66" s="157"/>
      <c r="AT66" s="157"/>
      <c r="AU66" s="157"/>
      <c r="AV66" s="157"/>
      <c r="AW66" s="157"/>
      <c r="AX66" s="157"/>
      <c r="AY66" s="158" t="s">
        <v>175</v>
      </c>
      <c r="AZ66" s="164">
        <f>MAX($BP$52,IF(AZ49&lt;0,$AZ$70-$BP$52*$BP$58,$AZ$70+$BP$52*$BP$58))</f>
        <v>9699070538.5516357</v>
      </c>
      <c r="BA66" s="164">
        <f>MAX($BP$52,IF(BA49&lt;0,$BB$70-$BP$52*$BP$58,$BB$70+$BP$52*$BP$58))</f>
        <v>907931869.11768663</v>
      </c>
      <c r="BB66" s="164">
        <f>MAX($BP$52,IF(BB49&lt;0,$BD$70-$BP$52*$BP$58,$BD$70+$BP$52*$BP$58))</f>
        <v>2778827437.0998149</v>
      </c>
      <c r="BC66" s="164">
        <f>MAX($BP$52,IF(BC49&lt;0,$BF$70-$BP$52*$BP$58,$BF$70+$BP$52*$BP$58))</f>
        <v>2780110756.5783315</v>
      </c>
      <c r="BD66" s="164">
        <f>MAX($BP$52,IF(BD49&lt;0,$BH$70-$BP$52*$BP$58,$BH$70+$BP$52*$BP$58))</f>
        <v>2789039375.9975457</v>
      </c>
      <c r="BE66" s="164">
        <f>MAX($BP$52,IF(BE49&lt;0,$BJ$70-$BP$52*$BP$58,$BJ$70+$BP$52*$BP$58))</f>
        <v>2796004924.3829932</v>
      </c>
      <c r="BF66" s="164">
        <f>MAX($BP$52,IF(BF49&lt;0,$BL$70-$BP$52*$BP$58,$BL$70+$BP$52*$BP$58))</f>
        <v>928213809.56076849</v>
      </c>
      <c r="BG66" s="164">
        <f>MAX($BP$52,IF(BG49&lt;0,$BN$70-$BP$52*$BP$58,$BN$70+$BP$52*$BP$58))</f>
        <v>9332019243.8148041</v>
      </c>
      <c r="BH66" s="164">
        <f>MAX($BP$52,IF(BH49&lt;0,$BO$70-$BP$52*$BP$58,$BO$70+$BP$52*$BP$58))</f>
        <v>9332019243.8148041</v>
      </c>
      <c r="BI66" s="157"/>
      <c r="BJ66" s="157"/>
      <c r="BK66" s="157"/>
      <c r="BL66" s="157"/>
      <c r="BM66" s="157"/>
      <c r="BN66" s="157"/>
      <c r="BO66" s="157"/>
      <c r="BP66" s="157"/>
      <c r="BQ66" s="157"/>
      <c r="BR66" s="157"/>
      <c r="BS66" s="5"/>
      <c r="BT66" s="5"/>
      <c r="BU66" s="5"/>
      <c r="BV66" s="5"/>
      <c r="BW66" s="5"/>
      <c r="BX66" s="5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</row>
    <row r="67" spans="1:115" s="34" customFormat="1" ht="19.75" x14ac:dyDescent="0.75">
      <c r="A67" s="5"/>
      <c r="B67" s="2"/>
      <c r="C67" s="2"/>
      <c r="D67" s="10"/>
      <c r="E67" s="2"/>
      <c r="F67" s="2"/>
      <c r="G67" s="2"/>
      <c r="H67" s="2"/>
      <c r="I67" s="10"/>
      <c r="J67" s="10"/>
      <c r="K67" s="5"/>
      <c r="L67" s="5"/>
      <c r="M67" s="5"/>
      <c r="N67" s="7"/>
      <c r="O67" s="7"/>
      <c r="P67" s="7"/>
      <c r="Q67" s="5"/>
      <c r="R67" s="7"/>
      <c r="S67" s="7"/>
      <c r="T67" s="8"/>
      <c r="U67" s="8"/>
      <c r="V67" s="8"/>
      <c r="W67" s="5"/>
      <c r="X67" s="5"/>
      <c r="Y67" s="5"/>
      <c r="Z67" s="5"/>
      <c r="AA67" s="5"/>
      <c r="AB67" s="5"/>
      <c r="AC67" s="5"/>
      <c r="AD67" s="161"/>
      <c r="AE67" s="161"/>
      <c r="AF67" s="164"/>
      <c r="AG67" s="164"/>
      <c r="AH67" s="164"/>
      <c r="AI67" s="164"/>
      <c r="AJ67" s="164"/>
      <c r="AK67" s="164"/>
      <c r="AL67" s="164"/>
      <c r="AM67" s="164"/>
      <c r="AN67" s="157"/>
      <c r="AO67" s="157"/>
      <c r="AP67" s="157"/>
      <c r="AQ67" s="157"/>
      <c r="AR67" s="157"/>
      <c r="AS67" s="157"/>
      <c r="AT67" s="157"/>
      <c r="AU67" s="157"/>
      <c r="AV67" s="157"/>
      <c r="AW67" s="157"/>
      <c r="AX67" s="157"/>
      <c r="AY67" s="161"/>
      <c r="AZ67" s="164"/>
      <c r="BA67" s="164"/>
      <c r="BB67" s="164"/>
      <c r="BC67" s="164"/>
      <c r="BD67" s="164"/>
      <c r="BE67" s="164"/>
      <c r="BF67" s="164"/>
      <c r="BG67" s="164"/>
      <c r="BH67" s="157"/>
      <c r="BI67" s="157"/>
      <c r="BJ67" s="157"/>
      <c r="BK67" s="157"/>
      <c r="BL67" s="157"/>
      <c r="BM67" s="157"/>
      <c r="BN67" s="157"/>
      <c r="BO67" s="157"/>
      <c r="BP67" s="157"/>
      <c r="BQ67" s="157"/>
      <c r="BR67" s="157"/>
      <c r="BS67" s="5"/>
      <c r="BT67" s="5"/>
      <c r="BU67" s="5"/>
      <c r="BV67" s="5"/>
      <c r="BW67" s="5"/>
      <c r="BX67" s="5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</row>
    <row r="68" spans="1:115" s="34" customFormat="1" ht="19.75" x14ac:dyDescent="0.75">
      <c r="A68" s="5"/>
      <c r="B68" s="2"/>
      <c r="C68" s="2"/>
      <c r="D68" s="10"/>
      <c r="E68" s="2"/>
      <c r="F68" s="2"/>
      <c r="G68" s="2"/>
      <c r="H68" s="2"/>
      <c r="I68" s="10"/>
      <c r="J68" s="10"/>
      <c r="K68" s="5"/>
      <c r="L68" s="5"/>
      <c r="M68" s="5"/>
      <c r="N68" s="7"/>
      <c r="O68" s="7"/>
      <c r="P68" s="7"/>
      <c r="Q68" s="5"/>
      <c r="R68" s="7"/>
      <c r="S68" s="7"/>
      <c r="T68" s="8"/>
      <c r="U68" s="8"/>
      <c r="V68" s="8"/>
      <c r="W68" s="5"/>
      <c r="X68" s="5"/>
      <c r="Y68" s="5"/>
      <c r="Z68" s="5"/>
      <c r="AA68" s="5"/>
      <c r="AB68" s="5"/>
      <c r="AC68" s="5"/>
      <c r="AD68" s="161"/>
      <c r="AE68" s="158" t="s">
        <v>188</v>
      </c>
      <c r="AF68" s="590" t="str">
        <f>$AF$48&amp;"-&gt;"&amp;$AG$48</f>
        <v>1-&gt;2</v>
      </c>
      <c r="AG68" s="590"/>
      <c r="AH68" s="159" t="str">
        <f>$AG$48&amp;"-&gt;"&amp;$AH$48</f>
        <v>2-&gt;3</v>
      </c>
      <c r="AI68" s="159"/>
      <c r="AJ68" s="590" t="str">
        <f>$AH$48&amp;"-&gt;"&amp;$AI$48</f>
        <v>3-&gt;4</v>
      </c>
      <c r="AK68" s="590"/>
      <c r="AL68" s="590" t="str">
        <f>$AI$48&amp;"-&gt;"&amp;$AJ$48</f>
        <v>4-&gt;5</v>
      </c>
      <c r="AM68" s="590"/>
      <c r="AN68" s="590" t="str">
        <f>$AJ$48&amp;"-&gt;"&amp;$AK$48</f>
        <v>5-&gt;6</v>
      </c>
      <c r="AO68" s="590"/>
      <c r="AP68" s="590" t="str">
        <f>$AK$48&amp;"-&gt;"&amp;$AL$48</f>
        <v>6-&gt;7</v>
      </c>
      <c r="AQ68" s="590"/>
      <c r="AR68" s="590" t="str">
        <f>$AL$48&amp;"-&gt;"&amp;$AM$48</f>
        <v>7-&gt;8</v>
      </c>
      <c r="AS68" s="590"/>
      <c r="AT68" s="590" t="str">
        <f>$AM$48&amp;"-&gt;"&amp;$AN$48</f>
        <v>8-&gt;9</v>
      </c>
      <c r="AU68" s="590"/>
      <c r="AV68" s="159"/>
      <c r="AW68" s="159"/>
      <c r="AX68" s="159"/>
      <c r="AY68" s="158" t="s">
        <v>188</v>
      </c>
      <c r="AZ68" s="590" t="str">
        <f>$AF$48&amp;"-&gt;"&amp;$AG$48</f>
        <v>1-&gt;2</v>
      </c>
      <c r="BA68" s="590"/>
      <c r="BB68" s="590" t="str">
        <f>$AG$48&amp;"-&gt;"&amp;$AH$48</f>
        <v>2-&gt;3</v>
      </c>
      <c r="BC68" s="590"/>
      <c r="BD68" s="590" t="str">
        <f>$AH$48&amp;"-&gt;"&amp;$AI$48</f>
        <v>3-&gt;4</v>
      </c>
      <c r="BE68" s="590"/>
      <c r="BF68" s="590" t="str">
        <f>$AI$48&amp;"-&gt;"&amp;$AJ$48</f>
        <v>4-&gt;5</v>
      </c>
      <c r="BG68" s="590"/>
      <c r="BH68" s="590" t="str">
        <f>$AJ$48&amp;"-&gt;"&amp;$AK$48</f>
        <v>5-&gt;6</v>
      </c>
      <c r="BI68" s="590"/>
      <c r="BJ68" s="590" t="str">
        <f>$AK$48&amp;"-&gt;"&amp;$AL$48</f>
        <v>6-&gt;7</v>
      </c>
      <c r="BK68" s="590"/>
      <c r="BL68" s="590" t="str">
        <f>$AL$48&amp;"-&gt;"&amp;$AM$48</f>
        <v>7-&gt;8</v>
      </c>
      <c r="BM68" s="590"/>
      <c r="BN68" s="590" t="str">
        <f>$AM$48&amp;"-&gt;"&amp;$AN$48</f>
        <v>8-&gt;9</v>
      </c>
      <c r="BO68" s="590"/>
      <c r="BP68" s="159"/>
      <c r="BQ68" s="159"/>
      <c r="BR68" s="159"/>
      <c r="BS68" s="5"/>
      <c r="BT68" s="5"/>
      <c r="BU68" s="5"/>
      <c r="BV68" s="5"/>
      <c r="BW68" s="5"/>
      <c r="BX68" s="5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</row>
    <row r="69" spans="1:115" s="34" customFormat="1" ht="51.75" customHeight="1" x14ac:dyDescent="0.75">
      <c r="A69" s="5"/>
      <c r="B69" s="2"/>
      <c r="C69" s="2"/>
      <c r="D69" s="10"/>
      <c r="E69" s="2"/>
      <c r="F69" s="2"/>
      <c r="G69" s="2"/>
      <c r="H69" s="2"/>
      <c r="I69" s="10"/>
      <c r="J69" s="10"/>
      <c r="K69" s="5"/>
      <c r="L69" s="5"/>
      <c r="M69" s="5"/>
      <c r="N69" s="7"/>
      <c r="O69" s="7"/>
      <c r="P69" s="7"/>
      <c r="Q69" s="5"/>
      <c r="R69" s="7"/>
      <c r="S69" s="7"/>
      <c r="T69" s="8"/>
      <c r="U69" s="8"/>
      <c r="V69" s="8"/>
      <c r="W69" s="5"/>
      <c r="X69" s="5"/>
      <c r="Y69" s="5"/>
      <c r="Z69" s="5"/>
      <c r="AA69" s="5"/>
      <c r="AB69" s="5"/>
      <c r="AC69" s="5"/>
      <c r="AD69" s="161"/>
      <c r="AE69" s="158" t="s">
        <v>187</v>
      </c>
      <c r="AF69" s="163">
        <f>$AF$48-$AV$55</f>
        <v>0.6</v>
      </c>
      <c r="AG69" s="163">
        <f>AF69+1</f>
        <v>1.6</v>
      </c>
      <c r="AH69" s="163">
        <f>$AG$48-$AV$55</f>
        <v>1.6</v>
      </c>
      <c r="AI69" s="163">
        <f>AH69+1</f>
        <v>2.6</v>
      </c>
      <c r="AJ69" s="163">
        <f>$AH$48-$AV$55</f>
        <v>2.6</v>
      </c>
      <c r="AK69" s="163">
        <f>AJ69+1</f>
        <v>3.6</v>
      </c>
      <c r="AL69" s="163">
        <f>$AI$48-$AV$55</f>
        <v>3.6</v>
      </c>
      <c r="AM69" s="163">
        <f>AL69+1</f>
        <v>4.5999999999999996</v>
      </c>
      <c r="AN69" s="163">
        <f>$AJ$48-$AV$55</f>
        <v>4.5999999999999996</v>
      </c>
      <c r="AO69" s="163">
        <f>AN69+1</f>
        <v>5.6</v>
      </c>
      <c r="AP69" s="163">
        <f>$AK$48-$AV$55</f>
        <v>5.6</v>
      </c>
      <c r="AQ69" s="163">
        <f>AP69+1</f>
        <v>6.6</v>
      </c>
      <c r="AR69" s="163">
        <f>$AL$48-$AV$55</f>
        <v>6.6</v>
      </c>
      <c r="AS69" s="163">
        <f>AR69+1</f>
        <v>7.6</v>
      </c>
      <c r="AT69" s="163">
        <f>$AM$48-$AV$55</f>
        <v>7.6</v>
      </c>
      <c r="AU69" s="163">
        <f>AT69+1</f>
        <v>8.6</v>
      </c>
      <c r="AV69" s="157"/>
      <c r="AW69" s="157"/>
      <c r="AX69" s="157"/>
      <c r="AY69" s="158" t="s">
        <v>187</v>
      </c>
      <c r="AZ69" s="163">
        <f>$AZ$48-$BP$55</f>
        <v>0.6</v>
      </c>
      <c r="BA69" s="163">
        <f>AZ69+1</f>
        <v>1.6</v>
      </c>
      <c r="BB69" s="163">
        <f>$BA$48-$BP$55</f>
        <v>1.6</v>
      </c>
      <c r="BC69" s="163">
        <f>BB69+1</f>
        <v>2.6</v>
      </c>
      <c r="BD69" s="163">
        <f>$BB$48-$BP$55</f>
        <v>2.6</v>
      </c>
      <c r="BE69" s="163">
        <f>BD69+1</f>
        <v>3.6</v>
      </c>
      <c r="BF69" s="163">
        <f>$BC$48-$BP$55</f>
        <v>3.6</v>
      </c>
      <c r="BG69" s="163">
        <f>BF69+1</f>
        <v>4.5999999999999996</v>
      </c>
      <c r="BH69" s="163">
        <f>$BD$48-$BP$55</f>
        <v>4.5999999999999996</v>
      </c>
      <c r="BI69" s="163">
        <f>BH69+1</f>
        <v>5.6</v>
      </c>
      <c r="BJ69" s="163">
        <f>$BE$48-$BP$55</f>
        <v>5.6</v>
      </c>
      <c r="BK69" s="163">
        <f>BJ69+1</f>
        <v>6.6</v>
      </c>
      <c r="BL69" s="163">
        <f>$BF$48-$BP$55</f>
        <v>6.6</v>
      </c>
      <c r="BM69" s="163">
        <f>BL69+1</f>
        <v>7.6</v>
      </c>
      <c r="BN69" s="163">
        <f>$BG$48-$BP$55</f>
        <v>7.6</v>
      </c>
      <c r="BO69" s="163">
        <f>BN69+1</f>
        <v>8.6</v>
      </c>
      <c r="BP69" s="157"/>
      <c r="BQ69" s="157"/>
      <c r="BR69" s="157"/>
      <c r="BS69" s="5"/>
      <c r="BT69" s="5"/>
      <c r="BU69" s="5"/>
      <c r="BV69" s="5"/>
      <c r="BW69" s="5"/>
      <c r="BX69" s="5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</row>
    <row r="70" spans="1:115" s="34" customFormat="1" ht="19.75" x14ac:dyDescent="0.75">
      <c r="A70" s="5"/>
      <c r="B70" s="2"/>
      <c r="C70" s="2"/>
      <c r="D70" s="10"/>
      <c r="E70" s="2"/>
      <c r="F70" s="2"/>
      <c r="G70" s="2"/>
      <c r="H70" s="2"/>
      <c r="I70" s="10"/>
      <c r="J70" s="10"/>
      <c r="K70" s="5"/>
      <c r="L70" s="5"/>
      <c r="M70" s="5"/>
      <c r="N70" s="7"/>
      <c r="O70" s="7"/>
      <c r="P70" s="7"/>
      <c r="Q70" s="5"/>
      <c r="R70" s="7"/>
      <c r="S70" s="7"/>
      <c r="T70" s="8"/>
      <c r="U70" s="8"/>
      <c r="V70" s="8"/>
      <c r="W70" s="5"/>
      <c r="X70" s="5"/>
      <c r="Y70" s="5"/>
      <c r="Z70" s="5"/>
      <c r="AA70" s="5"/>
      <c r="AB70" s="5"/>
      <c r="AC70" s="5"/>
      <c r="AD70" s="161"/>
      <c r="AE70" s="158" t="s">
        <v>174</v>
      </c>
      <c r="AF70" s="162">
        <f>$AF$50-MIN(0,$AV$56-$AU$30)+$AV$50</f>
        <v>8363575503.4825821</v>
      </c>
      <c r="AG70" s="162">
        <f>AF70</f>
        <v>8363575503.4825821</v>
      </c>
      <c r="AH70" s="162">
        <f>$AG$50-MIN(0,$AV$56-$AU$30)+$AV$50</f>
        <v>8590451355.9725819</v>
      </c>
      <c r="AI70" s="162">
        <f>AH70</f>
        <v>8590451355.9725819</v>
      </c>
      <c r="AJ70" s="162">
        <f>$AH$50-MIN(0,$AV$56-$AU$30)+$AV$50</f>
        <v>8509082983.4925823</v>
      </c>
      <c r="AK70" s="162">
        <f>AJ70</f>
        <v>8509082983.4925823</v>
      </c>
      <c r="AL70" s="162">
        <f>$AI$50-MIN(0,$AV$56-$AU$30)+$AV$50</f>
        <v>8484934508.2625818</v>
      </c>
      <c r="AM70" s="162">
        <f>AL70</f>
        <v>8484934508.2625818</v>
      </c>
      <c r="AN70" s="162">
        <f>$AJ$50-MIN(0,$AV$56-$AU$30)+$AV$50</f>
        <v>8459528056.1625824</v>
      </c>
      <c r="AO70" s="162">
        <f>AN70</f>
        <v>8459528056.1625824</v>
      </c>
      <c r="AP70" s="162">
        <f>$AK$50-MIN(0,$AV$56-$AU$30)+$AV$50</f>
        <v>8446952569.6525822</v>
      </c>
      <c r="AQ70" s="162">
        <f>AP70</f>
        <v>8446952569.6525822</v>
      </c>
      <c r="AR70" s="162">
        <f>$AL$50-MIN(0,$AV$56-$AU$30)+$AV$50</f>
        <v>8396529059.9625816</v>
      </c>
      <c r="AS70" s="162">
        <f>AR70</f>
        <v>8396529059.9625816</v>
      </c>
      <c r="AT70" s="162">
        <f>$AM$50-MIN(0,$AV$56-$AU$30)+$AV$50</f>
        <v>8396529059.9625816</v>
      </c>
      <c r="AU70" s="162">
        <f>AT70</f>
        <v>8396529059.9625816</v>
      </c>
      <c r="AV70" s="157"/>
      <c r="AW70" s="157"/>
      <c r="AX70" s="157"/>
      <c r="AY70" s="158" t="s">
        <v>174</v>
      </c>
      <c r="AZ70" s="162">
        <f>$AZ$50-MIN(0,$BP$56-$BA$30)+$BP$50</f>
        <v>8770957827.8805695</v>
      </c>
      <c r="BA70" s="162">
        <f>AZ70</f>
        <v>8770957827.8805695</v>
      </c>
      <c r="BB70" s="162">
        <f>$BA$50-MIN(0,$BP$56-$BA$30)+$BP$50</f>
        <v>1836044579.7887526</v>
      </c>
      <c r="BC70" s="162">
        <f>BB70</f>
        <v>1836044579.7887526</v>
      </c>
      <c r="BD70" s="162">
        <f>$BB$50-MIN(0,$BP$56-$BA$30)+$BP$50</f>
        <v>1850714726.4287491</v>
      </c>
      <c r="BE70" s="162">
        <f>BD70</f>
        <v>1850714726.4287491</v>
      </c>
      <c r="BF70" s="162">
        <f>$BC$50-MIN(0,$BP$56-$BA$30)+$BP$50</f>
        <v>1851998045.9072657</v>
      </c>
      <c r="BG70" s="162">
        <f>BF70</f>
        <v>1851998045.9072657</v>
      </c>
      <c r="BH70" s="162">
        <f>$BD$50-MIN(0,$BP$56-$BA$30)+$BP$50</f>
        <v>1860926665.3264799</v>
      </c>
      <c r="BI70" s="162">
        <f>BH70</f>
        <v>1860926665.3264799</v>
      </c>
      <c r="BJ70" s="162">
        <f>$BE$50-MIN(0,$BP$56-$BA$30)+$BP$50</f>
        <v>1867892213.7119274</v>
      </c>
      <c r="BK70" s="162">
        <f>BJ70</f>
        <v>1867892213.7119274</v>
      </c>
      <c r="BL70" s="162">
        <f>$BF$50-MIN(0,$BP$56-$BA$30)+$BP$50</f>
        <v>1856326520.2318344</v>
      </c>
      <c r="BM70" s="162">
        <f>BL70</f>
        <v>1856326520.2318344</v>
      </c>
      <c r="BN70" s="162">
        <f>$BG$50-MIN(0,$BP$56-$BA$30)+$BP$50</f>
        <v>8403906533.1437387</v>
      </c>
      <c r="BO70" s="162">
        <f>BN70</f>
        <v>8403906533.1437387</v>
      </c>
      <c r="BP70" s="157"/>
      <c r="BQ70" s="157"/>
      <c r="BR70" s="157"/>
      <c r="BS70" s="5"/>
      <c r="BT70" s="5"/>
      <c r="BU70" s="5"/>
      <c r="BV70" s="5"/>
      <c r="BW70" s="5"/>
      <c r="BX70" s="5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</row>
    <row r="71" spans="1:115" s="34" customFormat="1" ht="19.75" x14ac:dyDescent="0.75">
      <c r="A71" s="5"/>
      <c r="B71" s="2"/>
      <c r="C71" s="2"/>
      <c r="D71" s="10"/>
      <c r="E71" s="2"/>
      <c r="F71" s="2"/>
      <c r="G71" s="2"/>
      <c r="H71" s="2"/>
      <c r="I71" s="10"/>
      <c r="J71" s="10"/>
      <c r="K71" s="5"/>
      <c r="L71" s="5"/>
      <c r="M71" s="5"/>
      <c r="N71" s="7"/>
      <c r="O71" s="7"/>
      <c r="P71" s="7"/>
      <c r="Q71" s="5"/>
      <c r="R71" s="7"/>
      <c r="S71" s="7"/>
      <c r="T71" s="8"/>
      <c r="U71" s="8"/>
      <c r="V71" s="8"/>
      <c r="W71" s="5"/>
      <c r="X71" s="5"/>
      <c r="Y71" s="5"/>
      <c r="Z71" s="5"/>
      <c r="AA71" s="5"/>
      <c r="AB71" s="5"/>
      <c r="AC71" s="5"/>
      <c r="AD71" s="161"/>
      <c r="AE71" s="161"/>
      <c r="AF71" s="160"/>
      <c r="AG71" s="160"/>
      <c r="AH71" s="157"/>
      <c r="AI71" s="157"/>
      <c r="AJ71" s="157"/>
      <c r="AK71" s="157"/>
      <c r="AL71" s="157"/>
      <c r="AM71" s="157"/>
      <c r="AN71" s="157"/>
      <c r="AO71" s="157"/>
      <c r="AP71" s="157"/>
      <c r="AQ71" s="157"/>
      <c r="AR71" s="157"/>
      <c r="AS71" s="157"/>
      <c r="AT71" s="157"/>
      <c r="AU71" s="157"/>
      <c r="AV71" s="157"/>
      <c r="AW71" s="157"/>
      <c r="AX71" s="157"/>
      <c r="AY71" s="161"/>
      <c r="AZ71" s="160"/>
      <c r="BA71" s="160"/>
      <c r="BB71" s="157"/>
      <c r="BC71" s="157"/>
      <c r="BD71" s="157"/>
      <c r="BE71" s="157"/>
      <c r="BF71" s="157"/>
      <c r="BG71" s="157"/>
      <c r="BH71" s="157"/>
      <c r="BI71" s="157"/>
      <c r="BJ71" s="157"/>
      <c r="BK71" s="157"/>
      <c r="BL71" s="157"/>
      <c r="BM71" s="157"/>
      <c r="BN71" s="157"/>
      <c r="BO71" s="157"/>
      <c r="BP71" s="157"/>
      <c r="BQ71" s="157"/>
      <c r="BR71" s="157"/>
      <c r="BS71" s="5"/>
      <c r="BT71" s="5"/>
      <c r="BU71" s="5"/>
      <c r="BV71" s="5"/>
      <c r="BW71" s="5"/>
      <c r="BX71" s="5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</row>
    <row r="72" spans="1:115" s="34" customFormat="1" ht="19.75" x14ac:dyDescent="0.75">
      <c r="A72" s="5"/>
      <c r="B72" s="2"/>
      <c r="C72" s="2"/>
      <c r="D72" s="10"/>
      <c r="E72" s="2"/>
      <c r="F72" s="2"/>
      <c r="G72" s="2"/>
      <c r="H72" s="2"/>
      <c r="I72" s="10"/>
      <c r="J72" s="10"/>
      <c r="K72" s="5"/>
      <c r="L72" s="5"/>
      <c r="M72" s="5"/>
      <c r="N72" s="7"/>
      <c r="O72" s="7"/>
      <c r="P72" s="7"/>
      <c r="Q72" s="5"/>
      <c r="R72" s="7"/>
      <c r="S72" s="7"/>
      <c r="T72" s="8"/>
      <c r="U72" s="8"/>
      <c r="V72" s="8"/>
      <c r="W72" s="5"/>
      <c r="X72" s="5"/>
      <c r="Y72" s="5"/>
      <c r="Z72" s="5"/>
      <c r="AA72" s="5"/>
      <c r="AB72" s="5"/>
      <c r="AC72" s="5"/>
      <c r="AD72" s="161"/>
      <c r="AE72" s="161"/>
      <c r="AF72" s="160"/>
      <c r="AG72" s="160"/>
      <c r="AH72" s="157"/>
      <c r="AI72" s="157"/>
      <c r="AJ72" s="157"/>
      <c r="AK72" s="157"/>
      <c r="AL72" s="157"/>
      <c r="AM72" s="157"/>
      <c r="AN72" s="157"/>
      <c r="AO72" s="157"/>
      <c r="AP72" s="157"/>
      <c r="AQ72" s="157"/>
      <c r="AR72" s="157"/>
      <c r="AS72" s="157"/>
      <c r="AT72" s="157"/>
      <c r="AU72" s="157"/>
      <c r="AV72" s="157"/>
      <c r="AW72" s="157"/>
      <c r="AX72" s="157"/>
      <c r="AY72" s="161"/>
      <c r="AZ72" s="160"/>
      <c r="BA72" s="160"/>
      <c r="BB72" s="157"/>
      <c r="BC72" s="157"/>
      <c r="BD72" s="157"/>
      <c r="BE72" s="157"/>
      <c r="BF72" s="157"/>
      <c r="BG72" s="157"/>
      <c r="BH72" s="157"/>
      <c r="BI72" s="157"/>
      <c r="BJ72" s="157"/>
      <c r="BK72" s="157"/>
      <c r="BL72" s="157"/>
      <c r="BM72" s="157"/>
      <c r="BN72" s="157"/>
      <c r="BO72" s="157"/>
      <c r="BP72" s="157"/>
      <c r="BQ72" s="157"/>
      <c r="BR72" s="157"/>
      <c r="BS72" s="5"/>
      <c r="BT72" s="5"/>
      <c r="BU72" s="5"/>
      <c r="BV72" s="5"/>
      <c r="BW72" s="5"/>
      <c r="BX72" s="5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</row>
    <row r="73" spans="1:115" s="34" customFormat="1" ht="19.75" x14ac:dyDescent="0.75">
      <c r="A73" s="5"/>
      <c r="B73" s="2"/>
      <c r="C73" s="2"/>
      <c r="D73" s="10"/>
      <c r="E73" s="2"/>
      <c r="F73" s="2"/>
      <c r="G73" s="2"/>
      <c r="H73" s="2"/>
      <c r="I73" s="10"/>
      <c r="J73" s="10"/>
      <c r="K73" s="5"/>
      <c r="L73" s="5"/>
      <c r="M73" s="5"/>
      <c r="N73" s="7"/>
      <c r="O73" s="7"/>
      <c r="P73" s="7"/>
      <c r="Q73" s="5"/>
      <c r="R73" s="7"/>
      <c r="S73" s="7"/>
      <c r="T73" s="8"/>
      <c r="U73" s="8"/>
      <c r="V73" s="8"/>
      <c r="W73" s="5"/>
      <c r="X73" s="5"/>
      <c r="Y73" s="5"/>
      <c r="Z73" s="5"/>
      <c r="AA73" s="5"/>
      <c r="AB73" s="5"/>
      <c r="AC73" s="5"/>
      <c r="AD73" s="157"/>
      <c r="AE73" s="159" t="s">
        <v>186</v>
      </c>
      <c r="AF73" s="157"/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57"/>
      <c r="AR73" s="157"/>
      <c r="AS73" s="157"/>
      <c r="AT73" s="157"/>
      <c r="AU73" s="157"/>
      <c r="AV73" s="157"/>
      <c r="AW73" s="157"/>
      <c r="AX73" s="157"/>
      <c r="AY73" s="159" t="s">
        <v>186</v>
      </c>
      <c r="AZ73" s="157"/>
      <c r="BA73" s="157"/>
      <c r="BB73" s="157"/>
      <c r="BC73" s="157"/>
      <c r="BD73" s="157"/>
      <c r="BE73" s="157"/>
      <c r="BF73" s="157"/>
      <c r="BG73" s="157"/>
      <c r="BH73" s="157"/>
      <c r="BI73" s="157"/>
      <c r="BJ73" s="157"/>
      <c r="BK73" s="157"/>
      <c r="BL73" s="157"/>
      <c r="BM73" s="157"/>
      <c r="BN73" s="157"/>
      <c r="BO73" s="157"/>
      <c r="BP73" s="157"/>
      <c r="BQ73" s="157"/>
      <c r="BR73" s="157"/>
      <c r="BS73" s="5"/>
      <c r="BT73" s="5"/>
      <c r="BU73" s="5"/>
      <c r="BV73" s="5"/>
      <c r="BW73" s="5"/>
      <c r="BX73" s="5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</row>
    <row r="74" spans="1:115" s="34" customFormat="1" ht="19.75" x14ac:dyDescent="0.75">
      <c r="A74" s="5"/>
      <c r="B74" s="2"/>
      <c r="C74" s="2"/>
      <c r="D74" s="10"/>
      <c r="E74" s="2"/>
      <c r="F74" s="2"/>
      <c r="G74" s="2"/>
      <c r="H74" s="2"/>
      <c r="I74" s="10"/>
      <c r="J74" s="10"/>
      <c r="K74" s="5"/>
      <c r="L74" s="5"/>
      <c r="M74" s="5"/>
      <c r="N74" s="7"/>
      <c r="O74" s="7"/>
      <c r="P74" s="7"/>
      <c r="Q74" s="5"/>
      <c r="R74" s="7"/>
      <c r="S74" s="7"/>
      <c r="T74" s="8"/>
      <c r="U74" s="8"/>
      <c r="V74" s="8"/>
      <c r="W74" s="5"/>
      <c r="X74" s="5"/>
      <c r="Y74" s="5"/>
      <c r="Z74" s="5"/>
      <c r="AA74" s="5"/>
      <c r="AB74" s="5"/>
      <c r="AC74" s="5"/>
      <c r="AD74" s="157"/>
      <c r="AE74" s="157"/>
      <c r="AF74" s="157"/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57"/>
      <c r="AR74" s="157"/>
      <c r="AS74" s="157"/>
      <c r="AT74" s="157"/>
      <c r="AU74" s="157"/>
      <c r="AV74" s="157"/>
      <c r="AW74" s="157"/>
      <c r="AX74" s="157"/>
      <c r="AY74" s="157"/>
      <c r="AZ74" s="157"/>
      <c r="BA74" s="157"/>
      <c r="BB74" s="157"/>
      <c r="BC74" s="157"/>
      <c r="BD74" s="157"/>
      <c r="BE74" s="157"/>
      <c r="BF74" s="157"/>
      <c r="BG74" s="157"/>
      <c r="BH74" s="157"/>
      <c r="BI74" s="157"/>
      <c r="BJ74" s="157"/>
      <c r="BK74" s="157"/>
      <c r="BL74" s="157"/>
      <c r="BM74" s="157"/>
      <c r="BN74" s="157"/>
      <c r="BO74" s="157"/>
      <c r="BP74" s="157"/>
      <c r="BQ74" s="157"/>
      <c r="BR74" s="157"/>
      <c r="BS74" s="5"/>
      <c r="BT74" s="5"/>
      <c r="BU74" s="5"/>
      <c r="BV74" s="5"/>
      <c r="BW74" s="5"/>
      <c r="BX74" s="5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</row>
    <row r="75" spans="1:115" s="34" customFormat="1" ht="19.75" x14ac:dyDescent="0.75">
      <c r="A75" s="5"/>
      <c r="B75" s="2"/>
      <c r="C75" s="2"/>
      <c r="D75" s="10"/>
      <c r="E75" s="2"/>
      <c r="F75" s="2"/>
      <c r="G75" s="2"/>
      <c r="H75" s="2"/>
      <c r="I75" s="10"/>
      <c r="J75" s="10"/>
      <c r="K75" s="5"/>
      <c r="L75" s="5"/>
      <c r="M75" s="5"/>
      <c r="N75" s="7"/>
      <c r="O75" s="7"/>
      <c r="P75" s="7"/>
      <c r="Q75" s="5"/>
      <c r="R75" s="7"/>
      <c r="S75" s="7"/>
      <c r="T75" s="8"/>
      <c r="U75" s="8"/>
      <c r="V75" s="8"/>
      <c r="W75" s="5"/>
      <c r="X75" s="5"/>
      <c r="Y75" s="5"/>
      <c r="Z75" s="5"/>
      <c r="AA75" s="5"/>
      <c r="AB75" s="5"/>
      <c r="AC75" s="5"/>
      <c r="AD75" s="157"/>
      <c r="AE75" s="158" t="s">
        <v>185</v>
      </c>
      <c r="AF75" s="157">
        <f t="shared" ref="AF75:AN75" si="31">AF52/$AV$53*$AV$47*100</f>
        <v>17.309740388681469</v>
      </c>
      <c r="AG75" s="157">
        <f t="shared" si="31"/>
        <v>17.309740388681469</v>
      </c>
      <c r="AH75" s="157">
        <f t="shared" si="31"/>
        <v>17.309740388681469</v>
      </c>
      <c r="AI75" s="157">
        <f t="shared" si="31"/>
        <v>17.309740388681469</v>
      </c>
      <c r="AJ75" s="157">
        <f t="shared" si="31"/>
        <v>17.309740388681469</v>
      </c>
      <c r="AK75" s="157">
        <f t="shared" si="31"/>
        <v>17.309740388681469</v>
      </c>
      <c r="AL75" s="157">
        <f t="shared" si="31"/>
        <v>17.309740388681469</v>
      </c>
      <c r="AM75" s="157">
        <f t="shared" si="31"/>
        <v>17.309740388681469</v>
      </c>
      <c r="AN75" s="157">
        <f t="shared" si="31"/>
        <v>17.309740388681469</v>
      </c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8" t="s">
        <v>185</v>
      </c>
      <c r="AZ75" s="157">
        <f t="shared" ref="AZ75:BH75" si="32">AZ52/$BP$53*$BP$47*100</f>
        <v>17.309740388681469</v>
      </c>
      <c r="BA75" s="157">
        <f t="shared" si="32"/>
        <v>17.309740388681469</v>
      </c>
      <c r="BB75" s="157">
        <f t="shared" si="32"/>
        <v>17.309740388681469</v>
      </c>
      <c r="BC75" s="157">
        <f t="shared" si="32"/>
        <v>17.309740388681469</v>
      </c>
      <c r="BD75" s="157">
        <f t="shared" si="32"/>
        <v>17.309740388681469</v>
      </c>
      <c r="BE75" s="157">
        <f t="shared" si="32"/>
        <v>17.309740388681469</v>
      </c>
      <c r="BF75" s="157">
        <f t="shared" si="32"/>
        <v>17.309740388681469</v>
      </c>
      <c r="BG75" s="157">
        <f t="shared" si="32"/>
        <v>17.309740388681469</v>
      </c>
      <c r="BH75" s="157">
        <f t="shared" si="32"/>
        <v>17.309740388681469</v>
      </c>
      <c r="BI75" s="157"/>
      <c r="BJ75" s="157"/>
      <c r="BK75" s="157"/>
      <c r="BL75" s="157"/>
      <c r="BM75" s="157"/>
      <c r="BN75" s="157"/>
      <c r="BO75" s="157"/>
      <c r="BP75" s="157"/>
      <c r="BQ75" s="157"/>
      <c r="BR75" s="157"/>
      <c r="BS75" s="5"/>
      <c r="BT75" s="5"/>
      <c r="BU75" s="5"/>
      <c r="BV75" s="5"/>
      <c r="BW75" s="5"/>
      <c r="BX75" s="5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</row>
    <row r="76" spans="1:115" s="34" customFormat="1" ht="19.75" x14ac:dyDescent="0.75">
      <c r="A76" s="5"/>
      <c r="B76" s="2"/>
      <c r="C76" s="2"/>
      <c r="D76" s="10"/>
      <c r="E76" s="2"/>
      <c r="F76" s="2"/>
      <c r="G76" s="2"/>
      <c r="H76" s="2"/>
      <c r="I76" s="10"/>
      <c r="J76" s="10"/>
      <c r="K76" s="5"/>
      <c r="L76" s="5"/>
      <c r="M76" s="5"/>
      <c r="N76" s="7"/>
      <c r="O76" s="7"/>
      <c r="P76" s="7"/>
      <c r="Q76" s="5"/>
      <c r="R76" s="7"/>
      <c r="S76" s="7"/>
      <c r="T76" s="8"/>
      <c r="U76" s="8"/>
      <c r="V76" s="8"/>
      <c r="W76" s="5"/>
      <c r="X76" s="5"/>
      <c r="Y76" s="5"/>
      <c r="Z76" s="5"/>
      <c r="AA76" s="5"/>
      <c r="AB76" s="5"/>
      <c r="AC76" s="5"/>
      <c r="AD76" s="157"/>
      <c r="AE76" s="158" t="s">
        <v>184</v>
      </c>
      <c r="AF76" s="157">
        <f t="shared" ref="AF76:AN76" si="33">AF53/$AV$53*$AV$47*100</f>
        <v>3.8406922968494119</v>
      </c>
      <c r="AG76" s="157">
        <f t="shared" si="33"/>
        <v>1.7017670494490822</v>
      </c>
      <c r="AH76" s="157">
        <f t="shared" si="33"/>
        <v>1.7017670494490822</v>
      </c>
      <c r="AI76" s="157">
        <f t="shared" si="33"/>
        <v>2.4688864423999801</v>
      </c>
      <c r="AJ76" s="157">
        <f t="shared" si="33"/>
        <v>2.6965518496647096</v>
      </c>
      <c r="AK76" s="157">
        <f t="shared" si="33"/>
        <v>2.9360771285656551</v>
      </c>
      <c r="AL76" s="157">
        <f t="shared" si="33"/>
        <v>3.0546354735784504</v>
      </c>
      <c r="AM76" s="157">
        <f t="shared" si="33"/>
        <v>3.5300149234175646</v>
      </c>
      <c r="AN76" s="157">
        <f t="shared" si="33"/>
        <v>3.4992483494641125</v>
      </c>
      <c r="AO76" s="157"/>
      <c r="AP76" s="157"/>
      <c r="AQ76" s="157"/>
      <c r="AR76" s="157"/>
      <c r="AS76" s="157"/>
      <c r="AT76" s="157"/>
      <c r="AU76" s="157"/>
      <c r="AV76" s="157">
        <f>IF(AU31&lt;&gt;0,(AV65+AV64/2)/$AV$53*$AV$47*100,0-(AV65+AV64/2)/$AV$53*$AV$47*100)</f>
        <v>-78.849567314469112</v>
      </c>
      <c r="AW76" s="157"/>
      <c r="AX76" s="157"/>
      <c r="AY76" s="158" t="s">
        <v>184</v>
      </c>
      <c r="AZ76" s="157">
        <f t="shared" ref="AZ76:BH76" si="34">AZ53/$BP$53*$BP$47*100</f>
        <v>0</v>
      </c>
      <c r="BA76" s="157">
        <f t="shared" si="34"/>
        <v>0</v>
      </c>
      <c r="BB76" s="157">
        <f t="shared" si="34"/>
        <v>65.242212978552587</v>
      </c>
      <c r="BC76" s="157">
        <f t="shared" si="34"/>
        <v>65.230114183537808</v>
      </c>
      <c r="BD76" s="157">
        <f t="shared" si="34"/>
        <v>65.145937532340298</v>
      </c>
      <c r="BE76" s="157">
        <f t="shared" si="34"/>
        <v>65.080268193183642</v>
      </c>
      <c r="BF76" s="157">
        <f t="shared" si="34"/>
        <v>65.080268193183642</v>
      </c>
      <c r="BG76" s="157">
        <f t="shared" si="34"/>
        <v>3.4604620667516461</v>
      </c>
      <c r="BH76" s="157">
        <f t="shared" si="34"/>
        <v>3.4992483494641125</v>
      </c>
      <c r="BI76" s="157"/>
      <c r="BJ76" s="157"/>
      <c r="BK76" s="157"/>
      <c r="BL76" s="157"/>
      <c r="BM76" s="157"/>
      <c r="BN76" s="157"/>
      <c r="BO76" s="157"/>
      <c r="BP76" s="157">
        <f>IF(AU31&lt;&gt;0,(BP65+BP64/2)/$BP$53*$BP$47*100,0-(BP65+BP64/2)/$BP$53*$BP$47*100)</f>
        <v>-78.849567314469112</v>
      </c>
      <c r="BQ76" s="157"/>
      <c r="BR76" s="157"/>
      <c r="BS76" s="5"/>
      <c r="BT76" s="5"/>
      <c r="BU76" s="5"/>
      <c r="BV76" s="5"/>
      <c r="BW76" s="5"/>
      <c r="BX76" s="5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</row>
    <row r="77" spans="1:115" s="34" customFormat="1" ht="19.75" x14ac:dyDescent="0.75">
      <c r="A77" s="5"/>
      <c r="B77" s="2"/>
      <c r="C77" s="2"/>
      <c r="D77" s="10"/>
      <c r="E77" s="2"/>
      <c r="F77" s="2"/>
      <c r="G77" s="2"/>
      <c r="H77" s="2"/>
      <c r="I77" s="10"/>
      <c r="J77" s="10"/>
      <c r="K77" s="5"/>
      <c r="L77" s="5"/>
      <c r="M77" s="5"/>
      <c r="N77" s="7"/>
      <c r="O77" s="7"/>
      <c r="P77" s="7"/>
      <c r="Q77" s="5"/>
      <c r="R77" s="7"/>
      <c r="S77" s="7"/>
      <c r="T77" s="8"/>
      <c r="U77" s="8"/>
      <c r="V77" s="8"/>
      <c r="W77" s="5"/>
      <c r="X77" s="5"/>
      <c r="Y77" s="5"/>
      <c r="Z77" s="5"/>
      <c r="AA77" s="5"/>
      <c r="AB77" s="5"/>
      <c r="AC77" s="5"/>
      <c r="AD77" s="5"/>
      <c r="AE77" s="158" t="s">
        <v>183</v>
      </c>
      <c r="AF77" s="157">
        <f t="shared" ref="AF77:AN77" si="35">AF54/$AV$53*$AV$47*100</f>
        <v>0</v>
      </c>
      <c r="AG77" s="157">
        <f t="shared" si="35"/>
        <v>2.13892524740033</v>
      </c>
      <c r="AH77" s="157">
        <f t="shared" si="35"/>
        <v>0</v>
      </c>
      <c r="AI77" s="157">
        <f t="shared" si="35"/>
        <v>0</v>
      </c>
      <c r="AJ77" s="157">
        <f t="shared" si="35"/>
        <v>0</v>
      </c>
      <c r="AK77" s="157">
        <f t="shared" si="35"/>
        <v>0</v>
      </c>
      <c r="AL77" s="157">
        <f t="shared" si="35"/>
        <v>0</v>
      </c>
      <c r="AM77" s="157">
        <f t="shared" si="35"/>
        <v>0</v>
      </c>
      <c r="AN77" s="157">
        <f t="shared" si="35"/>
        <v>0.34144394738529993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158" t="s">
        <v>183</v>
      </c>
      <c r="AZ77" s="157">
        <f t="shared" ref="AZ77:BH77" si="36">AZ54/$BP$53*$BP$47*100</f>
        <v>3.8406922968494119</v>
      </c>
      <c r="BA77" s="157">
        <f t="shared" si="36"/>
        <v>0</v>
      </c>
      <c r="BB77" s="157">
        <f t="shared" si="36"/>
        <v>0.13830624408446349</v>
      </c>
      <c r="BC77" s="157">
        <f t="shared" si="36"/>
        <v>1.2098795014776696E-2</v>
      </c>
      <c r="BD77" s="157">
        <f t="shared" si="36"/>
        <v>8.4176651197500146E-2</v>
      </c>
      <c r="BE77" s="157">
        <f t="shared" si="36"/>
        <v>6.5669339156663772E-2</v>
      </c>
      <c r="BF77" s="157">
        <f t="shared" si="36"/>
        <v>0</v>
      </c>
      <c r="BG77" s="157">
        <f t="shared" si="36"/>
        <v>61.728844411100724</v>
      </c>
      <c r="BH77" s="157">
        <f t="shared" si="36"/>
        <v>0.34144394738529993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</row>
    <row r="78" spans="1:115" s="34" customFormat="1" ht="19.75" x14ac:dyDescent="0.75">
      <c r="A78" s="5"/>
      <c r="B78" s="2"/>
      <c r="C78" s="2"/>
      <c r="D78" s="10"/>
      <c r="E78" s="2"/>
      <c r="F78" s="2"/>
      <c r="G78" s="2"/>
      <c r="H78" s="2"/>
      <c r="I78" s="10"/>
      <c r="J78" s="10"/>
      <c r="K78" s="5"/>
      <c r="L78" s="5"/>
      <c r="M78" s="5"/>
      <c r="N78" s="7"/>
      <c r="O78" s="7"/>
      <c r="P78" s="7"/>
      <c r="Q78" s="5"/>
      <c r="R78" s="7"/>
      <c r="S78" s="7"/>
      <c r="T78" s="8"/>
      <c r="U78" s="8"/>
      <c r="V78" s="8"/>
      <c r="W78" s="5"/>
      <c r="X78" s="5"/>
      <c r="Y78" s="5"/>
      <c r="Z78" s="5"/>
      <c r="AA78" s="5"/>
      <c r="AB78" s="5"/>
      <c r="AC78" s="5"/>
      <c r="AD78" s="5"/>
      <c r="AE78" s="158" t="s">
        <v>182</v>
      </c>
      <c r="AF78" s="157">
        <f t="shared" ref="AF78:AN78" si="37">AF55/$AV$53*$AV$47*100</f>
        <v>0</v>
      </c>
      <c r="AG78" s="157">
        <f t="shared" si="37"/>
        <v>0</v>
      </c>
      <c r="AH78" s="157">
        <f t="shared" si="37"/>
        <v>0.7671193929508977</v>
      </c>
      <c r="AI78" s="157">
        <f t="shared" si="37"/>
        <v>0.22766540726472925</v>
      </c>
      <c r="AJ78" s="157">
        <f t="shared" si="37"/>
        <v>0.23952527890094588</v>
      </c>
      <c r="AK78" s="157">
        <f t="shared" si="37"/>
        <v>0.11855834501279527</v>
      </c>
      <c r="AL78" s="157">
        <f t="shared" si="37"/>
        <v>0.47537944983911384</v>
      </c>
      <c r="AM78" s="157">
        <f t="shared" si="37"/>
        <v>0</v>
      </c>
      <c r="AN78" s="157">
        <f t="shared" si="37"/>
        <v>0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158" t="s">
        <v>182</v>
      </c>
      <c r="AZ78" s="157">
        <f t="shared" ref="AZ78:BH78" si="38">AZ55/$BP$53*$BP$47*100</f>
        <v>0</v>
      </c>
      <c r="BA78" s="157">
        <f t="shared" si="38"/>
        <v>65.380519222637062</v>
      </c>
      <c r="BB78" s="157">
        <f t="shared" si="38"/>
        <v>0</v>
      </c>
      <c r="BC78" s="157">
        <f t="shared" si="38"/>
        <v>0</v>
      </c>
      <c r="BD78" s="157">
        <f t="shared" si="38"/>
        <v>0</v>
      </c>
      <c r="BE78" s="157">
        <f t="shared" si="38"/>
        <v>0</v>
      </c>
      <c r="BF78" s="157">
        <f t="shared" si="38"/>
        <v>0.10903828466872285</v>
      </c>
      <c r="BG78" s="157">
        <f t="shared" si="38"/>
        <v>0</v>
      </c>
      <c r="BH78" s="157">
        <f t="shared" si="38"/>
        <v>0</v>
      </c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</row>
    <row r="79" spans="1:115" s="34" customFormat="1" ht="19.75" x14ac:dyDescent="0.75">
      <c r="A79" s="5"/>
      <c r="B79" s="2"/>
      <c r="C79" s="2"/>
      <c r="D79" s="10"/>
      <c r="E79" s="2"/>
      <c r="F79" s="2"/>
      <c r="G79" s="2"/>
      <c r="H79" s="2"/>
      <c r="I79" s="10"/>
      <c r="J79" s="10"/>
      <c r="K79" s="5"/>
      <c r="L79" s="5"/>
      <c r="M79" s="5"/>
      <c r="N79" s="7"/>
      <c r="O79" s="7"/>
      <c r="P79" s="7"/>
      <c r="Q79" s="5"/>
      <c r="R79" s="7"/>
      <c r="S79" s="7"/>
      <c r="T79" s="8"/>
      <c r="U79" s="8"/>
      <c r="V79" s="8"/>
      <c r="W79" s="5"/>
      <c r="X79" s="5"/>
      <c r="Y79" s="5"/>
      <c r="Z79" s="5"/>
      <c r="AA79" s="5"/>
      <c r="AB79" s="5"/>
      <c r="AC79" s="5"/>
      <c r="AD79" s="5"/>
      <c r="AE79" s="158" t="s">
        <v>181</v>
      </c>
      <c r="AF79" s="157">
        <f t="shared" ref="AF79:AN79" si="39">AF56/$AV$53*$AV$47*100</f>
        <v>61.539826925787644</v>
      </c>
      <c r="AG79" s="157">
        <f t="shared" si="39"/>
        <v>61.539826925787644</v>
      </c>
      <c r="AH79" s="157">
        <f t="shared" si="39"/>
        <v>62.911632780237085</v>
      </c>
      <c r="AI79" s="157">
        <f t="shared" si="39"/>
        <v>62.68396737297234</v>
      </c>
      <c r="AJ79" s="157">
        <f t="shared" si="39"/>
        <v>62.444442094071405</v>
      </c>
      <c r="AK79" s="157">
        <f t="shared" si="39"/>
        <v>62.325883749058605</v>
      </c>
      <c r="AL79" s="157">
        <f t="shared" si="39"/>
        <v>61.850504299219487</v>
      </c>
      <c r="AM79" s="157">
        <f t="shared" si="39"/>
        <v>61.850504299219487</v>
      </c>
      <c r="AN79" s="157">
        <f t="shared" si="39"/>
        <v>61.539826925787644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158" t="s">
        <v>181</v>
      </c>
      <c r="AZ79" s="157">
        <f t="shared" ref="AZ79:BH79" si="40">AZ56/$BP$53*$BP$47*100</f>
        <v>61.539826925787644</v>
      </c>
      <c r="BA79" s="157">
        <f t="shared" si="40"/>
        <v>0</v>
      </c>
      <c r="BB79" s="157">
        <f t="shared" si="40"/>
        <v>4.4954940130715065E-15</v>
      </c>
      <c r="BC79" s="157">
        <f t="shared" si="40"/>
        <v>0.13830624408447023</v>
      </c>
      <c r="BD79" s="157">
        <f t="shared" si="40"/>
        <v>0.15040503909924691</v>
      </c>
      <c r="BE79" s="157">
        <f t="shared" si="40"/>
        <v>0.23458169029674369</v>
      </c>
      <c r="BF79" s="157">
        <f t="shared" si="40"/>
        <v>0.19121274478468236</v>
      </c>
      <c r="BG79" s="157">
        <f t="shared" si="40"/>
        <v>0.19121274478468236</v>
      </c>
      <c r="BH79" s="157">
        <f t="shared" si="40"/>
        <v>61.539826925787644</v>
      </c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</row>
    <row r="80" spans="1:115" s="34" customFormat="1" ht="19.75" x14ac:dyDescent="0.75">
      <c r="A80" s="5"/>
      <c r="B80" s="2"/>
      <c r="C80" s="2"/>
      <c r="D80" s="10"/>
      <c r="E80" s="2"/>
      <c r="F80" s="2"/>
      <c r="G80" s="2"/>
      <c r="H80" s="2"/>
      <c r="I80" s="10"/>
      <c r="J80" s="10"/>
      <c r="K80" s="5"/>
      <c r="L80" s="5"/>
      <c r="M80" s="5"/>
      <c r="N80" s="7"/>
      <c r="O80" s="7"/>
      <c r="P80" s="7"/>
      <c r="Q80" s="5"/>
      <c r="R80" s="7"/>
      <c r="S80" s="7"/>
      <c r="T80" s="8"/>
      <c r="U80" s="8"/>
      <c r="V80" s="8"/>
      <c r="W80" s="5"/>
      <c r="X80" s="5"/>
      <c r="Y80" s="5"/>
      <c r="Z80" s="5"/>
      <c r="AA80" s="5"/>
      <c r="AB80" s="5"/>
      <c r="AC80" s="5"/>
      <c r="AD80" s="5"/>
      <c r="AE80" s="158" t="s">
        <v>180</v>
      </c>
      <c r="AF80" s="157">
        <f t="shared" ref="AF80:AN80" si="41">AF57/$AV$53*$AV$47*100</f>
        <v>17.309740388681469</v>
      </c>
      <c r="AG80" s="157">
        <f t="shared" si="41"/>
        <v>17.309740388681469</v>
      </c>
      <c r="AH80" s="157">
        <f t="shared" si="41"/>
        <v>17.309740388681469</v>
      </c>
      <c r="AI80" s="157">
        <f t="shared" si="41"/>
        <v>17.309740388681469</v>
      </c>
      <c r="AJ80" s="157">
        <f t="shared" si="41"/>
        <v>17.309740388681469</v>
      </c>
      <c r="AK80" s="157">
        <f t="shared" si="41"/>
        <v>17.309740388681469</v>
      </c>
      <c r="AL80" s="157">
        <f t="shared" si="41"/>
        <v>17.309740388681469</v>
      </c>
      <c r="AM80" s="157">
        <f t="shared" si="41"/>
        <v>17.309740388681469</v>
      </c>
      <c r="AN80" s="157">
        <f t="shared" si="41"/>
        <v>17.309740388681469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158" t="s">
        <v>180</v>
      </c>
      <c r="AZ80" s="157">
        <f t="shared" ref="AZ80:BH80" si="42">AZ57/$BP$53*$AV$47*100</f>
        <v>17.309740388681469</v>
      </c>
      <c r="BA80" s="157">
        <f t="shared" si="42"/>
        <v>17.309740388681469</v>
      </c>
      <c r="BB80" s="157">
        <f t="shared" si="42"/>
        <v>17.309740388681469</v>
      </c>
      <c r="BC80" s="157">
        <f t="shared" si="42"/>
        <v>17.309740388681469</v>
      </c>
      <c r="BD80" s="157">
        <f t="shared" si="42"/>
        <v>17.309740388681469</v>
      </c>
      <c r="BE80" s="157">
        <f t="shared" si="42"/>
        <v>17.309740388681469</v>
      </c>
      <c r="BF80" s="157">
        <f t="shared" si="42"/>
        <v>17.309740388681469</v>
      </c>
      <c r="BG80" s="157">
        <f t="shared" si="42"/>
        <v>17.309740388681469</v>
      </c>
      <c r="BH80" s="157">
        <f t="shared" si="42"/>
        <v>17.309740388681469</v>
      </c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</row>
    <row r="81" spans="1:115" s="34" customFormat="1" ht="13.5" x14ac:dyDescent="0.75">
      <c r="A81" s="5"/>
      <c r="B81" s="2"/>
      <c r="C81" s="2"/>
      <c r="D81" s="10"/>
      <c r="E81" s="2"/>
      <c r="F81" s="2"/>
      <c r="G81" s="2"/>
      <c r="H81" s="2"/>
      <c r="I81" s="10"/>
      <c r="J81" s="10"/>
      <c r="K81" s="5"/>
      <c r="L81" s="5"/>
      <c r="M81" s="5"/>
      <c r="N81" s="7"/>
      <c r="O81" s="7"/>
      <c r="P81" s="7"/>
      <c r="Q81" s="5"/>
      <c r="R81" s="7"/>
      <c r="S81" s="7"/>
      <c r="T81" s="8"/>
      <c r="U81" s="8"/>
      <c r="V81" s="8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</row>
    <row r="82" spans="1:115" s="34" customFormat="1" ht="19.75" x14ac:dyDescent="0.75">
      <c r="A82" s="5"/>
      <c r="B82" s="2"/>
      <c r="C82" s="2"/>
      <c r="D82" s="10"/>
      <c r="E82" s="2"/>
      <c r="F82" s="2"/>
      <c r="G82" s="2"/>
      <c r="H82" s="2"/>
      <c r="I82" s="10"/>
      <c r="J82" s="10"/>
      <c r="K82" s="5"/>
      <c r="L82" s="5"/>
      <c r="M82" s="5"/>
      <c r="N82" s="7"/>
      <c r="O82" s="7"/>
      <c r="P82" s="7"/>
      <c r="Q82" s="5"/>
      <c r="R82" s="7"/>
      <c r="S82" s="7"/>
      <c r="T82" s="8"/>
      <c r="U82" s="8"/>
      <c r="V82" s="8"/>
      <c r="W82" s="5"/>
      <c r="X82" s="5"/>
      <c r="Y82" s="5"/>
      <c r="Z82" s="5"/>
      <c r="AA82" s="5"/>
      <c r="AB82" s="5"/>
      <c r="AC82" s="5"/>
      <c r="AD82" s="5"/>
      <c r="AE82" s="158" t="s">
        <v>179</v>
      </c>
      <c r="AF82" s="157">
        <f t="shared" ref="AF82:AN82" si="43">AF59/$AV$53*$AV$47*100</f>
        <v>20.804237877757252</v>
      </c>
      <c r="AG82" s="157">
        <f t="shared" si="43"/>
        <v>20.804237877757252</v>
      </c>
      <c r="AH82" s="157">
        <f t="shared" si="43"/>
        <v>20.804237877757252</v>
      </c>
      <c r="AI82" s="157">
        <f t="shared" si="43"/>
        <v>20.804237877757252</v>
      </c>
      <c r="AJ82" s="157">
        <f t="shared" si="43"/>
        <v>20.804237877757252</v>
      </c>
      <c r="AK82" s="157">
        <f t="shared" si="43"/>
        <v>20.804237877757252</v>
      </c>
      <c r="AL82" s="157">
        <f t="shared" si="43"/>
        <v>20.804237877757252</v>
      </c>
      <c r="AM82" s="157">
        <f t="shared" si="43"/>
        <v>20.804237877757252</v>
      </c>
      <c r="AN82" s="157">
        <f t="shared" si="43"/>
        <v>20.804237877757252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158" t="s">
        <v>179</v>
      </c>
      <c r="AZ82" s="157">
        <f t="shared" ref="AZ82:BH82" si="44">AZ59/$BP$53*$BP$47*100</f>
        <v>20.804237877757252</v>
      </c>
      <c r="BA82" s="157">
        <f t="shared" si="44"/>
        <v>20.804237877757252</v>
      </c>
      <c r="BB82" s="157">
        <f t="shared" si="44"/>
        <v>20.804237877757252</v>
      </c>
      <c r="BC82" s="157">
        <f t="shared" si="44"/>
        <v>20.804237877757252</v>
      </c>
      <c r="BD82" s="157">
        <f t="shared" si="44"/>
        <v>20.804237877757252</v>
      </c>
      <c r="BE82" s="157">
        <f t="shared" si="44"/>
        <v>20.804237877757252</v>
      </c>
      <c r="BF82" s="157">
        <f t="shared" si="44"/>
        <v>20.804237877757252</v>
      </c>
      <c r="BG82" s="157">
        <f t="shared" si="44"/>
        <v>20.804237877757252</v>
      </c>
      <c r="BH82" s="157">
        <f t="shared" si="44"/>
        <v>20.804237877757252</v>
      </c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</row>
    <row r="83" spans="1:115" s="34" customFormat="1" ht="19.75" x14ac:dyDescent="0.75">
      <c r="A83" s="5"/>
      <c r="B83" s="2"/>
      <c r="C83" s="2"/>
      <c r="D83" s="10"/>
      <c r="E83" s="2"/>
      <c r="F83" s="2"/>
      <c r="G83" s="2"/>
      <c r="H83" s="2"/>
      <c r="I83" s="10"/>
      <c r="J83" s="10"/>
      <c r="K83" s="5"/>
      <c r="L83" s="5"/>
      <c r="M83" s="5"/>
      <c r="N83" s="7"/>
      <c r="O83" s="7"/>
      <c r="P83" s="7"/>
      <c r="Q83" s="5"/>
      <c r="R83" s="7"/>
      <c r="S83" s="7"/>
      <c r="T83" s="8"/>
      <c r="U83" s="8"/>
      <c r="V83" s="8"/>
      <c r="W83" s="5"/>
      <c r="X83" s="5"/>
      <c r="Y83" s="5"/>
      <c r="Z83" s="5"/>
      <c r="AA83" s="5"/>
      <c r="AB83" s="5"/>
      <c r="AC83" s="5"/>
      <c r="AD83" s="5"/>
      <c r="AE83" s="158" t="s">
        <v>178</v>
      </c>
      <c r="AF83" s="157">
        <f t="shared" ref="AF83:AN83" si="45">AF60/$AV$53*$AV$47*100</f>
        <v>0.69238961554725875</v>
      </c>
      <c r="AG83" s="157">
        <f t="shared" si="45"/>
        <v>0.69238961554725875</v>
      </c>
      <c r="AH83" s="157">
        <f t="shared" si="45"/>
        <v>0.69238961554725875</v>
      </c>
      <c r="AI83" s="157">
        <f t="shared" si="45"/>
        <v>0.69238961554725875</v>
      </c>
      <c r="AJ83" s="157">
        <f t="shared" si="45"/>
        <v>0.69238961554725875</v>
      </c>
      <c r="AK83" s="157">
        <f t="shared" si="45"/>
        <v>0.69238961554725875</v>
      </c>
      <c r="AL83" s="157">
        <f t="shared" si="45"/>
        <v>0.69238961554725875</v>
      </c>
      <c r="AM83" s="157">
        <f t="shared" si="45"/>
        <v>0.69238961554725875</v>
      </c>
      <c r="AN83" s="157">
        <f t="shared" si="45"/>
        <v>0.69238961554725875</v>
      </c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158" t="s">
        <v>178</v>
      </c>
      <c r="AZ83" s="157">
        <f t="shared" ref="AZ83:BH83" si="46">AZ60/$BP$53*$BP$47*100</f>
        <v>0.69238961554725875</v>
      </c>
      <c r="BA83" s="157">
        <f t="shared" si="46"/>
        <v>0.69238961554725875</v>
      </c>
      <c r="BB83" s="157">
        <f t="shared" si="46"/>
        <v>0.69238961554725875</v>
      </c>
      <c r="BC83" s="157">
        <f t="shared" si="46"/>
        <v>0.69238961554725875</v>
      </c>
      <c r="BD83" s="157">
        <f t="shared" si="46"/>
        <v>0.69238961554725875</v>
      </c>
      <c r="BE83" s="157">
        <f t="shared" si="46"/>
        <v>0.69238961554725875</v>
      </c>
      <c r="BF83" s="157">
        <f t="shared" si="46"/>
        <v>0.69238961554725875</v>
      </c>
      <c r="BG83" s="157">
        <f t="shared" si="46"/>
        <v>0.69238961554725875</v>
      </c>
      <c r="BH83" s="157">
        <f t="shared" si="46"/>
        <v>0.69238961554725875</v>
      </c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</row>
    <row r="84" spans="1:115" s="34" customFormat="1" ht="19.75" x14ac:dyDescent="0.75">
      <c r="A84" s="5"/>
      <c r="B84" s="2"/>
      <c r="C84" s="2"/>
      <c r="D84" s="10"/>
      <c r="E84" s="2"/>
      <c r="F84" s="2"/>
      <c r="G84" s="2"/>
      <c r="H84" s="2"/>
      <c r="I84" s="10"/>
      <c r="J84" s="10"/>
      <c r="K84" s="5"/>
      <c r="L84" s="5"/>
      <c r="M84" s="5"/>
      <c r="N84" s="7"/>
      <c r="O84" s="7"/>
      <c r="P84" s="7"/>
      <c r="Q84" s="5"/>
      <c r="R84" s="7"/>
      <c r="S84" s="7"/>
      <c r="T84" s="8"/>
      <c r="U84" s="8"/>
      <c r="V84" s="8"/>
      <c r="W84" s="5"/>
      <c r="X84" s="5"/>
      <c r="Y84" s="5"/>
      <c r="Z84" s="5"/>
      <c r="AA84" s="5"/>
      <c r="AB84" s="5"/>
      <c r="AC84" s="5"/>
      <c r="AD84" s="5"/>
      <c r="AE84" s="158" t="s">
        <v>177</v>
      </c>
      <c r="AF84" s="157">
        <f t="shared" ref="AF84:AN84" si="47">AF61/$AV$53*$AV$47*100</f>
        <v>78.503372506695484</v>
      </c>
      <c r="AG84" s="157">
        <f t="shared" si="47"/>
        <v>78.503372506695484</v>
      </c>
      <c r="AH84" s="157">
        <f t="shared" si="47"/>
        <v>78.503372506695484</v>
      </c>
      <c r="AI84" s="157">
        <f t="shared" si="47"/>
        <v>78.503372506695484</v>
      </c>
      <c r="AJ84" s="157">
        <f t="shared" si="47"/>
        <v>78.503372506695484</v>
      </c>
      <c r="AK84" s="157">
        <f t="shared" si="47"/>
        <v>78.503372506695484</v>
      </c>
      <c r="AL84" s="157">
        <f t="shared" si="47"/>
        <v>78.503372506695484</v>
      </c>
      <c r="AM84" s="157">
        <f t="shared" si="47"/>
        <v>78.503372506695484</v>
      </c>
      <c r="AN84" s="157">
        <f t="shared" si="47"/>
        <v>78.503372506695484</v>
      </c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158" t="s">
        <v>177</v>
      </c>
      <c r="AZ84" s="157">
        <f t="shared" ref="AZ84:BH84" si="48">AZ61/$BP$53*$BP$47*100</f>
        <v>78.503372506695484</v>
      </c>
      <c r="BA84" s="157">
        <f t="shared" si="48"/>
        <v>78.503372506695484</v>
      </c>
      <c r="BB84" s="157">
        <f t="shared" si="48"/>
        <v>78.503372506695484</v>
      </c>
      <c r="BC84" s="157">
        <f t="shared" si="48"/>
        <v>78.503372506695484</v>
      </c>
      <c r="BD84" s="157">
        <f t="shared" si="48"/>
        <v>78.503372506695484</v>
      </c>
      <c r="BE84" s="157">
        <f t="shared" si="48"/>
        <v>78.503372506695484</v>
      </c>
      <c r="BF84" s="157">
        <f t="shared" si="48"/>
        <v>78.503372506695484</v>
      </c>
      <c r="BG84" s="157">
        <f t="shared" si="48"/>
        <v>78.503372506695484</v>
      </c>
      <c r="BH84" s="157">
        <f t="shared" si="48"/>
        <v>78.503372506695484</v>
      </c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</row>
    <row r="85" spans="1:115" s="34" customFormat="1" ht="13.5" x14ac:dyDescent="0.75">
      <c r="A85" s="5"/>
      <c r="B85" s="2"/>
      <c r="C85" s="2"/>
      <c r="D85" s="10"/>
      <c r="E85" s="2"/>
      <c r="F85" s="2"/>
      <c r="G85" s="2"/>
      <c r="H85" s="2"/>
      <c r="I85" s="10"/>
      <c r="J85" s="10"/>
      <c r="K85" s="5"/>
      <c r="L85" s="5"/>
      <c r="M85" s="5"/>
      <c r="N85" s="7"/>
      <c r="O85" s="7"/>
      <c r="P85" s="7"/>
      <c r="Q85" s="5"/>
      <c r="R85" s="7"/>
      <c r="S85" s="7"/>
      <c r="T85" s="8"/>
      <c r="U85" s="8"/>
      <c r="V85" s="8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</row>
    <row r="86" spans="1:115" s="9" customFormat="1" ht="19.75" x14ac:dyDescent="0.75">
      <c r="A86" s="5"/>
      <c r="B86" s="2"/>
      <c r="C86" s="2"/>
      <c r="D86" s="10"/>
      <c r="E86" s="2"/>
      <c r="F86" s="2"/>
      <c r="G86" s="2"/>
      <c r="H86" s="2"/>
      <c r="I86" s="10"/>
      <c r="J86" s="10"/>
      <c r="K86" s="5"/>
      <c r="L86" s="5"/>
      <c r="M86" s="5"/>
      <c r="N86" s="7"/>
      <c r="O86" s="7"/>
      <c r="P86" s="7"/>
      <c r="Q86" s="5"/>
      <c r="R86" s="7"/>
      <c r="S86" s="7"/>
      <c r="T86" s="8"/>
      <c r="U86" s="8"/>
      <c r="V86" s="8"/>
      <c r="W86" s="5"/>
      <c r="X86" s="5"/>
      <c r="Y86" s="5"/>
      <c r="Z86" s="5"/>
      <c r="AA86" s="5"/>
      <c r="AB86" s="5"/>
      <c r="AC86" s="5"/>
      <c r="AD86" s="5"/>
      <c r="AE86" s="158" t="s">
        <v>176</v>
      </c>
      <c r="AF86" s="157">
        <f t="shared" ref="AF86:AN86" si="49">AF65/$AV$53*$AV$47*100</f>
        <v>82.349567314469112</v>
      </c>
      <c r="AG86" s="157">
        <f t="shared" si="49"/>
        <v>84.48849256186945</v>
      </c>
      <c r="AH86" s="157">
        <f t="shared" si="49"/>
        <v>76.721373168918547</v>
      </c>
      <c r="AI86" s="157">
        <f t="shared" si="49"/>
        <v>76.493707761653823</v>
      </c>
      <c r="AJ86" s="157">
        <f t="shared" si="49"/>
        <v>76.254182482752881</v>
      </c>
      <c r="AK86" s="157">
        <f t="shared" si="49"/>
        <v>76.135624137740081</v>
      </c>
      <c r="AL86" s="157">
        <f t="shared" si="49"/>
        <v>75.660244687900956</v>
      </c>
      <c r="AM86" s="157">
        <f t="shared" si="49"/>
        <v>82.660244687900956</v>
      </c>
      <c r="AN86" s="157">
        <f t="shared" si="49"/>
        <v>82.660244687900956</v>
      </c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158" t="s">
        <v>176</v>
      </c>
      <c r="AZ86" s="157">
        <f t="shared" ref="AZ86:BH86" si="50">AZ65/$BP$53*$BP$47*100</f>
        <v>86.190259611318538</v>
      </c>
      <c r="BA86" s="157">
        <f t="shared" si="50"/>
        <v>13.809740388681469</v>
      </c>
      <c r="BB86" s="157">
        <f t="shared" si="50"/>
        <v>20.948046632765937</v>
      </c>
      <c r="BC86" s="157">
        <f t="shared" si="50"/>
        <v>20.960145427780716</v>
      </c>
      <c r="BD86" s="157">
        <f t="shared" si="50"/>
        <v>21.044322078978219</v>
      </c>
      <c r="BE86" s="157">
        <f t="shared" si="50"/>
        <v>21.109991418134875</v>
      </c>
      <c r="BF86" s="157">
        <f t="shared" si="50"/>
        <v>14.000953133466149</v>
      </c>
      <c r="BG86" s="157">
        <f t="shared" si="50"/>
        <v>82.729797544566878</v>
      </c>
      <c r="BH86" s="157">
        <f t="shared" si="50"/>
        <v>82.729797544566878</v>
      </c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</row>
    <row r="87" spans="1:115" s="9" customFormat="1" ht="19.75" x14ac:dyDescent="0.75">
      <c r="A87" s="5"/>
      <c r="B87" s="2"/>
      <c r="C87" s="2"/>
      <c r="D87" s="10"/>
      <c r="E87" s="2"/>
      <c r="F87" s="2"/>
      <c r="G87" s="2"/>
      <c r="H87" s="2"/>
      <c r="I87" s="10"/>
      <c r="J87" s="10"/>
      <c r="K87" s="5"/>
      <c r="L87" s="5"/>
      <c r="M87" s="5"/>
      <c r="N87" s="7"/>
      <c r="O87" s="7"/>
      <c r="P87" s="7"/>
      <c r="Q87" s="5"/>
      <c r="R87" s="7"/>
      <c r="S87" s="7"/>
      <c r="T87" s="8"/>
      <c r="U87" s="8"/>
      <c r="V87" s="8"/>
      <c r="W87" s="5"/>
      <c r="X87" s="5"/>
      <c r="Y87" s="5"/>
      <c r="Z87" s="5"/>
      <c r="AA87" s="5"/>
      <c r="AB87" s="5"/>
      <c r="AC87" s="5"/>
      <c r="AD87" s="5"/>
      <c r="AE87" s="158" t="s">
        <v>175</v>
      </c>
      <c r="AF87" s="157">
        <f t="shared" ref="AF87:AN87" si="51">AF66/$AV$53*$AV$47*100</f>
        <v>87.599567314469112</v>
      </c>
      <c r="AG87" s="157">
        <f t="shared" si="51"/>
        <v>89.73849256186945</v>
      </c>
      <c r="AH87" s="157">
        <f t="shared" si="51"/>
        <v>71.471373168918547</v>
      </c>
      <c r="AI87" s="157">
        <f t="shared" si="51"/>
        <v>71.243707761653809</v>
      </c>
      <c r="AJ87" s="157">
        <f t="shared" si="51"/>
        <v>71.004182482752867</v>
      </c>
      <c r="AK87" s="157">
        <f t="shared" si="51"/>
        <v>70.885624137740066</v>
      </c>
      <c r="AL87" s="157">
        <f t="shared" si="51"/>
        <v>70.410244687900942</v>
      </c>
      <c r="AM87" s="157">
        <f t="shared" si="51"/>
        <v>87.910244687900956</v>
      </c>
      <c r="AN87" s="157">
        <f t="shared" si="51"/>
        <v>87.910244687900956</v>
      </c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158" t="s">
        <v>175</v>
      </c>
      <c r="AZ87" s="157">
        <f t="shared" ref="AZ87:BH87" si="52">AZ66/$BP$53*$BP$47*100</f>
        <v>91.440259611318524</v>
      </c>
      <c r="BA87" s="157">
        <f t="shared" si="52"/>
        <v>8.5597403886814671</v>
      </c>
      <c r="BB87" s="157">
        <f t="shared" si="52"/>
        <v>26.198046632765937</v>
      </c>
      <c r="BC87" s="157">
        <f t="shared" si="52"/>
        <v>26.210145427780716</v>
      </c>
      <c r="BD87" s="157">
        <f t="shared" si="52"/>
        <v>26.294322078978215</v>
      </c>
      <c r="BE87" s="157">
        <f t="shared" si="52"/>
        <v>26.359991418134875</v>
      </c>
      <c r="BF87" s="157">
        <f t="shared" si="52"/>
        <v>8.7509531334661492</v>
      </c>
      <c r="BG87" s="157">
        <f t="shared" si="52"/>
        <v>87.979797544566878</v>
      </c>
      <c r="BH87" s="157">
        <f t="shared" si="52"/>
        <v>87.979797544566878</v>
      </c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</row>
    <row r="88" spans="1:115" s="9" customFormat="1" ht="18" customHeight="1" x14ac:dyDescent="0.75">
      <c r="A88" s="5"/>
      <c r="B88" s="2"/>
      <c r="C88" s="2"/>
      <c r="D88" s="10"/>
      <c r="E88" s="2"/>
      <c r="F88" s="2"/>
      <c r="G88" s="2"/>
      <c r="H88" s="2"/>
      <c r="I88" s="10"/>
      <c r="J88" s="10"/>
      <c r="K88" s="5"/>
      <c r="L88" s="5"/>
      <c r="M88" s="5"/>
      <c r="N88" s="7"/>
      <c r="O88" s="7"/>
      <c r="P88" s="7"/>
      <c r="Q88" s="5"/>
      <c r="R88" s="7"/>
      <c r="S88" s="7"/>
      <c r="T88" s="8"/>
      <c r="U88" s="8"/>
      <c r="V88" s="8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</row>
    <row r="89" spans="1:115" s="9" customFormat="1" ht="18" customHeight="1" x14ac:dyDescent="0.75">
      <c r="A89" s="5"/>
      <c r="B89" s="2"/>
      <c r="C89" s="2"/>
      <c r="D89" s="10"/>
      <c r="E89" s="2"/>
      <c r="F89" s="2"/>
      <c r="G89" s="2"/>
      <c r="H89" s="2"/>
      <c r="I89" s="10"/>
      <c r="J89" s="10"/>
      <c r="K89" s="5"/>
      <c r="L89" s="5"/>
      <c r="M89" s="5"/>
      <c r="N89" s="7"/>
      <c r="O89" s="7"/>
      <c r="P89" s="7"/>
      <c r="Q89" s="5"/>
      <c r="R89" s="7"/>
      <c r="S89" s="7"/>
      <c r="T89" s="8"/>
      <c r="U89" s="8"/>
      <c r="V89" s="8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</row>
    <row r="90" spans="1:115" s="9" customFormat="1" ht="18" customHeight="1" x14ac:dyDescent="0.75">
      <c r="A90" s="5"/>
      <c r="B90" s="2"/>
      <c r="C90" s="2"/>
      <c r="D90" s="10"/>
      <c r="E90" s="2"/>
      <c r="F90" s="2"/>
      <c r="G90" s="2"/>
      <c r="H90" s="2"/>
      <c r="I90" s="10"/>
      <c r="J90" s="10"/>
      <c r="K90" s="5"/>
      <c r="L90" s="5"/>
      <c r="M90" s="5"/>
      <c r="N90" s="7"/>
      <c r="O90" s="7"/>
      <c r="P90" s="7"/>
      <c r="Q90" s="5"/>
      <c r="R90" s="7"/>
      <c r="S90" s="7"/>
      <c r="T90" s="8"/>
      <c r="U90" s="8"/>
      <c r="V90" s="8"/>
      <c r="W90" s="5"/>
      <c r="X90" s="5"/>
      <c r="Y90" s="5"/>
      <c r="Z90" s="5"/>
      <c r="AA90" s="5"/>
      <c r="AB90" s="5"/>
      <c r="AC90" s="5"/>
      <c r="AD90" s="5"/>
      <c r="AE90" s="158" t="s">
        <v>174</v>
      </c>
      <c r="AF90" s="157">
        <f t="shared" ref="AF90:AU90" si="53">AF70/$AV$53*$AV$47*100</f>
        <v>78.849567314469112</v>
      </c>
      <c r="AG90" s="157">
        <f t="shared" si="53"/>
        <v>78.849567314469112</v>
      </c>
      <c r="AH90" s="157">
        <f t="shared" si="53"/>
        <v>80.988492561869435</v>
      </c>
      <c r="AI90" s="157">
        <f t="shared" si="53"/>
        <v>80.988492561869435</v>
      </c>
      <c r="AJ90" s="157">
        <f t="shared" si="53"/>
        <v>80.221373168918547</v>
      </c>
      <c r="AK90" s="157">
        <f t="shared" si="53"/>
        <v>80.221373168918547</v>
      </c>
      <c r="AL90" s="157">
        <f t="shared" si="53"/>
        <v>79.993707761653809</v>
      </c>
      <c r="AM90" s="157">
        <f t="shared" si="53"/>
        <v>79.993707761653809</v>
      </c>
      <c r="AN90" s="157">
        <f t="shared" si="53"/>
        <v>79.754182482752867</v>
      </c>
      <c r="AO90" s="157">
        <f t="shared" si="53"/>
        <v>79.754182482752867</v>
      </c>
      <c r="AP90" s="157">
        <f t="shared" si="53"/>
        <v>79.635624137740066</v>
      </c>
      <c r="AQ90" s="157">
        <f t="shared" si="53"/>
        <v>79.635624137740066</v>
      </c>
      <c r="AR90" s="157">
        <f t="shared" si="53"/>
        <v>79.160244687900956</v>
      </c>
      <c r="AS90" s="157">
        <f t="shared" si="53"/>
        <v>79.160244687900956</v>
      </c>
      <c r="AT90" s="157">
        <f t="shared" si="53"/>
        <v>79.160244687900956</v>
      </c>
      <c r="AU90" s="157">
        <f t="shared" si="53"/>
        <v>79.160244687900956</v>
      </c>
      <c r="AV90" s="5"/>
      <c r="AW90" s="5"/>
      <c r="AX90" s="5"/>
      <c r="AY90" s="158" t="s">
        <v>174</v>
      </c>
      <c r="AZ90" s="157">
        <f t="shared" ref="AZ90:BO90" si="54">AZ70/$BP$53*$BP$47*100</f>
        <v>82.690259611318524</v>
      </c>
      <c r="BA90" s="157">
        <f t="shared" si="54"/>
        <v>82.690259611318524</v>
      </c>
      <c r="BB90" s="157">
        <f t="shared" si="54"/>
        <v>17.309740388681469</v>
      </c>
      <c r="BC90" s="157">
        <f t="shared" si="54"/>
        <v>17.309740388681469</v>
      </c>
      <c r="BD90" s="157">
        <f t="shared" si="54"/>
        <v>17.448046632765937</v>
      </c>
      <c r="BE90" s="157">
        <f t="shared" si="54"/>
        <v>17.448046632765937</v>
      </c>
      <c r="BF90" s="157">
        <f t="shared" si="54"/>
        <v>17.460145427780716</v>
      </c>
      <c r="BG90" s="157">
        <f t="shared" si="54"/>
        <v>17.460145427780716</v>
      </c>
      <c r="BH90" s="157">
        <f t="shared" si="54"/>
        <v>17.544322078978215</v>
      </c>
      <c r="BI90" s="157">
        <f t="shared" si="54"/>
        <v>17.544322078978215</v>
      </c>
      <c r="BJ90" s="157">
        <f t="shared" si="54"/>
        <v>17.609991418134875</v>
      </c>
      <c r="BK90" s="157">
        <f t="shared" si="54"/>
        <v>17.609991418134875</v>
      </c>
      <c r="BL90" s="157">
        <f t="shared" si="54"/>
        <v>17.500953133466151</v>
      </c>
      <c r="BM90" s="157">
        <f t="shared" si="54"/>
        <v>17.500953133466151</v>
      </c>
      <c r="BN90" s="157">
        <f t="shared" si="54"/>
        <v>79.229797544566878</v>
      </c>
      <c r="BO90" s="157">
        <f t="shared" si="54"/>
        <v>79.229797544566878</v>
      </c>
      <c r="BP90" s="5"/>
      <c r="BQ90" s="5"/>
      <c r="BR90" s="5"/>
      <c r="BS90" s="5"/>
      <c r="BT90" s="5"/>
      <c r="BU90" s="5"/>
      <c r="BV90" s="5"/>
      <c r="BW90" s="5"/>
      <c r="BX90" s="5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</row>
    <row r="91" spans="1:115" s="9" customFormat="1" ht="18" customHeight="1" x14ac:dyDescent="0.75">
      <c r="A91" s="5"/>
      <c r="B91" s="2"/>
      <c r="C91" s="2"/>
      <c r="D91" s="10"/>
      <c r="E91" s="2"/>
      <c r="F91" s="2"/>
      <c r="G91" s="2"/>
      <c r="H91" s="2"/>
      <c r="I91" s="10"/>
      <c r="J91" s="10"/>
      <c r="K91" s="5"/>
      <c r="L91" s="5"/>
      <c r="M91" s="5"/>
      <c r="N91" s="7"/>
      <c r="O91" s="7"/>
      <c r="P91" s="7"/>
      <c r="Q91" s="5"/>
      <c r="R91" s="7"/>
      <c r="S91" s="7"/>
      <c r="T91" s="8"/>
      <c r="U91" s="8"/>
      <c r="V91" s="8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</row>
    <row r="92" spans="1:115" s="9" customFormat="1" ht="18" customHeight="1" x14ac:dyDescent="0.75">
      <c r="A92" s="5"/>
      <c r="B92" s="2"/>
      <c r="C92" s="2"/>
      <c r="D92" s="10"/>
      <c r="E92" s="2"/>
      <c r="F92" s="2"/>
      <c r="G92" s="2"/>
      <c r="H92" s="2"/>
      <c r="I92" s="10"/>
      <c r="J92" s="10"/>
      <c r="K92" s="5"/>
      <c r="L92" s="5"/>
      <c r="M92" s="5"/>
      <c r="N92" s="7"/>
      <c r="O92" s="7"/>
      <c r="P92" s="7"/>
      <c r="Q92" s="5"/>
      <c r="R92" s="7"/>
      <c r="S92" s="7"/>
      <c r="T92" s="8"/>
      <c r="U92" s="8"/>
      <c r="V92" s="8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</row>
    <row r="93" spans="1:115" s="9" customFormat="1" ht="18" customHeight="1" x14ac:dyDescent="0.75">
      <c r="A93" s="5"/>
      <c r="B93" s="2"/>
      <c r="C93" s="2"/>
      <c r="D93" s="10"/>
      <c r="E93" s="2"/>
      <c r="F93" s="2"/>
      <c r="G93" s="2"/>
      <c r="H93" s="2"/>
      <c r="I93" s="10"/>
      <c r="J93" s="10"/>
      <c r="K93" s="5"/>
      <c r="L93" s="5"/>
      <c r="M93" s="5"/>
      <c r="N93" s="7"/>
      <c r="O93" s="7"/>
      <c r="P93" s="7"/>
      <c r="Q93" s="5"/>
      <c r="R93" s="7"/>
      <c r="S93" s="7"/>
      <c r="T93" s="8"/>
      <c r="U93" s="8"/>
      <c r="V93" s="8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</row>
    <row r="94" spans="1:115" s="9" customFormat="1" ht="18" customHeight="1" x14ac:dyDescent="0.75">
      <c r="A94" s="5"/>
      <c r="B94" s="2"/>
      <c r="C94" s="2"/>
      <c r="D94" s="10"/>
      <c r="E94" s="2"/>
      <c r="F94" s="2"/>
      <c r="G94" s="2"/>
      <c r="H94" s="2"/>
      <c r="I94" s="10"/>
      <c r="J94" s="10"/>
      <c r="K94" s="5"/>
      <c r="L94" s="5"/>
      <c r="M94" s="5"/>
      <c r="N94" s="7"/>
      <c r="O94" s="7"/>
      <c r="P94" s="7"/>
      <c r="Q94" s="5"/>
      <c r="R94" s="7"/>
      <c r="S94" s="7"/>
      <c r="T94" s="8"/>
      <c r="U94" s="8"/>
      <c r="V94" s="8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</row>
    <row r="95" spans="1:115" s="9" customFormat="1" ht="18" customHeight="1" x14ac:dyDescent="0.75">
      <c r="A95" s="5"/>
      <c r="B95" s="2"/>
      <c r="C95" s="2"/>
      <c r="D95" s="10"/>
      <c r="E95" s="2"/>
      <c r="F95" s="2"/>
      <c r="G95" s="2"/>
      <c r="H95" s="2"/>
      <c r="I95" s="10"/>
      <c r="J95" s="10"/>
      <c r="K95" s="5"/>
      <c r="L95" s="5"/>
      <c r="M95" s="5"/>
      <c r="N95" s="7"/>
      <c r="O95" s="7"/>
      <c r="P95" s="7"/>
      <c r="Q95" s="5"/>
      <c r="R95" s="7"/>
      <c r="S95" s="7"/>
      <c r="T95" s="8"/>
      <c r="U95" s="8"/>
      <c r="V95" s="8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</row>
    <row r="96" spans="1:115" s="9" customFormat="1" ht="18" customHeight="1" x14ac:dyDescent="0.75">
      <c r="A96" s="5"/>
      <c r="B96" s="2"/>
      <c r="C96" s="2"/>
      <c r="D96" s="10"/>
      <c r="E96" s="2"/>
      <c r="F96" s="2"/>
      <c r="G96" s="2"/>
      <c r="H96" s="2"/>
      <c r="I96" s="10"/>
      <c r="J96" s="10"/>
      <c r="K96" s="5"/>
      <c r="L96" s="5"/>
      <c r="M96" s="5"/>
      <c r="N96" s="7"/>
      <c r="O96" s="7"/>
      <c r="P96" s="7"/>
      <c r="Q96" s="5"/>
      <c r="R96" s="7"/>
      <c r="S96" s="7"/>
      <c r="T96" s="8"/>
      <c r="U96" s="8"/>
      <c r="V96" s="8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</row>
    <row r="97" spans="1:115" s="9" customFormat="1" ht="18" customHeight="1" x14ac:dyDescent="0.75">
      <c r="A97" s="5"/>
      <c r="B97" s="2"/>
      <c r="C97" s="2"/>
      <c r="D97" s="10"/>
      <c r="E97" s="2"/>
      <c r="F97" s="2"/>
      <c r="G97" s="2"/>
      <c r="H97" s="2"/>
      <c r="I97" s="10"/>
      <c r="J97" s="10"/>
      <c r="K97" s="5"/>
      <c r="L97" s="5"/>
      <c r="M97" s="5"/>
      <c r="N97" s="7"/>
      <c r="O97" s="7"/>
      <c r="P97" s="7"/>
      <c r="Q97" s="5"/>
      <c r="R97" s="7"/>
      <c r="S97" s="7"/>
      <c r="T97" s="8"/>
      <c r="U97" s="8"/>
      <c r="V97" s="8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</row>
    <row r="98" spans="1:115" s="9" customFormat="1" ht="18" customHeight="1" x14ac:dyDescent="0.75">
      <c r="A98" s="5"/>
      <c r="B98" s="2"/>
      <c r="C98" s="2"/>
      <c r="D98" s="10"/>
      <c r="E98" s="2"/>
      <c r="F98" s="2"/>
      <c r="G98" s="2"/>
      <c r="H98" s="2"/>
      <c r="I98" s="10"/>
      <c r="J98" s="10"/>
      <c r="K98" s="5"/>
      <c r="L98" s="5"/>
      <c r="M98" s="5"/>
      <c r="N98" s="7"/>
      <c r="O98" s="7"/>
      <c r="P98" s="7"/>
      <c r="Q98" s="5"/>
      <c r="R98" s="7"/>
      <c r="S98" s="7"/>
      <c r="T98" s="8"/>
      <c r="U98" s="8"/>
      <c r="V98" s="8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</row>
    <row r="99" spans="1:115" s="9" customFormat="1" ht="18" customHeight="1" x14ac:dyDescent="0.75">
      <c r="A99" s="5"/>
      <c r="B99" s="2"/>
      <c r="C99" s="2"/>
      <c r="D99" s="10"/>
      <c r="E99" s="2"/>
      <c r="F99" s="2"/>
      <c r="G99" s="2"/>
      <c r="H99" s="2"/>
      <c r="I99" s="10"/>
      <c r="J99" s="10"/>
      <c r="K99" s="5"/>
      <c r="L99" s="5"/>
      <c r="M99" s="5"/>
      <c r="N99" s="7"/>
      <c r="O99" s="7"/>
      <c r="P99" s="7"/>
      <c r="Q99" s="5"/>
      <c r="R99" s="7"/>
      <c r="S99" s="7"/>
      <c r="T99" s="8"/>
      <c r="U99" s="8"/>
      <c r="V99" s="8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</row>
    <row r="100" spans="1:115" s="9" customFormat="1" ht="18" customHeight="1" x14ac:dyDescent="0.75">
      <c r="A100" s="5"/>
      <c r="B100" s="2"/>
      <c r="C100" s="2"/>
      <c r="D100" s="10"/>
      <c r="E100" s="2"/>
      <c r="F100" s="2"/>
      <c r="G100" s="2"/>
      <c r="H100" s="2"/>
      <c r="I100" s="10"/>
      <c r="J100" s="10"/>
      <c r="K100" s="5"/>
      <c r="L100" s="5"/>
      <c r="M100" s="5"/>
      <c r="N100" s="7"/>
      <c r="O100" s="7"/>
      <c r="P100" s="7"/>
      <c r="Q100" s="5"/>
      <c r="R100" s="7"/>
      <c r="S100" s="7"/>
      <c r="T100" s="8"/>
      <c r="U100" s="8"/>
      <c r="V100" s="8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</row>
    <row r="101" spans="1:115" s="9" customFormat="1" ht="18" customHeight="1" x14ac:dyDescent="0.75">
      <c r="A101" s="5"/>
      <c r="B101" s="2"/>
      <c r="C101" s="2"/>
      <c r="D101" s="10"/>
      <c r="E101" s="2"/>
      <c r="F101" s="2"/>
      <c r="G101" s="2"/>
      <c r="H101" s="2"/>
      <c r="I101" s="10"/>
      <c r="J101" s="10"/>
      <c r="K101" s="5"/>
      <c r="L101" s="5"/>
      <c r="M101" s="5"/>
      <c r="N101" s="7"/>
      <c r="O101" s="7"/>
      <c r="P101" s="7"/>
      <c r="Q101" s="5"/>
      <c r="R101" s="7"/>
      <c r="S101" s="7"/>
      <c r="T101" s="8"/>
      <c r="U101" s="8"/>
      <c r="V101" s="8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</row>
  </sheetData>
  <customSheetViews>
    <customSheetView guid="{97DA177E-F101-4CD5-8BC6-6997082DB660}" scale="85" showGridLines="0" showRowCol="0" fitToPage="1" printArea="1" hiddenRows="1" hiddenColumns="1" topLeftCell="E1">
      <selection activeCell="W6" sqref="W6"/>
      <pageMargins left="0.70866141732283472" right="0.70866141732283472" top="0.74803149606299213" bottom="0.74803149606299213" header="0.31496062992125984" footer="0.31496062992125984"/>
      <pageSetup paperSize="9" scale="75" orientation="landscape" r:id="rId1"/>
      <headerFooter>
        <oddFooter>&amp;CPMM Bridge - Gross Margin variance breakdown
&amp;D&amp;T</oddFooter>
      </headerFooter>
    </customSheetView>
    <customSheetView guid="{83BB5152-01BA-42DF-B23D-4001406CC674}" scale="85" showGridLines="0" showRowCol="0" fitToPage="1" hiddenRows="1" hiddenColumns="1" topLeftCell="E1">
      <selection activeCell="W6" sqref="W6"/>
      <pageMargins left="0.70866141732283472" right="0.70866141732283472" top="0.74803149606299213" bottom="0.74803149606299213" header="0.31496062992125984" footer="0.31496062992125984"/>
      <pageSetup paperSize="9" scale="75" orientation="landscape" r:id="rId2"/>
      <headerFooter>
        <oddFooter>&amp;CPMM Bridge - Gross Margin variance breakdown
&amp;D&amp;T</oddFooter>
      </headerFooter>
    </customSheetView>
  </customSheetViews>
  <mergeCells count="20">
    <mergeCell ref="BN68:BO68"/>
    <mergeCell ref="BJ68:BK68"/>
    <mergeCell ref="BL68:BM68"/>
    <mergeCell ref="AR68:AS68"/>
    <mergeCell ref="AZ68:BA68"/>
    <mergeCell ref="BB68:BC68"/>
    <mergeCell ref="BD68:BE68"/>
    <mergeCell ref="BF68:BG68"/>
    <mergeCell ref="H5:T5"/>
    <mergeCell ref="H6:T6"/>
    <mergeCell ref="BH68:BI68"/>
    <mergeCell ref="AT68:AU68"/>
    <mergeCell ref="AF68:AG68"/>
    <mergeCell ref="AJ68:AK68"/>
    <mergeCell ref="AL68:AM68"/>
    <mergeCell ref="AN68:AO68"/>
    <mergeCell ref="AP68:AQ68"/>
    <mergeCell ref="H11:T11"/>
    <mergeCell ref="H10:M10"/>
    <mergeCell ref="N10:T10"/>
  </mergeCells>
  <dataValidations disablePrompts="1" count="2">
    <dataValidation type="decimal" allowBlank="1" showInputMessage="1" showErrorMessage="1" sqref="AV47 BP47" xr:uid="{00000000-0002-0000-0300-000000000000}">
      <formula1>0</formula1>
      <formula2>1</formula2>
    </dataValidation>
    <dataValidation type="list" allowBlank="1" showInputMessage="1" showErrorMessage="1" sqref="J8:J9" xr:uid="{00000000-0002-0000-0300-000001000000}">
      <formula1>"Yes,No"</formula1>
    </dataValidation>
  </dataValidations>
  <pageMargins left="0.70866141732283472" right="0.70866141732283472" top="0.74803149606299213" bottom="0.74803149606299213" header="0.31496062992125984" footer="0.31496062992125984"/>
  <pageSetup paperSize="9" scale="75" orientation="landscape" r:id="rId3"/>
  <headerFooter>
    <oddFooter>&amp;CPMM Bridge - Gross Margin variance breakdown
&amp;D&amp;T</oddFooter>
  </headerFooter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34</vt:i4>
      </vt:variant>
    </vt:vector>
  </HeadingPairs>
  <TitlesOfParts>
    <vt:vector size="38" baseType="lpstr">
      <vt:lpstr>Context</vt:lpstr>
      <vt:lpstr>PMM Analysis Report</vt:lpstr>
      <vt:lpstr>{PL}PickLst</vt:lpstr>
      <vt:lpstr>PMM Bridge</vt:lpstr>
      <vt:lpstr>ActualBudget</vt:lpstr>
      <vt:lpstr>ActualForecast</vt:lpstr>
      <vt:lpstr>ActualMonth</vt:lpstr>
      <vt:lpstr>ActualYear</vt:lpstr>
      <vt:lpstr>Auto_Fit</vt:lpstr>
      <vt:lpstr>Cube1</vt:lpstr>
      <vt:lpstr>Cube2</vt:lpstr>
      <vt:lpstr>Cube3</vt:lpstr>
      <vt:lpstr>DEFAULT_ACTIVITY</vt:lpstr>
      <vt:lpstr>DEFAULT_CURRENCY</vt:lpstr>
      <vt:lpstr>DEFAULT_GAAP</vt:lpstr>
      <vt:lpstr>DEFAULT_INTEGRATION_RATE</vt:lpstr>
      <vt:lpstr>DEFAULT_LEGAL_ORGANIZATION</vt:lpstr>
      <vt:lpstr>DEFAULT_MANAGEMENT_ORGANIZATION</vt:lpstr>
      <vt:lpstr>DEFAULT_PERIOD</vt:lpstr>
      <vt:lpstr>DEFAULT_PHASE</vt:lpstr>
      <vt:lpstr>Desc_Rev_km_E</vt:lpstr>
      <vt:lpstr>Desc_Rev_km_F</vt:lpstr>
      <vt:lpstr>Desc_Tot_Driv_Hours_E</vt:lpstr>
      <vt:lpstr>Desc_Tot_Driv_Hours_F</vt:lpstr>
      <vt:lpstr>Desc_Tot_km_E</vt:lpstr>
      <vt:lpstr>Desc_Tot_km_F</vt:lpstr>
      <vt:lpstr>Desc_Tot_nb_vehicle_E</vt:lpstr>
      <vt:lpstr>Desc_Tot_nb_vehicle_F</vt:lpstr>
      <vt:lpstr>Languages</vt:lpstr>
      <vt:lpstr>LIST_PHASES</vt:lpstr>
      <vt:lpstr>LIST_YEARS</vt:lpstr>
      <vt:lpstr>Locallanguage</vt:lpstr>
      <vt:lpstr>'PMM Analysis Report'!Print_Area</vt:lpstr>
      <vt:lpstr>'PMM Bridge'!Print_Area</vt:lpstr>
      <vt:lpstr>Server</vt:lpstr>
      <vt:lpstr>V_ACTIVITY</vt:lpstr>
      <vt:lpstr>V_LANG</vt:lpstr>
      <vt:lpstr>xServer</vt:lpstr>
    </vt:vector>
  </TitlesOfParts>
  <Company>Veolia Transport - 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adm-a.pradeilles</dc:creator>
  <cp:lastModifiedBy>Mila Barki</cp:lastModifiedBy>
  <cp:lastPrinted>2017-03-14T14:48:16Z</cp:lastPrinted>
  <dcterms:created xsi:type="dcterms:W3CDTF">2013-10-22T08:17:57Z</dcterms:created>
  <dcterms:modified xsi:type="dcterms:W3CDTF">2024-09-12T10:46:03Z</dcterms:modified>
</cp:coreProperties>
</file>