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8655" windowHeight="6840" tabRatio="852" firstSheet="1" activeTab="1"/>
  </bookViews>
  <sheets>
    <sheet name="Context" sheetId="66" state="hidden" r:id="rId1"/>
    <sheet name="Frais_Direction_Nature_Charges" sheetId="58" r:id="rId2"/>
  </sheets>
  <functionGroups builtInGroupCount="17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Admin">Context!$C$14</definedName>
    <definedName name="ActualForecast1Admin">Context!$C$15</definedName>
    <definedName name="ActualForecast2Admin">Context!$C$16</definedName>
    <definedName name="ActualMonth">Context!$B$13</definedName>
    <definedName name="ActualYear">Context!$C$13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Frais_Direction_Nature_Charges!$I$33:$AK$54</definedName>
    <definedName name="AutoRefresh_Frais_Direction_Nature_Charges">Frais_Direction_Nature_Charges!$G$11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Frais_Direction_Nature_Charges!$E:$AM,Frais_Direction_Nature_Charges!$16:$33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LocalLanguage2">Context!$C$17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Context!$B$23:$B$25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M1RPTDATARNGARPT3" localSheetId="1">Frais_Direction_Nature_Charges!$52:$52</definedName>
    <definedName name="TM1RPTFMTIDCOL" localSheetId="1">Frais_Direction_Nature_Charges!$A$1:$A$8</definedName>
    <definedName name="TM1RPTFMTRNG" localSheetId="1">Frais_Direction_Nature_Charges!$F$1:$AN$8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  <definedName name="_xlnm.Print_Area" localSheetId="1">Frais_Direction_Nature_Charges!$E$18:$AO$88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F38" i="58" l="1"/>
  <c r="BD18" i="58"/>
  <c r="G30" i="58"/>
  <c r="G40" i="58"/>
  <c r="G23" i="58"/>
  <c r="G41" i="58"/>
  <c r="G24" i="58"/>
  <c r="G42" i="58"/>
  <c r="G29" i="58"/>
  <c r="G43" i="58"/>
  <c r="G44" i="58"/>
  <c r="G26" i="58"/>
  <c r="G45" i="58"/>
  <c r="G46" i="58"/>
  <c r="BB22" i="58"/>
  <c r="G27" i="58"/>
  <c r="H13" i="58"/>
  <c r="J13" i="58"/>
  <c r="AA12" i="58"/>
  <c r="AA11" i="58"/>
  <c r="U12" i="58"/>
  <c r="U11" i="58"/>
  <c r="O12" i="58"/>
  <c r="O11" i="58"/>
  <c r="I12" i="58"/>
  <c r="I11" i="58"/>
  <c r="AJ12" i="58"/>
  <c r="AJ11" i="58"/>
  <c r="AK12" i="58"/>
  <c r="AK11" i="58"/>
  <c r="J12" i="58"/>
  <c r="J11" i="58"/>
  <c r="P12" i="58"/>
  <c r="P11" i="58"/>
  <c r="V12" i="58"/>
  <c r="V11" i="58"/>
  <c r="AB12" i="58"/>
  <c r="AB11" i="58"/>
  <c r="G28" i="58"/>
  <c r="B13" i="66"/>
  <c r="C13" i="66"/>
  <c r="F36" i="58"/>
  <c r="F52" i="58"/>
  <c r="AJ52" i="58"/>
  <c r="AK52" i="58"/>
  <c r="AL52" i="58"/>
  <c r="AM52" i="58"/>
  <c r="AB52" i="58"/>
  <c r="AA52" i="58"/>
  <c r="AC52" i="58"/>
  <c r="AA35" i="58"/>
  <c r="AB35" i="58"/>
  <c r="AC35" i="58"/>
  <c r="AD35" i="58"/>
  <c r="V35" i="58"/>
  <c r="U35" i="58"/>
  <c r="W35" i="58"/>
  <c r="U52" i="58"/>
  <c r="V52" i="58"/>
  <c r="W52" i="58"/>
  <c r="X52" i="58"/>
  <c r="X35" i="58"/>
  <c r="O35" i="58"/>
  <c r="P35" i="58"/>
  <c r="Q35" i="58"/>
  <c r="R35" i="58"/>
  <c r="O52" i="58"/>
  <c r="P52" i="58"/>
  <c r="Q52" i="58"/>
  <c r="R52" i="58"/>
  <c r="I52" i="58"/>
  <c r="J52" i="58"/>
  <c r="K52" i="58"/>
  <c r="L52" i="58"/>
  <c r="AJ35" i="58"/>
  <c r="AK35" i="58"/>
  <c r="AL35" i="58"/>
  <c r="AM35" i="58"/>
  <c r="AD52" i="58"/>
  <c r="I35" i="58"/>
  <c r="J35" i="58"/>
  <c r="K35" i="58"/>
  <c r="L35" i="58"/>
  <c r="B5" i="66"/>
  <c r="B17" i="66"/>
  <c r="C17" i="66"/>
  <c r="M11" i="58"/>
  <c r="F60" i="58"/>
  <c r="F59" i="58"/>
  <c r="F58" i="58"/>
  <c r="F57" i="58"/>
  <c r="M52" i="58"/>
  <c r="BC82" i="58"/>
  <c r="BC78" i="58"/>
  <c r="BC74" i="58"/>
  <c r="BC81" i="58"/>
  <c r="BC77" i="58"/>
  <c r="BC73" i="58"/>
  <c r="BC69" i="58"/>
  <c r="BF82" i="58"/>
  <c r="BE82" i="58"/>
  <c r="BF78" i="58"/>
  <c r="BE78" i="58"/>
  <c r="BF74" i="58"/>
  <c r="BE74" i="58"/>
  <c r="BF70" i="58"/>
  <c r="BC70" i="58"/>
  <c r="BE70" i="58"/>
  <c r="BB70" i="58"/>
  <c r="BE67" i="58"/>
  <c r="BB69" i="58"/>
  <c r="BD67" i="58"/>
  <c r="BF81" i="58"/>
  <c r="BD81" i="58"/>
  <c r="BF77" i="58"/>
  <c r="BD77" i="58"/>
  <c r="BF73" i="58"/>
  <c r="BD73" i="58"/>
  <c r="BF69" i="58"/>
  <c r="BD69" i="58"/>
  <c r="BB82" i="58"/>
  <c r="BB81" i="58"/>
  <c r="BB78" i="58"/>
  <c r="BB77" i="58"/>
  <c r="BB74" i="58"/>
  <c r="BB73" i="58"/>
  <c r="AK33" i="58"/>
  <c r="AB33" i="58"/>
  <c r="V33" i="58"/>
  <c r="P33" i="58"/>
  <c r="J33" i="58"/>
  <c r="I33" i="58"/>
  <c r="BB23" i="58"/>
  <c r="AJ33" i="58"/>
  <c r="AA33" i="58"/>
  <c r="U33" i="58"/>
  <c r="O33" i="58"/>
  <c r="F22" i="58"/>
  <c r="AG33" i="58"/>
  <c r="BE57" i="58"/>
  <c r="BB80" i="58"/>
  <c r="BB76" i="58"/>
  <c r="BB72" i="58"/>
  <c r="BB68" i="58"/>
  <c r="AJ19" i="58"/>
  <c r="AS52" i="58"/>
  <c r="AR52" i="58"/>
  <c r="AQ52" i="58"/>
  <c r="AP52" i="58"/>
  <c r="AN52" i="58"/>
  <c r="AH52" i="58"/>
  <c r="AH35" i="58"/>
  <c r="AG52" i="58"/>
  <c r="AG35" i="58"/>
  <c r="AE52" i="58"/>
  <c r="Y52" i="58"/>
  <c r="S52" i="58"/>
  <c r="S35" i="58"/>
  <c r="M35" i="58"/>
  <c r="AE35" i="58"/>
  <c r="Y35" i="58"/>
  <c r="AL33" i="58"/>
  <c r="AC33" i="58"/>
  <c r="AJ31" i="58"/>
  <c r="AH33" i="58"/>
  <c r="AE33" i="58"/>
  <c r="AA31" i="58"/>
  <c r="Y33" i="58"/>
  <c r="S33" i="58"/>
  <c r="W33" i="58"/>
  <c r="Q33" i="58"/>
  <c r="K33" i="58"/>
  <c r="M33" i="58"/>
  <c r="AN35" i="58"/>
  <c r="U31" i="58"/>
  <c r="AN33" i="58"/>
  <c r="O31" i="58"/>
  <c r="I31" i="58"/>
  <c r="F35" i="58"/>
  <c r="F24" i="58"/>
  <c r="F23" i="58"/>
  <c r="F30" i="58"/>
  <c r="F29" i="58"/>
  <c r="F26" i="58"/>
  <c r="F56" i="58"/>
  <c r="H19" i="58"/>
  <c r="T33" i="58"/>
  <c r="F28" i="58"/>
  <c r="F27" i="58"/>
  <c r="F33" i="58"/>
  <c r="F25" i="58"/>
  <c r="A5" i="58"/>
  <c r="A4" i="58"/>
  <c r="A3" i="58"/>
  <c r="A2" i="58"/>
  <c r="A52" i="58"/>
  <c r="BB24" i="58"/>
  <c r="B14" i="66"/>
  <c r="B16" i="66"/>
  <c r="B15" i="66"/>
</calcChain>
</file>

<file path=xl/sharedStrings.xml><?xml version="1.0" encoding="utf-8"?>
<sst xmlns="http://schemas.openxmlformats.org/spreadsheetml/2006/main" count="127" uniqueCount="110">
  <si>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</si>
  <si>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</si>
  <si>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</si>
  <si>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</si>
  <si>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</si>
  <si>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</si>
  <si>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</si>
  <si>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</si>
  <si>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</si>
  <si>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</si>
  <si>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Comments</t>
  </si>
  <si>
    <t>Dutch</t>
  </si>
  <si>
    <t>German</t>
  </si>
  <si>
    <t>Portugese</t>
  </si>
  <si>
    <t>Cube n°1 :</t>
  </si>
  <si>
    <t>Cube n°2 :</t>
  </si>
  <si>
    <t>Currency</t>
  </si>
  <si>
    <t>Gaap</t>
  </si>
  <si>
    <t>Flag Send Data :</t>
  </si>
  <si>
    <t>Budget Version :</t>
  </si>
  <si>
    <t>Forecast Version 1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</si>
  <si>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</si>
  <si>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</si>
  <si>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</si>
  <si>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</si>
  <si>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</si>
  <si>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</si>
  <si>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</si>
  <si>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</si>
  <si>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</si>
  <si>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</si>
  <si>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</si>
  <si>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</si>
  <si>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</si>
  <si>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Flag Send Comment :</t>
  </si>
  <si>
    <t>Context_selection</t>
  </si>
  <si>
    <t>Management_organization</t>
  </si>
  <si>
    <t>Legal_organization</t>
  </si>
  <si>
    <t>z_Translate_Report</t>
  </si>
  <si>
    <t>Language</t>
  </si>
  <si>
    <t>TFR-AP019298</t>
  </si>
  <si>
    <t>Forecast Version 2</t>
  </si>
  <si>
    <t>List 1</t>
  </si>
  <si>
    <t>Period</t>
  </si>
  <si>
    <t>Name of the dimension concerning report translation</t>
  </si>
  <si>
    <t>RP_PL_Corp</t>
  </si>
  <si>
    <t>Français</t>
  </si>
  <si>
    <t>Integration_Rate</t>
  </si>
  <si>
    <t>Projets</t>
  </si>
  <si>
    <t>Matricules</t>
  </si>
  <si>
    <t>Legal_Organization_Corp</t>
  </si>
  <si>
    <t>Indicator_Corp</t>
  </si>
  <si>
    <t>Tiers</t>
  </si>
  <si>
    <t>D</t>
  </si>
  <si>
    <t>N</t>
  </si>
  <si>
    <t>[Begin Format Range]</t>
  </si>
  <si>
    <t>[End Format Range]</t>
  </si>
  <si>
    <t>Langue</t>
  </si>
  <si>
    <t>Budget</t>
  </si>
  <si>
    <t>Forecast_1</t>
  </si>
  <si>
    <t>Forecast_2</t>
  </si>
  <si>
    <t>Total</t>
  </si>
  <si>
    <t>Eléments fixes</t>
  </si>
  <si>
    <t>RP_Comments_PL_Corp</t>
  </si>
  <si>
    <t>Integration_rate</t>
  </si>
  <si>
    <t>Actual_N_1</t>
  </si>
  <si>
    <t>Variance</t>
  </si>
  <si>
    <t>Output</t>
  </si>
  <si>
    <t>Tot_tiers</t>
  </si>
  <si>
    <t>VTD</t>
  </si>
  <si>
    <t>Trend arrows</t>
  </si>
  <si>
    <t>ì</t>
  </si>
  <si>
    <t>î</t>
  </si>
  <si>
    <t>è</t>
  </si>
  <si>
    <t>Phase for comments</t>
  </si>
  <si>
    <t>YearToDate</t>
  </si>
  <si>
    <t>Ytd</t>
  </si>
  <si>
    <t>Coûts Bruts - Coûts Nets Réalisé :</t>
  </si>
  <si>
    <t>Tot_ETP</t>
  </si>
  <si>
    <t>Frais_perso_assi</t>
  </si>
  <si>
    <t>Cout_enviro_taxes_dot</t>
  </si>
  <si>
    <t>Voy</t>
  </si>
  <si>
    <t>Masse_Salariale</t>
  </si>
  <si>
    <t>Voyages_Deplacements</t>
  </si>
  <si>
    <t>Frais_externes</t>
  </si>
  <si>
    <t>Frais_Environnement</t>
  </si>
  <si>
    <t>ETP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</si>
  <si>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</si>
  <si>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</si>
  <si>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</si>
  <si>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</si>
  <si>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</si>
  <si>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</si>
  <si>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</si>
  <si>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</si>
  <si>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</si>
  <si>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</si>
  <si>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</si>
  <si>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</si>
  <si>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</si>
  <si>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AutoRefresh_Frais_Direction_Nature_Charges</t>
  </si>
  <si>
    <t>Prior Year</t>
  </si>
  <si>
    <t>Forecast2_N_1</t>
  </si>
  <si>
    <t>Frais_Direction_Nature_Charge_Estime</t>
  </si>
  <si>
    <t>Frais_par_direction_nature_charges_Forecast</t>
  </si>
  <si>
    <t>LCL</t>
  </si>
  <si>
    <t>Indicator_Corp for comments</t>
  </si>
  <si>
    <t>Chges_ope</t>
  </si>
  <si>
    <t>Cout_ext</t>
  </si>
  <si>
    <t>tango_core_model: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</si>
</sst>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&quot;+ &quot;@"/>
    <numFmt numFmtId="172" formatCode="#,##0.0"/>
    <numFmt numFmtId="173" formatCode="00"/>
    <numFmt numFmtId="174" formatCode="#,##0.0;&quot;(&quot;#,##0.0&quot;)&quot;"/>
    <numFmt numFmtId="175" formatCode="#,##0;&quot;(&quot;#,##0&quot;)&quot;"/>
  </numFmts>
  <fonts count="8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sz val="20"/>
      <name val="Wingdings"/>
      <charset val="2"/>
    </font>
    <font>
      <b/>
      <sz val="20"/>
      <color indexed="9"/>
      <name val="Calibri"/>
      <family val="2"/>
    </font>
    <font>
      <sz val="15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1"/>
      <color rgb="FF0070C0"/>
      <name val="Calibri"/>
      <family val="2"/>
    </font>
    <font>
      <b/>
      <sz val="12"/>
      <color rgb="FF0070C0"/>
      <name val="Arial"/>
      <family val="2"/>
    </font>
    <font>
      <b/>
      <sz val="11"/>
      <color rgb="FF00B050"/>
      <name val="Arial"/>
      <family val="2"/>
    </font>
    <font>
      <b/>
      <sz val="32"/>
      <color theme="0"/>
      <name val="Calibri"/>
      <family val="2"/>
    </font>
    <font>
      <b/>
      <sz val="11"/>
      <name val="Arial"/>
      <family val="2"/>
    </font>
    <font>
      <sz val="10"/>
      <color indexed="9"/>
      <name val="Calibri"/>
      <family val="2"/>
    </font>
    <font>
      <sz val="9"/>
      <color indexed="9"/>
      <name val="Calibri"/>
      <family val="2"/>
    </font>
    <font>
      <sz val="14"/>
      <name val="Calibri"/>
      <family val="2"/>
    </font>
    <font>
      <b/>
      <i/>
      <sz val="22"/>
      <color theme="0"/>
      <name val="Calibri"/>
      <family val="2"/>
    </font>
    <font>
      <b/>
      <sz val="18"/>
      <name val="Wingdings"/>
      <charset val="2"/>
    </font>
    <font>
      <b/>
      <sz val="18"/>
      <color indexed="57"/>
      <name val="Wingdings"/>
      <charset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sz val="10"/>
      <color rgb="FFFF0000"/>
      <name val="Calibri"/>
      <family val="2"/>
    </font>
    <font>
      <sz val="14"/>
      <name val="Arial"/>
      <family val="2"/>
    </font>
    <font>
      <b/>
      <i/>
      <sz val="24"/>
      <color theme="0"/>
      <name val="Calibri"/>
      <family val="2"/>
    </font>
    <font>
      <b/>
      <sz val="11"/>
      <color rgb="FF0070C0"/>
      <name val="Arial"/>
      <family val="2"/>
    </font>
    <font>
      <b/>
      <sz val="10"/>
      <color rgb="FFD0C2A4"/>
      <name val="Calibri"/>
      <family val="2"/>
    </font>
    <font>
      <b/>
      <sz val="14"/>
      <color rgb="FFFF0000"/>
      <name val="Arial"/>
      <family val="2"/>
    </font>
    <font>
      <sz val="18"/>
      <name val="Calibri"/>
      <family val="2"/>
    </font>
    <font>
      <b/>
      <sz val="18"/>
      <name val="Calibri"/>
      <family val="2"/>
    </font>
    <font>
      <sz val="16"/>
      <name val="Calibri"/>
      <family val="2"/>
    </font>
    <font>
      <b/>
      <sz val="16"/>
      <name val="Calibri"/>
      <family val="2"/>
    </font>
    <font>
      <b/>
      <sz val="15"/>
      <name val="Calibri"/>
      <family val="2"/>
    </font>
    <font>
      <b/>
      <sz val="16"/>
      <color indexed="9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EAEAEA"/>
        <bgColor rgb="FF000000"/>
      </patternFill>
    </fill>
    <fill>
      <patternFill patternType="solid">
        <fgColor indexed="44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7F839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0000"/>
        <bgColor auto="1"/>
      </patternFill>
    </fill>
  </fills>
  <borders count="5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 style="dotted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indexed="9"/>
      </right>
      <top style="thick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/>
      <bottom style="medium">
        <color auto="1"/>
      </bottom>
      <diagonal/>
    </border>
    <border>
      <left style="medium">
        <color indexed="23"/>
      </left>
      <right/>
      <top style="medium">
        <color indexed="23"/>
      </top>
      <bottom/>
      <diagonal/>
    </border>
    <border>
      <left/>
      <right/>
      <top style="medium">
        <color indexed="23"/>
      </top>
      <bottom/>
      <diagonal/>
    </border>
    <border>
      <left/>
      <right style="medium">
        <color indexed="23"/>
      </right>
      <top style="medium">
        <color indexed="23"/>
      </top>
      <bottom/>
      <diagonal/>
    </border>
    <border>
      <left/>
      <right style="medium">
        <color indexed="23"/>
      </right>
      <top/>
      <bottom/>
      <diagonal/>
    </border>
    <border>
      <left style="medium">
        <color indexed="23"/>
      </left>
      <right/>
      <top/>
      <bottom style="medium">
        <color indexed="64"/>
      </bottom>
      <diagonal/>
    </border>
    <border>
      <left/>
      <right style="medium">
        <color indexed="23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9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 style="medium">
        <color indexed="9"/>
      </left>
      <right/>
      <top style="thick">
        <color indexed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288">
    <xf numFmtId="0" fontId="0" fillId="0" borderId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2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5" fillId="3" borderId="0" applyNumberFormat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166" fontId="26" fillId="22" borderId="0" applyNumberFormat="0" applyBorder="0">
      <alignment horizontal="right"/>
      <protection locked="0"/>
    </xf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167" fontId="27" fillId="23" borderId="0" applyNumberFormat="0" applyBorder="0">
      <alignment horizontal="right" vertical="center"/>
      <protection locked="0"/>
    </xf>
    <xf numFmtId="168" fontId="27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8" fillId="25" borderId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8" fillId="25" borderId="0"/>
    <xf numFmtId="0" fontId="28" fillId="25" borderId="0"/>
    <xf numFmtId="169" fontId="30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28" fillId="25" borderId="0"/>
    <xf numFmtId="0" fontId="31" fillId="7" borderId="10" applyNumberFormat="0" applyAlignment="0" applyProtection="0"/>
    <xf numFmtId="0" fontId="31" fillId="7" borderId="10" applyNumberFormat="0" applyAlignment="0" applyProtection="0"/>
    <xf numFmtId="0" fontId="31" fillId="7" borderId="10" applyNumberFormat="0" applyAlignment="0" applyProtection="0"/>
    <xf numFmtId="0" fontId="31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0" fillId="12" borderId="0" applyNumberFormat="0" applyBorder="0" applyAlignment="0" applyProtection="0"/>
    <xf numFmtId="0" fontId="31" fillId="27" borderId="10" applyNumberFormat="0" applyAlignment="0" applyProtection="0"/>
    <xf numFmtId="0" fontId="19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170" fontId="34" fillId="28" borderId="0" applyNumberFormat="0" applyBorder="0">
      <alignment horizontal="left" vertical="center"/>
      <protection locked="0"/>
    </xf>
    <xf numFmtId="170" fontId="35" fillId="22" borderId="0" applyNumberFormat="0" applyBorder="0">
      <alignment horizontal="left"/>
      <protection locked="0"/>
    </xf>
    <xf numFmtId="0" fontId="36" fillId="0" borderId="6" applyNumberFormat="0" applyFill="0" applyAlignment="0" applyProtection="0"/>
    <xf numFmtId="0" fontId="37" fillId="0" borderId="11" applyNumberFormat="0" applyFill="0" applyAlignment="0" applyProtection="0"/>
    <xf numFmtId="0" fontId="38" fillId="0" borderId="12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10" fillId="20" borderId="3" applyNumberFormat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35">
    <xf numFmtId="0" fontId="0" fillId="0" borderId="0" xfId="0"/>
    <xf numFmtId="0" fontId="63" fillId="46" borderId="0" xfId="0" applyFont="1" applyFill="1" applyAlignment="1" applyProtection="1">
      <alignment vertical="center"/>
    </xf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8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5" fillId="0" borderId="0" xfId="222" applyFont="1" applyAlignment="1" applyProtection="1"/>
    <xf numFmtId="0" fontId="47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48" fillId="30" borderId="14" xfId="0" applyFont="1" applyFill="1" applyBorder="1" applyAlignment="1" applyProtection="1">
      <alignment horizontal="left"/>
      <protection locked="0"/>
    </xf>
    <xf numFmtId="0" fontId="46" fillId="30" borderId="15" xfId="0" applyFont="1" applyFill="1" applyBorder="1" applyProtection="1">
      <protection locked="0"/>
    </xf>
    <xf numFmtId="0" fontId="45" fillId="31" borderId="16" xfId="0" applyFont="1" applyFill="1" applyBorder="1" applyProtection="1">
      <protection locked="0"/>
    </xf>
    <xf numFmtId="0" fontId="45" fillId="0" borderId="16" xfId="0" applyFont="1" applyBorder="1" applyProtection="1">
      <protection locked="0"/>
    </xf>
    <xf numFmtId="0" fontId="45" fillId="0" borderId="16" xfId="0" applyNumberFormat="1" applyFont="1" applyBorder="1" applyProtection="1">
      <protection locked="0"/>
    </xf>
    <xf numFmtId="0" fontId="0" fillId="0" borderId="0" xfId="0" applyProtection="1"/>
    <xf numFmtId="0" fontId="0" fillId="0" borderId="0" xfId="0" applyBorder="1" applyProtection="1"/>
    <xf numFmtId="0" fontId="4" fillId="0" borderId="0" xfId="0" applyFont="1" applyFill="1" applyAlignment="1" applyProtection="1">
      <alignment horizontal="left" indent="1"/>
    </xf>
    <xf numFmtId="0" fontId="4" fillId="3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6" fillId="32" borderId="0" xfId="0" applyFont="1" applyFill="1" applyBorder="1" applyAlignment="1" applyProtection="1">
      <alignment horizontal="left" vertical="center"/>
    </xf>
    <xf numFmtId="0" fontId="5" fillId="29" borderId="19" xfId="0" applyFont="1" applyFill="1" applyBorder="1" applyAlignment="1" applyProtection="1">
      <alignment horizontal="left" vertical="center"/>
    </xf>
    <xf numFmtId="0" fontId="40" fillId="0" borderId="0" xfId="0" applyFont="1" applyFill="1" applyAlignment="1" applyProtection="1"/>
    <xf numFmtId="0" fontId="5" fillId="0" borderId="0" xfId="0" applyFont="1" applyFill="1" applyBorder="1" applyAlignment="1" applyProtection="1">
      <alignment horizontal="left" vertical="center"/>
    </xf>
    <xf numFmtId="0" fontId="4" fillId="0" borderId="0" xfId="0" applyFont="1" applyBorder="1" applyProtection="1"/>
    <xf numFmtId="0" fontId="4" fillId="0" borderId="0" xfId="0" applyFont="1" applyProtection="1"/>
    <xf numFmtId="0" fontId="49" fillId="33" borderId="4" xfId="0" applyFont="1" applyFill="1" applyBorder="1" applyAlignment="1" applyProtection="1">
      <alignment horizontal="center"/>
    </xf>
    <xf numFmtId="0" fontId="0" fillId="34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45" fillId="0" borderId="20" xfId="0" applyFont="1" applyBorder="1" applyProtection="1">
      <protection locked="0"/>
    </xf>
    <xf numFmtId="0" fontId="0" fillId="0" borderId="0" xfId="0" applyProtection="1"/>
    <xf numFmtId="0" fontId="2" fillId="0" borderId="0" xfId="0" applyFont="1" applyProtection="1"/>
    <xf numFmtId="0" fontId="6" fillId="0" borderId="0" xfId="0" applyFont="1" applyFill="1" applyBorder="1" applyAlignment="1" applyProtection="1">
      <alignment horizontal="left" vertical="center"/>
    </xf>
    <xf numFmtId="0" fontId="5" fillId="0" borderId="22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left" vertical="center"/>
      <protection locked="0"/>
    </xf>
    <xf numFmtId="0" fontId="0" fillId="0" borderId="23" xfId="0" applyBorder="1" applyProtection="1"/>
    <xf numFmtId="0" fontId="2" fillId="0" borderId="24" xfId="0" applyFont="1" applyBorder="1" applyProtection="1"/>
    <xf numFmtId="0" fontId="3" fillId="36" borderId="24" xfId="205" applyFont="1" applyFill="1" applyBorder="1" applyAlignment="1" applyProtection="1">
      <alignment horizontal="center" vertical="center"/>
    </xf>
    <xf numFmtId="0" fontId="0" fillId="0" borderId="27" xfId="0" applyBorder="1" applyProtection="1"/>
    <xf numFmtId="0" fontId="0" fillId="0" borderId="26" xfId="0" applyBorder="1" applyProtection="1"/>
    <xf numFmtId="0" fontId="49" fillId="0" borderId="27" xfId="0" applyFont="1" applyBorder="1" applyAlignment="1" applyProtection="1">
      <alignment horizontal="center"/>
    </xf>
    <xf numFmtId="0" fontId="0" fillId="35" borderId="0" xfId="0" applyFill="1" applyProtection="1"/>
    <xf numFmtId="0" fontId="0" fillId="35" borderId="18" xfId="0" applyFill="1" applyBorder="1" applyProtection="1"/>
    <xf numFmtId="0" fontId="0" fillId="35" borderId="28" xfId="0" applyFill="1" applyBorder="1" applyProtection="1"/>
    <xf numFmtId="0" fontId="4" fillId="35" borderId="0" xfId="205" applyFont="1" applyFill="1" applyBorder="1" applyAlignment="1" applyProtection="1">
      <alignment vertical="center"/>
    </xf>
    <xf numFmtId="0" fontId="4" fillId="35" borderId="28" xfId="205" applyFont="1" applyFill="1" applyBorder="1" applyAlignment="1" applyProtection="1">
      <alignment vertical="center"/>
    </xf>
    <xf numFmtId="0" fontId="2" fillId="35" borderId="28" xfId="0" applyFont="1" applyFill="1" applyBorder="1" applyProtection="1"/>
    <xf numFmtId="0" fontId="44" fillId="35" borderId="28" xfId="0" applyFont="1" applyFill="1" applyBorder="1" applyProtection="1"/>
    <xf numFmtId="0" fontId="51" fillId="35" borderId="0" xfId="0" applyFont="1" applyFill="1" applyAlignment="1" applyProtection="1">
      <alignment horizontal="right"/>
    </xf>
    <xf numFmtId="0" fontId="0" fillId="35" borderId="0" xfId="0" applyFill="1" applyBorder="1" applyProtection="1"/>
    <xf numFmtId="0" fontId="2" fillId="35" borderId="0" xfId="0" applyFont="1" applyFill="1" applyProtection="1"/>
    <xf numFmtId="0" fontId="44" fillId="35" borderId="0" xfId="0" applyFont="1" applyFill="1" applyAlignment="1" applyProtection="1">
      <alignment horizontal="right"/>
    </xf>
    <xf numFmtId="0" fontId="4" fillId="37" borderId="0" xfId="205" applyFont="1" applyFill="1" applyBorder="1" applyAlignment="1" applyProtection="1">
      <alignment vertical="center"/>
    </xf>
    <xf numFmtId="0" fontId="0" fillId="35" borderId="17" xfId="0" applyFill="1" applyBorder="1" applyProtection="1"/>
    <xf numFmtId="0" fontId="44" fillId="35" borderId="0" xfId="0" applyFont="1" applyFill="1" applyBorder="1" applyAlignment="1" applyProtection="1">
      <alignment horizontal="right"/>
    </xf>
    <xf numFmtId="0" fontId="50" fillId="35" borderId="0" xfId="0" applyFont="1" applyFill="1" applyBorder="1" applyProtection="1"/>
    <xf numFmtId="0" fontId="2" fillId="35" borderId="0" xfId="0" applyFont="1" applyFill="1" applyBorder="1" applyProtection="1"/>
    <xf numFmtId="0" fontId="0" fillId="36" borderId="4" xfId="0" applyFill="1" applyBorder="1" applyProtection="1">
      <protection locked="0"/>
    </xf>
    <xf numFmtId="0" fontId="12" fillId="0" borderId="0" xfId="0" applyFont="1"/>
    <xf numFmtId="0" fontId="52" fillId="0" borderId="0" xfId="0" applyFont="1" applyAlignment="1" applyProtection="1">
      <alignment horizontal="right"/>
    </xf>
    <xf numFmtId="0" fontId="52" fillId="0" borderId="27" xfId="0" applyFont="1" applyBorder="1" applyAlignment="1" applyProtection="1">
      <alignment horizontal="center"/>
    </xf>
    <xf numFmtId="0" fontId="2" fillId="0" borderId="27" xfId="0" applyFont="1" applyBorder="1" applyProtection="1"/>
    <xf numFmtId="0" fontId="2" fillId="0" borderId="26" xfId="0" applyFont="1" applyFill="1" applyBorder="1" applyProtection="1"/>
    <xf numFmtId="0" fontId="2" fillId="0" borderId="25" xfId="0" applyFont="1" applyFill="1" applyBorder="1" applyProtection="1"/>
    <xf numFmtId="0" fontId="4" fillId="0" borderId="26" xfId="205" applyFont="1" applyFill="1" applyBorder="1" applyAlignment="1" applyProtection="1">
      <alignment vertical="center"/>
    </xf>
    <xf numFmtId="0" fontId="0" fillId="0" borderId="25" xfId="0" applyBorder="1" applyProtection="1"/>
    <xf numFmtId="0" fontId="41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vertical="center" wrapText="1"/>
    </xf>
    <xf numFmtId="0" fontId="54" fillId="39" borderId="0" xfId="0" applyFont="1" applyFill="1" applyBorder="1" applyProtection="1"/>
    <xf numFmtId="0" fontId="54" fillId="30" borderId="29" xfId="0" applyFont="1" applyFill="1" applyBorder="1" applyProtection="1"/>
    <xf numFmtId="0" fontId="12" fillId="35" borderId="0" xfId="0" applyFont="1" applyFill="1" applyAlignment="1" applyProtection="1">
      <alignment horizontal="right" vertical="center"/>
    </xf>
    <xf numFmtId="0" fontId="52" fillId="35" borderId="0" xfId="0" applyFont="1" applyFill="1" applyProtection="1"/>
    <xf numFmtId="0" fontId="49" fillId="35" borderId="0" xfId="0" applyFont="1" applyFill="1" applyProtection="1"/>
    <xf numFmtId="0" fontId="12" fillId="35" borderId="28" xfId="0" applyFont="1" applyFill="1" applyBorder="1" applyProtection="1"/>
    <xf numFmtId="0" fontId="44" fillId="35" borderId="0" xfId="0" applyFont="1" applyFill="1" applyBorder="1" applyProtection="1"/>
    <xf numFmtId="0" fontId="42" fillId="0" borderId="34" xfId="205" applyFont="1" applyFill="1" applyBorder="1" applyAlignment="1" applyProtection="1">
      <alignment vertical="center"/>
    </xf>
    <xf numFmtId="0" fontId="55" fillId="0" borderId="0" xfId="205" applyFont="1" applyFill="1" applyBorder="1" applyAlignment="1" applyProtection="1">
      <alignment vertical="center"/>
    </xf>
    <xf numFmtId="0" fontId="56" fillId="0" borderId="0" xfId="0" applyFont="1"/>
    <xf numFmtId="0" fontId="42" fillId="29" borderId="0" xfId="222" applyFont="1" applyFill="1" applyBorder="1" applyAlignment="1">
      <alignment vertical="center" wrapText="1"/>
    </xf>
    <xf numFmtId="0" fontId="0" fillId="0" borderId="0" xfId="0" applyFill="1" applyBorder="1" applyProtection="1"/>
    <xf numFmtId="0" fontId="12" fillId="0" borderId="0" xfId="0" applyFont="1" applyFill="1" applyBorder="1" applyProtection="1"/>
    <xf numFmtId="0" fontId="2" fillId="0" borderId="0" xfId="0" applyFont="1" applyFill="1" applyBorder="1" applyProtection="1"/>
    <xf numFmtId="0" fontId="12" fillId="0" borderId="0" xfId="0" applyFont="1" applyFill="1" applyProtection="1"/>
    <xf numFmtId="0" fontId="44" fillId="0" borderId="0" xfId="0" applyFont="1" applyFill="1" applyBorder="1" applyProtection="1"/>
    <xf numFmtId="0" fontId="0" fillId="0" borderId="0" xfId="0" applyFill="1"/>
    <xf numFmtId="0" fontId="0" fillId="35" borderId="35" xfId="0" applyFill="1" applyBorder="1" applyProtection="1"/>
    <xf numFmtId="0" fontId="57" fillId="0" borderId="0" xfId="0" applyFont="1"/>
    <xf numFmtId="0" fontId="42" fillId="0" borderId="0" xfId="205" applyFont="1" applyFill="1" applyBorder="1" applyAlignment="1" applyProtection="1">
      <alignment vertical="center"/>
    </xf>
    <xf numFmtId="0" fontId="42" fillId="0" borderId="0" xfId="222" applyFont="1" applyFill="1" applyBorder="1" applyAlignment="1">
      <alignment vertical="center" wrapText="1"/>
    </xf>
    <xf numFmtId="0" fontId="49" fillId="0" borderId="0" xfId="0" applyFont="1" applyFill="1" applyBorder="1" applyAlignment="1" applyProtection="1">
      <alignment horizontal="center"/>
    </xf>
    <xf numFmtId="0" fontId="0" fillId="0" borderId="0" xfId="0" applyFill="1" applyBorder="1"/>
    <xf numFmtId="0" fontId="53" fillId="0" borderId="0" xfId="0" applyNumberFormat="1" applyFont="1" applyFill="1" applyBorder="1"/>
    <xf numFmtId="0" fontId="4" fillId="0" borderId="0" xfId="0" applyFont="1" applyFill="1" applyBorder="1" applyAlignment="1" applyProtection="1">
      <alignment horizontal="left" indent="1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right" vertical="center"/>
    </xf>
    <xf numFmtId="0" fontId="50" fillId="39" borderId="0" xfId="0" applyFont="1" applyFill="1" applyBorder="1" applyProtection="1"/>
    <xf numFmtId="0" fontId="59" fillId="35" borderId="0" xfId="0" applyFont="1" applyFill="1" applyProtection="1"/>
    <xf numFmtId="0" fontId="3" fillId="0" borderId="0" xfId="222" applyFont="1" applyProtection="1"/>
    <xf numFmtId="0" fontId="60" fillId="0" borderId="0" xfId="205" applyFont="1" applyFill="1" applyBorder="1" applyAlignment="1" applyProtection="1">
      <alignment vertical="center"/>
    </xf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60" fillId="0" borderId="0" xfId="205" applyFont="1" applyFill="1" applyBorder="1" applyAlignment="1" applyProtection="1">
      <alignment horizontal="right" vertical="center" indent="1"/>
    </xf>
    <xf numFmtId="0" fontId="61" fillId="0" borderId="0" xfId="205" applyFont="1" applyFill="1" applyBorder="1" applyAlignment="1" applyProtection="1">
      <alignment horizontal="right" vertical="center" indent="1"/>
    </xf>
    <xf numFmtId="0" fontId="2" fillId="0" borderId="0" xfId="0" applyFont="1"/>
    <xf numFmtId="0" fontId="7" fillId="0" borderId="0" xfId="0" applyFont="1" applyFill="1" applyBorder="1" applyAlignment="1" applyProtection="1">
      <alignment horizontal="center" vertical="center" wrapText="1"/>
    </xf>
    <xf numFmtId="0" fontId="0" fillId="0" borderId="42" xfId="0" applyBorder="1" applyProtection="1"/>
    <xf numFmtId="0" fontId="12" fillId="35" borderId="42" xfId="0" applyFont="1" applyFill="1" applyBorder="1" applyProtection="1"/>
    <xf numFmtId="0" fontId="0" fillId="0" borderId="26" xfId="0" applyFill="1" applyBorder="1" applyProtection="1"/>
    <xf numFmtId="0" fontId="1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3" fontId="0" fillId="0" borderId="0" xfId="0" applyNumberFormat="1" applyAlignment="1" applyProtection="1">
      <alignment horizontal="center"/>
      <protection locked="0"/>
    </xf>
    <xf numFmtId="0" fontId="5" fillId="29" borderId="19" xfId="0" applyFont="1" applyFill="1" applyBorder="1" applyAlignment="1" applyProtection="1">
      <alignment vertical="center"/>
    </xf>
    <xf numFmtId="0" fontId="2" fillId="0" borderId="0" xfId="0" applyFont="1" applyFill="1" applyBorder="1"/>
    <xf numFmtId="0" fontId="41" fillId="0" borderId="30" xfId="0" applyFont="1" applyFill="1" applyBorder="1" applyAlignment="1" applyProtection="1">
      <alignment vertical="center" wrapText="1"/>
    </xf>
    <xf numFmtId="172" fontId="6" fillId="0" borderId="43" xfId="0" applyNumberFormat="1" applyFont="1" applyFill="1" applyBorder="1" applyAlignment="1">
      <alignment horizontal="right" vertical="center" indent="1"/>
    </xf>
    <xf numFmtId="0" fontId="7" fillId="32" borderId="45" xfId="0" applyFont="1" applyFill="1" applyBorder="1" applyAlignment="1" applyProtection="1">
      <alignment horizontal="center" vertical="center" wrapText="1"/>
    </xf>
    <xf numFmtId="0" fontId="64" fillId="0" borderId="27" xfId="0" applyFont="1" applyBorder="1" applyAlignment="1" applyProtection="1">
      <alignment horizontal="center"/>
    </xf>
    <xf numFmtId="0" fontId="9" fillId="0" borderId="0" xfId="196" applyFont="1" applyFill="1" applyBorder="1" applyAlignment="1" applyProtection="1">
      <alignment horizontal="center" vertical="center" wrapText="1"/>
    </xf>
    <xf numFmtId="0" fontId="65" fillId="35" borderId="0" xfId="196" applyFont="1" applyFill="1" applyBorder="1" applyAlignment="1">
      <alignment horizontal="center" vertical="center"/>
    </xf>
    <xf numFmtId="0" fontId="2" fillId="35" borderId="18" xfId="0" applyFont="1" applyFill="1" applyBorder="1" applyProtection="1"/>
    <xf numFmtId="0" fontId="4" fillId="29" borderId="0" xfId="205" applyFont="1" applyFill="1" applyBorder="1" applyAlignment="1" applyProtection="1">
      <alignment horizontal="left" vertical="center"/>
    </xf>
    <xf numFmtId="0" fontId="4" fillId="29" borderId="0" xfId="205" applyFont="1" applyFill="1" applyBorder="1" applyAlignment="1" applyProtection="1">
      <alignment vertical="center"/>
    </xf>
    <xf numFmtId="0" fontId="4" fillId="40" borderId="0" xfId="205" applyFont="1" applyFill="1" applyBorder="1" applyAlignment="1" applyProtection="1">
      <alignment vertical="center"/>
    </xf>
    <xf numFmtId="0" fontId="4" fillId="40" borderId="0" xfId="205" applyFont="1" applyFill="1" applyBorder="1" applyAlignment="1" applyProtection="1">
      <alignment horizontal="left" vertical="center"/>
    </xf>
    <xf numFmtId="0" fontId="3" fillId="29" borderId="0" xfId="205" applyFont="1" applyFill="1" applyBorder="1" applyAlignment="1" applyProtection="1">
      <alignment horizontal="center" vertical="center"/>
    </xf>
    <xf numFmtId="0" fontId="52" fillId="0" borderId="0" xfId="0" applyFont="1" applyAlignment="1" applyProtection="1">
      <alignment horizontal="left" vertical="center"/>
    </xf>
    <xf numFmtId="0" fontId="66" fillId="0" borderId="0" xfId="205" applyFont="1" applyFill="1" applyBorder="1" applyAlignment="1" applyProtection="1">
      <alignment horizontal="center" vertical="center"/>
    </xf>
    <xf numFmtId="0" fontId="67" fillId="0" borderId="0" xfId="205" applyFont="1" applyFill="1" applyBorder="1" applyAlignment="1" applyProtection="1">
      <alignment horizontal="right" vertical="center"/>
    </xf>
    <xf numFmtId="0" fontId="67" fillId="0" borderId="0" xfId="205" applyFont="1" applyFill="1" applyBorder="1" applyAlignment="1" applyProtection="1">
      <alignment vertical="center"/>
    </xf>
    <xf numFmtId="0" fontId="68" fillId="0" borderId="0" xfId="205" applyFont="1" applyFill="1" applyBorder="1" applyAlignment="1" applyProtection="1">
      <alignment vertical="center"/>
    </xf>
    <xf numFmtId="0" fontId="51" fillId="0" borderId="0" xfId="0" applyFont="1" applyProtection="1"/>
    <xf numFmtId="0" fontId="71" fillId="0" borderId="0" xfId="205" applyFont="1" applyFill="1" applyAlignment="1" applyProtection="1">
      <alignment vertical="center"/>
    </xf>
    <xf numFmtId="3" fontId="69" fillId="0" borderId="4" xfId="205" applyNumberFormat="1" applyFont="1" applyFill="1" applyBorder="1" applyAlignment="1" applyProtection="1">
      <alignment horizontal="center" vertical="center"/>
    </xf>
    <xf numFmtId="174" fontId="42" fillId="0" borderId="34" xfId="205" applyNumberFormat="1" applyFont="1" applyFill="1" applyBorder="1" applyAlignment="1" applyProtection="1">
      <alignment horizontal="right" vertical="center" indent="1"/>
    </xf>
    <xf numFmtId="0" fontId="42" fillId="0" borderId="0" xfId="222" applyFont="1" applyFill="1" applyBorder="1" applyAlignment="1" applyProtection="1">
      <alignment vertical="center" wrapText="1"/>
    </xf>
    <xf numFmtId="0" fontId="65" fillId="35" borderId="0" xfId="196" applyFont="1" applyFill="1" applyBorder="1" applyAlignment="1" applyProtection="1">
      <alignment horizontal="center" vertical="center"/>
    </xf>
    <xf numFmtId="0" fontId="7" fillId="32" borderId="32" xfId="0" applyFont="1" applyFill="1" applyBorder="1" applyAlignment="1" applyProtection="1">
      <alignment horizontal="center" vertical="center" wrapText="1"/>
    </xf>
    <xf numFmtId="0" fontId="7" fillId="32" borderId="45" xfId="0" applyFont="1" applyFill="1" applyBorder="1" applyAlignment="1" applyProtection="1">
      <alignment horizontal="center" vertical="center" wrapText="1"/>
    </xf>
    <xf numFmtId="0" fontId="72" fillId="35" borderId="0" xfId="0" applyFont="1" applyFill="1" applyBorder="1" applyProtection="1"/>
    <xf numFmtId="0" fontId="59" fillId="35" borderId="0" xfId="0" applyFont="1" applyFill="1" applyBorder="1" applyAlignment="1" applyProtection="1"/>
    <xf numFmtId="0" fontId="7" fillId="0" borderId="32" xfId="0" applyFont="1" applyFill="1" applyBorder="1" applyAlignment="1" applyProtection="1">
      <alignment vertical="center" wrapText="1"/>
    </xf>
    <xf numFmtId="0" fontId="59" fillId="0" borderId="0" xfId="0" applyFont="1" applyProtection="1"/>
    <xf numFmtId="1" fontId="0" fillId="0" borderId="0" xfId="0" applyNumberFormat="1" applyProtection="1"/>
    <xf numFmtId="0" fontId="70" fillId="0" borderId="26" xfId="205" applyFont="1" applyFill="1" applyBorder="1" applyAlignment="1" applyProtection="1">
      <alignment vertical="center"/>
    </xf>
    <xf numFmtId="0" fontId="70" fillId="0" borderId="25" xfId="205" applyFont="1" applyFill="1" applyBorder="1" applyAlignment="1" applyProtection="1">
      <alignment vertical="center"/>
    </xf>
    <xf numFmtId="0" fontId="63" fillId="30" borderId="0" xfId="0" applyFont="1" applyFill="1" applyAlignment="1" applyProtection="1">
      <alignment vertical="center"/>
    </xf>
    <xf numFmtId="0" fontId="74" fillId="0" borderId="0" xfId="0" applyFont="1" applyProtection="1"/>
    <xf numFmtId="0" fontId="52" fillId="35" borderId="0" xfId="0" applyFont="1" applyFill="1" applyBorder="1" applyAlignment="1" applyProtection="1">
      <alignment horizontal="right" vertical="center"/>
    </xf>
    <xf numFmtId="0" fontId="12" fillId="35" borderId="0" xfId="0" applyFont="1" applyFill="1" applyAlignment="1" applyProtection="1">
      <alignment horizontal="left" vertical="center"/>
    </xf>
    <xf numFmtId="0" fontId="12" fillId="0" borderId="0" xfId="0" applyFont="1" applyAlignment="1" applyProtection="1">
      <alignment horizontal="center"/>
    </xf>
    <xf numFmtId="0" fontId="49" fillId="0" borderId="0" xfId="0" applyFont="1" applyProtection="1"/>
    <xf numFmtId="0" fontId="75" fillId="0" borderId="4" xfId="0" applyFont="1" applyBorder="1" applyAlignment="1" applyProtection="1">
      <alignment horizontal="center"/>
    </xf>
    <xf numFmtId="0" fontId="76" fillId="35" borderId="17" xfId="0" applyFont="1" applyFill="1" applyBorder="1" applyAlignment="1" applyProtection="1">
      <alignment horizontal="right"/>
    </xf>
    <xf numFmtId="0" fontId="49" fillId="35" borderId="17" xfId="0" applyFont="1" applyFill="1" applyBorder="1" applyProtection="1"/>
    <xf numFmtId="0" fontId="49" fillId="35" borderId="0" xfId="0" applyFont="1" applyFill="1" applyBorder="1" applyProtection="1"/>
    <xf numFmtId="0" fontId="52" fillId="35" borderId="0" xfId="0" applyFont="1" applyFill="1" applyBorder="1" applyAlignment="1" applyProtection="1">
      <alignment horizontal="right"/>
    </xf>
    <xf numFmtId="175" fontId="6" fillId="32" borderId="0" xfId="0" applyNumberFormat="1" applyFont="1" applyFill="1" applyBorder="1" applyAlignment="1">
      <alignment horizontal="right" vertical="center" indent="1"/>
    </xf>
    <xf numFmtId="175" fontId="65" fillId="35" borderId="0" xfId="196" applyNumberFormat="1" applyFont="1" applyFill="1" applyBorder="1" applyAlignment="1">
      <alignment horizontal="center" vertical="center"/>
    </xf>
    <xf numFmtId="175" fontId="4" fillId="0" borderId="0" xfId="205" applyNumberFormat="1" applyFont="1" applyFill="1" applyBorder="1" applyAlignment="1" applyProtection="1">
      <alignment vertical="center"/>
    </xf>
    <xf numFmtId="175" fontId="0" fillId="0" borderId="0" xfId="0" applyNumberFormat="1"/>
    <xf numFmtId="175" fontId="12" fillId="0" borderId="0" xfId="0" applyNumberFormat="1" applyFont="1"/>
    <xf numFmtId="9" fontId="6" fillId="32" borderId="0" xfId="0" applyNumberFormat="1" applyFont="1" applyFill="1" applyBorder="1" applyAlignment="1">
      <alignment horizontal="right" vertical="center" indent="1"/>
    </xf>
    <xf numFmtId="9" fontId="4" fillId="0" borderId="0" xfId="205" applyNumberFormat="1" applyFont="1" applyFill="1" applyBorder="1" applyAlignment="1" applyProtection="1">
      <alignment vertical="center"/>
    </xf>
    <xf numFmtId="9" fontId="0" fillId="0" borderId="0" xfId="0" applyNumberFormat="1"/>
    <xf numFmtId="9" fontId="12" fillId="0" borderId="0" xfId="0" applyNumberFormat="1" applyFont="1"/>
    <xf numFmtId="175" fontId="42" fillId="0" borderId="34" xfId="205" applyNumberFormat="1" applyFont="1" applyFill="1" applyBorder="1" applyAlignment="1" applyProtection="1">
      <alignment horizontal="right" vertical="center" indent="1"/>
    </xf>
    <xf numFmtId="175" fontId="65" fillId="35" borderId="0" xfId="196" applyNumberFormat="1" applyFont="1" applyFill="1" applyBorder="1" applyAlignment="1" applyProtection="1">
      <alignment horizontal="center" vertical="center"/>
    </xf>
    <xf numFmtId="175" fontId="0" fillId="0" borderId="0" xfId="0" applyNumberFormat="1" applyProtection="1"/>
    <xf numFmtId="175" fontId="6" fillId="32" borderId="49" xfId="0" applyNumberFormat="1" applyFont="1" applyFill="1" applyBorder="1" applyAlignment="1">
      <alignment horizontal="right" vertical="center" wrapText="1" indent="1"/>
    </xf>
    <xf numFmtId="9" fontId="42" fillId="0" borderId="34" xfId="205" applyNumberFormat="1" applyFont="1" applyFill="1" applyBorder="1" applyAlignment="1" applyProtection="1">
      <alignment horizontal="right" vertical="center" indent="1"/>
    </xf>
    <xf numFmtId="0" fontId="59" fillId="0" borderId="46" xfId="0" applyFont="1" applyBorder="1" applyAlignment="1" applyProtection="1">
      <alignment horizontal="center"/>
    </xf>
    <xf numFmtId="0" fontId="59" fillId="0" borderId="47" xfId="0" applyFont="1" applyBorder="1" applyAlignment="1" applyProtection="1">
      <alignment horizontal="center"/>
    </xf>
    <xf numFmtId="0" fontId="59" fillId="0" borderId="48" xfId="0" applyFont="1" applyBorder="1" applyAlignment="1" applyProtection="1">
      <alignment horizontal="center"/>
    </xf>
    <xf numFmtId="0" fontId="0" fillId="35" borderId="42" xfId="0" applyFill="1" applyBorder="1" applyProtection="1"/>
    <xf numFmtId="0" fontId="41" fillId="38" borderId="0" xfId="0" applyFont="1" applyFill="1" applyBorder="1" applyAlignment="1">
      <alignment vertical="center" wrapText="1"/>
    </xf>
    <xf numFmtId="0" fontId="41" fillId="38" borderId="30" xfId="0" applyFont="1" applyFill="1" applyBorder="1" applyAlignment="1">
      <alignment vertical="center" wrapText="1"/>
    </xf>
    <xf numFmtId="0" fontId="41" fillId="38" borderId="0" xfId="0" applyFont="1" applyFill="1" applyBorder="1" applyAlignment="1" applyProtection="1">
      <alignment vertical="center" wrapText="1"/>
    </xf>
    <xf numFmtId="0" fontId="41" fillId="38" borderId="30" xfId="0" applyFont="1" applyFill="1" applyBorder="1" applyAlignment="1" applyProtection="1">
      <alignment vertical="center" wrapText="1"/>
    </xf>
    <xf numFmtId="0" fontId="41" fillId="0" borderId="0" xfId="0" applyFont="1" applyFill="1" applyBorder="1" applyAlignment="1">
      <alignment vertical="center" wrapText="1"/>
    </xf>
    <xf numFmtId="175" fontId="78" fillId="41" borderId="0" xfId="205" applyNumberFormat="1" applyFont="1" applyFill="1" applyBorder="1" applyAlignment="1" applyProtection="1">
      <alignment horizontal="right" vertical="center" indent="1"/>
    </xf>
    <xf numFmtId="175" fontId="42" fillId="0" borderId="0" xfId="205" applyNumberFormat="1" applyFont="1" applyFill="1" applyBorder="1" applyAlignment="1" applyProtection="1">
      <alignment horizontal="right" vertical="center" indent="1"/>
    </xf>
    <xf numFmtId="9" fontId="42" fillId="0" borderId="0" xfId="205" applyNumberFormat="1" applyFont="1" applyFill="1" applyBorder="1" applyAlignment="1" applyProtection="1">
      <alignment horizontal="right" vertical="center" indent="1"/>
    </xf>
    <xf numFmtId="175" fontId="77" fillId="42" borderId="0" xfId="205" applyNumberFormat="1" applyFont="1" applyFill="1" applyBorder="1" applyAlignment="1" applyProtection="1">
      <alignment horizontal="right" vertical="center" indent="1"/>
    </xf>
    <xf numFmtId="175" fontId="80" fillId="43" borderId="0" xfId="205" applyNumberFormat="1" applyFont="1" applyFill="1" applyBorder="1" applyAlignment="1" applyProtection="1">
      <alignment horizontal="right" vertical="center" indent="1"/>
    </xf>
    <xf numFmtId="175" fontId="79" fillId="44" borderId="0" xfId="205" applyNumberFormat="1" applyFont="1" applyFill="1" applyBorder="1" applyAlignment="1" applyProtection="1">
      <alignment horizontal="right" vertical="center" indent="1"/>
    </xf>
    <xf numFmtId="0" fontId="78" fillId="41" borderId="0" xfId="222" applyFont="1" applyFill="1" applyBorder="1" applyAlignment="1" applyProtection="1">
      <alignment horizontal="left" vertical="center"/>
    </xf>
    <xf numFmtId="0" fontId="78" fillId="41" borderId="0" xfId="222" applyFont="1" applyFill="1" applyBorder="1" applyAlignment="1" applyProtection="1">
      <alignment vertical="center"/>
    </xf>
    <xf numFmtId="0" fontId="77" fillId="42" borderId="0" xfId="222" applyFont="1" applyFill="1" applyBorder="1" applyAlignment="1" applyProtection="1">
      <alignment horizontal="left" vertical="center"/>
    </xf>
    <xf numFmtId="0" fontId="77" fillId="42" borderId="0" xfId="222" applyFont="1" applyFill="1" applyBorder="1" applyAlignment="1" applyProtection="1">
      <alignment vertical="center"/>
    </xf>
    <xf numFmtId="0" fontId="80" fillId="43" borderId="0" xfId="222" applyFont="1" applyFill="1" applyBorder="1" applyAlignment="1" applyProtection="1">
      <alignment horizontal="left" vertical="center"/>
    </xf>
    <xf numFmtId="0" fontId="80" fillId="43" borderId="0" xfId="222" applyFont="1" applyFill="1" applyBorder="1" applyAlignment="1" applyProtection="1">
      <alignment vertical="center"/>
    </xf>
    <xf numFmtId="0" fontId="79" fillId="44" borderId="0" xfId="222" applyFont="1" applyFill="1" applyBorder="1" applyAlignment="1" applyProtection="1">
      <alignment horizontal="left" vertical="center"/>
    </xf>
    <xf numFmtId="0" fontId="79" fillId="44" borderId="0" xfId="222" applyFont="1" applyFill="1" applyBorder="1" applyAlignment="1" applyProtection="1">
      <alignment vertical="center"/>
    </xf>
    <xf numFmtId="0" fontId="42" fillId="45" borderId="0" xfId="222" applyFont="1" applyFill="1" applyBorder="1" applyAlignment="1" applyProtection="1">
      <alignment horizontal="left" vertical="center"/>
    </xf>
    <xf numFmtId="0" fontId="42" fillId="45" borderId="0" xfId="222" applyFont="1" applyFill="1" applyBorder="1" applyAlignment="1" applyProtection="1">
      <alignment vertical="center"/>
    </xf>
    <xf numFmtId="0" fontId="6" fillId="0" borderId="0" xfId="0" applyFont="1" applyFill="1" applyBorder="1" applyAlignment="1">
      <alignment horizontal="left" vertical="center"/>
    </xf>
    <xf numFmtId="175" fontId="77" fillId="0" borderId="0" xfId="205" applyNumberFormat="1" applyFont="1" applyFill="1" applyBorder="1" applyAlignment="1" applyProtection="1">
      <alignment horizontal="right" vertical="center" indent="1"/>
    </xf>
    <xf numFmtId="175" fontId="80" fillId="41" borderId="0" xfId="205" applyNumberFormat="1" applyFont="1" applyFill="1" applyBorder="1" applyAlignment="1" applyProtection="1">
      <alignment horizontal="right" vertical="center" indent="1"/>
    </xf>
    <xf numFmtId="175" fontId="79" fillId="42" borderId="0" xfId="205" applyNumberFormat="1" applyFont="1" applyFill="1" applyBorder="1" applyAlignment="1" applyProtection="1">
      <alignment horizontal="right" vertical="center" indent="1"/>
    </xf>
    <xf numFmtId="175" fontId="81" fillId="43" borderId="0" xfId="205" applyNumberFormat="1" applyFont="1" applyFill="1" applyBorder="1" applyAlignment="1" applyProtection="1">
      <alignment horizontal="right" vertical="center" indent="1"/>
    </xf>
    <xf numFmtId="175" fontId="42" fillId="44" borderId="0" xfId="205" applyNumberFormat="1" applyFont="1" applyFill="1" applyBorder="1" applyAlignment="1" applyProtection="1">
      <alignment horizontal="right" vertical="center" indent="1"/>
    </xf>
    <xf numFmtId="175" fontId="82" fillId="32" borderId="0" xfId="0" applyNumberFormat="1" applyFont="1" applyFill="1" applyBorder="1" applyAlignment="1">
      <alignment horizontal="right" vertical="center" indent="1"/>
    </xf>
    <xf numFmtId="0" fontId="7" fillId="48" borderId="33" xfId="0" applyFont="1" applyFill="1" applyBorder="1" applyAlignment="1" applyProtection="1">
      <alignment horizontal="center" vertical="center" wrapText="1"/>
    </xf>
    <xf numFmtId="0" fontId="7" fillId="48" borderId="44" xfId="0" applyFont="1" applyFill="1" applyBorder="1" applyAlignment="1" applyProtection="1">
      <alignment horizontal="center" vertical="center" wrapText="1"/>
    </xf>
    <xf numFmtId="0" fontId="7" fillId="48" borderId="33" xfId="0" applyFont="1" applyFill="1" applyBorder="1" applyAlignment="1">
      <alignment horizontal="center" vertical="center" wrapText="1"/>
    </xf>
    <xf numFmtId="0" fontId="7" fillId="48" borderId="44" xfId="0" applyFont="1" applyFill="1" applyBorder="1" applyAlignment="1">
      <alignment horizontal="center" vertical="center" wrapText="1"/>
    </xf>
    <xf numFmtId="0" fontId="7" fillId="48" borderId="45" xfId="0" applyFont="1" applyFill="1" applyBorder="1" applyAlignment="1" applyProtection="1">
      <alignment horizontal="center" vertical="center" wrapText="1"/>
    </xf>
    <xf numFmtId="171" fontId="78" fillId="49" borderId="0" xfId="222" applyNumberFormat="1" applyFont="1" applyFill="1" applyBorder="1" applyAlignment="1" applyProtection="1">
      <alignment horizontal="left" vertical="center"/>
    </xf>
    <xf numFmtId="0" fontId="78" fillId="49" borderId="0" xfId="222" applyFont="1" applyFill="1" applyBorder="1" applyAlignment="1" applyProtection="1">
      <alignment vertical="center"/>
    </xf>
    <xf numFmtId="175" fontId="78" fillId="49" borderId="0" xfId="205" applyNumberFormat="1" applyFont="1" applyFill="1" applyBorder="1" applyAlignment="1" applyProtection="1">
      <alignment horizontal="right" vertical="center" indent="1"/>
    </xf>
    <xf numFmtId="175" fontId="80" fillId="49" borderId="0" xfId="205" applyNumberFormat="1" applyFont="1" applyFill="1" applyBorder="1" applyAlignment="1" applyProtection="1">
      <alignment horizontal="right" vertical="center" indent="1"/>
    </xf>
    <xf numFmtId="0" fontId="46" fillId="30" borderId="14" xfId="0" applyFont="1" applyFill="1" applyBorder="1" applyAlignment="1" applyProtection="1">
      <alignment horizontal="left" vertical="center"/>
      <protection locked="0"/>
    </xf>
    <xf numFmtId="0" fontId="62" fillId="31" borderId="36" xfId="205" applyFont="1" applyFill="1" applyBorder="1" applyAlignment="1" applyProtection="1">
      <alignment horizontal="left" vertical="center"/>
      <protection locked="0"/>
    </xf>
    <xf numFmtId="0" fontId="62" fillId="31" borderId="37" xfId="205" applyFont="1" applyFill="1" applyBorder="1" applyAlignment="1" applyProtection="1">
      <alignment horizontal="left" vertical="center"/>
      <protection locked="0"/>
    </xf>
    <xf numFmtId="0" fontId="62" fillId="31" borderId="38" xfId="205" applyFont="1" applyFill="1" applyBorder="1" applyAlignment="1" applyProtection="1">
      <alignment horizontal="left" vertical="center"/>
      <protection locked="0"/>
    </xf>
    <xf numFmtId="0" fontId="62" fillId="31" borderId="21" xfId="205" applyFont="1" applyFill="1" applyBorder="1" applyAlignment="1" applyProtection="1">
      <alignment horizontal="left" vertical="center"/>
      <protection locked="0"/>
    </xf>
    <xf numFmtId="0" fontId="62" fillId="31" borderId="0" xfId="205" applyFont="1" applyFill="1" applyBorder="1" applyAlignment="1" applyProtection="1">
      <alignment horizontal="left" vertical="center"/>
      <protection locked="0"/>
    </xf>
    <xf numFmtId="0" fontId="62" fillId="31" borderId="39" xfId="205" applyFont="1" applyFill="1" applyBorder="1" applyAlignment="1" applyProtection="1">
      <alignment horizontal="left" vertical="center"/>
      <protection locked="0"/>
    </xf>
    <xf numFmtId="0" fontId="62" fillId="31" borderId="40" xfId="205" applyFont="1" applyFill="1" applyBorder="1" applyAlignment="1" applyProtection="1">
      <alignment horizontal="left" vertical="center"/>
      <protection locked="0"/>
    </xf>
    <xf numFmtId="0" fontId="62" fillId="31" borderId="35" xfId="205" applyFont="1" applyFill="1" applyBorder="1" applyAlignment="1" applyProtection="1">
      <alignment horizontal="left" vertical="center"/>
      <protection locked="0"/>
    </xf>
    <xf numFmtId="0" fontId="62" fillId="31" borderId="41" xfId="205" applyFont="1" applyFill="1" applyBorder="1" applyAlignment="1" applyProtection="1">
      <alignment horizontal="left" vertical="center"/>
      <protection locked="0"/>
    </xf>
    <xf numFmtId="0" fontId="41" fillId="47" borderId="0" xfId="0" applyFont="1" applyFill="1" applyBorder="1" applyAlignment="1" applyProtection="1">
      <alignment horizontal="center" vertical="center" wrapText="1"/>
    </xf>
    <xf numFmtId="0" fontId="41" fillId="47" borderId="30" xfId="0" applyFont="1" applyFill="1" applyBorder="1" applyAlignment="1" applyProtection="1">
      <alignment horizontal="center" vertical="center" wrapText="1"/>
    </xf>
    <xf numFmtId="0" fontId="59" fillId="0" borderId="46" xfId="0" applyFont="1" applyBorder="1" applyAlignment="1" applyProtection="1">
      <alignment horizontal="center"/>
    </xf>
    <xf numFmtId="0" fontId="59" fillId="0" borderId="47" xfId="0" applyFont="1" applyBorder="1" applyAlignment="1" applyProtection="1">
      <alignment horizontal="center"/>
    </xf>
    <xf numFmtId="0" fontId="59" fillId="0" borderId="48" xfId="0" applyFont="1" applyBorder="1" applyAlignment="1" applyProtection="1">
      <alignment horizontal="center"/>
    </xf>
    <xf numFmtId="0" fontId="41" fillId="0" borderId="0" xfId="0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>
      <alignment horizontal="left" vertical="center"/>
    </xf>
    <xf numFmtId="0" fontId="6" fillId="32" borderId="0" xfId="0" applyFont="1" applyFill="1" applyBorder="1" applyAlignment="1">
      <alignment horizontal="left" vertical="center"/>
    </xf>
    <xf numFmtId="0" fontId="73" fillId="46" borderId="0" xfId="0" applyFont="1" applyFill="1" applyAlignment="1" applyProtection="1">
      <alignment horizontal="left" vertical="center"/>
    </xf>
    <xf numFmtId="0" fontId="7" fillId="48" borderId="45" xfId="0" applyFont="1" applyFill="1" applyBorder="1" applyAlignment="1" applyProtection="1">
      <alignment horizontal="center" vertical="center" wrapText="1"/>
    </xf>
    <xf numFmtId="0" fontId="7" fillId="48" borderId="31" xfId="0" applyFont="1" applyFill="1" applyBorder="1" applyAlignment="1" applyProtection="1">
      <alignment horizontal="center" vertical="center" wrapText="1"/>
    </xf>
    <xf numFmtId="0" fontId="44" fillId="35" borderId="0" xfId="0" applyFont="1" applyFill="1" applyBorder="1" applyAlignment="1" applyProtection="1">
      <alignment horizontal="center"/>
    </xf>
    <xf numFmtId="0" fontId="4" fillId="46" borderId="0" xfId="0" applyFont="1" applyFill="1" applyAlignment="1" applyProtection="1">
      <alignment horizontal="left" indent="1"/>
    </xf>
    <xf numFmtId="0" fontId="58" fillId="50" borderId="0" xfId="0" applyFont="1" applyFill="1" applyAlignment="1" applyProtection="1">
      <alignment horizontal="center" vertical="center"/>
    </xf>
  </cellXfs>
  <cellStyles count="288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45"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DDDDDD"/>
      <color rgb="FF7F8399"/>
      <color rgb="FFD0C2A4"/>
      <color rgb="FFFF5353"/>
      <color rgb="FF7E408F"/>
      <color rgb="FF3F1260"/>
      <color rgb="FFFFFF99"/>
      <color rgb="FF6F7072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Frais_Direction_Nature_Charges!$BB$68</c:f>
          <c:strCache>
            <c:ptCount val="1"/>
            <c:pt idx="0">
              <c:v>Masse Salariale</c:v>
            </c:pt>
          </c:strCache>
        </c:strRef>
      </c:tx>
      <c:layout>
        <c:manualLayout>
          <c:xMode val="edge"/>
          <c:yMode val="edge"/>
          <c:x val="0.35833406236584953"/>
          <c:y val="1.452784503631961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r"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07174103237096E-2"/>
          <c:y val="0.26251033794897161"/>
          <c:w val="0.88337270341207352"/>
          <c:h val="0.65536530517212366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D0C2A4"/>
            </a:solidFill>
            <a:ln w="6350">
              <a:solidFill>
                <a:schemeClr val="tx1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0C2A4"/>
              </a:solidFill>
              <a:ln w="25400">
                <a:noFill/>
              </a:ln>
            </c:spPr>
          </c:dPt>
          <c:dLbls>
            <c:dLbl>
              <c:idx val="1"/>
              <c:delete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Frais_Direction_Nature_Charges!$BD$67:$BE$67</c:f>
              <c:strCache>
                <c:ptCount val="2"/>
                <c:pt idx="0">
                  <c:v>Estimé 2 N-1</c:v>
                </c:pt>
                <c:pt idx="1">
                  <c:v>Budget</c:v>
                </c:pt>
              </c:strCache>
            </c:strRef>
          </c:cat>
          <c:val>
            <c:numRef>
              <c:f>Frais_Direction_Nature_Charges!$BD$69:$BE$69</c:f>
              <c:numCache>
                <c:formatCode>General</c:formatCode>
                <c:ptCount val="2"/>
                <c:pt idx="0" formatCode="#,##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gradFill>
              <a:gsLst>
                <a:gs pos="50000">
                  <a:srgbClr val="5E1F8D"/>
                </a:gs>
                <a:gs pos="100000">
                  <a:srgbClr val="7128A8"/>
                </a:gs>
                <a:gs pos="0">
                  <a:srgbClr val="3F1260"/>
                </a:gs>
                <a:gs pos="100000">
                  <a:srgbClr val="7128A8"/>
                </a:gs>
              </a:gsLst>
              <a:lin ang="5400000" scaled="0"/>
            </a:gradFill>
            <a:ln>
              <a:solidFill>
                <a:schemeClr val="tx1"/>
              </a:solidFill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99FF"/>
              </a:solidFill>
              <a:ln w="25400">
                <a:noFill/>
              </a:ln>
            </c:spPr>
          </c:dPt>
          <c:dLbls>
            <c:dLbl>
              <c:idx val="0"/>
              <c:delete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Frais_Direction_Nature_Charges!$BD$67:$BE$67</c:f>
              <c:strCache>
                <c:ptCount val="2"/>
                <c:pt idx="0">
                  <c:v>Estimé 2 N-1</c:v>
                </c:pt>
                <c:pt idx="1">
                  <c:v>Budget</c:v>
                </c:pt>
              </c:strCache>
            </c:strRef>
          </c:cat>
          <c:val>
            <c:numRef>
              <c:f>Frais_Direction_Nature_Charges!$BD$70:$BE$70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6448640"/>
        <c:axId val="286503680"/>
      </c:barChart>
      <c:catAx>
        <c:axId val="286448640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86503680"/>
        <c:crosses val="autoZero"/>
        <c:auto val="1"/>
        <c:lblAlgn val="ctr"/>
        <c:lblOffset val="100"/>
        <c:noMultiLvlLbl val="0"/>
      </c:catAx>
      <c:valAx>
        <c:axId val="286503680"/>
        <c:scaling>
          <c:orientation val="maxMin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86448640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75000000000000111" l="0.70000000000000062" r="0.70000000000000062" t="0.7500000000000011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Frais_Direction_Nature_Charges!$BB$72</c:f>
          <c:strCache>
            <c:ptCount val="1"/>
            <c:pt idx="0">
              <c:v>Voyages et Déplacements</c:v>
            </c:pt>
          </c:strCache>
        </c:strRef>
      </c:tx>
      <c:layout>
        <c:manualLayout>
          <c:xMode val="edge"/>
          <c:yMode val="edge"/>
          <c:x val="0.35833406236584953"/>
          <c:y val="1.452784503631961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r"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07174103237096E-2"/>
          <c:y val="0.26251033794897161"/>
          <c:w val="0.88337270341207352"/>
          <c:h val="0.65536530517212366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D0C2A4"/>
            </a:solidFill>
            <a:ln w="6350">
              <a:solidFill>
                <a:schemeClr val="tx1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0C2A4"/>
              </a:solidFill>
              <a:ln w="25400">
                <a:noFill/>
              </a:ln>
            </c:spPr>
          </c:dPt>
          <c:dLbls>
            <c:dLbl>
              <c:idx val="1"/>
              <c:delete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Frais_Direction_Nature_Charges!$BD$67:$BE$67</c:f>
              <c:strCache>
                <c:ptCount val="2"/>
                <c:pt idx="0">
                  <c:v>Estimé 2 N-1</c:v>
                </c:pt>
                <c:pt idx="1">
                  <c:v>Budget</c:v>
                </c:pt>
              </c:strCache>
            </c:strRef>
          </c:cat>
          <c:val>
            <c:numRef>
              <c:f>Frais_Direction_Nature_Charges!$BD$73:$BE$73</c:f>
              <c:numCache>
                <c:formatCode>General</c:formatCode>
                <c:ptCount val="2"/>
                <c:pt idx="0" formatCode="#,##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gradFill>
              <a:gsLst>
                <a:gs pos="50000">
                  <a:srgbClr val="5E1F8D"/>
                </a:gs>
                <a:gs pos="100000">
                  <a:srgbClr val="7128A8"/>
                </a:gs>
                <a:gs pos="0">
                  <a:srgbClr val="3F1260"/>
                </a:gs>
                <a:gs pos="100000">
                  <a:srgbClr val="7128A8"/>
                </a:gs>
              </a:gsLst>
              <a:lin ang="5400000" scaled="0"/>
            </a:gradFill>
            <a:ln>
              <a:solidFill>
                <a:schemeClr val="tx1"/>
              </a:solidFill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99FF"/>
              </a:solidFill>
              <a:ln w="25400">
                <a:noFill/>
              </a:ln>
            </c:spPr>
          </c:dPt>
          <c:dLbls>
            <c:dLbl>
              <c:idx val="0"/>
              <c:delete val="1"/>
            </c:dLbl>
            <c:txPr>
              <a:bodyPr/>
              <a:lstStyle/>
              <a:p>
                <a:pPr>
                  <a:defRPr sz="1200" b="1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Frais_Direction_Nature_Charges!$BD$67:$BE$67</c:f>
              <c:strCache>
                <c:ptCount val="2"/>
                <c:pt idx="0">
                  <c:v>Estimé 2 N-1</c:v>
                </c:pt>
                <c:pt idx="1">
                  <c:v>Budget</c:v>
                </c:pt>
              </c:strCache>
            </c:strRef>
          </c:cat>
          <c:val>
            <c:numRef>
              <c:f>Frais_Direction_Nature_Charges!$BD$74:$BE$74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219776"/>
        <c:axId val="316221312"/>
      </c:barChart>
      <c:catAx>
        <c:axId val="31621977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316221312"/>
        <c:crosses val="autoZero"/>
        <c:auto val="1"/>
        <c:lblAlgn val="ctr"/>
        <c:lblOffset val="100"/>
        <c:noMultiLvlLbl val="0"/>
      </c:catAx>
      <c:valAx>
        <c:axId val="316221312"/>
        <c:scaling>
          <c:orientation val="maxMin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31621977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75000000000000111" l="0.70000000000000062" r="0.70000000000000062" t="0.75000000000000111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Frais_Direction_Nature_Charges!$BB$76</c:f>
          <c:strCache>
            <c:ptCount val="1"/>
            <c:pt idx="0">
              <c:v>Frais externes</c:v>
            </c:pt>
          </c:strCache>
        </c:strRef>
      </c:tx>
      <c:layout>
        <c:manualLayout>
          <c:xMode val="edge"/>
          <c:yMode val="edge"/>
          <c:x val="0.35833406236584953"/>
          <c:y val="1.452784503631961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r"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07174103237096E-2"/>
          <c:y val="0.26251033794897161"/>
          <c:w val="0.88337270341207352"/>
          <c:h val="0.65536530517212366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D0C2A4"/>
            </a:solidFill>
            <a:ln w="6350">
              <a:solidFill>
                <a:schemeClr val="tx1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0C2A4"/>
              </a:solidFill>
              <a:ln w="25400">
                <a:noFill/>
              </a:ln>
            </c:spPr>
          </c:dPt>
          <c:dLbls>
            <c:dLbl>
              <c:idx val="1"/>
              <c:delete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Frais_Direction_Nature_Charges!$BD$67:$BE$67</c:f>
              <c:strCache>
                <c:ptCount val="2"/>
                <c:pt idx="0">
                  <c:v>Estimé 2 N-1</c:v>
                </c:pt>
                <c:pt idx="1">
                  <c:v>Budget</c:v>
                </c:pt>
              </c:strCache>
            </c:strRef>
          </c:cat>
          <c:val>
            <c:numRef>
              <c:f>Frais_Direction_Nature_Charges!$BD$77:$BE$77</c:f>
              <c:numCache>
                <c:formatCode>General</c:formatCode>
                <c:ptCount val="2"/>
                <c:pt idx="0" formatCode="#,##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gradFill>
              <a:gsLst>
                <a:gs pos="50000">
                  <a:srgbClr val="5E1F8D"/>
                </a:gs>
                <a:gs pos="100000">
                  <a:srgbClr val="7128A8"/>
                </a:gs>
                <a:gs pos="0">
                  <a:srgbClr val="3F1260"/>
                </a:gs>
                <a:gs pos="100000">
                  <a:srgbClr val="7128A8"/>
                </a:gs>
              </a:gsLst>
              <a:lin ang="5400000" scaled="0"/>
            </a:gradFill>
            <a:ln>
              <a:solidFill>
                <a:schemeClr val="tx1"/>
              </a:solidFill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99FF"/>
              </a:solidFill>
              <a:ln w="25400">
                <a:noFill/>
              </a:ln>
            </c:spPr>
          </c:dPt>
          <c:dLbls>
            <c:dLbl>
              <c:idx val="0"/>
              <c:delete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Frais_Direction_Nature_Charges!$BD$67:$BE$67</c:f>
              <c:strCache>
                <c:ptCount val="2"/>
                <c:pt idx="0">
                  <c:v>Estimé 2 N-1</c:v>
                </c:pt>
                <c:pt idx="1">
                  <c:v>Budget</c:v>
                </c:pt>
              </c:strCache>
            </c:strRef>
          </c:cat>
          <c:val>
            <c:numRef>
              <c:f>Frais_Direction_Nature_Charges!$BD$78:$BE$78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541376"/>
        <c:axId val="248029184"/>
      </c:barChart>
      <c:catAx>
        <c:axId val="31754137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48029184"/>
        <c:crosses val="autoZero"/>
        <c:auto val="1"/>
        <c:lblAlgn val="ctr"/>
        <c:lblOffset val="100"/>
        <c:noMultiLvlLbl val="0"/>
      </c:catAx>
      <c:valAx>
        <c:axId val="248029184"/>
        <c:scaling>
          <c:orientation val="maxMin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31754137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75000000000000111" l="0.70000000000000062" r="0.70000000000000062" t="0.75000000000000111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Frais_Direction_Nature_Charges!$BB$80</c:f>
          <c:strCache>
            <c:ptCount val="1"/>
            <c:pt idx="0">
              <c:v>Frais Environnement</c:v>
            </c:pt>
          </c:strCache>
        </c:strRef>
      </c:tx>
      <c:layout>
        <c:manualLayout>
          <c:xMode val="edge"/>
          <c:yMode val="edge"/>
          <c:x val="0.35833406236584953"/>
          <c:y val="1.452784503631961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r"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07174103237096E-2"/>
          <c:y val="0.26251033794897161"/>
          <c:w val="0.88337270341207352"/>
          <c:h val="0.65536530517212366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D0C2A4"/>
            </a:solidFill>
            <a:ln w="6350">
              <a:solidFill>
                <a:schemeClr val="tx1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D0C2A4"/>
              </a:solidFill>
              <a:ln w="25400">
                <a:noFill/>
              </a:ln>
            </c:spPr>
          </c:dPt>
          <c:dLbls>
            <c:dLbl>
              <c:idx val="1"/>
              <c:delete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Frais_Direction_Nature_Charges!$BD$67:$BE$67</c:f>
              <c:strCache>
                <c:ptCount val="2"/>
                <c:pt idx="0">
                  <c:v>Estimé 2 N-1</c:v>
                </c:pt>
                <c:pt idx="1">
                  <c:v>Budget</c:v>
                </c:pt>
              </c:strCache>
            </c:strRef>
          </c:cat>
          <c:val>
            <c:numRef>
              <c:f>Frais_Direction_Nature_Charges!$BD$81:$BE$81</c:f>
              <c:numCache>
                <c:formatCode>General</c:formatCode>
                <c:ptCount val="2"/>
                <c:pt idx="0" formatCode="#,##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gradFill>
              <a:gsLst>
                <a:gs pos="50000">
                  <a:srgbClr val="5E1F8D"/>
                </a:gs>
                <a:gs pos="100000">
                  <a:srgbClr val="7128A8"/>
                </a:gs>
                <a:gs pos="0">
                  <a:srgbClr val="3F1260"/>
                </a:gs>
                <a:gs pos="100000">
                  <a:srgbClr val="7128A8"/>
                </a:gs>
              </a:gsLst>
              <a:lin ang="5400000" scaled="0"/>
            </a:gradFill>
            <a:ln>
              <a:solidFill>
                <a:schemeClr val="tx1"/>
              </a:solidFill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99FF"/>
              </a:solidFill>
              <a:ln w="25400">
                <a:noFill/>
              </a:ln>
            </c:spPr>
          </c:dPt>
          <c:dLbls>
            <c:dLbl>
              <c:idx val="0"/>
              <c:delete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Frais_Direction_Nature_Charges!$BD$67:$BE$67</c:f>
              <c:strCache>
                <c:ptCount val="2"/>
                <c:pt idx="0">
                  <c:v>Estimé 2 N-1</c:v>
                </c:pt>
                <c:pt idx="1">
                  <c:v>Budget</c:v>
                </c:pt>
              </c:strCache>
            </c:strRef>
          </c:cat>
          <c:val>
            <c:numRef>
              <c:f>Frais_Direction_Nature_Charges!$BD$82:$BE$82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8063872"/>
        <c:axId val="248065408"/>
      </c:barChart>
      <c:catAx>
        <c:axId val="24806387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48065408"/>
        <c:crosses val="autoZero"/>
        <c:auto val="1"/>
        <c:lblAlgn val="ctr"/>
        <c:lblOffset val="100"/>
        <c:noMultiLvlLbl val="0"/>
      </c:catAx>
      <c:valAx>
        <c:axId val="248065408"/>
        <c:scaling>
          <c:orientation val="maxMin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4806387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75000000000000111" l="0.70000000000000062" r="0.70000000000000062" t="0.75000000000000111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15</xdr:row>
      <xdr:rowOff>142875</xdr:rowOff>
    </xdr:from>
    <xdr:to>
      <xdr:col>5</xdr:col>
      <xdr:colOff>2905125</xdr:colOff>
      <xdr:row>17</xdr:row>
      <xdr:rowOff>39832</xdr:rowOff>
    </xdr:to>
    <xdr:sp macro="" textlink="">
      <xdr:nvSpPr>
        <xdr:cNvPr id="10" name="SaveData_Input_PL" hidden="1">
          <a:extLst>
            <a:ext uri="{63B3BB69-23CF-44E3-9099-C40C66FF867C}">
              <a14:compatExt xmlns:a14="http://schemas.microsoft.com/office/drawing/2010/main" spid="_x0000_s16079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85725</xdr:rowOff>
        </xdr:from>
        <xdr:to>
          <xdr:col>5</xdr:col>
          <xdr:colOff>2257425</xdr:colOff>
          <xdr:row>17</xdr:row>
          <xdr:rowOff>28575</xdr:rowOff>
        </xdr:to>
        <xdr:sp macro="" textlink="">
          <xdr:nvSpPr>
            <xdr:cNvPr id="160787" name="Refresh_Report" hidden="1">
              <a:extLst>
                <a:ext uri="{63B3BB69-23CF-44E3-9099-C40C66FF867C}">
                  <a14:compatExt spid="_x0000_s160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36</xdr:col>
      <xdr:colOff>450271</xdr:colOff>
      <xdr:row>18</xdr:row>
      <xdr:rowOff>51953</xdr:rowOff>
    </xdr:from>
    <xdr:to>
      <xdr:col>37</xdr:col>
      <xdr:colOff>67472</xdr:colOff>
      <xdr:row>19</xdr:row>
      <xdr:rowOff>307598</xdr:rowOff>
    </xdr:to>
    <xdr:pic>
      <xdr:nvPicPr>
        <xdr:cNvPr id="14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21953" y="744680"/>
          <a:ext cx="794838" cy="7751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329042</xdr:colOff>
      <xdr:row>63</xdr:row>
      <xdr:rowOff>190500</xdr:rowOff>
    </xdr:from>
    <xdr:to>
      <xdr:col>9</xdr:col>
      <xdr:colOff>155860</xdr:colOff>
      <xdr:row>86</xdr:row>
      <xdr:rowOff>182707</xdr:rowOff>
    </xdr:to>
    <xdr:graphicFrame macro="">
      <xdr:nvGraphicFramePr>
        <xdr:cNvPr id="11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740349</xdr:colOff>
      <xdr:row>63</xdr:row>
      <xdr:rowOff>190500</xdr:rowOff>
    </xdr:from>
    <xdr:to>
      <xdr:col>16</xdr:col>
      <xdr:colOff>601804</xdr:colOff>
      <xdr:row>86</xdr:row>
      <xdr:rowOff>182707</xdr:rowOff>
    </xdr:to>
    <xdr:graphicFrame macro="">
      <xdr:nvGraphicFramePr>
        <xdr:cNvPr id="7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441611</xdr:colOff>
      <xdr:row>63</xdr:row>
      <xdr:rowOff>190500</xdr:rowOff>
    </xdr:from>
    <xdr:to>
      <xdr:col>28</xdr:col>
      <xdr:colOff>233793</xdr:colOff>
      <xdr:row>86</xdr:row>
      <xdr:rowOff>182707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173180</xdr:colOff>
      <xdr:row>63</xdr:row>
      <xdr:rowOff>190500</xdr:rowOff>
    </xdr:from>
    <xdr:to>
      <xdr:col>37</xdr:col>
      <xdr:colOff>887553</xdr:colOff>
      <xdr:row>86</xdr:row>
      <xdr:rowOff>182707</xdr:rowOff>
    </xdr:to>
    <xdr:graphicFrame macro="">
      <xdr:nvGraphicFramePr>
        <xdr:cNvPr id="12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2624137</xdr:colOff>
      <xdr:row>19</xdr:row>
      <xdr:rowOff>361446</xdr:rowOff>
    </xdr:to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738188"/>
          <a:ext cx="2624137" cy="8853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G31"/>
  <sheetViews>
    <sheetView workbookViewId="0"/>
  </sheetViews>
  <sheetFormatPr baseColWidth="10" defaultColWidth="9.140625" defaultRowHeight="12.75" x14ac:dyDescent="0.2"/>
  <cols>
    <col min="1" max="1" width="38.28515625" style="9" bestFit="1" customWidth="1"/>
    <col min="2" max="2" width="17.85546875" style="9" bestFit="1" customWidth="1"/>
    <col min="3" max="3" width="9.140625" style="9"/>
    <col min="4" max="4" width="27.7109375" style="9" customWidth="1"/>
    <col min="5" max="16384" width="9.140625" style="9"/>
  </cols>
  <sheetData>
    <row r="1" spans="1:7" ht="18" x14ac:dyDescent="0.25">
      <c r="A1" s="7" t="s">
        <v>77</v>
      </c>
      <c r="B1" s="8"/>
    </row>
    <row r="2" spans="1:7" x14ac:dyDescent="0.2">
      <c r="A2" s="8"/>
      <c r="B2" s="8"/>
    </row>
    <row r="3" spans="1:7" ht="15.75" x14ac:dyDescent="0.25">
      <c r="A3" s="10" t="s">
        <v>5</v>
      </c>
      <c r="B3" s="8"/>
    </row>
    <row r="4" spans="1:7" x14ac:dyDescent="0.2">
      <c r="A4" s="11" t="s">
        <v>4</v>
      </c>
      <c r="B4" s="12" t="s">
        <v>109</v>
      </c>
    </row>
    <row r="5" spans="1:7" x14ac:dyDescent="0.2">
      <c r="A5" s="11" t="s">
        <v>7</v>
      </c>
      <c r="B5" s="13" t="str">
        <f ca="1">LEFT(Server,LEN(Server)-1)</f>
        <v>tango_core_model</v>
      </c>
    </row>
    <row r="6" spans="1:7" x14ac:dyDescent="0.2">
      <c r="A6" s="11" t="s">
        <v>3</v>
      </c>
      <c r="B6" s="13" t="s">
        <v>40</v>
      </c>
    </row>
    <row r="7" spans="1:7" x14ac:dyDescent="0.2">
      <c r="A7" s="11" t="s">
        <v>18</v>
      </c>
      <c r="B7" s="13">
        <v>0</v>
      </c>
    </row>
    <row r="8" spans="1:7" x14ac:dyDescent="0.2">
      <c r="A8" s="11" t="s">
        <v>34</v>
      </c>
      <c r="B8" s="13">
        <v>0</v>
      </c>
    </row>
    <row r="10" spans="1:7" ht="15.75" x14ac:dyDescent="0.25">
      <c r="A10" s="10" t="s">
        <v>6</v>
      </c>
    </row>
    <row r="11" spans="1:7" ht="13.5" customHeight="1" x14ac:dyDescent="0.2">
      <c r="A11" s="11" t="s">
        <v>14</v>
      </c>
      <c r="B11" s="13" t="s">
        <v>45</v>
      </c>
    </row>
    <row r="12" spans="1:7" ht="13.5" customHeight="1" x14ac:dyDescent="0.2">
      <c r="A12" s="11" t="s">
        <v>15</v>
      </c>
      <c r="B12" s="13" t="s">
        <v>63</v>
      </c>
      <c r="C12" s="108" t="s">
        <v>99</v>
      </c>
      <c r="D12" s="108"/>
      <c r="E12" s="108"/>
      <c r="F12" s="108"/>
      <c r="G12" s="108"/>
    </row>
    <row r="13" spans="1:7" x14ac:dyDescent="0.2">
      <c r="A13" s="11" t="s">
        <v>9</v>
      </c>
      <c r="B13" s="13" t="str">
        <f ca="1">_xll.DBR(Server&amp;"z_Admin_Param","MONTH_CORPORATE","STR_VAR1")</f>
        <v>2013.03</v>
      </c>
      <c r="C13" s="109" t="str">
        <f ca="1">LEFT($B$13,4)</f>
        <v>2013</v>
      </c>
      <c r="D13" s="110"/>
    </row>
    <row r="14" spans="1:7" x14ac:dyDescent="0.2">
      <c r="A14" s="11" t="s">
        <v>19</v>
      </c>
      <c r="B14" s="13" t="str">
        <f ca="1">_xll.DBR(Server&amp;"z_Admin_Param","BUDGET_VERSION_BUDGET_FORECAST","STR_VAR1")</f>
        <v>VC</v>
      </c>
    </row>
    <row r="15" spans="1:7" x14ac:dyDescent="0.2">
      <c r="A15" s="11" t="s">
        <v>20</v>
      </c>
      <c r="B15" s="13" t="str">
        <f ca="1">_xll.DBR(Server&amp;"z_Admin_Param","FORECAST_1_VERSION_BUDGET_FORECAST","STR_VAR1")</f>
        <v>VC</v>
      </c>
    </row>
    <row r="16" spans="1:7" x14ac:dyDescent="0.2">
      <c r="A16" s="11" t="s">
        <v>41</v>
      </c>
      <c r="B16" s="13" t="str">
        <f ca="1">_xll.DBR(Server&amp;"z_Admin_Param","FORECAST_2_VERSION_BUDGET_FORECAST","STR_VAR1")</f>
        <v>VC</v>
      </c>
    </row>
    <row r="17" spans="1:6" x14ac:dyDescent="0.2">
      <c r="A17" s="11" t="s">
        <v>2</v>
      </c>
      <c r="B17" s="14" t="str">
        <f ca="1">_xll.DBR(Server&amp;"z_Client_Properties","Language",_xll.TM1USER(xServer))</f>
        <v>French</v>
      </c>
      <c r="C17" s="9" t="str">
        <f ca="1">IF(LocalLanguage="French","Français",LocalLanguage)</f>
        <v>Français</v>
      </c>
    </row>
    <row r="18" spans="1:6" x14ac:dyDescent="0.2">
      <c r="A18" s="211" t="s">
        <v>28</v>
      </c>
      <c r="B18" s="29" t="s">
        <v>1</v>
      </c>
    </row>
    <row r="19" spans="1:6" x14ac:dyDescent="0.2">
      <c r="A19" s="211"/>
      <c r="B19" s="29" t="s">
        <v>46</v>
      </c>
    </row>
    <row r="20" spans="1:6" x14ac:dyDescent="0.2">
      <c r="A20" s="211"/>
      <c r="B20" s="29" t="s">
        <v>11</v>
      </c>
    </row>
    <row r="21" spans="1:6" x14ac:dyDescent="0.2">
      <c r="A21" s="211"/>
      <c r="B21" s="29" t="s">
        <v>12</v>
      </c>
    </row>
    <row r="22" spans="1:6" x14ac:dyDescent="0.2">
      <c r="A22" s="211"/>
      <c r="B22" s="29" t="s">
        <v>13</v>
      </c>
    </row>
    <row r="23" spans="1:6" x14ac:dyDescent="0.2">
      <c r="A23" s="211" t="s">
        <v>29</v>
      </c>
      <c r="B23" s="29" t="s">
        <v>25</v>
      </c>
    </row>
    <row r="24" spans="1:6" x14ac:dyDescent="0.2">
      <c r="A24" s="211"/>
      <c r="B24" s="29" t="s">
        <v>26</v>
      </c>
    </row>
    <row r="25" spans="1:6" x14ac:dyDescent="0.2">
      <c r="A25" s="211"/>
      <c r="B25" s="29" t="s">
        <v>27</v>
      </c>
    </row>
    <row r="27" spans="1:6" ht="15.75" x14ac:dyDescent="0.25">
      <c r="A27" s="10" t="s">
        <v>21</v>
      </c>
      <c r="F27" s="9" t="s">
        <v>8</v>
      </c>
    </row>
    <row r="28" spans="1:6" ht="13.5" customHeight="1" x14ac:dyDescent="0.25">
      <c r="A28" s="9" t="s">
        <v>22</v>
      </c>
      <c r="B28" s="26"/>
    </row>
    <row r="29" spans="1:6" x14ac:dyDescent="0.2">
      <c r="A29" s="9" t="s">
        <v>23</v>
      </c>
      <c r="B29" s="27"/>
    </row>
    <row r="30" spans="1:6" x14ac:dyDescent="0.2">
      <c r="A30" s="9" t="s">
        <v>24</v>
      </c>
      <c r="B30" s="28"/>
    </row>
    <row r="31" spans="1:6" x14ac:dyDescent="0.2">
      <c r="A31" s="9" t="s">
        <v>44</v>
      </c>
      <c r="B31" s="57"/>
    </row>
  </sheetData>
  <sheetProtection formatColumns="0" formatRows="0"/>
  <mergeCells count="2">
    <mergeCell ref="A18:A22"/>
    <mergeCell ref="A23:A25"/>
  </mergeCells>
  <phoneticPr fontId="4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BT156"/>
  <sheetViews>
    <sheetView showGridLines="0" tabSelected="1" topLeftCell="E16" zoomScale="40" zoomScaleNormal="40" zoomScaleSheetLayoutView="70" workbookViewId="0">
      <selection activeCell="AA25" sqref="AA25"/>
    </sheetView>
  </sheetViews>
  <sheetFormatPr baseColWidth="10" defaultColWidth="11.42578125" defaultRowHeight="18" customHeight="1" outlineLevelRow="1" x14ac:dyDescent="0.2"/>
  <cols>
    <col min="1" max="1" width="20.42578125" style="2" hidden="1" customWidth="1"/>
    <col min="2" max="2" width="8.140625" style="15" hidden="1" customWidth="1"/>
    <col min="3" max="3" width="25.140625" style="15" hidden="1" customWidth="1"/>
    <col min="4" max="4" width="29" style="15" hidden="1" customWidth="1"/>
    <col min="5" max="5" width="2" style="30" customWidth="1"/>
    <col min="6" max="6" width="45.7109375" style="15" customWidth="1"/>
    <col min="7" max="7" width="23.140625" style="30" customWidth="1"/>
    <col min="8" max="8" width="4.5703125" style="30" customWidth="1"/>
    <col min="9" max="11" width="17.7109375" style="30" customWidth="1"/>
    <col min="12" max="12" width="21.42578125" style="30" hidden="1" customWidth="1"/>
    <col min="13" max="13" width="16.85546875" style="30" hidden="1" customWidth="1"/>
    <col min="14" max="14" width="2.42578125" style="30" customWidth="1"/>
    <col min="15" max="17" width="17.7109375" style="30" customWidth="1"/>
    <col min="18" max="18" width="17.7109375" style="30" hidden="1" customWidth="1"/>
    <col min="19" max="19" width="15.42578125" style="30" hidden="1" customWidth="1"/>
    <col min="20" max="20" width="2.7109375" style="30" customWidth="1"/>
    <col min="21" max="23" width="17.7109375" style="30" customWidth="1"/>
    <col min="24" max="24" width="20.5703125" style="30" hidden="1" customWidth="1"/>
    <col min="25" max="25" width="19.5703125" style="30" hidden="1" customWidth="1"/>
    <col min="26" max="26" width="3.28515625" style="30" customWidth="1"/>
    <col min="27" max="29" width="17.7109375" style="30" customWidth="1"/>
    <col min="30" max="30" width="17" style="30" hidden="1" customWidth="1"/>
    <col min="31" max="31" width="16.7109375" style="30" hidden="1" customWidth="1"/>
    <col min="32" max="32" width="3.7109375" style="30" customWidth="1"/>
    <col min="33" max="34" width="17.7109375" style="30" customWidth="1"/>
    <col min="35" max="35" width="3.5703125" style="30" customWidth="1"/>
    <col min="36" max="38" width="17.7109375" style="30" customWidth="1"/>
    <col min="39" max="39" width="18.85546875" style="30" hidden="1" customWidth="1"/>
    <col min="40" max="40" width="15.42578125" style="30" hidden="1" customWidth="1"/>
    <col min="41" max="41" width="6.42578125" style="30" hidden="1" customWidth="1"/>
    <col min="42" max="42" width="29.140625" style="3" hidden="1" customWidth="1"/>
    <col min="43" max="43" width="22.7109375" style="3" hidden="1" customWidth="1"/>
    <col min="44" max="44" width="12.85546875" style="3" hidden="1" customWidth="1"/>
    <col min="45" max="45" width="20.85546875" style="3" hidden="1" customWidth="1"/>
    <col min="46" max="46" width="14.28515625" style="15" hidden="1" customWidth="1"/>
    <col min="47" max="51" width="9" style="15" hidden="1" customWidth="1"/>
    <col min="52" max="52" width="24.85546875" style="15" hidden="1" customWidth="1"/>
    <col min="53" max="53" width="25.140625" style="15" hidden="1" customWidth="1"/>
    <col min="54" max="54" width="10.5703125" style="15" hidden="1" customWidth="1"/>
    <col min="55" max="55" width="11.5703125" style="15" hidden="1" customWidth="1"/>
    <col min="56" max="56" width="18.85546875" style="15" hidden="1" customWidth="1"/>
    <col min="57" max="57" width="16.28515625" style="15" hidden="1" customWidth="1"/>
    <col min="58" max="59" width="13.140625" style="15" hidden="1" customWidth="1"/>
    <col min="60" max="61" width="13.140625" style="2" hidden="1" customWidth="1"/>
    <col min="62" max="66" width="6.5703125" style="2" hidden="1" customWidth="1"/>
    <col min="67" max="68" width="6.42578125" style="2" hidden="1" customWidth="1"/>
    <col min="69" max="72" width="11.42578125" style="2" hidden="1" customWidth="1"/>
    <col min="73" max="74" width="11.42578125" style="2" customWidth="1"/>
    <col min="75" max="16384" width="11.42578125" style="2"/>
  </cols>
  <sheetData>
    <row r="1" spans="1:58" customFormat="1" ht="9.75" hidden="1" customHeight="1" x14ac:dyDescent="0.2">
      <c r="A1" t="s">
        <v>55</v>
      </c>
      <c r="AP1" s="90"/>
      <c r="AQ1" s="90"/>
      <c r="AR1" s="90"/>
      <c r="AS1" s="90"/>
    </row>
    <row r="2" spans="1:58" customFormat="1" ht="25.5" hidden="1" customHeight="1" x14ac:dyDescent="0.2">
      <c r="A2">
        <f ca="1">0</f>
        <v>0</v>
      </c>
      <c r="F2" s="185"/>
      <c r="G2" s="186"/>
      <c r="H2" s="134"/>
      <c r="I2" s="179"/>
      <c r="J2" s="179"/>
      <c r="K2" s="197"/>
      <c r="L2" s="165"/>
      <c r="M2" s="166"/>
      <c r="N2" s="167"/>
      <c r="O2" s="179"/>
      <c r="P2" s="179"/>
      <c r="Q2" s="197"/>
      <c r="R2" s="181"/>
      <c r="S2" s="166"/>
      <c r="T2" s="180"/>
      <c r="U2" s="179"/>
      <c r="V2" s="179"/>
      <c r="W2" s="197"/>
      <c r="X2" s="181"/>
      <c r="Y2" s="166"/>
      <c r="Z2" s="180"/>
      <c r="AA2" s="179"/>
      <c r="AB2" s="179"/>
      <c r="AC2" s="197"/>
      <c r="AD2" s="169"/>
      <c r="AE2" s="135"/>
      <c r="AF2" s="133"/>
      <c r="AG2" s="168"/>
      <c r="AH2" s="168"/>
      <c r="AI2" s="133"/>
      <c r="AJ2" s="179"/>
      <c r="AK2" s="179"/>
      <c r="AL2" s="197"/>
      <c r="AM2" s="169"/>
      <c r="AN2" s="135"/>
      <c r="AP2" s="88"/>
      <c r="AQ2" s="88"/>
      <c r="AR2" s="88"/>
      <c r="AS2" s="87"/>
    </row>
    <row r="3" spans="1:58" customFormat="1" ht="25.5" hidden="1" customHeight="1" x14ac:dyDescent="0.2">
      <c r="A3">
        <f ca="1">1</f>
        <v>1</v>
      </c>
      <c r="F3" s="187"/>
      <c r="G3" s="188"/>
      <c r="H3" s="134"/>
      <c r="I3" s="182"/>
      <c r="J3" s="182"/>
      <c r="K3" s="198"/>
      <c r="L3" s="165"/>
      <c r="M3" s="166"/>
      <c r="N3" s="167"/>
      <c r="O3" s="182"/>
      <c r="P3" s="182"/>
      <c r="Q3" s="198"/>
      <c r="R3" s="181"/>
      <c r="S3" s="166"/>
      <c r="T3" s="180"/>
      <c r="U3" s="182"/>
      <c r="V3" s="182"/>
      <c r="W3" s="198"/>
      <c r="X3" s="181"/>
      <c r="Y3" s="166"/>
      <c r="Z3" s="180"/>
      <c r="AA3" s="182"/>
      <c r="AB3" s="182"/>
      <c r="AC3" s="198"/>
      <c r="AD3" s="169"/>
      <c r="AE3" s="135"/>
      <c r="AF3" s="133"/>
      <c r="AG3" s="168"/>
      <c r="AH3" s="168"/>
      <c r="AI3" s="133"/>
      <c r="AJ3" s="182"/>
      <c r="AK3" s="182"/>
      <c r="AL3" s="198"/>
      <c r="AM3" s="169"/>
      <c r="AN3" s="135"/>
      <c r="AP3" s="88"/>
      <c r="AQ3" s="88"/>
      <c r="AR3" s="88"/>
      <c r="AS3" s="87"/>
    </row>
    <row r="4" spans="1:58" customFormat="1" ht="25.5" hidden="1" customHeight="1" x14ac:dyDescent="0.2">
      <c r="A4">
        <f ca="1">2</f>
        <v>2</v>
      </c>
      <c r="F4" s="189"/>
      <c r="G4" s="190"/>
      <c r="H4" s="134"/>
      <c r="I4" s="183"/>
      <c r="J4" s="183"/>
      <c r="K4" s="199"/>
      <c r="L4" s="165"/>
      <c r="M4" s="166"/>
      <c r="N4" s="167"/>
      <c r="O4" s="183"/>
      <c r="P4" s="183"/>
      <c r="Q4" s="199"/>
      <c r="R4" s="181"/>
      <c r="S4" s="166"/>
      <c r="T4" s="180"/>
      <c r="U4" s="183"/>
      <c r="V4" s="183"/>
      <c r="W4" s="199"/>
      <c r="X4" s="181"/>
      <c r="Y4" s="166"/>
      <c r="Z4" s="180"/>
      <c r="AA4" s="183"/>
      <c r="AB4" s="183"/>
      <c r="AC4" s="199"/>
      <c r="AD4" s="169"/>
      <c r="AE4" s="135"/>
      <c r="AF4" s="133"/>
      <c r="AG4" s="168"/>
      <c r="AH4" s="168"/>
      <c r="AI4" s="133"/>
      <c r="AJ4" s="183"/>
      <c r="AK4" s="183"/>
      <c r="AL4" s="199"/>
      <c r="AM4" s="169"/>
      <c r="AN4" s="135"/>
      <c r="AP4" s="88"/>
      <c r="AQ4" s="88"/>
      <c r="AR4" s="88"/>
      <c r="AS4" s="87"/>
    </row>
    <row r="5" spans="1:58" customFormat="1" ht="25.5" hidden="1" customHeight="1" x14ac:dyDescent="0.2">
      <c r="A5">
        <f ca="1">3</f>
        <v>3</v>
      </c>
      <c r="F5" s="191"/>
      <c r="G5" s="192"/>
      <c r="H5" s="134"/>
      <c r="I5" s="184"/>
      <c r="J5" s="184"/>
      <c r="K5" s="200"/>
      <c r="L5" s="165"/>
      <c r="M5" s="166"/>
      <c r="N5" s="167"/>
      <c r="O5" s="184"/>
      <c r="P5" s="184"/>
      <c r="Q5" s="200"/>
      <c r="R5" s="181"/>
      <c r="S5" s="166"/>
      <c r="T5" s="180"/>
      <c r="U5" s="184"/>
      <c r="V5" s="184"/>
      <c r="W5" s="200"/>
      <c r="X5" s="181"/>
      <c r="Y5" s="166"/>
      <c r="Z5" s="180"/>
      <c r="AA5" s="184"/>
      <c r="AB5" s="184"/>
      <c r="AC5" s="200"/>
      <c r="AD5" s="169"/>
      <c r="AE5" s="135"/>
      <c r="AF5" s="133"/>
      <c r="AG5" s="168"/>
      <c r="AH5" s="168"/>
      <c r="AI5" s="133"/>
      <c r="AJ5" s="184"/>
      <c r="AK5" s="184"/>
      <c r="AL5" s="200"/>
      <c r="AM5" s="169"/>
      <c r="AN5" s="135"/>
      <c r="AP5" s="88"/>
      <c r="AQ5" s="88"/>
      <c r="AR5" s="88"/>
      <c r="AS5" s="87"/>
    </row>
    <row r="6" spans="1:58" customFormat="1" ht="25.5" hidden="1" customHeight="1" x14ac:dyDescent="0.2">
      <c r="A6" t="s">
        <v>53</v>
      </c>
      <c r="F6" s="193"/>
      <c r="G6" s="194"/>
      <c r="H6" s="134"/>
      <c r="I6" s="180"/>
      <c r="J6" s="180"/>
      <c r="K6" s="180"/>
      <c r="L6" s="165"/>
      <c r="M6" s="166"/>
      <c r="N6" s="167"/>
      <c r="O6" s="180"/>
      <c r="P6" s="180"/>
      <c r="Q6" s="180"/>
      <c r="R6" s="181"/>
      <c r="S6" s="166"/>
      <c r="T6" s="180"/>
      <c r="U6" s="180"/>
      <c r="V6" s="180"/>
      <c r="W6" s="180"/>
      <c r="X6" s="181"/>
      <c r="Y6" s="166"/>
      <c r="Z6" s="180"/>
      <c r="AA6" s="180"/>
      <c r="AB6" s="180"/>
      <c r="AC6" s="180"/>
      <c r="AD6" s="169"/>
      <c r="AE6" s="135"/>
      <c r="AF6" s="133"/>
      <c r="AG6" s="168"/>
      <c r="AH6" s="168"/>
      <c r="AI6" s="133"/>
      <c r="AJ6" s="180"/>
      <c r="AK6" s="180"/>
      <c r="AL6" s="180"/>
      <c r="AM6" s="169"/>
      <c r="AN6" s="135"/>
      <c r="AP6" s="88"/>
      <c r="AQ6" s="88"/>
      <c r="AR6" s="88"/>
      <c r="AS6" s="87"/>
    </row>
    <row r="7" spans="1:58" customFormat="1" ht="25.5" hidden="1" customHeight="1" x14ac:dyDescent="0.2">
      <c r="A7" t="s">
        <v>54</v>
      </c>
      <c r="F7" s="193"/>
      <c r="G7" s="194"/>
      <c r="H7" s="134"/>
      <c r="I7" s="180"/>
      <c r="J7" s="180"/>
      <c r="K7" s="180"/>
      <c r="L7" s="165"/>
      <c r="M7" s="166"/>
      <c r="N7" s="167"/>
      <c r="O7" s="180"/>
      <c r="P7" s="180"/>
      <c r="Q7" s="180"/>
      <c r="R7" s="181"/>
      <c r="S7" s="166"/>
      <c r="T7" s="180"/>
      <c r="U7" s="180"/>
      <c r="V7" s="180"/>
      <c r="W7" s="180"/>
      <c r="X7" s="181"/>
      <c r="Y7" s="166"/>
      <c r="Z7" s="180"/>
      <c r="AA7" s="180"/>
      <c r="AB7" s="180"/>
      <c r="AC7" s="180"/>
      <c r="AD7" s="169"/>
      <c r="AE7" s="135"/>
      <c r="AF7" s="133"/>
      <c r="AG7" s="168"/>
      <c r="AH7" s="168"/>
      <c r="AI7" s="133"/>
      <c r="AJ7" s="180"/>
      <c r="AK7" s="180"/>
      <c r="AL7" s="180"/>
      <c r="AM7" s="169"/>
      <c r="AN7" s="135"/>
      <c r="AP7" s="88"/>
      <c r="AQ7" s="88"/>
      <c r="AR7" s="88"/>
      <c r="AS7" s="91"/>
    </row>
    <row r="8" spans="1:58" customFormat="1" ht="18" hidden="1" customHeight="1" x14ac:dyDescent="0.2">
      <c r="A8" t="s">
        <v>56</v>
      </c>
      <c r="AP8" s="90"/>
      <c r="AQ8" s="90"/>
      <c r="AR8" s="90"/>
      <c r="AS8" s="90"/>
    </row>
    <row r="9" spans="1:58" customFormat="1" ht="18" hidden="1" customHeight="1" x14ac:dyDescent="0.2">
      <c r="AP9" s="90"/>
      <c r="AQ9" s="90"/>
      <c r="AR9" s="90"/>
      <c r="AS9" s="90"/>
    </row>
    <row r="10" spans="1:58" customFormat="1" ht="18" hidden="1" customHeight="1" x14ac:dyDescent="0.2">
      <c r="AP10" s="90"/>
      <c r="AQ10" s="90"/>
      <c r="AR10" s="90"/>
      <c r="AS10" s="90"/>
    </row>
    <row r="11" spans="1:58" ht="22.5" hidden="1" customHeight="1" x14ac:dyDescent="0.25">
      <c r="B11" s="41"/>
      <c r="C11" s="41"/>
      <c r="D11" s="41"/>
      <c r="E11" s="41"/>
      <c r="F11" s="26"/>
      <c r="G11" s="26" t="s">
        <v>100</v>
      </c>
      <c r="H11" s="54" t="s">
        <v>0</v>
      </c>
      <c r="I11" s="68" t="str">
        <f ca="1">IF($G$33=$BB$22,"FC_2_TOT",IF($G$33=$BB$23,"BUDG_TOT","FC_1_TOT"))</f>
        <v>FC_2_TOT</v>
      </c>
      <c r="J11" s="69" t="str">
        <f ca="1">IF($G$33=$BB$22,"BUDG_TOT",IF($G$33=$BB$23,"FC_1_TOT","FC_2_TOT"))</f>
        <v>BUDG_TOT</v>
      </c>
      <c r="K11" s="232" t="s">
        <v>74</v>
      </c>
      <c r="L11" s="232"/>
      <c r="M11" s="95" t="str">
        <f ca="1">IF($G$33=$BB$22,"BUDG",IF($G$33=$BB$23,"FC_1","FC_2"))</f>
        <v>BUDG</v>
      </c>
      <c r="N11" s="55"/>
      <c r="O11" s="68" t="str">
        <f ca="1">IF($G$33=$BB$22,"FC_2_TOT",IF($G$33=$BB$23,"BUDG_TOT","FC_1_TOT"))</f>
        <v>FC_2_TOT</v>
      </c>
      <c r="P11" s="69" t="str">
        <f ca="1">IF($G$33=$BB$22,"BUDG_TOT",IF($G$33=$BB$23,"FC_1_TOT","FC_2_TOT"))</f>
        <v>BUDG_TOT</v>
      </c>
      <c r="Q11" s="55"/>
      <c r="R11" s="55"/>
      <c r="S11" s="55"/>
      <c r="T11" s="55"/>
      <c r="U11" s="68" t="str">
        <f ca="1">IF($G$33=$BB$22,"FC_2_TOT",IF($G$33=$BB$23,"BUDG_TOT","FC_1_TOT"))</f>
        <v>FC_2_TOT</v>
      </c>
      <c r="V11" s="69" t="str">
        <f ca="1">IF($G$33=$BB$22,"BUDG_TOT",IF($G$33=$BB$23,"FC_1_TOT","FC_2_TOT"))</f>
        <v>BUDG_TOT</v>
      </c>
      <c r="W11" s="52"/>
      <c r="X11" s="52"/>
      <c r="Y11" s="52"/>
      <c r="Z11" s="55"/>
      <c r="AA11" s="68" t="str">
        <f ca="1">IF($G$33=$BB$22,"FC_2_TOT",IF($G$33=$BB$23,"BUDG_TOT","FC_1_TOT"))</f>
        <v>FC_2_TOT</v>
      </c>
      <c r="AB11" s="69" t="str">
        <f ca="1">IF($G$33=$BB$22,"BUDG_TOT",IF($G$33=$BB$23,"FC_1_TOT","FC_2_TOT"))</f>
        <v>BUDG_TOT</v>
      </c>
      <c r="AC11" s="55"/>
      <c r="AD11" s="55"/>
      <c r="AE11" s="55"/>
      <c r="AF11" s="55"/>
      <c r="AG11" s="55"/>
      <c r="AH11" s="55"/>
      <c r="AI11" s="55"/>
      <c r="AJ11" s="68" t="str">
        <f ca="1">IF($G$33=$BB$22,"FC_2_TOT",IF($G$33=$BB$23,"BUDG_TOT","FC_1_TOT"))</f>
        <v>FC_2_TOT</v>
      </c>
      <c r="AK11" s="69" t="str">
        <f ca="1">IF($G$33=$BB$22,"BUDG_TOT",IF($G$33=$BB$23,"FC_1_TOT","FC_2_TOT"))</f>
        <v>BUDG_TOT</v>
      </c>
      <c r="AL11" s="49"/>
      <c r="AM11" s="49"/>
      <c r="AN11" s="56"/>
      <c r="AO11" s="41"/>
      <c r="AP11" s="89"/>
      <c r="AQ11" s="89"/>
      <c r="AR11" s="89"/>
      <c r="AU11"/>
      <c r="AV11"/>
    </row>
    <row r="12" spans="1:58" ht="22.5" hidden="1" customHeight="1" x14ac:dyDescent="0.25">
      <c r="B12" s="41"/>
      <c r="C12" s="41"/>
      <c r="D12" s="41"/>
      <c r="E12" s="41"/>
      <c r="F12" s="41"/>
      <c r="G12" s="50"/>
      <c r="H12" s="51" t="s">
        <v>43</v>
      </c>
      <c r="I12" s="52" t="str">
        <f ca="1">IF($G$33=$BB$22,$J$13,$H$13)</f>
        <v>2012</v>
      </c>
      <c r="J12" s="52" t="str">
        <f ca="1">$H$13</f>
        <v>2013</v>
      </c>
      <c r="K12" s="49"/>
      <c r="L12" s="155" t="s">
        <v>106</v>
      </c>
      <c r="M12" s="154" t="s">
        <v>107</v>
      </c>
      <c r="N12" s="41"/>
      <c r="O12" s="52" t="str">
        <f ca="1">IF($G$33=$BB$22,$J$13,$H$13)</f>
        <v>2012</v>
      </c>
      <c r="P12" s="52" t="str">
        <f ca="1">$H$13</f>
        <v>2013</v>
      </c>
      <c r="Q12" s="52"/>
      <c r="R12" s="52"/>
      <c r="S12" s="52"/>
      <c r="T12" s="52"/>
      <c r="U12" s="52" t="str">
        <f ca="1">IF($G$33=$BB$22,$J$13,$H$13)</f>
        <v>2012</v>
      </c>
      <c r="V12" s="52" t="str">
        <f ca="1">$H$13</f>
        <v>2013</v>
      </c>
      <c r="W12" s="52"/>
      <c r="X12" s="52"/>
      <c r="Y12" s="52"/>
      <c r="Z12" s="52"/>
      <c r="AA12" s="52" t="str">
        <f ca="1">IF($G$33=$BB$22,$J$13,$H$13)</f>
        <v>2012</v>
      </c>
      <c r="AB12" s="52" t="str">
        <f ca="1">$H$13</f>
        <v>2013</v>
      </c>
      <c r="AC12" s="52"/>
      <c r="AD12" s="52"/>
      <c r="AE12" s="52"/>
      <c r="AF12" s="52"/>
      <c r="AG12" s="52"/>
      <c r="AH12" s="52"/>
      <c r="AI12" s="52"/>
      <c r="AJ12" s="52" t="str">
        <f ca="1">IF($G$33=$BB$22,$J$13,$H$13)</f>
        <v>2012</v>
      </c>
      <c r="AK12" s="52" t="str">
        <f ca="1">$H$13</f>
        <v>2013</v>
      </c>
      <c r="AL12" s="49"/>
      <c r="AM12" s="41"/>
      <c r="AN12" s="41"/>
      <c r="AO12" s="41"/>
      <c r="AP12" s="79"/>
      <c r="AQ12" s="81"/>
      <c r="AR12" s="81"/>
      <c r="AT12" s="41"/>
      <c r="AU12"/>
      <c r="AV12"/>
      <c r="AW12" s="41"/>
      <c r="AX12" s="41"/>
      <c r="AY12" s="41"/>
      <c r="AZ12" s="41"/>
      <c r="BA12" s="41"/>
      <c r="BB12" s="41"/>
      <c r="BC12" s="41"/>
      <c r="BD12" s="41"/>
      <c r="BE12" s="41"/>
      <c r="BF12" s="41"/>
    </row>
    <row r="13" spans="1:58" ht="22.5" hidden="1" customHeight="1" x14ac:dyDescent="0.2">
      <c r="B13" s="41"/>
      <c r="C13" s="41"/>
      <c r="D13" s="41"/>
      <c r="E13" s="41"/>
      <c r="F13" s="41"/>
      <c r="G13" s="41"/>
      <c r="H13" s="70" t="str">
        <f ca="1">_xll.SUBNM(Server&amp;"Period","",$G$27,"")</f>
        <v>2013</v>
      </c>
      <c r="I13" s="147" t="s">
        <v>101</v>
      </c>
      <c r="J13" s="148" t="str">
        <f ca="1">_xll.DBRA(Server&amp;$H$12,$H$13,"Prior Year")</f>
        <v>2012</v>
      </c>
      <c r="K13" s="49"/>
      <c r="L13" s="49"/>
      <c r="M13" s="49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9"/>
      <c r="AM13" s="41"/>
      <c r="AN13" s="41"/>
      <c r="AO13" s="41"/>
      <c r="AP13" s="79"/>
      <c r="AQ13" s="79"/>
      <c r="AR13" s="79"/>
      <c r="AT13" s="41"/>
      <c r="AU13"/>
      <c r="AV13"/>
      <c r="AW13" s="41"/>
      <c r="AX13" s="41"/>
      <c r="AY13" s="41"/>
      <c r="AZ13" s="41"/>
      <c r="BA13" s="41"/>
      <c r="BB13" s="41"/>
      <c r="BC13" s="41"/>
      <c r="BD13" s="41"/>
      <c r="BE13" s="41"/>
      <c r="BF13" s="41"/>
    </row>
    <row r="14" spans="1:58" ht="22.5" hidden="1" customHeight="1" x14ac:dyDescent="0.25">
      <c r="B14" s="41"/>
      <c r="C14" s="41"/>
      <c r="D14" s="41"/>
      <c r="E14" s="41"/>
      <c r="F14" s="49"/>
      <c r="G14" s="49"/>
      <c r="H14" s="54" t="s">
        <v>51</v>
      </c>
      <c r="I14" s="139" t="s">
        <v>79</v>
      </c>
      <c r="J14" s="49"/>
      <c r="K14" s="49"/>
      <c r="L14" s="49"/>
      <c r="M14" s="49"/>
      <c r="N14" s="49"/>
      <c r="O14" s="139" t="s">
        <v>81</v>
      </c>
      <c r="P14" s="41"/>
      <c r="Q14" s="41"/>
      <c r="R14" s="41"/>
      <c r="S14" s="41"/>
      <c r="T14" s="49"/>
      <c r="U14" s="139" t="s">
        <v>108</v>
      </c>
      <c r="V14" s="49"/>
      <c r="W14" s="49"/>
      <c r="X14" s="49"/>
      <c r="Y14" s="49"/>
      <c r="Z14" s="49"/>
      <c r="AA14" s="139" t="s">
        <v>80</v>
      </c>
      <c r="AB14" s="49"/>
      <c r="AC14" s="49"/>
      <c r="AD14" s="49"/>
      <c r="AE14" s="49"/>
      <c r="AF14" s="49"/>
      <c r="AG14" s="49"/>
      <c r="AH14" s="49"/>
      <c r="AI14" s="49"/>
      <c r="AJ14" s="139" t="s">
        <v>78</v>
      </c>
      <c r="AK14" s="138"/>
      <c r="AL14" s="49"/>
      <c r="AM14" s="49"/>
      <c r="AN14" s="49"/>
      <c r="AO14" s="49"/>
      <c r="AP14" s="79"/>
      <c r="AQ14" s="79"/>
      <c r="AR14" s="79"/>
      <c r="AT14" s="41"/>
      <c r="AU14"/>
      <c r="AV14"/>
      <c r="AW14" s="41"/>
      <c r="AX14" s="41"/>
      <c r="AY14" s="41"/>
      <c r="AZ14" s="41"/>
      <c r="BA14" s="41"/>
      <c r="BB14" s="41"/>
      <c r="BC14" s="41"/>
      <c r="BD14" s="41"/>
      <c r="BE14" s="41"/>
      <c r="BF14" s="41"/>
    </row>
    <row r="15" spans="1:58" ht="22.5" hidden="1" customHeight="1" thickBot="1" x14ac:dyDescent="0.3">
      <c r="B15" s="41"/>
      <c r="C15" s="41"/>
      <c r="D15" s="41"/>
      <c r="E15" s="85"/>
      <c r="F15" s="53"/>
      <c r="G15" s="53"/>
      <c r="H15" s="152"/>
      <c r="I15" s="153"/>
      <c r="J15" s="53"/>
      <c r="K15" s="85"/>
      <c r="L15" s="85"/>
      <c r="M15" s="53"/>
      <c r="N15" s="53"/>
      <c r="O15" s="53"/>
      <c r="P15" s="53"/>
      <c r="Q15" s="53"/>
      <c r="R15" s="53"/>
      <c r="S15" s="53"/>
      <c r="T15" s="53"/>
      <c r="U15" s="53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53"/>
      <c r="AK15" s="85"/>
      <c r="AL15" s="53"/>
      <c r="AM15" s="53"/>
      <c r="AN15" s="53"/>
      <c r="AO15" s="49"/>
      <c r="AP15" s="79"/>
      <c r="AQ15" s="79"/>
      <c r="AR15" s="79"/>
      <c r="AS15" s="79"/>
      <c r="AT15" s="41"/>
      <c r="AU15"/>
      <c r="AV15"/>
      <c r="AW15" s="41"/>
      <c r="AX15" s="41"/>
      <c r="AY15" s="41"/>
      <c r="AZ15" s="41"/>
      <c r="BA15" s="41"/>
      <c r="BB15" s="41"/>
      <c r="BC15" s="41"/>
      <c r="BD15" s="41"/>
      <c r="BE15" s="41"/>
      <c r="BF15" s="41"/>
    </row>
    <row r="16" spans="1:58" ht="21" customHeight="1" x14ac:dyDescent="0.2">
      <c r="B16" s="41"/>
      <c r="C16" s="41"/>
      <c r="D16" s="42"/>
      <c r="E16" s="79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79"/>
      <c r="AQ16" s="79"/>
      <c r="AR16" s="79"/>
      <c r="AS16" s="79"/>
      <c r="AU16"/>
      <c r="AV16"/>
    </row>
    <row r="17" spans="2:60" ht="18" customHeight="1" x14ac:dyDescent="0.2">
      <c r="B17" s="41"/>
      <c r="C17" s="41"/>
      <c r="D17" s="42"/>
      <c r="E17" s="79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79"/>
      <c r="AQ17" s="79"/>
      <c r="AR17" s="79"/>
      <c r="AS17" s="79"/>
    </row>
    <row r="18" spans="2:60" ht="18" customHeight="1" x14ac:dyDescent="0.25">
      <c r="B18" s="41"/>
      <c r="C18" s="72" t="s">
        <v>62</v>
      </c>
      <c r="D18" s="43"/>
      <c r="E18" s="79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16"/>
      <c r="BC18" s="59" t="s">
        <v>57</v>
      </c>
      <c r="BD18" s="15" t="str">
        <f ca="1">IF($G$25="Français","French","English")</f>
        <v>French</v>
      </c>
    </row>
    <row r="19" spans="2:60" ht="41.25" customHeight="1" thickBot="1" x14ac:dyDescent="0.3">
      <c r="B19" s="41"/>
      <c r="C19" s="71" t="s">
        <v>52</v>
      </c>
      <c r="D19" s="73" t="s">
        <v>68</v>
      </c>
      <c r="E19" s="80"/>
      <c r="F19" s="233"/>
      <c r="G19" s="233"/>
      <c r="H19" s="234" t="str">
        <f ca="1">_xll.DBRA(Server&amp;$BA$21,$BA$37,$BD$18)</f>
        <v>Frais par direction et par nature de charges (analyse du prévisionnel)</v>
      </c>
      <c r="I19" s="234"/>
      <c r="J19" s="234"/>
      <c r="K19" s="234"/>
      <c r="L19" s="234"/>
      <c r="M19" s="234"/>
      <c r="N19" s="234"/>
      <c r="O19" s="234"/>
      <c r="P19" s="234"/>
      <c r="Q19" s="234"/>
      <c r="R19" s="234"/>
      <c r="S19" s="234"/>
      <c r="T19" s="234"/>
      <c r="U19" s="234"/>
      <c r="V19" s="234"/>
      <c r="W19" s="234"/>
      <c r="X19" s="234"/>
      <c r="Y19" s="234"/>
      <c r="Z19" s="234"/>
      <c r="AA19" s="234"/>
      <c r="AB19" s="234"/>
      <c r="AC19" s="234"/>
      <c r="AD19" s="234"/>
      <c r="AE19" s="234"/>
      <c r="AF19" s="234"/>
      <c r="AG19" s="234"/>
      <c r="AH19" s="234"/>
      <c r="AI19" s="234"/>
      <c r="AJ19" s="229" t="str">
        <f ca="1">_xll.DBRA(Server&amp;$BA$21,$BA$43,$BD$18)</f>
        <v>Restitution</v>
      </c>
      <c r="AK19" s="229"/>
      <c r="AL19" s="1"/>
      <c r="AM19" s="145"/>
      <c r="AN19" s="18"/>
      <c r="AO19" s="16"/>
      <c r="AP19" s="92"/>
      <c r="AQ19" s="92"/>
      <c r="AR19" s="92"/>
      <c r="AS19" s="92"/>
      <c r="BC19" s="30"/>
    </row>
    <row r="20" spans="2:60" ht="30" customHeight="1" thickBot="1" x14ac:dyDescent="0.3">
      <c r="B20" s="41"/>
      <c r="C20" s="71" t="s">
        <v>49</v>
      </c>
      <c r="D20" s="73" t="s">
        <v>69</v>
      </c>
      <c r="E20" s="80"/>
      <c r="F20" s="233"/>
      <c r="G20" s="233"/>
      <c r="H20" s="234"/>
      <c r="I20" s="234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29"/>
      <c r="AK20" s="229"/>
      <c r="AL20" s="1"/>
      <c r="AM20" s="145"/>
      <c r="AN20" s="18"/>
      <c r="AO20" s="16"/>
      <c r="AP20" s="92"/>
      <c r="AQ20" s="92"/>
      <c r="AR20" s="92"/>
      <c r="AS20" s="92"/>
      <c r="BB20" s="40" t="s">
        <v>42</v>
      </c>
      <c r="BC20" s="30"/>
    </row>
    <row r="21" spans="2:60" ht="18" customHeight="1" thickBot="1" x14ac:dyDescent="0.3">
      <c r="B21" s="41"/>
      <c r="C21" s="71" t="s">
        <v>16</v>
      </c>
      <c r="D21" s="73" t="s">
        <v>105</v>
      </c>
      <c r="E21" s="80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16"/>
      <c r="AP21" s="2"/>
      <c r="AQ21" s="2"/>
      <c r="AR21" s="2"/>
      <c r="AS21" s="2"/>
      <c r="AZ21" s="37" t="s">
        <v>38</v>
      </c>
      <c r="BA21" s="37" t="s">
        <v>38</v>
      </c>
      <c r="BB21" s="60" t="s">
        <v>0</v>
      </c>
      <c r="BC21" s="30"/>
    </row>
    <row r="22" spans="2:60" ht="23.25" customHeight="1" thickBot="1" x14ac:dyDescent="0.3">
      <c r="B22" s="41"/>
      <c r="C22" s="71"/>
      <c r="D22" s="73"/>
      <c r="E22" s="80"/>
      <c r="F22" s="20" t="str">
        <f ca="1">_xll.DBRA(Server&amp;$BA$21,$BA$22,$BD$18)</f>
        <v>Sélection du contexte</v>
      </c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16"/>
      <c r="AP22" s="32"/>
      <c r="AQ22" s="32"/>
      <c r="AR22" s="32"/>
      <c r="AS22" s="32"/>
      <c r="AZ22" s="143" t="s">
        <v>87</v>
      </c>
      <c r="BA22" s="38" t="s">
        <v>35</v>
      </c>
      <c r="BB22" s="39" t="str">
        <f ca="1">_xll.DBRA(Server&amp;$BA$21,$BA$33,$BD$18)</f>
        <v>Budget</v>
      </c>
      <c r="BC22" s="30"/>
    </row>
    <row r="23" spans="2:60" ht="23.25" customHeight="1" outlineLevel="1" x14ac:dyDescent="0.25">
      <c r="B23" s="41"/>
      <c r="C23" s="71"/>
      <c r="D23" s="73"/>
      <c r="E23" s="80"/>
      <c r="F23" s="21" t="str">
        <f ca="1">_xll.DBRA(Server&amp;$BA$21,$BA$27,$BD$18)</f>
        <v>Gaap</v>
      </c>
      <c r="G23" s="34" t="str">
        <f ca="1">_xll.SUBNM(Server&amp;"GAAP","Corp_FR","Local_Gaap",$BD$18)</f>
        <v>Gaap local</v>
      </c>
      <c r="H23" s="34"/>
      <c r="I23" s="3"/>
      <c r="J23" s="17"/>
      <c r="K23" s="17"/>
      <c r="L23" s="17"/>
      <c r="M23" s="19"/>
      <c r="N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6"/>
      <c r="AP23" s="23"/>
      <c r="AQ23" s="34"/>
      <c r="AR23" s="34"/>
      <c r="AT23" s="30"/>
      <c r="AU23" s="30"/>
      <c r="AV23" s="30"/>
      <c r="AW23" s="30"/>
      <c r="AX23" s="30"/>
      <c r="AY23" s="30"/>
      <c r="AZ23" s="143" t="s">
        <v>88</v>
      </c>
      <c r="BA23" s="36" t="s">
        <v>43</v>
      </c>
      <c r="BB23" s="64" t="str">
        <f ca="1">_xll.DBRA(Server&amp;$BA$21,$BA$34,$BD$18)</f>
        <v>Estimé 1</v>
      </c>
      <c r="BC23" s="30"/>
      <c r="BD23" s="30"/>
      <c r="BE23" s="30"/>
      <c r="BF23" s="30"/>
      <c r="BG23" s="30"/>
    </row>
    <row r="24" spans="2:60" ht="21.75" customHeight="1" outlineLevel="1" thickBot="1" x14ac:dyDescent="0.3">
      <c r="B24" s="41"/>
      <c r="C24" s="71"/>
      <c r="D24" s="73"/>
      <c r="E24" s="80"/>
      <c r="F24" s="21" t="str">
        <f ca="1">_xll.DBRA(Server&amp;$BA$21,$BA$28,$BD$18)</f>
        <v>Taux d'intégration</v>
      </c>
      <c r="G24" s="34" t="str">
        <f ca="1">_xll.SUBNM(Server&amp;"Integration_Rate","Corp_FR","NO_APP",$BD$18)</f>
        <v>Données de liasse (Tx d'intégration No-APP)</v>
      </c>
      <c r="H24" s="34"/>
      <c r="I24" s="3"/>
      <c r="J24" s="17"/>
      <c r="K24" s="17"/>
      <c r="L24" s="17"/>
      <c r="M24" s="19"/>
      <c r="N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6"/>
      <c r="AP24" s="23"/>
      <c r="AQ24" s="34"/>
      <c r="AR24" s="34"/>
      <c r="AZ24" s="143" t="s">
        <v>89</v>
      </c>
      <c r="BA24" s="39" t="s">
        <v>36</v>
      </c>
      <c r="BB24" s="65" t="str">
        <f ca="1">_xll.DBRA(Server&amp;$BA$21,$BA$35,$BD$18)</f>
        <v>Estimé 2</v>
      </c>
      <c r="BC24" s="30"/>
    </row>
    <row r="25" spans="2:60" ht="21.75" customHeight="1" outlineLevel="1" x14ac:dyDescent="0.35">
      <c r="B25" s="41"/>
      <c r="C25" s="71"/>
      <c r="D25" s="106"/>
      <c r="E25" s="80"/>
      <c r="F25" s="21" t="str">
        <f ca="1">_xll.DBRA(Server&amp;$BA$21,$BA$30,$BD$18)</f>
        <v>Langue</v>
      </c>
      <c r="G25" s="34" t="s">
        <v>46</v>
      </c>
      <c r="H25" s="34"/>
      <c r="I25" s="3"/>
      <c r="J25" s="17"/>
      <c r="K25" s="17"/>
      <c r="L25" s="17"/>
      <c r="M25" s="2"/>
      <c r="N25" s="19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19"/>
      <c r="AN25" s="22"/>
      <c r="AO25" s="16"/>
      <c r="AP25" s="23"/>
      <c r="AQ25" s="34"/>
      <c r="AR25" s="34"/>
      <c r="AT25" s="30"/>
      <c r="AU25" s="30"/>
      <c r="AV25" s="30"/>
      <c r="AW25" s="30"/>
      <c r="AX25" s="30"/>
      <c r="AY25" s="30"/>
      <c r="AZ25" s="143" t="s">
        <v>90</v>
      </c>
      <c r="BA25" s="107" t="s">
        <v>48</v>
      </c>
      <c r="BB25" s="105"/>
      <c r="BC25" s="30"/>
      <c r="BD25" s="30"/>
      <c r="BE25" s="30"/>
      <c r="BF25" s="30"/>
      <c r="BG25" s="30"/>
    </row>
    <row r="26" spans="2:60" ht="21.75" customHeight="1" outlineLevel="1" x14ac:dyDescent="0.35">
      <c r="B26" s="41"/>
      <c r="C26" s="71"/>
      <c r="D26" s="106"/>
      <c r="E26" s="80"/>
      <c r="F26" s="21" t="str">
        <f ca="1">_xll.DBRA(Server&amp;$BA$21,$BA$29,$BD$18)</f>
        <v>Organisation légale</v>
      </c>
      <c r="G26" s="33" t="str">
        <f ca="1">_xll.SUBNM(Server&amp;"Legal_Organization_Corp","Corp_FR",_xll.DBR(Server&amp;"z_Client_Properties","Default_Legal_Organization_Corp",_xll.TM1USER(xServer)),$G$25)</f>
        <v/>
      </c>
      <c r="H26" s="34"/>
      <c r="I26" s="3"/>
      <c r="J26" s="17"/>
      <c r="K26" s="17"/>
      <c r="L26" s="17"/>
      <c r="M26" s="2"/>
      <c r="N26" s="19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19"/>
      <c r="AN26" s="22"/>
      <c r="AO26" s="16"/>
      <c r="AP26" s="23"/>
      <c r="AQ26" s="34"/>
      <c r="AR26" s="34"/>
      <c r="AT26" s="30"/>
      <c r="AU26" s="30"/>
      <c r="AV26" s="30"/>
      <c r="AW26" s="30"/>
      <c r="AX26" s="30"/>
      <c r="AY26" s="30"/>
      <c r="AZ26" s="143" t="s">
        <v>91</v>
      </c>
      <c r="BA26" s="39" t="s">
        <v>16</v>
      </c>
      <c r="BB26" s="105"/>
      <c r="BC26" s="30"/>
      <c r="BD26" s="30"/>
      <c r="BE26" s="30"/>
      <c r="BF26" s="30"/>
      <c r="BG26" s="30"/>
    </row>
    <row r="27" spans="2:60" ht="21.75" customHeight="1" x14ac:dyDescent="0.35">
      <c r="B27" s="41"/>
      <c r="C27" s="71"/>
      <c r="D27" s="73"/>
      <c r="E27" s="80"/>
      <c r="F27" s="21" t="str">
        <f ca="1">_xll.DBRA(Server&amp;$BA$21,$BA$23,$BD$18)</f>
        <v>Période</v>
      </c>
      <c r="G27" s="33" t="str">
        <f ca="1">_xll.SUBNM(Server&amp;"Period","Corp_FR",ActualYear,$BD$18)</f>
        <v>2013</v>
      </c>
      <c r="H27" s="34"/>
      <c r="I27" s="3"/>
      <c r="J27" s="17"/>
      <c r="K27" s="17"/>
      <c r="L27" s="17"/>
      <c r="M27" s="2"/>
      <c r="N27" s="19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19"/>
      <c r="AN27" s="22"/>
      <c r="AO27" s="16"/>
      <c r="AP27" s="23"/>
      <c r="AQ27" s="34"/>
      <c r="AR27" s="34"/>
      <c r="AT27" s="30"/>
      <c r="AU27" s="30"/>
      <c r="AV27" s="30"/>
      <c r="AW27" s="30"/>
      <c r="AX27" s="30"/>
      <c r="AY27" s="30"/>
      <c r="AZ27" s="143" t="s">
        <v>92</v>
      </c>
      <c r="BA27" s="39" t="s">
        <v>17</v>
      </c>
      <c r="BB27" s="105"/>
      <c r="BC27" s="30"/>
      <c r="BD27" s="30"/>
      <c r="BE27" s="30"/>
      <c r="BF27" s="30"/>
      <c r="BG27" s="30"/>
    </row>
    <row r="28" spans="2:60" ht="21.75" customHeight="1" x14ac:dyDescent="0.35">
      <c r="B28" s="41"/>
      <c r="C28" s="71"/>
      <c r="D28" s="73"/>
      <c r="E28" s="80"/>
      <c r="F28" s="21" t="str">
        <f ca="1">_xll.DBRA(Server&amp;$BA$21,$BA$24,$BD$18)</f>
        <v>Organisation managériale</v>
      </c>
      <c r="G28" s="33" t="str">
        <f ca="1">_xll.SUBNM(Server&amp;"Management_Organization_Corp","Corp_FR",_xll.DBR(Server&amp;"z_Client_Properties","Default_Management_Organization_Corp",_xll.TM1USER(xServer)),$G$25)</f>
        <v/>
      </c>
      <c r="H28" s="34"/>
      <c r="I28" s="3"/>
      <c r="J28" s="17"/>
      <c r="K28" s="17"/>
      <c r="L28" s="17"/>
      <c r="M28" s="2"/>
      <c r="N28" s="19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19"/>
      <c r="AN28" s="22"/>
      <c r="AO28" s="16"/>
      <c r="AP28" s="23"/>
      <c r="AQ28" s="34"/>
      <c r="AR28" s="34"/>
      <c r="AT28" s="30"/>
      <c r="AU28" s="30"/>
      <c r="AV28" s="30"/>
      <c r="AW28" s="30"/>
      <c r="AX28" s="30"/>
      <c r="AY28" s="30"/>
      <c r="AZ28" s="143" t="s">
        <v>93</v>
      </c>
      <c r="BA28" s="39" t="s">
        <v>64</v>
      </c>
      <c r="BB28" s="105"/>
      <c r="BC28" s="30"/>
      <c r="BD28" s="30"/>
      <c r="BE28" s="30"/>
      <c r="BF28" s="30"/>
      <c r="BG28" s="30"/>
    </row>
    <row r="29" spans="2:60" ht="21.75" customHeight="1" thickBot="1" x14ac:dyDescent="0.4">
      <c r="B29" s="41"/>
      <c r="C29" s="71"/>
      <c r="D29" s="73"/>
      <c r="E29" s="80"/>
      <c r="F29" s="21" t="str">
        <f ca="1">_xll.DBRA(Server&amp;$BA$21,$BA$25,$BD$18)</f>
        <v>Projets</v>
      </c>
      <c r="G29" s="34" t="str">
        <f ca="1">_xll.SUBNM(Server&amp;"Projets","Corp_FR","Tot_proj",$G$25)</f>
        <v>Total Projets</v>
      </c>
      <c r="H29" s="34"/>
      <c r="I29" s="3"/>
      <c r="J29" s="17"/>
      <c r="K29" s="17"/>
      <c r="L29" s="17"/>
      <c r="M29" s="2"/>
      <c r="N29" s="19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19"/>
      <c r="AN29" s="22"/>
      <c r="AO29" s="16"/>
      <c r="AP29" s="23"/>
      <c r="AQ29" s="34"/>
      <c r="AR29" s="34"/>
      <c r="AT29" s="30"/>
      <c r="AU29" s="30"/>
      <c r="AV29" s="30"/>
      <c r="AW29" s="30"/>
      <c r="AX29" s="30"/>
      <c r="AY29" s="30"/>
      <c r="AZ29" s="143" t="s">
        <v>94</v>
      </c>
      <c r="BA29" s="39" t="s">
        <v>37</v>
      </c>
      <c r="BB29" s="105"/>
      <c r="BC29" s="30"/>
      <c r="BD29" s="30"/>
      <c r="BE29" s="30"/>
      <c r="BF29" s="30"/>
      <c r="BG29" s="30"/>
    </row>
    <row r="30" spans="2:60" ht="21" customHeight="1" thickBot="1" x14ac:dyDescent="0.3">
      <c r="B30" s="41"/>
      <c r="C30" s="41"/>
      <c r="D30" s="43"/>
      <c r="E30" s="79"/>
      <c r="F30" s="21" t="str">
        <f ca="1">_xll.DBRA(Server&amp;$BA$21,$BA$26,$BD$18)</f>
        <v>Devise</v>
      </c>
      <c r="G30" s="34" t="str">
        <f ca="1">_xll.SUBNM(Server&amp;"Currency","Corp_FR","KEUR",$BD$18)</f>
        <v>K€</v>
      </c>
      <c r="H30" s="34"/>
      <c r="I30" s="2"/>
      <c r="J30" s="178"/>
      <c r="K30" s="178"/>
      <c r="L30" s="174"/>
      <c r="M30" s="174"/>
      <c r="N30" s="19"/>
      <c r="Q30" s="66"/>
      <c r="R30" s="176"/>
      <c r="S30" s="176"/>
      <c r="T30" s="66"/>
      <c r="U30" s="2"/>
      <c r="V30" s="66"/>
      <c r="W30" s="66"/>
      <c r="X30" s="176"/>
      <c r="Y30" s="176"/>
      <c r="Z30" s="66"/>
      <c r="AA30" s="2"/>
      <c r="AB30" s="66"/>
      <c r="AC30" s="66"/>
      <c r="AD30" s="176"/>
      <c r="AE30" s="176"/>
      <c r="AF30" s="66"/>
      <c r="AG30" s="66"/>
      <c r="AH30" s="66"/>
      <c r="AI30" s="66"/>
      <c r="AJ30" s="2"/>
      <c r="AK30" s="66"/>
      <c r="AL30" s="66"/>
      <c r="AM30" s="176"/>
      <c r="AN30" s="176"/>
      <c r="AO30" s="16"/>
      <c r="AP30" s="23"/>
      <c r="AQ30" s="34"/>
      <c r="AR30" s="34"/>
      <c r="AS30" s="226"/>
      <c r="AZ30" s="143" t="s">
        <v>95</v>
      </c>
      <c r="BA30" s="61" t="s">
        <v>39</v>
      </c>
      <c r="BB30" s="35"/>
      <c r="BC30" s="30"/>
      <c r="BF30" s="223" t="s">
        <v>70</v>
      </c>
      <c r="BG30" s="224"/>
      <c r="BH30" s="225"/>
    </row>
    <row r="31" spans="2:60" ht="21" customHeight="1" thickBot="1" x14ac:dyDescent="0.3">
      <c r="B31" s="41"/>
      <c r="C31" s="41"/>
      <c r="D31" s="173"/>
      <c r="E31" s="79"/>
      <c r="F31" s="17"/>
      <c r="G31" s="17"/>
      <c r="H31" s="34"/>
      <c r="I31" s="221" t="str">
        <f ca="1">_xll.DBRA(Server&amp;$BA$21,$BA$39,$BD$18)</f>
        <v>Masse Salariale</v>
      </c>
      <c r="J31" s="221"/>
      <c r="K31" s="221"/>
      <c r="L31" s="174"/>
      <c r="M31" s="174"/>
      <c r="N31" s="19"/>
      <c r="O31" s="221" t="str">
        <f ca="1">_xll.DBRA(Server&amp;$BA$21,$BA$40,$BD$18)</f>
        <v>Voyages et Déplacements</v>
      </c>
      <c r="P31" s="221"/>
      <c r="Q31" s="221"/>
      <c r="R31" s="176"/>
      <c r="S31" s="176"/>
      <c r="T31" s="66"/>
      <c r="U31" s="221" t="str">
        <f ca="1">_xll.DBRA(Server&amp;$BA$21,$BA$42,$BD$18)</f>
        <v>Frais externes</v>
      </c>
      <c r="V31" s="221"/>
      <c r="W31" s="221"/>
      <c r="X31" s="176"/>
      <c r="Y31" s="176"/>
      <c r="Z31" s="66"/>
      <c r="AA31" s="221" t="str">
        <f ca="1">_xll.DBRA(Server&amp;$BA$21,$BA$45,$BD$18)</f>
        <v>Frais Environnement</v>
      </c>
      <c r="AB31" s="221"/>
      <c r="AC31" s="221"/>
      <c r="AD31" s="176"/>
      <c r="AE31" s="176"/>
      <c r="AF31" s="66"/>
      <c r="AG31" s="66"/>
      <c r="AH31" s="66"/>
      <c r="AI31" s="66"/>
      <c r="AJ31" s="221" t="str">
        <f ca="1">_xll.DBRA(Server&amp;$BA$21,$BA$46,$BD$18)</f>
        <v>ETP</v>
      </c>
      <c r="AK31" s="221"/>
      <c r="AL31" s="221"/>
      <c r="AM31" s="176"/>
      <c r="AN31" s="176"/>
      <c r="AO31" s="16"/>
      <c r="AP31" s="23"/>
      <c r="AQ31" s="34"/>
      <c r="AR31" s="34"/>
      <c r="AS31" s="226"/>
      <c r="AT31" s="30"/>
      <c r="AU31" s="30"/>
      <c r="AV31" s="30"/>
      <c r="AW31" s="30"/>
      <c r="AX31" s="30"/>
      <c r="AY31" s="30"/>
      <c r="AZ31" s="143"/>
      <c r="BA31" s="36"/>
      <c r="BB31" s="105"/>
      <c r="BC31" s="30"/>
      <c r="BD31" s="30"/>
      <c r="BE31" s="30"/>
      <c r="BF31" s="170"/>
      <c r="BG31" s="171"/>
      <c r="BH31" s="172"/>
    </row>
    <row r="32" spans="2:60" ht="24" customHeight="1" thickBot="1" x14ac:dyDescent="0.35">
      <c r="B32" s="41"/>
      <c r="C32" s="44"/>
      <c r="D32" s="43"/>
      <c r="E32" s="79"/>
      <c r="F32" s="3"/>
      <c r="G32" s="3"/>
      <c r="H32" s="3"/>
      <c r="I32" s="222"/>
      <c r="J32" s="222"/>
      <c r="K32" s="222"/>
      <c r="L32" s="175"/>
      <c r="M32" s="175"/>
      <c r="N32" s="19"/>
      <c r="O32" s="222"/>
      <c r="P32" s="222"/>
      <c r="Q32" s="222"/>
      <c r="R32" s="177"/>
      <c r="S32" s="177"/>
      <c r="T32" s="113"/>
      <c r="U32" s="222"/>
      <c r="V32" s="222"/>
      <c r="W32" s="222"/>
      <c r="X32" s="177"/>
      <c r="Y32" s="177"/>
      <c r="Z32" s="113"/>
      <c r="AA32" s="222"/>
      <c r="AB32" s="222"/>
      <c r="AC32" s="222"/>
      <c r="AD32" s="177"/>
      <c r="AE32" s="177"/>
      <c r="AF32" s="113"/>
      <c r="AG32" s="113"/>
      <c r="AH32" s="113"/>
      <c r="AI32" s="113"/>
      <c r="AJ32" s="222"/>
      <c r="AK32" s="222"/>
      <c r="AL32" s="222"/>
      <c r="AM32" s="177"/>
      <c r="AN32" s="177"/>
      <c r="AO32" s="16"/>
      <c r="AS32" s="226"/>
      <c r="AZ32" s="143" t="s">
        <v>96</v>
      </c>
      <c r="BA32" s="36" t="s">
        <v>0</v>
      </c>
      <c r="BB32" s="35"/>
      <c r="BC32" s="30"/>
      <c r="BF32" s="116" t="s">
        <v>71</v>
      </c>
      <c r="BG32" s="116" t="s">
        <v>72</v>
      </c>
      <c r="BH32" s="116" t="s">
        <v>73</v>
      </c>
    </row>
    <row r="33" spans="2:67" ht="57.75" customHeight="1" thickTop="1" x14ac:dyDescent="0.2">
      <c r="B33" s="41"/>
      <c r="C33" s="41"/>
      <c r="D33" s="45"/>
      <c r="E33" s="2"/>
      <c r="F33" s="111" t="str">
        <f ca="1">_xll.DBRA(Server&amp;$BA$21,$BA$32,$BD$18)</f>
        <v>Phase</v>
      </c>
      <c r="G33" s="34" t="s">
        <v>58</v>
      </c>
      <c r="H33" s="23"/>
      <c r="I33" s="202" t="str">
        <f ca="1">IF($G$33=$BB$22,_xll.DBRA(Server&amp;$BA$21,$BA$48,$BD$18),_xll.DBRA(Server&amp;"Phase",$I$11,$BD$18))</f>
        <v>Estimé 2 N-1</v>
      </c>
      <c r="J33" s="203" t="str">
        <f ca="1">_xll.DBRA(Server&amp;$H$11,$J$11,$BD$18)</f>
        <v>Budget</v>
      </c>
      <c r="K33" s="230" t="str">
        <f ca="1">$I$33&amp;" / "&amp;$J$33</f>
        <v>Estimé 2 N-1 / Budget</v>
      </c>
      <c r="L33" s="231"/>
      <c r="M33" s="136" t="str">
        <f ca="1">_xll.DBRA(Server&amp;$BA$21,$BA$41,$BD$18)</f>
        <v>Variance</v>
      </c>
      <c r="N33" s="19"/>
      <c r="O33" s="202" t="str">
        <f ca="1">IF($G$33=$BB$22,_xll.DBRA(Server&amp;$BA$21,$BA$48,$BD$18),_xll.DBRA(Server&amp;"Phase",$I$11,$BD$18))</f>
        <v>Estimé 2 N-1</v>
      </c>
      <c r="P33" s="203" t="str">
        <f ca="1">_xll.DBRA(Server&amp;$H$11,$P$11,$BD$18)</f>
        <v>Budget</v>
      </c>
      <c r="Q33" s="230" t="str">
        <f ca="1">$O$33&amp;" / "&amp;$P$33</f>
        <v>Estimé 2 N-1 / Budget</v>
      </c>
      <c r="R33" s="231"/>
      <c r="S33" s="136" t="str">
        <f ca="1">_xll.DBRA(Server&amp;$BA$21,$BA$41,$BD$18)</f>
        <v>Variance</v>
      </c>
      <c r="T33" s="140" t="str">
        <f ca="1">_xll.DBRA(Server&amp;"Period",T$12,$BD$18)</f>
        <v/>
      </c>
      <c r="U33" s="202" t="str">
        <f ca="1">IF($G$33=$BB$22,_xll.DBRA(Server&amp;$BA$21,$BA$48,$BD$18),_xll.DBRA(Server&amp;"Phase",$I$11,$BD$18))</f>
        <v>Estimé 2 N-1</v>
      </c>
      <c r="V33" s="203" t="str">
        <f ca="1">_xll.DBRA(Server&amp;$H$11,$V$11,$BD$18)</f>
        <v>Budget</v>
      </c>
      <c r="W33" s="230" t="str">
        <f ca="1">$U$33&amp;" / "&amp;$V$33</f>
        <v>Estimé 2 N-1 / Budget</v>
      </c>
      <c r="X33" s="231"/>
      <c r="Y33" s="115" t="str">
        <f ca="1">_xll.DBRA(Server&amp;$BA$21,$BA$41,$BD$18)</f>
        <v>Variance</v>
      </c>
      <c r="Z33" s="140"/>
      <c r="AA33" s="202" t="str">
        <f ca="1">IF($G$33=$BB$22,_xll.DBRA(Server&amp;$BA$21,$BA$48,$BD$18),_xll.DBRA(Server&amp;"Phase",$I$11,$BD$18))</f>
        <v>Estimé 2 N-1</v>
      </c>
      <c r="AB33" s="203" t="str">
        <f ca="1">_xll.DBRA(Server&amp;$H$11,$AB$11,$BD$18)</f>
        <v>Budget</v>
      </c>
      <c r="AC33" s="230" t="str">
        <f ca="1">$AA$33&amp;" / "&amp;$AB$33</f>
        <v>Estimé 2 N-1 / Budget</v>
      </c>
      <c r="AD33" s="231"/>
      <c r="AE33" s="137" t="str">
        <f ca="1">_xll.DBRA(Server&amp;$BA$21,$BA$41,$BD$18)</f>
        <v>Variance</v>
      </c>
      <c r="AF33" s="140"/>
      <c r="AG33" s="204" t="str">
        <f ca="1">_xll.DBRA(Server&amp;$BA$21,$BA$47,$BD$18)&amp;" "&amp;$AA$33</f>
        <v>Total Estimé 2 N-1</v>
      </c>
      <c r="AH33" s="205" t="str">
        <f ca="1">_xll.DBRA(Server&amp;$BA$21,$BA$47,$BD$18)&amp;" "&amp;$AB$33</f>
        <v>Total Budget</v>
      </c>
      <c r="AI33" s="140"/>
      <c r="AJ33" s="202" t="str">
        <f ca="1">IF($G$33=$BB$22,_xll.DBRA(Server&amp;$BA$21,$BA$48,$BD$18),_xll.DBRA(Server&amp;"Phase",$I$11,$BD$18))</f>
        <v>Estimé 2 N-1</v>
      </c>
      <c r="AK33" s="206" t="str">
        <f ca="1">_xll.DBRA(Server&amp;$H$11,$AK$11,$BD$18)</f>
        <v>Budget</v>
      </c>
      <c r="AL33" s="230" t="str">
        <f ca="1">$AJ$33&amp;" / "&amp;$AK$33</f>
        <v>Estimé 2 N-1 / Budget</v>
      </c>
      <c r="AM33" s="231"/>
      <c r="AN33" s="115" t="str">
        <f ca="1">_xll.DBRA(Server&amp;$BA$21,$BA$41,$BD$18)</f>
        <v>Variance</v>
      </c>
      <c r="AO33" s="16"/>
      <c r="AP33" s="23"/>
      <c r="AQ33" s="23"/>
      <c r="AR33" s="23"/>
      <c r="AS33" s="104"/>
      <c r="AZ33" s="143" t="s">
        <v>97</v>
      </c>
      <c r="BA33" s="62" t="s">
        <v>58</v>
      </c>
      <c r="BB33" s="35"/>
      <c r="BC33" s="30"/>
      <c r="BH33" s="4"/>
      <c r="BI33" s="4"/>
      <c r="BJ33" s="4"/>
      <c r="BK33" s="4"/>
      <c r="BL33" s="4"/>
      <c r="BM33" s="4"/>
      <c r="BN33" s="4"/>
      <c r="BO33" s="4"/>
    </row>
    <row r="34" spans="2:67" s="5" customFormat="1" ht="18.75" customHeight="1" thickBot="1" x14ac:dyDescent="0.3">
      <c r="B34" s="41"/>
      <c r="C34" s="74"/>
      <c r="D34" s="46"/>
      <c r="E34" s="81"/>
      <c r="F34" s="23"/>
      <c r="G34" s="23"/>
      <c r="H34" s="23"/>
      <c r="J34" s="117"/>
      <c r="K34" s="117"/>
      <c r="L34" s="117"/>
      <c r="M34" s="67"/>
      <c r="N34" s="104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2"/>
      <c r="AP34" s="23"/>
      <c r="AQ34" s="23"/>
      <c r="AR34" s="23"/>
      <c r="AS34" s="2"/>
      <c r="AT34" s="30"/>
      <c r="AU34" s="30"/>
      <c r="AV34" s="30"/>
      <c r="AW34" s="30"/>
      <c r="AX34" s="30"/>
      <c r="AY34" s="30"/>
      <c r="AZ34" s="144" t="s">
        <v>98</v>
      </c>
      <c r="BA34" s="62" t="s">
        <v>59</v>
      </c>
      <c r="BB34" s="30"/>
      <c r="BC34" s="30"/>
      <c r="BD34" s="30"/>
      <c r="BE34" s="30"/>
      <c r="BF34" s="30"/>
      <c r="BG34" s="30"/>
    </row>
    <row r="35" spans="2:67" s="5" customFormat="1" ht="27" customHeight="1" thickBot="1" x14ac:dyDescent="0.3">
      <c r="B35" s="41"/>
      <c r="C35" s="41"/>
      <c r="D35" s="96"/>
      <c r="E35" s="82"/>
      <c r="F35" s="228" t="str">
        <f ca="1">G28</f>
        <v/>
      </c>
      <c r="G35" s="228"/>
      <c r="H35" s="195"/>
      <c r="I35" s="156" t="str">
        <f ca="1">_xll.DBRW(Server&amp;Cube1,$G$30,$G$23,$G$24,$G$29,$D$20,$G$26,$G$28,$D$19,I$12,I$11,$I$14)</f>
        <v/>
      </c>
      <c r="J35" s="156" t="str">
        <f ca="1">_xll.DBRW(Server&amp;Cube1,$G$30,$G$23,$G$24,$G$29,$D$20,$G$26,$G$28,$D$19,J$12,J$11,$I$14)</f>
        <v/>
      </c>
      <c r="K35" s="201" t="e">
        <f ca="1">$J$35-$I$35</f>
        <v>#VALUE!</v>
      </c>
      <c r="L35" s="156" t="e">
        <f ca="1">IF($I$35=0,0,IF($I$35&lt;0,$K$35/-$I$35,$K$35/$I$35))</f>
        <v>#VALUE!</v>
      </c>
      <c r="M35" s="157" t="e">
        <f ca="1">IF(L35&gt;0.01,$BF$32,IF(L35&lt;-0.01,$BG$32,$BH$32))</f>
        <v>#VALUE!</v>
      </c>
      <c r="N35" s="196"/>
      <c r="O35" s="156" t="str">
        <f ca="1">_xll.DBRW(Server&amp;Cube1,$G$30,$G$23,$G$24,$G$29,$D$20,$G$26,$G$28,$D$19,O$12,O$11,$O$14)</f>
        <v/>
      </c>
      <c r="P35" s="156" t="str">
        <f ca="1">_xll.DBRW(Server&amp;Cube1,$G$30,$G$23,$G$24,$G$29,$D$20,$G$26,$G$28,$D$19,P$12,P$11,$O$14)</f>
        <v/>
      </c>
      <c r="Q35" s="201" t="e">
        <f ca="1">$P$35-$O$35</f>
        <v>#VALUE!</v>
      </c>
      <c r="R35" s="161" t="e">
        <f ca="1">IF($O$35=0,0,IF($O$35&lt;0,$Q$35/-$O$35,$Q$35/$O$35))</f>
        <v>#VALUE!</v>
      </c>
      <c r="S35" s="118" t="e">
        <f ca="1">IF(R35&gt;0.01,$BF$32,IF(R35&lt;-0.01,$BG$32,$BH$32))</f>
        <v>#VALUE!</v>
      </c>
      <c r="T35" s="114"/>
      <c r="U35" s="156" t="str">
        <f ca="1">_xll.DBRW(Server&amp;Cube1,$G$30,$G$23,$G$24,$G$29,$D$20,$G$26,$G$28,$D$19,U$12,U$11,$U$14)</f>
        <v/>
      </c>
      <c r="V35" s="156" t="str">
        <f ca="1">_xll.DBRW(Server&amp;Cube1,$G$30,$G$23,$G$24,$G$29,$D$20,$G$26,$G$28,$D$19,V$12,V$11,$U$14)</f>
        <v/>
      </c>
      <c r="W35" s="201" t="e">
        <f ca="1">$V$35-$U$35</f>
        <v>#VALUE!</v>
      </c>
      <c r="X35" s="161" t="e">
        <f ca="1">IF($U$35=0,0,IF($U$35&lt;0,$W$35/-$U$35,$W$35/$U$35))</f>
        <v>#VALUE!</v>
      </c>
      <c r="Y35" s="118" t="e">
        <f ca="1">IF(X35&gt;0.01,$BF$32,IF(X35&lt;-0.01,$BG$32,$BH$32))</f>
        <v>#VALUE!</v>
      </c>
      <c r="Z35" s="114"/>
      <c r="AA35" s="156" t="str">
        <f ca="1">_xll.DBRW(Server&amp;Cube1,$G$30,$G$23,$G$24,$G$29,$D$20,$G$26,$G$28,$D$19,AA$12,AA$11,$AA$14)</f>
        <v/>
      </c>
      <c r="AB35" s="156" t="str">
        <f ca="1">_xll.DBRW(Server&amp;Cube1,$G$30,$G$23,$G$24,$G$29,$D$20,$G$26,$G$28,$D$19,AB$12,AB$11,$AA$14)</f>
        <v/>
      </c>
      <c r="AC35" s="201" t="e">
        <f ca="1">$AB$35-$AA$35</f>
        <v>#VALUE!</v>
      </c>
      <c r="AD35" s="161" t="e">
        <f ca="1">IF($AA$35=0,0,IF($AA$35&lt;0,$AC$35/-$AA$35,$AC$35/$AA$35))</f>
        <v>#VALUE!</v>
      </c>
      <c r="AE35" s="118" t="e">
        <f ca="1">IF(AD35&gt;0.01,$BF$32,IF(AD35&lt;-0.01,$BG$32,$BH$32))</f>
        <v>#VALUE!</v>
      </c>
      <c r="AF35" s="114"/>
      <c r="AG35" s="156" t="e">
        <f ca="1">$I$35+$O$35+$U$35+$AA$35</f>
        <v>#VALUE!</v>
      </c>
      <c r="AH35" s="156" t="e">
        <f ca="1">$J$35+$P$35+$V$35+$AB$35</f>
        <v>#VALUE!</v>
      </c>
      <c r="AI35" s="114"/>
      <c r="AJ35" s="156" t="str">
        <f ca="1">_xll.DBRW(Server&amp;Cube1,$D$21,$G$23,$G$24,$G$29,$D$20,$G$26,$G$28,$D$19,AJ$12,AJ$11,$AJ$14)</f>
        <v/>
      </c>
      <c r="AK35" s="156" t="str">
        <f ca="1">_xll.DBRW(Server&amp;Cube1,$D$21,$G$23,$G$24,$G$29,$D$20,$G$26,$G$28,$D$19,AK$12,AK$11,$AJ$14)</f>
        <v/>
      </c>
      <c r="AL35" s="201" t="e">
        <f ca="1">$AK$35-$AJ$35</f>
        <v>#VALUE!</v>
      </c>
      <c r="AM35" s="161" t="e">
        <f ca="1">IF($AJ$35=0,0,IF($AJ$35&lt;0,$AL$35/-$AJ$35,$AL$35/$AJ$35))</f>
        <v>#VALUE!</v>
      </c>
      <c r="AN35" s="118" t="e">
        <f ca="1">IF(AM35&gt;0.01,$BF$32,IF(AM35&lt;-0.01,$BG$32,$BH$32))</f>
        <v>#VALUE!</v>
      </c>
      <c r="AO35" s="2"/>
      <c r="AP35" s="227"/>
      <c r="AQ35" s="227"/>
      <c r="AR35" s="93"/>
      <c r="AS35" s="94"/>
      <c r="AT35" s="30"/>
      <c r="AU35" s="30"/>
      <c r="AV35" s="30"/>
      <c r="AW35" s="30"/>
      <c r="AX35" s="30"/>
      <c r="AY35" s="30"/>
      <c r="AZ35" s="30"/>
      <c r="BA35" s="63" t="s">
        <v>60</v>
      </c>
      <c r="BB35" s="30"/>
      <c r="BC35" s="30"/>
      <c r="BD35" s="30"/>
      <c r="BE35" s="30"/>
      <c r="BF35" s="30"/>
      <c r="BG35" s="30"/>
    </row>
    <row r="36" spans="2:67" s="5" customFormat="1" ht="17.25" hidden="1" customHeight="1" x14ac:dyDescent="0.25">
      <c r="B36" s="41"/>
      <c r="C36" s="41"/>
      <c r="D36" s="47"/>
      <c r="E36" s="83"/>
      <c r="F36" s="76" t="str">
        <f ca="1">"[Management_Organization_Corp].["&amp;$G$28&amp;"].Children"</f>
        <v>[Management_Organization_Corp].[].Children</v>
      </c>
      <c r="G36" s="2"/>
      <c r="H36" s="2"/>
      <c r="I36" s="158"/>
      <c r="J36" s="158"/>
      <c r="K36" s="158"/>
      <c r="L36" s="158"/>
      <c r="M36" s="158"/>
      <c r="N36" s="158"/>
      <c r="O36" s="158"/>
      <c r="P36" s="158"/>
      <c r="Q36" s="158"/>
      <c r="R36" s="162"/>
      <c r="S36" s="2"/>
      <c r="T36" s="2"/>
      <c r="U36" s="158"/>
      <c r="V36" s="158"/>
      <c r="W36" s="158"/>
      <c r="X36" s="162"/>
      <c r="Y36" s="2"/>
      <c r="Z36" s="2"/>
      <c r="AA36" s="158"/>
      <c r="AB36" s="158"/>
      <c r="AC36" s="158"/>
      <c r="AD36" s="162"/>
      <c r="AE36" s="2"/>
      <c r="AF36" s="2"/>
      <c r="AG36" s="158"/>
      <c r="AH36" s="158"/>
      <c r="AI36" s="2"/>
      <c r="AJ36" s="158"/>
      <c r="AK36" s="158"/>
      <c r="AL36" s="158"/>
      <c r="AM36" s="162"/>
      <c r="AN36" s="2"/>
      <c r="AO36" s="2"/>
      <c r="AP36" s="2"/>
      <c r="AQ36" s="2"/>
      <c r="AR36" s="2"/>
      <c r="AS36" s="2"/>
      <c r="AT36" s="30"/>
      <c r="AU36" s="30"/>
      <c r="AV36" s="30"/>
      <c r="AW36" s="30"/>
      <c r="AX36" s="30"/>
      <c r="AY36" s="30"/>
      <c r="AZ36" s="30"/>
      <c r="BA36" s="62" t="s">
        <v>61</v>
      </c>
      <c r="BB36" s="30"/>
      <c r="BC36" s="30"/>
      <c r="BD36" s="30"/>
      <c r="BE36" s="30"/>
      <c r="BF36" s="30"/>
      <c r="BG36" s="30"/>
    </row>
    <row r="37" spans="2:67" s="5" customFormat="1" ht="17.25" hidden="1" customHeight="1" x14ac:dyDescent="0.25">
      <c r="B37" s="41"/>
      <c r="C37" s="41"/>
      <c r="D37" s="47"/>
      <c r="E37" s="83"/>
      <c r="F37" s="2"/>
      <c r="G37" s="2"/>
      <c r="H37" s="2"/>
      <c r="I37" s="158"/>
      <c r="J37" s="158"/>
      <c r="K37" s="158"/>
      <c r="L37" s="158"/>
      <c r="M37" s="158"/>
      <c r="N37" s="158"/>
      <c r="O37" s="158"/>
      <c r="P37" s="158"/>
      <c r="Q37" s="158"/>
      <c r="R37" s="162"/>
      <c r="S37" s="2"/>
      <c r="T37" s="2"/>
      <c r="U37" s="158"/>
      <c r="V37" s="158"/>
      <c r="W37" s="158"/>
      <c r="X37" s="162"/>
      <c r="Y37" s="2"/>
      <c r="Z37" s="2"/>
      <c r="AA37" s="158"/>
      <c r="AB37" s="158"/>
      <c r="AC37" s="158"/>
      <c r="AD37" s="162"/>
      <c r="AE37" s="2"/>
      <c r="AF37" s="2"/>
      <c r="AG37" s="158"/>
      <c r="AH37" s="158"/>
      <c r="AI37" s="2"/>
      <c r="AJ37" s="158"/>
      <c r="AK37" s="158"/>
      <c r="AL37" s="158"/>
      <c r="AM37" s="162"/>
      <c r="AN37" s="2"/>
      <c r="AO37" s="2"/>
      <c r="AP37" s="2"/>
      <c r="AQ37" s="2"/>
      <c r="AR37" s="2"/>
      <c r="AS37" s="2"/>
      <c r="AT37" s="30"/>
      <c r="AU37" s="30"/>
      <c r="AV37" s="30"/>
      <c r="AW37" s="30"/>
      <c r="AX37" s="30"/>
      <c r="AY37" s="30"/>
      <c r="AZ37" s="30"/>
      <c r="BA37" s="62" t="s">
        <v>104</v>
      </c>
      <c r="BB37" s="30"/>
      <c r="BC37" s="30"/>
      <c r="BD37" s="30"/>
      <c r="BE37" s="30"/>
      <c r="BF37" s="30"/>
      <c r="BG37" s="30"/>
    </row>
    <row r="38" spans="2:67" customFormat="1" ht="17.25" hidden="1" customHeight="1" x14ac:dyDescent="0.25">
      <c r="E38" s="84"/>
      <c r="F38" s="86" t="str">
        <f ca="1">_xll.TM1RPTVIEW(Server&amp;"RP_PL_Corp:ARPT3", 0, _xll.TM1RPTTITLE(Server&amp;"Currency",$G$40), _xll.TM1RPTTITLE(Server&amp;"Gaap",$G$41), _xll.TM1RPTTITLE(Server&amp;"Integration_Rate",$G$42), _xll.TM1RPTTITLE(Server&amp;"Projets",$G$43), _xll.TM1RPTTITLE(Server&amp;"Matricules",$G$44), _xll.TM1RPTTITLE(Server&amp;"Legal_Organization_Corp",$G$45), _xll.TM1RPTTITLE(Server&amp;"Tiers",$G$46), TM1RPTFMTRNG,TM1RPTFMTIDCOL)</f>
        <v>tango_core_model:RP_PL_Corp:ARPT3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63"/>
      <c r="U38" s="159"/>
      <c r="V38" s="159"/>
      <c r="W38" s="159"/>
      <c r="X38" s="163"/>
      <c r="AA38" s="159"/>
      <c r="AB38" s="159"/>
      <c r="AC38" s="159"/>
      <c r="AD38" s="163"/>
      <c r="AG38" s="159"/>
      <c r="AH38" s="159"/>
      <c r="AJ38" s="159"/>
      <c r="AK38" s="159"/>
      <c r="AL38" s="159"/>
      <c r="AM38" s="163"/>
      <c r="BA38" t="s">
        <v>65</v>
      </c>
    </row>
    <row r="39" spans="2:67" customFormat="1" ht="17.25" hidden="1" customHeight="1" x14ac:dyDescent="0.2">
      <c r="E39" s="84"/>
      <c r="I39" s="159"/>
      <c r="J39" s="159"/>
      <c r="K39" s="159"/>
      <c r="L39" s="159"/>
      <c r="M39" s="159"/>
      <c r="N39" s="159"/>
      <c r="O39" s="159"/>
      <c r="P39" s="159"/>
      <c r="Q39" s="159"/>
      <c r="R39" s="163"/>
      <c r="U39" s="159"/>
      <c r="V39" s="159"/>
      <c r="W39" s="159"/>
      <c r="X39" s="163"/>
      <c r="AA39" s="159"/>
      <c r="AB39" s="159"/>
      <c r="AC39" s="159"/>
      <c r="AD39" s="163"/>
      <c r="AG39" s="159"/>
      <c r="AH39" s="159"/>
      <c r="AJ39" s="159"/>
      <c r="AK39" s="159"/>
      <c r="AL39" s="159"/>
      <c r="AM39" s="163"/>
      <c r="BA39" s="103" t="s">
        <v>82</v>
      </c>
    </row>
    <row r="40" spans="2:67" customFormat="1" ht="17.25" hidden="1" customHeight="1" x14ac:dyDescent="0.25">
      <c r="E40" s="84"/>
      <c r="F40" s="77" t="s">
        <v>16</v>
      </c>
      <c r="G40" t="str">
        <f ca="1">_xll.SUBNM(Server&amp;"Currency","",$G$30)</f>
        <v>KEUR</v>
      </c>
      <c r="H40" s="58"/>
      <c r="I40" s="160"/>
      <c r="J40" s="160"/>
      <c r="K40" s="160"/>
      <c r="L40" s="160"/>
      <c r="M40" s="160"/>
      <c r="N40" s="160"/>
      <c r="O40" s="160"/>
      <c r="P40" s="160"/>
      <c r="Q40" s="160"/>
      <c r="R40" s="164"/>
      <c r="S40" s="58"/>
      <c r="T40" s="58"/>
      <c r="U40" s="160"/>
      <c r="V40" s="160"/>
      <c r="W40" s="160"/>
      <c r="X40" s="164"/>
      <c r="Y40" s="58"/>
      <c r="Z40" s="58"/>
      <c r="AA40" s="160"/>
      <c r="AB40" s="160"/>
      <c r="AC40" s="160"/>
      <c r="AD40" s="164"/>
      <c r="AE40" s="58"/>
      <c r="AF40" s="58"/>
      <c r="AG40" s="160"/>
      <c r="AH40" s="160"/>
      <c r="AI40" s="58"/>
      <c r="AJ40" s="160"/>
      <c r="AK40" s="160"/>
      <c r="AL40" s="160"/>
      <c r="AM40" s="164"/>
      <c r="AN40" s="58"/>
      <c r="AO40" s="58"/>
      <c r="AP40" s="3"/>
      <c r="BA40" s="112" t="s">
        <v>83</v>
      </c>
    </row>
    <row r="41" spans="2:67" customFormat="1" ht="17.25" hidden="1" customHeight="1" x14ac:dyDescent="0.25">
      <c r="E41" s="84"/>
      <c r="F41" s="77" t="s">
        <v>17</v>
      </c>
      <c r="G41" t="str">
        <f ca="1">_xll.SUBNM(Server&amp;"Gaap","",$G$23)</f>
        <v>Local_Gaap</v>
      </c>
      <c r="H41" s="58"/>
      <c r="I41" s="160"/>
      <c r="J41" s="160"/>
      <c r="K41" s="160"/>
      <c r="L41" s="160"/>
      <c r="M41" s="160"/>
      <c r="N41" s="160"/>
      <c r="O41" s="160"/>
      <c r="P41" s="160"/>
      <c r="Q41" s="160"/>
      <c r="R41" s="164"/>
      <c r="S41" s="58"/>
      <c r="T41" s="58"/>
      <c r="U41" s="160"/>
      <c r="V41" s="160"/>
      <c r="W41" s="160"/>
      <c r="X41" s="164"/>
      <c r="Y41" s="58"/>
      <c r="Z41" s="58"/>
      <c r="AA41" s="160"/>
      <c r="AB41" s="160"/>
      <c r="AC41" s="160"/>
      <c r="AD41" s="164"/>
      <c r="AE41" s="58"/>
      <c r="AF41" s="58"/>
      <c r="AG41" s="160"/>
      <c r="AH41" s="160"/>
      <c r="AI41" s="58"/>
      <c r="AJ41" s="160"/>
      <c r="AK41" s="160"/>
      <c r="AL41" s="160"/>
      <c r="AM41" s="164"/>
      <c r="AN41" s="58"/>
      <c r="AO41" s="58"/>
      <c r="AP41" s="3"/>
      <c r="BA41" s="112" t="s">
        <v>66</v>
      </c>
    </row>
    <row r="42" spans="2:67" customFormat="1" ht="17.25" hidden="1" customHeight="1" x14ac:dyDescent="0.25">
      <c r="E42" s="84"/>
      <c r="F42" s="77" t="s">
        <v>47</v>
      </c>
      <c r="G42" t="str">
        <f ca="1">_xll.SUBNM(Server&amp;"Integration_Rate","",$G$24)</f>
        <v>NO_APP</v>
      </c>
      <c r="H42" s="58"/>
      <c r="I42" s="160"/>
      <c r="J42" s="160"/>
      <c r="K42" s="160"/>
      <c r="L42" s="160"/>
      <c r="M42" s="160"/>
      <c r="N42" s="160"/>
      <c r="O42" s="160"/>
      <c r="P42" s="160"/>
      <c r="Q42" s="160"/>
      <c r="R42" s="164"/>
      <c r="S42" s="58"/>
      <c r="T42" s="58"/>
      <c r="U42" s="160"/>
      <c r="V42" s="160"/>
      <c r="W42" s="160"/>
      <c r="X42" s="164"/>
      <c r="Y42" s="58"/>
      <c r="Z42" s="58"/>
      <c r="AA42" s="160"/>
      <c r="AB42" s="160"/>
      <c r="AC42" s="160"/>
      <c r="AD42" s="164"/>
      <c r="AE42" s="58"/>
      <c r="AF42" s="58"/>
      <c r="AG42" s="160"/>
      <c r="AH42" s="160"/>
      <c r="AI42" s="58"/>
      <c r="AJ42" s="160"/>
      <c r="AK42" s="160"/>
      <c r="AL42" s="160"/>
      <c r="AM42" s="164"/>
      <c r="AN42" s="58"/>
      <c r="AO42" s="58"/>
      <c r="AP42" s="3"/>
      <c r="BA42" s="103" t="s">
        <v>84</v>
      </c>
    </row>
    <row r="43" spans="2:67" customFormat="1" ht="17.25" hidden="1" customHeight="1" x14ac:dyDescent="0.25">
      <c r="E43" s="84"/>
      <c r="F43" s="77" t="s">
        <v>48</v>
      </c>
      <c r="G43" t="str">
        <f ca="1">_xll.SUBNM(Server&amp;"Projets","",$G$29)</f>
        <v>Tot_proj</v>
      </c>
      <c r="H43" s="58"/>
      <c r="I43" s="160"/>
      <c r="J43" s="160"/>
      <c r="K43" s="160"/>
      <c r="L43" s="160"/>
      <c r="M43" s="160"/>
      <c r="N43" s="160"/>
      <c r="O43" s="160"/>
      <c r="P43" s="160"/>
      <c r="Q43" s="160"/>
      <c r="R43" s="164"/>
      <c r="S43" s="58"/>
      <c r="T43" s="58"/>
      <c r="U43" s="160"/>
      <c r="V43" s="160"/>
      <c r="W43" s="160"/>
      <c r="X43" s="164"/>
      <c r="Y43" s="58"/>
      <c r="Z43" s="58"/>
      <c r="AA43" s="160"/>
      <c r="AB43" s="160"/>
      <c r="AC43" s="160"/>
      <c r="AD43" s="164"/>
      <c r="AE43" s="58"/>
      <c r="AF43" s="58"/>
      <c r="AG43" s="160"/>
      <c r="AH43" s="160"/>
      <c r="AI43" s="58"/>
      <c r="AJ43" s="160"/>
      <c r="AK43" s="160"/>
      <c r="AL43" s="160"/>
      <c r="AM43" s="164"/>
      <c r="AN43" s="58"/>
      <c r="AO43" s="58"/>
      <c r="AP43" s="3"/>
      <c r="BA43" t="s">
        <v>67</v>
      </c>
    </row>
    <row r="44" spans="2:67" customFormat="1" ht="17.25" hidden="1" customHeight="1" x14ac:dyDescent="0.25">
      <c r="E44" s="84"/>
      <c r="F44" s="77" t="s">
        <v>49</v>
      </c>
      <c r="G44" t="str">
        <f ca="1">_xll.SUBNM(Server&amp;"Matricules","",$D$20)</f>
        <v>VTD</v>
      </c>
      <c r="H44" s="58"/>
      <c r="I44" s="160"/>
      <c r="J44" s="160"/>
      <c r="K44" s="160"/>
      <c r="L44" s="160"/>
      <c r="M44" s="160"/>
      <c r="N44" s="160"/>
      <c r="O44" s="160"/>
      <c r="P44" s="160"/>
      <c r="Q44" s="160"/>
      <c r="R44" s="164"/>
      <c r="S44" s="58"/>
      <c r="T44" s="58"/>
      <c r="U44" s="160"/>
      <c r="V44" s="160"/>
      <c r="W44" s="160"/>
      <c r="X44" s="164"/>
      <c r="Y44" s="58"/>
      <c r="Z44" s="58"/>
      <c r="AA44" s="160"/>
      <c r="AB44" s="160"/>
      <c r="AC44" s="160"/>
      <c r="AD44" s="164"/>
      <c r="AE44" s="58"/>
      <c r="AF44" s="58"/>
      <c r="AG44" s="160"/>
      <c r="AH44" s="160"/>
      <c r="AI44" s="58"/>
      <c r="AJ44" s="160"/>
      <c r="AK44" s="160"/>
      <c r="AL44" s="160"/>
      <c r="AM44" s="164"/>
      <c r="AN44" s="58"/>
      <c r="AO44" s="58"/>
      <c r="AP44" s="3"/>
      <c r="BA44" t="s">
        <v>76</v>
      </c>
    </row>
    <row r="45" spans="2:67" customFormat="1" ht="17.25" hidden="1" customHeight="1" x14ac:dyDescent="0.25">
      <c r="E45" s="84"/>
      <c r="F45" s="77" t="s">
        <v>50</v>
      </c>
      <c r="G45" t="str">
        <f ca="1">_xll.SUBNM(Server&amp;"Legal_Organization_Corp","",$G$26)</f>
        <v/>
      </c>
      <c r="H45" s="58"/>
      <c r="I45" s="160"/>
      <c r="J45" s="160"/>
      <c r="K45" s="160"/>
      <c r="L45" s="160"/>
      <c r="M45" s="160"/>
      <c r="N45" s="160"/>
      <c r="O45" s="160"/>
      <c r="P45" s="160"/>
      <c r="Q45" s="160"/>
      <c r="R45" s="164"/>
      <c r="S45" s="58"/>
      <c r="T45" s="58"/>
      <c r="U45" s="160"/>
      <c r="V45" s="160"/>
      <c r="W45" s="160"/>
      <c r="X45" s="164"/>
      <c r="Y45" s="58"/>
      <c r="Z45" s="58"/>
      <c r="AA45" s="160"/>
      <c r="AB45" s="160"/>
      <c r="AC45" s="160"/>
      <c r="AD45" s="164"/>
      <c r="AE45" s="58"/>
      <c r="AF45" s="58"/>
      <c r="AG45" s="160"/>
      <c r="AH45" s="160"/>
      <c r="AI45" s="58"/>
      <c r="AJ45" s="160"/>
      <c r="AK45" s="160"/>
      <c r="AL45" s="160"/>
      <c r="AM45" s="164"/>
      <c r="AN45" s="58"/>
      <c r="AO45" s="58"/>
      <c r="AP45" s="3"/>
      <c r="BA45" t="s">
        <v>85</v>
      </c>
    </row>
    <row r="46" spans="2:67" customFormat="1" ht="17.25" hidden="1" customHeight="1" x14ac:dyDescent="0.25">
      <c r="E46" s="84"/>
      <c r="F46" s="77" t="s">
        <v>52</v>
      </c>
      <c r="G46" t="str">
        <f ca="1">_xll.SUBNM(Server&amp;"Tiers","",$D$19)</f>
        <v>Tot_tiers</v>
      </c>
      <c r="H46" s="58"/>
      <c r="I46" s="160"/>
      <c r="J46" s="160"/>
      <c r="K46" s="160"/>
      <c r="L46" s="160"/>
      <c r="M46" s="160"/>
      <c r="N46" s="160"/>
      <c r="O46" s="160"/>
      <c r="P46" s="160"/>
      <c r="Q46" s="160"/>
      <c r="R46" s="164"/>
      <c r="S46" s="58"/>
      <c r="T46" s="58"/>
      <c r="U46" s="160"/>
      <c r="V46" s="160"/>
      <c r="W46" s="160"/>
      <c r="X46" s="164"/>
      <c r="Y46" s="58"/>
      <c r="Z46" s="58"/>
      <c r="AA46" s="160"/>
      <c r="AB46" s="160"/>
      <c r="AC46" s="160"/>
      <c r="AD46" s="164"/>
      <c r="AE46" s="58"/>
      <c r="AF46" s="58"/>
      <c r="AG46" s="160"/>
      <c r="AH46" s="160"/>
      <c r="AI46" s="58"/>
      <c r="AJ46" s="160"/>
      <c r="AK46" s="160"/>
      <c r="AL46" s="160"/>
      <c r="AM46" s="164"/>
      <c r="AN46" s="58"/>
      <c r="AO46" s="58"/>
      <c r="AP46" s="3"/>
      <c r="BA46" t="s">
        <v>86</v>
      </c>
    </row>
    <row r="47" spans="2:67" customFormat="1" ht="17.25" hidden="1" customHeight="1" x14ac:dyDescent="0.2">
      <c r="E47" s="84"/>
      <c r="F47" s="15"/>
      <c r="G47" s="30"/>
      <c r="H47" s="58"/>
      <c r="I47" s="160"/>
      <c r="J47" s="160"/>
      <c r="K47" s="160"/>
      <c r="L47" s="160"/>
      <c r="M47" s="160"/>
      <c r="N47" s="160"/>
      <c r="O47" s="160"/>
      <c r="P47" s="160"/>
      <c r="Q47" s="160"/>
      <c r="R47" s="164"/>
      <c r="S47" s="58"/>
      <c r="T47" s="58"/>
      <c r="U47" s="160"/>
      <c r="V47" s="160"/>
      <c r="W47" s="160"/>
      <c r="X47" s="164"/>
      <c r="Y47" s="58"/>
      <c r="Z47" s="58"/>
      <c r="AA47" s="160"/>
      <c r="AB47" s="160"/>
      <c r="AC47" s="160"/>
      <c r="AD47" s="164"/>
      <c r="AE47" s="58"/>
      <c r="AF47" s="58"/>
      <c r="AG47" s="160"/>
      <c r="AH47" s="160"/>
      <c r="AI47" s="58"/>
      <c r="AJ47" s="160"/>
      <c r="AK47" s="160"/>
      <c r="AL47" s="160"/>
      <c r="AM47" s="164"/>
      <c r="AN47" s="58"/>
      <c r="AO47" s="58"/>
      <c r="AP47" s="3"/>
      <c r="BA47" s="103" t="s">
        <v>61</v>
      </c>
    </row>
    <row r="48" spans="2:67" customFormat="1" ht="17.25" hidden="1" customHeight="1" x14ac:dyDescent="0.25">
      <c r="E48" s="84"/>
      <c r="F48" s="77"/>
      <c r="H48" s="58"/>
      <c r="I48" s="160"/>
      <c r="J48" s="160"/>
      <c r="K48" s="160"/>
      <c r="L48" s="160"/>
      <c r="M48" s="160"/>
      <c r="N48" s="160"/>
      <c r="O48" s="160"/>
      <c r="P48" s="160"/>
      <c r="Q48" s="160"/>
      <c r="R48" s="164"/>
      <c r="S48" s="58"/>
      <c r="T48" s="58"/>
      <c r="U48" s="160"/>
      <c r="V48" s="160"/>
      <c r="W48" s="160"/>
      <c r="X48" s="164"/>
      <c r="Y48" s="58"/>
      <c r="Z48" s="58"/>
      <c r="AA48" s="160"/>
      <c r="AB48" s="160"/>
      <c r="AC48" s="160"/>
      <c r="AD48" s="164"/>
      <c r="AE48" s="58"/>
      <c r="AF48" s="58"/>
      <c r="AG48" s="160"/>
      <c r="AH48" s="160"/>
      <c r="AI48" s="58"/>
      <c r="AJ48" s="160"/>
      <c r="AK48" s="160"/>
      <c r="AL48" s="160"/>
      <c r="AM48" s="164"/>
      <c r="AN48" s="58"/>
      <c r="AO48" s="58"/>
      <c r="AP48" s="3"/>
      <c r="BA48" s="103" t="s">
        <v>102</v>
      </c>
    </row>
    <row r="49" spans="1:64" customFormat="1" ht="17.25" hidden="1" customHeight="1" x14ac:dyDescent="0.2">
      <c r="E49" s="84"/>
      <c r="I49" s="159"/>
      <c r="J49" s="159"/>
      <c r="K49" s="159"/>
      <c r="L49" s="159"/>
      <c r="M49" s="159"/>
      <c r="N49" s="159"/>
      <c r="O49" s="159"/>
      <c r="P49" s="159"/>
      <c r="Q49" s="159"/>
      <c r="R49" s="163"/>
      <c r="U49" s="159"/>
      <c r="V49" s="159"/>
      <c r="W49" s="159"/>
      <c r="X49" s="163"/>
      <c r="AA49" s="159"/>
      <c r="AB49" s="159"/>
      <c r="AC49" s="159"/>
      <c r="AD49" s="163"/>
      <c r="AG49" s="159"/>
      <c r="AH49" s="159"/>
      <c r="AJ49" s="159"/>
      <c r="AK49" s="159"/>
      <c r="AL49" s="159"/>
      <c r="AM49" s="163"/>
    </row>
    <row r="50" spans="1:64" customFormat="1" ht="17.25" hidden="1" customHeight="1" x14ac:dyDescent="0.2">
      <c r="E50" s="84"/>
      <c r="I50" s="159"/>
      <c r="J50" s="159"/>
      <c r="K50" s="159"/>
      <c r="L50" s="159"/>
      <c r="M50" s="159"/>
      <c r="N50" s="159"/>
      <c r="O50" s="159"/>
      <c r="P50" s="159"/>
      <c r="Q50" s="159"/>
      <c r="R50" s="163"/>
      <c r="U50" s="159"/>
      <c r="V50" s="159"/>
      <c r="W50" s="159"/>
      <c r="X50" s="163"/>
      <c r="AA50" s="159"/>
      <c r="AB50" s="159"/>
      <c r="AC50" s="159"/>
      <c r="AD50" s="163"/>
      <c r="AG50" s="159"/>
      <c r="AH50" s="159"/>
      <c r="AJ50" s="159"/>
      <c r="AK50" s="159"/>
      <c r="AL50" s="159"/>
      <c r="AM50" s="163"/>
    </row>
    <row r="51" spans="1:64" customFormat="1" ht="17.25" hidden="1" customHeight="1" x14ac:dyDescent="0.2">
      <c r="E51" s="84"/>
      <c r="I51" s="159"/>
      <c r="J51" s="159"/>
      <c r="K51" s="159"/>
      <c r="L51" s="159"/>
      <c r="M51" s="159"/>
      <c r="N51" s="159"/>
      <c r="O51" s="159"/>
      <c r="P51" s="159"/>
      <c r="Q51" s="159"/>
      <c r="R51" s="163"/>
      <c r="U51" s="159"/>
      <c r="V51" s="159"/>
      <c r="W51" s="159"/>
      <c r="X51" s="163"/>
      <c r="AA51" s="159"/>
      <c r="AB51" s="159"/>
      <c r="AC51" s="159"/>
      <c r="AD51" s="163"/>
      <c r="AG51" s="159"/>
      <c r="AH51" s="159"/>
      <c r="AJ51" s="159"/>
      <c r="AK51" s="159"/>
      <c r="AL51" s="159"/>
      <c r="AM51" s="163"/>
    </row>
    <row r="52" spans="1:64" customFormat="1" ht="25.5" customHeight="1" x14ac:dyDescent="0.2">
      <c r="A52" t="str">
        <f ca="1">IF(_xll.TM1RPTELISCONSOLIDATED($F$52,$F52),IF(_xll.TM1RPTELLEV($F$52,$F52)&lt;=3,_xll.TM1RPTELLEV($F$52,$F52),"D"),"N")</f>
        <v>N</v>
      </c>
      <c r="F52" s="207" t="str">
        <f ca="1">_xll.TM1RPTROW($F$38,Server&amp;"Management_Organization_Corp","","",$G$25,0,$F$36,,1)</f>
        <v/>
      </c>
      <c r="G52" s="208"/>
      <c r="H52" s="134"/>
      <c r="I52" s="209" t="str">
        <f ca="1">_xll.DBRW(Server&amp;Cube1,$G$30,$G$23,$G$24,$G$29,$D$20,$G$26,$F52,$D$19,I$12,I$11,$I$14)</f>
        <v/>
      </c>
      <c r="J52" s="209" t="str">
        <f ca="1">_xll.DBRW(Server&amp;Cube1,$G$30,$G$23,$G$24,$G$29,$D$20,$G$26,$F52,$D$19,J$12,J$11,$I$14)</f>
        <v/>
      </c>
      <c r="K52" s="210" t="e">
        <f ca="1">$J52-$I52</f>
        <v>#VALUE!</v>
      </c>
      <c r="L52" s="165" t="e">
        <f ca="1">IF($I52=0,0,IF($I52&lt;0,$K52/-$I52,$K52/$I52))</f>
        <v>#VALUE!</v>
      </c>
      <c r="M52" s="166" t="e">
        <f ca="1">IF(L52&gt;0.01,$BF$32,IF(L52&lt;-0.01,$BG$32,$BH$32))</f>
        <v>#VALUE!</v>
      </c>
      <c r="N52" s="167"/>
      <c r="O52" s="209" t="str">
        <f ca="1">_xll.DBRW(Server&amp;Cube1,$G$30,$G$23,$G$24,$G$29,$D$20,$G$26,$F52,$D$19,O$12,O$11,$O$14)</f>
        <v/>
      </c>
      <c r="P52" s="209" t="str">
        <f ca="1">_xll.DBRW(Server&amp;Cube1,$G$30,$G$23,$G$24,$G$29,$D$20,$G$26,$F52,$D$19,P$12,P$11,$O$14)</f>
        <v/>
      </c>
      <c r="Q52" s="210" t="e">
        <f ca="1">$P52-$O52</f>
        <v>#VALUE!</v>
      </c>
      <c r="R52" s="181" t="e">
        <f ca="1">IF($O52=0,0,IF($O52&lt;0,$Q52/-$O52,$Q52/$O52))</f>
        <v>#VALUE!</v>
      </c>
      <c r="S52" s="166" t="e">
        <f ca="1">IF(R52&gt;0.01,$BF$32,IF(R52&lt;-0.01,$BG$32,$BH$32))</f>
        <v>#VALUE!</v>
      </c>
      <c r="T52" s="180"/>
      <c r="U52" s="209" t="str">
        <f ca="1">_xll.DBRW(Server&amp;Cube1,$G$30,$G$23,$G$24,$G$29,$D$20,$G$26,$F52,$D$19,U$12,U$11,$U$14)</f>
        <v/>
      </c>
      <c r="V52" s="209" t="str">
        <f ca="1">_xll.DBRW(Server&amp;Cube1,$G$30,$G$23,$G$24,$G$29,$D$20,$G$26,$F52,$D$19,V$12,V$11,$U$14)</f>
        <v/>
      </c>
      <c r="W52" s="210" t="e">
        <f ca="1">$V52-$U52</f>
        <v>#VALUE!</v>
      </c>
      <c r="X52" s="181" t="e">
        <f ca="1">IF($U52=0,0,IF($U52&lt;0,$W52/-$U52,$W52/$U52))</f>
        <v>#VALUE!</v>
      </c>
      <c r="Y52" s="166" t="e">
        <f ca="1">IF(X52&gt;0.01,$BF$32,IF(X52&lt;-0.01,$BG$32,$BH$32))</f>
        <v>#VALUE!</v>
      </c>
      <c r="Z52" s="180"/>
      <c r="AA52" s="209" t="str">
        <f ca="1">_xll.DBRW(Server&amp;Cube1,$G$30,$G$23,$G$24,$G$29,$D$20,$G$26,$F52,$D$19,AA$12,AA$11,$AA$14)</f>
        <v/>
      </c>
      <c r="AB52" s="209" t="str">
        <f ca="1">_xll.DBRW(Server&amp;Cube1,$G$30,$G$23,$G$24,$G$29,$D$20,$G$26,$F52,$D$19,AB$12,AB$11,$AA$14)</f>
        <v/>
      </c>
      <c r="AC52" s="210" t="e">
        <f ca="1">$AB52-$AA52</f>
        <v>#VALUE!</v>
      </c>
      <c r="AD52" s="169" t="e">
        <f ca="1">IF($AA52=0,0,IF($AA52&lt;0,$AC52/-$AA52,$AC52/$AA52))</f>
        <v>#VALUE!</v>
      </c>
      <c r="AE52" s="135" t="e">
        <f ca="1">IF(AD52&gt;0.01,$BF$32,IF(AD52&lt;-0.01,$BG$32,$BH$32))</f>
        <v>#VALUE!</v>
      </c>
      <c r="AF52" s="133"/>
      <c r="AG52" s="168" t="e">
        <f ca="1">$I52+$O52+$U52+$AA52</f>
        <v>#VALUE!</v>
      </c>
      <c r="AH52" s="168" t="e">
        <f ca="1">$J52+$P52+$V52+$AB52</f>
        <v>#VALUE!</v>
      </c>
      <c r="AI52" s="133"/>
      <c r="AJ52" s="209" t="str">
        <f ca="1">_xll.DBRW(Server&amp;Cube1,$D$21,$G$23,$G$24,$G$29,$D$20,$G$26,$F52,$D$19,AJ$12,AJ$11,$AJ$14)</f>
        <v/>
      </c>
      <c r="AK52" s="209" t="str">
        <f ca="1">_xll.DBRW(Server&amp;Cube1,$D$21,$G$23,$G$24,$G$29,$D$20,$G$26,$F52,$D$19,AK$12,AK$11,$AJ$14)</f>
        <v/>
      </c>
      <c r="AL52" s="210" t="e">
        <f ca="1">$AK52-$AJ52</f>
        <v>#VALUE!</v>
      </c>
      <c r="AM52" s="169" t="e">
        <f ca="1">IF($AJ52=0,0,IF($AJ52&lt;0,$AL52/-$AJ52,$AL52/$AJ52))</f>
        <v>#VALUE!</v>
      </c>
      <c r="AN52" s="135" t="e">
        <f ca="1">IF(AM52&gt;0.01,$BF$32,IF(AM52&lt;-0.01,$BG$32,$BH$32))</f>
        <v>#VALUE!</v>
      </c>
      <c r="AP52" s="78" t="str">
        <f ca="1">_xll.DBRW($F$38,$G$40,$G$41,$G$42,$G$43,$G$44,$G$45,$F52,$G$46,$I$12,$I$11,$I$14)</f>
        <v/>
      </c>
      <c r="AQ52" s="78" t="str">
        <f ca="1">_xll.DBRW($F$38,$G$40,$G$41,$G$42,$G$43,$G$44,$G$45,$F52,$G$46,$O$12,O$11,$O$14)</f>
        <v/>
      </c>
      <c r="AR52" s="78" t="str">
        <f ca="1">_xll.DBRW($F$38,$G$40,$G$41,$G$42,$G$43,$G$44,$G$45,$F52,$G$46,$U$12,U$11,$U$14)</f>
        <v/>
      </c>
      <c r="AS52" s="75" t="str">
        <f ca="1">_xll.DBRW($F$38,$G$40,$G$41,$G$42,$G$43,$G$44,$G$45,$F52,$G$46,$AA$12,AA$11,$AA$14)</f>
        <v/>
      </c>
      <c r="BA52" s="103"/>
    </row>
    <row r="53" spans="1:64" s="5" customFormat="1" ht="17.25" hidden="1" customHeight="1" x14ac:dyDescent="0.25">
      <c r="B53" s="41"/>
      <c r="C53" s="41"/>
      <c r="D53" s="47"/>
      <c r="E53" s="83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T53" s="30"/>
      <c r="AU53" s="30"/>
      <c r="AV53" s="30"/>
      <c r="AW53" s="30"/>
      <c r="AX53" s="30"/>
      <c r="AY53" s="30"/>
      <c r="AZ53" s="30"/>
      <c r="BA53" s="16"/>
      <c r="BB53" s="30"/>
      <c r="BC53" s="30"/>
      <c r="BD53" s="30"/>
      <c r="BE53" s="30"/>
      <c r="BF53" s="30"/>
      <c r="BG53" s="30"/>
    </row>
    <row r="54" spans="1:64" s="5" customFormat="1" ht="17.25" customHeight="1" x14ac:dyDescent="0.25">
      <c r="B54" s="41"/>
      <c r="C54" s="41"/>
      <c r="D54" s="47"/>
      <c r="E54" s="83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T54" s="30"/>
      <c r="AU54" s="30"/>
      <c r="AV54" s="30"/>
      <c r="AW54" s="30"/>
      <c r="AX54" s="30"/>
      <c r="AY54" s="30"/>
      <c r="AZ54" s="30"/>
      <c r="BA54" s="16"/>
      <c r="BB54" s="30"/>
      <c r="BC54" s="30"/>
      <c r="BD54" s="30"/>
      <c r="BE54" s="30"/>
      <c r="BF54" s="30"/>
      <c r="BG54" s="30"/>
    </row>
    <row r="55" spans="1:64" s="5" customFormat="1" ht="17.25" customHeight="1" x14ac:dyDescent="0.25">
      <c r="B55" s="41"/>
      <c r="C55" s="41"/>
      <c r="D55" s="119" t="s">
        <v>103</v>
      </c>
      <c r="E55" s="83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T55" s="30"/>
      <c r="AU55" s="30"/>
      <c r="AV55" s="30"/>
      <c r="AW55" s="30"/>
      <c r="AX55" s="30"/>
      <c r="AY55" s="30"/>
      <c r="AZ55" s="30"/>
      <c r="BA55" s="16"/>
      <c r="BB55" s="30"/>
      <c r="BC55" s="30"/>
      <c r="BD55" s="30"/>
      <c r="BE55" s="30"/>
      <c r="BF55" s="30"/>
      <c r="BG55" s="30"/>
    </row>
    <row r="56" spans="1:64" s="5" customFormat="1" ht="17.25" customHeight="1" thickBot="1" x14ac:dyDescent="0.35">
      <c r="B56" s="41"/>
      <c r="C56" s="41"/>
      <c r="D56" s="42" t="s">
        <v>10</v>
      </c>
      <c r="E56" s="83"/>
      <c r="F56" s="6" t="str">
        <f ca="1">_xll.DBRA(Server&amp;$BA$21,$D$56,$BD$18)</f>
        <v>Commentaires</v>
      </c>
      <c r="G56" s="97"/>
      <c r="H56" s="97"/>
      <c r="I56" s="97"/>
      <c r="J56" s="97"/>
      <c r="K56" s="97"/>
      <c r="L56" s="97"/>
      <c r="M56" s="98"/>
      <c r="N56" s="99"/>
      <c r="O56" s="99"/>
      <c r="P56" s="100"/>
      <c r="Q56" s="101"/>
      <c r="R56" s="101"/>
      <c r="S56" s="101"/>
      <c r="T56" s="102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8"/>
      <c r="AL56" s="98"/>
      <c r="AM56" s="98"/>
      <c r="AN56" s="98"/>
      <c r="AO56" s="2"/>
      <c r="AT56" s="30"/>
      <c r="AU56" s="30"/>
      <c r="AV56" s="30"/>
      <c r="AW56" s="30"/>
      <c r="AX56" s="30"/>
      <c r="AY56" s="30"/>
      <c r="AZ56" s="30"/>
      <c r="BA56" s="16"/>
      <c r="BB56" s="30"/>
      <c r="BC56" s="30"/>
      <c r="BD56" s="30"/>
      <c r="BE56" s="30"/>
      <c r="BF56" s="30"/>
      <c r="BG56" s="30"/>
    </row>
    <row r="57" spans="1:64" s="5" customFormat="1" ht="17.25" customHeight="1" x14ac:dyDescent="0.25">
      <c r="B57" s="41"/>
      <c r="C57" s="41"/>
      <c r="D57" s="42" t="s">
        <v>30</v>
      </c>
      <c r="E57" s="83"/>
      <c r="F57" s="212" t="str">
        <f ca="1">_xll.DBRW(Server&amp;Cube2,$G$23,$G$24,$G$29,$G$26,$G$28,$D$19,$G$27,$M$11,$M$12,$D$55,$D$57)</f>
        <v/>
      </c>
      <c r="G57" s="213"/>
      <c r="H57" s="213"/>
      <c r="I57" s="213"/>
      <c r="J57" s="213"/>
      <c r="K57" s="213"/>
      <c r="L57" s="213"/>
      <c r="M57" s="213"/>
      <c r="N57" s="213"/>
      <c r="O57" s="213"/>
      <c r="P57" s="213"/>
      <c r="Q57" s="213"/>
      <c r="R57" s="213"/>
      <c r="S57" s="213"/>
      <c r="T57" s="213"/>
      <c r="U57" s="213"/>
      <c r="V57" s="213"/>
      <c r="W57" s="213"/>
      <c r="X57" s="213"/>
      <c r="Y57" s="213"/>
      <c r="Z57" s="213"/>
      <c r="AA57" s="213"/>
      <c r="AB57" s="213"/>
      <c r="AC57" s="213"/>
      <c r="AD57" s="213"/>
      <c r="AE57" s="213"/>
      <c r="AF57" s="213"/>
      <c r="AG57" s="213"/>
      <c r="AH57" s="213"/>
      <c r="AI57" s="213"/>
      <c r="AJ57" s="213"/>
      <c r="AK57" s="213"/>
      <c r="AL57" s="214"/>
      <c r="AO57" s="2"/>
      <c r="AT57" s="30"/>
      <c r="AU57" s="30"/>
      <c r="AV57" s="30"/>
      <c r="AW57" s="30"/>
      <c r="AX57" s="30"/>
      <c r="AY57" s="30"/>
      <c r="AZ57" s="30"/>
      <c r="BA57" s="16"/>
      <c r="BB57" s="30"/>
      <c r="BC57" s="128" t="s">
        <v>75</v>
      </c>
      <c r="BD57" s="98"/>
      <c r="BE57" s="129" t="str">
        <f ca="1">IF(RIGHT(_xll.SUBNM(Server&amp;"Period","",$G$27,""),3)="YTD","Yes","No")</f>
        <v>No</v>
      </c>
      <c r="BF57" s="30"/>
      <c r="BG57" s="30"/>
    </row>
    <row r="58" spans="1:64" s="5" customFormat="1" ht="17.25" customHeight="1" x14ac:dyDescent="0.25">
      <c r="B58" s="41"/>
      <c r="C58" s="41"/>
      <c r="D58" s="42" t="s">
        <v>31</v>
      </c>
      <c r="E58" s="83"/>
      <c r="F58" s="215" t="str">
        <f ca="1">_xll.DBRW(Server&amp;Cube2,$G$23,$G$24,$G$29,$G$26,$G$28,$D$19,$G$27,$M$11,$M$12,$D$55,$D$58)</f>
        <v/>
      </c>
      <c r="G58" s="216"/>
      <c r="H58" s="216"/>
      <c r="I58" s="216"/>
      <c r="J58" s="216"/>
      <c r="K58" s="216"/>
      <c r="L58" s="216"/>
      <c r="M58" s="216"/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216"/>
      <c r="AC58" s="216"/>
      <c r="AD58" s="216"/>
      <c r="AE58" s="216"/>
      <c r="AF58" s="216"/>
      <c r="AG58" s="216"/>
      <c r="AH58" s="216"/>
      <c r="AI58" s="216"/>
      <c r="AJ58" s="216"/>
      <c r="AK58" s="216"/>
      <c r="AL58" s="217"/>
      <c r="AO58" s="2"/>
      <c r="AT58" s="30"/>
      <c r="AU58" s="30"/>
      <c r="AV58" s="30"/>
      <c r="AW58" s="30"/>
      <c r="AX58" s="30"/>
      <c r="AY58" s="30"/>
      <c r="AZ58" s="30"/>
      <c r="BA58" s="16"/>
      <c r="BB58" s="141"/>
      <c r="BC58" s="30"/>
      <c r="BD58" s="141"/>
      <c r="BE58" s="30"/>
      <c r="BF58" s="142"/>
      <c r="BG58" s="30"/>
    </row>
    <row r="59" spans="1:64" s="5" customFormat="1" ht="17.25" customHeight="1" x14ac:dyDescent="0.25">
      <c r="B59" s="41"/>
      <c r="C59" s="41"/>
      <c r="D59" s="42" t="s">
        <v>32</v>
      </c>
      <c r="E59" s="83"/>
      <c r="F59" s="215" t="str">
        <f ca="1">_xll.DBRW(Server&amp;Cube2,$G$23,$G$24,$G$29,$G$26,$G$28,$D$19,$G$27,$M$11,$M$12,$D$55,$D$59)</f>
        <v/>
      </c>
      <c r="G59" s="216"/>
      <c r="H59" s="216"/>
      <c r="I59" s="216"/>
      <c r="J59" s="216"/>
      <c r="K59" s="216"/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  <c r="AD59" s="216"/>
      <c r="AE59" s="216"/>
      <c r="AF59" s="216"/>
      <c r="AG59" s="216"/>
      <c r="AH59" s="216"/>
      <c r="AI59" s="216"/>
      <c r="AJ59" s="216"/>
      <c r="AK59" s="216"/>
      <c r="AL59" s="217"/>
      <c r="AO59" s="2"/>
      <c r="AT59" s="30"/>
      <c r="AU59" s="30"/>
      <c r="AV59" s="30"/>
      <c r="AW59" s="30"/>
      <c r="AX59" s="30"/>
      <c r="AY59" s="30"/>
      <c r="AZ59" s="30"/>
      <c r="BA59" s="16"/>
      <c r="BB59" s="141"/>
      <c r="BC59" s="30"/>
      <c r="BD59" s="31"/>
      <c r="BE59" s="30"/>
      <c r="BF59" s="30"/>
      <c r="BG59" s="30"/>
    </row>
    <row r="60" spans="1:64" s="5" customFormat="1" ht="17.25" customHeight="1" thickBot="1" x14ac:dyDescent="0.3">
      <c r="B60" s="41"/>
      <c r="C60" s="41"/>
      <c r="D60" s="42" t="s">
        <v>33</v>
      </c>
      <c r="E60" s="83"/>
      <c r="F60" s="218" t="str">
        <f ca="1">_xll.DBRW(Server&amp;Cube2,$G$23,$G$24,$G$29,$G$26,$G$28,$D$19,$G$27,$M$11,$M$12,$D$55,$D$60)</f>
        <v/>
      </c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20"/>
      <c r="AO60" s="2"/>
      <c r="AT60" s="30"/>
      <c r="AU60" s="30"/>
      <c r="AV60" s="30"/>
      <c r="AW60" s="30"/>
      <c r="AX60" s="30"/>
      <c r="AY60" s="30"/>
      <c r="AZ60" s="30"/>
      <c r="BA60" s="16"/>
      <c r="BB60" s="141"/>
      <c r="BC60" s="30"/>
      <c r="BD60" s="30"/>
      <c r="BE60" s="30"/>
      <c r="BF60" s="30"/>
      <c r="BG60" s="30"/>
    </row>
    <row r="61" spans="1:64" s="5" customFormat="1" ht="17.25" customHeight="1" x14ac:dyDescent="0.25">
      <c r="B61" s="41"/>
      <c r="C61" s="41"/>
      <c r="D61" s="47"/>
      <c r="E61" s="83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T61" s="30"/>
      <c r="AU61" s="30"/>
      <c r="AV61" s="30"/>
      <c r="AW61" s="30"/>
      <c r="AX61" s="30"/>
      <c r="AY61" s="30"/>
      <c r="AZ61" s="30"/>
      <c r="BA61" s="16"/>
      <c r="BB61" s="141"/>
      <c r="BC61" s="30"/>
      <c r="BD61" s="30"/>
      <c r="BE61" s="30"/>
      <c r="BF61" s="30"/>
      <c r="BG61" s="30"/>
    </row>
    <row r="62" spans="1:64" s="5" customFormat="1" ht="17.25" customHeight="1" x14ac:dyDescent="0.25">
      <c r="B62" s="41"/>
      <c r="C62" s="41"/>
      <c r="D62" s="47"/>
      <c r="E62" s="83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T62" s="30"/>
      <c r="AU62" s="30"/>
      <c r="AV62" s="30"/>
      <c r="AW62" s="30"/>
      <c r="AX62" s="30"/>
      <c r="AY62" s="30"/>
      <c r="AZ62" s="30"/>
      <c r="BA62" s="16"/>
      <c r="BB62" s="30"/>
      <c r="BC62" s="30"/>
      <c r="BE62" s="30"/>
      <c r="BF62" s="30"/>
      <c r="BG62" s="30"/>
    </row>
    <row r="63" spans="1:64" s="5" customFormat="1" ht="17.25" customHeight="1" x14ac:dyDescent="0.25">
      <c r="B63" s="41"/>
      <c r="C63" s="41"/>
      <c r="D63" s="47"/>
      <c r="E63" s="83"/>
      <c r="F63" s="120"/>
      <c r="G63" s="120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2"/>
      <c r="AT63" s="30"/>
      <c r="AU63" s="30"/>
      <c r="AV63" s="30"/>
      <c r="AW63" s="30"/>
      <c r="AX63" s="30"/>
      <c r="AY63" s="30"/>
      <c r="AZ63" s="30"/>
      <c r="BA63" s="16"/>
      <c r="BB63" s="127"/>
      <c r="BC63" s="129"/>
      <c r="BD63" s="30"/>
      <c r="BE63" s="30"/>
      <c r="BF63" s="30"/>
      <c r="BG63" s="30"/>
      <c r="BH63" s="30"/>
      <c r="BI63" s="30"/>
    </row>
    <row r="64" spans="1:64" s="5" customFormat="1" ht="17.25" customHeight="1" x14ac:dyDescent="0.25">
      <c r="B64" s="41"/>
      <c r="C64" s="41"/>
      <c r="D64" s="47"/>
      <c r="E64" s="83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2"/>
      <c r="AT64" s="30"/>
      <c r="AU64" s="30"/>
      <c r="AV64" s="30"/>
      <c r="AW64" s="30"/>
      <c r="AX64" s="30"/>
      <c r="AY64" s="30"/>
      <c r="AZ64" s="30"/>
      <c r="BA64" s="16"/>
      <c r="BL64" s="130"/>
    </row>
    <row r="65" spans="1:66" s="5" customFormat="1" ht="17.25" customHeight="1" x14ac:dyDescent="0.25">
      <c r="B65" s="41"/>
      <c r="C65" s="41"/>
      <c r="D65" s="47"/>
      <c r="E65" s="83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2"/>
      <c r="AT65" s="30"/>
      <c r="AU65" s="30"/>
      <c r="AV65" s="30"/>
      <c r="AW65" s="30"/>
      <c r="AX65" s="30"/>
      <c r="AY65" s="30"/>
      <c r="AZ65" s="30"/>
      <c r="BA65" s="30"/>
      <c r="BD65" s="146"/>
      <c r="BE65" s="146"/>
      <c r="BF65" s="146"/>
      <c r="BG65" s="146"/>
      <c r="BH65" s="146"/>
      <c r="BI65" s="146"/>
      <c r="BL65" s="130"/>
      <c r="BN65" s="131"/>
    </row>
    <row r="66" spans="1:66" s="5" customFormat="1" ht="17.25" customHeight="1" x14ac:dyDescent="0.25">
      <c r="B66" s="41"/>
      <c r="C66" s="41"/>
      <c r="D66" s="47"/>
      <c r="E66" s="83"/>
      <c r="F66" s="123"/>
      <c r="G66" s="123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2"/>
      <c r="AT66" s="30"/>
      <c r="AU66" s="30"/>
      <c r="AV66" s="30"/>
      <c r="AW66" s="30"/>
      <c r="AX66" s="30"/>
      <c r="AY66" s="30"/>
      <c r="AZ66" s="30"/>
      <c r="BA66" s="30"/>
      <c r="BL66" s="130"/>
    </row>
    <row r="67" spans="1:66" s="5" customFormat="1" ht="17.25" customHeight="1" x14ac:dyDescent="0.25">
      <c r="B67" s="41"/>
      <c r="C67" s="41"/>
      <c r="D67" s="47"/>
      <c r="E67" s="83"/>
      <c r="F67" s="120"/>
      <c r="G67" s="120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2"/>
      <c r="AT67" s="30"/>
      <c r="AU67" s="30"/>
      <c r="AV67" s="30"/>
      <c r="AW67" s="30"/>
      <c r="AX67" s="30"/>
      <c r="AY67" s="30"/>
      <c r="AZ67" s="30"/>
      <c r="BA67" s="30"/>
      <c r="BC67" s="30"/>
      <c r="BD67" s="150" t="str">
        <f ca="1">BB69</f>
        <v>Estimé 2 N-1</v>
      </c>
      <c r="BE67" s="150" t="str">
        <f ca="1">BB70</f>
        <v>Budget</v>
      </c>
      <c r="BF67" s="130"/>
      <c r="BG67" s="130"/>
      <c r="BH67" s="130"/>
      <c r="BI67" s="130"/>
      <c r="BL67" s="130"/>
    </row>
    <row r="68" spans="1:66" ht="22.5" customHeight="1" x14ac:dyDescent="0.25">
      <c r="B68" s="41"/>
      <c r="C68" s="48"/>
      <c r="D68" s="47"/>
      <c r="E68" s="81"/>
      <c r="F68" s="120"/>
      <c r="G68" s="120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6"/>
      <c r="AP68" s="5"/>
      <c r="AQ68" s="5"/>
      <c r="AR68" s="5"/>
      <c r="AS68" s="5"/>
      <c r="AT68" s="30"/>
      <c r="AU68" s="30"/>
      <c r="AV68" s="30"/>
      <c r="AW68" s="30"/>
      <c r="AX68" s="30"/>
      <c r="AY68" s="30"/>
      <c r="AZ68" s="30"/>
      <c r="BA68" s="30"/>
      <c r="BB68" s="125" t="str">
        <f ca="1">IF($BE$57="No",_xll.DBRA(Server&amp;$BA$21,$BA$39,$BD$18),_xll.DBRA(Server&amp;$BA$21,$BA$39,$BD$18)&amp; " ("&amp;_xll.DBRA(Server&amp;$BA$21,$BA$44,$BD$18)&amp;")")</f>
        <v>Masse Salariale</v>
      </c>
      <c r="BC68" s="126" t="s">
        <v>79</v>
      </c>
      <c r="BD68" s="31"/>
      <c r="BE68" s="130"/>
      <c r="BF68" s="130"/>
      <c r="BG68" s="130"/>
      <c r="BH68" s="130"/>
      <c r="BI68" s="130"/>
      <c r="BL68" s="130"/>
      <c r="BM68" s="5"/>
    </row>
    <row r="69" spans="1:66" s="25" customFormat="1" ht="20.25" customHeight="1" x14ac:dyDescent="0.25">
      <c r="B69" s="41"/>
      <c r="C69" s="41"/>
      <c r="D69" s="47"/>
      <c r="E69" s="79"/>
      <c r="F69" s="120"/>
      <c r="G69" s="120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24"/>
      <c r="AP69" s="5"/>
      <c r="AQ69" s="5"/>
      <c r="AR69" s="5"/>
      <c r="AS69" s="5"/>
      <c r="AT69" s="30"/>
      <c r="AU69" s="30"/>
      <c r="AV69" s="15"/>
      <c r="AW69" s="15"/>
      <c r="AX69" s="15"/>
      <c r="AY69" s="15"/>
      <c r="AZ69" s="15"/>
      <c r="BA69" s="30"/>
      <c r="BB69" s="127" t="str">
        <f ca="1">IF($G$33=$BB$22,_xll.DBRA(Server&amp;$BA$21,$BA$48,$BD$18),_xll.DBRA(Server&amp;$H$11,$I$11,$BD$18))</f>
        <v>Estimé 2 N-1</v>
      </c>
      <c r="BC69" s="3" t="str">
        <f ca="1">$I$11</f>
        <v>FC_2_TOT</v>
      </c>
      <c r="BD69" s="132" t="str">
        <f ca="1">_xll.DBRW(Server&amp;Cube1,$G$30,$G$23,$G$24,$G$29,$D$20,$G$26,$G$28,$D$19,$BF69,$BC69,$BC$68)</f>
        <v/>
      </c>
      <c r="BE69" s="151">
        <v>0</v>
      </c>
      <c r="BF69" s="149" t="str">
        <f ca="1">$I$12</f>
        <v>2012</v>
      </c>
      <c r="BG69" s="130"/>
      <c r="BH69" s="130"/>
      <c r="BI69" s="130"/>
      <c r="BJ69" s="130"/>
      <c r="BK69" s="130"/>
      <c r="BL69" s="130"/>
      <c r="BM69" s="5"/>
    </row>
    <row r="70" spans="1:66" s="25" customFormat="1" ht="23.25" customHeight="1" x14ac:dyDescent="0.25">
      <c r="B70" s="41"/>
      <c r="C70" s="41"/>
      <c r="D70" s="47"/>
      <c r="E70" s="79"/>
      <c r="F70" s="120"/>
      <c r="G70" s="120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24"/>
      <c r="AP70" s="5"/>
      <c r="AQ70" s="5"/>
      <c r="AR70" s="5"/>
      <c r="AS70" s="5"/>
      <c r="AT70" s="30"/>
      <c r="AU70" s="30"/>
      <c r="AV70" s="15"/>
      <c r="AW70" s="15"/>
      <c r="AX70" s="15"/>
      <c r="AY70" s="15"/>
      <c r="AZ70" s="15"/>
      <c r="BA70" s="30"/>
      <c r="BB70" s="127" t="str">
        <f ca="1">_xll.DBRA(Server&amp;$H$11,$J$11,$BD$18)</f>
        <v>Budget</v>
      </c>
      <c r="BC70" s="3" t="str">
        <f ca="1">$J$11</f>
        <v>BUDG_TOT</v>
      </c>
      <c r="BD70" s="151">
        <v>0</v>
      </c>
      <c r="BE70" s="132" t="str">
        <f ca="1">_xll.DBRW(Server&amp;Cube1,$G$30,$G$23,$G$24,$G$29,$D$20,$G$26,$G$28,$D$19,$BF70,$BC70,$BC$68)</f>
        <v/>
      </c>
      <c r="BF70" s="149" t="str">
        <f ca="1">$J$12</f>
        <v>2013</v>
      </c>
      <c r="BG70" s="130"/>
      <c r="BH70" s="130"/>
      <c r="BI70" s="130"/>
      <c r="BJ70" s="130"/>
      <c r="BK70" s="130"/>
      <c r="BL70" s="130"/>
      <c r="BM70" s="5"/>
    </row>
    <row r="71" spans="1:66" s="25" customFormat="1" ht="23.25" customHeight="1" x14ac:dyDescent="0.25">
      <c r="B71" s="41"/>
      <c r="C71" s="41"/>
      <c r="D71" s="47"/>
      <c r="E71" s="79"/>
      <c r="F71" s="120"/>
      <c r="G71" s="120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24"/>
      <c r="AP71" s="5"/>
      <c r="AQ71" s="5"/>
      <c r="AR71" s="5"/>
      <c r="AS71" s="5"/>
      <c r="AT71" s="30"/>
      <c r="AU71" s="30"/>
      <c r="AV71" s="15"/>
      <c r="AW71" s="15"/>
      <c r="AX71" s="15"/>
      <c r="AY71" s="15"/>
      <c r="AZ71" s="15"/>
      <c r="BA71" s="30"/>
      <c r="BC71" s="30"/>
      <c r="BD71" s="130"/>
      <c r="BF71" s="130"/>
      <c r="BG71" s="130"/>
      <c r="BH71" s="130"/>
      <c r="BI71" s="130"/>
      <c r="BJ71" s="130"/>
      <c r="BK71" s="130"/>
      <c r="BL71" s="130"/>
      <c r="BM71" s="5"/>
    </row>
    <row r="72" spans="1:66" s="25" customFormat="1" ht="23.25" customHeight="1" x14ac:dyDescent="0.25">
      <c r="B72" s="41"/>
      <c r="C72" s="41"/>
      <c r="D72" s="47"/>
      <c r="E72" s="79"/>
      <c r="F72" s="120"/>
      <c r="G72" s="120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24"/>
      <c r="AP72" s="5"/>
      <c r="AQ72" s="5"/>
      <c r="AR72" s="5"/>
      <c r="AS72" s="5"/>
      <c r="AT72" s="30"/>
      <c r="AU72" s="30"/>
      <c r="AV72" s="15"/>
      <c r="AW72" s="15"/>
      <c r="AX72" s="15"/>
      <c r="AY72" s="15"/>
      <c r="AZ72" s="15"/>
      <c r="BA72" s="30"/>
      <c r="BB72" s="125" t="str">
        <f ca="1">IF($BE$57="No",_xll.DBRA(Server&amp;$BA$21,$BA$40,$BD$18),_xll.DBRA(Server&amp;$BA$21,$BA$40,$BD$18)&amp; " ("&amp;_xll.DBRA(Server&amp;$BA$21,$BA$44,$BD$18)&amp;")")</f>
        <v>Voyages et Déplacements</v>
      </c>
      <c r="BC72" s="126" t="s">
        <v>81</v>
      </c>
      <c r="BD72" s="31"/>
      <c r="BF72" s="130"/>
      <c r="BG72" s="130"/>
      <c r="BH72" s="130"/>
      <c r="BI72" s="130"/>
      <c r="BJ72" s="130"/>
      <c r="BK72" s="130"/>
      <c r="BL72" s="130"/>
      <c r="BM72" s="5"/>
    </row>
    <row r="73" spans="1:66" s="25" customFormat="1" ht="23.25" customHeight="1" x14ac:dyDescent="0.25">
      <c r="B73" s="41"/>
      <c r="C73" s="41"/>
      <c r="D73" s="47"/>
      <c r="E73" s="79"/>
      <c r="F73" s="120"/>
      <c r="G73" s="120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24"/>
      <c r="AP73" s="5"/>
      <c r="AQ73" s="5"/>
      <c r="AR73" s="5"/>
      <c r="AS73" s="5"/>
      <c r="AT73" s="30"/>
      <c r="AU73" s="30"/>
      <c r="AV73" s="15"/>
      <c r="AW73" s="15"/>
      <c r="AX73" s="15"/>
      <c r="AY73" s="15"/>
      <c r="AZ73" s="15"/>
      <c r="BA73" s="30"/>
      <c r="BB73" s="127" t="str">
        <f ca="1">IF($G$33=$BB$22,_xll.DBRA(Server&amp;$BA$21,$BA$48,$BD$18),_xll.DBRA(Server&amp;$H$11,$I$11,$BD$18))</f>
        <v>Estimé 2 N-1</v>
      </c>
      <c r="BC73" s="3" t="str">
        <f ca="1">$I$11</f>
        <v>FC_2_TOT</v>
      </c>
      <c r="BD73" s="132" t="str">
        <f ca="1">_xll.DBRW(Server&amp;Cube1,$G$30,$G$23,$G$24,$G$29,$D$20,$G$26,$G$28,$D$19,$BF73,$BC73,$BC$72)</f>
        <v/>
      </c>
      <c r="BE73" s="151">
        <v>0</v>
      </c>
      <c r="BF73" s="149" t="str">
        <f ca="1">$I$12</f>
        <v>2012</v>
      </c>
      <c r="BG73" s="130"/>
      <c r="BH73" s="130"/>
      <c r="BI73" s="130"/>
      <c r="BJ73" s="130"/>
      <c r="BK73" s="130"/>
      <c r="BL73" s="130"/>
      <c r="BM73" s="5"/>
    </row>
    <row r="74" spans="1:66" s="25" customFormat="1" ht="15.75" x14ac:dyDescent="0.25">
      <c r="B74" s="41"/>
      <c r="C74" s="41"/>
      <c r="D74" s="47"/>
      <c r="E74" s="79"/>
      <c r="F74" s="120"/>
      <c r="G74" s="120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24"/>
      <c r="AT74" s="15"/>
      <c r="AU74" s="15"/>
      <c r="AV74" s="15"/>
      <c r="AW74" s="15"/>
      <c r="AX74" s="15"/>
      <c r="AY74" s="15"/>
      <c r="AZ74" s="15"/>
      <c r="BA74" s="30"/>
      <c r="BB74" s="127" t="str">
        <f ca="1">_xll.DBRA(Server&amp;$H$11,$J$11,$BD$18)</f>
        <v>Budget</v>
      </c>
      <c r="BC74" s="3" t="str">
        <f ca="1">$J$11</f>
        <v>BUDG_TOT</v>
      </c>
      <c r="BD74" s="151">
        <v>0</v>
      </c>
      <c r="BE74" s="132" t="str">
        <f ca="1">_xll.DBRW(Server&amp;Cube1,$G$30,$G$23,$G$24,$G$29,$D$20,$G$26,$G$28,$D$19,$BF74,$BC74,$BC$72)</f>
        <v/>
      </c>
      <c r="BF74" s="149" t="str">
        <f ca="1">$J$12</f>
        <v>2013</v>
      </c>
      <c r="BG74" s="130"/>
      <c r="BH74" s="130"/>
      <c r="BI74" s="130"/>
      <c r="BJ74" s="130"/>
      <c r="BK74" s="130"/>
      <c r="BL74" s="130"/>
      <c r="BM74" s="5"/>
    </row>
    <row r="75" spans="1:66" s="25" customFormat="1" ht="12.75" x14ac:dyDescent="0.2">
      <c r="B75" s="41"/>
      <c r="C75" s="41"/>
      <c r="D75" s="42"/>
      <c r="E75" s="79"/>
      <c r="F75" s="120"/>
      <c r="G75" s="120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24"/>
      <c r="AT75" s="15"/>
      <c r="AU75" s="15"/>
      <c r="AV75" s="15"/>
      <c r="AW75" s="15"/>
      <c r="AX75" s="15"/>
      <c r="AY75" s="15"/>
      <c r="AZ75" s="15"/>
      <c r="BA75" s="30"/>
      <c r="BC75" s="30"/>
      <c r="BD75" s="130"/>
      <c r="BF75" s="130"/>
      <c r="BG75" s="130"/>
      <c r="BH75" s="130"/>
      <c r="BI75" s="130"/>
      <c r="BJ75" s="130"/>
      <c r="BK75" s="130"/>
      <c r="BL75" s="130"/>
      <c r="BM75" s="5"/>
    </row>
    <row r="76" spans="1:66" s="25" customFormat="1" ht="15.75" x14ac:dyDescent="0.2">
      <c r="B76" s="41"/>
      <c r="C76" s="41"/>
      <c r="D76" s="42"/>
      <c r="E76" s="79"/>
      <c r="F76" s="120"/>
      <c r="G76" s="120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24"/>
      <c r="AT76" s="15"/>
      <c r="AU76" s="15"/>
      <c r="AV76" s="15"/>
      <c r="AW76" s="15"/>
      <c r="AX76" s="15"/>
      <c r="AY76" s="15"/>
      <c r="AZ76" s="15"/>
      <c r="BA76" s="30"/>
      <c r="BB76" s="125" t="str">
        <f ca="1">IF($BE$57="No",_xll.DBRA(Server&amp;$BA$21,$BA$42,$BD$18),_xll.DBRA(Server&amp;$BA$21,$BA$42,$BD$18)&amp; " ("&amp;_xll.DBRA(Server&amp;$BA$21,$BA$44,$BD$18)&amp;")")</f>
        <v>Frais externes</v>
      </c>
      <c r="BC76" s="126" t="s">
        <v>108</v>
      </c>
      <c r="BD76" s="31"/>
      <c r="BF76" s="130"/>
      <c r="BG76" s="130"/>
      <c r="BH76" s="130"/>
      <c r="BI76" s="130"/>
      <c r="BJ76" s="130"/>
      <c r="BK76" s="130"/>
      <c r="BL76" s="130"/>
      <c r="BM76" s="5"/>
    </row>
    <row r="77" spans="1:66" s="15" customFormat="1" ht="15.75" x14ac:dyDescent="0.2">
      <c r="A77" s="30"/>
      <c r="B77" s="41"/>
      <c r="C77" s="41"/>
      <c r="D77" s="42"/>
      <c r="E77" s="79"/>
      <c r="F77" s="120"/>
      <c r="G77" s="120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6"/>
      <c r="AQ77" s="30"/>
      <c r="AR77" s="30"/>
      <c r="AS77" s="30"/>
      <c r="BA77" s="30"/>
      <c r="BB77" s="127" t="str">
        <f ca="1">IF($G$33=$BB$22,_xll.DBRA(Server&amp;$BA$21,$BA$48,$BD$18),_xll.DBRA(Server&amp;$H$11,$I$11,$BD$18))</f>
        <v>Estimé 2 N-1</v>
      </c>
      <c r="BC77" s="3" t="str">
        <f ca="1">$I$11</f>
        <v>FC_2_TOT</v>
      </c>
      <c r="BD77" s="132" t="str">
        <f ca="1">_xll.DBRW(Server&amp;Cube1,$G$30,$G$23,$G$24,$G$29,$D$20,$G$26,$G$28,$D$19,$BF77,$BC77,$BC$76)</f>
        <v/>
      </c>
      <c r="BE77" s="151">
        <v>0</v>
      </c>
      <c r="BF77" s="149" t="str">
        <f ca="1">$I$12</f>
        <v>2012</v>
      </c>
      <c r="BG77" s="130"/>
      <c r="BH77" s="130"/>
      <c r="BI77" s="130"/>
      <c r="BJ77" s="130"/>
      <c r="BK77" s="130"/>
      <c r="BL77" s="130"/>
      <c r="BM77" s="5"/>
    </row>
    <row r="78" spans="1:66" s="15" customFormat="1" ht="18" customHeight="1" x14ac:dyDescent="0.2">
      <c r="A78" s="30"/>
      <c r="B78" s="41"/>
      <c r="C78" s="41"/>
      <c r="D78" s="42"/>
      <c r="E78" s="79"/>
      <c r="F78" s="120"/>
      <c r="G78" s="120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6"/>
      <c r="AQ78" s="30"/>
      <c r="AR78" s="30"/>
      <c r="AS78" s="30"/>
      <c r="BA78" s="30"/>
      <c r="BB78" s="127" t="str">
        <f ca="1">_xll.DBRA(Server&amp;$H$11,$J$11,$BD$18)</f>
        <v>Budget</v>
      </c>
      <c r="BC78" s="3" t="str">
        <f ca="1">$J$11</f>
        <v>BUDG_TOT</v>
      </c>
      <c r="BD78" s="151">
        <v>0</v>
      </c>
      <c r="BE78" s="132" t="str">
        <f ca="1">_xll.DBRW(Server&amp;Cube1,$G$30,$G$23,$G$24,$G$29,$D$20,$G$26,$G$28,$D$19,$BF78,$BC78,$BC$76)</f>
        <v/>
      </c>
      <c r="BF78" s="149" t="str">
        <f ca="1">$J$12</f>
        <v>2013</v>
      </c>
      <c r="BG78" s="130"/>
      <c r="BH78" s="130"/>
      <c r="BI78" s="130"/>
      <c r="BJ78" s="130"/>
      <c r="BK78" s="130"/>
      <c r="BL78" s="130"/>
      <c r="BM78" s="5"/>
    </row>
    <row r="79" spans="1:66" s="15" customFormat="1" ht="18" customHeight="1" x14ac:dyDescent="0.2">
      <c r="A79" s="30"/>
      <c r="B79" s="41"/>
      <c r="C79" s="41"/>
      <c r="D79" s="42"/>
      <c r="E79" s="79"/>
      <c r="F79" s="120"/>
      <c r="G79" s="120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30"/>
      <c r="AP79" s="31"/>
      <c r="AQ79" s="31"/>
      <c r="AR79" s="31"/>
      <c r="AS79" s="31"/>
      <c r="AU79" s="16"/>
      <c r="AV79" s="16"/>
      <c r="AW79" s="16"/>
      <c r="AX79" s="16"/>
      <c r="AY79" s="16"/>
      <c r="AZ79" s="16"/>
      <c r="BA79" s="16"/>
      <c r="BC79" s="30"/>
      <c r="BD79" s="130"/>
      <c r="BF79" s="130"/>
      <c r="BG79" s="130"/>
      <c r="BH79" s="130"/>
      <c r="BI79" s="130"/>
      <c r="BJ79" s="130"/>
      <c r="BK79" s="130"/>
      <c r="BL79" s="130"/>
      <c r="BM79" s="5"/>
    </row>
    <row r="80" spans="1:66" s="15" customFormat="1" ht="18" customHeight="1" x14ac:dyDescent="0.2">
      <c r="A80" s="30"/>
      <c r="B80" s="41"/>
      <c r="C80" s="41"/>
      <c r="D80" s="42"/>
      <c r="E80" s="79"/>
      <c r="F80" s="120"/>
      <c r="G80" s="120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30"/>
      <c r="AP80" s="31"/>
      <c r="AQ80" s="31"/>
      <c r="AR80" s="31"/>
      <c r="AS80" s="31"/>
      <c r="BB80" s="125" t="str">
        <f ca="1">IF($BE$57="No",_xll.DBRA(Server&amp;$BA$21,$BA$45,$BD$18),_xll.DBRA(Server&amp;$BA$21,$BA$45,$BD$18)&amp; " ("&amp;_xll.DBRA(Server&amp;$BA$21,$BA$44,$BD$18)&amp;")")</f>
        <v>Frais Environnement</v>
      </c>
      <c r="BC80" s="126" t="s">
        <v>80</v>
      </c>
      <c r="BD80" s="31"/>
      <c r="BF80" s="130"/>
      <c r="BG80" s="130"/>
      <c r="BH80" s="130"/>
      <c r="BI80" s="130"/>
      <c r="BJ80" s="130"/>
      <c r="BK80" s="130"/>
      <c r="BL80" s="130"/>
      <c r="BM80" s="5"/>
    </row>
    <row r="81" spans="1:61" s="15" customFormat="1" ht="18" customHeight="1" x14ac:dyDescent="0.2">
      <c r="A81" s="30"/>
      <c r="B81" s="41"/>
      <c r="C81" s="41"/>
      <c r="D81" s="42"/>
      <c r="E81" s="79"/>
      <c r="F81" s="120"/>
      <c r="G81" s="120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30"/>
      <c r="AQ81" s="30"/>
      <c r="AR81" s="30"/>
      <c r="AS81" s="30"/>
      <c r="BB81" s="127" t="str">
        <f ca="1">IF($G$33=$BB$22,_xll.DBRA(Server&amp;$BA$21,$BA$48,$BD$18),_xll.DBRA(Server&amp;$H$11,$I$11,$BD$18))</f>
        <v>Estimé 2 N-1</v>
      </c>
      <c r="BC81" s="3" t="str">
        <f ca="1">$I$11</f>
        <v>FC_2_TOT</v>
      </c>
      <c r="BD81" s="132" t="str">
        <f ca="1">_xll.DBRW(Server&amp;Cube1,$G$30,$G$23,$G$24,$G$29,$D$20,$G$26,$G$28,$D$19,$BF81,$BC81,$BC$80)</f>
        <v/>
      </c>
      <c r="BE81" s="151">
        <v>0</v>
      </c>
      <c r="BF81" s="149" t="str">
        <f ca="1">$I$12</f>
        <v>2012</v>
      </c>
      <c r="BG81" s="130"/>
      <c r="BH81" s="130"/>
      <c r="BI81" s="130"/>
    </row>
    <row r="82" spans="1:61" s="15" customFormat="1" ht="18" customHeight="1" x14ac:dyDescent="0.2">
      <c r="A82" s="30"/>
      <c r="B82" s="41"/>
      <c r="C82" s="41"/>
      <c r="D82" s="42"/>
      <c r="E82" s="79"/>
      <c r="F82" s="120"/>
      <c r="G82" s="120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30"/>
      <c r="AQ82" s="30"/>
      <c r="AR82" s="30"/>
      <c r="AS82" s="30"/>
      <c r="BB82" s="127" t="str">
        <f ca="1">_xll.DBRA(Server&amp;$H$11,$J$11,$BD$18)</f>
        <v>Budget</v>
      </c>
      <c r="BC82" s="3" t="str">
        <f ca="1">$J$11</f>
        <v>BUDG_TOT</v>
      </c>
      <c r="BD82" s="151">
        <v>0</v>
      </c>
      <c r="BE82" s="132" t="str">
        <f ca="1">_xll.DBRW(Server&amp;Cube1,$G$30,$G$23,$G$24,$G$29,$D$20,$G$26,$G$28,$D$19,$BF82,$BC82,$BC$80)</f>
        <v/>
      </c>
      <c r="BF82" s="149" t="str">
        <f ca="1">$J$12</f>
        <v>2013</v>
      </c>
      <c r="BG82" s="130"/>
      <c r="BH82" s="130"/>
      <c r="BI82" s="130"/>
    </row>
    <row r="83" spans="1:61" s="15" customFormat="1" ht="18" customHeight="1" x14ac:dyDescent="0.2">
      <c r="A83" s="30"/>
      <c r="E83" s="30"/>
      <c r="F83" s="120"/>
      <c r="G83" s="120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30"/>
      <c r="AQ83" s="30"/>
      <c r="AR83" s="30"/>
      <c r="AS83" s="30"/>
      <c r="BE83" s="130"/>
      <c r="BF83" s="130"/>
      <c r="BG83" s="130"/>
      <c r="BH83" s="130"/>
      <c r="BI83" s="130"/>
    </row>
    <row r="84" spans="1:61" s="15" customFormat="1" ht="18" customHeight="1" x14ac:dyDescent="0.2">
      <c r="A84" s="30"/>
      <c r="E84" s="30"/>
      <c r="F84" s="124"/>
      <c r="G84" s="120"/>
      <c r="H84" s="120"/>
      <c r="I84" s="121"/>
      <c r="J84" s="120"/>
      <c r="K84" s="120"/>
      <c r="L84" s="120"/>
      <c r="M84" s="120"/>
      <c r="N84" s="121"/>
      <c r="O84" s="121"/>
      <c r="P84" s="121"/>
      <c r="Q84" s="121"/>
      <c r="R84" s="121"/>
      <c r="S84" s="121"/>
      <c r="T84" s="120"/>
      <c r="U84" s="120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30"/>
      <c r="AQ84" s="30"/>
      <c r="AR84" s="30"/>
      <c r="AS84" s="30"/>
      <c r="BE84" s="130"/>
      <c r="BF84" s="130"/>
      <c r="BG84" s="130"/>
      <c r="BH84" s="130"/>
      <c r="BI84" s="130"/>
    </row>
    <row r="85" spans="1:61" s="15" customFormat="1" ht="18" customHeight="1" x14ac:dyDescent="0.2">
      <c r="A85" s="30"/>
      <c r="E85" s="30"/>
      <c r="F85" s="124"/>
      <c r="G85" s="120"/>
      <c r="H85" s="120"/>
      <c r="I85" s="121"/>
      <c r="J85" s="120"/>
      <c r="K85" s="120"/>
      <c r="L85" s="120"/>
      <c r="M85" s="120"/>
      <c r="N85" s="121"/>
      <c r="O85" s="121"/>
      <c r="P85" s="121"/>
      <c r="Q85" s="121"/>
      <c r="R85" s="121"/>
      <c r="S85" s="121"/>
      <c r="T85" s="120"/>
      <c r="U85" s="120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30"/>
      <c r="AQ85" s="30"/>
      <c r="AR85" s="30"/>
      <c r="AS85" s="30"/>
    </row>
    <row r="86" spans="1:61" s="15" customFormat="1" ht="18" customHeight="1" x14ac:dyDescent="0.2">
      <c r="A86" s="30"/>
      <c r="E86" s="30"/>
      <c r="F86" s="124"/>
      <c r="G86" s="120"/>
      <c r="H86" s="120"/>
      <c r="I86" s="121"/>
      <c r="J86" s="120"/>
      <c r="K86" s="120"/>
      <c r="L86" s="120"/>
      <c r="M86" s="120"/>
      <c r="N86" s="121"/>
      <c r="O86" s="121"/>
      <c r="P86" s="121"/>
      <c r="Q86" s="121"/>
      <c r="R86" s="121"/>
      <c r="S86" s="121"/>
      <c r="T86" s="120"/>
      <c r="U86" s="120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30"/>
      <c r="AQ86" s="30"/>
      <c r="AR86" s="30"/>
      <c r="AS86" s="30"/>
    </row>
    <row r="87" spans="1:61" s="15" customFormat="1" ht="18" customHeight="1" x14ac:dyDescent="0.2">
      <c r="A87" s="30"/>
      <c r="E87" s="30"/>
      <c r="F87" s="124"/>
      <c r="G87" s="120"/>
      <c r="H87" s="120"/>
      <c r="I87" s="121"/>
      <c r="J87" s="120"/>
      <c r="K87" s="120"/>
      <c r="L87" s="120"/>
      <c r="M87" s="120"/>
      <c r="N87" s="121"/>
      <c r="O87" s="121"/>
      <c r="P87" s="121"/>
      <c r="Q87" s="121"/>
      <c r="R87" s="121"/>
      <c r="S87" s="121"/>
      <c r="T87" s="120"/>
      <c r="U87" s="120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30"/>
      <c r="AQ87" s="30"/>
      <c r="AR87" s="30"/>
      <c r="AS87" s="30"/>
    </row>
    <row r="88" spans="1:61" s="15" customFormat="1" ht="18" customHeight="1" x14ac:dyDescent="0.2">
      <c r="A88" s="30"/>
      <c r="E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Q88" s="30"/>
      <c r="AR88" s="30"/>
      <c r="AS88" s="30"/>
    </row>
    <row r="89" spans="1:61" s="15" customFormat="1" ht="18" customHeight="1" x14ac:dyDescent="0.2">
      <c r="A89" s="30"/>
      <c r="E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Q89" s="30"/>
      <c r="AR89" s="30"/>
      <c r="AS89" s="30"/>
    </row>
    <row r="90" spans="1:61" s="15" customFormat="1" ht="18" customHeight="1" x14ac:dyDescent="0.2">
      <c r="A90" s="30"/>
      <c r="E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Q90" s="30"/>
      <c r="AR90" s="30"/>
      <c r="AS90" s="30"/>
    </row>
    <row r="91" spans="1:61" s="15" customFormat="1" ht="18" customHeight="1" x14ac:dyDescent="0.2">
      <c r="A91" s="30"/>
      <c r="E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Q91" s="30"/>
      <c r="AR91" s="30"/>
      <c r="AS91" s="30"/>
    </row>
    <row r="92" spans="1:61" s="15" customFormat="1" ht="18" customHeight="1" x14ac:dyDescent="0.2">
      <c r="A92" s="30"/>
      <c r="E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Q92" s="30"/>
      <c r="AR92" s="30"/>
      <c r="AS92" s="30"/>
    </row>
    <row r="93" spans="1:61" s="15" customFormat="1" ht="18" customHeight="1" x14ac:dyDescent="0.2">
      <c r="A93" s="30"/>
      <c r="E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Q93" s="30"/>
      <c r="AR93" s="30"/>
      <c r="AS93" s="30"/>
    </row>
    <row r="94" spans="1:61" s="15" customFormat="1" ht="18" customHeight="1" x14ac:dyDescent="0.2">
      <c r="A94" s="30"/>
      <c r="D94" s="31"/>
      <c r="E94" s="31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Q94" s="30"/>
      <c r="AR94" s="30"/>
      <c r="AS94" s="30"/>
    </row>
    <row r="95" spans="1:61" s="15" customFormat="1" ht="18" customHeight="1" x14ac:dyDescent="0.2">
      <c r="A95" s="30"/>
      <c r="E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Q95" s="30"/>
      <c r="AR95" s="30"/>
      <c r="AS95" s="30"/>
    </row>
    <row r="96" spans="1:61" s="15" customFormat="1" ht="18" customHeight="1" x14ac:dyDescent="0.2">
      <c r="A96" s="30"/>
      <c r="E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Q96" s="30"/>
      <c r="AR96" s="30"/>
      <c r="AS96" s="30"/>
    </row>
    <row r="97" spans="1:45" s="15" customFormat="1" ht="18" customHeight="1" x14ac:dyDescent="0.2">
      <c r="A97" s="30"/>
      <c r="E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Q97" s="30"/>
      <c r="AR97" s="30"/>
      <c r="AS97" s="30"/>
    </row>
    <row r="98" spans="1:45" s="15" customFormat="1" ht="18" customHeight="1" x14ac:dyDescent="0.2">
      <c r="A98" s="30"/>
      <c r="E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Q98" s="30"/>
      <c r="AR98" s="30"/>
      <c r="AS98" s="30"/>
    </row>
    <row r="99" spans="1:45" s="15" customFormat="1" ht="18" customHeight="1" x14ac:dyDescent="0.2">
      <c r="A99" s="30"/>
      <c r="E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Q99" s="30"/>
      <c r="AR99" s="30"/>
      <c r="AS99" s="30"/>
    </row>
    <row r="100" spans="1:45" s="15" customFormat="1" ht="18" customHeight="1" x14ac:dyDescent="0.2">
      <c r="A100" s="30"/>
      <c r="E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Q100" s="30"/>
      <c r="AR100" s="30"/>
      <c r="AS100" s="30"/>
    </row>
    <row r="101" spans="1:45" s="15" customFormat="1" ht="18" customHeight="1" x14ac:dyDescent="0.2">
      <c r="A101" s="30"/>
      <c r="E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Q101" s="30"/>
      <c r="AR101" s="30"/>
      <c r="AS101" s="30"/>
    </row>
    <row r="102" spans="1:45" s="15" customFormat="1" ht="18" customHeight="1" x14ac:dyDescent="0.2">
      <c r="A102" s="30"/>
      <c r="E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Q102" s="30"/>
      <c r="AR102" s="30"/>
      <c r="AS102" s="30"/>
    </row>
    <row r="103" spans="1:45" s="15" customFormat="1" ht="18" customHeight="1" x14ac:dyDescent="0.2">
      <c r="A103" s="30"/>
      <c r="E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Q103" s="30"/>
      <c r="AR103" s="30"/>
      <c r="AS103" s="30"/>
    </row>
    <row r="104" spans="1:45" s="15" customFormat="1" ht="18" customHeight="1" x14ac:dyDescent="0.2">
      <c r="A104" s="30"/>
      <c r="E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Q104" s="30"/>
      <c r="AR104" s="30"/>
      <c r="AS104" s="30"/>
    </row>
    <row r="105" spans="1:45" s="15" customFormat="1" ht="18" customHeight="1" x14ac:dyDescent="0.2">
      <c r="A105" s="30"/>
      <c r="E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Q105" s="30"/>
      <c r="AR105" s="30"/>
      <c r="AS105" s="30"/>
    </row>
    <row r="106" spans="1:45" s="15" customFormat="1" ht="18" customHeight="1" x14ac:dyDescent="0.2">
      <c r="A106" s="30"/>
      <c r="E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Q106" s="30"/>
      <c r="AR106" s="30"/>
      <c r="AS106" s="30"/>
    </row>
    <row r="107" spans="1:45" s="15" customFormat="1" ht="18" customHeight="1" x14ac:dyDescent="0.2">
      <c r="A107" s="30"/>
      <c r="E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Q107" s="30"/>
      <c r="AR107" s="30"/>
      <c r="AS107" s="30"/>
    </row>
    <row r="108" spans="1:45" s="15" customFormat="1" ht="18" customHeight="1" x14ac:dyDescent="0.2">
      <c r="A108" s="30"/>
      <c r="E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Q108" s="30"/>
      <c r="AR108" s="30"/>
      <c r="AS108" s="30"/>
    </row>
    <row r="109" spans="1:45" s="15" customFormat="1" ht="18" customHeight="1" x14ac:dyDescent="0.2">
      <c r="A109" s="30"/>
      <c r="E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Q109" s="30"/>
      <c r="AR109" s="30"/>
      <c r="AS109" s="30"/>
    </row>
    <row r="110" spans="1:45" s="15" customFormat="1" ht="18" customHeight="1" x14ac:dyDescent="0.2">
      <c r="A110" s="30"/>
      <c r="E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Q110" s="30"/>
      <c r="AR110" s="30"/>
      <c r="AS110" s="30"/>
    </row>
    <row r="111" spans="1:45" s="15" customFormat="1" ht="18" customHeight="1" x14ac:dyDescent="0.2">
      <c r="A111" s="30"/>
      <c r="E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Q111" s="30"/>
      <c r="AR111" s="30"/>
      <c r="AS111" s="30"/>
    </row>
    <row r="112" spans="1:45" s="15" customFormat="1" ht="18" customHeight="1" x14ac:dyDescent="0.2">
      <c r="A112" s="30"/>
      <c r="E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Q112" s="30"/>
      <c r="AR112" s="30"/>
      <c r="AS112" s="30"/>
    </row>
    <row r="113" spans="1:45" s="15" customFormat="1" ht="18" customHeight="1" x14ac:dyDescent="0.2">
      <c r="A113" s="30"/>
      <c r="E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Q113" s="30"/>
      <c r="AR113" s="30"/>
      <c r="AS113" s="30"/>
    </row>
    <row r="114" spans="1:45" s="15" customFormat="1" ht="18" customHeight="1" x14ac:dyDescent="0.2">
      <c r="A114" s="30"/>
      <c r="E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Q114" s="30"/>
      <c r="AR114" s="30"/>
      <c r="AS114" s="30"/>
    </row>
    <row r="115" spans="1:45" s="15" customFormat="1" ht="18" customHeight="1" x14ac:dyDescent="0.2">
      <c r="A115" s="30"/>
      <c r="E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Q115" s="30"/>
      <c r="AR115" s="30"/>
      <c r="AS115" s="30"/>
    </row>
    <row r="116" spans="1:45" s="15" customFormat="1" ht="18" customHeight="1" x14ac:dyDescent="0.2">
      <c r="A116" s="30"/>
      <c r="E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Q116" s="30"/>
      <c r="AR116" s="30"/>
      <c r="AS116" s="30"/>
    </row>
    <row r="117" spans="1:45" s="15" customFormat="1" ht="18" customHeight="1" x14ac:dyDescent="0.2">
      <c r="A117" s="30"/>
      <c r="E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Q117" s="30"/>
      <c r="AR117" s="30"/>
      <c r="AS117" s="30"/>
    </row>
    <row r="118" spans="1:45" s="15" customFormat="1" ht="18" customHeight="1" x14ac:dyDescent="0.2">
      <c r="A118" s="30"/>
      <c r="E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Q118" s="30"/>
      <c r="AR118" s="30"/>
      <c r="AS118" s="30"/>
    </row>
    <row r="119" spans="1:45" s="15" customFormat="1" ht="18" customHeight="1" x14ac:dyDescent="0.2">
      <c r="A119" s="30"/>
      <c r="E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Q119" s="30"/>
      <c r="AR119" s="30"/>
      <c r="AS119" s="30"/>
    </row>
    <row r="120" spans="1:45" s="15" customFormat="1" ht="18" customHeight="1" x14ac:dyDescent="0.2">
      <c r="A120" s="30"/>
      <c r="E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Q120" s="30"/>
      <c r="AR120" s="30"/>
      <c r="AS120" s="30"/>
    </row>
    <row r="121" spans="1:45" s="15" customFormat="1" ht="18" customHeight="1" x14ac:dyDescent="0.2">
      <c r="A121" s="30"/>
      <c r="E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Q121" s="30"/>
      <c r="AR121" s="30"/>
      <c r="AS121" s="30"/>
    </row>
    <row r="122" spans="1:45" s="15" customFormat="1" ht="18" customHeight="1" x14ac:dyDescent="0.2">
      <c r="A122" s="30"/>
      <c r="E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Q122" s="30"/>
      <c r="AR122" s="30"/>
      <c r="AS122" s="30"/>
    </row>
    <row r="123" spans="1:45" s="15" customFormat="1" ht="18" customHeight="1" x14ac:dyDescent="0.2">
      <c r="A123" s="30"/>
      <c r="E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Q123" s="30"/>
      <c r="AR123" s="30"/>
      <c r="AS123" s="30"/>
    </row>
    <row r="124" spans="1:45" s="15" customFormat="1" ht="18" customHeight="1" x14ac:dyDescent="0.2">
      <c r="A124" s="30"/>
      <c r="E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Q124" s="30"/>
      <c r="AR124" s="30"/>
      <c r="AS124" s="30"/>
    </row>
    <row r="125" spans="1:45" s="15" customFormat="1" ht="18" customHeight="1" x14ac:dyDescent="0.2">
      <c r="A125" s="30"/>
      <c r="E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Q125" s="30"/>
      <c r="AR125" s="30"/>
      <c r="AS125" s="30"/>
    </row>
    <row r="126" spans="1:45" s="15" customFormat="1" ht="18" customHeight="1" x14ac:dyDescent="0.2">
      <c r="A126" s="30"/>
      <c r="E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Q126" s="30"/>
      <c r="AR126" s="30"/>
      <c r="AS126" s="30"/>
    </row>
    <row r="127" spans="1:45" s="15" customFormat="1" ht="18" customHeight="1" x14ac:dyDescent="0.2">
      <c r="A127" s="30"/>
      <c r="E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Q127" s="30"/>
      <c r="AR127" s="30"/>
      <c r="AS127" s="30"/>
    </row>
    <row r="128" spans="1:45" s="15" customFormat="1" ht="18" customHeight="1" x14ac:dyDescent="0.2">
      <c r="A128" s="30"/>
      <c r="E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Q128" s="30"/>
      <c r="AR128" s="30"/>
      <c r="AS128" s="30"/>
    </row>
    <row r="129" spans="1:45" s="15" customFormat="1" ht="18" customHeight="1" x14ac:dyDescent="0.2">
      <c r="A129" s="30"/>
      <c r="E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Q129" s="30"/>
      <c r="AR129" s="30"/>
      <c r="AS129" s="30"/>
    </row>
    <row r="130" spans="1:45" s="15" customFormat="1" ht="18" customHeight="1" x14ac:dyDescent="0.2">
      <c r="A130" s="30"/>
      <c r="E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Q130" s="30"/>
      <c r="AR130" s="30"/>
      <c r="AS130" s="30"/>
    </row>
    <row r="131" spans="1:45" s="15" customFormat="1" ht="18" customHeight="1" x14ac:dyDescent="0.2">
      <c r="A131" s="30"/>
      <c r="E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Q131" s="30"/>
      <c r="AR131" s="30"/>
      <c r="AS131" s="30"/>
    </row>
    <row r="132" spans="1:45" s="15" customFormat="1" ht="18" customHeight="1" x14ac:dyDescent="0.2">
      <c r="A132" s="30"/>
      <c r="E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Q132" s="30"/>
      <c r="AR132" s="30"/>
      <c r="AS132" s="30"/>
    </row>
    <row r="133" spans="1:45" s="15" customFormat="1" ht="18" customHeight="1" x14ac:dyDescent="0.2">
      <c r="A133" s="30"/>
      <c r="E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Q133" s="30"/>
      <c r="AR133" s="30"/>
      <c r="AS133" s="30"/>
    </row>
    <row r="134" spans="1:45" s="15" customFormat="1" ht="18" customHeight="1" x14ac:dyDescent="0.2">
      <c r="A134" s="30"/>
      <c r="E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Q134" s="30"/>
      <c r="AR134" s="30"/>
      <c r="AS134" s="30"/>
    </row>
    <row r="135" spans="1:45" s="15" customFormat="1" ht="18" customHeight="1" x14ac:dyDescent="0.2">
      <c r="A135" s="30"/>
      <c r="E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Q135" s="30"/>
      <c r="AR135" s="30"/>
      <c r="AS135" s="30"/>
    </row>
    <row r="136" spans="1:45" s="15" customFormat="1" ht="18" customHeight="1" x14ac:dyDescent="0.2">
      <c r="A136" s="30"/>
      <c r="E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Q136" s="30"/>
      <c r="AR136" s="30"/>
      <c r="AS136" s="30"/>
    </row>
    <row r="137" spans="1:45" s="15" customFormat="1" ht="18" customHeight="1" x14ac:dyDescent="0.2">
      <c r="A137" s="30"/>
      <c r="E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Q137" s="30"/>
      <c r="AR137" s="30"/>
      <c r="AS137" s="30"/>
    </row>
    <row r="138" spans="1:45" s="15" customFormat="1" ht="18" customHeight="1" x14ac:dyDescent="0.2">
      <c r="A138" s="30"/>
      <c r="E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Q138" s="30"/>
      <c r="AR138" s="30"/>
      <c r="AS138" s="30"/>
    </row>
    <row r="139" spans="1:45" s="15" customFormat="1" ht="18" customHeight="1" x14ac:dyDescent="0.2">
      <c r="A139" s="30"/>
      <c r="E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Q139" s="30"/>
      <c r="AR139" s="30"/>
      <c r="AS139" s="30"/>
    </row>
    <row r="140" spans="1:45" s="15" customFormat="1" ht="18" customHeight="1" x14ac:dyDescent="0.2">
      <c r="A140" s="30"/>
      <c r="E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Q140" s="30"/>
      <c r="AR140" s="30"/>
      <c r="AS140" s="30"/>
    </row>
    <row r="141" spans="1:45" s="15" customFormat="1" ht="18" customHeight="1" x14ac:dyDescent="0.2">
      <c r="A141" s="30"/>
      <c r="E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Q141" s="30"/>
      <c r="AR141" s="30"/>
      <c r="AS141" s="30"/>
    </row>
    <row r="142" spans="1:45" s="15" customFormat="1" ht="18" customHeight="1" x14ac:dyDescent="0.2">
      <c r="A142" s="30"/>
      <c r="E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Q142" s="30"/>
      <c r="AR142" s="30"/>
      <c r="AS142" s="30"/>
    </row>
    <row r="143" spans="1:45" s="15" customFormat="1" ht="18" customHeight="1" x14ac:dyDescent="0.2">
      <c r="A143" s="30"/>
      <c r="E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Q143" s="30"/>
      <c r="AR143" s="30"/>
      <c r="AS143" s="30"/>
    </row>
    <row r="144" spans="1:45" s="15" customFormat="1" ht="18" customHeight="1" x14ac:dyDescent="0.2">
      <c r="A144" s="30"/>
      <c r="E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Q144" s="30"/>
      <c r="AR144" s="30"/>
      <c r="AS144" s="30"/>
    </row>
    <row r="145" spans="1:45" s="15" customFormat="1" ht="18" customHeight="1" x14ac:dyDescent="0.2">
      <c r="A145" s="30"/>
      <c r="E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Q145" s="30"/>
      <c r="AR145" s="30"/>
      <c r="AS145" s="30"/>
    </row>
    <row r="146" spans="1:45" s="15" customFormat="1" ht="18" customHeight="1" x14ac:dyDescent="0.2">
      <c r="A146" s="30"/>
      <c r="E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Q146" s="30"/>
      <c r="AR146" s="30"/>
      <c r="AS146" s="30"/>
    </row>
    <row r="147" spans="1:45" s="15" customFormat="1" ht="18" customHeight="1" x14ac:dyDescent="0.2">
      <c r="A147" s="30"/>
      <c r="E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Q147" s="30"/>
      <c r="AR147" s="30"/>
      <c r="AS147" s="30"/>
    </row>
    <row r="148" spans="1:45" s="15" customFormat="1" ht="18" customHeight="1" x14ac:dyDescent="0.2">
      <c r="A148" s="30"/>
      <c r="E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Q148" s="30"/>
      <c r="AR148" s="30"/>
      <c r="AS148" s="30"/>
    </row>
    <row r="149" spans="1:45" s="15" customFormat="1" ht="18" customHeight="1" x14ac:dyDescent="0.2">
      <c r="A149" s="30"/>
      <c r="E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Q149" s="30"/>
      <c r="AR149" s="30"/>
      <c r="AS149" s="30"/>
    </row>
    <row r="150" spans="1:45" s="15" customFormat="1" ht="18" customHeight="1" x14ac:dyDescent="0.2">
      <c r="A150" s="30"/>
      <c r="E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Q150" s="30"/>
      <c r="AR150" s="30"/>
      <c r="AS150" s="30"/>
    </row>
    <row r="151" spans="1:45" s="15" customFormat="1" ht="18" customHeight="1" x14ac:dyDescent="0.2">
      <c r="A151" s="30"/>
      <c r="E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Q151" s="30"/>
      <c r="AR151" s="30"/>
      <c r="AS151" s="30"/>
    </row>
    <row r="152" spans="1:45" s="15" customFormat="1" ht="18" customHeight="1" x14ac:dyDescent="0.2">
      <c r="A152" s="30"/>
      <c r="E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Q152" s="30"/>
      <c r="AR152" s="30"/>
      <c r="AS152" s="30"/>
    </row>
    <row r="153" spans="1:45" s="15" customFormat="1" ht="18" customHeight="1" x14ac:dyDescent="0.2">
      <c r="A153" s="30"/>
      <c r="E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Q153" s="30"/>
      <c r="AR153" s="30"/>
      <c r="AS153" s="30"/>
    </row>
    <row r="154" spans="1:45" s="15" customFormat="1" ht="18" customHeight="1" x14ac:dyDescent="0.2">
      <c r="A154" s="30"/>
      <c r="E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Q154" s="30"/>
      <c r="AR154" s="30"/>
      <c r="AS154" s="30"/>
    </row>
    <row r="155" spans="1:45" s="15" customFormat="1" ht="18" customHeight="1" x14ac:dyDescent="0.2">
      <c r="A155" s="30"/>
      <c r="E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Q155" s="30"/>
      <c r="AR155" s="30"/>
      <c r="AS155" s="30"/>
    </row>
    <row r="156" spans="1:45" s="15" customFormat="1" ht="18" customHeight="1" x14ac:dyDescent="0.2">
      <c r="A156" s="30"/>
      <c r="E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Q156" s="30"/>
      <c r="AR156" s="30"/>
      <c r="AS156" s="30"/>
    </row>
  </sheetData>
  <sheetProtection formatColumns="0" formatRows="0"/>
  <protectedRanges>
    <protectedRange sqref="G57:AI59" name="Commentaires"/>
  </protectedRanges>
  <mergeCells count="21">
    <mergeCell ref="K11:L11"/>
    <mergeCell ref="Q33:R33"/>
    <mergeCell ref="W33:X33"/>
    <mergeCell ref="AC33:AD33"/>
    <mergeCell ref="H19:AI20"/>
    <mergeCell ref="BF30:BH30"/>
    <mergeCell ref="AS30:AS32"/>
    <mergeCell ref="AP35:AQ35"/>
    <mergeCell ref="F35:G35"/>
    <mergeCell ref="AJ19:AK20"/>
    <mergeCell ref="AL33:AM33"/>
    <mergeCell ref="K33:L33"/>
    <mergeCell ref="F57:AL57"/>
    <mergeCell ref="F58:AL58"/>
    <mergeCell ref="F59:AL59"/>
    <mergeCell ref="F60:AL60"/>
    <mergeCell ref="AJ31:AL32"/>
    <mergeCell ref="AA31:AC32"/>
    <mergeCell ref="U31:W32"/>
    <mergeCell ref="O31:Q32"/>
    <mergeCell ref="I31:K32"/>
  </mergeCells>
  <phoneticPr fontId="0" type="noConversion"/>
  <conditionalFormatting sqref="AN35">
    <cfRule type="cellIs" dxfId="44" priority="6876" operator="equal">
      <formula>$BF$32</formula>
    </cfRule>
  </conditionalFormatting>
  <conditionalFormatting sqref="AN35">
    <cfRule type="cellIs" dxfId="43" priority="6875" operator="equal">
      <formula>$BG$32</formula>
    </cfRule>
  </conditionalFormatting>
  <conditionalFormatting sqref="AN35">
    <cfRule type="cellIs" dxfId="42" priority="6874" operator="equal">
      <formula>$BH$32</formula>
    </cfRule>
  </conditionalFormatting>
  <conditionalFormatting sqref="M2:M7">
    <cfRule type="cellIs" dxfId="41" priority="5655" operator="equal">
      <formula>$BF$32</formula>
    </cfRule>
  </conditionalFormatting>
  <conditionalFormatting sqref="M2:M7">
    <cfRule type="cellIs" dxfId="40" priority="5654" operator="equal">
      <formula>$BG$32</formula>
    </cfRule>
  </conditionalFormatting>
  <conditionalFormatting sqref="M2:M7">
    <cfRule type="cellIs" dxfId="39" priority="5653" operator="equal">
      <formula>$BH$32</formula>
    </cfRule>
  </conditionalFormatting>
  <conditionalFormatting sqref="M35">
    <cfRule type="cellIs" dxfId="38" priority="5658" operator="equal">
      <formula>$BF$32</formula>
    </cfRule>
  </conditionalFormatting>
  <conditionalFormatting sqref="M35">
    <cfRule type="cellIs" dxfId="37" priority="5657" operator="equal">
      <formula>$BG$32</formula>
    </cfRule>
  </conditionalFormatting>
  <conditionalFormatting sqref="M35">
    <cfRule type="cellIs" dxfId="36" priority="5656" operator="equal">
      <formula>$BH$32</formula>
    </cfRule>
  </conditionalFormatting>
  <conditionalFormatting sqref="S35">
    <cfRule type="cellIs" dxfId="35" priority="5559" operator="equal">
      <formula>$BF$32</formula>
    </cfRule>
  </conditionalFormatting>
  <conditionalFormatting sqref="S35">
    <cfRule type="cellIs" dxfId="34" priority="5558" operator="equal">
      <formula>$BG$32</formula>
    </cfRule>
  </conditionalFormatting>
  <conditionalFormatting sqref="S35">
    <cfRule type="cellIs" dxfId="33" priority="5557" operator="equal">
      <formula>$BH$32</formula>
    </cfRule>
  </conditionalFormatting>
  <conditionalFormatting sqref="Y35">
    <cfRule type="cellIs" dxfId="32" priority="5556" operator="equal">
      <formula>$BF$32</formula>
    </cfRule>
  </conditionalFormatting>
  <conditionalFormatting sqref="Y35">
    <cfRule type="cellIs" dxfId="31" priority="5555" operator="equal">
      <formula>$BG$32</formula>
    </cfRule>
  </conditionalFormatting>
  <conditionalFormatting sqref="Y35">
    <cfRule type="cellIs" dxfId="30" priority="5554" operator="equal">
      <formula>$BH$32</formula>
    </cfRule>
  </conditionalFormatting>
  <conditionalFormatting sqref="AE35">
    <cfRule type="cellIs" dxfId="29" priority="5553" operator="equal">
      <formula>$BF$32</formula>
    </cfRule>
  </conditionalFormatting>
  <conditionalFormatting sqref="AE35">
    <cfRule type="cellIs" dxfId="28" priority="5552" operator="equal">
      <formula>$BG$32</formula>
    </cfRule>
  </conditionalFormatting>
  <conditionalFormatting sqref="AE35">
    <cfRule type="cellIs" dxfId="27" priority="5551" operator="equal">
      <formula>$BH$32</formula>
    </cfRule>
  </conditionalFormatting>
  <conditionalFormatting sqref="S2:S7">
    <cfRule type="cellIs" dxfId="26" priority="5427" operator="equal">
      <formula>$BF$32</formula>
    </cfRule>
  </conditionalFormatting>
  <conditionalFormatting sqref="S2:S7">
    <cfRule type="cellIs" dxfId="25" priority="5426" operator="equal">
      <formula>$BG$32</formula>
    </cfRule>
  </conditionalFormatting>
  <conditionalFormatting sqref="S2:S7">
    <cfRule type="cellIs" dxfId="24" priority="5425" operator="equal">
      <formula>$BH$32</formula>
    </cfRule>
  </conditionalFormatting>
  <conditionalFormatting sqref="AE2:AE7">
    <cfRule type="cellIs" dxfId="23" priority="5304" operator="equal">
      <formula>$BF$32</formula>
    </cfRule>
  </conditionalFormatting>
  <conditionalFormatting sqref="AE2:AE7">
    <cfRule type="cellIs" dxfId="22" priority="5303" operator="equal">
      <formula>$BG$32</formula>
    </cfRule>
  </conditionalFormatting>
  <conditionalFormatting sqref="AE2:AE7">
    <cfRule type="cellIs" dxfId="21" priority="5302" operator="equal">
      <formula>$BH$32</formula>
    </cfRule>
  </conditionalFormatting>
  <conditionalFormatting sqref="AN2:AN7">
    <cfRule type="cellIs" dxfId="20" priority="5229" operator="equal">
      <formula>$BF$32</formula>
    </cfRule>
  </conditionalFormatting>
  <conditionalFormatting sqref="AN2:AN7">
    <cfRule type="cellIs" dxfId="19" priority="5228" operator="equal">
      <formula>$BG$32</formula>
    </cfRule>
  </conditionalFormatting>
  <conditionalFormatting sqref="AN2:AN7">
    <cfRule type="cellIs" dxfId="18" priority="5227" operator="equal">
      <formula>$BH$32</formula>
    </cfRule>
  </conditionalFormatting>
  <conditionalFormatting sqref="Y2:Y7">
    <cfRule type="cellIs" dxfId="17" priority="5373" operator="equal">
      <formula>$BF$32</formula>
    </cfRule>
  </conditionalFormatting>
  <conditionalFormatting sqref="Y2:Y7">
    <cfRule type="cellIs" dxfId="16" priority="5372" operator="equal">
      <formula>$BG$32</formula>
    </cfRule>
  </conditionalFormatting>
  <conditionalFormatting sqref="Y2:Y7">
    <cfRule type="cellIs" dxfId="15" priority="5371" operator="equal">
      <formula>$BH$32</formula>
    </cfRule>
  </conditionalFormatting>
  <conditionalFormatting sqref="M52">
    <cfRule type="cellIs" dxfId="14" priority="15" operator="equal">
      <formula>$BF$32</formula>
    </cfRule>
  </conditionalFormatting>
  <conditionalFormatting sqref="M52">
    <cfRule type="cellIs" dxfId="13" priority="14" operator="equal">
      <formula>$BG$32</formula>
    </cfRule>
  </conditionalFormatting>
  <conditionalFormatting sqref="M52">
    <cfRule type="cellIs" dxfId="12" priority="13" operator="equal">
      <formula>$BH$32</formula>
    </cfRule>
  </conditionalFormatting>
  <conditionalFormatting sqref="S52">
    <cfRule type="cellIs" dxfId="11" priority="12" operator="equal">
      <formula>$BF$32</formula>
    </cfRule>
  </conditionalFormatting>
  <conditionalFormatting sqref="S52">
    <cfRule type="cellIs" dxfId="10" priority="11" operator="equal">
      <formula>$BG$32</formula>
    </cfRule>
  </conditionalFormatting>
  <conditionalFormatting sqref="S52">
    <cfRule type="cellIs" dxfId="9" priority="10" operator="equal">
      <formula>$BH$32</formula>
    </cfRule>
  </conditionalFormatting>
  <conditionalFormatting sqref="AE52">
    <cfRule type="cellIs" dxfId="8" priority="6" operator="equal">
      <formula>$BF$32</formula>
    </cfRule>
  </conditionalFormatting>
  <conditionalFormatting sqref="AE52">
    <cfRule type="cellIs" dxfId="7" priority="5" operator="equal">
      <formula>$BG$32</formula>
    </cfRule>
  </conditionalFormatting>
  <conditionalFormatting sqref="AE52">
    <cfRule type="cellIs" dxfId="6" priority="4" operator="equal">
      <formula>$BH$32</formula>
    </cfRule>
  </conditionalFormatting>
  <conditionalFormatting sqref="AN52">
    <cfRule type="cellIs" dxfId="5" priority="3" operator="equal">
      <formula>$BF$32</formula>
    </cfRule>
  </conditionalFormatting>
  <conditionalFormatting sqref="AN52">
    <cfRule type="cellIs" dxfId="4" priority="2" operator="equal">
      <formula>$BG$32</formula>
    </cfRule>
  </conditionalFormatting>
  <conditionalFormatting sqref="AN52">
    <cfRule type="cellIs" dxfId="3" priority="1" operator="equal">
      <formula>$BH$32</formula>
    </cfRule>
  </conditionalFormatting>
  <conditionalFormatting sqref="Y52">
    <cfRule type="cellIs" dxfId="2" priority="9" operator="equal">
      <formula>$BF$32</formula>
    </cfRule>
  </conditionalFormatting>
  <conditionalFormatting sqref="Y52">
    <cfRule type="cellIs" dxfId="1" priority="8" operator="equal">
      <formula>$BG$32</formula>
    </cfRule>
  </conditionalFormatting>
  <conditionalFormatting sqref="Y52">
    <cfRule type="cellIs" dxfId="0" priority="7" operator="equal">
      <formula>$BH$32</formula>
    </cfRule>
  </conditionalFormatting>
  <dataValidations count="2">
    <dataValidation type="list" allowBlank="1" showInputMessage="1" showErrorMessage="1" sqref="AQ30:AR31 G25">
      <formula1>Language</formula1>
    </dataValidation>
    <dataValidation type="list" allowBlank="1" showInputMessage="1" showErrorMessage="1" sqref="G33 AQ33">
      <formula1>$BB$22:$BB$24</formula1>
    </dataValidation>
  </dataValidations>
  <printOptions horizontalCentered="1"/>
  <pageMargins left="0" right="0" top="0" bottom="7.874015748031496E-2" header="0.35433070866141736" footer="0.15748031496062992"/>
  <pageSetup paperSize="9" scale="37" orientation="landscape" r:id="rId1"/>
  <headerFooter alignWithMargins="0">
    <oddFooter>&amp;LConfidentiel&amp;C&amp;D&amp;RPage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160787" r:id="rId4" name="Refresh_Report">
          <controlPr defaultSize="0" print="0" autoLine="0" r:id="rId5">
            <anchor moveWithCells="1">
              <from>
                <xdr:col>5</xdr:col>
                <xdr:colOff>9525</xdr:colOff>
                <xdr:row>15</xdr:row>
                <xdr:rowOff>85725</xdr:rowOff>
              </from>
              <to>
                <xdr:col>5</xdr:col>
                <xdr:colOff>2257425</xdr:colOff>
                <xdr:row>17</xdr:row>
                <xdr:rowOff>28575</xdr:rowOff>
              </to>
            </anchor>
          </controlPr>
        </control>
      </mc:Choice>
      <mc:Fallback>
        <control shapeId="160787" r:id="rId4" name="Refresh_Re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23</vt:i4>
      </vt:variant>
    </vt:vector>
  </HeadingPairs>
  <TitlesOfParts>
    <vt:vector size="25" baseType="lpstr">
      <vt:lpstr>Context</vt:lpstr>
      <vt:lpstr>Frais_Direction_Nature_Charges</vt:lpstr>
      <vt:lpstr>ActualBudgetAdmin</vt:lpstr>
      <vt:lpstr>ActualForecast1Admin</vt:lpstr>
      <vt:lpstr>ActualForecast2Admin</vt:lpstr>
      <vt:lpstr>ActualMonth</vt:lpstr>
      <vt:lpstr>ActualYear</vt:lpstr>
      <vt:lpstr>AutoFit</vt:lpstr>
      <vt:lpstr>AutoRefresh_Frais_Direction_Nature_Charges</vt:lpstr>
      <vt:lpstr>Cube1</vt:lpstr>
      <vt:lpstr>Cube2</vt:lpstr>
      <vt:lpstr>Flag_Send_Comment</vt:lpstr>
      <vt:lpstr>Flag_Send_Data</vt:lpstr>
      <vt:lpstr>Frais_Direction_Nature_Charges!Impression_des_titres</vt:lpstr>
      <vt:lpstr>Language</vt:lpstr>
      <vt:lpstr>LocalLanguage</vt:lpstr>
      <vt:lpstr>LocalLanguage2</vt:lpstr>
      <vt:lpstr>Note</vt:lpstr>
      <vt:lpstr>Server</vt:lpstr>
      <vt:lpstr>Frais_Direction_Nature_Charges!TM1RPTDATARNGARPT3</vt:lpstr>
      <vt:lpstr>Frais_Direction_Nature_Charges!TM1RPTFMTIDCOL</vt:lpstr>
      <vt:lpstr>Frais_Direction_Nature_Charges!TM1RPTFMTRNG</vt:lpstr>
      <vt:lpstr>xHost</vt:lpstr>
      <vt:lpstr>xServer</vt:lpstr>
      <vt:lpstr>Frais_Direction_Nature_Charges!Zone_d_impression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humbert.de-miribel</cp:lastModifiedBy>
  <cp:lastPrinted>2012-06-25T09:40:34Z</cp:lastPrinted>
  <dcterms:created xsi:type="dcterms:W3CDTF">2011-06-21T16:52:24Z</dcterms:created>
  <dcterms:modified xsi:type="dcterms:W3CDTF">2013-04-18T12:04:47Z</dcterms:modified>
</cp:coreProperties>
</file>